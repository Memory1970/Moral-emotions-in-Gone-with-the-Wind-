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8769739165482d" /></Relationships>
</file>

<file path=xl/workbook.xml><?xml version="1.0" encoding="utf-8"?>
<x:workbook xmlns:x="http://schemas.openxmlformats.org/spreadsheetml/2006/main">
  <x:sheets>
    <x:sheet xmlns:r="http://schemas.openxmlformats.org/officeDocument/2006/relationships" name="Corpus" sheetId="1" r:id="Rb3476eae90f240cd"/>
    <x:sheet xmlns:r="http://schemas.openxmlformats.org/officeDocument/2006/relationships" name="Summary" sheetId="2" r:id="R15e3a75f130d429c"/>
    <x:sheet xmlns:r="http://schemas.openxmlformats.org/officeDocument/2006/relationships" name="Principal characters" sheetId="3" r:id="R28ee6577e1ab4d24"/>
    <x:sheet xmlns:r="http://schemas.openxmlformats.org/officeDocument/2006/relationships" name="Shame" sheetId="4" r:id="R986078d87f3b4dc1"/>
    <x:sheet xmlns:r="http://schemas.openxmlformats.org/officeDocument/2006/relationships" name="Guilt" sheetId="5" r:id="Rfc244f6712be4c1d"/>
    <x:sheet xmlns:r="http://schemas.openxmlformats.org/officeDocument/2006/relationships" name="Conscience" sheetId="6" r:id="R98eab060399343eb"/>
    <x:sheet xmlns:r="http://schemas.openxmlformats.org/officeDocument/2006/relationships" name="Honor" sheetId="7" r:id="R7f1716874ce045b0"/>
    <x:sheet xmlns:r="http://schemas.openxmlformats.org/officeDocument/2006/relationships" name="Russian renderings" sheetId="8" r:id="Rf30116bb573e4068"/>
    <x:sheet xmlns:r="http://schemas.openxmlformats.org/officeDocument/2006/relationships" name="Kazakh renderings" sheetId="9" r:id="R3d383c99533346ed"/>
    <x:sheet xmlns:r="http://schemas.openxmlformats.org/officeDocument/2006/relationships" name="Data (parsed)" sheetId="10" r:id="Rcf75ddd0e27f4ddd"/>
  </x:sheets>
</x:workbook>
</file>

<file path=xl/sharedStrings.xml><?xml version="1.0" encoding="utf-8"?>
<sst xmlns="http://schemas.openxmlformats.org/spreadsheetml/2006/main" count="1548" uniqueCount="1548">
  <si>
    <t xml:space="preserve">#</t>
  </si>
  <si>
    <t xml:space="preserve">Domain — Category</t>
  </si>
  <si>
    <t xml:space="preserve">Part</t>
  </si>
  <si>
    <t xml:space="preserve">Semantic</t>
  </si>
  <si>
    <t xml:space="preserve">English</t>
  </si>
  <si>
    <t xml:space="preserve">Character</t>
  </si>
  <si>
    <t xml:space="preserve">Mode</t>
  </si>
  <si>
    <t xml:space="preserve">Russian</t>
  </si>
  <si>
    <t xml:space="preserve">Kazakh</t>
  </si>
  <si>
    <t xml:space="preserve">SHAME DOMAIN</t>
  </si>
  <si>
    <t xml:space="preserve">Shame — Moral shame</t>
  </si>
  <si>
    <t xml:space="preserve">P1</t>
  </si>
  <si>
    <t xml:space="preserve">caused moral shame, tears as physical manifestation; Ellen (external moral standard, parental authority)</t>
  </si>
  <si>
    <t xml:space="preserve">At sixteen, thanks to Mammy and Ellen, she looked sweet, charming and giddy, but she was, in reality, self-willed, vain and obstinate. She had the easily stirred passions of her Irish father and nothing except the thinnest veneer of her mother's unselfish and forbearing nature. Ellen never fully realized that it was only a veneer, for Scarlett always showed her best face to her mother, concealing her escapades, curbing her temper and appearing as sweet-natured as she could in Ellen's presence, for her mother could shame her to tears with a reproachful glance.</t>
  </si>
  <si>
    <t xml:space="preserve">Scarlett</t>
  </si>
  <si>
    <t xml:space="preserve">felt</t>
  </si>
  <si>
    <t xml:space="preserve">TERM: pristydit' (пристыдить) — to put to shame, to shame (someone) [ORD]
PASSAGE: ибо одного укоряющего взгляда матери было достаточно, чтобы пристыдить ее до слез.
TRANS: ibo odnogo ukoryayushchego vzglyada materi bylo dostatochno, chtoby pristydit' ee do slez.
TRANSLATION: for a single reproachful glance from her mother was enough to shame her to tears.</t>
  </si>
  <si>
    <r>
      <rPr>
        <b/>
        <sz val="11"/>
        <color theme="1"/>
        <rFont val="Arial"/>
      </rPr>
      <t xml:space="preserve">TERM:</t>
    </r>
    <r>
      <rPr>
        <sz val="11"/>
        <color theme="1"/>
        <rFont val="Arial"/>
      </rPr>
      <t xml:space="preserve"> ŪİALTU (ҰЯЛТУ) — to make (someone) feel ashamed; to disconcert; to embarrass (causative) [KED, SZK]
</t>
    </r>
    <r>
      <rPr>
        <b/>
        <sz val="11"/>
        <color theme="1"/>
        <rFont val="Arial"/>
      </rPr>
      <t xml:space="preserve">PASSAGE:</t>
    </r>
    <r>
      <rPr>
        <sz val="11"/>
        <color theme="1"/>
        <rFont val="Arial"/>
      </rPr>
      <t xml:space="preserve"> Өзін момын етіп көрсетудің жолын білді, анасының сөге қараған жалғыз көзқарасы оны </t>
    </r>
    <r>
      <rPr>
        <b/>
        <sz val="11"/>
        <color theme="1"/>
        <rFont val="Arial"/>
      </rPr>
      <t xml:space="preserve">ұялтып</t>
    </r>
    <r>
      <rPr>
        <sz val="11"/>
        <color theme="1"/>
        <rFont val="Arial"/>
      </rPr>
      <t xml:space="preserve">, жылатуға жеткілікті болатын
</t>
    </r>
    <r>
      <rPr>
        <b/>
        <sz val="11"/>
        <color theme="1"/>
        <rFont val="Arial"/>
      </rPr>
      <t xml:space="preserve">TRANS:</t>
    </r>
    <r>
      <rPr>
        <sz val="11"/>
        <color theme="1"/>
        <rFont val="Arial"/>
      </rPr>
      <t xml:space="preserve"> Özın momyn etıp körsetudıñ jolyn bıldı, anasynyñ söge qarağan jalğyz közqarasy ony </t>
    </r>
    <r>
      <rPr>
        <b/>
        <sz val="11"/>
        <color theme="1"/>
        <rFont val="Arial"/>
      </rPr>
      <t xml:space="preserve">ūialtyp</t>
    </r>
    <r>
      <rPr>
        <sz val="11"/>
        <color theme="1"/>
        <rFont val="Arial"/>
      </rPr>
      <t xml:space="preserve">, jylatuğa jetkılıktı bolatyn
</t>
    </r>
    <r>
      <rPr>
        <b/>
        <sz val="11"/>
        <color theme="1"/>
        <rFont val="Arial"/>
      </rPr>
      <t xml:space="preserve">TRANSLATION:</t>
    </r>
    <r>
      <rPr>
        <sz val="11"/>
        <color theme="1"/>
        <rFont val="Arial"/>
      </rPr>
      <t xml:space="preserve"> She knew how to put on an air of meekness; her mother's single reproachful glance was enough to </t>
    </r>
    <r>
      <rPr>
        <b/>
        <sz val="11"/>
        <color theme="1"/>
        <rFont val="Arial"/>
      </rPr>
      <t xml:space="preserve">shame</t>
    </r>
    <r>
      <rPr>
        <sz val="11"/>
        <color theme="1"/>
        <rFont val="Arial"/>
      </rPr>
      <t xml:space="preserve"> her into tears.</t>
    </r>
  </si>
  <si>
    <t xml:space="preserve">mild moral shame, inner accusation; no physical manifestation; Ellen (internalized moral standard)</t>
  </si>
  <si>
    <t xml:space="preserve">To Scarlett, the very idea of saying such things to her own mother was almost sacrilegious. And yet—and yet—there was something very pleasant about the Tarleton girls' relations with their mother, and they adored her for all that they criticized and scolded and teased her. Not, Scarlett loyally hastened to tell herself, that she would prefer a mother like Mrs. Tarleton to Ellen, but still it would be fun to romp with a mother. She knew that even that thought was disrespectful to Ellen and felt ashamed of it.</t>
  </si>
  <si>
    <t xml:space="preserve">TERM: ustydilas' (устыдилась) — felt ashamed (pf., past fem.) [ORD] (lemma: устыдиться)
PASSAGE: Но она устыдилась такой мысли, почувствовав даже в этом какое-то неуважение к Эллин
TRANS: No ona ustydilas' takoy mysli, pochuvstvovav dazhe v etom kakoe-to neuvazhenie k Ellin
TRANSLATION: But she felt ashamed at such a thought, sensing in it a kind of disrespect toward Ellen</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</si>
  <si>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Әйтсе де мұндай ойдың өзі Эллинге деген құрметсіздік сияқты сезіліп, </t>
    </r>
    <r>
      <rPr>
        <b/>
        <sz val="11"/>
        <color theme="1"/>
        <rFont val="Arial"/>
      </rPr>
      <t xml:space="preserve">ұялып</t>
    </r>
    <r>
      <rPr>
        <sz val="11"/>
        <color theme="1"/>
        <rFont val="Arial"/>
      </rPr>
      <t xml:space="preserve"> қалды.
</t>
    </r>
    <r>
      <rPr>
        <b/>
        <sz val="11"/>
        <color theme="1"/>
        <rFont val="Arial"/>
      </rPr>
      <t xml:space="preserve">TRANS:</t>
    </r>
    <r>
      <rPr>
        <sz val="11"/>
        <color theme="1"/>
        <rFont val="Arial"/>
      </rPr>
      <t xml:space="preserve"> Äitse de mūndai oidyñ özı Elinge degen qūrmetsızdık siaqty sezılıp, </t>
    </r>
    <r>
      <rPr>
        <b/>
        <sz val="11"/>
        <color theme="1"/>
        <rFont val="Arial"/>
      </rPr>
      <t xml:space="preserve">ūialyp</t>
    </r>
    <r>
      <rPr>
        <sz val="11"/>
        <color theme="1"/>
        <rFont val="Arial"/>
      </rPr>
      <t xml:space="preserve"> qaldy.
</t>
    </r>
    <r>
      <rPr>
        <b/>
        <sz val="11"/>
        <color theme="1"/>
        <rFont val="Arial"/>
      </rPr>
      <t xml:space="preserve">TRANSLATION:</t>
    </r>
    <r>
      <rPr>
        <sz val="11"/>
        <color theme="1"/>
        <rFont val="Arial"/>
      </rPr>
      <t xml:space="preserve"> And yet such a thought itself felt like disrespect toward Ellen, and she felt </t>
    </r>
    <r>
      <rPr>
        <b/>
        <sz val="11"/>
        <color theme="1"/>
        <rFont val="Arial"/>
      </rPr>
      <t xml:space="preserve">ashamed</t>
    </r>
    <r>
      <rPr>
        <sz val="11"/>
        <color theme="1"/>
        <rFont val="Arial"/>
      </rPr>
      <t xml:space="preserve">.</t>
    </r>
  </si>
  <si>
    <t xml:space="preserve">P3</t>
  </si>
  <si>
    <t xml:space="preserve">shame at openly  violating social-moral duty; mild; no physical manifestation</t>
  </si>
  <si>
    <t xml:space="preserve">She went hastily up the two short blocks to Peachtree Street, breathing the unfouled air in as deep gulps as her tightly laced corset would permit. She was standing on the corner, uncertain as to what she would do next, ashamed to go home to Aunt Pitty's but determined not to go back to the hospital, when Rhett Butler drove by.</t>
  </si>
  <si>
    <t xml:space="preserve">TERM: stydno (стыдно) — it is shameful; (one) feels ashamed (impersonal predicate) [ORD]
PASSAGE: ей стыдно было возвратиться к тете Питти,
TRANS: ey stydno bylo vozvratit'sya k tete Pitti,
TRANSLATION: she was ashamed to return to Aunt Pitty,</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</si>
  <si>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Бұрышқа жеткенде әрі қарай қалай жүрерін білмей тұрып қалды; Ол Питти тәтейге баруға </t>
    </r>
    <r>
      <rPr>
        <b/>
        <sz val="11"/>
        <color theme="1"/>
        <rFont val="Arial"/>
      </rPr>
      <t xml:space="preserve">ұялды</t>
    </r>
    <r>
      <rPr>
        <sz val="11"/>
        <color theme="1"/>
        <rFont val="Arial"/>
      </rPr>
      <t xml:space="preserve">
</t>
    </r>
    <r>
      <rPr>
        <b/>
        <sz val="11"/>
        <color theme="1"/>
        <rFont val="Arial"/>
      </rPr>
      <t xml:space="preserve">TRANS:</t>
    </r>
    <r>
      <rPr>
        <sz val="11"/>
        <color theme="1"/>
        <rFont val="Arial"/>
      </rPr>
      <t xml:space="preserve"> Būryşqa jetkende ärı qarai qalai jürerın bılmei tūryp qaldy; Ol Pitti täteige baruğa </t>
    </r>
    <r>
      <rPr>
        <b/>
        <sz val="11"/>
        <color theme="1"/>
        <rFont val="Arial"/>
      </rPr>
      <t xml:space="preserve">ūialdy</t>
    </r>
    <r>
      <rPr>
        <sz val="11"/>
        <color theme="1"/>
        <rFont val="Arial"/>
      </rPr>
      <t xml:space="preserve">
</t>
    </r>
    <r>
      <rPr>
        <b/>
        <sz val="11"/>
        <color theme="1"/>
        <rFont val="Arial"/>
      </rPr>
      <t xml:space="preserve">TRANSLATION:</t>
    </r>
    <r>
      <rPr>
        <sz val="11"/>
        <color theme="1"/>
        <rFont val="Arial"/>
      </rPr>
      <t xml:space="preserve"> When she reached the corner she stood still, not knowing what to do next; she was too </t>
    </r>
    <r>
      <rPr>
        <b/>
        <sz val="11"/>
        <color theme="1"/>
        <rFont val="Arial"/>
      </rPr>
      <t xml:space="preserve">ashamed</t>
    </r>
    <r>
      <rPr>
        <sz val="11"/>
        <color theme="1"/>
        <rFont val="Arial"/>
      </rPr>
      <t xml:space="preserve"> to go to Aunt Pitty.</t>
    </r>
  </si>
  <si>
    <t xml:space="preserve">mild moral shame about angry outburst towards a servant; inner accusation; no physical manifestation; no specific witness</t>
  </si>
  <si>
    <t xml:space="preserve">A sullen "Yas'm" drifted up to her and she drew a deep breath, feeling suddenly ashamed of herself.</t>
  </si>
  <si>
    <t xml:space="preserve">TERM: ustydyas' (устыдясь) — having felt ashamed (gerund) [ORD] (lemma: устыдиться)
PASSAGE: и Скарлетт глубоко вздохнула, устыдясь своей внезапной вспышки
TRANS: i Skarlett gluboko vzdokhnula, ustydyas' svoey vnezapnoy vspyshki
TRANSLATION: and Scarlett took a deep breath, ashamed of her sudden outburst</t>
  </si>
  <si>
    <t xml:space="preserve">shame about own cowardice, inadvertently exposed by Melanie; no physical manifestation</t>
  </si>
  <si>
    <t xml:space="preserve">What Melanie said was no more than Scarlett had been thinking but hearing it put into words infuriated her, shamed her as if her secret cowardice was written plainly in her face.</t>
  </si>
  <si>
    <t xml:space="preserve">TERM: stydno (стыдно) — it is shameful; (one) feels ashamed (impersonal predicate) [ORD]
PASSAGE: ей было стыдно, словно Мелани прочла трусливые мысли на ее лице.
TRANS: ey bylo stydno, slovno Melani prochla truslivye mysli na ee litse.
TRANSLATION: she felt ashamed, as if Melanie had read her cowardly thoughts on her face.</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</si>
  <si>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Мелани тек Скарлеттің өзі ойлағанын дауыстап айтқан еді, бірақ Скарлетт, Мелани оның қорқынышын бетінен оқып қойғандай, </t>
    </r>
    <r>
      <rPr>
        <b/>
        <sz val="11"/>
        <color theme="1"/>
        <rFont val="Arial"/>
      </rPr>
      <t xml:space="preserve">ұялғаннан</t>
    </r>
    <r>
      <rPr>
        <sz val="11"/>
        <color theme="1"/>
        <rFont val="Arial"/>
      </rPr>
      <t xml:space="preserve"> ашуланды.
</t>
    </r>
    <r>
      <rPr>
        <b/>
        <sz val="11"/>
        <color theme="1"/>
        <rFont val="Arial"/>
      </rPr>
      <t xml:space="preserve">TRANS:</t>
    </r>
    <r>
      <rPr>
        <sz val="11"/>
        <color theme="1"/>
        <rFont val="Arial"/>
      </rPr>
      <t xml:space="preserve"> Melani tek Skarlettıñ özı oilağanyn dauystap aitqan edı, bıraq Skarlett, Melani onyñ qorqynyşyn betınen oqyp qoiğandai, </t>
    </r>
    <r>
      <rPr>
        <b/>
        <sz val="11"/>
        <color theme="1"/>
        <rFont val="Arial"/>
      </rPr>
      <t xml:space="preserve">ūialğannan</t>
    </r>
    <r>
      <rPr>
        <sz val="11"/>
        <color theme="1"/>
        <rFont val="Arial"/>
      </rPr>
      <t xml:space="preserve"> aşulandy.
</t>
    </r>
    <r>
      <rPr>
        <b/>
        <sz val="11"/>
        <color theme="1"/>
        <rFont val="Arial"/>
      </rPr>
      <t xml:space="preserve">TRANSLATION:</t>
    </r>
    <r>
      <rPr>
        <sz val="11"/>
        <color theme="1"/>
        <rFont val="Arial"/>
      </rPr>
      <t xml:space="preserve"> Melanie had only said aloud what Scarlett herself had been thinking, but Scarlett, as if Melanie had read her fear on her face, became angry from </t>
    </r>
    <r>
      <rPr>
        <b/>
        <sz val="11"/>
        <color theme="1"/>
        <rFont val="Arial"/>
      </rPr>
      <t xml:space="preserve">shame</t>
    </r>
    <r>
      <rPr>
        <sz val="11"/>
        <color theme="1"/>
        <rFont val="Arial"/>
      </rPr>
      <t xml:space="preserve">.</t>
    </r>
  </si>
  <si>
    <t xml:space="preserve">shame about unfair inner judgment; no physical manifestation; no audience</t>
  </si>
  <si>
    <t xml:space="preserve">By a series of limping jerks, she pulled the body down the hall toward the back porch and, pausing to wipe her forehead with the back of her hand, glanced back toward Melanie, sitting against the wall hugging her thin knees to her bare breasts. How silly of Melanie to be bothering about modesty at a time like this, Scarlett thought irritably. It was just part of her nicey-nice way of acting which had always made Scarlett despise her. Then shame rose in her. After all—after all, Melanie had dragged herself from bed so soon after having a baby and had come to her aid with a weapon too heavy even for her to lift. That had taken courage, the kind of courage Scarlett honestly knew she herself did not possess, the thin-steel, spun-silk courage which had characterized Melanie on the terrible night Atlanta fell and on the long trip home. It was the same intangible, unspectacular courage that all the Wilkeses possessed, a quality which Scarlett did not understand but to which she gave grudging tribute.</t>
  </si>
  <si>
    <t xml:space="preserve">TERM: stydno (стыдно) — it is shameful; (one) feels ashamed (impersonal predicate) [ORD]
PASSAGE: И тут ей неожиданно стало стыдно.
TRANS: I tut ey neozhidanno stalo stydno.
TRANSLATION: And then suddenly she felt ashamed.</t>
  </si>
  <si>
    <t xml:space="preserve">P4</t>
  </si>
  <si>
    <t xml:space="preserve">shame ascribed to  another — performative speech act (verdict / directive)</t>
  </si>
  <si>
    <t xml:space="preserve">"She didn't write you? Oh, I guess she was too ashamed to write you. She should be ashamed! Oh, to have such a mean sister!"</t>
  </si>
  <si>
    <t xml:space="preserve">ascribed</t>
  </si>
  <si>
    <t xml:space="preserve">TERM: stydno (стыдно) — it is shameful; (one) feels ashamed (impersonal predicate) [ORD]
PASSAGE: Ах, наверное, ей было слишком стыдно.
TRANS: Akh, navernoe, ey bylo slishkom stydno.
TRANSLATION: Ah, she must have been too ashamed.</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</si>
  <si>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Сірә, </t>
    </r>
    <r>
      <rPr>
        <b/>
        <sz val="11"/>
        <color theme="1"/>
        <rFont val="Arial"/>
      </rPr>
      <t xml:space="preserve">ұяты</t>
    </r>
    <r>
      <rPr>
        <sz val="11"/>
        <color theme="1"/>
        <rFont val="Arial"/>
      </rPr>
      <t xml:space="preserve"> жібермеген шығар.
</t>
    </r>
    <r>
      <rPr>
        <b/>
        <sz val="11"/>
        <color theme="1"/>
        <rFont val="Arial"/>
      </rPr>
      <t xml:space="preserve">TRANS:</t>
    </r>
    <r>
      <rPr>
        <sz val="11"/>
        <color theme="1"/>
        <rFont val="Arial"/>
      </rPr>
      <t xml:space="preserve"> Sırä, </t>
    </r>
    <r>
      <rPr>
        <b/>
        <sz val="11"/>
        <color theme="1"/>
        <rFont val="Arial"/>
      </rPr>
      <t xml:space="preserve">ūiaty</t>
    </r>
    <r>
      <rPr>
        <sz val="11"/>
        <color theme="1"/>
        <rFont val="Arial"/>
      </rPr>
      <t xml:space="preserve"> jıbermegen şyğar.
</t>
    </r>
    <r>
      <rPr>
        <b/>
        <sz val="11"/>
        <color theme="1"/>
        <rFont val="Arial"/>
      </rPr>
      <t xml:space="preserve">TRANSLATION:</t>
    </r>
    <r>
      <rPr>
        <sz val="11"/>
        <color theme="1"/>
        <rFont val="Arial"/>
      </rPr>
      <t xml:space="preserve"> Most likely </t>
    </r>
    <r>
      <rPr>
        <b/>
        <sz val="11"/>
        <color theme="1"/>
        <rFont val="Arial"/>
      </rPr>
      <t xml:space="preserve">shame</t>
    </r>
    <r>
      <rPr>
        <sz val="11"/>
        <color theme="1"/>
        <rFont val="Arial"/>
      </rPr>
      <t xml:space="preserve"> did not let her [write].</t>
    </r>
  </si>
  <si>
    <t xml:space="preserve">mild shame about being thought better than she is; no physical manifestation; community / diffuse audience</t>
  </si>
  <si>
    <t xml:space="preserve">She felt puzzled and a little ashamed, as always when people attributed to her emotions and motives they possessed and thought she shared.</t>
  </si>
  <si>
    <t xml:space="preserve">TERM: pristyzhennoy (пристыженной) — shamed, abashed (past pass. participle) [ORD] (lemma: пристыженный)
PASSAGE: Скарлетт была озадачена и чувствовала себя немного пристыженной
TRANS: Skarlett byla ozadachena i chuvstvovala sebya nemnogo pristyzhennoy
TRANSLATION: Scarlett was puzzled and felt herself a bit shamed</t>
  </si>
  <si>
    <r>
      <rPr>
        <b/>
        <sz val="11"/>
        <color theme="1"/>
        <rFont val="Arial"/>
      </rPr>
      <t xml:space="preserve">TERM:</t>
    </r>
    <r>
      <rPr>
        <sz val="11"/>
        <color theme="1"/>
        <rFont val="Arial"/>
      </rPr>
      <t xml:space="preserve"> QOLAİSYZ (ҚОЛАЙСЫЗ) — inappropriate; inconvenient; awkward [KED, SZK]
</t>
    </r>
    <r>
      <rPr>
        <b/>
        <sz val="11"/>
        <color theme="1"/>
        <rFont val="Arial"/>
      </rPr>
      <t xml:space="preserve">PASSAGE:</t>
    </r>
    <r>
      <rPr>
        <sz val="11"/>
        <color theme="1"/>
        <rFont val="Arial"/>
      </rPr>
      <t xml:space="preserve"> Скарлеттің көңілі алаңдап, өзін </t>
    </r>
    <r>
      <rPr>
        <b/>
        <sz val="11"/>
        <color theme="1"/>
        <rFont val="Arial"/>
      </rPr>
      <t xml:space="preserve">қолайсыз</t>
    </r>
    <r>
      <rPr>
        <sz val="11"/>
        <color theme="1"/>
        <rFont val="Arial"/>
      </rPr>
      <t xml:space="preserve"> сезініп тұр, әйтеуір, адамдар ылғи да бұған өзінің ойлары мен сезімдерін таңады да жүреді, мұның ортақтаспайтынымен шаруалары жоқ.
</t>
    </r>
    <r>
      <rPr>
        <b/>
        <sz val="11"/>
        <color theme="1"/>
        <rFont val="Arial"/>
      </rPr>
      <t xml:space="preserve">TRANS:</t>
    </r>
    <r>
      <rPr>
        <sz val="11"/>
        <color theme="1"/>
        <rFont val="Arial"/>
      </rPr>
      <t xml:space="preserve"> Skarlettıñ köñılı alañdap, özın </t>
    </r>
    <r>
      <rPr>
        <b/>
        <sz val="11"/>
        <color theme="1"/>
        <rFont val="Arial"/>
      </rPr>
      <t xml:space="preserve">qolaisyz</t>
    </r>
    <r>
      <rPr>
        <sz val="11"/>
        <color theme="1"/>
        <rFont val="Arial"/>
      </rPr>
      <t xml:space="preserve"> sezınıp tūr, äiteuır, adamdar ylği da būğan özınıñ oilary men sezımderın tañady da jüredı, mūnyñ ortaqtaspaitynymen şarualary joq.
</t>
    </r>
    <r>
      <rPr>
        <b/>
        <sz val="11"/>
        <color theme="1"/>
        <rFont val="Arial"/>
      </rPr>
      <t xml:space="preserve">TRANSLATION:</t>
    </r>
    <r>
      <rPr>
        <sz val="11"/>
        <color theme="1"/>
        <rFont val="Arial"/>
      </rPr>
      <t xml:space="preserve"> Scarlett was confused and felt </t>
    </r>
    <r>
      <rPr>
        <b/>
        <sz val="11"/>
        <color theme="1"/>
        <rFont val="Arial"/>
      </rPr>
      <t xml:space="preserve">awkward</t>
    </r>
    <r>
      <rPr>
        <sz val="11"/>
        <color theme="1"/>
        <rFont val="Arial"/>
      </rPr>
      <t xml:space="preserve"> — people always ascribe to her their own thoughts and feelings, with no regard for whether she shares them.</t>
    </r>
  </si>
  <si>
    <t xml:space="preserve">Ashley’s self-directed moral shame about causing another to sacrifice</t>
  </si>
  <si>
    <t xml:space="preserve">"You ashamed? Why should you be ashamed? I'm the one to feel shame and I do. If it hadn't been for my stupidity you wouldn't be in this fix. You'd never have married Frank. I should never have let you leave Tara last winter. Oh, fool that I was! I should have known you—known you were desperate, so desperate that you'd— I should have—I should have—" His face went haggard.</t>
  </si>
  <si>
    <t xml:space="preserve">TERM: stydno (стыдно) — it is shameful; (one) feels ashamed (impersonal predicate) [ORD]
PASSAGE: Вам было стыдно?
TRANS: Vam bylo stydno?
TRANSLATION: You were ashamed?</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</si>
  <si>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t>
    </r>
    <r>
      <rPr>
        <b/>
        <sz val="11"/>
        <color theme="1"/>
        <rFont val="Arial"/>
      </rPr>
      <t xml:space="preserve">Ұялдым</t>
    </r>
    <r>
      <rPr>
        <sz val="11"/>
        <color theme="1"/>
        <rFont val="Arial"/>
      </rPr>
      <t xml:space="preserve"> дейсіз бе?
</t>
    </r>
    <r>
      <rPr>
        <b/>
        <sz val="11"/>
        <color theme="1"/>
        <rFont val="Arial"/>
      </rPr>
      <t xml:space="preserve">TRANS:</t>
    </r>
    <r>
      <rPr>
        <sz val="11"/>
        <color theme="1"/>
        <rFont val="Arial"/>
      </rPr>
      <t xml:space="preserve"> </t>
    </r>
    <r>
      <rPr>
        <b/>
        <sz val="11"/>
        <color theme="1"/>
        <rFont val="Arial"/>
      </rPr>
      <t xml:space="preserve">Ūialdym</t>
    </r>
    <r>
      <rPr>
        <sz val="11"/>
        <color theme="1"/>
        <rFont val="Arial"/>
      </rPr>
      <t xml:space="preserve"> deisız be?
</t>
    </r>
    <r>
      <rPr>
        <b/>
        <sz val="11"/>
        <color theme="1"/>
        <rFont val="Arial"/>
      </rPr>
      <t xml:space="preserve">TRANSLATION:</t>
    </r>
    <r>
      <rPr>
        <sz val="11"/>
        <color theme="1"/>
        <rFont val="Arial"/>
      </rPr>
      <t xml:space="preserve"> You say you were </t>
    </r>
    <r>
      <rPr>
        <b/>
        <sz val="11"/>
        <color theme="1"/>
        <rFont val="Arial"/>
      </rPr>
      <t xml:space="preserve">ashamed</t>
    </r>
    <r>
      <rPr>
        <sz val="11"/>
        <color theme="1"/>
        <rFont val="Arial"/>
      </rPr>
      <t xml:space="preserve">?</t>
    </r>
  </si>
  <si>
    <t xml:space="preserve">moral shame, Ashley’s self-accusation and pain as stimulus; physical manifestation – facial expression (eyes); Ashley as stimulus and witness</t>
  </si>
  <si>
    <t xml:space="preserve">The edge in his voice spoke of a raw, unhealed wound that ached within him and his words brought shame to her eyes. He was swift to see it and his face changed to gentleness.</t>
  </si>
  <si>
    <t xml:space="preserve">TERM: slezy styda (слезы стыда) — tears of shame [ORD] (lemma: слеза)
PASSAGE: Раздражение, звучавшее в его голосе, говорило о незаживающей ране, которая болела, и от его слов слезы стыда выступили у нее на глазах.
TRANS: Razdrazhenie, zvuchavshee v ego golose, govorilo o nezazhivayushchey rane, kotoraya bolela, i ot ego slov slezy styda vystupili u nee na glazakh.
TRANSLATION: The irritation that sounded in his voice spoke of an unhealing wound that hurt, and at his words tears of shame welled up in her eyes.</t>
  </si>
  <si>
    <t xml:space="preserve">moral shame, inner accusation; no physical manifestation; not understanding Melanie as stimulus and moral mirror; Melanie ascribing noble motives to Scarlett when she had ulterior motives</t>
  </si>
  <si>
    <t xml:space="preserve">Her eyes blazed with enthusiasm and happiness and the two stared at her, Ashley with a queer stunned look, Scarlett with surprise mingled with shame. It had never occurred to her that Melanie missed Atlanta so much and longed to be back, longed for a home of her own. She had seemed so contented at Tara it came to Scarlett as a shock that she was homesick.</t>
  </si>
  <si>
    <t xml:space="preserve">TERM: styda (стыда) — shame (genitive) [ORD] (lemma: стыд)
PASSAGE: Скарлетт — со смесью удивления и стыда.
TRANS: Skarlett — so smes'yu udivleniya i styda.
TRANSLATION: Scarlett — with a mix of surprise and shame.</t>
  </si>
  <si>
    <r>
      <rPr>
        <b/>
        <sz val="11"/>
        <color theme="1"/>
        <rFont val="Arial"/>
      </rPr>
      <t xml:space="preserve">TERM:</t>
    </r>
    <r>
      <rPr>
        <sz val="11"/>
        <color theme="1"/>
        <rFont val="Arial"/>
      </rPr>
      <t xml:space="preserve"> ŪİAT(ҰЯТ) — shame; disgrace; sense of decency (also: that which is improper) [KED, SZK]
</t>
    </r>
    <r>
      <rPr>
        <b/>
        <sz val="11"/>
        <color theme="1"/>
        <rFont val="Arial"/>
      </rPr>
      <t xml:space="preserve">PASSAGE:</t>
    </r>
    <r>
      <rPr>
        <sz val="11"/>
        <color theme="1"/>
        <rFont val="Arial"/>
      </rPr>
      <t xml:space="preserve"> Эшли дағдарып, есін жия алмаса, Скарлетт </t>
    </r>
    <r>
      <rPr>
        <b/>
        <sz val="11"/>
        <color theme="1"/>
        <rFont val="Arial"/>
      </rPr>
      <t xml:space="preserve">ұяттан</t>
    </r>
    <r>
      <rPr>
        <sz val="11"/>
        <color theme="1"/>
        <rFont val="Arial"/>
      </rPr>
      <t xml:space="preserve"> өртеніп әрі таңырқап тұр.
</t>
    </r>
    <r>
      <rPr>
        <b/>
        <sz val="11"/>
        <color theme="1"/>
        <rFont val="Arial"/>
      </rPr>
      <t xml:space="preserve">TRANS:</t>
    </r>
    <r>
      <rPr>
        <sz val="11"/>
        <color theme="1"/>
        <rFont val="Arial"/>
      </rPr>
      <t xml:space="preserve"> Eşli dağdaryp, esın jia almasa, Skarlett </t>
    </r>
    <r>
      <rPr>
        <b/>
        <sz val="11"/>
        <color theme="1"/>
        <rFont val="Arial"/>
      </rPr>
      <t xml:space="preserve">ūiattan</t>
    </r>
    <r>
      <rPr>
        <sz val="11"/>
        <color theme="1"/>
        <rFont val="Arial"/>
      </rPr>
      <t xml:space="preserve"> örtenıp ärı tañyrqap tūr.
</t>
    </r>
    <r>
      <rPr>
        <b/>
        <sz val="11"/>
        <color theme="1"/>
        <rFont val="Arial"/>
      </rPr>
      <t xml:space="preserve">TRANSLATION:</t>
    </r>
    <r>
      <rPr>
        <sz val="11"/>
        <color theme="1"/>
        <rFont val="Arial"/>
      </rPr>
      <t xml:space="preserve"> While Ashley was confused and could not collect himself, Scarlett stood burning with </t>
    </r>
    <r>
      <rPr>
        <b/>
        <sz val="11"/>
        <color theme="1"/>
        <rFont val="Arial"/>
      </rPr>
      <t xml:space="preserve">shame</t>
    </r>
    <r>
      <rPr>
        <sz val="11"/>
        <color theme="1"/>
        <rFont val="Arial"/>
      </rPr>
      <t xml:space="preserve"> and astonished.</t>
    </r>
  </si>
  <si>
    <t xml:space="preserve">moral shame, inner accusation; no physical manifestation; Melanie as moral mirror; Melanie and Ashley audience</t>
  </si>
  <si>
    <t xml:space="preserve">As usual when confronted by Melanie's habit of attributing worthy motives where no worth existed, Scarlett was ashamed and irritated, and suddenly she could not meet either Ashley's or Melanie's eyes.</t>
  </si>
  <si>
    <t xml:space="preserve">TERM: styda (стыда) — shame (genitive) [ORD] (lemma: стыд)
PASSAGE: И Скарлетт, столкнувшись с этим умением Мелани приписывать людям благородные поступки там, где благородством и не пахло, почувствовала, по обыкновению, прилив стыда и раздражения
TRANS: I Skarlett, stolknuvshis' s etim umeniem Melani pripisyvat' lyudyam blagorodnye postupki tam, gde blagorodstvom i ne pakhlo, pochuvstvovala, po obyknoveniyu, priliv styda i razdrazheniya
TRANSLATION: And Scarlett, faced with this skill of Melanie's for ascribing noble motives to people where no nobility was to be found, felt her customary surge of shame and irritation</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</si>
  <si>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Өзінің көрген, маңдайына бұйырған әр жақсылығын қашан да біреудің арқасында болды деп ойлайтын Меланидің мына қуанышты күйі Скарлеттің бетінен отын шығарып, </t>
    </r>
    <r>
      <rPr>
        <b/>
        <sz val="11"/>
        <color theme="1"/>
        <rFont val="Arial"/>
      </rPr>
      <t xml:space="preserve">ұяттан</t>
    </r>
    <r>
      <rPr>
        <sz val="11"/>
        <color theme="1"/>
        <rFont val="Arial"/>
      </rPr>
      <t xml:space="preserve"> жерге кірердей болды.
</t>
    </r>
    <r>
      <rPr>
        <b/>
        <sz val="11"/>
        <color theme="1"/>
        <rFont val="Arial"/>
      </rPr>
      <t xml:space="preserve">TRANS:</t>
    </r>
    <r>
      <rPr>
        <sz val="11"/>
        <color theme="1"/>
        <rFont val="Arial"/>
      </rPr>
      <t xml:space="preserve"> Özınıñ körgen, mañdaiyna būiyrğan är jaqsylyğyn qaşan da bıreudıñ arqasynda boldy dep oilaityn Melanidıñ myna quanyşty küiı Skarlettıñ betınen otyn şyğaryp, </t>
    </r>
    <r>
      <rPr>
        <b/>
        <sz val="11"/>
        <color theme="1"/>
        <rFont val="Arial"/>
      </rPr>
      <t xml:space="preserve">ūiattan</t>
    </r>
    <r>
      <rPr>
        <sz val="11"/>
        <color theme="1"/>
        <rFont val="Arial"/>
      </rPr>
      <t xml:space="preserve"> jerge kırerdei boldy.
</t>
    </r>
    <r>
      <rPr>
        <b/>
        <sz val="11"/>
        <color theme="1"/>
        <rFont val="Arial"/>
      </rPr>
      <t xml:space="preserve">TRANSLATION:</t>
    </r>
    <r>
      <rPr>
        <sz val="11"/>
        <color theme="1"/>
        <rFont val="Arial"/>
      </rPr>
      <t xml:space="preserve"> Melanie's joyous mood — always thinking that every good thing she had received in life had come because of someone else — made Scarlett's face burn and want to sink into the ground from </t>
    </r>
    <r>
      <rPr>
        <b/>
        <sz val="11"/>
        <color theme="1"/>
        <rFont val="Arial"/>
      </rPr>
      <t xml:space="preserve">shame</t>
    </r>
    <r>
      <rPr>
        <sz val="11"/>
        <color theme="1"/>
        <rFont val="Arial"/>
      </rPr>
      <t xml:space="preserve">.</t>
    </r>
  </si>
  <si>
    <t xml:space="preserve">P5</t>
  </si>
  <si>
    <t xml:space="preserve">Shame about past moral wrongs, strengthened by Melanie’s love; no physical manifestation; Melanie as moral mirror</t>
  </si>
  <si>
    <t xml:space="preserve">But at her first tumbled-out words: "Melly, I must explain about the other day—" Melanie had imperiously stopped her. Scarlett looking shamefaced into the dark eyes that were flashing with love and anger, knew with a sinking heart that the peace and calm following confession could never be hers. Melanie had forever cut off that line of action by her first words. With one of the few adult emotions Scarlett had ever had, she realized that to unburden her own tortured heart would be the purest selfishness. She would be ridding herself of her burden and laying it on the heart of an innocent and trusting person. She owed Melanie a debt for her championship and that debt could only be paid with silence. What cruel payment it would be to wreck Melanie's life with the unwelcome knowledge that her husband was unfaithful to her, and her beloved friend a party to it!</t>
  </si>
  <si>
    <t xml:space="preserve">TERM: stydom (стыдом) — shame (instrumental) [ORD] (lemma: стыд)
PASSAGE: И Скарлетт, со стыдом глядя в темные, сверкающие любовью и возмущением глаза, почувствовала, как у нее захолонуло сердце, ибо поняла, что никогда не узнает мира и покоя, следующих за признанием.
TRANS: I Skarlett, so stydom glyadya v temnye, sverkayushchie lyubov'yu i vozmushcheniem glaza, pochuvstvovala, kak u nee zakholonulo serdtse, ibo ponyala, chto nikogda ne uznaet mira i pokoya, sleduyushchikh za priznaniem.
TRANSLATION: And Scarlett, looking with shame into the dark eyes shining with love and indignation, felt her heart go cold, for she understood that she would never know the peace and quiet that follows confession.</t>
  </si>
  <si>
    <t xml:space="preserve">retrospective moral shame, sustained burden; no physical manifestation; Melanie as moral mirror</t>
  </si>
  <si>
    <t xml:space="preserve">Yes, it would be her cross, until she died, to keep this torment silent within her, to wear the hair shirt of shame, to feel it chafing her at every tender look and gesture Melanie would make throughout the years, to subdue forever the impulse to cry: "Don't be so kind! Don't fight for me! I'm not worth it!"</t>
  </si>
  <si>
    <t xml:space="preserve">TERM: styda (стыда) — shame (genitive) [ORD] (lemma: стыд)
PASSAGE: Да, этот крест она будет нести до самой смерти — будет молча терпеть свою муку, никому не скажет о том, как больно колет ее власяница стыда при каждом нежном взгляде и жесте Мелани, будет вечно подавлять в себе желание крикнуть: «Не будь такой доброй!
TRANS: Da, etot krest ona budet nesti do samoy smerti — budet molcha terpet' svoyu muku, nikomu ne skazhet o tom, kak bol'no kolet ee vlasyanitsa styda pri kazhdom nezhnom vzglyade i zheste Melani, budet vechno podavlyat' v sebe zhelanie kriknut': «Ne bud' takoy dobroy!
TRANSLATION: Yes, she would bear this cross until her very death — she would silently endure her torment, would tell no one how painfully the hair shirt of shame pricked her at every tender glance and gesture of Melanie's, would forever suppress the desire to cry: "Don't be so kind!"</t>
  </si>
  <si>
    <r>
      <rPr>
        <b/>
        <sz val="11"/>
        <color theme="1"/>
        <rFont val="Arial"/>
      </rPr>
      <t xml:space="preserve">TERM:</t>
    </r>
    <r>
      <rPr>
        <sz val="11"/>
        <color theme="1"/>
        <rFont val="Arial"/>
      </rPr>
      <t xml:space="preserve"> KÜNÄ (КҮНӘ) — sin (religious register; from Persian gunāh) [KED, SZK]
</t>
    </r>
    <r>
      <rPr>
        <b/>
        <sz val="11"/>
        <color theme="1"/>
        <rFont val="Arial"/>
      </rPr>
      <t xml:space="preserve">PASSAGE:</t>
    </r>
    <r>
      <rPr>
        <sz val="11"/>
        <color theme="1"/>
        <rFont val="Arial"/>
      </rPr>
      <t xml:space="preserve"> Иә, бұл </t>
    </r>
    <r>
      <rPr>
        <b/>
        <sz val="11"/>
        <color theme="1"/>
        <rFont val="Arial"/>
      </rPr>
      <t xml:space="preserve">күнәсін</t>
    </r>
    <r>
      <rPr>
        <sz val="11"/>
        <color theme="1"/>
        <rFont val="Arial"/>
      </rPr>
      <t xml:space="preserve"> мәңгі арқалайтынын өзі де біледі, үнсіз шыдайды, Меланидің мейірімі төгілген әрбір көзқарасын көрген сайын жүрегі шаншып, «Бұлай елжіремеші маған! Мен үшін ешкіммен күреспе де! Мен оған мүлдем лайық емеспін!» дегісі келеді.
</t>
    </r>
    <r>
      <rPr>
        <b/>
        <sz val="11"/>
        <color theme="1"/>
        <rFont val="Arial"/>
      </rPr>
      <t xml:space="preserve">TRANS:</t>
    </r>
    <r>
      <rPr>
        <sz val="11"/>
        <color theme="1"/>
        <rFont val="Arial"/>
      </rPr>
      <t xml:space="preserve"> İä, būl </t>
    </r>
    <r>
      <rPr>
        <b/>
        <sz val="11"/>
        <color theme="1"/>
        <rFont val="Arial"/>
      </rPr>
      <t xml:space="preserve">künäsın</t>
    </r>
    <r>
      <rPr>
        <sz val="11"/>
        <color theme="1"/>
        <rFont val="Arial"/>
      </rPr>
      <t xml:space="preserve"> mäñgı arqalaitynyn özı de bıledı, ünsız şydaidy, Melanidıñ meiırımı tögılgen ärbır közqarasyn körgen saiyn jüregı şanşyp, «Būlai eljıremeşı mağan! Men üşın eşkımmen kürespe de! Men oğan müldem laiyq emespın!» degısı keledı.
</t>
    </r>
    <r>
      <rPr>
        <b/>
        <sz val="11"/>
        <color theme="1"/>
        <rFont val="Arial"/>
      </rPr>
      <t xml:space="preserve">TRANSLATION:</t>
    </r>
    <r>
      <rPr>
        <sz val="11"/>
        <color theme="1"/>
        <rFont val="Arial"/>
      </rPr>
      <t xml:space="preserve"> Yes, she herself knows that she will carry this </t>
    </r>
    <r>
      <rPr>
        <b/>
        <sz val="11"/>
        <color theme="1"/>
        <rFont val="Arial"/>
      </rPr>
      <t xml:space="preserve">sin</t>
    </r>
    <r>
      <rPr>
        <sz val="11"/>
        <color theme="1"/>
        <rFont val="Arial"/>
      </rPr>
      <t xml:space="preserve"> forever; she will endure in silence; every time she sees Melanie's glance brimming with kindness her heart pierces her, and she wants to say: "Don't feel such tenderness for me! Don't fight with anyone for my sake! I am not at all worthy of it!"</t>
    </r>
  </si>
  <si>
    <t xml:space="preserve">retrospective moral shame, sustained burden; sobs; Melanie as moral mirror</t>
  </si>
  <si>
    <t xml:space="preserve">At the mention of Ashley's name, Scarlett's heart stood still, cold as granite within her. Melanie had known all the time. Scarlett dropped her head on the coverlet and a sob that would not rise caught her throat with a cruel hand. Melanie knew. Scarlett was beyond shame now, beyond any feeling save a wild remorse that she had hurt this gentle creature throughout the long years. Melanie had known—and yet, she had remained her loyal friend. Oh, if she could only live those years over again! She would never even let her eyes meet those of Ashley.</t>
  </si>
  <si>
    <t xml:space="preserve">TERM: stydno (стыдно) — it is shameful; (one) feels ashamed (impersonal predicate) [ORD]
PASSAGE: Сейчас Скарлетт уже не было стыдно, она ничего не чувствовала, кроме диких угрызений совести за то, что столько лет причиняла боль этой мягкой, ласковой женщине.
TRANS: Seychas Skarlett uzhe ne bylo stydno, ona nichego ne chuvstvovala, krome dikikh ugryzeniy sovesti za to, chto stol'ko let prichinyala bol' etoy myagkoy, laskovoy zhenshchine.
TRANSLATION: Now Scarlett was no longer ashamed; she felt nothing but wild pangs of conscience for having caused pain to this gentle, tender woman for so many years.</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</si>
  <si>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Дәл қазір Скарлетт ешкімнен, ештеңеден де ұялған жоқ, осынау мейірімді де жұмсақ, жайсаң әйелге өмір бойы қиянат жасап келгеніне ғана қиналды.
</t>
    </r>
    <r>
      <rPr>
        <b/>
        <sz val="11"/>
        <color theme="1"/>
        <rFont val="Arial"/>
      </rPr>
      <t xml:space="preserve">TRANS:</t>
    </r>
    <r>
      <rPr>
        <sz val="11"/>
        <color theme="1"/>
        <rFont val="Arial"/>
      </rPr>
      <t xml:space="preserve"> Däl qazır Skarlett eşkımnen, eşteñeden de ūialğan joq, osynau meiırımdı de jūmsaq, jaisañ äielge ömır boiy qianat jasap kelgenıne ğana qinaldy.
</t>
    </r>
    <r>
      <rPr>
        <b/>
        <sz val="11"/>
        <color theme="1"/>
        <rFont val="Arial"/>
      </rPr>
      <t xml:space="preserve">TRANSLATION:</t>
    </r>
    <r>
      <rPr>
        <sz val="11"/>
        <color theme="1"/>
        <rFont val="Arial"/>
      </rPr>
      <t xml:space="preserve"> Right now Scarlett was not </t>
    </r>
    <r>
      <rPr>
        <b/>
        <sz val="11"/>
        <color theme="1"/>
        <rFont val="Arial"/>
      </rPr>
      <t xml:space="preserve">ashamed</t>
    </r>
    <r>
      <rPr>
        <sz val="11"/>
        <color theme="1"/>
        <rFont val="Arial"/>
      </rPr>
      <t xml:space="preserve"> of anyone, of anything; she only suffered because she had wronged this kind, gentle, generous woman all her life.</t>
    </r>
  </si>
  <si>
    <t xml:space="preserve">retrospective moral shame about cruelty to Rhett, sustained burden; internal (heart contracts); no audience</t>
  </si>
  <si>
    <t xml:space="preserve">She had started up the steps in search of him when she saw that the door of the dining room was closed. Her heart contracted a little with shame at the sight of that closed door, remembering the many nights of this last summer when Rhett had sat there alone, drinking until he was sodden and Pork came to urge him to bed. That had been her fault but she'd change it all. Everything was to be different from now on—but, please God, don't let him be too drunk tonight. If he's too drunk he won't believe me and he'll laugh at me and that will break my heart.</t>
  </si>
  <si>
    <t xml:space="preserve">TERM: styda (стыда) — shame (genitive) [ORD] (lemma: стыд)
PASSAGE: Сердце у нее чуть сжалось от стыда при виде этой закрытой двери — она вспомнила многие вечера прошедшего лета, когда Ретт сидел там один и пил до одурения, а потом Порк являлся и укладывал его в постель.
TRANS: Serdtse u nee chut' szhalos' ot styda pri vide etoy zakrytoy dveri — ona vspomnila mnogie vechera proshedshego leta, kogda Rett sidel tam odin i pil do odureniya, a potom Pork yavlyalsya i ukladyval ego v postel'.
TRANSLATION: Her heart contracted with shame at the sight of this closed door — she remembered many evenings of the past summer when Rhett sat there alone drinking himself into oblivion, and then Pork would come and put him to bed.</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</si>
  <si>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Сол есікке көзі түскенде Реттің есінен танғанша ішетін кездері, ақырында Порктің оны сүйрелеп, төсегіне әзер жеткізетін сәттері көп болған өткен жаздың кештері есіне түсіп, </t>
    </r>
    <r>
      <rPr>
        <b/>
        <sz val="11"/>
        <color theme="1"/>
        <rFont val="Arial"/>
      </rPr>
      <t xml:space="preserve">ұялғаннан</t>
    </r>
    <r>
      <rPr>
        <sz val="11"/>
        <color theme="1"/>
        <rFont val="Arial"/>
      </rPr>
      <t xml:space="preserve"> жүрегі қысылып кетті.
</t>
    </r>
    <r>
      <rPr>
        <b/>
        <sz val="11"/>
        <color theme="1"/>
        <rFont val="Arial"/>
      </rPr>
      <t xml:space="preserve">TRANS:</t>
    </r>
    <r>
      <rPr>
        <sz val="11"/>
        <color theme="1"/>
        <rFont val="Arial"/>
      </rPr>
      <t xml:space="preserve"> Sol esıkke közı tüskende Rettıñ esınen tanğanşa ışetın kezderı, aqyrynda Porktıñ ony süirelep, tösegıne äzer jetkızetın sätterı köp bolğan ötken jazdyñ keşterı esıne tüsıp, </t>
    </r>
    <r>
      <rPr>
        <b/>
        <sz val="11"/>
        <color theme="1"/>
        <rFont val="Arial"/>
      </rPr>
      <t xml:space="preserve">ūialğannan</t>
    </r>
    <r>
      <rPr>
        <sz val="11"/>
        <color theme="1"/>
        <rFont val="Arial"/>
      </rPr>
      <t xml:space="preserve"> jüregı qysylyp kettı.
</t>
    </r>
    <r>
      <rPr>
        <b/>
        <sz val="11"/>
        <color theme="1"/>
        <rFont val="Arial"/>
      </rPr>
      <t xml:space="preserve">TRANSLATION:</t>
    </r>
    <r>
      <rPr>
        <sz val="11"/>
        <color theme="1"/>
        <rFont val="Arial"/>
      </rPr>
      <t xml:space="preserve"> When her gaze fell on that door she remembered the evenings of the past summer when Rhett used to drink until he lost his senses, and finally Pork would drag him and barely manage to put him in bed — and her heart was clenched from </t>
    </r>
    <r>
      <rPr>
        <b/>
        <sz val="11"/>
        <color theme="1"/>
        <rFont val="Arial"/>
      </rPr>
      <t xml:space="preserve">shame</t>
    </r>
    <r>
      <rPr>
        <sz val="11"/>
        <color theme="1"/>
        <rFont val="Arial"/>
      </rPr>
      <t xml:space="preserve">.</t>
    </r>
  </si>
  <si>
    <t xml:space="preserve">Preventative shame about breaking social-moral conventions – speaking of love to Rhett when Melanie just died; no physical manifestation; Rhett as specific witness</t>
  </si>
  <si>
    <t xml:space="preserve">She nodded and advanced hesitantly toward him, uncertainty taking form in her mind at this new expression on his face. Without rising, he pushed back a chair with his foot and she sank into it. She wished he had not spoken of Melanie so soon. She did not want to talk of her now, to re-live the agony of the last hour. There was all the rest of her life in which to speak of Melanie. But it seemed to her now, driven by a fierce desire to cry: "I love you," that there was only this night, this hour, in which to tell Rhett what was in her mind. But there was something in his face that stopped her and she was suddenly ashamed to speak of love when Melanie was hardly cold.</t>
  </si>
  <si>
    <t xml:space="preserve">TERM: stydno (стыдно) — it is shameful; (one) feels ashamed (impersonal predicate) [ORD]
PASSAGE: Но что-то в его лице удержало ее, и внезапно ей стало стыдно говорить о любви в такую минуту — ведь Мелани еще не успела остыть.
TRANS: No chto-to v ego litse uderzhalo ee, i vnezapno ey stalo stydno govorit' o lyubvi v takuyu minutu — ved' Melani eshche ne uspela ostyt'.
TRANSLATION: But something in his face restrained her, and suddenly she felt ashamed to speak of love at such a moment — Melanie had not yet had time to grow cold.</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</si>
  <si>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Бірақ оның жүзіндегі әлдене ниетін тежей берді, тіпті мынадай жағдайда сезім туралы айтудың өзі </t>
    </r>
    <r>
      <rPr>
        <b/>
        <sz val="11"/>
        <color theme="1"/>
        <rFont val="Arial"/>
      </rPr>
      <t xml:space="preserve">ұят</t>
    </r>
    <r>
      <rPr>
        <sz val="11"/>
        <color theme="1"/>
        <rFont val="Arial"/>
      </rPr>
      <t xml:space="preserve"> сияқтанды, Меланидің денесі де суып үлгермеді ғой.
</t>
    </r>
    <r>
      <rPr>
        <b/>
        <sz val="11"/>
        <color theme="1"/>
        <rFont val="Arial"/>
      </rPr>
      <t xml:space="preserve">TRANS:</t>
    </r>
    <r>
      <rPr>
        <sz val="11"/>
        <color theme="1"/>
        <rFont val="Arial"/>
      </rPr>
      <t xml:space="preserve"> Bıraq onyñ jüzındegı äldene nietın tejei berdı, tıptı mynadai jağdaida sezım turaly aitudyñ özı </t>
    </r>
    <r>
      <rPr>
        <b/>
        <sz val="11"/>
        <color theme="1"/>
        <rFont val="Arial"/>
      </rPr>
      <t xml:space="preserve">ūiat</t>
    </r>
    <r>
      <rPr>
        <sz val="11"/>
        <color theme="1"/>
        <rFont val="Arial"/>
      </rPr>
      <t xml:space="preserve"> siaqtandy, Melanidıñ denesı de suyp ülgermedı ğoi.
</t>
    </r>
    <r>
      <rPr>
        <b/>
        <sz val="11"/>
        <color theme="1"/>
        <rFont val="Arial"/>
      </rPr>
      <t xml:space="preserve">TRANSLATION:</t>
    </r>
    <r>
      <rPr>
        <sz val="11"/>
        <color theme="1"/>
        <rFont val="Arial"/>
      </rPr>
      <t xml:space="preserve"> But something on his face held back her intent; even speaking of feelings in such a situation felt like a </t>
    </r>
    <r>
      <rPr>
        <b/>
        <sz val="11"/>
        <color theme="1"/>
        <rFont val="Arial"/>
      </rPr>
      <t xml:space="preserve">shame</t>
    </r>
    <r>
      <rPr>
        <sz val="11"/>
        <color theme="1"/>
        <rFont val="Arial"/>
      </rPr>
      <t xml:space="preserve">, since Melanie's body had not even had time to cool.</t>
    </r>
  </si>
  <si>
    <t xml:space="preserve">Moral shame expected by Scarlett, not felt by Rhett</t>
  </si>
  <si>
    <t xml:space="preserve">"Well, I'm glad to learn you are ashamed of the way you treated me."</t>
  </si>
  <si>
    <t xml:space="preserve">Rhett</t>
  </si>
  <si>
    <t xml:space="preserve">TERM: stydno (стыдно) — it is shameful; (one) feels ashamed (impersonal predicate) [ORD]
PASSAGE: Что ж, я рада слышать, что вам стыдно вспоминать, как вы поступили со мной.
TRANS: Chto zh, ya rada slyshat', chto vam stydno vspominat', kak vy postupili so mnoy.
TRANSLATION: Well, I am glad to hear that you are ashamed of remembering how you treated me.</t>
  </si>
  <si>
    <r>
      <rPr>
        <b/>
        <sz val="11"/>
        <color theme="1"/>
        <rFont val="Arial"/>
      </rPr>
      <t xml:space="preserve">TERM:</t>
    </r>
    <r>
      <rPr>
        <sz val="11"/>
        <color theme="1"/>
        <rFont val="Arial"/>
      </rPr>
      <t xml:space="preserve"> ÖKINU (ӨКІНУ) — to regret; to repent [KED, SZK]
</t>
    </r>
    <r>
      <rPr>
        <b/>
        <sz val="11"/>
        <color theme="1"/>
        <rFont val="Arial"/>
      </rPr>
      <t xml:space="preserve">PASSAGE:</t>
    </r>
    <r>
      <rPr>
        <sz val="11"/>
        <color theme="1"/>
        <rFont val="Arial"/>
      </rPr>
      <t xml:space="preserve"> Жарайды, мені тастап кеткеніңіз үшін </t>
    </r>
    <r>
      <rPr>
        <b/>
        <sz val="11"/>
        <color theme="1"/>
        <rFont val="Arial"/>
      </rPr>
      <t xml:space="preserve">өкінгеніңізге</t>
    </r>
    <r>
      <rPr>
        <sz val="11"/>
        <color theme="1"/>
        <rFont val="Arial"/>
      </rPr>
      <t xml:space="preserve"> де қуанамын.
</t>
    </r>
    <r>
      <rPr>
        <b/>
        <sz val="11"/>
        <color theme="1"/>
        <rFont val="Arial"/>
      </rPr>
      <t xml:space="preserve">TRANS:</t>
    </r>
    <r>
      <rPr>
        <sz val="11"/>
        <color theme="1"/>
        <rFont val="Arial"/>
      </rPr>
      <t xml:space="preserve"> Jaraidy, menı tastap ketkenıñız üşın </t>
    </r>
    <r>
      <rPr>
        <b/>
        <sz val="11"/>
        <color theme="1"/>
        <rFont val="Arial"/>
      </rPr>
      <t xml:space="preserve">ökıngenıñızge</t>
    </r>
    <r>
      <rPr>
        <sz val="11"/>
        <color theme="1"/>
        <rFont val="Arial"/>
      </rPr>
      <t xml:space="preserve"> de quanamyn.
</t>
    </r>
    <r>
      <rPr>
        <b/>
        <sz val="11"/>
        <color theme="1"/>
        <rFont val="Arial"/>
      </rPr>
      <t xml:space="preserve">TRANSLATION:</t>
    </r>
    <r>
      <rPr>
        <sz val="11"/>
        <color theme="1"/>
        <rFont val="Arial"/>
      </rPr>
      <t xml:space="preserve"> Very well, I am also glad that you </t>
    </r>
    <r>
      <rPr>
        <b/>
        <sz val="11"/>
        <color theme="1"/>
        <rFont val="Arial"/>
      </rPr>
      <t xml:space="preserve">regret</t>
    </r>
    <r>
      <rPr>
        <sz val="11"/>
        <color theme="1"/>
        <rFont val="Arial"/>
      </rPr>
      <t xml:space="preserve"> leaving me behind.</t>
    </r>
  </si>
  <si>
    <t xml:space="preserve">Melanie as moral mirror; reproaches Scarlett for doubting Melanie’s good opinion of her</t>
  </si>
  <si>
    <t xml:space="preserve">"Darling, I don't want any explanation from you and I won't listen to one," said Melanie firmly as she gently laid a small hand across Scarlett's tortured lips and stilled her words. "You insult yourself and Ashley and me by even thinking there could be need of explanations between us. Why, we three have been—have been like soldiers fighting the world together for so many years that I'm ashamed of you for thinking idle gossip could come between us. Do you think I'd believe that you and my Ashley— Why, the idea! Don't you realize I know you better than anyone in the world knows you? Do you think I've forgotten all the wonderful, unselfish things you've done for Ashley and Beau and me—everything from saving my life to keeping us from starving."</t>
  </si>
  <si>
    <t xml:space="preserve">Melanie</t>
  </si>
  <si>
    <t xml:space="preserve">TERM: stydno (стыдно) — it is shameful; (one) feels ashamed (impersonal predicate) [ORD]
PASSAGE: Ведь мы трое… как солдаты сражались вместе на протяжении стольких лет, так что мне даже стыдно за тебя: ну, как ты могла подумать, что досужие сплетни могут возвести между нами стену.
TRANS: Ved' my troe… kak soldaty srazhalis' vmeste na protyazhenii stol'kikh let, tak chto mne dazhe stydno za tebya: nu, kak ty mogla podumat', chto dosuzhie spletni mogut vozvesti mezhdu nami stenu.
TRANSLATION: For we three... like soldiers fought together for so many years, that I am even ashamed for you: how could you have thought that idle gossip could erect a wall between us.</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</si>
  <si>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Біз үшеуміз… қаншама жылдар бойы қатар түзеп, өмірдегі тосқауылдармен сарбаздарша күресіп, беріспей келеміз, сондықтан сенің бұл әрекетің үшін </t>
    </r>
    <r>
      <rPr>
        <b/>
        <sz val="11"/>
        <color theme="1"/>
        <rFont val="Arial"/>
      </rPr>
      <t xml:space="preserve">ұяламын</t>
    </r>
    <r>
      <rPr>
        <sz val="11"/>
        <color theme="1"/>
        <rFont val="Arial"/>
      </rPr>
      <t xml:space="preserve">, қайдағы біреулердің қаңқу өсектеріне бола ортамызда алауыздық болады деп, қалай ойлайсың, сірә?
</t>
    </r>
    <r>
      <rPr>
        <b/>
        <sz val="11"/>
        <color theme="1"/>
        <rFont val="Arial"/>
      </rPr>
      <t xml:space="preserve">TRANS:</t>
    </r>
    <r>
      <rPr>
        <sz val="11"/>
        <color theme="1"/>
        <rFont val="Arial"/>
      </rPr>
      <t xml:space="preserve"> Bız üşeumız… qanşama jyldar boiy qatar tüzep, ömırdegı tosqauyldarmen sarbazdarşa küresıp, berıspei kelemız, sondyqtan senıñ būl äreketıñ üşın </t>
    </r>
    <r>
      <rPr>
        <b/>
        <sz val="11"/>
        <color theme="1"/>
        <rFont val="Arial"/>
      </rPr>
      <t xml:space="preserve">ūialamyn</t>
    </r>
    <r>
      <rPr>
        <sz val="11"/>
        <color theme="1"/>
        <rFont val="Arial"/>
      </rPr>
      <t xml:space="preserve">, qaidağy bıreulerdıñ qañqu ösekterıne bola ortamyzda alauyzdyq bolady dep, qalai oilaisyñ, sırä?
</t>
    </r>
    <r>
      <rPr>
        <b/>
        <sz val="11"/>
        <color theme="1"/>
        <rFont val="Arial"/>
      </rPr>
      <t xml:space="preserve">TRANSLATION:</t>
    </r>
    <r>
      <rPr>
        <sz val="11"/>
        <color theme="1"/>
        <rFont val="Arial"/>
      </rPr>
      <t xml:space="preserve"> We three... for so many years standing in line, fighting like soldiers against life's obstacles without yielding — and so I am </t>
    </r>
    <r>
      <rPr>
        <b/>
        <sz val="11"/>
        <color theme="1"/>
        <rFont val="Arial"/>
      </rPr>
      <t xml:space="preserve">ashamed</t>
    </r>
    <r>
      <rPr>
        <sz val="11"/>
        <color theme="1"/>
        <rFont val="Arial"/>
      </rPr>
      <t xml:space="preserve"> for you for this action of yours: how could you have thought that the cackling rumors of some people would create division among us?</t>
    </r>
  </si>
  <si>
    <t xml:space="preserve">P2</t>
  </si>
  <si>
    <t xml:space="preserve">Moral inner shame about infidelity; facial expression manifestation; Scarlett witness</t>
  </si>
  <si>
    <t xml:space="preserve">He bent suddenly to retrieve his hat and she had one glimpse of his face. It was the unhappiest face she was ever to see, a face from which all aloofness had fled. Written on it were his love for and joy that she loved him, but battling them both were shame and despair.</t>
  </si>
  <si>
    <t xml:space="preserve">Ashley</t>
  </si>
  <si>
    <t xml:space="preserve">TERM: styd (стыд) — shame; the feeling of having transgressed a moral or social norm [ORD]
PASSAGE: Она поняла, что он любит ее и ее любовь дает ему радость и повергает его в безмерное отчаяние и стыд.
TRANS: Ona ponyala, chto on lyubit ee i ee lyubov' daet emu radost' i povergaet ego v bezmernoe otchayanie i styd.
TRANSLATION: She understood that he loves her, and that her love brings him joy and casts him into boundless despair and shame.</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</si>
  <si>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Ол оның өзін жақсы көретінін түсінді... мұның махаббаты оған қуаныш сыйлайтынын және оны үлкен үмітсіздік пен </t>
    </r>
    <r>
      <rPr>
        <b/>
        <sz val="11"/>
        <color theme="1"/>
        <rFont val="Arial"/>
      </rPr>
      <t xml:space="preserve">ұятқа</t>
    </r>
    <r>
      <rPr>
        <sz val="11"/>
        <color theme="1"/>
        <rFont val="Arial"/>
      </rPr>
      <t xml:space="preserve"> душар ететінін де түсінді.
</t>
    </r>
    <r>
      <rPr>
        <b/>
        <sz val="11"/>
        <color theme="1"/>
        <rFont val="Arial"/>
      </rPr>
      <t xml:space="preserve">TRANS:</t>
    </r>
    <r>
      <rPr>
        <sz val="11"/>
        <color theme="1"/>
        <rFont val="Arial"/>
      </rPr>
      <t xml:space="preserve"> Ol onyñ özın jaqsy köretının tüsındı... mūnyñ mahabbaty oğan quanyş syilaitynyn jäne ony ülken ümıtsızdık pen </t>
    </r>
    <r>
      <rPr>
        <b/>
        <sz val="11"/>
        <color theme="1"/>
        <rFont val="Arial"/>
      </rPr>
      <t xml:space="preserve">ūiatqa</t>
    </r>
    <r>
      <rPr>
        <sz val="11"/>
        <color theme="1"/>
        <rFont val="Arial"/>
      </rPr>
      <t xml:space="preserve"> duşar etetının de tüsındı.
</t>
    </r>
    <r>
      <rPr>
        <b/>
        <sz val="11"/>
        <color theme="1"/>
        <rFont val="Arial"/>
      </rPr>
      <t xml:space="preserve">TRANSLATION:</t>
    </r>
    <r>
      <rPr>
        <sz val="11"/>
        <color theme="1"/>
        <rFont val="Arial"/>
      </rPr>
      <t xml:space="preserve"> She understood that he loves her... she understood that her love gives him joy and brings him to great hopelessness and </t>
    </r>
    <r>
      <rPr>
        <b/>
        <sz val="11"/>
        <color theme="1"/>
        <rFont val="Arial"/>
      </rPr>
      <t xml:space="preserve">shame</t>
    </r>
    <r>
      <rPr>
        <sz val="11"/>
        <color theme="1"/>
        <rFont val="Arial"/>
      </rPr>
      <t xml:space="preserve">.</t>
    </r>
  </si>
  <si>
    <t xml:space="preserve">Ashley disclaims Scarlett’s social shame, claims his moral shame</t>
  </si>
  <si>
    <t xml:space="preserve">spoken</t>
  </si>
  <si>
    <t xml:space="preserve">TERM: stydno (стыдно) — it is shameful; (one) feels ashamed (impersonal predicate) [ORD]
PASSAGE: Вам было стыдно? Stydit’sja (стыдиться) = to be ashamed
TRANS: Vam bylo stydno? Stydit’sja (stydit'sya) = to be ashamed
TRANSLATION: You were ashamed?</t>
  </si>
  <si>
    <t xml:space="preserve">Moral shame observed by Scarlett</t>
  </si>
  <si>
    <t xml:space="preserve">Ashley was doing little better with convicts than he had done with free labor, although why, he was unable to tell. Moreover, he looked as if he were ashamed to be working convicts and he had little to say to her these days.</t>
  </si>
  <si>
    <t xml:space="preserve">TERM: stydilsya (стыдился) — felt ashamed (3sg masc. past, impf.) [ORD] (lemma: стыдиться)
PASSAGE: К тому же он, казалось, стыдился того, что у него работают каторжники, и почти не общался со Скарлетт.
TRANS: K tomu zhe on, kazalos', stydilsya togo, chto u nego rabotayut katorzhniki, i pochti ne obshchalsya so Skarlett.
TRANSLATION: Moreover, he seemed to be ashamed that convicts were working for him, and he hardly communicated with Scarlett at all.</t>
  </si>
  <si>
    <r>
      <rPr>
        <b/>
        <sz val="11"/>
        <color theme="1"/>
        <rFont val="Arial"/>
      </rPr>
      <t xml:space="preserve">TERM:</t>
    </r>
    <r>
      <rPr>
        <sz val="11"/>
        <color theme="1"/>
        <rFont val="Arial"/>
      </rPr>
      <t xml:space="preserve"> QYSYLU (ҚЫСЫЛУ) — to feel embarrassed; to feel constrained; to be in difficulty [KED, SZK]
</t>
    </r>
    <r>
      <rPr>
        <b/>
        <sz val="11"/>
        <color theme="1"/>
        <rFont val="Arial"/>
      </rPr>
      <t xml:space="preserve">PASSAGE:</t>
    </r>
    <r>
      <rPr>
        <sz val="11"/>
        <color theme="1"/>
        <rFont val="Arial"/>
      </rPr>
      <t xml:space="preserve"> Сотталғандармен жұмыс істеп жүргеніне </t>
    </r>
    <r>
      <rPr>
        <b/>
        <sz val="11"/>
        <color theme="1"/>
        <rFont val="Arial"/>
      </rPr>
      <t xml:space="preserve">қысылатын</t>
    </r>
    <r>
      <rPr>
        <sz val="11"/>
        <color theme="1"/>
        <rFont val="Arial"/>
      </rPr>
      <t xml:space="preserve"> да сияқты ма, Скарлеттпен де көп кездеспей жүр.
</t>
    </r>
    <r>
      <rPr>
        <b/>
        <sz val="11"/>
        <color theme="1"/>
        <rFont val="Arial"/>
      </rPr>
      <t xml:space="preserve">TRANS:</t>
    </r>
    <r>
      <rPr>
        <sz val="11"/>
        <color theme="1"/>
        <rFont val="Arial"/>
      </rPr>
      <t xml:space="preserve"> Sottalğandarmen jūmys ıstep jürgenıne </t>
    </r>
    <r>
      <rPr>
        <b/>
        <sz val="11"/>
        <color theme="1"/>
        <rFont val="Arial"/>
      </rPr>
      <t xml:space="preserve">qysylatyn</t>
    </r>
    <r>
      <rPr>
        <sz val="11"/>
        <color theme="1"/>
        <rFont val="Arial"/>
      </rPr>
      <t xml:space="preserve"> da siaqty ma, Skarlettpen de köp kezdespei jür.
</t>
    </r>
    <r>
      <rPr>
        <b/>
        <sz val="11"/>
        <color theme="1"/>
        <rFont val="Arial"/>
      </rPr>
      <t xml:space="preserve">TRANSLATION:</t>
    </r>
    <r>
      <rPr>
        <sz val="11"/>
        <color theme="1"/>
        <rFont val="Arial"/>
      </rPr>
      <t xml:space="preserve"> It seems he is also </t>
    </r>
    <r>
      <rPr>
        <b/>
        <sz val="11"/>
        <color theme="1"/>
        <rFont val="Arial"/>
      </rPr>
      <t xml:space="preserve">embarrassed</t>
    </r>
    <r>
      <rPr>
        <sz val="11"/>
        <color theme="1"/>
        <rFont val="Arial"/>
      </rPr>
      <t xml:space="preserve"> at working with convicts; he no longer often meets with Scarlett either.</t>
    </r>
  </si>
  <si>
    <t xml:space="preserve">And, for the first time, some of the bright glow which had enveloped him since the first day she fell in love with him began to fade imperceptibly. The tarnish of shame and guilt that enveloped her spread to him as well. Resolutely she tried to fight off this thought but it only made her cry harder.</t>
  </si>
  <si>
    <t xml:space="preserve">Scarlett-Ashley</t>
  </si>
  <si>
    <t xml:space="preserve">TERM: pozor (позор) — disgrace; shame; ignominy [ORD]
PASSAGE: Черное пятно позора и вины, лежавшее на ней, переползло и на него.
TRANS: Černoe pjatno pozora i viny, ležavšee na nej, perepolzlo i na nego.
TRANSLATION: The black stain of disgrace and guilt that lay upon her spread to him as well.</t>
  </si>
  <si>
    <r>
      <rPr>
        <b/>
        <sz val="11"/>
        <color theme="1"/>
        <rFont val="Arial"/>
      </rPr>
      <t xml:space="preserve">TERM:</t>
    </r>
    <r>
      <rPr>
        <sz val="11"/>
        <color theme="1"/>
        <rFont val="Arial"/>
      </rPr>
      <t xml:space="preserve"> kınä men künä (кінә мен күнә) — guilt and sin (set phrase combining secular and religious registers) [KED, SZK] (lemma: кінә)
</t>
    </r>
    <r>
      <rPr>
        <b/>
        <sz val="11"/>
        <color theme="1"/>
        <rFont val="Arial"/>
      </rPr>
      <t xml:space="preserve">PASSAGE:</t>
    </r>
    <r>
      <rPr>
        <sz val="11"/>
        <color theme="1"/>
        <rFont val="Arial"/>
      </rPr>
      <t xml:space="preserve"> Осы уақытқа дейін өз арқасына басқан </t>
    </r>
    <r>
      <rPr>
        <b/>
        <sz val="11"/>
        <color theme="1"/>
        <rFont val="Arial"/>
      </rPr>
      <t xml:space="preserve">кінә мен күнәнің</t>
    </r>
    <r>
      <rPr>
        <sz val="11"/>
        <color theme="1"/>
        <rFont val="Arial"/>
      </rPr>
      <t xml:space="preserve"> қап-қара нүктесі жылыстап, Эшлиге қарай ауып бара жатты.
</t>
    </r>
    <r>
      <rPr>
        <b/>
        <sz val="11"/>
        <color theme="1"/>
        <rFont val="Arial"/>
      </rPr>
      <t xml:space="preserve">TRANS:</t>
    </r>
    <r>
      <rPr>
        <sz val="11"/>
        <color theme="1"/>
        <rFont val="Arial"/>
      </rPr>
      <t xml:space="preserve"> Osy uaqytqa deiın öz arqasyna basqan </t>
    </r>
    <r>
      <rPr>
        <b/>
        <sz val="11"/>
        <color theme="1"/>
        <rFont val="Arial"/>
      </rPr>
      <t xml:space="preserve">kınä men künänıñ </t>
    </r>
    <r>
      <rPr>
        <sz val="11"/>
        <color theme="1"/>
        <rFont val="Arial"/>
      </rPr>
      <t xml:space="preserve">qap-qara nüktesı jylystap, Eşlige qarai auyp bara jatty.
</t>
    </r>
    <r>
      <rPr>
        <b/>
        <sz val="11"/>
        <color theme="1"/>
        <rFont val="Arial"/>
      </rPr>
      <t xml:space="preserve">TRANSLATION:</t>
    </r>
    <r>
      <rPr>
        <sz val="11"/>
        <color theme="1"/>
        <rFont val="Arial"/>
      </rPr>
      <t xml:space="preserve"> Up till now, the pitch-black mark of </t>
    </r>
    <r>
      <rPr>
        <b/>
        <sz val="11"/>
        <color theme="1"/>
        <rFont val="Arial"/>
      </rPr>
      <t xml:space="preserve">guilt</t>
    </r>
    <r>
      <rPr>
        <sz val="11"/>
        <color theme="1"/>
        <rFont val="Arial"/>
      </rPr>
      <t xml:space="preserve"> and </t>
    </r>
    <r>
      <rPr>
        <b/>
        <sz val="11"/>
        <color theme="1"/>
        <rFont val="Arial"/>
      </rPr>
      <t xml:space="preserve">sin</t>
    </r>
    <r>
      <rPr>
        <sz val="11"/>
        <color theme="1"/>
        <rFont val="Arial"/>
      </rPr>
      <t xml:space="preserve"> she had borne on her own back was sliding off and shifting toward Ashley.</t>
    </r>
  </si>
  <si>
    <t xml:space="preserve">Shame about being caught in a lie about knowing midwifery</t>
  </si>
  <si>
    <t xml:space="preserve">"Fo' Gawd, Miss Scarlett—" Fright and shame were in her rolling eyes.</t>
  </si>
  <si>
    <t xml:space="preserve">Prissy</t>
  </si>
  <si>
    <t xml:space="preserve">TERM: styd (стыд) — shame; the feeling of having transgressed a moral or social norm [ORD]
PASSAGE: Растерянность и стыд были в ее вытаращенных от страха глазах.
TRANS: Rasteryannost' i styd byli v ee vytarashchennykh ot strakha glazakh.
TRANSLATION: Bewilderment and shame were in her eyes bulging with terror.</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</si>
  <si>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Оның жүзінен абыржу мен </t>
    </r>
    <r>
      <rPr>
        <b/>
        <sz val="11"/>
        <color theme="1"/>
        <rFont val="Arial"/>
      </rPr>
      <t xml:space="preserve">ұялғандықты</t>
    </r>
    <r>
      <rPr>
        <sz val="11"/>
        <color theme="1"/>
        <rFont val="Arial"/>
      </rPr>
      <t xml:space="preserve"> анық бауқауға болатын еді.
</t>
    </r>
    <r>
      <rPr>
        <b/>
        <sz val="11"/>
        <color theme="1"/>
        <rFont val="Arial"/>
      </rPr>
      <t xml:space="preserve">TRANS:</t>
    </r>
    <r>
      <rPr>
        <sz val="11"/>
        <color theme="1"/>
        <rFont val="Arial"/>
      </rPr>
      <t xml:space="preserve"> Onyñ jüzınen abyrju men </t>
    </r>
    <r>
      <rPr>
        <b/>
        <sz val="11"/>
        <color theme="1"/>
        <rFont val="Arial"/>
      </rPr>
      <t xml:space="preserve">ūialğandyqty</t>
    </r>
    <r>
      <rPr>
        <sz val="11"/>
        <color theme="1"/>
        <rFont val="Arial"/>
      </rPr>
      <t xml:space="preserve"> anyq bauqauğa bolatyn edı.
</t>
    </r>
    <r>
      <rPr>
        <b/>
        <sz val="11"/>
        <color theme="1"/>
        <rFont val="Arial"/>
      </rPr>
      <t xml:space="preserve">TRANSLATION:</t>
    </r>
    <r>
      <rPr>
        <sz val="11"/>
        <color theme="1"/>
        <rFont val="Arial"/>
      </rPr>
      <t xml:space="preserve"> Bewilderment and </t>
    </r>
    <r>
      <rPr>
        <b/>
        <sz val="11"/>
        <color theme="1"/>
        <rFont val="Arial"/>
      </rPr>
      <t xml:space="preserve">shame</t>
    </r>
    <r>
      <rPr>
        <sz val="11"/>
        <color theme="1"/>
        <rFont val="Arial"/>
      </rPr>
      <t xml:space="preserve"> could be clearly seen on her face.</t>
    </r>
  </si>
  <si>
    <t xml:space="preserve">Potential moral shame about spending money when he could steal</t>
  </si>
  <si>
    <t xml:space="preserve">She had a shrewd suspicion that the reason he had so much money left over was that he had not bought the fowls or most of the food. Pork would have taken shame to himself had he spent her money when there were unguarded hen coops along the road and smokehouses handy.</t>
  </si>
  <si>
    <t xml:space="preserve">Pork</t>
  </si>
  <si>
    <t xml:space="preserve">TERM: posramil by samogo sebya (посрамил бы самого себя) — would have brought shame on himself [ORD] (lemma: посрамить)
PASSAGE: Порк посрамил бы самого себя, если бы потратил ее деньги
TRANS: Pork posramil by samogo sebya, esli by potratil ee den'gi
TRANSLATION: Pork would have shamed himself if he had spent her money</t>
  </si>
  <si>
    <t xml:space="preserve">Shame — Absent moral shame</t>
  </si>
  <si>
    <t xml:space="preserve">moral conventions  breached — manipulation, lies; shame ABSENT</t>
  </si>
  <si>
    <t xml:space="preserve">Scarlett turned and tiptoed through the silent hall into the dining room to get the brandy bottle that she and Melly privately called the "swoon bottle" because Pittypat always took a sip from it when her fluttering heart made her faint—or seem to faint. Triumph was written on her face and no trace of shame for her unfilial treatment of Gerald. Now Ellen would be soothed with lies if any other busybody wrote her. Now she could stay in Atlanta. Now she could do almost as she pleased, Pittypat being the weak vessel that she was. She unlocked the cellaret and stood for a moment with the bottle and glass pressed to her bosom.</t>
  </si>
  <si>
    <t xml:space="preserve">TERM: nikakikh ugryzeniy sovesti (никаких угрызений совести) — no pangs of conscience whatsoever [ORD] (lemma: угрызение)
PASSAGE: Лицо Скарлетт выражало торжество — никаких угрызений совести она не испытывала, хотя и поступила с Джералдом отнюдь не как любящая, преданная дочь.
TRANS: Litso Skarlett vyrazhalo torzhestvo — nikakikh ugryzeniy sovesti ona ne ispytyvala, khotya i postupila s Dzheraldom otnyud' ne kak lyubyashchaya, predannaya doch'.
TRANSLATION: Scarlett's face wore a triumphant expression — she felt no pangs of conscience whatsoever, although she had not behaved like a loving, devoted daughter toward Gerald.</t>
  </si>
  <si>
    <r>
      <rPr>
        <b/>
        <sz val="11"/>
        <color theme="1"/>
        <rFont val="Arial"/>
      </rPr>
      <t xml:space="preserve">TERM:</t>
    </r>
    <r>
      <rPr>
        <sz val="11"/>
        <color theme="1"/>
        <rFont val="Arial"/>
      </rPr>
      <t xml:space="preserve"> QYMSYNU (ҚЫМСЫНУ) — to feel awkward; to feel embarrassed [KED, SZK]
</t>
    </r>
    <r>
      <rPr>
        <b/>
        <sz val="11"/>
        <color theme="1"/>
        <rFont val="Arial"/>
      </rPr>
      <t xml:space="preserve">PASSAGE:</t>
    </r>
    <r>
      <rPr>
        <sz val="11"/>
        <color theme="1"/>
        <rFont val="Arial"/>
      </rPr>
      <t xml:space="preserve"> Скарлеттің бет-әлпетінде жеңіске жеткен түр байқалады, ол Джералдқа әкесін жақсы көретін адал қызы емес, бөтен біреудей қулық жасағанына еш </t>
    </r>
    <r>
      <rPr>
        <b/>
        <sz val="11"/>
        <color theme="1"/>
        <rFont val="Arial"/>
      </rPr>
      <t xml:space="preserve">қымсынған</t>
    </r>
    <r>
      <rPr>
        <sz val="11"/>
        <color theme="1"/>
        <rFont val="Arial"/>
      </rPr>
      <t xml:space="preserve"> жоқ.
</t>
    </r>
    <r>
      <rPr>
        <b/>
        <sz val="11"/>
        <color theme="1"/>
        <rFont val="Arial"/>
      </rPr>
      <t xml:space="preserve">TRANS:</t>
    </r>
    <r>
      <rPr>
        <sz val="11"/>
        <color theme="1"/>
        <rFont val="Arial"/>
      </rPr>
      <t xml:space="preserve"> Skarlettıñ bet-älpetınde jeñıske jetken tür baiqalady, ol Jeraldqa äkesın jaqsy köretın adal qyzy emes, böten bıreudei qulyq jasağanyna eş </t>
    </r>
    <r>
      <rPr>
        <b/>
        <sz val="11"/>
        <color theme="1"/>
        <rFont val="Arial"/>
      </rPr>
      <t xml:space="preserve">qymsynğan</t>
    </r>
    <r>
      <rPr>
        <sz val="11"/>
        <color theme="1"/>
        <rFont val="Arial"/>
      </rPr>
      <t xml:space="preserve"> joq.
</t>
    </r>
    <r>
      <rPr>
        <b/>
        <sz val="11"/>
        <color theme="1"/>
        <rFont val="Arial"/>
      </rPr>
      <t xml:space="preserve">TRANSLATION:</t>
    </r>
    <r>
      <rPr>
        <sz val="11"/>
        <color theme="1"/>
        <rFont val="Arial"/>
      </rPr>
      <t xml:space="preserve"> Scarlett's face showed a victorious expression; she felt no </t>
    </r>
    <r>
      <rPr>
        <b/>
        <sz val="11"/>
        <color theme="1"/>
        <rFont val="Arial"/>
      </rPr>
      <t xml:space="preserve">embarrassment</t>
    </r>
    <r>
      <rPr>
        <sz val="11"/>
        <color theme="1"/>
        <rFont val="Arial"/>
      </rPr>
      <t xml:space="preserve"> at all that she had played a trick on Gerald like a stranger rather than as a loving, faithful daughter.</t>
    </r>
  </si>
  <si>
    <t xml:space="preserve">moral and social conventions breached — shame ABSENT; Ashley as witness</t>
  </si>
  <si>
    <t xml:space="preserve">She was still clutching the ball of red clay when she went up the front steps. She had carefully avoided the back entrance, for Mammy's sharp eyes would certainly have seen that something was greatly amiss. Scarlett did not want to see Mammy or anyone else. She did not feel that she could endure seeing anyone or talking to anyone again. She had no feeling of shame or disappointment or bitterness now, only a weakness of the knees and a great emptiness of heart. She squeezed the clay so tightly it ran out from her clenched fist and she said over and over, parrot-like: "I've still got this. Yes, I've still got this."</t>
  </si>
  <si>
    <t xml:space="preserve">TERM: styd (стыд) — shame; the feeling of having transgressed a moral or social norm [ORD]
PASSAGE: Ее уже не мучил стыд, разочарование или горечь — лишь была какая-то слабость в коленях да огромная пустота в душе.
TRANS: Ee uzhe ne muchil styd, razocharovanie ili gorech' — lish' byla kakaya-to slabost' v kolenyakh da ogromnaya pustota v dushe.
TRANSLATION: She was no longer tormented by shame, disappointment, or bitterness — only a kind of weakness in her knees and a vast emptiness in her soul.</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</si>
  <si>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Қалған көңіл де, қысқан </t>
    </r>
    <r>
      <rPr>
        <b/>
        <sz val="11"/>
        <color theme="1"/>
        <rFont val="Arial"/>
      </rPr>
      <t xml:space="preserve">ұят</t>
    </r>
    <r>
      <rPr>
        <sz val="11"/>
        <color theme="1"/>
        <rFont val="Arial"/>
      </rPr>
      <t xml:space="preserve"> та бір шетке ысырылып, жан дүниесі босап, буын-буынынан әл кетіпті.
</t>
    </r>
    <r>
      <rPr>
        <b/>
        <sz val="11"/>
        <color theme="1"/>
        <rFont val="Arial"/>
      </rPr>
      <t xml:space="preserve">TRANS:</t>
    </r>
    <r>
      <rPr>
        <sz val="11"/>
        <color theme="1"/>
        <rFont val="Arial"/>
      </rPr>
      <t xml:space="preserve"> Qalğan köñıl de, qysqan </t>
    </r>
    <r>
      <rPr>
        <b/>
        <sz val="11"/>
        <color theme="1"/>
        <rFont val="Arial"/>
      </rPr>
      <t xml:space="preserve">ūiat</t>
    </r>
    <r>
      <rPr>
        <sz val="11"/>
        <color theme="1"/>
        <rFont val="Arial"/>
      </rPr>
      <t xml:space="preserve"> ta bır şetke ysyrylyp, jan düniesı bosap, buyn-buynynan äl ketıptı.
</t>
    </r>
    <r>
      <rPr>
        <b/>
        <sz val="11"/>
        <color theme="1"/>
        <rFont val="Arial"/>
      </rPr>
      <t xml:space="preserve">TRANSLATION:</t>
    </r>
    <r>
      <rPr>
        <sz val="11"/>
        <color theme="1"/>
        <rFont val="Arial"/>
      </rPr>
      <t xml:space="preserve"> Both her remaining feelings and her gripping </t>
    </r>
    <r>
      <rPr>
        <b/>
        <sz val="11"/>
        <color theme="1"/>
        <rFont val="Arial"/>
      </rPr>
      <t xml:space="preserve">shame</t>
    </r>
    <r>
      <rPr>
        <sz val="11"/>
        <color theme="1"/>
        <rFont val="Arial"/>
      </rPr>
      <t xml:space="preserve"> had been pushed aside; her inner being was emptied, and the strength had left her every joint.</t>
    </r>
  </si>
  <si>
    <t xml:space="preserve">Immoral behavior impossible with Rhett as specific witness</t>
  </si>
  <si>
    <t xml:space="preserve">Already she was regretting the hasty words. Had they been spoken to anyone save Rhett she would have shamelessly retracted them. Why had she burst out like that? She looked at Rhett with an angry frown and saw that he was watching her with his old keen, cat-at-a- mouse-hole look. When he saw her frown, he laughed suddenly, his white teeth flashing. Scarlett had an uncertain feeling that he had jockeyed her into this position.</t>
  </si>
  <si>
    <t xml:space="preserve">TERM: stesneniya (стеснения) — awkwardness; constraint (gen.) [ORD] (lemma: стеснение)
PASSAGE: Скажи она их кому угодно, кроме Ретта, она бы без всякого стеснения взяла их назад.
TRANS: Skazhi ona ikh komu ugodno, krome Retta, ona by bez vsyakogo stesneniya vzyala ikh nazad.
TRANSLATION: Had she said it to anyone but Rhett, she would have taken it back without any embarrassment.</t>
  </si>
  <si>
    <t xml:space="preserve">Shame — Absent social shame (about the body)</t>
  </si>
  <si>
    <t xml:space="preserve">body confidence: NO shame about body as social object</t>
  </si>
  <si>
    <t xml:space="preserve">Of course, her brooch could be pinned over the spot, but perhaps Melanie had sharp eyes. There remained varicolored cotton dresses which Scarlett felt were not festive enough for the occasion, ball dresses and the green sprigged muslin she had worn yesterday. But it was an afternoon dress. It was not suitable for a barbecue, for it had only tiny puffed sleeves and the neck was low enough for a dancing dress. But there was nothing else to do but wear it. After all she was not ashamed of her neck and arms and bosom, even if it was not correct to show them in the morning.</t>
  </si>
  <si>
    <t xml:space="preserve">TERM: stydit'sya (стыдиться) — to feel ashamed (imperfective); pf. постыдиться/устыдиться [ORD]
PASSAGE: ей не приходится стыдиться
TRANS: ey ne prikhoditsya stydit'sya
TRANSLATION: she did not have to feel ashamed</t>
  </si>
  <si>
    <r>
      <rPr>
        <b/>
        <sz val="11"/>
        <color theme="1"/>
        <rFont val="Arial"/>
      </rPr>
      <t xml:space="preserve">TERM:</t>
    </r>
    <r>
      <rPr>
        <sz val="11"/>
        <color theme="1"/>
        <rFont val="Arial"/>
      </rPr>
      <t xml:space="preserve"> QYSYLU (ҚЫСЫЛУ) — to feel embarrassed; to feel constrained; to be in difficulty [KED, SZK]
</t>
    </r>
    <r>
      <rPr>
        <b/>
        <sz val="11"/>
        <color theme="1"/>
        <rFont val="Arial"/>
      </rPr>
      <t xml:space="preserve">PASSAGE:</t>
    </r>
    <r>
      <rPr>
        <sz val="11"/>
        <color theme="1"/>
        <rFont val="Arial"/>
      </rPr>
      <t xml:space="preserve"> Түптеп келгенде тіпті таңертеңнен мойнын, иығын, қолын жаңалаштау аса орынды болмаса да, сол үшін </t>
    </r>
    <r>
      <rPr>
        <b/>
        <sz val="11"/>
        <color theme="1"/>
        <rFont val="Arial"/>
      </rPr>
      <t xml:space="preserve">қысылуына</t>
    </r>
    <r>
      <rPr>
        <sz val="11"/>
        <color theme="1"/>
        <rFont val="Arial"/>
      </rPr>
      <t xml:space="preserve"> тура келмейді.
</t>
    </r>
    <r>
      <rPr>
        <b/>
        <sz val="11"/>
        <color theme="1"/>
        <rFont val="Arial"/>
      </rPr>
      <t xml:space="preserve">TRANS:</t>
    </r>
    <r>
      <rPr>
        <sz val="11"/>
        <color theme="1"/>
        <rFont val="Arial"/>
      </rPr>
      <t xml:space="preserve"> Tüptep kelgende tıptı tañerteñnen moinyn, iyğyn, qolyn jañalaştau asa oryndy bolmasa da, sol üşın </t>
    </r>
    <r>
      <rPr>
        <b/>
        <sz val="11"/>
        <color theme="1"/>
        <rFont val="Arial"/>
      </rPr>
      <t xml:space="preserve">qysyluyna</t>
    </r>
    <r>
      <rPr>
        <sz val="11"/>
        <color theme="1"/>
        <rFont val="Arial"/>
      </rPr>
      <t xml:space="preserve"> tura kelmeidı.
</t>
    </r>
    <r>
      <rPr>
        <b/>
        <sz val="11"/>
        <color theme="1"/>
        <rFont val="Arial"/>
      </rPr>
      <t xml:space="preserve">TRANSLATION:</t>
    </r>
    <r>
      <rPr>
        <sz val="11"/>
        <color theme="1"/>
        <rFont val="Arial"/>
      </rPr>
      <t xml:space="preserve"> After all, even though baring her neck, shoulders, and arms in the morning was not entirely proper, she did not have to feel </t>
    </r>
    <r>
      <rPr>
        <b/>
        <sz val="11"/>
        <color theme="1"/>
        <rFont val="Arial"/>
      </rPr>
      <t xml:space="preserve">embarrassed</t>
    </r>
    <r>
      <rPr>
        <sz val="11"/>
        <color theme="1"/>
        <rFont val="Arial"/>
      </rPr>
      <t xml:space="preserve"> about it.</t>
    </r>
  </si>
  <si>
    <t xml:space="preserve">As she stood before the mirror and twisted herself about to get a side view, she thought that there was absolutely nothing about her figure to cause her shame. Her neck was short but rounded and her arms plump and enticing. Her breasts, pushed high by her stays, were very nice breasts.</t>
  </si>
  <si>
    <t xml:space="preserve">TERM: iz"yana (изъяна) — defect; flaw (gen.) [ORD] (lemma: изъян)
PASSAGE: не обнаружила в своей фигуре ни малейшего изъяна.
TRANS: ne obnaruzhila v svoey figure ni maleyshego iz"yana.
TRANSLATION: she found not the slightest flaw in her figure.</t>
  </si>
  <si>
    <r>
      <rPr>
        <b/>
        <sz val="11"/>
        <color theme="1"/>
        <rFont val="Arial"/>
      </rPr>
      <t xml:space="preserve">TERM:</t>
    </r>
    <r>
      <rPr>
        <sz val="11"/>
        <color theme="1"/>
        <rFont val="Arial"/>
      </rPr>
      <t xml:space="preserve"> KEMŞILIK (КЕМШІЛІК) — defect; failing; shortcoming [KED, SZK]
</t>
    </r>
    <r>
      <rPr>
        <b/>
        <sz val="11"/>
        <color theme="1"/>
        <rFont val="Arial"/>
      </rPr>
      <t xml:space="preserve">PASSAGE:</t>
    </r>
    <r>
      <rPr>
        <sz val="11"/>
        <color theme="1"/>
        <rFont val="Arial"/>
      </rPr>
      <t xml:space="preserve"> Айна алдында тұрып, ол өзін жанынан көру үшін белін майыстырып қарап, сымбатынан еш </t>
    </r>
    <r>
      <rPr>
        <b/>
        <sz val="11"/>
        <color theme="1"/>
        <rFont val="Arial"/>
      </rPr>
      <t xml:space="preserve">кемшілік</t>
    </r>
    <r>
      <rPr>
        <sz val="11"/>
        <color theme="1"/>
        <rFont val="Arial"/>
      </rPr>
      <t xml:space="preserve"> таппады.  comment: 'shame' is not directly translated. 
</t>
    </r>
    <r>
      <rPr>
        <b/>
        <sz val="11"/>
        <color theme="1"/>
        <rFont val="Arial"/>
      </rPr>
      <t xml:space="preserve">TRANS:</t>
    </r>
    <r>
      <rPr>
        <sz val="11"/>
        <color theme="1"/>
        <rFont val="Arial"/>
      </rPr>
      <t xml:space="preserve"> Aina aldynda tūryp, ol özın janynan köru üşın belın maiystyryp qarap, symbatynan eş </t>
    </r>
    <r>
      <rPr>
        <b/>
        <sz val="11"/>
        <color theme="1"/>
        <rFont val="Arial"/>
      </rPr>
      <t xml:space="preserve">kemşılık</t>
    </r>
    <r>
      <rPr>
        <sz val="11"/>
        <color theme="1"/>
        <rFont val="Arial"/>
      </rPr>
      <t xml:space="preserve"> tappady.  comment: 'shame' is not directly translated. 
</t>
    </r>
    <r>
      <rPr>
        <b/>
        <sz val="11"/>
        <color theme="1"/>
        <rFont val="Arial"/>
      </rPr>
      <t xml:space="preserve">TRANSLATION:</t>
    </r>
    <r>
      <rPr>
        <sz val="11"/>
        <color theme="1"/>
        <rFont val="Arial"/>
      </rPr>
      <t xml:space="preserve"> Standing before the mirror and turning sideways to view her profile, she found no </t>
    </r>
    <r>
      <rPr>
        <b/>
        <sz val="11"/>
        <color theme="1"/>
        <rFont val="Arial"/>
      </rPr>
      <t xml:space="preserve">flaw</t>
    </r>
    <r>
      <rPr>
        <sz val="11"/>
        <color theme="1"/>
        <rFont val="Arial"/>
      </rPr>
      <t xml:space="preserve"> in her elegance.</t>
    </r>
  </si>
  <si>
    <t xml:space="preserve">Shame — Social shame</t>
  </si>
  <si>
    <t xml:space="preserve">strong shame about social convention and exposure to societal judgment; internal burning</t>
  </si>
  <si>
    <t xml:space="preserve">She did not want to be fair, although she knew what he said was true. He had never once crossed the borders of friendliness with her and, when she thought of this fresh anger rose, the anger of hurt pride and feminine vanity. She had run after him and he would have none of her. He preferred a whey-faced little fool like Melanie to her. Oh, far better that she had followed Ellen and Mammy's precepts and never, never revealed that she even liked him—better anything than to be faced with this scorching shame!</t>
  </si>
  <si>
    <t xml:space="preserve">TERM: sgorat' so styda (сгорать со стыда) — to burn up with shame (idiom) [ORD] (lemma: сгорать)
PASSAGE: Пусть бы он никогда-никогда не узнал об этом — все лучше, чем так сгорать со стыда
TRANS: Pust' by on nikogda-nikogda ne uznal ob etom — vse luchshe, chem tak sgorat' so styda
TRANSLATION: Let him never, never know about it — anything would be better than burning up with shame so</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</si>
  <si>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Ах, ол неге Эллин мен Үлкен шешейдің нұсқауын тыңдамады! Эшли мұның сезімінен күдіктенбеуі керек еді! Бұлай </t>
    </r>
    <r>
      <rPr>
        <b/>
        <sz val="11"/>
        <color theme="1"/>
        <rFont val="Arial"/>
      </rPr>
      <t xml:space="preserve">ұяттан</t>
    </r>
    <r>
      <rPr>
        <sz val="11"/>
        <color theme="1"/>
        <rFont val="Arial"/>
      </rPr>
      <t xml:space="preserve"> өртенгенше, оның бұл туралы ешқашан, еш уақытта білмегені жақсы еді!
</t>
    </r>
    <r>
      <rPr>
        <b/>
        <sz val="11"/>
        <color theme="1"/>
        <rFont val="Arial"/>
      </rPr>
      <t xml:space="preserve">TRANS:</t>
    </r>
    <r>
      <rPr>
        <sz val="11"/>
        <color theme="1"/>
        <rFont val="Arial"/>
      </rPr>
      <t xml:space="preserve"> Ah, ol nege Elin men Ülken şeşeidıñ nūsqauyn tyñdamady! Eşli mūnyñ sezımınen küdıktenbeuı kerek edı! Būlai </t>
    </r>
    <r>
      <rPr>
        <b/>
        <sz val="11"/>
        <color theme="1"/>
        <rFont val="Arial"/>
      </rPr>
      <t xml:space="preserve">ūiattan</t>
    </r>
    <r>
      <rPr>
        <sz val="11"/>
        <color theme="1"/>
        <rFont val="Arial"/>
      </rPr>
      <t xml:space="preserve"> örtengenşe, onyñ būl turaly eşqaşan, eş uaqytta bılmegenı jaqsy edı!
</t>
    </r>
    <r>
      <rPr>
        <b/>
        <sz val="11"/>
        <color theme="1"/>
        <rFont val="Arial"/>
      </rPr>
      <t xml:space="preserve">TRANSLATION:</t>
    </r>
    <r>
      <rPr>
        <sz val="11"/>
        <color theme="1"/>
        <rFont val="Arial"/>
      </rPr>
      <t xml:space="preserve"> Ah, why had she not heeded Ellen's and Mammy's instructions! Ashley should not have suspected her feelings! Better that he should never, ever know about this than to burn up like this with </t>
    </r>
    <r>
      <rPr>
        <b/>
        <sz val="11"/>
        <color theme="1"/>
        <rFont val="Arial"/>
      </rPr>
      <t xml:space="preserve">shame</t>
    </r>
    <r>
      <rPr>
        <sz val="11"/>
        <color theme="1"/>
        <rFont val="Arial"/>
      </rPr>
      <t xml:space="preserve">!</t>
    </r>
  </si>
  <si>
    <t xml:space="preserve">Shame — Social shame (somatic expression)</t>
  </si>
  <si>
    <t xml:space="preserve">strong shame about breaking social conventions and Ashley’s rejection, social exposure, physical manifestations –  face crimson; Rhett witness</t>
  </si>
  <si>
    <t xml:space="preserve">She looked up at him imploringly, her face crimson with the shame of their last meeting, and met two of the blackest eyes she had ever seen, dancing in merciless merriment. Of all the people in the world to turn up here, this terrible person who had witnessed that scene with Ashley which still gave her nightmares; this odious wretch who ruined girls and was not received by nice people; this despicable man who had said, and with good cause, that she was not a lady.</t>
  </si>
  <si>
    <t xml:space="preserve">TERM: Zardevshis' ot smushcheniya, (Зардевшись от смущения,) = flushing; having blushed
PASSAGE: Зардевшись от смущения, она с мольбой подняла на него глаза
TRANS: Zardevshis' ot smushcheniya, ona s mol'boy podnyala na nego glaza
TRANSLATION: Burning crimson with embarrassment, she raised her eyes pleadingly to him</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</si>
  <si>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Ұяла қысылған Скарлетт оған басын көтеріп қарады, ...
</t>
    </r>
    <r>
      <rPr>
        <b/>
        <sz val="11"/>
        <color theme="1"/>
        <rFont val="Arial"/>
      </rPr>
      <t xml:space="preserve">TRANS:</t>
    </r>
    <r>
      <rPr>
        <sz val="11"/>
        <color theme="1"/>
        <rFont val="Arial"/>
      </rPr>
      <t xml:space="preserve"> Ūiala qysylğan Skarlett oğan basyn köterıp qarady, ...
</t>
    </r>
    <r>
      <rPr>
        <b/>
        <sz val="11"/>
        <color theme="1"/>
        <rFont val="Arial"/>
      </rPr>
      <t xml:space="preserve">TRANSLATION:</t>
    </r>
    <r>
      <rPr>
        <sz val="11"/>
        <color theme="1"/>
        <rFont val="Arial"/>
      </rPr>
      <t xml:space="preserve"> Scarlett, flushed with </t>
    </r>
    <r>
      <rPr>
        <b/>
        <sz val="11"/>
        <color theme="1"/>
        <rFont val="Arial"/>
      </rPr>
      <t xml:space="preserve">embarrassment</t>
    </r>
    <r>
      <rPr>
        <sz val="11"/>
        <color theme="1"/>
        <rFont val="Arial"/>
      </rPr>
      <t xml:space="preserve">, raised her head and looked at him,...</t>
    </r>
  </si>
  <si>
    <t xml:space="preserve">shame at absence of social tokens of pride (comparison)</t>
  </si>
  <si>
    <t xml:space="preserve">She flipped back the edges of the letters, looking at the dates, remembering their contents. In them there were no fine descriptive pages of bivouacs and charges such as Darcy Meade wrote his parents or poor Dallas McLure had written his old-maid sisters, Misses Faith and Hope. The Meades and McLures proudly read these letters all over the neighborhood, and Scarlett had frequently felt a secret shame that Melanie had no such letters from Ashley to read aloud at sewing circles.</t>
  </si>
  <si>
    <t xml:space="preserve">TERM: styd (стыд) — shame; the feeling of having transgressed a moral or social norm [ORD]
PASSAGE: Скарлетт не раз испытывала втайне стыд, что Эшли не пишет Мелани таких писем, которые интересно было бы почитать в швейном кружке вслух.
TRANS: Skarlett ne raz ispytyvala vtayne styd, chto Eshli ne pishet Melani takikh pisem, kotorye interesno bylo by pochitat' v shveynom kruzhke vslukh.
TRANSLATION: Scarlett had more than once felt secret shame that Ashley did not write Melanie letters of the kind that would be interesting to read aloud in the sewing circle.</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</si>
  <si>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 ал Скарлетт Эшлидің Меланиге мұндай хаттарды жазбағанына бірнеше рет ішінен </t>
    </r>
    <r>
      <rPr>
        <b/>
        <sz val="11"/>
        <color theme="1"/>
        <rFont val="Arial"/>
      </rPr>
      <t xml:space="preserve">ұялған</t>
    </r>
    <r>
      <rPr>
        <sz val="11"/>
        <color theme="1"/>
        <rFont val="Arial"/>
      </rPr>
      <t xml:space="preserve">, ...
</t>
    </r>
    <r>
      <rPr>
        <b/>
        <sz val="11"/>
        <color theme="1"/>
        <rFont val="Arial"/>
      </rPr>
      <t xml:space="preserve">TRANS:</t>
    </r>
    <r>
      <rPr>
        <sz val="11"/>
        <color theme="1"/>
        <rFont val="Arial"/>
      </rPr>
      <t xml:space="preserve"> ... al Skarlett Eşlidıñ Melanige mūndai hattardy jazbağanyna bırneşe ret ışınen </t>
    </r>
    <r>
      <rPr>
        <b/>
        <sz val="11"/>
        <color theme="1"/>
        <rFont val="Arial"/>
      </rPr>
      <t xml:space="preserve">ūialğan</t>
    </r>
    <r>
      <rPr>
        <sz val="11"/>
        <color theme="1"/>
        <rFont val="Arial"/>
      </rPr>
      <t xml:space="preserve">, ...
</t>
    </r>
    <r>
      <rPr>
        <b/>
        <sz val="11"/>
        <color theme="1"/>
        <rFont val="Arial"/>
      </rPr>
      <t xml:space="preserve">TRANSLATION:</t>
    </r>
    <r>
      <rPr>
        <sz val="11"/>
        <color theme="1"/>
        <rFont val="Arial"/>
      </rPr>
      <t xml:space="preserve"> ...and Scarlett had felt </t>
    </r>
    <r>
      <rPr>
        <b/>
        <sz val="11"/>
        <color theme="1"/>
        <rFont val="Arial"/>
      </rPr>
      <t xml:space="preserve">ashamed</t>
    </r>
    <r>
      <rPr>
        <sz val="11"/>
        <color theme="1"/>
        <rFont val="Arial"/>
      </rPr>
      <t xml:space="preserve"> inwardly several times that Ashley did not write Melanie such letters,...</t>
    </r>
  </si>
  <si>
    <t xml:space="preserve">strong shame about breaking social-moral conventions, social exposure, face crimson; Ellen (internalized moral standard); Rhett as witness</t>
  </si>
  <si>
    <t xml:space="preserve">Scarlett leaped to her feet, her face red with shame. How could she have said such a thing! How could she, Ellen's daughter, with her upbringing, have sat there and listened to such debasing words and then made such a shameless reply? She should have screamed. She should have fainted. She should have turned coldly away in silence and swept from the porch. Too late now!</t>
  </si>
  <si>
    <t xml:space="preserve">TERM: sgoraya ot styda. (сгорая от стыда.) = burning with shame
PASSAGE: Скарлетт вскочила с кресла, сгорая от стыда.
TRANS: Skarlett vskochila s kresla, sgoraya ot styda.
TRANSLATION: Scarlett leapt up from the chair, burning with shame.</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</si>
  <si>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Скарлетт </t>
    </r>
    <r>
      <rPr>
        <b/>
        <sz val="11"/>
        <color theme="1"/>
        <rFont val="Arial"/>
      </rPr>
      <t xml:space="preserve">ұяттан</t>
    </r>
    <r>
      <rPr>
        <sz val="11"/>
        <color theme="1"/>
        <rFont val="Arial"/>
      </rPr>
      <t xml:space="preserve"> өртеніп креслодан атып тұрды.
</t>
    </r>
    <r>
      <rPr>
        <b/>
        <sz val="11"/>
        <color theme="1"/>
        <rFont val="Arial"/>
      </rPr>
      <t xml:space="preserve">TRANS:</t>
    </r>
    <r>
      <rPr>
        <sz val="11"/>
        <color theme="1"/>
        <rFont val="Arial"/>
      </rPr>
      <t xml:space="preserve"> Skarlett </t>
    </r>
    <r>
      <rPr>
        <b/>
        <sz val="11"/>
        <color theme="1"/>
        <rFont val="Arial"/>
      </rPr>
      <t xml:space="preserve">ūiattan</t>
    </r>
    <r>
      <rPr>
        <sz val="11"/>
        <color theme="1"/>
        <rFont val="Arial"/>
      </rPr>
      <t xml:space="preserve"> örtenıp kreslodan atyp tūrdy.
</t>
    </r>
    <r>
      <rPr>
        <b/>
        <sz val="11"/>
        <color theme="1"/>
        <rFont val="Arial"/>
      </rPr>
      <t xml:space="preserve">TRANSLATION:</t>
    </r>
    <r>
      <rPr>
        <sz val="11"/>
        <color theme="1"/>
        <rFont val="Arial"/>
      </rPr>
      <t xml:space="preserve"> Scarlett, burning up with </t>
    </r>
    <r>
      <rPr>
        <b/>
        <sz val="11"/>
        <color theme="1"/>
        <rFont val="Arial"/>
      </rPr>
      <t xml:space="preserve">shame</t>
    </r>
    <r>
      <rPr>
        <sz val="11"/>
        <color theme="1"/>
        <rFont val="Arial"/>
      </rPr>
      <t xml:space="preserve">, sprang up from the armchair.</t>
    </r>
  </si>
  <si>
    <t xml:space="preserve">Deferred shame from self-humiliation through social-moral transgression; Rhett witness</t>
  </si>
  <si>
    <t xml:space="preserve">When he had hurried away to bring her a glass of wine and a paper thin slice of cake, Scarlett sat down in the alcove at the end of the drawing room and carefully arranged her skirts so that the worst spots would not show. The humiliating events of the morning with Rhett were pushed from her mind by the excitement of seeing so many people and hearing music again. Tomorrow she would think of Rhett's conduct and her shame and they would make her writhe again. Tomorrow she would wonder if she had made any impression on Frank's hurt and bewildered heart. But not tonight. Tonight she was alive to her finger tips, every sense alert with hope, her eyes sparkling.</t>
  </si>
  <si>
    <t xml:space="preserve">TERM: unizhenii (унижении) — humiliation (prep.) [ORD] (lemma: унижение)
PASSAGE: Завтра она снова будет думать о поведении Ретта, о своем унижении и снова будет кипеть от гнева.
TRANS: Zavtra ona snova budet dumat' o povedenii Retta, o svoem unizhenii i snova budet kipet' ot gneva.
TRANSLATION: Tomorrow she would once again be thinking of Rhett's behavior, of her humiliation, and would once again be seething with anger.</t>
  </si>
  <si>
    <r>
      <rPr>
        <b/>
        <sz val="11"/>
        <color theme="1"/>
        <rFont val="Arial"/>
      </rPr>
      <t xml:space="preserve">TERM:</t>
    </r>
    <r>
      <rPr>
        <sz val="11"/>
        <color theme="1"/>
        <rFont val="Arial"/>
      </rPr>
      <t xml:space="preserve"> QYSAS (ҚЫСАС) — malice; revenge; spite [KED, SZK]
</t>
    </r>
    <r>
      <rPr>
        <b/>
        <sz val="11"/>
        <color theme="1"/>
        <rFont val="Arial"/>
      </rPr>
      <t xml:space="preserve">PASSAGE:</t>
    </r>
    <r>
      <rPr>
        <sz val="11"/>
        <color theme="1"/>
        <rFont val="Arial"/>
      </rPr>
      <t xml:space="preserve"> Ертең Реттің қылығын қайтадан еске түсіріп, өзіне жасаған </t>
    </r>
    <r>
      <rPr>
        <b/>
        <sz val="11"/>
        <color theme="1"/>
        <rFont val="Arial"/>
      </rPr>
      <t xml:space="preserve">қысастығына</t>
    </r>
    <r>
      <rPr>
        <sz val="11"/>
        <color theme="1"/>
        <rFont val="Arial"/>
      </rPr>
      <t xml:space="preserve"> күйініп, тағы да ашудан қызынатын шығар.
</t>
    </r>
    <r>
      <rPr>
        <b/>
        <sz val="11"/>
        <color theme="1"/>
        <rFont val="Arial"/>
      </rPr>
      <t xml:space="preserve">TRANS:</t>
    </r>
    <r>
      <rPr>
        <sz val="11"/>
        <color theme="1"/>
        <rFont val="Arial"/>
      </rPr>
      <t xml:space="preserve"> Erteñ Rettıñ qylyğyn qaitadan eske tüsırıp, özıne jasağan </t>
    </r>
    <r>
      <rPr>
        <b/>
        <sz val="11"/>
        <color theme="1"/>
        <rFont val="Arial"/>
      </rPr>
      <t xml:space="preserve">qysastyğyna</t>
    </r>
    <r>
      <rPr>
        <sz val="11"/>
        <color theme="1"/>
        <rFont val="Arial"/>
      </rPr>
      <t xml:space="preserve"> küiınıp, tağy da aşudan qyzynatyn şyğar.
</t>
    </r>
    <r>
      <rPr>
        <b/>
        <sz val="11"/>
        <color theme="1"/>
        <rFont val="Arial"/>
      </rPr>
      <t xml:space="preserve">TRANSLATION:</t>
    </r>
    <r>
      <rPr>
        <sz val="11"/>
        <color theme="1"/>
        <rFont val="Arial"/>
      </rPr>
      <t xml:space="preserve"> Tomorrow she would probably again recall Rhett's behavior, again be wounded by the wrong he had done her, and again burn with anger.</t>
    </r>
  </si>
  <si>
    <t xml:space="preserve">shame about poverty / reduced circumstances; no physical manifestation; Ellen (internalized moral standard) – shame absent</t>
  </si>
  <si>
    <t xml:space="preserve">All her life she had heard sneers hurled at the Yankees because their pretensions to gentility were based on wealth, not breeding. But at this moment, heresy though it was, she could not help thinking the Yankees were right on this one matter, even if wrong in all others. It took money to be a lady. She knew Ellen would have fainted had she ever heard such words from her daughter. No depth of poverty could ever have made Ellen feel ashamed. Ashamed! Yes, that was how Scarlett felt. Ashamed that she was poor and reduced to galling shifts and penury and work that negroes should do.</t>
  </si>
  <si>
    <t xml:space="preserve">TERM: postydnogo (постыдного) — shameful; ignominious (adj., gen.) [ORD] (lemma: постыдный)
PASSAGE: Даже очутись Эллин на самом дне нищеты, она бы не увидела в этом ничего постыдного.
TRANS: Dazhe ochutis' Ellin na samom dne nishchety, ona by ne uvidela v etom nichego postydnogo.
TRANSLATION: Even if Ellen had found herself at the very bottom of poverty, she would not have seen anything shameful in this.</t>
  </si>
  <si>
    <r>
      <rPr>
        <b/>
        <sz val="11"/>
        <color theme="1"/>
        <rFont val="Arial"/>
      </rPr>
      <t xml:space="preserve">TERM:</t>
    </r>
    <r>
      <rPr>
        <sz val="11"/>
        <color theme="1"/>
        <rFont val="Arial"/>
      </rPr>
      <t xml:space="preserve"> QYSYLU (ҚЫСЫЛУ) — to feel embarrassed; to feel constrained; to be in difficulty [KED, SZK]
</t>
    </r>
    <r>
      <rPr>
        <b/>
        <sz val="11"/>
        <color theme="1"/>
        <rFont val="Arial"/>
      </rPr>
      <t xml:space="preserve">PASSAGE:</t>
    </r>
    <r>
      <rPr>
        <sz val="11"/>
        <color theme="1"/>
        <rFont val="Arial"/>
      </rPr>
      <t xml:space="preserve"> Жарлылықтың жұтқыншығында жатып, есін жиғанға да Эллин одан ұялып, </t>
    </r>
    <r>
      <rPr>
        <b/>
        <sz val="11"/>
        <color theme="1"/>
        <rFont val="Arial"/>
      </rPr>
      <t xml:space="preserve">қысыла</t>
    </r>
    <r>
      <rPr>
        <sz val="11"/>
        <color theme="1"/>
        <rFont val="Arial"/>
      </rPr>
      <t xml:space="preserve"> қоймаған еді.
</t>
    </r>
    <r>
      <rPr>
        <b/>
        <sz val="11"/>
        <color theme="1"/>
        <rFont val="Arial"/>
      </rPr>
      <t xml:space="preserve">TRANS:</t>
    </r>
    <r>
      <rPr>
        <sz val="11"/>
        <color theme="1"/>
        <rFont val="Arial"/>
      </rPr>
      <t xml:space="preserve"> Jarlylyqtyñ jūtqynşyğynda jatyp, esın jiğanğa da Elin odan ūialyp, </t>
    </r>
    <r>
      <rPr>
        <b/>
        <sz val="11"/>
        <color theme="1"/>
        <rFont val="Arial"/>
      </rPr>
      <t xml:space="preserve">qysyla</t>
    </r>
    <r>
      <rPr>
        <sz val="11"/>
        <color theme="1"/>
        <rFont val="Arial"/>
      </rPr>
      <t xml:space="preserve"> qoimağan edı.
</t>
    </r>
    <r>
      <rPr>
        <b/>
        <sz val="11"/>
        <color theme="1"/>
        <rFont val="Arial"/>
      </rPr>
      <t xml:space="preserve">TRANSLATION:</t>
    </r>
    <r>
      <rPr>
        <sz val="11"/>
        <color theme="1"/>
        <rFont val="Arial"/>
      </rPr>
      <t xml:space="preserve"> Even if Ellen had been lying in the throat of destitution and come to her senses there, she would not have been </t>
    </r>
    <r>
      <rPr>
        <b/>
        <sz val="11"/>
        <color theme="1"/>
        <rFont val="Arial"/>
      </rPr>
      <t xml:space="preserve">ashamed</t>
    </r>
    <r>
      <rPr>
        <sz val="11"/>
        <color theme="1"/>
        <rFont val="Arial"/>
      </rPr>
      <t xml:space="preserve"> of it nor felt </t>
    </r>
    <r>
      <rPr>
        <b/>
        <sz val="11"/>
        <color theme="1"/>
        <rFont val="Arial"/>
      </rPr>
      <t xml:space="preserve">embarrassed</t>
    </r>
    <r>
      <rPr>
        <sz val="11"/>
        <color theme="1"/>
        <rFont val="Arial"/>
      </rPr>
      <t xml:space="preserve">.</t>
    </r>
  </si>
  <si>
    <t xml:space="preserve">strong shame about a past event, social exposure, physical manifestation – face crimson; no specific witness at the moment of feeling</t>
  </si>
  <si>
    <t xml:space="preserve">The memory of her humiliation at his hands made her go crimson with shame.</t>
  </si>
  <si>
    <t xml:space="preserve">TERM: styda (стыда) — shame (genitive) [ORD] (lemma: стыд)
PASSAGE: Она вспомнила, как он унизил ее, и вспыхнула от стыда.
TRANS: Ona vspomnila, kak on unizil ee, i vspykhnula ot styda.
TRANSLATION: She remembered how he had humiliated her, and she flushed with shame.</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</si>
  <si>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Есіне өзін қалай қорлап, мазақ еткені түсті де, </t>
    </r>
    <r>
      <rPr>
        <b/>
        <sz val="11"/>
        <color theme="1"/>
        <rFont val="Arial"/>
      </rPr>
      <t xml:space="preserve">ұяттан</t>
    </r>
    <r>
      <rPr>
        <sz val="11"/>
        <color theme="1"/>
        <rFont val="Arial"/>
      </rPr>
      <t xml:space="preserve"> өртеніп кете жаздады.
</t>
    </r>
    <r>
      <rPr>
        <b/>
        <sz val="11"/>
        <color theme="1"/>
        <rFont val="Arial"/>
      </rPr>
      <t xml:space="preserve">TRANS:</t>
    </r>
    <r>
      <rPr>
        <sz val="11"/>
        <color theme="1"/>
        <rFont val="Arial"/>
      </rPr>
      <t xml:space="preserve"> Esıne özın qalai qorlap, mazaq etkenı tüstı de, </t>
    </r>
    <r>
      <rPr>
        <b/>
        <sz val="11"/>
        <color theme="1"/>
        <rFont val="Arial"/>
      </rPr>
      <t xml:space="preserve">ūiattan</t>
    </r>
    <r>
      <rPr>
        <sz val="11"/>
        <color theme="1"/>
        <rFont val="Arial"/>
      </rPr>
      <t xml:space="preserve"> örtenıp kete jazdady.
</t>
    </r>
    <r>
      <rPr>
        <b/>
        <sz val="11"/>
        <color theme="1"/>
        <rFont val="Arial"/>
      </rPr>
      <t xml:space="preserve">TRANSLATION:</t>
    </r>
    <r>
      <rPr>
        <sz val="11"/>
        <color theme="1"/>
        <rFont val="Arial"/>
      </rPr>
      <t xml:space="preserve"> She remembered how he had insulted and mocked her, and almost burst into flame with </t>
    </r>
    <r>
      <rPr>
        <b/>
        <sz val="11"/>
        <color theme="1"/>
        <rFont val="Arial"/>
      </rPr>
      <t xml:space="preserve">shame</t>
    </r>
    <r>
      <rPr>
        <sz val="11"/>
        <color theme="1"/>
        <rFont val="Arial"/>
      </rPr>
      <t xml:space="preserve">.</t>
    </r>
  </si>
  <si>
    <t xml:space="preserve">Shame — Social shame (about the body)</t>
  </si>
  <si>
    <t xml:space="preserve">shame about body as social/erotic object, bodily awareness; physical manifestation – red; Rhett as witness</t>
  </si>
  <si>
    <t xml:space="preserve">Scarlett, suddenly conscious of her error of speech, went red. It was more than his joking words that shamed her, for she was suddenly aware again of her thickening body. In no way had either of them ever hinted at her condition and she had always kept the lap robe high under her armpits when with him, even on warm days, comforting herself in the usual feminine manner with the belief that she did not show at all when thus covered, and she was suddenly sick with quick rage at her own condition and shame that he should know.</t>
  </si>
  <si>
    <t xml:space="preserve">TERM: stydno (стыдно) — it is shameful; (one) feels ashamed (impersonal predicate) [ORD]
PASSAGE: Ей вдруг стало стыдно — и не столько того, что она дала ему повод поглумиться над ней, сколько своего раздавшегося тела.
TRANS: Ey vdrug stalo stydno — i ne stol'ko togo, chto ona dala emu povod poglumit'sya nad ney, skol'ko svoego razdavshegosya tela.
TRANSLATION: She suddenly felt ashamed — and not so much that she had given him an occasion to mock her, as of her swollen body.</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</si>
  <si>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Өзінің мазақ болуына соқтырған әлгі сөзінен де гөрі, жайылып кеткен денесінен, ыңғайсыз пішінінен де өлердей </t>
    </r>
    <r>
      <rPr>
        <b/>
        <sz val="11"/>
        <color theme="1"/>
        <rFont val="Arial"/>
      </rPr>
      <t xml:space="preserve">ұялып</t>
    </r>
    <r>
      <rPr>
        <sz val="11"/>
        <color theme="1"/>
        <rFont val="Arial"/>
      </rPr>
      <t xml:space="preserve"> кетті.
</t>
    </r>
    <r>
      <rPr>
        <b/>
        <sz val="11"/>
        <color theme="1"/>
        <rFont val="Arial"/>
      </rPr>
      <t xml:space="preserve">TRANS:</t>
    </r>
    <r>
      <rPr>
        <sz val="11"/>
        <color theme="1"/>
        <rFont val="Arial"/>
      </rPr>
      <t xml:space="preserve"> Özınıñ mazaq boluyna soqtyrğan älgı sözınen de görı, jaiylyp ketken denesınen, yñğaisyz pışınınen de ölerdei </t>
    </r>
    <r>
      <rPr>
        <b/>
        <sz val="11"/>
        <color theme="1"/>
        <rFont val="Arial"/>
      </rPr>
      <t xml:space="preserve">ūialyp</t>
    </r>
    <r>
      <rPr>
        <sz val="11"/>
        <color theme="1"/>
        <rFont val="Arial"/>
      </rPr>
      <t xml:space="preserve"> kettı.
</t>
    </r>
    <r>
      <rPr>
        <b/>
        <sz val="11"/>
        <color theme="1"/>
        <rFont val="Arial"/>
      </rPr>
      <t xml:space="preserve">TRANSLATION:</t>
    </r>
    <r>
      <rPr>
        <sz val="11"/>
        <color theme="1"/>
        <rFont val="Arial"/>
      </rPr>
      <t xml:space="preserve"> More than the words that had brought mockery on her, she became mortally </t>
    </r>
    <r>
      <rPr>
        <b/>
        <sz val="11"/>
        <color theme="1"/>
        <rFont val="Arial"/>
      </rPr>
      <t xml:space="preserve">embarrassed</t>
    </r>
    <r>
      <rPr>
        <sz val="11"/>
        <color theme="1"/>
        <rFont val="Arial"/>
      </rPr>
      <t xml:space="preserve"> by her spread-out body and awkward shape.</t>
    </r>
  </si>
  <si>
    <t xml:space="preserve">strong shame, social exposure, manifested in crying; Rhett as specific witness</t>
  </si>
  <si>
    <t xml:space="preserve">"Get out!" she cried, tugging at the reins and suddenly nausea overwhelmed her. He stopped the horse quickly, passed her two clean handkerchiefs and held her head over the side of the buggy with some skill. The afternoon sun, slanting low through the newly leaved trees, spun sickeningly for a few moments in a swirl of gold and green. When the spell had passed, she put her head in her hands and cried from sheer mortification. Not only had she vomited before a man—in itself as horrible a contretemps as could overtake a woman—but by doing so, the humiliating fact of her pregnancy must now be evident. She felt that she could never look him in the face again. To have this happen with him, of all people, with Rhett who had no respect for women! She cried, expecting some coarse and jocular remark from him which she would never be able to forget.</t>
  </si>
  <si>
    <t xml:space="preserve">TERM: obidy (обиды) — offence; hurt (gen.) [ORD] (lemma: обида)
PASSAGE: Когда приступ рвоты прошел, Скарлетт закрыла лицо руками и заплакала от обиды.
TRANS: Kogda pristup rvoty proshel, Skarlett zakryla litso rukami i zaplakala ot obidy.
TRANSLATION: When the bout of nausea passed, Scarlett covered her face with her hands and wept from offense.</t>
  </si>
  <si>
    <r>
      <rPr>
        <b/>
        <sz val="11"/>
        <color theme="1"/>
        <rFont val="Arial"/>
      </rPr>
      <t xml:space="preserve">TERM:</t>
    </r>
    <r>
      <rPr>
        <sz val="11"/>
        <color theme="1"/>
        <rFont val="Arial"/>
      </rPr>
      <t xml:space="preserve"> ÖKINIŞ (ӨКІНІШ) — regret; repentance [KED, SZK]
</t>
    </r>
    <r>
      <rPr>
        <b/>
        <sz val="11"/>
        <color theme="1"/>
        <rFont val="Arial"/>
      </rPr>
      <t xml:space="preserve">PASSAGE:</t>
    </r>
    <r>
      <rPr>
        <sz val="11"/>
        <color theme="1"/>
        <rFont val="Arial"/>
      </rPr>
      <t xml:space="preserve"> Жүрегінің айнығаны басылып, құсып болған соң Скарлетт бетін қолымен басып алып, </t>
    </r>
    <r>
      <rPr>
        <b/>
        <sz val="11"/>
        <color theme="1"/>
        <rFont val="Arial"/>
      </rPr>
      <t xml:space="preserve">өкініштен</t>
    </r>
    <r>
      <rPr>
        <sz val="11"/>
        <color theme="1"/>
        <rFont val="Arial"/>
      </rPr>
      <t xml:space="preserve"> жылап жіберді.
</t>
    </r>
    <r>
      <rPr>
        <b/>
        <sz val="11"/>
        <color theme="1"/>
        <rFont val="Arial"/>
      </rPr>
      <t xml:space="preserve">TRANS:</t>
    </r>
    <r>
      <rPr>
        <sz val="11"/>
        <color theme="1"/>
        <rFont val="Arial"/>
      </rPr>
      <t xml:space="preserve"> Jüregınıñ ainyğany basylyp, qūsyp bolğan soñ Skarlett betın qolymen basyp alyp, </t>
    </r>
    <r>
      <rPr>
        <b/>
        <sz val="11"/>
        <color theme="1"/>
        <rFont val="Arial"/>
      </rPr>
      <t xml:space="preserve">ökınışten</t>
    </r>
    <r>
      <rPr>
        <sz val="11"/>
        <color theme="1"/>
        <rFont val="Arial"/>
      </rPr>
      <t xml:space="preserve"> jylap jıberdı.
</t>
    </r>
    <r>
      <rPr>
        <b/>
        <sz val="11"/>
        <color theme="1"/>
        <rFont val="Arial"/>
      </rPr>
      <t xml:space="preserve">TRANSLATION:</t>
    </r>
    <r>
      <rPr>
        <sz val="11"/>
        <color theme="1"/>
        <rFont val="Arial"/>
      </rPr>
      <t xml:space="preserve"> When her queasiness passed and she had finished retching, Scarlett covered her face with her hands and wept from regret.</t>
    </r>
  </si>
  <si>
    <t xml:space="preserve">shame deemed wrong by Rhett — performative speech act (verdict / directive – shame wrong)</t>
  </si>
  <si>
    <t xml:space="preserve">"Don't be a fool," he said quietly. "And you are a fool, if you are crying for shame. Come, Scarlett, don't be a child. Surely you must know that, not being blind, I knew you were pregnant."</t>
  </si>
  <si>
    <t xml:space="preserve">TERM: styda (стыда) — shame (genitive) [ORD] (lemma: стыд)
PASSAGE: А вы, видно, самая настоящая дурочка, раз плачете от стыда.
TRANS: A vy, vidno, samaya nastoyashchaya durochka, raz plachete ot styda.
TRANSLATION: And you, evidently, are a real fool, since you are crying from shame.</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</si>
  <si>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Мен білмей жүрсем, </t>
    </r>
    <r>
      <rPr>
        <b/>
        <sz val="11"/>
        <color theme="1"/>
        <rFont val="Arial"/>
      </rPr>
      <t xml:space="preserve">ұялғаннан</t>
    </r>
    <r>
      <rPr>
        <sz val="11"/>
        <color theme="1"/>
        <rFont val="Arial"/>
      </rPr>
      <t xml:space="preserve"> жылайтын сіз шынында нағыз ақымақтың өзі екенсіз ғой.
</t>
    </r>
    <r>
      <rPr>
        <b/>
        <sz val="11"/>
        <color theme="1"/>
        <rFont val="Arial"/>
      </rPr>
      <t xml:space="preserve">TRANS:</t>
    </r>
    <r>
      <rPr>
        <sz val="11"/>
        <color theme="1"/>
        <rFont val="Arial"/>
      </rPr>
      <t xml:space="preserve"> Men bılmei jürsem, </t>
    </r>
    <r>
      <rPr>
        <b/>
        <sz val="11"/>
        <color theme="1"/>
        <rFont val="Arial"/>
      </rPr>
      <t xml:space="preserve">ūialğannan</t>
    </r>
    <r>
      <rPr>
        <sz val="11"/>
        <color theme="1"/>
        <rFont val="Arial"/>
      </rPr>
      <t xml:space="preserve"> jylaityn sız şynynda nağyz aqymaqtyñ özı ekensız ğoi.
</t>
    </r>
    <r>
      <rPr>
        <b/>
        <sz val="11"/>
        <color theme="1"/>
        <rFont val="Arial"/>
      </rPr>
      <t xml:space="preserve">TRANSLATION:</t>
    </r>
    <r>
      <rPr>
        <sz val="11"/>
        <color theme="1"/>
        <rFont val="Arial"/>
      </rPr>
      <t xml:space="preserve"> I had not realized — you who weep from </t>
    </r>
    <r>
      <rPr>
        <b/>
        <sz val="11"/>
        <color theme="1"/>
        <rFont val="Arial"/>
      </rPr>
      <t xml:space="preserve">shame</t>
    </r>
    <r>
      <rPr>
        <sz val="11"/>
        <color theme="1"/>
        <rFont val="Arial"/>
      </rPr>
      <t xml:space="preserve"> are truly the very picture of a fool.</t>
    </r>
  </si>
  <si>
    <t xml:space="preserve">mild shame about social convention (not being in public when showing pregnancy); face crimson (somatic); Tara  neighbors as audience</t>
  </si>
  <si>
    <t xml:space="preserve">Startled at the abrupt switching from the eulogy to herself, Scarlett went red with embarrassment as all eyes turned toward her. Why should Will advertise her already obvious pregnancy? She gave him a shamed indignant look, but Will's placid gaze bore her down.</t>
  </si>
  <si>
    <t xml:space="preserve">TERM: smutilas' (смутилась) — became flustered; got embarrassed (pf. past fem.) [ORD] (lemma: смутиться)
PASSAGE: Вздрогнув от этого неожиданного перехода к ее особе, Скарлетт смутилась и покраснела, ибо взоры всех обратились к ней.
TRANS: Vzdrognuv ot etogo neozhidannogo perekhoda k ee osobe, Skarlett smutilas' i pokrasnela, ibo vzory vsekh obratilis' k ney.
TRANSLATION: Startled at this unexpected shift to her own person, Scarlett became flustered and blushed, for everyone's eyes turned to her.</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</si>
  <si>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Тосыннан өз атына бағыттала айтылған шешімнен селк етіп, Скарлетт ұялғаннан қып-қызыл боп кетті.
</t>
    </r>
    <r>
      <rPr>
        <b/>
        <sz val="11"/>
        <color theme="1"/>
        <rFont val="Arial"/>
      </rPr>
      <t xml:space="preserve">TRANS:</t>
    </r>
    <r>
      <rPr>
        <sz val="11"/>
        <color theme="1"/>
        <rFont val="Arial"/>
      </rPr>
      <t xml:space="preserve"> Tosynnan öz atyna bağyttala aitylğan şeşımnen selk etıp, Skarlett ūialğannan qyp-qyzyl bop kettı.
</t>
    </r>
    <r>
      <rPr>
        <b/>
        <sz val="11"/>
        <color theme="1"/>
        <rFont val="Arial"/>
      </rPr>
      <t xml:space="preserve">TRANSLATION:</t>
    </r>
    <r>
      <rPr>
        <sz val="11"/>
        <color theme="1"/>
        <rFont val="Arial"/>
      </rPr>
      <t xml:space="preserve"> Startled at this unexpected turn directed at her, Scarlett went bright red with </t>
    </r>
    <r>
      <rPr>
        <b/>
        <sz val="11"/>
        <color theme="1"/>
        <rFont val="Arial"/>
      </rPr>
      <t xml:space="preserve">embarrassment</t>
    </r>
    <r>
      <rPr>
        <sz val="11"/>
        <color theme="1"/>
        <rFont val="Arial"/>
      </rPr>
      <t xml:space="preserve">.</t>
    </r>
  </si>
  <si>
    <t xml:space="preserve">Mild (possibly pretended) shame about pregnancy; no physical manifestation; specific witness Ashley</t>
  </si>
  <si>
    <t xml:space="preserve">"How sweet of you to say that! For I was so ashamed to let you see me—"</t>
  </si>
  <si>
    <t xml:space="preserve">TERM: stydno (стыдно) — it is shameful; (one) feels ashamed (impersonal predicate) [ORD]
PASSAGE: А мне было так стыдно показываться вам…
TRANS: A mne bylo tak stydno pokazyvat'sya vam…
TRANSLATION: And I was so ashamed to show myself to you...</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</si>
  <si>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Мен болсам, сізге көрінуге де </t>
    </r>
    <r>
      <rPr>
        <b/>
        <sz val="11"/>
        <color theme="1"/>
        <rFont val="Arial"/>
      </rPr>
      <t xml:space="preserve">ұялып</t>
    </r>
    <r>
      <rPr>
        <sz val="11"/>
        <color theme="1"/>
        <rFont val="Arial"/>
      </rPr>
      <t xml:space="preserve"> жүр едім...
</t>
    </r>
    <r>
      <rPr>
        <b/>
        <sz val="11"/>
        <color theme="1"/>
        <rFont val="Arial"/>
      </rPr>
      <t xml:space="preserve">TRANS:</t>
    </r>
    <r>
      <rPr>
        <sz val="11"/>
        <color theme="1"/>
        <rFont val="Arial"/>
      </rPr>
      <t xml:space="preserve"> Men bolsam, sızge körınuge de </t>
    </r>
    <r>
      <rPr>
        <b/>
        <sz val="11"/>
        <color theme="1"/>
        <rFont val="Arial"/>
      </rPr>
      <t xml:space="preserve">ūialyp</t>
    </r>
    <r>
      <rPr>
        <sz val="11"/>
        <color theme="1"/>
        <rFont val="Arial"/>
      </rPr>
      <t xml:space="preserve"> jür edım...
</t>
    </r>
    <r>
      <rPr>
        <b/>
        <sz val="11"/>
        <color theme="1"/>
        <rFont val="Arial"/>
      </rPr>
      <t xml:space="preserve">TRANSLATION:</t>
    </r>
    <r>
      <rPr>
        <sz val="11"/>
        <color theme="1"/>
        <rFont val="Arial"/>
      </rPr>
      <t xml:space="preserve"> As for me, I was even </t>
    </r>
    <r>
      <rPr>
        <b/>
        <sz val="11"/>
        <color theme="1"/>
        <rFont val="Arial"/>
      </rPr>
      <t xml:space="preserve">ashamed</t>
    </r>
    <r>
      <rPr>
        <sz val="11"/>
        <color theme="1"/>
        <rFont val="Arial"/>
      </rPr>
      <t xml:space="preserve"> to be seen by you...</t>
    </r>
  </si>
  <si>
    <t xml:space="preserve">shame about social-moral  convention; no physical manifestation; Rhett as specific witness</t>
  </si>
  <si>
    <t xml:space="preserve">Now she was indeed confused and embarrassed, for she remembered the night on this very porch during the siege when he had said: "I am not a marrying man" and casually suggested that she become his mistress—remembered, too, the terrible day when he was in jail and was shamed by the memory. A slow malicious smile went over his face as he read her eyes.</t>
  </si>
  <si>
    <t xml:space="preserve">TERM: stydno (стыдно) — it is shameful; (one) feels ashamed (impersonal predicate) [ORD]
PASSAGE: возник и тот страшный день, когда она пришла к нему в тюрьму, и ей стало стыдно от этих воспоминаний.
TRANS: voznik i tot strashnyy den', kogda ona prishla k nemu v tyur'mu, i ey stalo stydno ot etikh vospominaniy.
TRANSLATION: that terrible day when she came to him in prison also came back, and she felt ashamed at these memories.</t>
  </si>
  <si>
    <r>
      <rPr>
        <b/>
        <sz val="11"/>
        <color theme="1"/>
        <rFont val="Arial"/>
      </rPr>
      <t xml:space="preserve">TERM:</t>
    </r>
    <r>
      <rPr>
        <sz val="11"/>
        <color theme="1"/>
        <rFont val="Arial"/>
      </rPr>
      <t xml:space="preserve"> QYSYLU (ҚЫСЫЛУ) — to feel embarrassed; to feel constrained; to be in difficulty [KED, SZK]
</t>
    </r>
    <r>
      <rPr>
        <b/>
        <sz val="11"/>
        <color theme="1"/>
        <rFont val="Arial"/>
      </rPr>
      <t xml:space="preserve">PASSAGE:</t>
    </r>
    <r>
      <rPr>
        <sz val="11"/>
        <color theme="1"/>
        <rFont val="Arial"/>
      </rPr>
      <t xml:space="preserve"> Бұған нақсүйері болуды ұсынып, емеурін танытқан кезі, содан кейін де өз аяғымен түрмеге іздеп барғандағы ұятқа қалғаны есіне түсіп, қатты </t>
    </r>
    <r>
      <rPr>
        <b/>
        <sz val="11"/>
        <color theme="1"/>
        <rFont val="Arial"/>
      </rPr>
      <t xml:space="preserve">қысылып</t>
    </r>
    <r>
      <rPr>
        <sz val="11"/>
        <color theme="1"/>
        <rFont val="Arial"/>
      </rPr>
      <t xml:space="preserve"> кетті.
</t>
    </r>
    <r>
      <rPr>
        <b/>
        <sz val="11"/>
        <color theme="1"/>
        <rFont val="Arial"/>
      </rPr>
      <t xml:space="preserve">TRANS:</t>
    </r>
    <r>
      <rPr>
        <sz val="11"/>
        <color theme="1"/>
        <rFont val="Arial"/>
      </rPr>
      <t xml:space="preserve"> Būğan naqsüierı boludy ūsynyp, emeurın tanytqan kezı, sodan keiın de öz aiağymen türmege ızdep barğandağy ūiatqa qalğany esıne tüsıp, qatty </t>
    </r>
    <r>
      <rPr>
        <b/>
        <sz val="11"/>
        <color theme="1"/>
        <rFont val="Arial"/>
      </rPr>
      <t xml:space="preserve">qysylyp</t>
    </r>
    <r>
      <rPr>
        <sz val="11"/>
        <color theme="1"/>
        <rFont val="Arial"/>
      </rPr>
      <t xml:space="preserve"> kettı.
</t>
    </r>
    <r>
      <rPr>
        <b/>
        <sz val="11"/>
        <color theme="1"/>
        <rFont val="Arial"/>
      </rPr>
      <t xml:space="preserve">TRANSLATION:</t>
    </r>
    <r>
      <rPr>
        <sz val="11"/>
        <color theme="1"/>
        <rFont val="Arial"/>
      </rPr>
      <t xml:space="preserve"> She remembered offering herself to him as his mistress, and then later going to him in prison on her own feet and bringing </t>
    </r>
    <r>
      <rPr>
        <b/>
        <sz val="11"/>
        <color theme="1"/>
        <rFont val="Arial"/>
      </rPr>
      <t xml:space="preserve">disgrace</t>
    </r>
    <r>
      <rPr>
        <sz val="11"/>
        <color theme="1"/>
        <rFont val="Arial"/>
      </rPr>
      <t xml:space="preserve"> upon herself; she became deeply </t>
    </r>
    <r>
      <rPr>
        <b/>
        <sz val="11"/>
        <color theme="1"/>
        <rFont val="Arial"/>
      </rPr>
      <t xml:space="preserve">embarrassed</t>
    </r>
    <r>
      <rPr>
        <sz val="11"/>
        <color theme="1"/>
        <rFont val="Arial"/>
      </rPr>
      <t xml:space="preserve">.</t>
    </r>
  </si>
  <si>
    <t xml:space="preserve">shame about social-moral convention; shame as driver of behavior; Mrs Elsing, Archie as witnesses; potentially the whole society</t>
  </si>
  <si>
    <t xml:space="preserve">How she got out of the office she never remembered. But she went instantly, swiftly, by Ashley's order, leaving Ashley and Archie in grim converse in the little room and India and Mrs. Elsing outside with their backs to her. Shame and fear sped her homeward and, in her mind, Archie with his patriarch's beard assumed the proportions of an avenging angel straight from the pages of the Old Testament.</t>
  </si>
  <si>
    <t xml:space="preserve">TERM: stydom (стыдом) — shame (instrumental) [ORD] (lemma: стыд)
PASSAGE: Скарлетт помчалась домой, подгоняемая стыдом и страхом,
TRANS: Skarlett pomchalas' domoy, podgonyaemaya stydom i strakhom,
TRANSLATION: Scarlett rushed home, driven by shame and fear,</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</si>
  <si>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Қорқыныш пен </t>
    </r>
    <r>
      <rPr>
        <b/>
        <sz val="11"/>
        <color theme="1"/>
        <rFont val="Arial"/>
      </rPr>
      <t xml:space="preserve">ұят</t>
    </r>
    <r>
      <rPr>
        <sz val="11"/>
        <color theme="1"/>
        <rFont val="Arial"/>
      </rPr>
      <t xml:space="preserve"> қамалап, соңынан қуып келе жатқандай, үйіне қарай ышқынып келеді, көз алдында сақалы сала құлаш, Көне Өсиет ішіндегі кек алушы періште секілді Арчидің бейнесі бірге ұшып келеді.
</t>
    </r>
    <r>
      <rPr>
        <b/>
        <sz val="11"/>
        <color theme="1"/>
        <rFont val="Arial"/>
      </rPr>
      <t xml:space="preserve">TRANS:</t>
    </r>
    <r>
      <rPr>
        <sz val="11"/>
        <color theme="1"/>
        <rFont val="Arial"/>
      </rPr>
      <t xml:space="preserve"> Qorqynyş pen </t>
    </r>
    <r>
      <rPr>
        <b/>
        <sz val="11"/>
        <color theme="1"/>
        <rFont val="Arial"/>
      </rPr>
      <t xml:space="preserve">ūiat</t>
    </r>
    <r>
      <rPr>
        <sz val="11"/>
        <color theme="1"/>
        <rFont val="Arial"/>
      </rPr>
      <t xml:space="preserve"> qamalap, soñynan quyp kele jatqandai, üiıne qarai yşqynyp keledı, köz aldynda saqaly sala qūlaş, Köne Ösiet ışındegı kek aluşy perışte sekıldı Archidıñ beinesı bırge ūşyp keledı.
</t>
    </r>
    <r>
      <rPr>
        <b/>
        <sz val="11"/>
        <color theme="1"/>
        <rFont val="Arial"/>
      </rPr>
      <t xml:space="preserve">TRANSLATION:</t>
    </r>
    <r>
      <rPr>
        <sz val="11"/>
        <color theme="1"/>
        <rFont val="Arial"/>
      </rPr>
      <t xml:space="preserve"> Driven on by fear and </t>
    </r>
    <r>
      <rPr>
        <b/>
        <sz val="11"/>
        <color theme="1"/>
        <rFont val="Arial"/>
      </rPr>
      <t xml:space="preserve">shame</t>
    </r>
    <r>
      <rPr>
        <sz val="11"/>
        <color theme="1"/>
        <rFont val="Arial"/>
      </rPr>
      <t xml:space="preserve"> as if pursuing her, she rushed home, with the image of Archie — bearded down to his waist, like an avenging angel from the Old Testament — flying along beside her in her mind.</t>
    </r>
  </si>
  <si>
    <t xml:space="preserve">mild vicarious shame about realizing Scarlett’s ignorance; no physical manifestation; Ashley specific witness</t>
  </si>
  <si>
    <t xml:space="preserve">An odd look came over Charles' face, incredulity and shame struggling with love. Love triumphed as he realized that it was enough for a girl to be sweet and gentle and beautiful, without having an education to hamper her charms, and he made swift answer: "The Borgias were Italians."</t>
  </si>
  <si>
    <t xml:space="preserve">Charles Hamilton</t>
  </si>
  <si>
    <t xml:space="preserve">TERM: nedoumevayushche i smushchenno (недоумевающе и смущенно) — in bewilderment and embarrassment [ORD] (lemma: смущенно)
PASSAGE: Чарльз как-то странно посмотрел на нее — недоумевающе и смущенно
TRANS: Charl'z kak-to stranno posmotrel na nee — nedoumevayushche i smushchenno
TRANSLATION: Charles looked at her in a strange way — bewildered and embarrassed.</t>
  </si>
  <si>
    <t xml:space="preserve">absent shame about social conventions; community / diffuse audience</t>
  </si>
  <si>
    <t xml:space="preserve">To their horror, mothers found their daughters holding hands with these men. Mrs. Merriwether, who had never kissed her husband until after the wedding ceremony, could scarcely believe her eyes when she caught Maybelle kissing the little Zouave, Rene Picard, and her consternation was even greater when Maybelle refused to be ashamed. Even the fact that Rene immediately asked for her hand did not improve matters. Mrs. Merriwether felt that the South was heading for a complete moral collapse and frequently said so. Other mothers concurred heartily with her and blamed it on the war.</t>
  </si>
  <si>
    <t xml:space="preserve">Community / South</t>
  </si>
  <si>
    <t xml:space="preserve">TERM: ne byla smushchena (не была смущена) — was not embarrassed (passive past fem. neg.) [ORD] (lemma: смутить)
PASSAGE: Ужас ее был тем более неописуем, что Мейбелл ничуть не была смущена.
TRANS: Uzhas ee byl tem bolee neopisuem, chto Meybell nichut' ne byla smushchena.
TRANSLATION: Her horror was the more indescribable because Maybelle was not at all flustered.</t>
  </si>
  <si>
    <r>
      <rPr>
        <b/>
        <sz val="11"/>
        <color theme="1"/>
        <rFont val="Arial"/>
      </rPr>
      <t xml:space="preserve">TERM:</t>
    </r>
    <r>
      <rPr>
        <sz val="11"/>
        <color theme="1"/>
        <rFont val="Arial"/>
      </rPr>
      <t xml:space="preserve"> QYMSYNU (ҚЫМСЫНУ) — to feel awkward; to feel embarrassed [KED, SZK]
</t>
    </r>
    <r>
      <rPr>
        <b/>
        <sz val="11"/>
        <color theme="1"/>
        <rFont val="Arial"/>
      </rPr>
      <t xml:space="preserve">PASSAGE:</t>
    </r>
    <r>
      <rPr>
        <sz val="11"/>
        <color theme="1"/>
        <rFont val="Arial"/>
      </rPr>
      <t xml:space="preserve"> Осы қылығы үшін Мэйбеллдің ешқандай </t>
    </r>
    <r>
      <rPr>
        <b/>
        <sz val="11"/>
        <color theme="1"/>
        <rFont val="Arial"/>
      </rPr>
      <t xml:space="preserve">қымсынбағанын</t>
    </r>
    <r>
      <rPr>
        <sz val="11"/>
        <color theme="1"/>
        <rFont val="Arial"/>
      </rPr>
      <t xml:space="preserve"> көргенде тіпті айран-асыр болды.
</t>
    </r>
    <r>
      <rPr>
        <b/>
        <sz val="11"/>
        <color theme="1"/>
        <rFont val="Arial"/>
      </rPr>
      <t xml:space="preserve">TRANS:</t>
    </r>
    <r>
      <rPr>
        <sz val="11"/>
        <color theme="1"/>
        <rFont val="Arial"/>
      </rPr>
      <t xml:space="preserve"> Osy qylyğy üşın Meibelldıñ eşqandai </t>
    </r>
    <r>
      <rPr>
        <b/>
        <sz val="11"/>
        <color theme="1"/>
        <rFont val="Arial"/>
      </rPr>
      <t xml:space="preserve">qymsynbağanyn</t>
    </r>
    <r>
      <rPr>
        <sz val="11"/>
        <color theme="1"/>
        <rFont val="Arial"/>
      </rPr>
      <t xml:space="preserve"> körgende tıptı airan-asyr boldy.
</t>
    </r>
    <r>
      <rPr>
        <b/>
        <sz val="11"/>
        <color theme="1"/>
        <rFont val="Arial"/>
      </rPr>
      <t xml:space="preserve">TRANSLATION:</t>
    </r>
    <r>
      <rPr>
        <sz val="11"/>
        <color theme="1"/>
        <rFont val="Arial"/>
      </rPr>
      <t xml:space="preserve"> When she saw that Maybelle was not at all </t>
    </r>
    <r>
      <rPr>
        <b/>
        <sz val="11"/>
        <color theme="1"/>
        <rFont val="Arial"/>
      </rPr>
      <t xml:space="preserve">embarrassed</t>
    </r>
    <r>
      <rPr>
        <sz val="11"/>
        <color theme="1"/>
        <rFont val="Arial"/>
      </rPr>
      <t xml:space="preserve"> about this conduct of hers, she was utterly astounded.</t>
    </r>
  </si>
  <si>
    <t xml:space="preserve">Supposed child’s shame about a parent who breaks social convention; group of children as witnesses</t>
  </si>
  <si>
    <t xml:space="preserve">"A boy has to be proud of his father—or stepfather. I can't let him be ashamed before the other little brutes. Cruel creatures, children."</t>
  </si>
  <si>
    <t xml:space="preserve">Wade</t>
  </si>
  <si>
    <t xml:space="preserve">TERM: stydno (стыдно) — it is shameful; (one) feels ashamed (impersonal predicate) [ORD]
PASSAGE: Я не хочу, чтобы ему было стыдно перед другими маленькими зверюгами.
TRANS: Ya ne khochu, chtoby emu bylo stydno pered drugimi malen'kimi zveryugami.
TRANSLATION: I do not want him to be ashamed before other little brutes.</t>
  </si>
  <si>
    <r>
      <rPr>
        <b/>
        <sz val="11"/>
        <color theme="1"/>
        <rFont val="Arial"/>
      </rPr>
      <t xml:space="preserve">TERM:</t>
    </r>
    <r>
      <rPr>
        <sz val="11"/>
        <color theme="1"/>
        <rFont val="Arial"/>
      </rPr>
      <t xml:space="preserve"> NAZAR (НАЗАР) — attention; notice; gaze [KED, SZK]
</t>
    </r>
    <r>
      <rPr>
        <b/>
        <sz val="11"/>
        <color theme="1"/>
        <rFont val="Arial"/>
      </rPr>
      <t xml:space="preserve">PASSAGE:</t>
    </r>
    <r>
      <rPr>
        <sz val="11"/>
        <color theme="1"/>
        <rFont val="Arial"/>
      </rPr>
      <t xml:space="preserve"> Өзге балалардың алдында </t>
    </r>
    <r>
      <rPr>
        <b/>
        <sz val="11"/>
        <color theme="1"/>
        <rFont val="Arial"/>
      </rPr>
      <t xml:space="preserve">назары</t>
    </r>
    <r>
      <rPr>
        <sz val="11"/>
        <color theme="1"/>
        <rFont val="Arial"/>
      </rPr>
      <t xml:space="preserve"> төмен, көңілі пәс болғанын қаламаймын.
</t>
    </r>
    <r>
      <rPr>
        <b/>
        <sz val="11"/>
        <color theme="1"/>
        <rFont val="Arial"/>
      </rPr>
      <t xml:space="preserve">TRANS:</t>
    </r>
    <r>
      <rPr>
        <sz val="11"/>
        <color theme="1"/>
        <rFont val="Arial"/>
      </rPr>
      <t xml:space="preserve"> Özge balalardyñ aldynda nazary </t>
    </r>
    <r>
      <rPr>
        <b/>
        <sz val="11"/>
        <color theme="1"/>
        <rFont val="Arial"/>
      </rPr>
      <t xml:space="preserve">tömen</t>
    </r>
    <r>
      <rPr>
        <sz val="11"/>
        <color theme="1"/>
        <rFont val="Arial"/>
      </rPr>
      <t xml:space="preserve">, köñılı päs bolğanyn qalamaimyn.
</t>
    </r>
    <r>
      <rPr>
        <b/>
        <sz val="11"/>
        <color theme="1"/>
        <rFont val="Arial"/>
      </rPr>
      <t xml:space="preserve">TRANSLATION:</t>
    </r>
    <r>
      <rPr>
        <sz val="11"/>
        <color theme="1"/>
        <rFont val="Arial"/>
      </rPr>
      <t xml:space="preserve"> I do not want him to be downcast and dispirited before the other children.</t>
    </r>
  </si>
  <si>
    <t xml:space="preserve">"Do you think I'm going to have my Bonnie ashamed of her father? Have her left out of parties when she's nine or ten? Do you think I'm going to have her humiliated like Wade for things that aren't her fault but yours and mine?"</t>
  </si>
  <si>
    <t xml:space="preserve">Bonnie</t>
  </si>
  <si>
    <t xml:space="preserve">TERM: stydilas' (стыдилась) — felt ashamed (3sg fem. past, impf.) [ORD] (lemma: стыдиться)
PASSAGE: Вы думаете, я допущу, чтобы моя Бонни стыдилась своего отца?
TRANS: Vy dumaete, ya dopushchu, chtoby moya Bonni stydilas' svoego ottsa?
TRANSLATION: Do you think I will allow my Bonnie to be ashamed of her father?</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</si>
  <si>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Боннидің өз әкесі үшін </t>
    </r>
    <r>
      <rPr>
        <b/>
        <sz val="11"/>
        <color theme="1"/>
        <rFont val="Arial"/>
      </rPr>
      <t xml:space="preserve">ұялғанын</t>
    </r>
    <r>
      <rPr>
        <sz val="11"/>
        <color theme="1"/>
        <rFont val="Arial"/>
      </rPr>
      <t xml:space="preserve"> қалайды ғой деймісің мені?
</t>
    </r>
    <r>
      <rPr>
        <b/>
        <sz val="11"/>
        <color theme="1"/>
        <rFont val="Arial"/>
      </rPr>
      <t xml:space="preserve">TRANS:</t>
    </r>
    <r>
      <rPr>
        <sz val="11"/>
        <color theme="1"/>
        <rFont val="Arial"/>
      </rPr>
      <t xml:space="preserve"> Bonnidıñ öz äkesı üşın </t>
    </r>
    <r>
      <rPr>
        <b/>
        <sz val="11"/>
        <color theme="1"/>
        <rFont val="Arial"/>
      </rPr>
      <t xml:space="preserve">ūialğanyn</t>
    </r>
    <r>
      <rPr>
        <sz val="11"/>
        <color theme="1"/>
        <rFont val="Arial"/>
      </rPr>
      <t xml:space="preserve"> qalaidy ğoi deimısıñ menı?
</t>
    </r>
    <r>
      <rPr>
        <b/>
        <sz val="11"/>
        <color theme="1"/>
        <rFont val="Arial"/>
      </rPr>
      <t xml:space="preserve">TRANSLATION:</t>
    </r>
    <r>
      <rPr>
        <sz val="11"/>
        <color theme="1"/>
        <rFont val="Arial"/>
      </rPr>
      <t xml:space="preserve"> Do you think I would want Bonnie to be </t>
    </r>
    <r>
      <rPr>
        <b/>
        <sz val="11"/>
        <color theme="1"/>
        <rFont val="Arial"/>
      </rPr>
      <t xml:space="preserve">ashamed</t>
    </r>
    <r>
      <rPr>
        <sz val="11"/>
        <color theme="1"/>
        <rFont val="Arial"/>
      </rPr>
      <t xml:space="preserve"> of her own father?</t>
    </r>
  </si>
  <si>
    <t xml:space="preserve">mild shame about social convention; no physical manifestation; no specific witness</t>
  </si>
  <si>
    <t xml:space="preserve">"It isn't silly," said Mrs. Elsing indignantly. "Yesterday, in the pouring rain, he had those three children, even the baby, mind you, out in his carriage riding them up and down Peachtree Street and he gave me a lift home. And when I said: 'Captain Butler, have you lost your mind keeping these children out in the damp? Why don't you take them home?' And he didn't say a word but just looked embarrassed. But Mammy spoke up and said: 'De house full of w'ite trash an' it healthier fer de chillun in de rain dan at home!'</t>
  </si>
  <si>
    <t xml:space="preserve">TERM: smushchennyy (смущенный) — embarrassed; flustered (adj./past pass. part.) [ORD]
PASSAGE: Почему не везете их домой?», он ни слова не ответил, но вид у него был смущенный.
TRANS: Pochemu ne vezete ikh domoy?», on ni slova ne otvetil, no vid u nego byl smushchennyy.
TRANSLATION: "Why don't you take them home?" — he didn't say a word in reply, but he had an embarrassed look.</t>
  </si>
  <si>
    <r>
      <rPr>
        <b/>
        <sz val="11"/>
        <color theme="1"/>
        <rFont val="Arial"/>
      </rPr>
      <t xml:space="preserve">TERM:</t>
    </r>
    <r>
      <rPr>
        <sz val="11"/>
        <color theme="1"/>
        <rFont val="Arial"/>
      </rPr>
      <t xml:space="preserve"> TÜR (ТҮР) — appearance; look; form [KED, SZK]
</t>
    </r>
    <r>
      <rPr>
        <b/>
        <sz val="11"/>
        <color theme="1"/>
        <rFont val="Arial"/>
      </rPr>
      <t xml:space="preserve">PASSAGE:</t>
    </r>
    <r>
      <rPr>
        <sz val="11"/>
        <color theme="1"/>
        <rFont val="Arial"/>
      </rPr>
      <t xml:space="preserve"> жұмған аузын ашпады, бірақ </t>
    </r>
    <r>
      <rPr>
        <b/>
        <sz val="11"/>
        <color theme="1"/>
        <rFont val="Arial"/>
      </rPr>
      <t xml:space="preserve">түрі</t>
    </r>
    <r>
      <rPr>
        <sz val="11"/>
        <color theme="1"/>
        <rFont val="Arial"/>
      </rPr>
      <t xml:space="preserve"> түтігіп кеткен.
</t>
    </r>
    <r>
      <rPr>
        <b/>
        <sz val="11"/>
        <color theme="1"/>
        <rFont val="Arial"/>
      </rPr>
      <t xml:space="preserve">TRANS:</t>
    </r>
    <r>
      <rPr>
        <sz val="11"/>
        <color theme="1"/>
        <rFont val="Arial"/>
      </rPr>
      <t xml:space="preserve"> jūmğan auzyn aşpady, bıraq </t>
    </r>
    <r>
      <rPr>
        <b/>
        <sz val="11"/>
        <color theme="1"/>
        <rFont val="Arial"/>
      </rPr>
      <t xml:space="preserve">türı</t>
    </r>
    <r>
      <rPr>
        <sz val="11"/>
        <color theme="1"/>
        <rFont val="Arial"/>
      </rPr>
      <t xml:space="preserve"> tütıgıp ketken.
</t>
    </r>
    <r>
      <rPr>
        <b/>
        <sz val="11"/>
        <color theme="1"/>
        <rFont val="Arial"/>
      </rPr>
      <t xml:space="preserve">TRANSLATION:</t>
    </r>
    <r>
      <rPr>
        <sz val="11"/>
        <color theme="1"/>
        <rFont val="Arial"/>
      </rPr>
      <t xml:space="preserve"> he did not open his closed mouth, but his </t>
    </r>
    <r>
      <rPr>
        <b/>
        <sz val="11"/>
        <color theme="1"/>
        <rFont val="Arial"/>
      </rPr>
      <t xml:space="preserve">look</t>
    </r>
    <r>
      <rPr>
        <sz val="11"/>
        <color theme="1"/>
        <rFont val="Arial"/>
      </rPr>
      <t xml:space="preserve"> had darkened.</t>
    </r>
  </si>
  <si>
    <t xml:space="preserve">shame about body exposure, feminine modesty; posture manifests feeling; Scarlett as  witness</t>
  </si>
  <si>
    <t xml:space="preserve">"Thank God, I'm not that modest," thought Scarlett, feeling rather than seeing Melanie's agony of embarrassment, as she wrapped the ragged cloth about the shattered face.</t>
  </si>
  <si>
    <t xml:space="preserve">TERM: muki (муки) — torments; agonies (pl.) [ORD] (lemma: мука)
PASSAGE: «Какое счастье, что я не наделена такой непомерной стыдливостью», — подумала Скарлетт, обертывая рваным пеньюаром изуродованную голову солдата и не столько видя, сколько чувствуя, какие муки испытывает от своей наготы Мелани.
TRANS: «Kakoe schast'e, chto ya ne nadelena takoy nepomernoy stydlivost'yu», — podumala Skarlett, obertyvaya rvanym pen'yuarom izurodovannuyu golovu soldata i ne stol'ko vidya, skol'ko chuvstvuya, kakie muki ispytyvaet ot svoey nagoty Melani.
TRANSLATION: "What luck that I am not endowed with such excessive modesty," thought Scarlett, wrapping the soldier's mutilated head in her torn dressing-gown and not so much seeing as feeling what torments Melanie was undergoing because of her nakedness.</t>
  </si>
  <si>
    <r>
      <rPr>
        <b/>
        <sz val="11"/>
        <color theme="1"/>
        <rFont val="Arial"/>
      </rPr>
      <t xml:space="preserve">TERM:</t>
    </r>
    <r>
      <rPr>
        <sz val="11"/>
        <color theme="1"/>
        <rFont val="Arial"/>
      </rPr>
      <t xml:space="preserve"> AZAPTY (АЗАПТЫ) — tormented; painful [KED, SZK]
</t>
    </r>
    <r>
      <rPr>
        <b/>
        <sz val="11"/>
        <color theme="1"/>
        <rFont val="Arial"/>
      </rPr>
      <t xml:space="preserve">PASSAGE:</t>
    </r>
    <r>
      <rPr>
        <sz val="11"/>
        <color theme="1"/>
        <rFont val="Arial"/>
      </rPr>
      <t xml:space="preserve"> "Маған мұндай шамадан тыс ұялшақтық берілмегені қандай бақыт, - деп ойлады Скарлетт, Меланидің жалаңаштығынан қандай </t>
    </r>
    <r>
      <rPr>
        <b/>
        <sz val="11"/>
        <color theme="1"/>
        <rFont val="Arial"/>
      </rPr>
      <t xml:space="preserve">азапты</t>
    </r>
    <r>
      <rPr>
        <sz val="11"/>
        <color theme="1"/>
        <rFont val="Arial"/>
      </rPr>
      <t xml:space="preserve"> сезінгеніне қарап
</t>
    </r>
    <r>
      <rPr>
        <b/>
        <sz val="11"/>
        <color theme="1"/>
        <rFont val="Arial"/>
      </rPr>
      <t xml:space="preserve">TRANS:</t>
    </r>
    <r>
      <rPr>
        <sz val="11"/>
        <color theme="1"/>
        <rFont val="Arial"/>
      </rPr>
      <t xml:space="preserve"> "Mağan mūndai şamadan tys ūialşaqtyq berılmegenı qandai baqyt, - dep oilady Skarlett, Melanidıñ jalañaştyğynan qandai </t>
    </r>
    <r>
      <rPr>
        <b/>
        <sz val="11"/>
        <color theme="1"/>
        <rFont val="Arial"/>
      </rPr>
      <t xml:space="preserve">azapty</t>
    </r>
    <r>
      <rPr>
        <sz val="11"/>
        <color theme="1"/>
        <rFont val="Arial"/>
      </rPr>
      <t xml:space="preserve"> sezıngenıne qarap
</t>
    </r>
    <r>
      <rPr>
        <b/>
        <sz val="11"/>
        <color theme="1"/>
        <rFont val="Arial"/>
      </rPr>
      <t xml:space="preserve">TRANSLATION:</t>
    </r>
    <r>
      <rPr>
        <sz val="11"/>
        <color theme="1"/>
        <rFont val="Arial"/>
      </rPr>
      <t xml:space="preserve"> "What good fortune that I have not been given such excessive shyness," thought Scarlett, looking at what </t>
    </r>
    <r>
      <rPr>
        <b/>
        <sz val="11"/>
        <color theme="1"/>
        <rFont val="Arial"/>
      </rPr>
      <t xml:space="preserve">torments</t>
    </r>
    <r>
      <rPr>
        <sz val="11"/>
        <color theme="1"/>
        <rFont val="Arial"/>
      </rPr>
      <t xml:space="preserve"> Melanie was suffering because of her nakedness</t>
    </r>
  </si>
  <si>
    <t xml:space="preserve">mild shame about social convention; no physical manifestation; family witness</t>
  </si>
  <si>
    <t xml:space="preserve">"And the selfish swine won't give them to either of us," said Tony. "And they'd fit our small, aristocratic Fontaine feet perfectly. Hell's afire, I'm ashamed to face Mother in these brogans.</t>
  </si>
  <si>
    <t xml:space="preserve">Tony Fontaine</t>
  </si>
  <si>
    <t xml:space="preserve">Social shame about social convention – not be seen during advanced pregnancy; no physical manifestation; Ashley witness</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</si>
  <si>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Мен болсам, сізге көрінуге де </t>
    </r>
    <r>
      <rPr>
        <b/>
        <sz val="11"/>
        <color theme="1"/>
        <rFont val="Arial"/>
      </rPr>
      <t xml:space="preserve">ұялып</t>
    </r>
    <r>
      <rPr>
        <sz val="11"/>
        <color theme="1"/>
        <rFont val="Arial"/>
      </rPr>
      <t xml:space="preserve"> жүр едім...
</t>
    </r>
    <r>
      <rPr>
        <b/>
        <sz val="11"/>
        <color theme="1"/>
        <rFont val="Arial"/>
      </rPr>
      <t xml:space="preserve">TRANS:</t>
    </r>
    <r>
      <rPr>
        <sz val="11"/>
        <color theme="1"/>
        <rFont val="Arial"/>
      </rPr>
      <t xml:space="preserve"> Men bolsam, sızge körınuge de </t>
    </r>
    <r>
      <rPr>
        <b/>
        <sz val="11"/>
        <color theme="1"/>
        <rFont val="Arial"/>
      </rPr>
      <t xml:space="preserve">ūialyp</t>
    </r>
    <r>
      <rPr>
        <sz val="11"/>
        <color theme="1"/>
        <rFont val="Arial"/>
      </rPr>
      <t xml:space="preserve"> jür edım...
</t>
    </r>
    <r>
      <rPr>
        <b/>
        <sz val="11"/>
        <color theme="1"/>
        <rFont val="Arial"/>
      </rPr>
      <t xml:space="preserve">TRANSLATION:</t>
    </r>
    <r>
      <rPr>
        <sz val="11"/>
        <color theme="1"/>
        <rFont val="Arial"/>
      </rPr>
      <t xml:space="preserve"> As for me, I had been </t>
    </r>
    <r>
      <rPr>
        <b/>
        <sz val="11"/>
        <color theme="1"/>
        <rFont val="Arial"/>
      </rPr>
      <t xml:space="preserve">ashamed</t>
    </r>
    <r>
      <rPr>
        <sz val="11"/>
        <color theme="1"/>
        <rFont val="Arial"/>
      </rPr>
      <t xml:space="preserve"> to be seen by you...</t>
    </r>
  </si>
  <si>
    <t xml:space="preserve">supposed moral shame</t>
  </si>
  <si>
    <t xml:space="preserve">Oh, she could stand the cuts, the slights, the covert smiles, anything the town might say, if she had to stand them—but not Melanie! Oh, not Melanie! She did not know why she should mind Melanie knowing, more than anyone else. She was too frightened and weighed down by a sense of past guilt to try to understand it. But she burst into tears at the thought of what would be in Melanie's eyes when India told her that she had caught Ashley fondling Scarlett. And what would Melanie do when she knew? Leave Ashley? What else could she do, with any dignity? And what will Ashley and I do then? she thought frenziedly, the tears streaming down her face. Oh, Ashley will die of shame and hate me for bringing this on him. Suddenly her tears stopped short as a deadly fear went through her heart. What of Rhett? What would he do?</t>
  </si>
  <si>
    <t xml:space="preserve">TERM: styda (стыда) — shame (genitive) [ORD] (lemma: стыд)
PASSAGE: О, Эшли просто умрет со стыда и возненавидит меня за то, что я навлекла на него такое
TRANS: O, Eshli prosto umret so styda i voznenavidit menya za to, chto ya navlekla na nego takoe
TRANSLATION: Oh, Ashley would simply die of shame and would hate me for having brought such a thing upon him</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</si>
  <si>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Эшли осы жағдайға тап келтіргені үшін мұны өлердей жек көріп және өзі </t>
    </r>
    <r>
      <rPr>
        <b/>
        <sz val="11"/>
        <color theme="1"/>
        <rFont val="Arial"/>
      </rPr>
      <t xml:space="preserve">ұяттан</t>
    </r>
    <r>
      <rPr>
        <sz val="11"/>
        <color theme="1"/>
        <rFont val="Arial"/>
      </rPr>
      <t xml:space="preserve"> өліп те кетуі мүмкін-ау.
</t>
    </r>
    <r>
      <rPr>
        <b/>
        <sz val="11"/>
        <color theme="1"/>
        <rFont val="Arial"/>
      </rPr>
      <t xml:space="preserve">TRANS:</t>
    </r>
    <r>
      <rPr>
        <sz val="11"/>
        <color theme="1"/>
        <rFont val="Arial"/>
      </rPr>
      <t xml:space="preserve"> Eşli osy jağdaiğa tap keltırgenı üşın mūny ölerdei jek körıp jäne özı </t>
    </r>
    <r>
      <rPr>
        <b/>
        <sz val="11"/>
        <color theme="1"/>
        <rFont val="Arial"/>
      </rPr>
      <t xml:space="preserve">ūiattan</t>
    </r>
    <r>
      <rPr>
        <sz val="11"/>
        <color theme="1"/>
        <rFont val="Arial"/>
      </rPr>
      <t xml:space="preserve"> ölıp te ketuı mümkın-au.
</t>
    </r>
    <r>
      <rPr>
        <b/>
        <sz val="11"/>
        <color theme="1"/>
        <rFont val="Arial"/>
      </rPr>
      <t xml:space="preserve">TRANSLATION:</t>
    </r>
    <r>
      <rPr>
        <sz val="11"/>
        <color theme="1"/>
        <rFont val="Arial"/>
      </rPr>
      <t xml:space="preserve"> Ashley might hate this woman to death and might himself die of </t>
    </r>
    <r>
      <rPr>
        <b/>
        <sz val="11"/>
        <color theme="1"/>
        <rFont val="Arial"/>
      </rPr>
      <t xml:space="preserve">shame</t>
    </r>
    <r>
      <rPr>
        <sz val="11"/>
        <color theme="1"/>
        <rFont val="Arial"/>
      </rPr>
      <t xml:space="preserve"> for having put him in this situation.</t>
    </r>
  </si>
  <si>
    <t xml:space="preserve">Supposed moral shame</t>
  </si>
  <si>
    <t xml:space="preserve">Tomorrow she would not be so haunted by the memory of Ashley's face, his broken pride and his shame—shame that she had caused, shame in which he had so little part. Would he hate her now, her darling honorable Ashley, because she had shamed him? Of course he would hate her now—now that they had both been saved by the indignant squaring of Melanie's thin shoulders and the love and outspoken trust which had been in her voice as she crossed the glassy floor to slip her arm through Scarlett's and face the curious, malicious, covertly hostile crowd.</t>
  </si>
  <si>
    <t xml:space="preserve">TERM: pozor (позор) — disgrace; shame; ignominy [ORD]
PASSAGE: Завтра ее уже не будет преследовать лицо Эшли, воспоминание об его сломленной гордости и позоре — позоре, который навлекла на него она, тогда как он был ни в чем не повинен.
TRANS: Zavtra ee uzhe ne budet presledovat' litso Eshli, vospominanie ob ego slomlennoy gordosti i pozore — pozore, kotoryy navlekla na nego ona, togda kak on byl ni v chem ne povinen.
TRANSLATION: Tomorrow she would no longer be haunted by Ashley's face, the memory of his broken pride and his disgrace — disgrace which she had brought upon him, while he was guilty of nothing.</t>
  </si>
  <si>
    <t xml:space="preserve">Social retrospective shame, society as witness</t>
  </si>
  <si>
    <t xml:space="preserve">Against no one was feeling more bitter than against Rhett Butler. He had sold his boats when blockading grew too hazardous, and he was now openly engaged in food speculation. The stories about him that came back to Atlanta from Richmond and Wilmington made those who had received him in other days writhe with shame.</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</si>
  <si>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Оның Ричмонд пен Уилмингтондағы қызметі туралы қауесет Атландаға жетіп, бір кезде оны қонаққа шақырған барлық адамдарды </t>
    </r>
    <r>
      <rPr>
        <b/>
        <sz val="11"/>
        <color theme="1"/>
        <rFont val="Arial"/>
      </rPr>
      <t xml:space="preserve">ұятқа</t>
    </r>
    <r>
      <rPr>
        <sz val="11"/>
        <color theme="1"/>
        <rFont val="Arial"/>
      </rPr>
      <t xml:space="preserve"> қалдырды.
</t>
    </r>
    <r>
      <rPr>
        <b/>
        <sz val="11"/>
        <color theme="1"/>
        <rFont val="Arial"/>
      </rPr>
      <t xml:space="preserve">TRANS:</t>
    </r>
    <r>
      <rPr>
        <sz val="11"/>
        <color theme="1"/>
        <rFont val="Arial"/>
      </rPr>
      <t xml:space="preserve"> Onyñ Richmond pen Uilmingtondağy qyzmetı turaly qaueset Atlandağa jetıp, bır kezde ony qonaqqa şaqyrğan barlyq adamdardy </t>
    </r>
    <r>
      <rPr>
        <b/>
        <sz val="11"/>
        <color theme="1"/>
        <rFont val="Arial"/>
      </rPr>
      <t xml:space="preserve">ūiatqa</t>
    </r>
    <r>
      <rPr>
        <sz val="11"/>
        <color theme="1"/>
        <rFont val="Arial"/>
      </rPr>
      <t xml:space="preserve"> qaldyrdy.
</t>
    </r>
    <r>
      <rPr>
        <b/>
        <sz val="11"/>
        <color theme="1"/>
        <rFont val="Arial"/>
      </rPr>
      <t xml:space="preserve">TRANSLATION:</t>
    </r>
    <r>
      <rPr>
        <sz val="11"/>
        <color theme="1"/>
        <rFont val="Arial"/>
      </rPr>
      <t xml:space="preserve"> The talk about his service in Richmond and Wilmington reached Atlanta, and put to </t>
    </r>
    <r>
      <rPr>
        <b/>
        <sz val="11"/>
        <color theme="1"/>
        <rFont val="Arial"/>
      </rPr>
      <t xml:space="preserve">shame</t>
    </r>
    <r>
      <rPr>
        <sz val="11"/>
        <color theme="1"/>
        <rFont val="Arial"/>
      </rPr>
      <t xml:space="preserve"> all those who had once invited him as a guest.</t>
    </r>
  </si>
  <si>
    <t xml:space="preserve">Social shame, ascribed to Scarlett, dismissed as unneeded</t>
  </si>
  <si>
    <t xml:space="preserve">"He just isn't up to active service, Scarlett. You need have no shame about it. After all, someone must stay home and raise crops for the army."</t>
  </si>
  <si>
    <t xml:space="preserve">TERM: stydit'sya (стыдиться) — to feel ashamed (imperfective); pf. постыдиться/устыдиться [ORD]
PASSAGE: вам нечего этого стыдиться.
TRANS: vam nechego etogo stydit'sya.
TRANSLATION: you have nothing to be ashamed of for that.</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</si>
  <si>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сізге ол үшін </t>
    </r>
    <r>
      <rPr>
        <b/>
        <sz val="11"/>
        <color theme="1"/>
        <rFont val="Arial"/>
      </rPr>
      <t xml:space="preserve">ұялудың</t>
    </r>
    <r>
      <rPr>
        <sz val="11"/>
        <color theme="1"/>
        <rFont val="Arial"/>
      </rPr>
      <t xml:space="preserve"> қажеті жоқ.
</t>
    </r>
    <r>
      <rPr>
        <b/>
        <sz val="11"/>
        <color theme="1"/>
        <rFont val="Arial"/>
      </rPr>
      <t xml:space="preserve">TRANS:</t>
    </r>
    <r>
      <rPr>
        <sz val="11"/>
        <color theme="1"/>
        <rFont val="Arial"/>
      </rPr>
      <t xml:space="preserve"> sızge ol üşın </t>
    </r>
    <r>
      <rPr>
        <b/>
        <sz val="11"/>
        <color theme="1"/>
        <rFont val="Arial"/>
      </rPr>
      <t xml:space="preserve">ūialudyñ</t>
    </r>
    <r>
      <rPr>
        <sz val="11"/>
        <color theme="1"/>
        <rFont val="Arial"/>
      </rPr>
      <t xml:space="preserve"> qajetı joq.
</t>
    </r>
    <r>
      <rPr>
        <b/>
        <sz val="11"/>
        <color theme="1"/>
        <rFont val="Arial"/>
      </rPr>
      <t xml:space="preserve">TRANSLATION:</t>
    </r>
    <r>
      <rPr>
        <sz val="11"/>
        <color theme="1"/>
        <rFont val="Arial"/>
      </rPr>
      <t xml:space="preserve"> you have no need to feel </t>
    </r>
    <r>
      <rPr>
        <b/>
        <sz val="11"/>
        <color theme="1"/>
        <rFont val="Arial"/>
      </rPr>
      <t xml:space="preserve">ashamed</t>
    </r>
    <r>
      <rPr>
        <sz val="11"/>
        <color theme="1"/>
        <rFont val="Arial"/>
      </rPr>
      <t xml:space="preserve"> for that.</t>
    </r>
  </si>
  <si>
    <t xml:space="preserve">Social shame, for his wife’s unladylike behavior, manifested in posture</t>
  </si>
  <si>
    <t xml:space="preserve">"And then I made him so miserable. I made him do all sorts of things he didn't want to do, like making people pay their bills when they really couldn't afford to pay them. And it hurt him so when I ran the mills and built the saloon and leased convicts. He could hardly hold up his head for shame. And Rhett, I killed him. Yes, I did!</t>
  </si>
  <si>
    <t xml:space="preserve">Frank Kennedy</t>
  </si>
  <si>
    <t xml:space="preserve">TERM: stydno (стыдно) — it is shameful; (one) feels ashamed (impersonal predicate) [ORD]
PASSAGE: Ему было до того стыдно — он не мог людям в глаза смотреть.
TRANS: Emu bylo do togo stydno — on ne mog lyudyam v glaza smotret'.
TRANSLATION: He was so ashamed — he could not look people in the eyes.</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</si>
  <si>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Ол қатты </t>
    </r>
    <r>
      <rPr>
        <b/>
        <sz val="11"/>
        <color theme="1"/>
        <rFont val="Arial"/>
      </rPr>
      <t xml:space="preserve">ұялғаннан</t>
    </r>
    <r>
      <rPr>
        <sz val="11"/>
        <color theme="1"/>
        <rFont val="Arial"/>
      </rPr>
      <t xml:space="preserve"> адамдардың бетіне тіке қарай алмай жүрді.
</t>
    </r>
    <r>
      <rPr>
        <b/>
        <sz val="11"/>
        <color theme="1"/>
        <rFont val="Arial"/>
      </rPr>
      <t xml:space="preserve">TRANS:</t>
    </r>
    <r>
      <rPr>
        <sz val="11"/>
        <color theme="1"/>
        <rFont val="Arial"/>
      </rPr>
      <t xml:space="preserve"> Ol qatty </t>
    </r>
    <r>
      <rPr>
        <b/>
        <sz val="11"/>
        <color theme="1"/>
        <rFont val="Arial"/>
      </rPr>
      <t xml:space="preserve">ūialğannan</t>
    </r>
    <r>
      <rPr>
        <sz val="11"/>
        <color theme="1"/>
        <rFont val="Arial"/>
      </rPr>
      <t xml:space="preserve"> adamdardyñ betıne tıke qarai almai jürdı.
</t>
    </r>
    <r>
      <rPr>
        <b/>
        <sz val="11"/>
        <color theme="1"/>
        <rFont val="Arial"/>
      </rPr>
      <t xml:space="preserve">TRANSLATION:</t>
    </r>
    <r>
      <rPr>
        <sz val="11"/>
        <color theme="1"/>
        <rFont val="Arial"/>
      </rPr>
      <t xml:space="preserve"> He was so </t>
    </r>
    <r>
      <rPr>
        <b/>
        <sz val="11"/>
        <color theme="1"/>
        <rFont val="Arial"/>
      </rPr>
      <t xml:space="preserve">embarrassed</t>
    </r>
    <r>
      <rPr>
        <sz val="11"/>
        <color theme="1"/>
        <rFont val="Arial"/>
      </rPr>
      <t xml:space="preserve"> that he could not look people directly in the face.</t>
    </r>
  </si>
  <si>
    <t xml:space="preserve">Shame — Absent social shame</t>
  </si>
  <si>
    <t xml:space="preserve">Expected social  shame about degrading occupation — refused / absent</t>
  </si>
  <si>
    <t xml:space="preserve">"And I never thought you'd be driving a pie wagon, Renny Picard," she said. Instead of being ashamed at having his degrading occupation thrown in his face, he seemed pleased and laughed uproariously, slapping Hugh on the back.</t>
  </si>
  <si>
    <t xml:space="preserve">Rene Picard</t>
  </si>
  <si>
    <t xml:space="preserve">TERM: ustydit'sya (устыдиться) — to feel ashamed (perfective) [ORD]
PASSAGE: Но вместо того чтобы устыдиться столь унизительного занятия о котором было сказано во всеуслышание, Рене расхохотался с довольным видом и хлопнул Хью по спине
TRANS: No vmesto togo chtoby ustydit'sya stol' unizitel'nogo zanyatiya o kotorom bylo skazano vo vseuslyshanie, Rene raskhokhotalsya s dovol'nym vidom i khlopnul Kh'yu po spinу
TRANSLATION: But instead of being ashamed of such a degrading occupation that had been mentioned for everyone to hear, Rene burst into laughter with a satisfied air and slapped Hugh on the back</t>
  </si>
  <si>
    <r>
      <rPr>
        <b/>
        <sz val="11"/>
        <color theme="1"/>
        <rFont val="Arial"/>
      </rPr>
      <t xml:space="preserve">TERM:</t>
    </r>
    <r>
      <rPr>
        <sz val="11"/>
        <color theme="1"/>
        <rFont val="Arial"/>
      </rPr>
      <t xml:space="preserve"> QYSYLU (ҚЫСЫЛУ) — to feel embarrassed; to feel constrained; to be in difficulty [KED, SZK]
</t>
    </r>
    <r>
      <rPr>
        <b/>
        <sz val="11"/>
        <color theme="1"/>
        <rFont val="Arial"/>
      </rPr>
      <t xml:space="preserve">PASSAGE:</t>
    </r>
    <r>
      <rPr>
        <sz val="11"/>
        <color theme="1"/>
        <rFont val="Arial"/>
      </rPr>
      <t xml:space="preserve"> Бірақ жұрттың бәрі естісе де янкилерге нан тасығанынан </t>
    </r>
    <r>
      <rPr>
        <b/>
        <sz val="11"/>
        <color theme="1"/>
        <rFont val="Arial"/>
      </rPr>
      <t xml:space="preserve">қысыла</t>
    </r>
    <r>
      <rPr>
        <sz val="11"/>
        <color theme="1"/>
        <rFont val="Arial"/>
      </rPr>
      <t xml:space="preserve"> қоятын, өз ісін қорлық көріп тұрған Рене жоқ, өз-өзіне риза кейіпте қарқылдай күліп, Хьюдің арқасынан қағып қойды.
</t>
    </r>
    <r>
      <rPr>
        <b/>
        <sz val="11"/>
        <color theme="1"/>
        <rFont val="Arial"/>
      </rPr>
      <t xml:space="preserve">TRANS:</t>
    </r>
    <r>
      <rPr>
        <sz val="11"/>
        <color theme="1"/>
        <rFont val="Arial"/>
      </rPr>
      <t xml:space="preserve"> Bıraq jūrttyñ bärı estıse de iankilerge nan tasyğanynan </t>
    </r>
    <r>
      <rPr>
        <b/>
        <sz val="11"/>
        <color theme="1"/>
        <rFont val="Arial"/>
      </rPr>
      <t xml:space="preserve">qysyla</t>
    </r>
    <r>
      <rPr>
        <sz val="11"/>
        <color theme="1"/>
        <rFont val="Arial"/>
      </rPr>
      <t xml:space="preserve"> qoiatyn, öz ısın qorlyq körıp tūrğan Rene joq, öz-özıne riza keiıpte qarqyldai külıp, Hüdıñ arqasynan qağyp qoidy.
</t>
    </r>
    <r>
      <rPr>
        <b/>
        <sz val="11"/>
        <color theme="1"/>
        <rFont val="Arial"/>
      </rPr>
      <t xml:space="preserve">TRANSLATION:</t>
    </r>
    <r>
      <rPr>
        <sz val="11"/>
        <color theme="1"/>
        <rFont val="Arial"/>
      </rPr>
      <t xml:space="preserve"> But Rene, who would have been </t>
    </r>
    <r>
      <rPr>
        <b/>
        <sz val="11"/>
        <color theme="1"/>
        <rFont val="Arial"/>
      </rPr>
      <t xml:space="preserve">embarrassed</t>
    </r>
    <r>
      <rPr>
        <sz val="11"/>
        <color theme="1"/>
        <rFont val="Arial"/>
      </rPr>
      <t xml:space="preserve"> if everyone heard he was carting bread to the Yankees and considered his work degrading — there was no such Rene; with a self-satisfied air he laughed loudly and slapped Hugh on the back.</t>
    </r>
  </si>
  <si>
    <t xml:space="preserve">shame ABSENT — expected shame from enjoying sexual passion with her husband</t>
  </si>
  <si>
    <t xml:space="preserve">Oh, she should be ashamed, should shrink from the very memory of the hot swirling darkness! A lady, a real lady, could never hold up her head after such a night. But, stronger than shame, was the memory of rapture, of the ecstasy of surrender. For the first time in her life she had felt alive, felt passion as sweeping and primitive as the fear she had known the night she fled Atlanta, as dizzy sweet as the cold hate when she had shot the Yankee.</t>
  </si>
  <si>
    <t xml:space="preserve">TERM: ustydit'sya (устыдиться) — to feel ashamed (perfective) [ORD]
PASSAGE: А ведь должна была бы устыдиться, должна была бы бежать даже воспоминаний о жаркой, кружащей голову тьме!
TRANS: A ved' dolzhna byla by ustydit'sya, dolzhna byla by bezhat' dazhe vospominaniy o zharkoy, kruzhashchey golovu t'me!
TRANSLATION: And yet she should have been ashamed, should have fled even from the memories of that hot, head-spinning darkness!</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</si>
  <si>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Содан енді өзі </t>
    </r>
    <r>
      <rPr>
        <b/>
        <sz val="11"/>
        <color theme="1"/>
        <rFont val="Arial"/>
      </rPr>
      <t xml:space="preserve">ұялса</t>
    </r>
    <r>
      <rPr>
        <sz val="11"/>
        <color theme="1"/>
        <rFont val="Arial"/>
      </rPr>
      <t xml:space="preserve"> керек еді ғой, лапылдай жанған отқа оранып, басы айналған түннің есіне түскен елесінен де қашуы керек емес пе?
</t>
    </r>
    <r>
      <rPr>
        <b/>
        <sz val="11"/>
        <color theme="1"/>
        <rFont val="Arial"/>
      </rPr>
      <t xml:space="preserve">TRANS:</t>
    </r>
    <r>
      <rPr>
        <sz val="11"/>
        <color theme="1"/>
        <rFont val="Arial"/>
      </rPr>
      <t xml:space="preserve"> Sodan endı özı </t>
    </r>
    <r>
      <rPr>
        <b/>
        <sz val="11"/>
        <color theme="1"/>
        <rFont val="Arial"/>
      </rPr>
      <t xml:space="preserve">ūialsa</t>
    </r>
    <r>
      <rPr>
        <sz val="11"/>
        <color theme="1"/>
        <rFont val="Arial"/>
      </rPr>
      <t xml:space="preserve"> kerek edı ğoi, lapyldai janğan otqa oranyp, basy ainalğan tünnıñ esıne tüsken elesınen de qaşuy kerek emes pe?
</t>
    </r>
    <r>
      <rPr>
        <b/>
        <sz val="11"/>
        <color theme="1"/>
        <rFont val="Arial"/>
      </rPr>
      <t xml:space="preserve">TRANSLATION:</t>
    </r>
    <r>
      <rPr>
        <sz val="11"/>
        <color theme="1"/>
        <rFont val="Arial"/>
      </rPr>
      <t xml:space="preserve"> Should she not now be </t>
    </r>
    <r>
      <rPr>
        <b/>
        <sz val="11"/>
        <color theme="1"/>
        <rFont val="Arial"/>
      </rPr>
      <t xml:space="preserve">ashamed</t>
    </r>
    <r>
      <rPr>
        <sz val="11"/>
        <color theme="1"/>
        <rFont val="Arial"/>
      </rPr>
      <t xml:space="preserve">, should she not flee even from the appearing memory of that night, wrapped in flaming fire, that made her head spin?</t>
    </r>
  </si>
  <si>
    <t xml:space="preserve">shame directed at another — performative speech act (verdict / directive) – shame DECLARED ABSENT</t>
  </si>
  <si>
    <t xml:space="preserve">"Oh, they don't have to marry! There's nothing shameful in being a spinster. Look at Aunt Pitty. Oh, I'd rather see Cathleen dead! I know Cade would rather see her dead.</t>
  </si>
  <si>
    <t xml:space="preserve">TERM: postydnogo (постыдного) — shameful; ignominious (adj., gen.) [ORD] (lemma: постыдный)
PASSAGE: Ничего нет постыдного в том, чтобы оставаться незамужней.
TRANS: Nichego net postydnogo v tom, chtoby ostavat'sya nezamuzhney.
TRANSLATION: There is nothing shameful about remaining unmarried.</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</si>
  <si>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Күйеуге шықпағанда тұрған </t>
    </r>
    <r>
      <rPr>
        <b/>
        <sz val="11"/>
        <color theme="1"/>
        <rFont val="Arial"/>
      </rPr>
      <t xml:space="preserve">ұят</t>
    </r>
    <r>
      <rPr>
        <sz val="11"/>
        <color theme="1"/>
        <rFont val="Arial"/>
      </rPr>
      <t xml:space="preserve"> ештеңе жоқ.
</t>
    </r>
    <r>
      <rPr>
        <b/>
        <sz val="11"/>
        <color theme="1"/>
        <rFont val="Arial"/>
      </rPr>
      <t xml:space="preserve">TRANS:</t>
    </r>
    <r>
      <rPr>
        <sz val="11"/>
        <color theme="1"/>
        <rFont val="Arial"/>
      </rPr>
      <t xml:space="preserve"> Küieuge şyqpağanda tūrğan </t>
    </r>
    <r>
      <rPr>
        <b/>
        <sz val="11"/>
        <color theme="1"/>
        <rFont val="Arial"/>
      </rPr>
      <t xml:space="preserve">ūiat</t>
    </r>
    <r>
      <rPr>
        <sz val="11"/>
        <color theme="1"/>
        <rFont val="Arial"/>
      </rPr>
      <t xml:space="preserve"> eşteñe joq.
</t>
    </r>
    <r>
      <rPr>
        <b/>
        <sz val="11"/>
        <color theme="1"/>
        <rFont val="Arial"/>
      </rPr>
      <t xml:space="preserve">TRANSLATION:</t>
    </r>
    <r>
      <rPr>
        <sz val="11"/>
        <color theme="1"/>
        <rFont val="Arial"/>
      </rPr>
      <t xml:space="preserve"> There is no </t>
    </r>
    <r>
      <rPr>
        <b/>
        <sz val="11"/>
        <color theme="1"/>
        <rFont val="Arial"/>
      </rPr>
      <t xml:space="preserve">shame</t>
    </r>
    <r>
      <rPr>
        <sz val="11"/>
        <color theme="1"/>
        <rFont val="Arial"/>
      </rPr>
      <t xml:space="preserve"> in not having married.</t>
    </r>
  </si>
  <si>
    <t xml:space="preserve">absence of social  shame from moral integrity — Melanie</t>
  </si>
  <si>
    <t xml:space="preserve">Sometimes when Scarlett saw guests sitting on the grass, sipping tea, the only refreshment the Wilkeses could afford, she wondered how Melanie could bring herself to expose her poverty so shamelessly. Until Scarlett was able to furnish Aunt Pitty's house as it had been before the war and serve her guests good wine and juleps and baked ham and cold haunches of venison, she had no intention of having guests in her house—especially prominent guests, such as Melanie had.</t>
  </si>
  <si>
    <t xml:space="preserve">TERM: styditsya (стыдится) — feels ashamed (3sg) [ORD] (lemma: стыдиться)
PASSAGE: Порой, глядя, как гости сидят на траве и попивают чай — единственный напиток, который Уилксы в состоянии были предложить, — Скарлетт поражалась, как это Мелли не стыдится выставлять напоказ свою бедность.
TRANS: Poroy, glyadya, kak gosti sidyat na trave i popivayut chay — edinstvennyy napitok, kotoryy Uilksy v sostoyanii byli predlozhit', — Skarlett porazhalas', kak eto Melli ne styditsya vystavlyat' napokaz svoyu bednost'.
TRANSLATION: At times, looking at the guests sitting on the grass and sipping tea — the only beverage the Wilkeses were able to offer — Scarlett was amazed that Melly was not ashamed of putting her poverty on display.</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</si>
  <si>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Кейде қонақтардың шөп үстінде үй иесінің шамасы жететін жалғыз сусынын - шайын ішіп отырғандарын көргенде Скарлетт Меланидің өз кедейлігінен ұялмай, елге жайып көрсететініне таңырқайтын.
</t>
    </r>
    <r>
      <rPr>
        <b/>
        <sz val="11"/>
        <color theme="1"/>
        <rFont val="Arial"/>
      </rPr>
      <t xml:space="preserve">TRANS:</t>
    </r>
    <r>
      <rPr>
        <sz val="11"/>
        <color theme="1"/>
        <rFont val="Arial"/>
      </rPr>
      <t xml:space="preserve"> Keide qonaqtardyñ şöp üstınde üi iesınıñ şamasy jetetın jalğyz susynyn - şaiyn ışıp otyrğandaryn körgende Skarlett Melanidıñ öz kedeilıgınen </t>
    </r>
    <r>
      <rPr>
        <b/>
        <sz val="11"/>
        <color theme="1"/>
        <rFont val="Arial"/>
      </rPr>
      <t xml:space="preserve">ūialmai</t>
    </r>
    <r>
      <rPr>
        <sz val="11"/>
        <color theme="1"/>
        <rFont val="Arial"/>
      </rPr>
      <t xml:space="preserve">, elge jaiyp körsetetınıne tañyrqaityn.
</t>
    </r>
    <r>
      <rPr>
        <b/>
        <sz val="11"/>
        <color theme="1"/>
        <rFont val="Arial"/>
      </rPr>
      <t xml:space="preserve">TRANSLATION:</t>
    </r>
    <r>
      <rPr>
        <sz val="11"/>
        <color theme="1"/>
        <rFont val="Arial"/>
      </rPr>
      <t xml:space="preserve"> Sometimes, when she saw the guests sitting on the grass drinking the only refreshment the host could afford — tea — Scarlett would be amazed that Melanie was not </t>
    </r>
    <r>
      <rPr>
        <b/>
        <sz val="11"/>
        <color theme="1"/>
        <rFont val="Arial"/>
      </rPr>
      <t xml:space="preserve">ashamed</t>
    </r>
    <r>
      <rPr>
        <sz val="11"/>
        <color theme="1"/>
        <rFont val="Arial"/>
      </rPr>
      <t xml:space="preserve"> of her poverty and openly showed it to all.</t>
    </r>
  </si>
  <si>
    <t xml:space="preserve">Social shame ABSENT in community  - aunt Pitty as witness</t>
  </si>
  <si>
    <t xml:space="preserve">Aunt Pitty disapproved highly of these last, for she felt they had come to Atlanta for no reason at all except to catch husbands, and the shamelessness of it made her wonder what the world was coming to.</t>
  </si>
  <si>
    <t xml:space="preserve">TERM: besstydstva (бесстыдства) — shamelessness; impudence (gen.) [ORD] (lemma: бесстыдство)
PASSAGE: и перед лицом такого бесстыдства она не переставала с изумлением вопрошать: куда идет мир?
TRANS: i pered litsom takogo besstydstva ona ne perestavala s izumleniem voproshat': kuda idet mir?
TRANSLATION: and faced with such shamelessness she did not cease asking in astonishment: where is the world heading?</t>
  </si>
  <si>
    <r>
      <rPr>
        <b/>
        <sz val="11"/>
        <color theme="1"/>
        <rFont val="Arial"/>
      </rPr>
      <t xml:space="preserve">TERM:</t>
    </r>
    <r>
      <rPr>
        <sz val="11"/>
        <color theme="1"/>
        <rFont val="Arial"/>
      </rPr>
      <t xml:space="preserve"> ŪİATSYZDYQ (ҰЯТСЫЗДЫҚ) — shamelessness; impudence [KED, SZK]
</t>
    </r>
    <r>
      <rPr>
        <b/>
        <sz val="11"/>
        <color theme="1"/>
        <rFont val="Arial"/>
      </rPr>
      <t xml:space="preserve">PASSAGE:</t>
    </r>
    <r>
      <rPr>
        <sz val="11"/>
        <color theme="1"/>
        <rFont val="Arial"/>
      </rPr>
      <t xml:space="preserve"> ол мұндай </t>
    </r>
    <r>
      <rPr>
        <b/>
        <sz val="11"/>
        <color theme="1"/>
        <rFont val="Arial"/>
      </rPr>
      <t xml:space="preserve">ұятсыздыққа</t>
    </r>
    <r>
      <rPr>
        <sz val="11"/>
        <color theme="1"/>
        <rFont val="Arial"/>
      </rPr>
      <t xml:space="preserve"> "бұл дүние не болып жатыр?" деп таңғалуын қоймады.
</t>
    </r>
    <r>
      <rPr>
        <b/>
        <sz val="11"/>
        <color theme="1"/>
        <rFont val="Arial"/>
      </rPr>
      <t xml:space="preserve">TRANS:</t>
    </r>
    <r>
      <rPr>
        <sz val="11"/>
        <color theme="1"/>
        <rFont val="Arial"/>
      </rPr>
      <t xml:space="preserve"> ol mūndai </t>
    </r>
    <r>
      <rPr>
        <b/>
        <sz val="11"/>
        <color theme="1"/>
        <rFont val="Arial"/>
      </rPr>
      <t xml:space="preserve">ūiatsyzdyqqa</t>
    </r>
    <r>
      <rPr>
        <sz val="11"/>
        <color theme="1"/>
        <rFont val="Arial"/>
      </rPr>
      <t xml:space="preserve"> "būl dünie ne bolyp jatyr?" dep tañğaluyn qoimady.
</t>
    </r>
    <r>
      <rPr>
        <b/>
        <sz val="11"/>
        <color theme="1"/>
        <rFont val="Arial"/>
      </rPr>
      <t xml:space="preserve">TRANSLATION:</t>
    </r>
    <r>
      <rPr>
        <sz val="11"/>
        <color theme="1"/>
        <rFont val="Arial"/>
      </rPr>
      <t xml:space="preserve"> she did not stop being astonished at this </t>
    </r>
    <r>
      <rPr>
        <b/>
        <sz val="11"/>
        <color theme="1"/>
        <rFont val="Arial"/>
      </rPr>
      <t xml:space="preserve">shamelessness</t>
    </r>
    <r>
      <rPr>
        <sz val="11"/>
        <color theme="1"/>
        <rFont val="Arial"/>
      </rPr>
      <t xml:space="preserve">, asking, "What is happening to this world?"</t>
    </r>
  </si>
  <si>
    <t xml:space="preserve">Social shame ABSENT</t>
  </si>
  <si>
    <t xml:space="preserve">Scarlett had no shame at all, only an active feeling of relief.</t>
  </si>
  <si>
    <t xml:space="preserve">TERM: ni maleyshego styda (ни малейшего стыда) — not the slightest shame [ORD] (lemma: стыд)
PASSAGE: А Скарлетт и не испытывала ни малейшего стыда
TRANS: A Skarlett i ne ispytyvala ni maleyshego styda
TRANSLATION: And Scarlett did not feel the slightest shame</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</si>
  <si>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Ал Скарлетт ешқандай да </t>
    </r>
    <r>
      <rPr>
        <b/>
        <sz val="11"/>
        <color theme="1"/>
        <rFont val="Arial"/>
      </rPr>
      <t xml:space="preserve">ұялған</t>
    </r>
    <r>
      <rPr>
        <sz val="11"/>
        <color theme="1"/>
        <rFont val="Arial"/>
      </rPr>
      <t xml:space="preserve"> жоқ еді
</t>
    </r>
    <r>
      <rPr>
        <b/>
        <sz val="11"/>
        <color theme="1"/>
        <rFont val="Arial"/>
      </rPr>
      <t xml:space="preserve">TRANS:</t>
    </r>
    <r>
      <rPr>
        <sz val="11"/>
        <color theme="1"/>
        <rFont val="Arial"/>
      </rPr>
      <t xml:space="preserve"> Al Skarlett eşqandai da </t>
    </r>
    <r>
      <rPr>
        <b/>
        <sz val="11"/>
        <color theme="1"/>
        <rFont val="Arial"/>
      </rPr>
      <t xml:space="preserve">ūialğan</t>
    </r>
    <r>
      <rPr>
        <sz val="11"/>
        <color theme="1"/>
        <rFont val="Arial"/>
      </rPr>
      <t xml:space="preserve"> joq edı
</t>
    </r>
    <r>
      <rPr>
        <b/>
        <sz val="11"/>
        <color theme="1"/>
        <rFont val="Arial"/>
      </rPr>
      <t xml:space="preserve">TRANSLATION:</t>
    </r>
    <r>
      <rPr>
        <sz val="11"/>
        <color theme="1"/>
        <rFont val="Arial"/>
      </rPr>
      <t xml:space="preserve"> And Scarlett was not in the least </t>
    </r>
    <r>
      <rPr>
        <b/>
        <sz val="11"/>
        <color theme="1"/>
        <rFont val="Arial"/>
      </rPr>
      <t xml:space="preserve">ashamed</t>
    </r>
  </si>
  <si>
    <t xml:space="preserve">Happy absence of social shame, feeling of freedom</t>
  </si>
  <si>
    <t xml:space="preserve">"Me, I am dead to shame," grinned Rene. "Who would be respectable? All of my days I was respectable until ze war set me free lak ze darkies. Nevaire again must I be deegneefied and full of ennui. Free lak ze bird!</t>
  </si>
  <si>
    <t xml:space="preserve">TERM: styd (стыд) — shame; the feeling of having transgressed a moral or social norm [ORD]
PASSAGE: Да я свой стыд давно похоронил!
TRANS: Da ya svoy styd davno pokhoronil!
TRANSLATION: Oh, I have buried my shame long ago!</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</si>
  <si>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Маған ба? Ой, саспа, мен </t>
    </r>
    <r>
      <rPr>
        <b/>
        <sz val="11"/>
        <color theme="1"/>
        <rFont val="Arial"/>
      </rPr>
      <t xml:space="preserve">ұятымды</t>
    </r>
    <r>
      <rPr>
        <sz val="11"/>
        <color theme="1"/>
        <rFont val="Arial"/>
      </rPr>
      <t xml:space="preserve"> баяғыда жерлеп тастаған адаммын.
</t>
    </r>
    <r>
      <rPr>
        <b/>
        <sz val="11"/>
        <color theme="1"/>
        <rFont val="Arial"/>
      </rPr>
      <t xml:space="preserve">TRANS:</t>
    </r>
    <r>
      <rPr>
        <sz val="11"/>
        <color theme="1"/>
        <rFont val="Arial"/>
      </rPr>
      <t xml:space="preserve"> Mağan ba? Oi, saspa, men </t>
    </r>
    <r>
      <rPr>
        <b/>
        <sz val="11"/>
        <color theme="1"/>
        <rFont val="Arial"/>
      </rPr>
      <t xml:space="preserve">ūiatymdy</t>
    </r>
    <r>
      <rPr>
        <sz val="11"/>
        <color theme="1"/>
        <rFont val="Arial"/>
      </rPr>
      <t xml:space="preserve"> baiağyda jerlep tastağan adammyn.
</t>
    </r>
    <r>
      <rPr>
        <b/>
        <sz val="11"/>
        <color theme="1"/>
        <rFont val="Arial"/>
      </rPr>
      <t xml:space="preserve">TRANSLATION:</t>
    </r>
    <r>
      <rPr>
        <sz val="11"/>
        <color theme="1"/>
        <rFont val="Arial"/>
      </rPr>
      <t xml:space="preserve"> Me? Oh, don't worry, I am a man who buried my </t>
    </r>
    <r>
      <rPr>
        <b/>
        <sz val="11"/>
        <color theme="1"/>
        <rFont val="Arial"/>
      </rPr>
      <t xml:space="preserve">shame</t>
    </r>
    <r>
      <rPr>
        <sz val="11"/>
        <color theme="1"/>
        <rFont val="Arial"/>
      </rPr>
      <t xml:space="preserve"> long ago.</t>
    </r>
  </si>
  <si>
    <t xml:space="preserve">Shame — Illocutionary shame (shaming)</t>
  </si>
  <si>
    <t xml:space="preserve">shame directed at another — performative speech act (verdict / directive)</t>
  </si>
  <si>
    <t xml:space="preserve">"Peter," she said, her voice breaking as she put her hand on his thin arm. "I'm ashamed of you for crying. What do you care? They aren't anything but damned Yankees!"</t>
  </si>
  <si>
    <t xml:space="preserve">TERM: stydno (стыдно) — it is shameful; (one) feels ashamed (impersonal predicate) [ORD]
PASSAGE: Мне стыдно, что ты плачешь.
TRANS: Mne stydno, chto ty plachesh'.
TRANSLATION: I am ashamed that you are crying.</t>
  </si>
  <si>
    <r>
      <rPr>
        <b/>
        <sz val="11"/>
        <color theme="1"/>
        <rFont val="Arial"/>
      </rPr>
      <t xml:space="preserve">TERM:</t>
    </r>
    <r>
      <rPr>
        <sz val="11"/>
        <color theme="1"/>
        <rFont val="Arial"/>
      </rPr>
      <t xml:space="preserve"> QYSYLU (ҚЫСЫЛУ) — to feel embarrassed; to feel constrained; to be in difficulty [KED, SZK]
</t>
    </r>
    <r>
      <rPr>
        <b/>
        <sz val="11"/>
        <color theme="1"/>
        <rFont val="Arial"/>
      </rPr>
      <t xml:space="preserve">PASSAGE:</t>
    </r>
    <r>
      <rPr>
        <sz val="11"/>
        <color theme="1"/>
        <rFont val="Arial"/>
      </rPr>
      <t xml:space="preserve"> Сенің көз жасың үшін мен қатты </t>
    </r>
    <r>
      <rPr>
        <b/>
        <sz val="11"/>
        <color theme="1"/>
        <rFont val="Arial"/>
      </rPr>
      <t xml:space="preserve">қысылып</t>
    </r>
    <r>
      <rPr>
        <sz val="11"/>
        <color theme="1"/>
        <rFont val="Arial"/>
      </rPr>
      <t xml:space="preserve"> отырмын.
</t>
    </r>
    <r>
      <rPr>
        <b/>
        <sz val="11"/>
        <color theme="1"/>
        <rFont val="Arial"/>
      </rPr>
      <t xml:space="preserve">TRANS:</t>
    </r>
    <r>
      <rPr>
        <sz val="11"/>
        <color theme="1"/>
        <rFont val="Arial"/>
      </rPr>
      <t xml:space="preserve"> Senıñ köz jasyñ üşın men qatty </t>
    </r>
    <r>
      <rPr>
        <b/>
        <sz val="11"/>
        <color theme="1"/>
        <rFont val="Arial"/>
      </rPr>
      <t xml:space="preserve">qysylyp</t>
    </r>
    <r>
      <rPr>
        <sz val="11"/>
        <color theme="1"/>
        <rFont val="Arial"/>
      </rPr>
      <t xml:space="preserve"> otyrmyn.
</t>
    </r>
    <r>
      <rPr>
        <b/>
        <sz val="11"/>
        <color theme="1"/>
        <rFont val="Arial"/>
      </rPr>
      <t xml:space="preserve">TRANSLATION:</t>
    </r>
    <r>
      <rPr>
        <sz val="11"/>
        <color theme="1"/>
        <rFont val="Arial"/>
      </rPr>
      <t xml:space="preserve"> I am very </t>
    </r>
    <r>
      <rPr>
        <b/>
        <sz val="11"/>
        <color theme="1"/>
        <rFont val="Arial"/>
      </rPr>
      <t xml:space="preserve">embarrassed</t>
    </r>
    <r>
      <rPr>
        <sz val="11"/>
        <color theme="1"/>
        <rFont val="Arial"/>
      </rPr>
      <t xml:space="preserve"> for your tears.</t>
    </r>
  </si>
  <si>
    <t xml:space="preserve">"I wish," thought Scarlett irritably, "that Uncle Henry wouldn't ride home in that contraption. He ought to be ashamed to be seen in it. It isn't as though he didn't have a horse of his own. He just does it so he and Grandpa can go to the saloon together every night."</t>
  </si>
  <si>
    <t xml:space="preserve">TERM: Postydilsya (Постыдился) — felt ashamed (pf.); refrained out of shame [ORD] (lemma: постыдиться)
PASSAGE: Постыдился бы даже показываться на ней: ведь могут подумать, будто у него нет своей лошади.
TRANS: Postydilsya by dazhe pokazyvat'sya na ney: ved' mogut podumat', budto u nego net svoey loshadi.
TRANSLATION: He would be ashamed even to show himself on her, for people might think he had no horse of his own.</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</si>
  <si>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Бұған көрінуге де </t>
    </r>
    <r>
      <rPr>
        <b/>
        <sz val="11"/>
        <color theme="1"/>
        <rFont val="Arial"/>
      </rPr>
      <t xml:space="preserve">ұялмайды</t>
    </r>
    <r>
      <rPr>
        <sz val="11"/>
        <color theme="1"/>
        <rFont val="Arial"/>
      </rPr>
      <t xml:space="preserve"> өзі.
</t>
    </r>
    <r>
      <rPr>
        <b/>
        <sz val="11"/>
        <color theme="1"/>
        <rFont val="Arial"/>
      </rPr>
      <t xml:space="preserve">TRANS:</t>
    </r>
    <r>
      <rPr>
        <sz val="11"/>
        <color theme="1"/>
        <rFont val="Arial"/>
      </rPr>
      <t xml:space="preserve"> Būğan körınuge de </t>
    </r>
    <r>
      <rPr>
        <b/>
        <sz val="11"/>
        <color theme="1"/>
        <rFont val="Arial"/>
      </rPr>
      <t xml:space="preserve">ūialmaidy</t>
    </r>
    <r>
      <rPr>
        <sz val="11"/>
        <color theme="1"/>
        <rFont val="Arial"/>
      </rPr>
      <t xml:space="preserve"> özı.
</t>
    </r>
    <r>
      <rPr>
        <b/>
        <sz val="11"/>
        <color theme="1"/>
        <rFont val="Arial"/>
      </rPr>
      <t xml:space="preserve">TRANSLATION:</t>
    </r>
    <r>
      <rPr>
        <sz val="11"/>
        <color theme="1"/>
        <rFont val="Arial"/>
      </rPr>
      <t xml:space="preserve"> He himself would not even be </t>
    </r>
    <r>
      <rPr>
        <b/>
        <sz val="11"/>
        <color theme="1"/>
        <rFont val="Arial"/>
      </rPr>
      <t xml:space="preserve">ashamed</t>
    </r>
    <r>
      <rPr>
        <sz val="11"/>
        <color theme="1"/>
        <rFont val="Arial"/>
      </rPr>
      <t xml:space="preserve"> to be seen on her.</t>
    </r>
  </si>
  <si>
    <t xml:space="preserve">shame directed at another — performative speech act (verdict / directive); India shames Scarlett about bringing shame on her husband Frank by her behavior</t>
  </si>
  <si>
    <t xml:space="preserve">"I do hate you," she said in a clear but trembling voice. "But it hasn't been hypocrisy that's kept me quiet. It's something you can't understand, not possessing any—any common courtesy, common good breeding. It's the realization that if all of us don't hang together and submerge our own small hates, we can't expect to beat the Yankees. But you—you—you've done all you could to lower the prestige of decent people—working and bringing shame on a good husband, giving Yankees and riffraff the right to laugh at us and make insulting remarks about our lack of gentility. Yankees don't know that you aren't one of us and have never been. Yankees haven't sense enough to know that you haven't any gentility. And when you've ridden about the woods exposing yourself to attack, you've exposed every well-behaved woman in town to attack by putting temptation in the ways of darkies and mean white trash. And you've put our men folks' lives in danger because they've got to—"</t>
  </si>
  <si>
    <t xml:space="preserve">TERM: opozorili (опозорили) — they disgraced (pf. past pl.) [ORD] (lemma: опозорить)
PASSAGE: А вы… вы… вы все сделали, чтобы уронить престиж приличных людей: стали работать и опозорили хорошего мужа, давая повод янки и всему сброду смеяться над нами и делать разные оскорбительные замечания насчет того, что никакие мы, дескать, не аристократы.
TRANS: A vy… vy… vy vse sdelali, chtoby uronit' prestizh prilichnykh lyudey: stali rabotat' i opozorili khoroshego muzha, davaya povod yanki i vsemu sbrodu smeyat'sya nad nami i delat' raznye oskorbitel'nye zamechaniya naschet togo, chto nikakie my, deskat', ne aristokraty.
TRANSLATION: And you... you... you have done everything to undermine the prestige of decent people: you took to working and disgraced a good husband, giving the Yankees and all the rabble cause to laugh at us and to make all sorts of insulting remarks about how we are no aristocrats at all.</t>
  </si>
  <si>
    <r>
      <rPr>
        <b/>
        <sz val="11"/>
        <color theme="1"/>
        <rFont val="Arial"/>
      </rPr>
      <t xml:space="preserve">TERM:</t>
    </r>
    <r>
      <rPr>
        <sz val="11"/>
        <color theme="1"/>
        <rFont val="Arial"/>
      </rPr>
      <t xml:space="preserve"> KÜLKI (КҮЛКІ) — laughter; mockery; object of mockery [KED, SZK]
</t>
    </r>
    <r>
      <rPr>
        <b/>
        <sz val="11"/>
        <color theme="1"/>
        <rFont val="Arial"/>
      </rPr>
      <t xml:space="preserve">PASSAGE:</t>
    </r>
    <r>
      <rPr>
        <sz val="11"/>
        <color theme="1"/>
        <rFont val="Arial"/>
      </rPr>
      <t xml:space="preserve"> Ал сіз... сіз... Зиялы адамдардың мәртебесін түсіру үшін бәрін жасадыңыз: жұмыс істедіңіз, тым жақсы күйеуіңізді ел алдында </t>
    </r>
    <r>
      <rPr>
        <b/>
        <sz val="11"/>
        <color theme="1"/>
        <rFont val="Arial"/>
      </rPr>
      <t xml:space="preserve">күлкіге</t>
    </r>
    <r>
      <rPr>
        <sz val="11"/>
        <color theme="1"/>
        <rFont val="Arial"/>
      </rPr>
      <t xml:space="preserve"> қалдырдыңыз
</t>
    </r>
    <r>
      <rPr>
        <b/>
        <sz val="11"/>
        <color theme="1"/>
        <rFont val="Arial"/>
      </rPr>
      <t xml:space="preserve">TRANS:</t>
    </r>
    <r>
      <rPr>
        <sz val="11"/>
        <color theme="1"/>
        <rFont val="Arial"/>
      </rPr>
      <t xml:space="preserve"> Al sız... sız... Zialy adamdardyñ märtebesın tüsıru üşın bärın jasadyñyz: jūmys ıstedıñız, tym jaqsy küieuıñızdı el aldynda </t>
    </r>
    <r>
      <rPr>
        <b/>
        <sz val="11"/>
        <color theme="1"/>
        <rFont val="Arial"/>
      </rPr>
      <t xml:space="preserve">külkıge</t>
    </r>
    <r>
      <rPr>
        <sz val="11"/>
        <color theme="1"/>
        <rFont val="Arial"/>
      </rPr>
      <t xml:space="preserve"> qaldyrdyñyz
</t>
    </r>
    <r>
      <rPr>
        <b/>
        <sz val="11"/>
        <color theme="1"/>
        <rFont val="Arial"/>
      </rPr>
      <t xml:space="preserve">TRANSLATION:</t>
    </r>
    <r>
      <rPr>
        <sz val="11"/>
        <color theme="1"/>
        <rFont val="Arial"/>
      </rPr>
      <t xml:space="preserve"> And you... you... you did everything to bring down the standing of respectable people: you went to work, you put your too-good husband to </t>
    </r>
    <r>
      <rPr>
        <b/>
        <sz val="11"/>
        <color theme="1"/>
        <rFont val="Arial"/>
      </rPr>
      <t xml:space="preserve">shame</t>
    </r>
    <r>
      <rPr>
        <sz val="11"/>
        <color theme="1"/>
        <rFont val="Arial"/>
      </rPr>
      <t xml:space="preserve"> before everyone</t>
    </r>
  </si>
  <si>
    <t xml:space="preserve">Society’s verdict, society witness;   Rhett unbearable as audience</t>
  </si>
  <si>
    <t xml:space="preserve">Rhett had sent her home alone in the carriage when the party was over and she had thanked God for the reprieve. He had not come in yet. Thank God, he had not come in. She could not face him tonight, shamed, frightened, shaking. But where was he? Probably at that creature's place. For the first time, Scarlett was glad there was such a person as Belle Watling. Glad there was some other place than this house to shelter Rhett until his glittering, murderous mood had passed. That was wrong, being glad a husband was at the house of a prostitute, but she could not help it. She would be almost glad if he were dead, if it meant she would not have to see him tonight.</t>
  </si>
  <si>
    <t xml:space="preserve">TERM: opozorennaya (опозоренная) — disgraced (past pass. part. fem.) [ORD] (lemma: опозоренный)
PASSAGE: Она просто не в силах предстать перед ним сегодня — опозоренная, испуганная, трясущаяся.
TRANS: Ona prosto ne v silakh predstat' pered nim segodnya — opozorennaya, ispugannaya, tryasushchayasya.
TRANSLATION: She simply did not have the strength to appear before him today — disgraced, frightened, trembling.</t>
  </si>
  <si>
    <r>
      <rPr>
        <b/>
        <sz val="11"/>
        <color theme="1"/>
        <rFont val="Arial"/>
      </rPr>
      <t xml:space="preserve">TERM:</t>
    </r>
    <r>
      <rPr>
        <sz val="11"/>
        <color theme="1"/>
        <rFont val="Arial"/>
      </rPr>
      <t xml:space="preserve"> DÄRMENSIZ (ДӘРМЕНСІЗ) — helpless; powerless [KED, SZK]
</t>
    </r>
    <r>
      <rPr>
        <b/>
        <sz val="11"/>
        <color theme="1"/>
        <rFont val="Arial"/>
      </rPr>
      <t xml:space="preserve">PASSAGE:</t>
    </r>
    <r>
      <rPr>
        <sz val="11"/>
        <color theme="1"/>
        <rFont val="Arial"/>
      </rPr>
      <t xml:space="preserve"> Тап бүгін бойын үрей билеген, қалтырап-дірілдеген, </t>
    </r>
    <r>
      <rPr>
        <b/>
        <sz val="11"/>
        <color theme="1"/>
        <rFont val="Arial"/>
      </rPr>
      <t xml:space="preserve">дәрменсіз</t>
    </r>
    <r>
      <rPr>
        <sz val="11"/>
        <color theme="1"/>
        <rFont val="Arial"/>
      </rPr>
      <t xml:space="preserve"> күйінде оның алдында тұрар халі де жоқ.
</t>
    </r>
    <r>
      <rPr>
        <b/>
        <sz val="11"/>
        <color theme="1"/>
        <rFont val="Arial"/>
      </rPr>
      <t xml:space="preserve">TRANS:</t>
    </r>
    <r>
      <rPr>
        <sz val="11"/>
        <color theme="1"/>
        <rFont val="Arial"/>
      </rPr>
      <t xml:space="preserve"> Tap bügın boiyn ürei bilegen, qaltyrap-dırıldegen, </t>
    </r>
    <r>
      <rPr>
        <b/>
        <sz val="11"/>
        <color theme="1"/>
        <rFont val="Arial"/>
      </rPr>
      <t xml:space="preserve">därmensız</t>
    </r>
    <r>
      <rPr>
        <sz val="11"/>
        <color theme="1"/>
        <rFont val="Arial"/>
      </rPr>
      <t xml:space="preserve"> küiınde onyñ aldynda tūrar halı de joq.
</t>
    </r>
    <r>
      <rPr>
        <b/>
        <sz val="11"/>
        <color theme="1"/>
        <rFont val="Arial"/>
      </rPr>
      <t xml:space="preserve">TRANSLATION:</t>
    </r>
    <r>
      <rPr>
        <sz val="11"/>
        <color theme="1"/>
        <rFont val="Arial"/>
      </rPr>
      <t xml:space="preserve"> Today, with terror gripping her body, trembling and shaking, helpless, she had no condition to stand before him.</t>
    </r>
  </si>
  <si>
    <t xml:space="preserve">Shame about being caught with Ashley, about Rhett’s departure – Scarlett is perceived as a woman taken in adultery</t>
  </si>
  <si>
    <t xml:space="preserve">Rhett had left town the hour before with Bonnie and Prissy, and desolation was added to Scarlett's shame and anger. The additional burden of her guilt with Ashley and Melanie's defense was more than she could bear. Had Melanie believed India and Archie, cut her at the reception or even greeted her frigidly, then she could have held her head high and fought back with every weapon in her armory. But now, with the memory of Melanie standing between her and social ruin, standing like a thin, shining blade, with trust and a fighting light in her eyes, there seemed nothing honest to do but confess. Yes, blurt out everything from that far-off beginning on the sunny porch at Tara.</t>
  </si>
  <si>
    <t xml:space="preserve">TERM: pozoru (позору) — disgrace (dat.) [ORD] (lemma: позор)
PASSAGE: Ретт покинул город час тому назад с Бонни и Присси, и к позору и злости Скарлетт прибавилось отчаяние.
TRANS: Rett pokinul gorod chas tomu nazad s Bonni i Prissi, i k pozoru i zlosti Skarlett pribavilos' otchayanie.
TRANSLATION: Rhett had left the city an hour ago with Bonnie and Prissy, and to Scarlett's disgrace and anger was added despair.</t>
  </si>
  <si>
    <r>
      <rPr>
        <b/>
        <sz val="11"/>
        <color theme="1"/>
        <rFont val="Arial"/>
      </rPr>
      <t xml:space="preserve">TERM:</t>
    </r>
    <r>
      <rPr>
        <sz val="11"/>
        <color theme="1"/>
        <rFont val="Arial"/>
      </rPr>
      <t xml:space="preserve"> MASQARA (МАСҚАРА) — disgrace; scandal; outrage (acute) [KED, SZK]
</t>
    </r>
    <r>
      <rPr>
        <b/>
        <sz val="11"/>
        <color theme="1"/>
        <rFont val="Arial"/>
      </rPr>
      <t xml:space="preserve">PASSAGE:</t>
    </r>
    <r>
      <rPr>
        <sz val="11"/>
        <color theme="1"/>
        <rFont val="Arial"/>
      </rPr>
      <t xml:space="preserve"> Ретт осыдан бір сағат бұрын өзімен бірге Бонни мен Приссиді алып, қаладан кетіп қалған еді, сондықтан да Скарлеттің іштей өртенген </t>
    </r>
    <r>
      <rPr>
        <b/>
        <sz val="11"/>
        <color theme="1"/>
        <rFont val="Arial"/>
      </rPr>
      <t xml:space="preserve">масқара</t>
    </r>
    <r>
      <rPr>
        <sz val="11"/>
        <color theme="1"/>
        <rFont val="Arial"/>
      </rPr>
      <t xml:space="preserve"> өкінішіне енді тағы ашу-ызасы мен шарасыздығы қосылды.
</t>
    </r>
    <r>
      <rPr>
        <b/>
        <sz val="11"/>
        <color theme="1"/>
        <rFont val="Arial"/>
      </rPr>
      <t xml:space="preserve">TRANS:</t>
    </r>
    <r>
      <rPr>
        <sz val="11"/>
        <color theme="1"/>
        <rFont val="Arial"/>
      </rPr>
      <t xml:space="preserve"> Rett osydan bır sağat būryn özımen bırge Bonni men Prissidı alyp, qaladan ketıp qalğan edı, sondyqtan da Skarlettıñ ıştei örtengen </t>
    </r>
    <r>
      <rPr>
        <b/>
        <sz val="11"/>
        <color theme="1"/>
        <rFont val="Arial"/>
      </rPr>
      <t xml:space="preserve">masqara</t>
    </r>
    <r>
      <rPr>
        <sz val="11"/>
        <color theme="1"/>
        <rFont val="Arial"/>
      </rPr>
      <t xml:space="preserve"> ökınışıne endı tağy aşu-yzasy men şarasyzdyğy qosyldy.
</t>
    </r>
    <r>
      <rPr>
        <b/>
        <sz val="11"/>
        <color theme="1"/>
        <rFont val="Arial"/>
      </rPr>
      <t xml:space="preserve">TRANSLATION:</t>
    </r>
    <r>
      <rPr>
        <sz val="11"/>
        <color theme="1"/>
        <rFont val="Arial"/>
      </rPr>
      <t xml:space="preserve"> Rhett had taken Bonnie and Prissy with him and left the city an hour ago, so to Scarlett's inwardly burning </t>
    </r>
    <r>
      <rPr>
        <b/>
        <sz val="11"/>
        <color theme="1"/>
        <rFont val="Arial"/>
      </rPr>
      <t xml:space="preserve">shameful</t>
    </r>
    <r>
      <rPr>
        <sz val="11"/>
        <color theme="1"/>
        <rFont val="Arial"/>
      </rPr>
      <t xml:space="preserve"> regret were now added anger and helplessness.</t>
    </r>
  </si>
  <si>
    <t xml:space="preserve">But she could not accuse him now, could not rage at him, demand fidelity or try to shame him, any more than she could bring herself to apologize for accusing him of Bonnie's death. She was clutched by a bewildered apathy, an unhappiness that she could not understand, an unhappiness that went deeper than anything she had ever known. She was lonely and she could never remember being so lonely before. Perhaps she had never had the time to be very lonely until now. She was lonely and afraid and there was no one to whom she could turn, no one except Melanie. For now, even Mammy, her mainstay, had gone back to Tara. Gone permanently.</t>
  </si>
  <si>
    <t xml:space="preserve">TERM: stydit' (стыдить) — to shame (someone) (imperfective) [ORD]
PASSAGE: Но она уже не могла обвинять Ретта, не могла устраивать ему бурные сцены, требовать верности или стыдить его — как не могла заставить себя просить у него прощения за то, что обвинила его в смерти Бонни.
TRANS: No ona uzhe ne mogla obvinyat' Retta, ne mogla ustraivat' emu burnye stseny, trebovat' vernosti ili stydit' ego — kak ne mogla zastavit' sebya prosit' u nego proshcheniya za to, chto obvinila ego v smerti Bonni.
TRANSLATION: But she could no longer accuse Rhett, could no longer make stormy scenes, demand fidelity or shame him — just as she could not bring herself to ask his forgiveness for accusing him of Bonnie's death.</t>
  </si>
  <si>
    <r>
      <rPr>
        <b/>
        <sz val="11"/>
        <color theme="1"/>
        <rFont val="Arial"/>
      </rPr>
      <t xml:space="preserve">TERM:</t>
    </r>
    <r>
      <rPr>
        <sz val="11"/>
        <color theme="1"/>
        <rFont val="Arial"/>
      </rPr>
      <t xml:space="preserve"> SALMAQ (САЛМАҚ) — weight; burden [KED, SZK]
</t>
    </r>
    <r>
      <rPr>
        <b/>
        <sz val="11"/>
        <color theme="1"/>
        <rFont val="Arial"/>
      </rPr>
      <t xml:space="preserve">PASSAGE:</t>
    </r>
    <r>
      <rPr>
        <sz val="11"/>
        <color theme="1"/>
        <rFont val="Arial"/>
      </rPr>
      <t xml:space="preserve"> Бірақ өзі енді Ретті кінәлай да алмайды, қызғаныштың қызыл итін абалатып, жер теуіп тұрып, талап та қоя алмайды, адалдықты міндеттеп, ұятына да </t>
    </r>
    <r>
      <rPr>
        <b/>
        <sz val="11"/>
        <color theme="1"/>
        <rFont val="Arial"/>
      </rPr>
      <t xml:space="preserve">салмақ</t>
    </r>
    <r>
      <rPr>
        <sz val="11"/>
        <color theme="1"/>
        <rFont val="Arial"/>
      </rPr>
      <t xml:space="preserve"> сала алмайды.
</t>
    </r>
    <r>
      <rPr>
        <b/>
        <sz val="11"/>
        <color theme="1"/>
        <rFont val="Arial"/>
      </rPr>
      <t xml:space="preserve">TRANS:</t>
    </r>
    <r>
      <rPr>
        <sz val="11"/>
        <color theme="1"/>
        <rFont val="Arial"/>
      </rPr>
      <t xml:space="preserve"> Bıraq özı endı Rettı kınälai da almaidy, qyzğanyştyñ qyzyl itın abalatyp, jer teuıp tūryp, talap ta qoia almaidy, adaldyqty mındettep, ūiatyna da </t>
    </r>
    <r>
      <rPr>
        <b/>
        <sz val="11"/>
        <color theme="1"/>
        <rFont val="Arial"/>
      </rPr>
      <t xml:space="preserve">salmaq</t>
    </r>
    <r>
      <rPr>
        <sz val="11"/>
        <color theme="1"/>
        <rFont val="Arial"/>
      </rPr>
      <t xml:space="preserve"> sala almaidy.
</t>
    </r>
    <r>
      <rPr>
        <b/>
        <sz val="11"/>
        <color theme="1"/>
        <rFont val="Arial"/>
      </rPr>
      <t xml:space="preserve">TRANSLATION:</t>
    </r>
    <r>
      <rPr>
        <sz val="11"/>
        <color theme="1"/>
        <rFont val="Arial"/>
      </rPr>
      <t xml:space="preserve"> But she could no longer even </t>
    </r>
    <r>
      <rPr>
        <b/>
        <sz val="11"/>
        <color theme="1"/>
        <rFont val="Arial"/>
      </rPr>
      <t xml:space="preserve">blame</t>
    </r>
    <r>
      <rPr>
        <sz val="11"/>
        <color theme="1"/>
        <rFont val="Arial"/>
      </rPr>
      <t xml:space="preserve"> Rhett, could no longer set loose the red dog of jealousy, stamp her foot and make demands, oblige him to faithfulness and lay the burden on his </t>
    </r>
    <r>
      <rPr>
        <b/>
        <sz val="11"/>
        <color theme="1"/>
        <rFont val="Arial"/>
      </rPr>
      <t xml:space="preserve">conscience</t>
    </r>
    <r>
      <rPr>
        <sz val="11"/>
        <color theme="1"/>
        <rFont val="Arial"/>
      </rPr>
      <t xml:space="preserve">.</t>
    </r>
  </si>
  <si>
    <t xml:space="preserve">"They know already, to be sure, and everybody knows of our disgrace. And your poor mother taking to her bed with it and me not able to hold up me head. 'Tis shameful. No, Puss, you need not think to get around me with tears this time," he said hastily and with some panic in his voice as Scarlett's lids began to bat and her mouth to screw up. "I know you. You'd be flirting at the wake of your husband”</t>
  </si>
  <si>
    <t xml:space="preserve">TERM: pozore (позоре) — disgrace (prep.) [ORD] (lemma: позор)
PASSAGE: — Им уже, без сомнения, известно — как, впрочем, и всем остальным — о нашем позоре.
TRANS: — Im uzhe, bez somneniya, izvestno — kak, vprochem, i vsem ostal'nym — o nashem pozore.
TRANSLATION: They no doubt already know — as do all the rest — of our disgrace.</t>
  </si>
  <si>
    <r>
      <rPr>
        <b/>
        <sz val="11"/>
        <color theme="1"/>
        <rFont val="Arial"/>
      </rPr>
      <t xml:space="preserve">TERM:</t>
    </r>
    <r>
      <rPr>
        <sz val="11"/>
        <color theme="1"/>
        <rFont val="Arial"/>
      </rPr>
      <t xml:space="preserve"> MASQARA (МАСҚАРА) — disgrace; scandal; outrage (acute) [KED, SZK]
</t>
    </r>
    <r>
      <rPr>
        <b/>
        <sz val="11"/>
        <color theme="1"/>
        <rFont val="Arial"/>
      </rPr>
      <t xml:space="preserve">PASSAGE:</t>
    </r>
    <r>
      <rPr>
        <sz val="11"/>
        <color theme="1"/>
        <rFont val="Arial"/>
      </rPr>
      <t xml:space="preserve"> Басқалар сияқты олар да біздің </t>
    </r>
    <r>
      <rPr>
        <b/>
        <sz val="11"/>
        <color theme="1"/>
        <rFont val="Arial"/>
      </rPr>
      <t xml:space="preserve">масқарамыз</t>
    </r>
    <r>
      <rPr>
        <sz val="11"/>
        <color theme="1"/>
        <rFont val="Arial"/>
      </rPr>
      <t xml:space="preserve"> туралы білетіні сөзсіз.
</t>
    </r>
    <r>
      <rPr>
        <b/>
        <sz val="11"/>
        <color theme="1"/>
        <rFont val="Arial"/>
      </rPr>
      <t xml:space="preserve">TRANS:</t>
    </r>
    <r>
      <rPr>
        <sz val="11"/>
        <color theme="1"/>
        <rFont val="Arial"/>
      </rPr>
      <t xml:space="preserve"> Basqalar siyaqty olar da bizdiñ </t>
    </r>
    <r>
      <rPr>
        <b/>
        <sz val="11"/>
        <color theme="1"/>
        <rFont val="Arial"/>
      </rPr>
      <t xml:space="preserve">masqaramyz</t>
    </r>
    <r>
      <rPr>
        <sz val="11"/>
        <color theme="1"/>
        <rFont val="Arial"/>
      </rPr>
      <t xml:space="preserve"> turaly biletini sözsiz.
</t>
    </r>
    <r>
      <rPr>
        <b/>
        <sz val="11"/>
        <color theme="1"/>
        <rFont val="Arial"/>
      </rPr>
      <t xml:space="preserve">TRANSLATION:</t>
    </r>
    <r>
      <rPr>
        <sz val="11"/>
        <color theme="1"/>
        <rFont val="Arial"/>
      </rPr>
      <t xml:space="preserve"> No doubt they, like the others, also know about our </t>
    </r>
    <r>
      <rPr>
        <b/>
        <sz val="11"/>
        <color theme="1"/>
        <rFont val="Arial"/>
      </rPr>
      <t xml:space="preserve">disgrace</t>
    </r>
    <r>
      <rPr>
        <sz val="11"/>
        <color theme="1"/>
        <rFont val="Arial"/>
      </rPr>
      <t xml:space="preserve">.</t>
    </r>
  </si>
  <si>
    <t xml:space="preserve">"Ashamed? You should die of shame. To desert us here, alone, helpless—"</t>
  </si>
  <si>
    <t xml:space="preserve">TERM: sgorat' so styda! (сгорать со стыда!) = burn with shame
PASSAGE: Разумеется, вы должны сгорать со стыда!
TRANS: Razumeetsya, vy dolzhny sgorat' so styda!
TRANSLATION: Of course, you must be burning up with shame!</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</si>
  <si>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Әрине, </t>
    </r>
    <r>
      <rPr>
        <b/>
        <sz val="11"/>
        <color theme="1"/>
        <rFont val="Arial"/>
      </rPr>
      <t xml:space="preserve">ұяттан</t>
    </r>
    <r>
      <rPr>
        <sz val="11"/>
        <color theme="1"/>
        <rFont val="Arial"/>
      </rPr>
      <t xml:space="preserve"> бетіңіздің оты шығып, күйіп қалуыңыз керек!
</t>
    </r>
    <r>
      <rPr>
        <b/>
        <sz val="11"/>
        <color theme="1"/>
        <rFont val="Arial"/>
      </rPr>
      <t xml:space="preserve">TRANS:</t>
    </r>
    <r>
      <rPr>
        <sz val="11"/>
        <color theme="1"/>
        <rFont val="Arial"/>
      </rPr>
      <t xml:space="preserve"> Ärine, </t>
    </r>
    <r>
      <rPr>
        <b/>
        <sz val="11"/>
        <color theme="1"/>
        <rFont val="Arial"/>
      </rPr>
      <t xml:space="preserve">ūiattan</t>
    </r>
    <r>
      <rPr>
        <sz val="11"/>
        <color theme="1"/>
        <rFont val="Arial"/>
      </rPr>
      <t xml:space="preserve"> betıñızdıñ oty şyğyp, küiıp qaluyñyz kerek!
</t>
    </r>
    <r>
      <rPr>
        <b/>
        <sz val="11"/>
        <color theme="1"/>
        <rFont val="Arial"/>
      </rPr>
      <t xml:space="preserve">TRANSLATION:</t>
    </r>
    <r>
      <rPr>
        <sz val="11"/>
        <color theme="1"/>
        <rFont val="Arial"/>
      </rPr>
      <t xml:space="preserve"> Of course, the fire of </t>
    </r>
    <r>
      <rPr>
        <b/>
        <sz val="11"/>
        <color theme="1"/>
        <rFont val="Arial"/>
      </rPr>
      <t xml:space="preserve">shame</t>
    </r>
    <r>
      <rPr>
        <sz val="11"/>
        <color theme="1"/>
        <rFont val="Arial"/>
      </rPr>
      <t xml:space="preserve"> should come out of your face and scorch you!</t>
    </r>
  </si>
  <si>
    <t xml:space="preserve">shame directed at another — performative speech act (verdict / directive); Mrs Merriwether shames Melanie for comparing “honorable” Ashley to “dishonorable” Rhett</t>
  </si>
  <si>
    <t xml:space="preserve">"You should be ashamed of yourself, comparing a fine man like Ashley Wilkes to a scoundrel like Captain Butler! I suppose you, too, think the Cause is nothing!"</t>
  </si>
  <si>
    <t xml:space="preserve">TERM: Postydilis' (Постыдились) — should have been ashamed (pl., reproachful) [ORD] (lemma: постыдиться)
PASSAGE: Постыдились бы сравнивать такого благородного человека, как Эшли, с этим подонком, капитаном Батлером!
TRANS: Postydilis' by sravnivat' takogo blagorodnogo cheloveka, kak Eshli, s etim podonkom, kapitanom Batlerom!
TRANSLATION: You ought to be ashamed of yourselves for comparing such a noble man as Ashley with that scoundrel, Captain Butler!</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</si>
  <si>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Сіз Эшли сияқты асыл адамды сол арсыз Батлер капитанмен салыстыруға ұялсаңызшы!
</t>
    </r>
    <r>
      <rPr>
        <b/>
        <sz val="11"/>
        <color theme="1"/>
        <rFont val="Arial"/>
      </rPr>
      <t xml:space="preserve">TRANS:</t>
    </r>
    <r>
      <rPr>
        <sz val="11"/>
        <color theme="1"/>
        <rFont val="Arial"/>
      </rPr>
      <t xml:space="preserve"> Sız Eşli siaqty asyl adamdy sol arsyz Batler kapitanmen salystyruğa ūialsañyzşy!
</t>
    </r>
    <r>
      <rPr>
        <b/>
        <sz val="11"/>
        <color theme="1"/>
        <rFont val="Arial"/>
      </rPr>
      <t xml:space="preserve">TRANSLATION:</t>
    </r>
    <r>
      <rPr>
        <sz val="11"/>
        <color theme="1"/>
        <rFont val="Arial"/>
      </rPr>
      <t xml:space="preserve"> You should be </t>
    </r>
    <r>
      <rPr>
        <b/>
        <sz val="11"/>
        <color theme="1"/>
        <rFont val="Arial"/>
      </rPr>
      <t xml:space="preserve">ashamed</t>
    </r>
    <r>
      <rPr>
        <sz val="11"/>
        <color theme="1"/>
        <rFont val="Arial"/>
      </rPr>
      <t xml:space="preserve"> of comparing such a </t>
    </r>
    <r>
      <rPr>
        <b/>
        <sz val="11"/>
        <color theme="1"/>
        <rFont val="Arial"/>
      </rPr>
      <t xml:space="preserve">noble</t>
    </r>
    <r>
      <rPr>
        <sz val="11"/>
        <color theme="1"/>
        <rFont val="Arial"/>
      </rPr>
      <t xml:space="preserve"> man as Ashley with that </t>
    </r>
    <r>
      <rPr>
        <b/>
        <sz val="11"/>
        <color theme="1"/>
        <rFont val="Arial"/>
      </rPr>
      <t xml:space="preserve">shameless</t>
    </r>
    <r>
      <rPr>
        <sz val="11"/>
        <color theme="1"/>
        <rFont val="Arial"/>
      </rPr>
      <t xml:space="preserve"> Captain Butler!</t>
    </r>
  </si>
  <si>
    <t xml:space="preserve">"How dare you, India?" she questioned in a low voice that shook. "Where will your jealousy lead you? For shame!"</t>
  </si>
  <si>
    <r>
      <rPr>
        <b/>
        <sz val="11"/>
        <color theme="1"/>
        <rFont val="Arial"/>
        <family val="2"/>
      </rPr>
      <t xml:space="preserve">TERM</t>
    </r>
    <r>
      <rPr>
        <sz val="11"/>
        <color theme="1"/>
        <rFont val="Arial"/>
      </rPr>
      <t xml:space="preserve">: ŪİALU (ҰЯЛУ) — to feel ashamed; to feel shy or embarrassed [KED, SZK]
</t>
    </r>
    <r>
      <rPr>
        <b/>
        <sz val="11"/>
        <color theme="1"/>
        <rFont val="Arial"/>
        <family val="2"/>
      </rPr>
      <t xml:space="preserve">PASSAGE</t>
    </r>
    <r>
      <rPr>
        <sz val="11"/>
        <color theme="1"/>
        <rFont val="Arial"/>
      </rPr>
      <t xml:space="preserve">: Ұялсаң нетті!
</t>
    </r>
    <r>
      <rPr>
        <b/>
        <sz val="11"/>
        <color theme="1"/>
        <rFont val="Arial"/>
        <family val="2"/>
      </rPr>
      <t xml:space="preserve">TRANS</t>
    </r>
    <r>
      <rPr>
        <sz val="11"/>
        <color theme="1"/>
        <rFont val="Arial"/>
      </rPr>
      <t xml:space="preserve">: Ūialsañ nettı!
T</t>
    </r>
    <r>
      <rPr>
        <b/>
        <sz val="11"/>
        <color theme="1"/>
        <rFont val="Arial"/>
        <family val="2"/>
      </rPr>
      <t xml:space="preserve">RANSLATION</t>
    </r>
    <r>
      <rPr>
        <sz val="11"/>
        <color theme="1"/>
        <rFont val="Arial"/>
      </rPr>
      <t xml:space="preserve">: You should be asham</t>
    </r>
  </si>
  <si>
    <t xml:space="preserve">Mild moral shame directed at another — performative speech act (verdict / directive)</t>
  </si>
  <si>
    <t xml:space="preserve">"You young misses ought ter tek shame, gittin' Miss Pitty in a state," he scolded.</t>
  </si>
  <si>
    <t xml:space="preserve">Uncle Peter</t>
  </si>
  <si>
    <t xml:space="preserve">TERM: ne sovestno (не совестно) — it is not conscience-troubling; (one) feels no qualms [ORD] (lemma: совестно)
PASSAGE: Как же вам, молодые барышни, не совестно доводить мисс Питти до состояния
TRANS: Kak zhe vam, molodye baryshni, ne sovestno dovodit' miss Pitti do sostoyaniya
TRANSLATION: How can you, young ladies, not be ashamed of bringing Miss Pitty to such a state</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</si>
  <si>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Питти бикешті осындай күйге жеткізуге қалайша </t>
    </r>
    <r>
      <rPr>
        <b/>
        <sz val="11"/>
        <color theme="1"/>
        <rFont val="Arial"/>
      </rPr>
      <t xml:space="preserve">ұялмайсыңдар</t>
    </r>
    <r>
      <rPr>
        <sz val="11"/>
        <color theme="1"/>
        <rFont val="Arial"/>
      </rPr>
      <t xml:space="preserve">, жас ханымдар, ...
</t>
    </r>
    <r>
      <rPr>
        <b/>
        <sz val="11"/>
        <color theme="1"/>
        <rFont val="Arial"/>
      </rPr>
      <t xml:space="preserve">TRANS:</t>
    </r>
    <r>
      <rPr>
        <sz val="11"/>
        <color theme="1"/>
        <rFont val="Arial"/>
      </rPr>
      <t xml:space="preserve"> Pitti bikeştı osyndai küige jetkızuge qalaişa </t>
    </r>
    <r>
      <rPr>
        <b/>
        <sz val="11"/>
        <color theme="1"/>
        <rFont val="Arial"/>
      </rPr>
      <t xml:space="preserve">ūialmaisyñdar</t>
    </r>
    <r>
      <rPr>
        <sz val="11"/>
        <color theme="1"/>
        <rFont val="Arial"/>
      </rPr>
      <t xml:space="preserve">, jas hanymdar, ...
</t>
    </r>
    <r>
      <rPr>
        <b/>
        <sz val="11"/>
        <color theme="1"/>
        <rFont val="Arial"/>
      </rPr>
      <t xml:space="preserve">TRANSLATION:</t>
    </r>
    <r>
      <rPr>
        <sz val="11"/>
        <color theme="1"/>
        <rFont val="Arial"/>
      </rPr>
      <t xml:space="preserve"> How can you not be </t>
    </r>
    <r>
      <rPr>
        <b/>
        <sz val="11"/>
        <color theme="1"/>
        <rFont val="Arial"/>
      </rPr>
      <t xml:space="preserve">ashamed</t>
    </r>
    <r>
      <rPr>
        <sz val="11"/>
        <color theme="1"/>
        <rFont val="Arial"/>
      </rPr>
      <t xml:space="preserve">, young ladies, of bringing Miss Pitty to such a condition,...</t>
    </r>
  </si>
  <si>
    <t xml:space="preserve">"Us ain' had nuthin' ter do wid Mist' Henry fer y'ars, an' us is too ole ter start now." He turned back to the girls, who were trying to suppress their smiles. "You young Misses ought ter tek shame, leavin' po' Miss Pitty 'lone, wid half her frens daid an' de other half in Macom, an' 'Lanta full of Yankee sojers an' trashy free issue niggers."</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</si>
  <si>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Питти бикешті осындай күйге жеткізуге қалайша ұялмайсыңдар, жас ханымдар, ...
</t>
    </r>
    <r>
      <rPr>
        <b/>
        <sz val="11"/>
        <color theme="1"/>
        <rFont val="Arial"/>
      </rPr>
      <t xml:space="preserve">TRANS:</t>
    </r>
    <r>
      <rPr>
        <sz val="11"/>
        <color theme="1"/>
        <rFont val="Arial"/>
      </rPr>
      <t xml:space="preserve"> Pitti bikeştı osyndai küige jetkızuge qalaişa </t>
    </r>
    <r>
      <rPr>
        <b/>
        <sz val="11"/>
        <color theme="1"/>
        <rFont val="Arial"/>
      </rPr>
      <t xml:space="preserve">ūialmaisyñdar</t>
    </r>
    <r>
      <rPr>
        <sz val="11"/>
        <color theme="1"/>
        <rFont val="Arial"/>
      </rPr>
      <t xml:space="preserve">, jas hanymdar, ...
</t>
    </r>
    <r>
      <rPr>
        <b/>
        <sz val="11"/>
        <color theme="1"/>
        <rFont val="Arial"/>
      </rPr>
      <t xml:space="preserve">TRANSLATION:</t>
    </r>
    <r>
      <rPr>
        <sz val="11"/>
        <color theme="1"/>
        <rFont val="Arial"/>
      </rPr>
      <t xml:space="preserve"> How can you not be </t>
    </r>
    <r>
      <rPr>
        <b/>
        <sz val="11"/>
        <color theme="1"/>
        <rFont val="Arial"/>
      </rPr>
      <t xml:space="preserve">ashamed</t>
    </r>
    <r>
      <rPr>
        <sz val="11"/>
        <color theme="1"/>
        <rFont val="Arial"/>
      </rPr>
      <t xml:space="preserve">, young ladies, of bringing Miss Pitty to such a condition,...</t>
    </r>
  </si>
  <si>
    <t xml:space="preserve">Scarlett reasons about Ashley’s feelings – but it is unclear if shame refers to his feelings following exposure, to the societal verdict or to both</t>
  </si>
  <si>
    <t xml:space="preserve">She could not go on this way any longer, wondering what his feelings toward her were now, wondering if all his love had died in shame since the dreadful night of Melanie's party. In the course of business she could find many opportune times for conversations without it appearing to anyone that she was seeking him out. And, given time, she knew she could gain back whatever ground she had lost in his heart. But if she sold the mills—</t>
  </si>
  <si>
    <t xml:space="preserve">TERM: styda (стыда) — shame (genitive) [ORD] (lemma: стыд)
PASSAGE: Не может она дольше так жить, не зная, что он теперь к ней испытывает, не зная, сгорела ли его любовь от стыда после того страшного вечера, когда Мелани устроила прием.
TRANS: Ne mozhet ona dol'she tak zhit', ne znaya, chto on teper' k ney ispytyvaet, ne znaya, sgorela li ego lyubov' ot styda posle togo strashnogo vechera, kogda Melani ustroila priem.
TRANSLATION: She could not go on living like this, not knowing what he now feels toward her, not knowing whether his love had burned out from shame after that terrible evening when Melanie hosted the reception.</t>
  </si>
  <si>
    <t xml:space="preserve">"Times never change when there's a need for honest work to be done," stated the sharp-eyed old lady, refusing to be soothed. "And I'm ashamed for your mother, Scarlett, to hear you stand there and talk as though honest work made white trash out of nice people. 'When Adam delved and Eve span'—"</t>
  </si>
  <si>
    <t xml:space="preserve">Grandma Fontaine</t>
  </si>
  <si>
    <t xml:space="preserve">shame directed at another — performative speech act (verdict / directive) for behaving unladylike</t>
  </si>
  <si>
    <t xml:space="preserve">"You are a brave little woman," he pronounced, "but I won't have you do this sort of thing. Your family would die of shame."</t>
  </si>
  <si>
    <t xml:space="preserve">TERM: styda (стыда) — shame (genitive) [ORD] (lemma: стыд)
PASSAGE: Да ваша семья умрет со стыда.
TRANS: Da vasha sem'ya umret so styda.
TRANSLATION: Why, your family will die of shame.</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</si>
  <si>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 Ұяттан отбасыңыз елдің бетіне қарай алмай қалады.
TRANS: Ūiattan otbasyñyz eldıñ betıne qarai almai qalady.
TRANSLATION: From shame, your family will not be able to look people in the face.</t>
    </r>
  </si>
  <si>
    <t xml:space="preserve">You kain sen' me ter Tara ness Ah wants ter go. Ah is free," said Mammy heatedly. "An' Ah is gwine ter stay right hyah. Git back in dat baid. Does you want ter ketch pneumony jes' now? Put down dem stays! Put dem down, honey. Now, Miss Scarlett, you ain' gwine nowhars in dis wedder. Lawd God! But you sho look lak yo' pa! Git back in baid—Ah kain go buyin' no paint! Ah die of shame, eve'ybody knowin 'it wud fer mah chile! Miss Scarlett, you is so sweet an' pretty lookin' you doan need no paint. Honey, doan nobody but bad womens use dat stuff."</t>
  </si>
  <si>
    <t xml:space="preserve">Mammy</t>
  </si>
  <si>
    <t xml:space="preserve">TERM: styda (стыда) — shame (genitive) [ORD] (lemma: стыд)
PASSAGE: Да я со стыда умру, как люди узнают, что это для моей деточки!
TRANS: Da ya so styda umru, kak lyudi uznayut, chto eto dlya moey detochki!
TRANSLATION: Why, I will die of shame when people learn that this is for my little baby!</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</si>
  <si>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Балама бояу алып жүргенімді ел білсе, </t>
    </r>
    <r>
      <rPr>
        <b/>
        <sz val="11"/>
        <color theme="1"/>
        <rFont val="Arial"/>
      </rPr>
      <t xml:space="preserve">ұяттан</t>
    </r>
    <r>
      <rPr>
        <sz val="11"/>
        <color theme="1"/>
        <rFont val="Arial"/>
      </rPr>
      <t xml:space="preserve"> өлмеймін бе!
</t>
    </r>
    <r>
      <rPr>
        <b/>
        <sz val="11"/>
        <color theme="1"/>
        <rFont val="Arial"/>
      </rPr>
      <t xml:space="preserve">TRANS:</t>
    </r>
    <r>
      <rPr>
        <sz val="11"/>
        <color theme="1"/>
        <rFont val="Arial"/>
      </rPr>
      <t xml:space="preserve"> Balama boiau alyp jürgenımdı el bılse, </t>
    </r>
    <r>
      <rPr>
        <b/>
        <sz val="11"/>
        <color theme="1"/>
        <rFont val="Arial"/>
      </rPr>
      <t xml:space="preserve">ūiattan</t>
    </r>
    <r>
      <rPr>
        <sz val="11"/>
        <color theme="1"/>
        <rFont val="Arial"/>
      </rPr>
      <t xml:space="preserve"> ölmeimın be!
</t>
    </r>
    <r>
      <rPr>
        <b/>
        <sz val="11"/>
        <color theme="1"/>
        <rFont val="Arial"/>
      </rPr>
      <t xml:space="preserve">TRANSLATION:</t>
    </r>
    <r>
      <rPr>
        <sz val="11"/>
        <color theme="1"/>
        <rFont val="Arial"/>
      </rPr>
      <t xml:space="preserve"> If people find out that I am carrying paint for my child, won't I die of </t>
    </r>
    <r>
      <rPr>
        <b/>
        <sz val="11"/>
        <color theme="1"/>
        <rFont val="Arial"/>
      </rPr>
      <t xml:space="preserve">shame</t>
    </r>
    <r>
      <rPr>
        <sz val="11"/>
        <color theme="1"/>
        <rFont val="Arial"/>
      </rPr>
      <t xml:space="preserve">!</t>
    </r>
  </si>
  <si>
    <t xml:space="preserve">shame directed at another — performative speech act (verdict / directive) for breaking social conventions</t>
  </si>
  <si>
    <t xml:space="preserve">"Look here, Renny, why don't you come and work for me? Managing a mill is a sight more respectable than driving a pie wagon. I'd think you'd be ashamed."</t>
  </si>
  <si>
    <t xml:space="preserve">TERM: stydno (стыдно) — it is shameful; (one) feels ashamed (impersonal predicate) [ORD]
PASSAGE: Я почему-то считаю, что вам стыдно этим заниматься.
TRANS: Ya pochemu-to schitayu, chto vam stydno etim zanimat'sya.
TRANSLATION: I somehow think that you are ashamed to do this.</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</si>
  <si>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Сізге нанмен айналысу </t>
    </r>
    <r>
      <rPr>
        <b/>
        <sz val="11"/>
        <color theme="1"/>
        <rFont val="Arial"/>
      </rPr>
      <t xml:space="preserve">ұяттау</t>
    </r>
    <r>
      <rPr>
        <sz val="11"/>
        <color theme="1"/>
        <rFont val="Arial"/>
      </rPr>
      <t xml:space="preserve"> ғой деп ойлаймын.
</t>
    </r>
    <r>
      <rPr>
        <b/>
        <sz val="11"/>
        <color theme="1"/>
        <rFont val="Arial"/>
      </rPr>
      <t xml:space="preserve">TRANS:</t>
    </r>
    <r>
      <rPr>
        <sz val="11"/>
        <color theme="1"/>
        <rFont val="Arial"/>
      </rPr>
      <t xml:space="preserve"> Sızge nanmen ainalysu </t>
    </r>
    <r>
      <rPr>
        <b/>
        <sz val="11"/>
        <color theme="1"/>
        <rFont val="Arial"/>
      </rPr>
      <t xml:space="preserve">ūiattau</t>
    </r>
    <r>
      <rPr>
        <sz val="11"/>
        <color theme="1"/>
        <rFont val="Arial"/>
      </rPr>
      <t xml:space="preserve"> ğoi dep oilaimyn.
</t>
    </r>
    <r>
      <rPr>
        <b/>
        <sz val="11"/>
        <color theme="1"/>
        <rFont val="Arial"/>
      </rPr>
      <t xml:space="preserve">TRANSLATION:</t>
    </r>
    <r>
      <rPr>
        <sz val="11"/>
        <color theme="1"/>
        <rFont val="Arial"/>
      </rPr>
      <t xml:space="preserve"> I think it is rather </t>
    </r>
    <r>
      <rPr>
        <b/>
        <sz val="11"/>
        <color theme="1"/>
        <rFont val="Arial"/>
      </rPr>
      <t xml:space="preserve">shameful</t>
    </r>
    <r>
      <rPr>
        <sz val="11"/>
        <color theme="1"/>
        <rFont val="Arial"/>
      </rPr>
      <t xml:space="preserve"> for you to be busy with bread.</t>
    </r>
  </si>
  <si>
    <t xml:space="preserve">Shame — Shame as verdict</t>
  </si>
  <si>
    <t xml:space="preserve">Stigma</t>
  </si>
  <si>
    <t xml:space="preserve">She, a member of an old and staunchly Confederate family, a planter's family, had gone over to the enemy and by so doing had brought shame on every family in the County.</t>
  </si>
  <si>
    <t xml:space="preserve">Suellen</t>
  </si>
  <si>
    <t xml:space="preserve">TERM: pozor (позор) — disgrace; shame; ignominy [ORD]
PASSAGE: навлекла позор на каждую семью в графстве.
TRANS: navlekla pozor na kazhduyu sem'yu v grafstve.
TRANSLATION: brought disgrace upon every family in the county.</t>
  </si>
  <si>
    <r>
      <rPr>
        <b/>
        <sz val="11"/>
        <color theme="1"/>
        <rFont val="Arial"/>
      </rPr>
      <t xml:space="preserve">TERM:</t>
    </r>
    <r>
      <rPr>
        <sz val="11"/>
        <color theme="1"/>
        <rFont val="Arial"/>
      </rPr>
      <t xml:space="preserve"> KÜİE (КҮЙЕ) — soot; grime (used metaphorically: "stain") [KED, SZK]
</t>
    </r>
    <r>
      <rPr>
        <b/>
        <sz val="11"/>
        <color theme="1"/>
        <rFont val="Arial"/>
      </rPr>
      <t xml:space="preserve">PASSAGE:</t>
    </r>
    <r>
      <rPr>
        <sz val="11"/>
        <color theme="1"/>
        <rFont val="Arial"/>
      </rPr>
      <t xml:space="preserve"> Конфедерацияға шын берілген, плантатор отбасында туған әйел қас дұшпанға тек өз басын ғана иген жоқ, күллі графтықтардың бетіне </t>
    </r>
    <r>
      <rPr>
        <b/>
        <sz val="11"/>
        <color theme="1"/>
        <rFont val="Arial"/>
      </rPr>
      <t xml:space="preserve">күйе</t>
    </r>
    <r>
      <rPr>
        <sz val="11"/>
        <color theme="1"/>
        <rFont val="Arial"/>
      </rPr>
      <t xml:space="preserve"> жақты.
</t>
    </r>
    <r>
      <rPr>
        <b/>
        <sz val="11"/>
        <color theme="1"/>
        <rFont val="Arial"/>
      </rPr>
      <t xml:space="preserve">TRANS:</t>
    </r>
    <r>
      <rPr>
        <sz val="11"/>
        <color theme="1"/>
        <rFont val="Arial"/>
      </rPr>
      <t xml:space="preserve"> onfederasiağa şyn berılgen, plantator otbasynda tuğan äiel qas dūşpanğa tek öz basyn ğana igen joq, küllı graftyqtardyñ betıne </t>
    </r>
    <r>
      <rPr>
        <b/>
        <sz val="11"/>
        <color theme="1"/>
        <rFont val="Arial"/>
      </rPr>
      <t xml:space="preserve">küie</t>
    </r>
    <r>
      <rPr>
        <sz val="11"/>
        <color theme="1"/>
        <rFont val="Arial"/>
      </rPr>
      <t xml:space="preserve"> jaqty.
</t>
    </r>
    <r>
      <rPr>
        <b/>
        <sz val="11"/>
        <color theme="1"/>
        <rFont val="Arial"/>
      </rPr>
      <t xml:space="preserve">TRANSLATION:</t>
    </r>
    <r>
      <rPr>
        <sz val="11"/>
        <color theme="1"/>
        <rFont val="Arial"/>
      </rPr>
      <t xml:space="preserve"> A woman who was truly devoted to the Confederacy and born into a planter's family — she did not only bow her head to her arch-enemy, she daubed </t>
    </r>
    <r>
      <rPr>
        <b/>
        <sz val="11"/>
        <color theme="1"/>
        <rFont val="Arial"/>
      </rPr>
      <t xml:space="preserve">soot</t>
    </r>
    <r>
      <rPr>
        <sz val="11"/>
        <color theme="1"/>
        <rFont val="Arial"/>
      </rPr>
      <t xml:space="preserve"> on the faces of all the counties.</t>
    </r>
  </si>
  <si>
    <t xml:space="preserve">Suellen has her shame to sustain her and Carreen her God. But you've got nothing to sustain you, have you, child?"</t>
  </si>
  <si>
    <t xml:space="preserve">TERM: pozore (позоре) — disgrace (prep.) [ORD] (lemma: позор)
PASSAGE: Сьюлин вся в мыслях о своем позоре, а Кэррин — о боге, и это их поддерживает.
TRANS: S'yulin vsya v myslyakh o svoem pozore, a Kerrin — o boge, i eto ikh podderzhivaet.
TRANSLATION: Suellen is wholly absorbed in thoughts of her disgrace, and Carreen in [thoughts of] God, and that supports them.</t>
  </si>
  <si>
    <r>
      <rPr>
        <b/>
        <sz val="11"/>
        <color theme="1"/>
        <rFont val="Arial"/>
      </rPr>
      <t xml:space="preserve">TERM:</t>
    </r>
    <r>
      <rPr>
        <sz val="11"/>
        <color theme="1"/>
        <rFont val="Arial"/>
      </rPr>
      <t xml:space="preserve"> MASQARA (МАСҚАРА) — disgrace; scandal; outrage (acute) [KED, SZK]
</t>
    </r>
    <r>
      <rPr>
        <b/>
        <sz val="11"/>
        <color theme="1"/>
        <rFont val="Arial"/>
      </rPr>
      <t xml:space="preserve">PASSAGE:</t>
    </r>
    <r>
      <rPr>
        <sz val="11"/>
        <color theme="1"/>
        <rFont val="Arial"/>
      </rPr>
      <t xml:space="preserve"> Сьюлин өзінің </t>
    </r>
    <r>
      <rPr>
        <b/>
        <sz val="11"/>
        <color theme="1"/>
        <rFont val="Arial"/>
      </rPr>
      <t xml:space="preserve">масқара</t>
    </r>
    <r>
      <rPr>
        <sz val="11"/>
        <color theme="1"/>
        <rFont val="Arial"/>
      </rPr>
      <t xml:space="preserve"> қылығын еске алса, Кэррин құдайын ойлайды, екеуінің де бас сүйерлері бар.
</t>
    </r>
    <r>
      <rPr>
        <b/>
        <sz val="11"/>
        <color theme="1"/>
        <rFont val="Arial"/>
      </rPr>
      <t xml:space="preserve">TRANS:</t>
    </r>
    <r>
      <rPr>
        <sz val="11"/>
        <color theme="1"/>
        <rFont val="Arial"/>
      </rPr>
      <t xml:space="preserve"> S'iulin özınıñ </t>
    </r>
    <r>
      <rPr>
        <b/>
        <sz val="11"/>
        <color theme="1"/>
        <rFont val="Arial"/>
      </rPr>
      <t xml:space="preserve">masqara</t>
    </r>
    <r>
      <rPr>
        <sz val="11"/>
        <color theme="1"/>
        <rFont val="Arial"/>
      </rPr>
      <t xml:space="preserve"> qylyğyn eske alsa, Kerrin qūdaiyn oilaidy, ekeuınıñ de bas süierlerı bar.
</t>
    </r>
    <r>
      <rPr>
        <b/>
        <sz val="11"/>
        <color theme="1"/>
        <rFont val="Arial"/>
      </rPr>
      <t xml:space="preserve">TRANSLATION:</t>
    </r>
    <r>
      <rPr>
        <sz val="11"/>
        <color theme="1"/>
        <rFont val="Arial"/>
      </rPr>
      <t xml:space="preserve"> If Suellen recalls her own </t>
    </r>
    <r>
      <rPr>
        <b/>
        <sz val="11"/>
        <color theme="1"/>
        <rFont val="Arial"/>
      </rPr>
      <t xml:space="preserve">shameful</t>
    </r>
    <r>
      <rPr>
        <sz val="11"/>
        <color theme="1"/>
        <rFont val="Arial"/>
      </rPr>
      <t xml:space="preserve"> conduct, Carreen thinks of her God; both have something to lean on.</t>
    </r>
  </si>
  <si>
    <t xml:space="preserve">Shame — Absent shame</t>
  </si>
  <si>
    <t xml:space="preserve">Moral shame ABSENT — Rhett as specific witness</t>
  </si>
  <si>
    <t xml:space="preserve">Now that her first rage at Rhett and his insults had passed, she began to miss him and she missed him more and more as days went by without news of him. Out of the welter of rapture and anger and heartbreak and hurt pride that he had left, depression emerged to sit upon her shoulder like a carrion crow. She missed him, missed his light flippant touch in anecdotes that made her shout with laughter, his sardonic grin that reduced troubles to their proper proportions, missed even his jeers that stung her to angry retort. Most of all she missed having him to tell things to. Rhett was so satisfactory in that respect. She could recount shamelessly and with pride how she had skinned people out of their eyeteeth and he would applaud. And if she even mentioned such things to other people they were shocked.</t>
  </si>
  <si>
    <t xml:space="preserve">TERM: bez zazreniya sovesti (без зазрения совести) — without a qualm of conscience (set phrase) [ORD] (lemma: зазрение)
PASSAGE: Она могла без зазрения совести, даже с гордостью, рассказывать ему, как ободрала кого-нибудь точно липку, и он лишь аплодировал ей.
TRANS: Ona mogla bez zazreniya sovesti, dazhe s gordost'yu, rasskazyvat' emu, kak obodrala kogo-nibud' tochno lipku, i on lish' aplodiroval ey.
TRANSLATION: She could, without any pang of conscience, even with pride, tell him how she had fleeced someone like a sticky-leaf, and he would only applaud her.</t>
  </si>
  <si>
    <r>
      <rPr>
        <b/>
        <sz val="11"/>
        <color theme="1"/>
        <rFont val="Arial"/>
      </rPr>
      <t xml:space="preserve">TERM:</t>
    </r>
    <r>
      <rPr>
        <sz val="11"/>
        <color theme="1"/>
        <rFont val="Arial"/>
      </rPr>
      <t xml:space="preserve"> </t>
    </r>
    <r>
      <rPr>
        <b/>
        <sz val="11"/>
        <color theme="1"/>
        <rFont val="Arial"/>
      </rPr>
      <t xml:space="preserve">QYSYLU</t>
    </r>
    <r>
      <rPr>
        <sz val="11"/>
        <color theme="1"/>
        <rFont val="Arial"/>
      </rPr>
      <t xml:space="preserve"> (ҚЫСЫЛУ) — to feel embarrassed; to feel constrained; to be in difficulty [KED, SZK]
</t>
    </r>
    <r>
      <rPr>
        <b/>
        <sz val="11"/>
        <color theme="1"/>
        <rFont val="Arial"/>
      </rPr>
      <t xml:space="preserve">PASSAGE:</t>
    </r>
    <r>
      <rPr>
        <sz val="11"/>
        <color theme="1"/>
        <rFont val="Arial"/>
      </rPr>
      <t xml:space="preserve"> Скарлетт еш </t>
    </r>
    <r>
      <rPr>
        <b/>
        <sz val="11"/>
        <color theme="1"/>
        <rFont val="Arial"/>
      </rPr>
      <t xml:space="preserve">қысылмастан</t>
    </r>
    <r>
      <rPr>
        <sz val="11"/>
        <color theme="1"/>
        <rFont val="Arial"/>
      </rPr>
      <t xml:space="preserve"> кімнің қалтасын қалай қаққанын, қай қыспақтан қалай сытылып шыққанын ұялмай, қайта танау желбезегі дірілдеп отырып, мақтанышпен айтатын, сол кезде алақанын алақанына ұрып, мадақтайтын адамы да сол болатын.
</t>
    </r>
    <r>
      <rPr>
        <b/>
        <sz val="11"/>
        <color theme="1"/>
        <rFont val="Arial"/>
      </rPr>
      <t xml:space="preserve">TRANS:</t>
    </r>
    <r>
      <rPr>
        <sz val="11"/>
        <color theme="1"/>
        <rFont val="Arial"/>
      </rPr>
      <t xml:space="preserve"> Skarlett eş </t>
    </r>
    <r>
      <rPr>
        <b/>
        <sz val="11"/>
        <color theme="1"/>
        <rFont val="Arial"/>
      </rPr>
      <t xml:space="preserve">qysylmastan</t>
    </r>
    <r>
      <rPr>
        <sz val="11"/>
        <color theme="1"/>
        <rFont val="Arial"/>
      </rPr>
      <t xml:space="preserve"> kımnıñ qaltasyn qalai qaqqanyn, qai qyspaqtan qalai sytylyp şyqqanyn ūialmai, qaita tanau jelbezegı dırıldep otyryp, maqtanyşpen aitatyn, sol kezde alaqanyn alaqanyna ūryp, madaqtaityn adamy da sol bolatyn.
</t>
    </r>
    <r>
      <rPr>
        <b/>
        <sz val="11"/>
        <color theme="1"/>
        <rFont val="Arial"/>
      </rPr>
      <t xml:space="preserve">TRANSLATION:</t>
    </r>
    <r>
      <rPr>
        <sz val="11"/>
        <color theme="1"/>
        <rFont val="Arial"/>
      </rPr>
      <t xml:space="preserve"> Scarlett would, without the slightest </t>
    </r>
    <r>
      <rPr>
        <b/>
        <sz val="11"/>
        <color theme="1"/>
        <rFont val="Arial"/>
      </rPr>
      <t xml:space="preserve">embarrassment</t>
    </r>
    <r>
      <rPr>
        <sz val="11"/>
        <color theme="1"/>
        <rFont val="Arial"/>
      </rPr>
      <t xml:space="preserve"> — indeed with her nostrils trembling with </t>
    </r>
    <r>
      <rPr>
        <b/>
        <sz val="11"/>
        <color theme="1"/>
        <rFont val="Arial"/>
      </rPr>
      <t xml:space="preserve">pride</t>
    </r>
    <r>
      <rPr>
        <sz val="11"/>
        <color theme="1"/>
        <rFont val="Arial"/>
      </rPr>
      <t xml:space="preserve"> — tell him how she had picked someone's pocket or wriggled out of some squeeze, and he was the very man who would clap his palms in praise.</t>
    </r>
  </si>
  <si>
    <t xml:space="preserve">constitutive absence of shame — Rhett outside the social shame system</t>
  </si>
  <si>
    <t xml:space="preserve">His hair was jet black, and his black mustache was small and closely clipped, almost foreign looking compared with the dashing, swooping mustaches of the cavalrymen near by. He looked, and was, a man of lusty and unashamed appetites. He had an air of utter assurance, of displeasing insolence about him, and there was a twinkle of malice in his bold eyes as he stared at Scarlett, until finally, feeling his gaze, she looked toward him.</t>
  </si>
  <si>
    <t xml:space="preserve">constitutive absence of shame — Rhett outside the social shame system; impossible to incur shame</t>
  </si>
  <si>
    <t xml:space="preserve">She was helpless before his calm smile and his drawling remarks, for she had never before met anyone who was so completely impregnable. Her weapons of scorn, coldness and abuse blunted in her hands, for nothing she could say would shame him. It had been her experience that the liar was the hottest to defend his veracity, the coward his courage, the ill-bred his gentlemanliness, and the cad his honor. But not Rhett. He admitted everything and laughed and dared her to say more.</t>
  </si>
  <si>
    <t xml:space="preserve">TERM: Smutit' (Смутить) — to disconcert; to embarrass (perfective) [ORD]
PASSAGE: Смутить его было невозможно.
TRANS: Smutit' ego bylo nevozmozhno.
TRANSLATION: It was impossible to disconcert him.</t>
  </si>
  <si>
    <r>
      <rPr>
        <b/>
        <sz val="11"/>
        <color theme="1"/>
        <rFont val="Arial"/>
      </rPr>
      <t xml:space="preserve">TERM:</t>
    </r>
    <r>
      <rPr>
        <sz val="11"/>
        <color theme="1"/>
        <rFont val="Arial"/>
      </rPr>
      <t xml:space="preserve"> ŪİALTU (ҰЯЛТУ) — to make (someone) feel ashamed; to disconcert; to embarrass (causative) [KED, SZK]
</t>
    </r>
    <r>
      <rPr>
        <b/>
        <sz val="11"/>
        <color theme="1"/>
        <rFont val="Arial"/>
      </rPr>
      <t xml:space="preserve">PASSAGE:</t>
    </r>
    <r>
      <rPr>
        <sz val="11"/>
        <color theme="1"/>
        <rFont val="Arial"/>
      </rPr>
      <t xml:space="preserve"> Оны </t>
    </r>
    <r>
      <rPr>
        <b/>
        <sz val="11"/>
        <color theme="1"/>
        <rFont val="Arial"/>
      </rPr>
      <t xml:space="preserve">ұялту</t>
    </r>
    <r>
      <rPr>
        <sz val="11"/>
        <color theme="1"/>
        <rFont val="Arial"/>
      </rPr>
      <t xml:space="preserve"> мүмкін емес еді.
</t>
    </r>
    <r>
      <rPr>
        <b/>
        <sz val="11"/>
        <color theme="1"/>
        <rFont val="Arial"/>
      </rPr>
      <t xml:space="preserve">TRANS:</t>
    </r>
    <r>
      <rPr>
        <sz val="11"/>
        <color theme="1"/>
        <rFont val="Arial"/>
      </rPr>
      <t xml:space="preserve"> Ony </t>
    </r>
    <r>
      <rPr>
        <b/>
        <sz val="11"/>
        <color theme="1"/>
        <rFont val="Arial"/>
      </rPr>
      <t xml:space="preserve">ūialtu</t>
    </r>
    <r>
      <rPr>
        <sz val="11"/>
        <color theme="1"/>
        <rFont val="Arial"/>
      </rPr>
      <t xml:space="preserve"> mümkın emes edı.
</t>
    </r>
    <r>
      <rPr>
        <b/>
        <sz val="11"/>
        <color theme="1"/>
        <rFont val="Arial"/>
      </rPr>
      <t xml:space="preserve">TRANSLATION:</t>
    </r>
    <r>
      <rPr>
        <sz val="11"/>
        <color theme="1"/>
        <rFont val="Arial"/>
      </rPr>
      <t xml:space="preserve"> It was impossible to make him feel </t>
    </r>
    <r>
      <rPr>
        <b/>
        <sz val="11"/>
        <color theme="1"/>
        <rFont val="Arial"/>
      </rPr>
      <t xml:space="preserve">ashamed</t>
    </r>
    <r>
      <rPr>
        <sz val="11"/>
        <color theme="1"/>
        <rFont val="Arial"/>
      </rPr>
      <t xml:space="preserve">.</t>
    </r>
  </si>
  <si>
    <t xml:space="preserve">He picked up his hat and bowed and she saw in the light of the lamp that his teeth were showing in a smile beneath his mustache. He was not ashamed, he was amused at what she had said, and he was watching her with alert interest.</t>
  </si>
  <si>
    <t xml:space="preserve">TERM: pristyzhen (пристыжен) — shamed; abashed (short form pass.) [ORD] (lemma: пристыдить)
PASSAGE: Он явно не был пристыжен
TRANS: On yavno ne byl pristyzhen
TRANSLATION: He clearly was not put to shame.</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</si>
  <si>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Оның </t>
    </r>
    <r>
      <rPr>
        <b/>
        <sz val="11"/>
        <color theme="1"/>
        <rFont val="Arial"/>
      </rPr>
      <t xml:space="preserve">ұялмағаны</t>
    </r>
    <r>
      <rPr>
        <sz val="11"/>
        <color theme="1"/>
        <rFont val="Arial"/>
      </rPr>
      <t xml:space="preserve"> анық
</t>
    </r>
    <r>
      <rPr>
        <b/>
        <sz val="11"/>
        <color theme="1"/>
        <rFont val="Arial"/>
      </rPr>
      <t xml:space="preserve">TRANS:</t>
    </r>
    <r>
      <rPr>
        <sz val="11"/>
        <color theme="1"/>
        <rFont val="Arial"/>
      </rPr>
      <t xml:space="preserve"> Onyñ </t>
    </r>
    <r>
      <rPr>
        <b/>
        <sz val="11"/>
        <color theme="1"/>
        <rFont val="Arial"/>
      </rPr>
      <t xml:space="preserve">ūialmağany</t>
    </r>
    <r>
      <rPr>
        <sz val="11"/>
        <color theme="1"/>
        <rFont val="Arial"/>
      </rPr>
      <t xml:space="preserve"> anyq
</t>
    </r>
    <r>
      <rPr>
        <b/>
        <sz val="11"/>
        <color theme="1"/>
        <rFont val="Arial"/>
      </rPr>
      <t xml:space="preserve">TRANSLATION:</t>
    </r>
    <r>
      <rPr>
        <sz val="11"/>
        <color theme="1"/>
        <rFont val="Arial"/>
      </rPr>
      <t xml:space="preserve"> It was clear he was not </t>
    </r>
    <r>
      <rPr>
        <b/>
        <sz val="11"/>
        <color theme="1"/>
        <rFont val="Arial"/>
      </rPr>
      <t xml:space="preserve">embarrassed</t>
    </r>
    <r>
      <rPr>
        <sz val="11"/>
        <color theme="1"/>
        <rFont val="Arial"/>
      </rPr>
      <t xml:space="preserve">.</t>
    </r>
  </si>
  <si>
    <t xml:space="preserve">constitutive absence of shame — Rhett outside the social-moral shame system</t>
  </si>
  <si>
    <t xml:space="preserve">"Shall we let the bugles sing truce?" he smiled down at her, a wide flashing smile that had impudence in it but no shame for his own actions or condemnation for hers. In spite of herself, she had to smile too, but it was a wry, uncomfortable smile.</t>
  </si>
  <si>
    <t xml:space="preserve">TERM: ne oszhudat' (не осжудать) — not to condemn (typo for не осуждать in source) [ORD] (lemma: осуждать)
PASSAGE: но нисколько не осуждающая ее или себя.
TRANS: no niskol'ko ne osuzhdayushchaya ee ili sebya.
TRANSLATION: but [a smile] not at all condemning her or himself.</t>
  </si>
  <si>
    <r>
      <rPr>
        <b/>
        <sz val="11"/>
        <color theme="1"/>
        <rFont val="Arial"/>
      </rPr>
      <t xml:space="preserve">TERM:</t>
    </r>
    <r>
      <rPr>
        <sz val="11"/>
        <color theme="1"/>
        <rFont val="Arial"/>
      </rPr>
      <t xml:space="preserve"> KİNÄLAU (КІНӘЛАУ) — to blame; to find guilty [KED, SZK]
</t>
    </r>
    <r>
      <rPr>
        <b/>
        <sz val="11"/>
        <color theme="1"/>
        <rFont val="Arial"/>
      </rPr>
      <t xml:space="preserve">PASSAGE:</t>
    </r>
    <r>
      <rPr>
        <sz val="11"/>
        <color theme="1"/>
        <rFont val="Arial"/>
      </rPr>
      <t xml:space="preserve"> - Мүмкін татуласармыз? - Жоғарыдан төмен, бұған жадырай қарап тұрған оның күлкісі сондай шуақты соншалықты кеңдік пен аздаған дөрекілікті паш етіп тұрды, өзін де, мұны да ештеңеге </t>
    </r>
    <r>
      <rPr>
        <b/>
        <sz val="11"/>
        <color theme="1"/>
        <rFont val="Arial"/>
      </rPr>
      <t xml:space="preserve">кінәламайтындай</t>
    </r>
    <r>
      <rPr>
        <sz val="11"/>
        <color theme="1"/>
        <rFont val="Arial"/>
      </rPr>
      <t xml:space="preserve">.
</t>
    </r>
    <r>
      <rPr>
        <b/>
        <sz val="11"/>
        <color theme="1"/>
        <rFont val="Arial"/>
      </rPr>
      <t xml:space="preserve">TRANS:</t>
    </r>
    <r>
      <rPr>
        <sz val="11"/>
        <color theme="1"/>
        <rFont val="Arial"/>
      </rPr>
      <t xml:space="preserve"> - Mümkın tatulasarmyz? - Joğarydan tömen, būğan jadyrai qarap tūrğan onyñ külkısı sondai şuaqty sonşalyqty keñdık pen azdağan dörekılıktı paş etıp tūrdy, özın de, mūny da eşteñege </t>
    </r>
    <r>
      <rPr>
        <b/>
        <sz val="11"/>
        <color theme="1"/>
        <rFont val="Arial"/>
      </rPr>
      <t xml:space="preserve">kınälamaityndai</t>
    </r>
    <r>
      <rPr>
        <sz val="11"/>
        <color theme="1"/>
        <rFont val="Arial"/>
      </rPr>
      <t xml:space="preserve">.
</t>
    </r>
    <r>
      <rPr>
        <b/>
        <sz val="11"/>
        <color theme="1"/>
        <rFont val="Arial"/>
      </rPr>
      <t xml:space="preserve">TRANSLATION:</t>
    </r>
    <r>
      <rPr>
        <sz val="11"/>
        <color theme="1"/>
        <rFont val="Arial"/>
      </rPr>
      <t xml:space="preserve"> "Perhaps we will be reconciled?" — the smile he gave her, looking down at her with such warmth, such breadth and a slight roughness, as if blaming neither himself nor her in the slightest.</t>
    </r>
  </si>
  <si>
    <t xml:space="preserve">constitutive absence of shame — Rhett outside the moral shame system</t>
  </si>
  <si>
    <t xml:space="preserve">Dr. Meade fumed into silence and stroked her cheek and then exploded again. "And to be under obligation to that Butler man! Hanging would be easy compared to that. No, not even if I owe him my life, can I be polite to him. His insolence is monumental and his shamelessness about his profiteering makes me boil. To owe my life to a man who never went in the army—"</t>
  </si>
  <si>
    <t xml:space="preserve">TERM: besstydstva (бесстыдства) — shamelessness; impudence (gen.) [ORD] (lemma: бесстыдство)
PASSAGE: Его наглости нет предела, а от его бесстыдства — ведь он же самый настоящий спекулянт! — я весь киплю.
TRANS: Ego naglosti net predela, a ot ego besstydstva — ved' on zhe samyy nastoyashchiy spekulyant! — ya ves' kiplyu.
TRANSLATION: His insolence has no limit, and from his shamelessness — for he is the most outright speculator! — I am all boiling.</t>
  </si>
  <si>
    <r>
      <rPr>
        <b/>
        <sz val="11"/>
        <color theme="1"/>
        <rFont val="Arial"/>
      </rPr>
      <t xml:space="preserve">TERM:</t>
    </r>
    <r>
      <rPr>
        <sz val="11"/>
        <color theme="1"/>
        <rFont val="Arial"/>
      </rPr>
      <t xml:space="preserve"> ŪİATSYZDYQ (ҰЯТСЫЗДЫҚ) — shamelessness; impudence [KED, SZK]
</t>
    </r>
    <r>
      <rPr>
        <b/>
        <sz val="11"/>
        <color theme="1"/>
        <rFont val="Arial"/>
      </rPr>
      <t xml:space="preserve">PASSAGE:</t>
    </r>
    <r>
      <rPr>
        <sz val="11"/>
        <color theme="1"/>
        <rFont val="Arial"/>
      </rPr>
      <t xml:space="preserve"> Оның арсыздығының шегі жоқ, ал </t>
    </r>
    <r>
      <rPr>
        <b/>
        <sz val="11"/>
        <color theme="1"/>
        <rFont val="Arial"/>
      </rPr>
      <t xml:space="preserve">ұятсыздығы</t>
    </r>
    <r>
      <rPr>
        <sz val="11"/>
        <color theme="1"/>
        <rFont val="Arial"/>
      </rPr>
      <t xml:space="preserve"> сол, ол нағыз саудагер емес пе? Ойлаған сайын күйініп кетемін.
</t>
    </r>
    <r>
      <rPr>
        <b/>
        <sz val="11"/>
        <color theme="1"/>
        <rFont val="Arial"/>
      </rPr>
      <t xml:space="preserve">TRANS:</t>
    </r>
    <r>
      <rPr>
        <sz val="11"/>
        <color theme="1"/>
        <rFont val="Arial"/>
      </rPr>
      <t xml:space="preserve"> Onyñ arsyzdyğynyñ şegı joq, al </t>
    </r>
    <r>
      <rPr>
        <b/>
        <sz val="11"/>
        <color theme="1"/>
        <rFont val="Arial"/>
      </rPr>
      <t xml:space="preserve">ūiatsyzdyğy</t>
    </r>
    <r>
      <rPr>
        <sz val="11"/>
        <color theme="1"/>
        <rFont val="Arial"/>
      </rPr>
      <t xml:space="preserve"> sol, ol nağyz saudager emes pe? Oilağan saiyn küiınıp ketemın.
</t>
    </r>
    <r>
      <rPr>
        <b/>
        <sz val="11"/>
        <color theme="1"/>
        <rFont val="Arial"/>
      </rPr>
      <t xml:space="preserve">TRANSLATION:</t>
    </r>
    <r>
      <rPr>
        <sz val="11"/>
        <color theme="1"/>
        <rFont val="Arial"/>
      </rPr>
      <t xml:space="preserve"> His insolence has no limit, and his </t>
    </r>
    <r>
      <rPr>
        <b/>
        <sz val="11"/>
        <color theme="1"/>
        <rFont val="Arial"/>
      </rPr>
      <t xml:space="preserve">shamelessness</t>
    </r>
    <r>
      <rPr>
        <sz val="11"/>
        <color theme="1"/>
        <rFont val="Arial"/>
      </rPr>
      <t xml:space="preserve"> lies in this — is he not a real merchant? Every time I think of it I am incensed.</t>
    </r>
  </si>
  <si>
    <t xml:space="preserve">They even stood Rhett, a more difficult matter, for Rhett saw through them and they knew it. He had no hesitation about stripping them verbally, even under his own roof, always in a manner that left them no reply. Unashamed of how he came by his fortune, he pretended that they, too, were unashamed of their beginnings and he seldom missed an opportunity to remark upon matters which, by common consent, everyone felt were better left in polite obscurity.</t>
  </si>
  <si>
    <t xml:space="preserve">TERM: Ne stesnyayas' (Не стесняясь) — without being embarrassed (gerund neg.) [ORD] (lemma: стесняться)
PASSAGE: Не стесняясь того, какими путями он сам пришел к богатству, он делал вид,
TRANS: Ne stesnyayas' togo, kakimi putyami on sam prishel k bogatstvu, on delal vid,
TRANSLATION: Not embarrassed by the ways he himself had come to his wealth, he made out as though...</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</si>
  <si>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Өзінің бұл байлыққа қол жеткізу жолын жасырмайтын да </t>
    </r>
    <r>
      <rPr>
        <b/>
        <sz val="11"/>
        <color theme="1"/>
        <rFont val="Arial"/>
      </rPr>
      <t xml:space="preserve">ұялмайтын</t>
    </r>
    <r>
      <rPr>
        <sz val="11"/>
        <color theme="1"/>
        <rFont val="Arial"/>
      </rPr>
      <t xml:space="preserve"> болған соң,
</t>
    </r>
    <r>
      <rPr>
        <b/>
        <sz val="11"/>
        <color theme="1"/>
        <rFont val="Arial"/>
      </rPr>
      <t xml:space="preserve">TRANS:</t>
    </r>
    <r>
      <rPr>
        <sz val="11"/>
        <color theme="1"/>
        <rFont val="Arial"/>
      </rPr>
      <t xml:space="preserve">  Özınıñ būl bailyqqa qol jetkızu jolyn jasyrmaityn da </t>
    </r>
    <r>
      <rPr>
        <b/>
        <sz val="11"/>
        <color theme="1"/>
        <rFont val="Arial"/>
      </rPr>
      <t xml:space="preserve">ūialmaityn</t>
    </r>
    <r>
      <rPr>
        <sz val="11"/>
        <color theme="1"/>
        <rFont val="Arial"/>
      </rPr>
      <t xml:space="preserve"> bolğan soñ,
</t>
    </r>
    <r>
      <rPr>
        <b/>
        <sz val="11"/>
        <color theme="1"/>
        <rFont val="Arial"/>
      </rPr>
      <t xml:space="preserve">TRANSLATION:</t>
    </r>
    <r>
      <rPr>
        <sz val="11"/>
        <color theme="1"/>
        <rFont val="Arial"/>
      </rPr>
      <t xml:space="preserve"> Since he neither hid nor was </t>
    </r>
    <r>
      <rPr>
        <b/>
        <sz val="11"/>
        <color theme="1"/>
        <rFont val="Arial"/>
      </rPr>
      <t xml:space="preserve">ashamed</t>
    </r>
    <r>
      <rPr>
        <sz val="11"/>
        <color theme="1"/>
        <rFont val="Arial"/>
      </rPr>
      <t xml:space="preserve"> of the path by which he had come to this wealth,...</t>
    </r>
  </si>
  <si>
    <t xml:space="preserve">constitutive absence of shame — Rhett outside the social shame system (social conventions)</t>
  </si>
  <si>
    <t xml:space="preserve">From the moment his daughter was born, Rhett's conduct was puzzling to all observers and he upset many settled notions about himself, notions which both the town and Scarlett were loath to surrender. Whoever would have thought that he of all people would be so shamelessly, so openly proud of fatherhood? Especially in view of the embarrassing circumstance that his first-born was a girl and not a boy.</t>
  </si>
  <si>
    <t xml:space="preserve">TERM: besstydno (бесстыдно) — shamelessly (adv.) [ORD]
PASSAGE: Ну, кто бы мог подумать, что из всех людей именно он будет столь открыто, столь бесстыдно гордиться своим отцовством?
TRANS: Nu, kto by mog podumat', chto iz vsekh lyudey imenno on budet stol' otkryto, stol' besstydno gordit'sya svoim ottsovstvom?
TRANSLATION: Now, who would have thought that of all people, it would be precisely he who would be so openly, so shamelessly proud of his fatherhood?</t>
  </si>
  <si>
    <r>
      <rPr>
        <b/>
        <sz val="11"/>
        <color theme="1"/>
        <rFont val="Arial"/>
      </rPr>
      <t xml:space="preserve">TERM:</t>
    </r>
    <r>
      <rPr>
        <sz val="11"/>
        <color theme="1"/>
        <rFont val="Arial"/>
      </rPr>
      <t xml:space="preserve"> QYMSYNU (ҚЫМСЫНУ) — to feel awkward; to feel embarrassed [KED, SZK]
</t>
    </r>
    <r>
      <rPr>
        <b/>
        <sz val="11"/>
        <color theme="1"/>
        <rFont val="Arial"/>
      </rPr>
      <t xml:space="preserve">PASSAGE:</t>
    </r>
    <r>
      <rPr>
        <sz val="11"/>
        <color theme="1"/>
        <rFont val="Arial"/>
      </rPr>
      <t xml:space="preserve"> Мына дүниедегі қаптаған адамдардың ішінен тап осы еркек өзін осыншама дардай етіп, елдің құлағын да әбден сарсытып, ашықтан-ашық, еш </t>
    </r>
    <r>
      <rPr>
        <b/>
        <sz val="11"/>
        <color theme="1"/>
        <rFont val="Arial"/>
      </rPr>
      <t xml:space="preserve">қымсынбастан</t>
    </r>
    <r>
      <rPr>
        <sz val="11"/>
        <color theme="1"/>
        <rFont val="Arial"/>
      </rPr>
      <t xml:space="preserve"> әке болғанына жатпай-тұрмай мақтанады деп кім ойлаған?
</t>
    </r>
    <r>
      <rPr>
        <b/>
        <sz val="11"/>
        <color theme="1"/>
        <rFont val="Arial"/>
      </rPr>
      <t xml:space="preserve">TRANS:</t>
    </r>
    <r>
      <rPr>
        <sz val="11"/>
        <color theme="1"/>
        <rFont val="Arial"/>
      </rPr>
      <t xml:space="preserve"> Myna düniedegı qaptağan adamdardyñ ışınen tap osy erkek özın osynşama dardai etıp, eldıñ qūlağyn da äbden sarsytyp, aşyqtan-aşyq, eş </t>
    </r>
    <r>
      <rPr>
        <b/>
        <sz val="11"/>
        <color theme="1"/>
        <rFont val="Arial"/>
      </rPr>
      <t xml:space="preserve">qymsynbastan</t>
    </r>
    <r>
      <rPr>
        <sz val="11"/>
        <color theme="1"/>
        <rFont val="Arial"/>
      </rPr>
      <t xml:space="preserve"> äke bolğanyna jatpai-tūrmai maqtanady dep kım oilağan?
</t>
    </r>
    <r>
      <rPr>
        <b/>
        <sz val="11"/>
        <color theme="1"/>
        <rFont val="Arial"/>
      </rPr>
      <t xml:space="preserve">TRANSLATION:</t>
    </r>
    <r>
      <rPr>
        <sz val="11"/>
        <color theme="1"/>
        <rFont val="Arial"/>
      </rPr>
      <t xml:space="preserve"> Of all the men in this world, who would have thought that this very man — making such a grand show of himself, wearing out everyone's ears — would, openly and without the slightest </t>
    </r>
    <r>
      <rPr>
        <b/>
        <sz val="11"/>
        <color theme="1"/>
        <rFont val="Arial"/>
      </rPr>
      <t xml:space="preserve">embarrassment</t>
    </r>
    <r>
      <rPr>
        <sz val="11"/>
        <color theme="1"/>
        <rFont val="Arial"/>
      </rPr>
      <t xml:space="preserve">, boast indefatigably of his fatherhood?</t>
    </r>
  </si>
  <si>
    <t xml:space="preserve">"Scarlett, understand this. If you and your bed still held any charms for me, no looks and no entreaties could keep me away. And I would have no sense of shame for anything I did, for I made a bargain with you—a bargain which I have kept and you are now breaking. Keep your chaste bed, my dear."</t>
  </si>
  <si>
    <t xml:space="preserve">TERM: stydno (стыдно) — it is shameful; (one) feels ashamed (impersonal predicate) [ORD]
PASSAGE: И мне не было бы стыдно, так как мы с тобой заключили сделку — сделку, которой я верен и которую ты сейчас нарушаешь.
TRANS: I mne ne bylo by stydno, tak kak my s toboy zaklyuchili sdelku — sdelku, kotoroy ya veren i kotoruyu ty seychas narushaesh'.
TRANSLATION: And I would not be ashamed, since you and I made a bargain — a bargain to which I have been faithful and which you are now breaking.</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</si>
  <si>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Екеуміз жасасқан келісімге мен қиянат қылмай, осы уақытқа дейін адал боп келгендіктен, ештеңеден </t>
    </r>
    <r>
      <rPr>
        <b/>
        <sz val="11"/>
        <color theme="1"/>
        <rFont val="Arial"/>
      </rPr>
      <t xml:space="preserve">ұялар</t>
    </r>
    <r>
      <rPr>
        <sz val="11"/>
        <color theme="1"/>
        <rFont val="Arial"/>
      </rPr>
      <t xml:space="preserve"> жайым жоқ, бәрін бұзған өзіңнен көрмесең.
</t>
    </r>
    <r>
      <rPr>
        <b/>
        <sz val="11"/>
        <color theme="1"/>
        <rFont val="Arial"/>
      </rPr>
      <t xml:space="preserve">TRANS:</t>
    </r>
    <r>
      <rPr>
        <sz val="11"/>
        <color theme="1"/>
        <rFont val="Arial"/>
      </rPr>
      <t xml:space="preserve"> Ekeumız jasasqan kelısımge men qianat qylmai, osy uaqytqa deiın adal bop kelgendıkten, eşteñeden </t>
    </r>
    <r>
      <rPr>
        <b/>
        <sz val="11"/>
        <color theme="1"/>
        <rFont val="Arial"/>
      </rPr>
      <t xml:space="preserve">ūialar</t>
    </r>
    <r>
      <rPr>
        <sz val="11"/>
        <color theme="1"/>
        <rFont val="Arial"/>
      </rPr>
      <t xml:space="preserve"> jaiym joq, bärın būzğan özıñnen körmeseñ.
</t>
    </r>
    <r>
      <rPr>
        <b/>
        <sz val="11"/>
        <color theme="1"/>
        <rFont val="Arial"/>
      </rPr>
      <t xml:space="preserve">TRANSLATION:</t>
    </r>
    <r>
      <rPr>
        <sz val="11"/>
        <color theme="1"/>
        <rFont val="Arial"/>
      </rPr>
      <t xml:space="preserve"> Since I have been faithful all this while to the agreement we two made — not betraying it — I have nothing to be </t>
    </r>
    <r>
      <rPr>
        <b/>
        <sz val="11"/>
        <color theme="1"/>
        <rFont val="Arial"/>
      </rPr>
      <t xml:space="preserve">ashamed</t>
    </r>
    <r>
      <rPr>
        <sz val="11"/>
        <color theme="1"/>
        <rFont val="Arial"/>
      </rPr>
      <t xml:space="preserve"> of: for breaking it all you have only yourself to look to.</t>
    </r>
  </si>
  <si>
    <t xml:space="preserve">"Ashamed! Pooh! They're both cut out of the same piece of cloth. Where did you ever get such a silly notion?"</t>
  </si>
  <si>
    <t xml:space="preserve">TERM: Styditsya (Стыдится) — feels ashamed (3sg) [ORD] (lemma: стыдиться)
PASSAGE: Стыдится?! Ерунда!
TRANS: Styditsya?! Erunda!
TRANSLATION: Ashamed?! Nonsense!</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</si>
  <si>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t>
    </r>
    <r>
      <rPr>
        <b/>
        <sz val="11"/>
        <color theme="1"/>
        <rFont val="Arial"/>
      </rPr>
      <t xml:space="preserve">Ұялады</t>
    </r>
    <r>
      <rPr>
        <sz val="11"/>
        <color theme="1"/>
        <rFont val="Arial"/>
      </rPr>
      <t xml:space="preserve"> деймісіз? Қайдан?
</t>
    </r>
    <r>
      <rPr>
        <b/>
        <sz val="11"/>
        <color theme="1"/>
        <rFont val="Arial"/>
      </rPr>
      <t xml:space="preserve">TRANS:</t>
    </r>
    <r>
      <rPr>
        <sz val="11"/>
        <color theme="1"/>
        <rFont val="Arial"/>
      </rPr>
      <t xml:space="preserve"> </t>
    </r>
    <r>
      <rPr>
        <b/>
        <sz val="11"/>
        <color theme="1"/>
        <rFont val="Arial"/>
      </rPr>
      <t xml:space="preserve">Ūialady</t>
    </r>
    <r>
      <rPr>
        <sz val="11"/>
        <color theme="1"/>
        <rFont val="Arial"/>
      </rPr>
      <t xml:space="preserve"> deimısız? Qaidan?
</t>
    </r>
    <r>
      <rPr>
        <b/>
        <sz val="11"/>
        <color theme="1"/>
        <rFont val="Arial"/>
      </rPr>
      <t xml:space="preserve">TRANSLATION:</t>
    </r>
    <r>
      <rPr>
        <sz val="11"/>
        <color theme="1"/>
        <rFont val="Arial"/>
      </rPr>
      <t xml:space="preserve"> You say he is </t>
    </r>
    <r>
      <rPr>
        <b/>
        <sz val="11"/>
        <color theme="1"/>
        <rFont val="Arial"/>
      </rPr>
      <t xml:space="preserve">ashamed</t>
    </r>
    <r>
      <rPr>
        <sz val="11"/>
        <color theme="1"/>
        <rFont val="Arial"/>
      </rPr>
      <t xml:space="preserve">? From where?</t>
    </r>
  </si>
  <si>
    <t xml:space="preserve">absence of social shame from moral integrity — Melanie</t>
  </si>
  <si>
    <t xml:space="preserve">"But it's true," answered Melanie and she began to cry softly. "And I'm not ashamed that he thinks that way. He thinks the war is all wrong but he's willing to fight and die anyway, and that takes lots more courage than fighting for something you think is right."</t>
  </si>
  <si>
    <t xml:space="preserve">TERM: ne styzhus' (не стыжусь) — I am not ashamed (1sg neg.) [ORD] (lemma: стыдиться)
PASSAGE: И я нисколько не стыжусь того, что он так думает.
TRANS: I ya niskol'ko ne styzhus' togo, chto on tak dumaet.
TRANSLATION: And I am not in the least ashamed that he thinks so.</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</si>
  <si>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Ал мен оның солай ойлайтыны үшін еш </t>
    </r>
    <r>
      <rPr>
        <b/>
        <sz val="11"/>
        <color theme="1"/>
        <rFont val="Arial"/>
      </rPr>
      <t xml:space="preserve">ұялмаймын</t>
    </r>
    <r>
      <rPr>
        <sz val="11"/>
        <color theme="1"/>
        <rFont val="Arial"/>
      </rPr>
      <t xml:space="preserve">.
</t>
    </r>
    <r>
      <rPr>
        <b/>
        <sz val="11"/>
        <color theme="1"/>
        <rFont val="Arial"/>
      </rPr>
      <t xml:space="preserve">TRANS:</t>
    </r>
    <r>
      <rPr>
        <sz val="11"/>
        <color theme="1"/>
        <rFont val="Arial"/>
      </rPr>
      <t xml:space="preserve"> Al men onyñ solai oilaityny üşın eş </t>
    </r>
    <r>
      <rPr>
        <b/>
        <sz val="11"/>
        <color theme="1"/>
        <rFont val="Arial"/>
      </rPr>
      <t xml:space="preserve">ūialmaimyn</t>
    </r>
    <r>
      <rPr>
        <sz val="11"/>
        <color theme="1"/>
        <rFont val="Arial"/>
      </rPr>
      <t xml:space="preserve">.
</t>
    </r>
    <r>
      <rPr>
        <b/>
        <sz val="11"/>
        <color theme="1"/>
        <rFont val="Arial"/>
      </rPr>
      <t xml:space="preserve">TRANSLATION:</t>
    </r>
    <r>
      <rPr>
        <sz val="11"/>
        <color theme="1"/>
        <rFont val="Arial"/>
      </rPr>
      <t xml:space="preserve"> And I am not at all </t>
    </r>
    <r>
      <rPr>
        <b/>
        <sz val="11"/>
        <color theme="1"/>
        <rFont val="Arial"/>
      </rPr>
      <t xml:space="preserve">ashamed</t>
    </r>
    <r>
      <rPr>
        <sz val="11"/>
        <color theme="1"/>
        <rFont val="Arial"/>
      </rPr>
      <t xml:space="preserve"> that he thinks so.</t>
    </r>
  </si>
  <si>
    <t xml:space="preserve">absence of social shame from moral integrity and true love — Melanie</t>
  </si>
  <si>
    <t xml:space="preserve">If only she had the right to sit there beside him, her arm through his! If only she could pat his sleeve every few minutes to make sure he was really there, hold his hand and use his handkerchief to wipe away her tears of joy. For Melanie was doing all these things, unashamedly. Too happy to be shy and reserved, she hung on her husband's arm and adored him openly with her eyes, with her smiles, her tears.</t>
  </si>
  <si>
    <t xml:space="preserve">TERM: ne stydyas' (не стыдясь) — without being ashamed (gerund) [ORD] (lemma: стыдиться)
PASSAGE: делать все то, что Мелани, не стыдясь, проделывала при всех.
TRANS: delat' vse to, chto Melani, ne stydyas', prodelyvala pri vsekh.
TRANSLATION: do everything that Melanie did in front of everyone without being ashamed.</t>
  </si>
  <si>
    <r>
      <rPr>
        <b/>
        <sz val="11"/>
        <color theme="1"/>
        <rFont val="Arial"/>
      </rPr>
      <t xml:space="preserve">TERM:</t>
    </r>
    <r>
      <rPr>
        <sz val="11"/>
        <color theme="1"/>
        <rFont val="Arial"/>
      </rPr>
      <t xml:space="preserve"> QYSYLU (ҚЫСЫЛУ) — to feel embarrassed; to feel constrained; to be in difficulty [KED, SZK]
</t>
    </r>
    <r>
      <rPr>
        <b/>
        <sz val="11"/>
        <color theme="1"/>
        <rFont val="Arial"/>
      </rPr>
      <t xml:space="preserve">PASSAGE:</t>
    </r>
    <r>
      <rPr>
        <sz val="11"/>
        <color theme="1"/>
        <rFont val="Arial"/>
      </rPr>
      <t xml:space="preserve"> Мелани сияқты ешкімнен </t>
    </r>
    <r>
      <rPr>
        <b/>
        <sz val="11"/>
        <color theme="1"/>
        <rFont val="Arial"/>
      </rPr>
      <t xml:space="preserve">қысылмай</t>
    </r>
    <r>
      <rPr>
        <sz val="11"/>
        <color theme="1"/>
        <rFont val="Arial"/>
      </rPr>
      <t xml:space="preserve">, бәрінің көзінше жасар еді.
</t>
    </r>
    <r>
      <rPr>
        <b/>
        <sz val="11"/>
        <color theme="1"/>
        <rFont val="Arial"/>
      </rPr>
      <t xml:space="preserve">TRANS:</t>
    </r>
    <r>
      <rPr>
        <sz val="11"/>
        <color theme="1"/>
        <rFont val="Arial"/>
      </rPr>
      <t xml:space="preserve"> Melani siaqty eşkımnen </t>
    </r>
    <r>
      <rPr>
        <b/>
        <sz val="11"/>
        <color theme="1"/>
        <rFont val="Arial"/>
      </rPr>
      <t xml:space="preserve">qysylmai</t>
    </r>
    <r>
      <rPr>
        <sz val="11"/>
        <color theme="1"/>
        <rFont val="Arial"/>
      </rPr>
      <t xml:space="preserve">, bärınıñ közınşe jasar edı.
</t>
    </r>
    <r>
      <rPr>
        <b/>
        <sz val="11"/>
        <color theme="1"/>
        <rFont val="Arial"/>
      </rPr>
      <t xml:space="preserve">TRANSLATION:</t>
    </r>
    <r>
      <rPr>
        <sz val="11"/>
        <color theme="1"/>
        <rFont val="Arial"/>
      </rPr>
      <t xml:space="preserve"> She would do, like Melanie, in front of everyone's eyes, without being </t>
    </r>
    <r>
      <rPr>
        <b/>
        <sz val="11"/>
        <color theme="1"/>
        <rFont val="Arial"/>
      </rPr>
      <t xml:space="preserve">embarrassed</t>
    </r>
    <r>
      <rPr>
        <sz val="11"/>
        <color theme="1"/>
        <rFont val="Arial"/>
      </rPr>
      <t xml:space="preserve"> by anyone.</t>
    </r>
  </si>
  <si>
    <t xml:space="preserve">Shame — Performed / ironic shame</t>
  </si>
  <si>
    <t xml:space="preserve">shame PERFORMED, SUPPOSED or cited ironically</t>
  </si>
  <si>
    <t xml:space="preserve">"Why?" he laughed jauntily. "Because, perhaps, of the betraying sentimentality that lurks in all of us Southerners. Perhaps— perhaps because I am ashamed. Who knows?"</t>
  </si>
  <si>
    <t xml:space="preserve">TERM: stydno (стыдно) — it is shameful; (one) feels ashamed (impersonal predicate) [ORD]
PASSAGE: А возможно… возможно, потому, что мне стыдно.
TRANS: A vozmozhno… vozmozhno, potomu, chto mne stydno.
TRANSLATION: And perhaps... perhaps because I am ashamed.</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</si>
  <si>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Мүмкін... </t>
    </r>
    <r>
      <rPr>
        <b/>
        <sz val="11"/>
        <color theme="1"/>
        <rFont val="Arial"/>
      </rPr>
      <t xml:space="preserve">ұялғанымнан</t>
    </r>
    <r>
      <rPr>
        <sz val="11"/>
        <color theme="1"/>
        <rFont val="Arial"/>
      </rPr>
      <t xml:space="preserve"> шығар
</t>
    </r>
    <r>
      <rPr>
        <b/>
        <sz val="11"/>
        <color theme="1"/>
        <rFont val="Arial"/>
      </rPr>
      <t xml:space="preserve">TRANS:</t>
    </r>
    <r>
      <rPr>
        <sz val="11"/>
        <color theme="1"/>
        <rFont val="Arial"/>
      </rPr>
      <t xml:space="preserve"> Mümkın... </t>
    </r>
    <r>
      <rPr>
        <b/>
        <sz val="11"/>
        <color theme="1"/>
        <rFont val="Arial"/>
      </rPr>
      <t xml:space="preserve">ūialğanymnan</t>
    </r>
    <r>
      <rPr>
        <sz val="11"/>
        <color theme="1"/>
        <rFont val="Arial"/>
      </rPr>
      <t xml:space="preserve"> şyğar
</t>
    </r>
    <r>
      <rPr>
        <b/>
        <sz val="11"/>
        <color theme="1"/>
        <rFont val="Arial"/>
      </rPr>
      <t xml:space="preserve">TRANSLATION:</t>
    </r>
    <r>
      <rPr>
        <sz val="11"/>
        <color theme="1"/>
        <rFont val="Arial"/>
      </rPr>
      <t xml:space="preserve"> Perhaps... it must be because I am </t>
    </r>
    <r>
      <rPr>
        <b/>
        <sz val="11"/>
        <color theme="1"/>
        <rFont val="Arial"/>
      </rPr>
      <t xml:space="preserve">ashamed</t>
    </r>
    <r>
      <rPr>
        <sz val="11"/>
        <color theme="1"/>
        <rFont val="Arial"/>
      </rPr>
      <t xml:space="preserve">.</t>
    </r>
  </si>
  <si>
    <t xml:space="preserve">shame PERFORMED or cited ironically — not genuinely felt</t>
  </si>
  <si>
    <t xml:space="preserve">"Scarlett, spare me! I am always overcome with shame when I think about it."</t>
  </si>
  <si>
    <t xml:space="preserve">TERM: sgorat' so styda! (сгорать со стыда!) = burn with shame
PASSAGE: Я от стыда сгораю, думая об этом.
TRANS: Ya ot styda sgorayu, dumaya ob etom.
TRANSLATION: I burn with shame whenever I think about it.</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</si>
  <si>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Соны ойласам, </t>
    </r>
    <r>
      <rPr>
        <b/>
        <sz val="11"/>
        <color theme="1"/>
        <rFont val="Arial"/>
      </rPr>
      <t xml:space="preserve">ұяттан</t>
    </r>
    <r>
      <rPr>
        <sz val="11"/>
        <color theme="1"/>
        <rFont val="Arial"/>
      </rPr>
      <t xml:space="preserve"> өліп кете жаздаймын.
</t>
    </r>
    <r>
      <rPr>
        <b/>
        <sz val="11"/>
        <color theme="1"/>
        <rFont val="Arial"/>
      </rPr>
      <t xml:space="preserve">TRANS:</t>
    </r>
    <r>
      <rPr>
        <sz val="11"/>
        <color theme="1"/>
        <rFont val="Arial"/>
      </rPr>
      <t xml:space="preserve"> Sony oilasam, </t>
    </r>
    <r>
      <rPr>
        <b/>
        <sz val="11"/>
        <color theme="1"/>
        <rFont val="Arial"/>
      </rPr>
      <t xml:space="preserve">ūiattan</t>
    </r>
    <r>
      <rPr>
        <sz val="11"/>
        <color theme="1"/>
        <rFont val="Arial"/>
      </rPr>
      <t xml:space="preserve"> ölıp kete jazdaimyn.
</t>
    </r>
    <r>
      <rPr>
        <b/>
        <sz val="11"/>
        <color theme="1"/>
        <rFont val="Arial"/>
      </rPr>
      <t xml:space="preserve">TRANSLATION:</t>
    </r>
    <r>
      <rPr>
        <sz val="11"/>
        <color theme="1"/>
        <rFont val="Arial"/>
      </rPr>
      <t xml:space="preserve"> When I think of it, I almost die of </t>
    </r>
    <r>
      <rPr>
        <b/>
        <sz val="11"/>
        <color theme="1"/>
        <rFont val="Arial"/>
      </rPr>
      <t xml:space="preserve">shame</t>
    </r>
    <r>
      <rPr>
        <sz val="11"/>
        <color theme="1"/>
        <rFont val="Arial"/>
      </rPr>
      <t xml:space="preserve">.</t>
    </r>
  </si>
  <si>
    <t xml:space="preserve">Fake shame about serving in the army – for complying with societal ideas of honor</t>
  </si>
  <si>
    <t xml:space="preserve">Then, there was that Butler man. His frequent calls at Aunt Pitty's house were the greatest humiliation of all. Frank had always disliked him, even when he had done business with him before the war. He often cursed the day he had brought Rhett to Twelve Oaks and introduced him to his friends. He despised him for the cold-blooded way he had acted in his speculations during the war and for the fact that he had not been in the army. Rhett's eight months' service with the Confederacy was known only to Scarlett, for Rhett had begged her, with mock fear, not to reveal his "shame" to anyone. Most of all Frank had contempt for him for holding on to the Confederate gold, when honest men like Admiral Bulloch and others confronted with the same situation had turned back thousands to the Federal treasury. But whether Frank liked it or not, Rhett was a frequent caller.</t>
  </si>
  <si>
    <t xml:space="preserve">TERM: pozore (позоре) — disgrace (prep.) [ORD] (lemma: позор)
PASSAGE: ибо Ретт с наигранным ужасом умолял ее никому не говорить об этом его «позоре».
TRANS: ibo Rett s naigrannym uzhasom umolyal ee nikomu ne govorit' ob etom ego «pozore».
TRANSLATION: for Rhett with feigned horror had implored her not to tell anyone about this "disgrace" of his.</t>
  </si>
  <si>
    <r>
      <rPr>
        <b/>
        <sz val="11"/>
        <color theme="1"/>
        <rFont val="Arial"/>
      </rPr>
      <t xml:space="preserve">TERM:</t>
    </r>
    <r>
      <rPr>
        <sz val="11"/>
        <color theme="1"/>
        <rFont val="Arial"/>
      </rPr>
      <t xml:space="preserve"> ŪİATTY (ҰЯТТЫ) — shameful; indecent (adj.) [KED, SZK]
</t>
    </r>
    <r>
      <rPr>
        <b/>
        <sz val="11"/>
        <color theme="1"/>
        <rFont val="Arial"/>
      </rPr>
      <t xml:space="preserve">PASSAGE:</t>
    </r>
    <r>
      <rPr>
        <sz val="11"/>
        <color theme="1"/>
        <rFont val="Arial"/>
      </rPr>
      <t xml:space="preserve"> Реттің сегіз ай бойы конфедераттармен бірге болғанын жалғыз Скарлетт қана білетін, өйткені ол "</t>
    </r>
    <r>
      <rPr>
        <b/>
        <sz val="11"/>
        <color theme="1"/>
        <rFont val="Arial"/>
      </rPr>
      <t xml:space="preserve">ұятты</t>
    </r>
    <r>
      <rPr>
        <sz val="11"/>
        <color theme="1"/>
        <rFont val="Arial"/>
      </rPr>
      <t xml:space="preserve"> іс" туралы ешкімге тіс жармауын жалған қорқақтың кейпіне еніп тұрып сұраған-ды.
</t>
    </r>
    <r>
      <rPr>
        <b/>
        <sz val="11"/>
        <color theme="1"/>
        <rFont val="Arial"/>
      </rPr>
      <t xml:space="preserve">TRANS:</t>
    </r>
    <r>
      <rPr>
        <sz val="11"/>
        <color theme="1"/>
        <rFont val="Arial"/>
      </rPr>
      <t xml:space="preserve"> Rettıñ segız ai boiy konfederattarmen bırge bolğanyn jalğyz Skarlett qana bıletın, öitkenı ol "</t>
    </r>
    <r>
      <rPr>
        <b/>
        <sz val="11"/>
        <color theme="1"/>
        <rFont val="Arial"/>
      </rPr>
      <t xml:space="preserve">ūiatty</t>
    </r>
    <r>
      <rPr>
        <sz val="11"/>
        <color theme="1"/>
        <rFont val="Arial"/>
      </rPr>
      <t xml:space="preserve"> ıs" turaly eşkımge tıs jarmauyn jalğan qorqaqtyñ keipıne enıp tūryp sūrağan-dy.
</t>
    </r>
    <r>
      <rPr>
        <b/>
        <sz val="11"/>
        <color theme="1"/>
        <rFont val="Arial"/>
      </rPr>
      <t xml:space="preserve">TRANSLATION:</t>
    </r>
    <r>
      <rPr>
        <sz val="11"/>
        <color theme="1"/>
        <rFont val="Arial"/>
      </rPr>
      <t xml:space="preserve"> Only Scarlett knew that Rhett had been with the Confederates for eight months, because he had asked her, donning the mask of feigned cowardice, not to breathe a word about that "</t>
    </r>
    <r>
      <rPr>
        <b/>
        <sz val="11"/>
        <color theme="1"/>
        <rFont val="Arial"/>
      </rPr>
      <t xml:space="preserve">shameful</t>
    </r>
    <r>
      <rPr>
        <sz val="11"/>
        <color theme="1"/>
        <rFont val="Arial"/>
      </rPr>
      <t xml:space="preserve"> business".</t>
    </r>
  </si>
  <si>
    <t xml:space="preserve">Rhett pretends to feel moral shame at Yankee association</t>
  </si>
  <si>
    <t xml:space="preserve">I know what I'm talking about, for I'm hand in glove with the Yankees. Shameful to state, they treat me as one of them and I hear them talk openly.</t>
  </si>
  <si>
    <t xml:space="preserve">TERM: Stydno (Стыдно) — it is shameful; (one) feels ashamed (impersonal predicate) [ORD]
PASSAGE: Стыдно признаться, но они смотрят на меня, как на своего, и открыто говорят при мне обо всем.
TRANS: Stydno priznat'sya, no oni smotryat na menya, kak na svoego, i otkryto govoryat pri mne obo vsem.
TRANSLATION: It's shameful to admit, but they look at me as one of their own and openly talk about everything in my presence.</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</si>
  <si>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Мұны айтуым </t>
    </r>
    <r>
      <rPr>
        <b/>
        <sz val="11"/>
        <color theme="1"/>
        <rFont val="Arial"/>
      </rPr>
      <t xml:space="preserve">ұят</t>
    </r>
    <r>
      <rPr>
        <sz val="11"/>
        <color theme="1"/>
        <rFont val="Arial"/>
      </rPr>
      <t xml:space="preserve"> шығар, бірақ ол байғұстар мені өз адамдарындай көріп, мен бар жерде барлығын ашық жоспарлай береді.
</t>
    </r>
    <r>
      <rPr>
        <b/>
        <sz val="11"/>
        <color theme="1"/>
        <rFont val="Arial"/>
      </rPr>
      <t xml:space="preserve">TRANS:</t>
    </r>
    <r>
      <rPr>
        <sz val="11"/>
        <color theme="1"/>
        <rFont val="Arial"/>
      </rPr>
      <t xml:space="preserve"> Mūny aituym </t>
    </r>
    <r>
      <rPr>
        <b/>
        <sz val="11"/>
        <color theme="1"/>
        <rFont val="Arial"/>
      </rPr>
      <t xml:space="preserve">ūiat</t>
    </r>
    <r>
      <rPr>
        <sz val="11"/>
        <color theme="1"/>
        <rFont val="Arial"/>
      </rPr>
      <t xml:space="preserve"> şyğar, bıraq ol baiğūstar menı öz adamdaryndai körıp, men bar jerde barlyğyn aşyq josparlai beredı.
</t>
    </r>
    <r>
      <rPr>
        <b/>
        <sz val="11"/>
        <color theme="1"/>
        <rFont val="Arial"/>
      </rPr>
      <t xml:space="preserve">TRANSLATION:</t>
    </r>
    <r>
      <rPr>
        <sz val="11"/>
        <color theme="1"/>
        <rFont val="Arial"/>
      </rPr>
      <t xml:space="preserve"> Saying this may be </t>
    </r>
    <r>
      <rPr>
        <b/>
        <sz val="11"/>
        <color theme="1"/>
        <rFont val="Arial"/>
      </rPr>
      <t xml:space="preserve">shameful</t>
    </r>
    <r>
      <rPr>
        <sz val="11"/>
        <color theme="1"/>
        <rFont val="Arial"/>
      </rPr>
      <t xml:space="preserve">, but those poor souls regard me as one of their own people and openly plan everything when I am there.</t>
    </r>
  </si>
  <si>
    <t xml:space="preserve">"I thought you were ashamed of your war record," she said. "Didn't you tell me to keep it quiet?"</t>
  </si>
  <si>
    <t xml:space="preserve">TERM: stydites' (стыдитесь) — feel ashamed (imperative pl./formal sg.) [ORD] (lemma: стыдиться)
PASSAGE: А я-то полагала, что вы стыдитесь своего участия в войне,
TRANS: A ya-to polagala, chto vy stydites' svoego uchastiya v voyne,
TRANSLATION: And I had assumed you were ashamed of your participation in the war,</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</si>
  <si>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Мен сізді соғысқа қатысқаныңызға </t>
    </r>
    <r>
      <rPr>
        <b/>
        <sz val="11"/>
        <color theme="1"/>
        <rFont val="Arial"/>
      </rPr>
      <t xml:space="preserve">ұялып</t>
    </r>
    <r>
      <rPr>
        <sz val="11"/>
        <color theme="1"/>
        <rFont val="Arial"/>
      </rPr>
      <t xml:space="preserve"> жүр екен десем.
</t>
    </r>
    <r>
      <rPr>
        <b/>
        <sz val="11"/>
        <color theme="1"/>
        <rFont val="Arial"/>
      </rPr>
      <t xml:space="preserve">TRANS:</t>
    </r>
    <r>
      <rPr>
        <sz val="11"/>
        <color theme="1"/>
        <rFont val="Arial"/>
      </rPr>
      <t xml:space="preserve"> Men sızdı soğysqa qatysqanyñyzğa </t>
    </r>
    <r>
      <rPr>
        <b/>
        <sz val="11"/>
        <color theme="1"/>
        <rFont val="Arial"/>
      </rPr>
      <t xml:space="preserve">ūialyp</t>
    </r>
    <r>
      <rPr>
        <sz val="11"/>
        <color theme="1"/>
        <rFont val="Arial"/>
      </rPr>
      <t xml:space="preserve"> jür eken desem.
</t>
    </r>
    <r>
      <rPr>
        <b/>
        <sz val="11"/>
        <color theme="1"/>
        <rFont val="Arial"/>
      </rPr>
      <t xml:space="preserve">TRANSLATION:</t>
    </r>
    <r>
      <rPr>
        <sz val="11"/>
        <color theme="1"/>
        <rFont val="Arial"/>
      </rPr>
      <t xml:space="preserve"> Whereas I had thought you were </t>
    </r>
    <r>
      <rPr>
        <b/>
        <sz val="11"/>
        <color theme="1"/>
        <rFont val="Arial"/>
      </rPr>
      <t xml:space="preserve">ashamed</t>
    </r>
    <r>
      <rPr>
        <sz val="11"/>
        <color theme="1"/>
        <rFont val="Arial"/>
      </rPr>
      <t xml:space="preserve"> of having taken part in the war.</t>
    </r>
  </si>
  <si>
    <t xml:space="preserve">"Well!" said Mrs. Elsing, confused. If he had been in the army then she was wrong. She had made many sharp remarks about his cowardice and the memory of them made her feel guilty. "Well! And why haven't you ever told anybody about your service? You act as though you were ashamed of it."</t>
  </si>
  <si>
    <t xml:space="preserve">TERM: stesnyaetes' (стесняетесь) — (you) are shy; feel awkward (2pl.) [ORD] (lemma: стесняться)
PASSAGE: Можно подумать, что вы стесняетесь этого
TRANS: Mozhno podumat', chto vy stesnyaetes' etogo
TRANSLATION: One might think you were embarrassed by it</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</si>
  <si>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Тіпті сізді сол қызметі үшін ұялады деуге де болатындай.
</t>
    </r>
    <r>
      <rPr>
        <b/>
        <sz val="11"/>
        <color theme="1"/>
        <rFont val="Arial"/>
      </rPr>
      <t xml:space="preserve">TRANS:</t>
    </r>
    <r>
      <rPr>
        <sz val="11"/>
        <color theme="1"/>
        <rFont val="Arial"/>
      </rPr>
      <t xml:space="preserve"> Tıptı sızdı sol qyzmetı üşın </t>
    </r>
    <r>
      <rPr>
        <b/>
        <sz val="11"/>
        <color theme="1"/>
        <rFont val="Arial"/>
      </rPr>
      <t xml:space="preserve">ūialady</t>
    </r>
    <r>
      <rPr>
        <sz val="11"/>
        <color theme="1"/>
        <rFont val="Arial"/>
      </rPr>
      <t xml:space="preserve"> deuge de bolatyndai.
</t>
    </r>
    <r>
      <rPr>
        <b/>
        <sz val="11"/>
        <color theme="1"/>
        <rFont val="Arial"/>
      </rPr>
      <t xml:space="preserve">TRANSLATION:</t>
    </r>
    <r>
      <rPr>
        <sz val="11"/>
        <color theme="1"/>
        <rFont val="Arial"/>
      </rPr>
      <t xml:space="preserve"> One could even say you were </t>
    </r>
    <r>
      <rPr>
        <b/>
        <sz val="11"/>
        <color theme="1"/>
        <rFont val="Arial"/>
      </rPr>
      <t xml:space="preserve">ashamed</t>
    </r>
    <r>
      <rPr>
        <sz val="11"/>
        <color theme="1"/>
        <rFont val="Arial"/>
      </rPr>
      <t xml:space="preserve"> of that service.</t>
    </r>
  </si>
  <si>
    <t xml:space="preserve">shame PERFORMED — not genuinely felt</t>
  </si>
  <si>
    <t xml:space="preserve">"I was ashamed to speak of it, in the light of—of some of my former actions."</t>
  </si>
  <si>
    <t xml:space="preserve">TERM: stydno (стыдно) — it is shameful; (one) feels ashamed (impersonal predicate) [ORD]
PASSAGE: Как-то стыдно мне было говорить об этом в свете… в свете некоторых моих тогдашних поступков.
TRANS: Kak-to stydno mne bylo govorit' ob etom v svete… v svete nekotorykh moikh togdashnikh postupkov.
TRANSLATION: It was somehow shameful for me to talk about it in the light of... in the light of certain of my actions back then.</t>
  </si>
  <si>
    <r>
      <rPr>
        <b/>
        <sz val="11"/>
        <color theme="1"/>
        <rFont val="Arial"/>
      </rPr>
      <t xml:space="preserve">TERM:</t>
    </r>
    <r>
      <rPr>
        <sz val="11"/>
        <color theme="1"/>
        <rFont val="Arial"/>
      </rPr>
      <t xml:space="preserve"> yñğaisyz (ыңғайсыз) — awkward; uncomfortable [KED, SZK]
</t>
    </r>
    <r>
      <rPr>
        <b/>
        <sz val="11"/>
        <color theme="1"/>
        <rFont val="Arial"/>
      </rPr>
      <t xml:space="preserve">PASSAGE:</t>
    </r>
    <r>
      <rPr>
        <sz val="11"/>
        <color theme="1"/>
        <rFont val="Arial"/>
      </rPr>
      <t xml:space="preserve"> Оның адам мақтанарлық ештеңесі жоқ секілді ғой. Оның үстіне көпшілік ортада өзімнің әлгіндей... қылықтарымнан кейін бірдеңе деп мақтанудың өзі </t>
    </r>
    <r>
      <rPr>
        <b/>
        <sz val="11"/>
        <color theme="1"/>
        <rFont val="Arial"/>
      </rPr>
      <t xml:space="preserve">ыңғайсыз</t>
    </r>
    <r>
      <rPr>
        <sz val="11"/>
        <color theme="1"/>
        <rFont val="Arial"/>
      </rPr>
      <t xml:space="preserve"> секілді.
</t>
    </r>
    <r>
      <rPr>
        <b/>
        <sz val="11"/>
        <color theme="1"/>
        <rFont val="Arial"/>
      </rPr>
      <t xml:space="preserve">TRANS:</t>
    </r>
    <r>
      <rPr>
        <sz val="11"/>
        <color theme="1"/>
        <rFont val="Arial"/>
      </rPr>
      <t xml:space="preserve"> Onyñ adam maqtanarlyq eşteñesı joq sekıldı ğoi. Onyñ üstıne köpşılık ortada özımnıñ älgındei... qylyqtarymnan keiın bırdeñe dep maqtanudyñ özı </t>
    </r>
    <r>
      <rPr>
        <b/>
        <sz val="11"/>
        <color theme="1"/>
        <rFont val="Arial"/>
      </rPr>
      <t xml:space="preserve">yñğaisyz</t>
    </r>
    <r>
      <rPr>
        <sz val="11"/>
        <color theme="1"/>
        <rFont val="Arial"/>
      </rPr>
      <t xml:space="preserve"> sekıldı.
</t>
    </r>
    <r>
      <rPr>
        <b/>
        <sz val="11"/>
        <color theme="1"/>
        <rFont val="Arial"/>
      </rPr>
      <t xml:space="preserve">TRANSLATION:</t>
    </r>
    <r>
      <rPr>
        <sz val="11"/>
        <color theme="1"/>
        <rFont val="Arial"/>
      </rPr>
      <t xml:space="preserve"> There seems to be nothing in it for one to boast of. Besides, in public, after my own such... behavior, even saying anything boastful seems awkward.</t>
    </r>
  </si>
  <si>
    <t xml:space="preserve">shame PERFORMED  — not genuinely felt</t>
  </si>
  <si>
    <t xml:space="preserve">"And, Dolly, I give you my word that when he said that about being ashamed, tears came into his eyes! Yes, tears! I nearly cried myself."</t>
  </si>
  <si>
    <t xml:space="preserve">TERM: stydno (стыдно) — it is shameful; (one) feels ashamed (impersonal predicate) [ORD]
PASSAGE: И даю слово, Долли, он сказал, что ему стыдно, со слезами на глазах!
TRANS: I dayu slovo, Dolli, on skazal, chto emu stydno, so slezami na glazakh!
TRANSLATION: And I give you my word, Dolly, he said he was ashamed, with tears in his eyes!</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</si>
  <si>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Шынымен де оның </t>
    </r>
    <r>
      <rPr>
        <b/>
        <sz val="11"/>
        <color theme="1"/>
        <rFont val="Arial"/>
      </rPr>
      <t xml:space="preserve">ұяты</t>
    </r>
    <r>
      <rPr>
        <sz val="11"/>
        <color theme="1"/>
        <rFont val="Arial"/>
      </rPr>
      <t xml:space="preserve"> бар екен, Долли, көзіне жас алып тұрды.
</t>
    </r>
    <r>
      <rPr>
        <b/>
        <sz val="11"/>
        <color theme="1"/>
        <rFont val="Arial"/>
      </rPr>
      <t xml:space="preserve">TRANS:</t>
    </r>
    <r>
      <rPr>
        <sz val="11"/>
        <color theme="1"/>
        <rFont val="Arial"/>
      </rPr>
      <t xml:space="preserve"> Şynymen de onyñ </t>
    </r>
    <r>
      <rPr>
        <b/>
        <sz val="11"/>
        <color theme="1"/>
        <rFont val="Arial"/>
      </rPr>
      <t xml:space="preserve">ūiaty</t>
    </r>
    <r>
      <rPr>
        <sz val="11"/>
        <color theme="1"/>
        <rFont val="Arial"/>
      </rPr>
      <t xml:space="preserve"> bar eken, Dolli, közıne jas alyp tūrdy.
</t>
    </r>
    <r>
      <rPr>
        <b/>
        <sz val="11"/>
        <color theme="1"/>
        <rFont val="Arial"/>
      </rPr>
      <t xml:space="preserve">TRANSLATION:</t>
    </r>
    <r>
      <rPr>
        <sz val="11"/>
        <color theme="1"/>
        <rFont val="Arial"/>
      </rPr>
      <t xml:space="preserve"> He really did have </t>
    </r>
    <r>
      <rPr>
        <b/>
        <sz val="11"/>
        <color theme="1"/>
        <rFont val="Arial"/>
      </rPr>
      <t xml:space="preserve">shame</t>
    </r>
    <r>
      <rPr>
        <sz val="11"/>
        <color theme="1"/>
        <rFont val="Arial"/>
      </rPr>
      <t xml:space="preserve">, Dolly — he had tears in his eyes.</t>
    </r>
  </si>
  <si>
    <t xml:space="preserve">shame PERFORMED   — not genuinely felt</t>
  </si>
  <si>
    <t xml:space="preserve">"Somehow," said Mrs. Elsing uncertainly, "somehow, I don't think he's so bad. A man who fought for the Confederacy can't be all bad. It's Scarlett who is the bad one. Do you know, Dolly, I really believe that he—well, he's ashamed of Scarlett but is too much of a gentleman to let on."</t>
  </si>
  <si>
    <t xml:space="preserve">TERM: styditsya (стыдится) — feels ashamed (3sg) [ORD] (lemma: стыдиться)
PASSAGE: Знаете, Долли, мне в самом деле кажется, что он… ну, словом, что он стыдится Скарлетт, но, будучи джентльменом, не показывает этого.
TRANS: Znaete, Dolli, mne v samom dele kazhetsya, chto on… nu, slovom, chto on styditsya Skarlett, no, buduchi dzhentl'menom, ne pokazyvaet etogo.
TRANSLATION: You know, Dolly, it really seems to me that he... well, that he is ashamed of Scarlett, but being a gentleman, he does not show it.</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</si>
  <si>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Байқайсыз ба, Долли, сірә, ол Скарлетт үшін </t>
    </r>
    <r>
      <rPr>
        <b/>
        <sz val="11"/>
        <color theme="1"/>
        <rFont val="Arial"/>
      </rPr>
      <t xml:space="preserve">ұялатын</t>
    </r>
    <r>
      <rPr>
        <sz val="11"/>
        <color theme="1"/>
        <rFont val="Arial"/>
      </rPr>
      <t xml:space="preserve"> тәрізді ме, қалай? Тек онысын байқатпайтын сияқты. Қанша дегенмен мырза емес пе?
</t>
    </r>
    <r>
      <rPr>
        <b/>
        <sz val="11"/>
        <color theme="1"/>
        <rFont val="Arial"/>
      </rPr>
      <t xml:space="preserve">TRANS:</t>
    </r>
    <r>
      <rPr>
        <sz val="11"/>
        <color theme="1"/>
        <rFont val="Arial"/>
      </rPr>
      <t xml:space="preserve"> Baiqaisyz ba, Dolli, sırä, ol Skarlett üşın </t>
    </r>
    <r>
      <rPr>
        <b/>
        <sz val="11"/>
        <color theme="1"/>
        <rFont val="Arial"/>
      </rPr>
      <t xml:space="preserve">ūialatyn</t>
    </r>
    <r>
      <rPr>
        <sz val="11"/>
        <color theme="1"/>
        <rFont val="Arial"/>
      </rPr>
      <t xml:space="preserve"> tärızdı me, qalai? Tek onysyn baiqatpaityn siaqty. Qanşa degenmen myrza emes pe?
</t>
    </r>
    <r>
      <rPr>
        <b/>
        <sz val="11"/>
        <color theme="1"/>
        <rFont val="Arial"/>
      </rPr>
      <t xml:space="preserve">TRANSLATION:</t>
    </r>
    <r>
      <rPr>
        <sz val="11"/>
        <color theme="1"/>
        <rFont val="Arial"/>
      </rPr>
      <t xml:space="preserve"> Don't you notice, Dolly — it seems perhaps he is </t>
    </r>
    <r>
      <rPr>
        <b/>
        <sz val="11"/>
        <color theme="1"/>
        <rFont val="Arial"/>
      </rPr>
      <t xml:space="preserve">ashamed</t>
    </r>
    <r>
      <rPr>
        <sz val="11"/>
        <color theme="1"/>
        <rFont val="Arial"/>
      </rPr>
      <t xml:space="preserve"> for Scarlett's sake, no? But he doesn't let it show. After all, isn't he a gentleman?</t>
    </r>
  </si>
  <si>
    <t xml:space="preserve">GUILT DOMAIN</t>
  </si>
  <si>
    <t xml:space="preserve">Guilt — Felt guilt</t>
  </si>
  <si>
    <t xml:space="preserve">strong felt guilt; inner moral accusation; presence of the person wronged actualizes felt guilt</t>
  </si>
  <si>
    <t xml:space="preserve">Since the day of the speaking, Stuart had been uncomfortable in India's presence. Not that India ever reproached him or even indicated by look or gesture that she was aware of his abruptly changed allegiance. She was too much of a lady. But Stuart felt guilty and ill at ease with her. He knew he had made India love him and he knew that she still loved him and, deep in his heart, he had the feeling that he had not played the gentleman.</t>
  </si>
  <si>
    <t xml:space="preserve">Stuart Tarleton</t>
  </si>
  <si>
    <t xml:space="preserve">TERM: chuvstva viny (чувства вины) — feeling of guilt (gen.) [ORD] (lemma: вина)
PASSAGE: Но Стюарт не мог избавиться от чувства вины и испытывал поэтому неловкость.
TRANS: No Styuart ne mog izbavit'sya ot chuvstva viny i ispytyval poetomu nelovkost'.
TRANSLATION: But Stuart could not rid himself of the feeling of guilt and as a result felt awkward.</t>
  </si>
  <si>
    <r>
      <rPr>
        <b/>
        <sz val="10"/>
        <color theme="1"/>
        <rFont val="Arial"/>
      </rPr>
      <t xml:space="preserve">TERM:</t>
    </r>
    <r>
      <rPr>
        <sz val="10"/>
        <color theme="1"/>
        <rFont val="Arial"/>
      </rPr>
      <t xml:space="preserve"> KİNÄLY (КІНӘЛЫ) — guilty; at fault [KED, SZK] (lemma: кінәлі)
</t>
    </r>
    <r>
      <rPr>
        <b/>
        <sz val="10"/>
        <color theme="1"/>
        <rFont val="Arial"/>
      </rPr>
      <t xml:space="preserve">PASSAGE:</t>
    </r>
    <r>
      <rPr>
        <sz val="10"/>
        <color theme="1"/>
        <rFont val="Arial"/>
      </rPr>
      <t xml:space="preserve"> Бірақ Стюарт оның алдында өзін кінәлі сезінгендіктен ыңғайсыздықтан арыла алмады.
</t>
    </r>
    <r>
      <rPr>
        <b/>
        <sz val="10"/>
        <color theme="1"/>
        <rFont val="Arial"/>
      </rPr>
      <t xml:space="preserve">TRANS:</t>
    </r>
    <r>
      <rPr>
        <sz val="10"/>
        <color theme="1"/>
        <rFont val="Arial"/>
      </rPr>
      <t xml:space="preserve"> Biraq Styuart onyñ aldynda özin kinäli sezingendikten yñğaysyzdyqtan aryla almady.
</t>
    </r>
    <r>
      <rPr>
        <b/>
        <sz val="10"/>
        <color theme="1"/>
        <rFont val="Arial"/>
      </rPr>
      <t xml:space="preserve">TRANSLATION:</t>
    </r>
    <r>
      <rPr>
        <sz val="10"/>
        <color theme="1"/>
        <rFont val="Arial"/>
      </rPr>
      <t xml:space="preserve"> But Stuart could not rid himself of the awkwardness of feeling </t>
    </r>
    <r>
      <rPr>
        <b/>
        <sz val="10"/>
        <color theme="1"/>
        <rFont val="Arial"/>
      </rPr>
      <t xml:space="preserve">guilty</t>
    </r>
    <r>
      <rPr>
        <sz val="10"/>
        <color theme="1"/>
        <rFont val="Arial"/>
      </rPr>
      <t xml:space="preserve"> before her.</t>
    </r>
  </si>
  <si>
    <t xml:space="preserve">Guilt — Felt guilt (guilty pleasure)</t>
  </si>
  <si>
    <t xml:space="preserve">mild guilty pleasure — impropriety felt as pleasurable; no moral weight; Ellen as superego</t>
  </si>
  <si>
    <t xml:space="preserve">Scarlett had no awe of her father and felt him more her contemporary than her sisters, for jumping fences and keeping it a secret from his wife gave him a boyish pride and guilty glee that matched her own pleasure in outwitting Mammy. She rose from her seat to watch him.</t>
  </si>
  <si>
    <t xml:space="preserve">Gerald O’Hara</t>
  </si>
  <si>
    <t xml:space="preserve">TERM: Ø — omission; English guilt is not lexicalized in the Kazakh translation
PASSAGE: Скарлетт әкесінен қорықпайтын. Ол өзінен кейінгі сіңлілеріне қарағанда әкесіне жақын болды, оны құрдасындай көретін, өйткені Джералд жас бала секілді әйеліне көрсетпей шалғында тікесінен шауып өтуді ұнататын, Скарлетт те сондай тосын қылықтар мен батылдықтарды өте жақсы көреді, сонымен бірге оның Үлкен шешейге қарсы адал одақтасы болатын.
TRANS: Skarlett äkesınen qoryqpaityn. Ol özınen keiıngı sıñlılerıne qarağanda äkesıne jaqyn boldy, ony qūrdasyndai köretın, öitkenı Gerald jas bala sekıldı äielıne körsetpei şalğynda tıkesınen şauyp ötudı ūnatatyn, Skarlett te sondai tosın qylyqtar men batyldyqtardy öte jaqsy köredı, sonymen bırge onyñ Ülken şeşeige qarsy adal odaqtasy bolatyn.
TRANSLATION: Scarlett was not afraid of her father. She was closer to him than her younger sisters were and regarded him as a peer, because Gerald, like a young boy, enjoyed galloping straight across the meadow without his wife seeing him. Scarlett loved such unexpected acts and displays of boldness, and he was also her loyal ally against Mammy.
COMMENT: The source-text reference to guilt is omitted; no Kazakh moral-emotion term corresponds to it.</t>
  </si>
  <si>
    <t xml:space="preserve">strong felt guilt; inner moral accusation; Ellen (internalized superego)</t>
  </si>
  <si>
    <t xml:space="preserve">"Ah-ah-hum," said Gerald, suddenly and guiltily aware that the conversation, a most interesting and entirely proper one to him, would seem quite otherwise to Ellen. In fact, he knew she would never recover should she learn that her daughters had been exposed to so frank a conversation. But Mrs. Tarleton was, as usual, deaf to all other ideas when pursuing her favorite topic, breeding, whether it be horses or humans.</t>
  </si>
  <si>
    <t xml:space="preserve">TERM: smushchenno (смущенно) — in embarrassment; awkwardly (adv.) [ORD]
PASSAGE: — Хм, да, да, — смущенно пробормотал Джералд, до сознания которого вдруг дошло, что этот чрезвычайно интересный и вполне, на его взгляд, приличный разговор, вероятно, показался бы совсем неуместным его жене
TRANS: — Khm, da, da, — smushchenno probormotal Dzherald, do soznaniya kotorogo vdrug doshlo, chto etot chrezvychayno interesnyy i vpolne, na ego vzglyad, prilichnyy razgovor, veroyatno, pokazalsya by sovsem neumestnym ego zhene
TRANSLATION: "Hm, yes, yes," Gerald muttered in embarrassment, suddenly realizing that this conversation, extremely interesting and, in his view, perfectly proper, would probably appear utterly inappropriate to his wife</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</si>
  <si>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 Джералд </t>
    </r>
    <r>
      <rPr>
        <b/>
        <sz val="11"/>
        <color theme="1"/>
        <rFont val="Arial"/>
      </rPr>
      <t xml:space="preserve">ұялғаннан</t>
    </r>
    <r>
      <rPr>
        <sz val="11"/>
        <color theme="1"/>
        <rFont val="Arial"/>
      </rPr>
      <t xml:space="preserve"> күбірлеп, ол кенет өзінің ойынша өте қызықты әрі әжептәуір әңгіме әйеліме мүлдем орынсыз болып көрінер еді деп ойлады.
</t>
    </r>
    <r>
      <rPr>
        <b/>
        <sz val="11"/>
        <color theme="1"/>
        <rFont val="Arial"/>
      </rPr>
      <t xml:space="preserve">TRANS:</t>
    </r>
    <r>
      <rPr>
        <sz val="11"/>
        <color theme="1"/>
        <rFont val="Arial"/>
      </rPr>
      <t xml:space="preserve"> ... Jerald </t>
    </r>
    <r>
      <rPr>
        <b/>
        <sz val="11"/>
        <color theme="1"/>
        <rFont val="Arial"/>
      </rPr>
      <t xml:space="preserve">ūialğannan</t>
    </r>
    <r>
      <rPr>
        <sz val="11"/>
        <color theme="1"/>
        <rFont val="Arial"/>
      </rPr>
      <t xml:space="preserve"> kübırlep, ol kenet özınıñ oiynşa öte qyzyqty ärı äjeptäuır äñgıme äielıme müldem orynsyz bolyp körıner edı dep oilady.
</t>
    </r>
    <r>
      <rPr>
        <b/>
        <sz val="11"/>
        <color theme="1"/>
        <rFont val="Arial"/>
      </rPr>
      <t xml:space="preserve">TRANSLATION:</t>
    </r>
    <r>
      <rPr>
        <sz val="11"/>
        <color theme="1"/>
        <rFont val="Arial"/>
      </rPr>
      <t xml:space="preserve"> ... Gerald murmured in </t>
    </r>
    <r>
      <rPr>
        <b/>
        <sz val="11"/>
        <color theme="1"/>
        <rFont val="Arial"/>
      </rPr>
      <t xml:space="preserve">embarrassment</t>
    </r>
    <r>
      <rPr>
        <sz val="11"/>
        <color theme="1"/>
        <rFont val="Arial"/>
      </rPr>
      <t xml:space="preserve">, suddenly thinking that the conversation he found very interesting and respectable would seem entirely improper to his wife.</t>
    </r>
  </si>
  <si>
    <t xml:space="preserve">mild guilty pleasure — relief mixed with guilt about feeling relief at the absence of her moral superego (Ellen) and her social conscience (Mammy)</t>
  </si>
  <si>
    <t xml:space="preserve">As the carriage bore her down the red road toward the Wilkes plantation, Scarlett had a feeling of guilty pleasure that neither her mother nor Mammy was with the party. There would be no one at the barbecue who, by delicately lifted brows or out-thrust underlip, could interfere with her plan of action.</t>
  </si>
  <si>
    <t xml:space="preserve">TERM: ne bez nekotorykh ugryzeniy sovesti (не без некоторых угрызений совести) — not without some pangs of conscience [ORD] (lemma: угрызение)
PASSAGE: Пока коляска, поднимая красную пыль, катилась по дороге к Двенадцати Дубам, Скарлетт, не без некоторых угрызений совести, радовалась тому, что ни Эллин, ни Мамушка не будут присутствовать на барбекю.
TRANS: Poka kolyaska, podnimaya krasnuyu pyl', katilas' po doroge k Dvenadtsati Dubam, Skarlett, ne bez nekotorykh ugryzeniy sovesti, radovalas' tomu, chto ni Ellin, ni Mamushka ne budut prisutstvovat' na barbekyu.
TRANSLATION: As the carriage rolled along the road to Twelve Oaks raising red dust, Scarlett, not without some pangs of conscience, was glad that neither Ellen nor Mammy would be present at the barbecue.</t>
  </si>
  <si>
    <r>
      <rPr>
        <b/>
        <sz val="11"/>
        <color theme="1"/>
        <rFont val="Arial"/>
      </rPr>
      <t xml:space="preserve">TERM:</t>
    </r>
    <r>
      <rPr>
        <sz val="11"/>
        <color theme="1"/>
        <rFont val="Arial"/>
      </rPr>
      <t xml:space="preserve"> AR (АР) — honour; conscience; inalienable inner moral principle [KED, SZK]
</t>
    </r>
    <r>
      <rPr>
        <b/>
        <sz val="11"/>
        <color theme="1"/>
        <rFont val="Arial"/>
      </rPr>
      <t xml:space="preserve">PASSAGE:</t>
    </r>
    <r>
      <rPr>
        <sz val="11"/>
        <color theme="1"/>
        <rFont val="Arial"/>
      </rPr>
      <t xml:space="preserve"> Скарлетт аздап </t>
    </r>
    <r>
      <rPr>
        <b/>
        <sz val="11"/>
        <color theme="1"/>
        <rFont val="Arial"/>
      </rPr>
      <t xml:space="preserve">ары</t>
    </r>
    <r>
      <rPr>
        <sz val="11"/>
        <color theme="1"/>
        <rFont val="Arial"/>
      </rPr>
      <t xml:space="preserve"> мазаласа да, барбекюде Эллиннің де, Үлкен шешейдің де болмайтынына қуанды.
</t>
    </r>
    <r>
      <rPr>
        <b/>
        <sz val="11"/>
        <color theme="1"/>
        <rFont val="Arial"/>
      </rPr>
      <t xml:space="preserve">TRANS:</t>
    </r>
    <r>
      <rPr>
        <sz val="11"/>
        <color theme="1"/>
        <rFont val="Arial"/>
      </rPr>
      <t xml:space="preserve"> Skarlett azdap </t>
    </r>
    <r>
      <rPr>
        <b/>
        <sz val="11"/>
        <color theme="1"/>
        <rFont val="Arial"/>
      </rPr>
      <t xml:space="preserve">ary</t>
    </r>
    <r>
      <rPr>
        <sz val="11"/>
        <color theme="1"/>
        <rFont val="Arial"/>
      </rPr>
      <t xml:space="preserve"> mazalasa da, barbeküde Elinnıñ de, Ülken şeşeidıñ de bolmaitynyna quandy
</t>
    </r>
    <r>
      <rPr>
        <b/>
        <sz val="11"/>
        <color theme="1"/>
        <rFont val="Arial"/>
      </rPr>
      <t xml:space="preserve">TRANSLATION:</t>
    </r>
    <r>
      <rPr>
        <sz val="11"/>
        <color theme="1"/>
        <rFont val="Arial"/>
      </rPr>
      <t xml:space="preserve"> Although Scarlett's </t>
    </r>
    <r>
      <rPr>
        <b/>
        <sz val="11"/>
        <color theme="1"/>
        <rFont val="Arial"/>
      </rPr>
      <t xml:space="preserve">conscience</t>
    </r>
    <r>
      <rPr>
        <sz val="11"/>
        <color theme="1"/>
        <rFont val="Arial"/>
      </rPr>
      <t xml:space="preserve"> troubled her a little, she rejoiced that neither Ellen nor Mammy would be at the barbecue.</t>
    </r>
  </si>
  <si>
    <t xml:space="preserve">Guilt — Guilt as tormentor</t>
  </si>
  <si>
    <t xml:space="preserve">felt guilt; inner moral accusation; Ellen (internalized superego); guilt about Ellen’s pain, not about scandalous conduct</t>
  </si>
  <si>
    <t xml:space="preserve">A cold qualm of guilt assailed Scarlett at the thought of Ellen's consternation, should she ever learn of her daughter's scandalous conduct. But she took heart at the thought of the twenty-five miles between Atlanta and Tara. Miss Pitty certainly wouldn't tell Ellen. It would put her in such a bad light as a chaperon. And if Pitty didn't tattle, she was safe.</t>
  </si>
  <si>
    <t xml:space="preserve">TERM: raskayanie (раскаяние) — repentance; remorse [ORD]
PASSAGE: Скарлетт похолодела и в душе у нее пробудилось раскаяние.
TRANS: Skarlett pokholodela i v dushe u nee probudilos' raskayanie.
TRANSLATION: Scarlett went cold and remorse awakened in her soul.</t>
  </si>
  <si>
    <r>
      <rPr>
        <b/>
        <sz val="11"/>
        <color theme="1"/>
        <rFont val="Arial"/>
      </rPr>
      <t xml:space="preserve">TERM:</t>
    </r>
    <r>
      <rPr>
        <sz val="11"/>
        <color theme="1"/>
        <rFont val="Arial"/>
      </rPr>
      <t xml:space="preserve"> ÖKİNİSH (ӨКІНІШ) — regret; repentance [KED, SZK]
</t>
    </r>
    <r>
      <rPr>
        <b/>
        <sz val="11"/>
        <color theme="1"/>
        <rFont val="Arial"/>
      </rPr>
      <t xml:space="preserve">PASSAGE:</t>
    </r>
    <r>
      <rPr>
        <sz val="11"/>
        <color theme="1"/>
        <rFont val="Arial"/>
      </rPr>
      <t xml:space="preserve"> Скарлетт суып сала берді де, оның жан дүниесінде </t>
    </r>
    <r>
      <rPr>
        <b/>
        <sz val="11"/>
        <color theme="1"/>
        <rFont val="Arial"/>
      </rPr>
      <t xml:space="preserve">өкініш</t>
    </r>
    <r>
      <rPr>
        <sz val="11"/>
        <color theme="1"/>
        <rFont val="Arial"/>
      </rPr>
      <t xml:space="preserve"> пайда болды.
</t>
    </r>
    <r>
      <rPr>
        <b/>
        <sz val="11"/>
        <color theme="1"/>
        <rFont val="Arial"/>
      </rPr>
      <t xml:space="preserve">TRANS:</t>
    </r>
    <r>
      <rPr>
        <sz val="11"/>
        <color theme="1"/>
        <rFont val="Arial"/>
      </rPr>
      <t xml:space="preserve"> Skarlett suyp sala berdı de, onyñ jan düniesınde </t>
    </r>
    <r>
      <rPr>
        <b/>
        <sz val="11"/>
        <color theme="1"/>
        <rFont val="Arial"/>
      </rPr>
      <t xml:space="preserve">ökınış</t>
    </r>
    <r>
      <rPr>
        <sz val="11"/>
        <color theme="1"/>
        <rFont val="Arial"/>
      </rPr>
      <t xml:space="preserve"> paida boldy.
</t>
    </r>
    <r>
      <rPr>
        <b/>
        <sz val="11"/>
        <color theme="1"/>
        <rFont val="Arial"/>
      </rPr>
      <t xml:space="preserve">TRANSLATION:</t>
    </r>
    <r>
      <rPr>
        <sz val="11"/>
        <color theme="1"/>
        <rFont val="Arial"/>
      </rPr>
      <t xml:space="preserve"> Scarlett grew cold, and </t>
    </r>
    <r>
      <rPr>
        <b/>
        <sz val="11"/>
        <color theme="1"/>
        <rFont val="Arial"/>
      </rPr>
      <t xml:space="preserve">remorse</t>
    </r>
    <r>
      <rPr>
        <sz val="11"/>
        <color theme="1"/>
        <rFont val="Arial"/>
      </rPr>
      <t xml:space="preserve"> arose in her inner being.</t>
    </r>
  </si>
  <si>
    <t xml:space="preserve">felt guilt; child-like emotion; Ellen (internalized superego)</t>
  </si>
  <si>
    <t xml:space="preserve">There was more in the same vein but Scarlett did not finish it. For once, she was thoroughly frightened. She did not feel reckless and defiant now. She felt as young and guilty as when she was ten and had thrown a buttered biscuit at Suellen at the table. To think of her gentle mother reproving her so harshly and her father coming to town to talk to Captain Butler. The real seriousness of the matter grew on her. Gerald was going to be severe. This was one time when she knew she couldn't wiggle out of her punishment by sitting on his knee and being sweet and pert.</t>
  </si>
  <si>
    <t xml:space="preserve">TERM: provinivshiysya (провинившийся) — the one at fault; one who has done wrong (active part.) [ORD] (lemma: провиниться)
PASSAGE: Она чувствовала себя словно провинившийся ребенок — совсем как в десять лет, когда как-то раз за столом запустила в Сьюлин печеньем.
TRANS: Ona chuvstvovala sebya slovno provinivshiysya rebenok — sovsem kak v desyat' let, kogda kak-to raz za stolom zapustila v S'yulin pechen'em.
TRANSLATION: She felt as though she were a guilty child — exactly as at age ten, when she once threw a cookie at Suellen at the table.</t>
  </si>
  <si>
    <r>
      <rPr>
        <b/>
        <sz val="11"/>
        <color theme="1"/>
        <rFont val="Arial"/>
      </rPr>
      <t xml:space="preserve">TERM:</t>
    </r>
    <r>
      <rPr>
        <sz val="11"/>
        <color theme="1"/>
        <rFont val="Arial"/>
      </rPr>
      <t xml:space="preserve"> JAZYQTY (ЖАЗЫҚТЫ) — at fault; guilty [KED, SZK]
</t>
    </r>
    <r>
      <rPr>
        <b/>
        <sz val="11"/>
        <color theme="1"/>
        <rFont val="Arial"/>
      </rPr>
      <t xml:space="preserve">PASSAGE:</t>
    </r>
    <r>
      <rPr>
        <sz val="11"/>
        <color theme="1"/>
        <rFont val="Arial"/>
      </rPr>
      <t xml:space="preserve"> Сьюлинге тоқаш лақтырған кездегі </t>
    </r>
    <r>
      <rPr>
        <b/>
        <sz val="11"/>
        <color theme="1"/>
        <rFont val="Arial"/>
      </rPr>
      <t xml:space="preserve">жазықты</t>
    </r>
    <r>
      <rPr>
        <sz val="11"/>
        <color theme="1"/>
        <rFont val="Arial"/>
      </rPr>
      <t xml:space="preserve"> болған он жасар жасөспірім кезіндегідей сезінді.
</t>
    </r>
    <r>
      <rPr>
        <b/>
        <sz val="11"/>
        <color theme="1"/>
        <rFont val="Arial"/>
      </rPr>
      <t xml:space="preserve">TRANS:</t>
    </r>
    <r>
      <rPr>
        <sz val="11"/>
        <color theme="1"/>
        <rFont val="Arial"/>
      </rPr>
      <t xml:space="preserve"> S'iulinge toqaş laqtyrğan kezdegı </t>
    </r>
    <r>
      <rPr>
        <b/>
        <sz val="11"/>
        <color theme="1"/>
        <rFont val="Arial"/>
      </rPr>
      <t xml:space="preserve">jazyqty</t>
    </r>
    <r>
      <rPr>
        <sz val="11"/>
        <color theme="1"/>
        <rFont val="Arial"/>
      </rPr>
      <t xml:space="preserve"> bolğan on jasar jasöspırım kezındegıdei sezındı.
</t>
    </r>
    <r>
      <rPr>
        <b/>
        <sz val="11"/>
        <color theme="1"/>
        <rFont val="Arial"/>
      </rPr>
      <t xml:space="preserve">TRANSLATION:</t>
    </r>
    <r>
      <rPr>
        <sz val="11"/>
        <color theme="1"/>
        <rFont val="Arial"/>
      </rPr>
      <t xml:space="preserve"> She felt as if she were a ten-year-old who had thrown a roll at Suellen — like a </t>
    </r>
    <r>
      <rPr>
        <b/>
        <sz val="11"/>
        <color theme="1"/>
        <rFont val="Arial"/>
      </rPr>
      <t xml:space="preserve">guilty</t>
    </r>
    <r>
      <rPr>
        <sz val="11"/>
        <color theme="1"/>
        <rFont val="Arial"/>
      </rPr>
      <t xml:space="preserve"> youngster.</t>
    </r>
  </si>
  <si>
    <t xml:space="preserve">felt guilt mixed with panic; fear of discovery</t>
  </si>
  <si>
    <t xml:space="preserve">"Mother of God!" thought Scarlett, in a panic of guilt. "'Concealing his real thoughts.' Can Melly have read his mind? Or my mind? Does she suspect that he and I—"</t>
  </si>
  <si>
    <t xml:space="preserve">TERM: sovest' (совесть) — conscience; the inner moral faculty [ORD]
PASSAGE: в испуге подумала Скарлетт, так как, совесть ее, разумеется, была нечиста.
TRANS: v ispuge podumala Skarlett, tak kak, sovest' ee, razumeetsya, byla nechista.
TRANSLATION: Scarlett thought in fright, since her conscience was, of course, not clean.</t>
  </si>
  <si>
    <r>
      <rPr>
        <b/>
        <sz val="11"/>
        <color theme="1"/>
        <rFont val="Arial"/>
      </rPr>
      <t xml:space="preserve">TERM:</t>
    </r>
    <r>
      <rPr>
        <sz val="11"/>
        <color theme="1"/>
        <rFont val="Arial"/>
      </rPr>
      <t xml:space="preserve"> AR-OJDAN (АР-ОЖДАН) — conscience (compound from Arabic wijdān): the inalienable inner tribunal [KED, SZK]
</t>
    </r>
    <r>
      <rPr>
        <b/>
        <sz val="11"/>
        <color theme="1"/>
        <rFont val="Arial"/>
      </rPr>
      <t xml:space="preserve">PASSAGE:</t>
    </r>
    <r>
      <rPr>
        <sz val="11"/>
        <color theme="1"/>
        <rFont val="Arial"/>
      </rPr>
      <t xml:space="preserve"> ... осылай ойлаған Скарлетт шошып кетті, өйткені оның </t>
    </r>
    <r>
      <rPr>
        <b/>
        <sz val="11"/>
        <color theme="1"/>
        <rFont val="Arial"/>
      </rPr>
      <t xml:space="preserve">ар-ұжданы</t>
    </r>
    <r>
      <rPr>
        <sz val="11"/>
        <color theme="1"/>
        <rFont val="Arial"/>
      </rPr>
      <t xml:space="preserve">, әрине, таза емес еді.
</t>
    </r>
    <r>
      <rPr>
        <b/>
        <sz val="11"/>
        <color theme="1"/>
        <rFont val="Arial"/>
      </rPr>
      <t xml:space="preserve">TRANS:</t>
    </r>
    <r>
      <rPr>
        <sz val="11"/>
        <color theme="1"/>
        <rFont val="Arial"/>
      </rPr>
      <t xml:space="preserve"> ... osylai oilağan Skarlett şoşyp kettı, öitkenı onyñ </t>
    </r>
    <r>
      <rPr>
        <b/>
        <sz val="11"/>
        <color theme="1"/>
        <rFont val="Arial"/>
      </rPr>
      <t xml:space="preserve">ar-ūjdany</t>
    </r>
    <r>
      <rPr>
        <sz val="11"/>
        <color theme="1"/>
        <rFont val="Arial"/>
      </rPr>
      <t xml:space="preserve">, ärine, taza emes edı.
</t>
    </r>
    <r>
      <rPr>
        <b/>
        <sz val="11"/>
        <color theme="1"/>
        <rFont val="Arial"/>
      </rPr>
      <t xml:space="preserve">TRANSLATION:</t>
    </r>
    <r>
      <rPr>
        <sz val="11"/>
        <color theme="1"/>
        <rFont val="Arial"/>
      </rPr>
      <t xml:space="preserve"> ... thinking thus, Scarlett took fright, for her ar-ujdan [</t>
    </r>
    <r>
      <rPr>
        <b/>
        <sz val="11"/>
        <color theme="1"/>
        <rFont val="Arial"/>
      </rPr>
      <t xml:space="preserve">conscience</t>
    </r>
    <r>
      <rPr>
        <sz val="11"/>
        <color theme="1"/>
        <rFont val="Arial"/>
      </rPr>
      <t xml:space="preserve">] was, of course, not clean.</t>
    </r>
  </si>
  <si>
    <t xml:space="preserve">felt guilt; inner moral accusation; Ellen (internalized superego); pain at deceiving her mother and abusing her trust, not at the actual misdeeds</t>
  </si>
  <si>
    <t xml:space="preserve">"I'm always your little girl," Scarlett would say and bury her head upon Ellen's breast, her guilt rising up to accuse her. She did not tell her mother that it was the dancing and the beaux which drew her back to Atlanta and not the service of the Confederacy. There were many things she kept from her mother these days. But, most of all, she kept secret the fact that Rhett Butler called frequently at Aunt Pittypat's house.</t>
  </si>
  <si>
    <t xml:space="preserve">TERM: ugryzeniya sovesti. (угрызения совести.) = pangs of conscience
PASSAGE: — Я всегда, всегда буду вашей маленькой дочуркой, — говорила Скарлетт и прятала лицо на груди Эллин, чувствуя внезапно вспыхнувшие угрызения совести.
TRANS: — Ya vsegda, vsegda budu vashey malen'koy dochurkoy, — govorila Skarlett i pryatala litso na grudi Ellin, chuvstvuya vnezapno vspykhnuvshie ugryzeniya sovesti.
TRANSLATION: "I will always, always be your little daughter," said Scarlett, hiding her face on Ellen's breast, feeling suddenly flaring pangs of conscience.</t>
  </si>
  <si>
    <r>
      <rPr>
        <b/>
        <sz val="11"/>
        <color theme="1"/>
        <rFont val="Arial"/>
      </rPr>
      <t xml:space="preserve">TERM:</t>
    </r>
    <r>
      <rPr>
        <sz val="11"/>
        <color theme="1"/>
        <rFont val="Arial"/>
      </rPr>
      <t xml:space="preserve"> QYSYLU (ҚЫСЫЛУ) — to feel embarrassed; to feel constrained; to be in difficulty [KED, SZK]
</t>
    </r>
    <r>
      <rPr>
        <b/>
        <sz val="11"/>
        <color theme="1"/>
        <rFont val="Arial"/>
      </rPr>
      <t xml:space="preserve">PASSAGE:</t>
    </r>
    <r>
      <rPr>
        <sz val="11"/>
        <color theme="1"/>
        <rFont val="Arial"/>
      </rPr>
      <t xml:space="preserve"> - Мен әрқашан сенің кішкентай қызың боламын, - деді Скарлетт өзінің </t>
    </r>
    <r>
      <rPr>
        <b/>
        <sz val="11"/>
        <color theme="1"/>
        <rFont val="Arial"/>
      </rPr>
      <t xml:space="preserve">ұжданы</t>
    </r>
    <r>
      <rPr>
        <sz val="11"/>
        <color theme="1"/>
        <rFont val="Arial"/>
      </rPr>
      <t xml:space="preserve"> алдында қысылған жүзін Эллиннің кеудесіне жасырып.
</t>
    </r>
    <r>
      <rPr>
        <b/>
        <sz val="11"/>
        <color theme="1"/>
        <rFont val="Arial"/>
      </rPr>
      <t xml:space="preserve">TRANS:</t>
    </r>
    <r>
      <rPr>
        <sz val="11"/>
        <color theme="1"/>
        <rFont val="Arial"/>
      </rPr>
      <t xml:space="preserve"> Men ärqaşan senıñ kışkentai qyzyñ bolamyn, - dedı Skarlett özınıñ </t>
    </r>
    <r>
      <rPr>
        <b/>
        <sz val="11"/>
        <color theme="1"/>
        <rFont val="Arial"/>
      </rPr>
      <t xml:space="preserve">ūjdany</t>
    </r>
    <r>
      <rPr>
        <sz val="11"/>
        <color theme="1"/>
        <rFont val="Arial"/>
      </rPr>
      <t xml:space="preserve"> aldynda qysylğan jüzın Elinnıñ keudesıne jasyryp.
</t>
    </r>
    <r>
      <rPr>
        <b/>
        <sz val="11"/>
        <color theme="1"/>
        <rFont val="Arial"/>
      </rPr>
      <t xml:space="preserve">TRANSLATION:</t>
    </r>
    <r>
      <rPr>
        <sz val="11"/>
        <color theme="1"/>
        <rFont val="Arial"/>
      </rPr>
      <t xml:space="preserve"> "I will always be your little girl," said Scarlett, hiding her face — </t>
    </r>
    <r>
      <rPr>
        <b/>
        <sz val="11"/>
        <color theme="1"/>
        <rFont val="Arial"/>
      </rPr>
      <t xml:space="preserve">embarrassed</t>
    </r>
    <r>
      <rPr>
        <sz val="11"/>
        <color theme="1"/>
        <rFont val="Arial"/>
      </rPr>
      <t xml:space="preserve"> before her own </t>
    </r>
    <r>
      <rPr>
        <b/>
        <sz val="11"/>
        <color theme="1"/>
        <rFont val="Arial"/>
      </rPr>
      <t xml:space="preserve">conscience</t>
    </r>
    <r>
      <rPr>
        <sz val="11"/>
        <color theme="1"/>
        <rFont val="Arial"/>
      </rPr>
      <t xml:space="preserve"> [</t>
    </r>
    <r>
      <rPr>
        <b/>
        <sz val="11"/>
        <color theme="1"/>
        <rFont val="Arial"/>
      </rPr>
      <t xml:space="preserve">ūjdan</t>
    </r>
    <r>
      <rPr>
        <sz val="11"/>
        <color theme="1"/>
        <rFont val="Arial"/>
      </rPr>
      <t xml:space="preserve">] — on Ellen's breast.</t>
    </r>
  </si>
  <si>
    <t xml:space="preserve">Guilt — Felt guilt (guilty conscience)</t>
  </si>
  <si>
    <t xml:space="preserve">guilty conscience — guilt and conscience fused</t>
  </si>
  <si>
    <t xml:space="preserve">Scarlett's guilty conscience stirred as she tried to recall what Ashley might have written that would lead Melanie to make such a statement, but most of the letters she had read had gone out of her head as soon as she finished reading them. She believed Melanie had simply taken leave of her senses.</t>
  </si>
  <si>
    <t xml:space="preserve">TERM: sovesti (совести) — conscience (gen./dat./prep.) [ORD] (lemma: совесть)
PASSAGE: Скарлетт, испытывая легкий укол совести, старалась вспомнить, что же было такого в письмах Эшли, что заставило Мелани сделать подобное заявление, но содержание писем почти мгновенно улетучивалось у нее из головы, как только она кончала читать.
TRANS: Skarlett, ispytyvaya legkiy ukol sovesti, staralas' vspomnit', chto zhe bylo takogo v pis'makh Eshli, chto zastavilo Melani sdelat' podobnoe zayavlenie, no soderzhanie pisem pochti mgnovenno uletuchivalos' u nee iz golovy, kak tol'ko ona konchala chitat'.
TRANSLATION: Scarlett, feeling a slight prick of conscience, tried to recall what was in Ashley's letters that would make Melanie make such a statement, but the contents of the letters almost instantly evaporated from her head as soon as she finished reading.</t>
  </si>
  <si>
    <r>
      <rPr>
        <b/>
        <sz val="11"/>
        <color theme="1"/>
        <rFont val="Arial"/>
      </rPr>
      <t xml:space="preserve">TERM:</t>
    </r>
    <r>
      <rPr>
        <sz val="11"/>
        <color theme="1"/>
        <rFont val="Arial"/>
      </rPr>
      <t xml:space="preserve"> ūial- (ұял-) — be ashamed (verbal stem) [KED, SZK] (lemma: ұялу)
</t>
    </r>
    <r>
      <rPr>
        <b/>
        <sz val="11"/>
        <color theme="1"/>
        <rFont val="Arial"/>
      </rPr>
      <t xml:space="preserve">PASSAGE:</t>
    </r>
    <r>
      <rPr>
        <sz val="11"/>
        <color theme="1"/>
        <rFont val="Arial"/>
      </rPr>
      <t xml:space="preserve"> Скарлетт аздап </t>
    </r>
    <r>
      <rPr>
        <b/>
        <sz val="11"/>
        <color theme="1"/>
        <rFont val="Arial"/>
      </rPr>
      <t xml:space="preserve">ұялыс</t>
    </r>
    <r>
      <rPr>
        <sz val="11"/>
        <color theme="1"/>
        <rFont val="Arial"/>
      </rPr>
      <t xml:space="preserve"> сезініп, Эшлидің хаттарындағы Меланиді осындай мәлімдеме жасауға итермелеген жолдарды еске түсіруге тырысты, ...
</t>
    </r>
    <r>
      <rPr>
        <b/>
        <sz val="11"/>
        <color theme="1"/>
        <rFont val="Arial"/>
      </rPr>
      <t xml:space="preserve">TRANS:</t>
    </r>
    <r>
      <rPr>
        <sz val="11"/>
        <color theme="1"/>
        <rFont val="Arial"/>
      </rPr>
      <t xml:space="preserve"> Skarlett azdap </t>
    </r>
    <r>
      <rPr>
        <b/>
        <sz val="11"/>
        <color theme="1"/>
        <rFont val="Arial"/>
      </rPr>
      <t xml:space="preserve">ūialys</t>
    </r>
    <r>
      <rPr>
        <sz val="11"/>
        <color theme="1"/>
        <rFont val="Arial"/>
      </rPr>
      <t xml:space="preserve"> sezınıp, Eşlidıñ hattaryndağy Melanidı osyndai mälımdeme jasauğa itermelegen joldardy eske tüsıruge tyrysty, ....
</t>
    </r>
    <r>
      <rPr>
        <b/>
        <sz val="11"/>
        <color theme="1"/>
        <rFont val="Arial"/>
      </rPr>
      <t xml:space="preserve">TRANSLATION:</t>
    </r>
    <r>
      <rPr>
        <sz val="11"/>
        <color theme="1"/>
        <rFont val="Arial"/>
      </rPr>
      <t xml:space="preserve"> Feeling a slight twinge of </t>
    </r>
    <r>
      <rPr>
        <b/>
        <sz val="11"/>
        <color theme="1"/>
        <rFont val="Arial"/>
      </rPr>
      <t xml:space="preserve">shame</t>
    </r>
    <r>
      <rPr>
        <sz val="11"/>
        <color theme="1"/>
        <rFont val="Arial"/>
      </rPr>
      <t xml:space="preserve">, Scarlett tried to recall the lines in Ashley's letters that had pushed Melanie to make such a statement,...</t>
    </r>
  </si>
  <si>
    <t xml:space="preserve">overwhelming felt guilt; inner moral accusation; no specific audience</t>
  </si>
  <si>
    <t xml:space="preserve">"Jealous—of me?" cried Scarlett, stricken with guilt.</t>
  </si>
  <si>
    <t xml:space="preserve">TERM: sovesti (совести) — conscience (gen./dat./prep.) [ORD] (lemma: совесть)
PASSAGE: — Завидуешь мне? — воскликнула Скарлетт, чувствуя легкий укол совести.
TRANS: — Zaviduesh' mne? — voskliknula Skarlett, chuvstvuya legkiy ukol sovesti.
TRANSLATION: "You're jealous of me?" exclaimed Scarlett, feeling a slight prick of conscience.</t>
  </si>
  <si>
    <r>
      <rPr>
        <b/>
        <sz val="11"/>
        <color theme="1"/>
        <rFont val="Arial"/>
      </rPr>
      <t xml:space="preserve">TERM:</t>
    </r>
    <r>
      <rPr>
        <sz val="11"/>
        <color theme="1"/>
        <rFont val="Arial"/>
      </rPr>
      <t xml:space="preserve"> AR-OJDAN (АР-ОЖДАН) — conscience (compound from Arabic wijdān): the inalienable inner tribunal [KED, SZK]
</t>
    </r>
    <r>
      <rPr>
        <b/>
        <sz val="11"/>
        <color theme="1"/>
        <rFont val="Arial"/>
      </rPr>
      <t xml:space="preserve">PASSAGE:</t>
    </r>
    <r>
      <rPr>
        <sz val="11"/>
        <color theme="1"/>
        <rFont val="Arial"/>
      </rPr>
      <t xml:space="preserve"> - Сен менен қызғанасың ба? - деп айқайлады Скарлетт </t>
    </r>
    <r>
      <rPr>
        <b/>
        <sz val="11"/>
        <color theme="1"/>
        <rFont val="Arial"/>
      </rPr>
      <t xml:space="preserve">ар-ұжданы</t>
    </r>
    <r>
      <rPr>
        <sz val="11"/>
        <color theme="1"/>
        <rFont val="Arial"/>
      </rPr>
      <t xml:space="preserve"> ептеп мазалап.
</t>
    </r>
    <r>
      <rPr>
        <b/>
        <sz val="11"/>
        <color theme="1"/>
        <rFont val="Arial"/>
      </rPr>
      <t xml:space="preserve">TRANS:</t>
    </r>
    <r>
      <rPr>
        <sz val="11"/>
        <color theme="1"/>
        <rFont val="Arial"/>
      </rPr>
      <t xml:space="preserve"> - Sen menen qyzğanasyñ ba? - dep aiqailady Skarlett </t>
    </r>
    <r>
      <rPr>
        <b/>
        <sz val="11"/>
        <color theme="1"/>
        <rFont val="Arial"/>
      </rPr>
      <t xml:space="preserve">ar-ūjdany </t>
    </r>
    <r>
      <rPr>
        <sz val="11"/>
        <color theme="1"/>
        <rFont val="Arial"/>
      </rPr>
      <t xml:space="preserve">eptep mazalap.
</t>
    </r>
    <r>
      <rPr>
        <b/>
        <sz val="11"/>
        <color theme="1"/>
        <rFont val="Arial"/>
      </rPr>
      <t xml:space="preserve">TRANSLATION:</t>
    </r>
    <r>
      <rPr>
        <sz val="11"/>
        <color theme="1"/>
        <rFont val="Arial"/>
      </rPr>
      <t xml:space="preserve"> "Are you jealous of me?" — Scarlett cried out, her ar-ujdan [</t>
    </r>
    <r>
      <rPr>
        <b/>
        <sz val="11"/>
        <color theme="1"/>
        <rFont val="Arial"/>
      </rPr>
      <t xml:space="preserve">conscience</t>
    </r>
    <r>
      <rPr>
        <sz val="11"/>
        <color theme="1"/>
        <rFont val="Arial"/>
      </rPr>
      <t xml:space="preserve">] slightly troubling her.</t>
    </r>
  </si>
  <si>
    <t xml:space="preserve">felt guilt at intended conduct – preventative function; activated by Mammy</t>
  </si>
  <si>
    <t xml:space="preserve">Mammy looked at her piercingly, just as she had done when Scarlett was small and had tried unsuccessfully to palm off plausible excuses for misdeeds. She seemed to be reading her mind and Scarlett dropped her eyes unwillingly, the first feeling of guilt at her intended conduct creeping over her.</t>
  </si>
  <si>
    <t xml:space="preserve">TERM: sovesti (совести) — conscience (gen./dat./prep.) [ORD] (lemma: совесть)
PASSAGE: Казалось, Мамушка без труда читала в ее мыслях, и Скарлетт невольно опустила глаза, впервые почувствовав укол совести из-за своей затеи.
TRANS: Kazalos', Mamushka bez truda chitala v ee myslyakh, i Skarlett nevol'no opustila glaza, vpervye pochuvstvovav ukol sovesti iz-za svoey zatei.
TRANSLATION: It seemed that Mammy could read her thoughts without difficulty, and Scarlett involuntarily lowered her eyes, for the first time feeling a prick of conscience because of her scheme.</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</si>
  <si>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Скарлетт </t>
    </r>
    <r>
      <rPr>
        <b/>
        <sz val="11"/>
        <color theme="1"/>
        <rFont val="Arial"/>
      </rPr>
      <t xml:space="preserve">ұяттың</t>
    </r>
    <r>
      <rPr>
        <sz val="11"/>
        <color theme="1"/>
        <rFont val="Arial"/>
      </rPr>
      <t xml:space="preserve"> салмағынан ауыр тартқандай болған кірпіктерін төмен түсіре қойды.
</t>
    </r>
    <r>
      <rPr>
        <b/>
        <sz val="11"/>
        <color theme="1"/>
        <rFont val="Arial"/>
      </rPr>
      <t xml:space="preserve">TRANS:</t>
    </r>
    <r>
      <rPr>
        <sz val="11"/>
        <color theme="1"/>
        <rFont val="Arial"/>
      </rPr>
      <t xml:space="preserve"> Skarlett </t>
    </r>
    <r>
      <rPr>
        <b/>
        <sz val="11"/>
        <color theme="1"/>
        <rFont val="Arial"/>
      </rPr>
      <t xml:space="preserve">ūiattyñ</t>
    </r>
    <r>
      <rPr>
        <sz val="11"/>
        <color theme="1"/>
        <rFont val="Arial"/>
      </rPr>
      <t xml:space="preserve"> salmağynan auyr tartqandai bolğan kırpıkterın tömen tüsıre qoidy.
</t>
    </r>
    <r>
      <rPr>
        <b/>
        <sz val="11"/>
        <color theme="1"/>
        <rFont val="Arial"/>
      </rPr>
      <t xml:space="preserve">TRANSLATION:</t>
    </r>
    <r>
      <rPr>
        <sz val="11"/>
        <color theme="1"/>
        <rFont val="Arial"/>
      </rPr>
      <t xml:space="preserve"> Scarlett, as though her eyelids had grown heavy from the weight of </t>
    </r>
    <r>
      <rPr>
        <b/>
        <sz val="11"/>
        <color theme="1"/>
        <rFont val="Arial"/>
      </rPr>
      <t xml:space="preserve">shame</t>
    </r>
    <r>
      <rPr>
        <sz val="11"/>
        <color theme="1"/>
        <rFont val="Arial"/>
      </rPr>
      <t xml:space="preserve">, lowered them.</t>
    </r>
  </si>
  <si>
    <t xml:space="preserve">Guilt not of the lie, but at the thought of Ellen; accompanied by discomfort</t>
  </si>
  <si>
    <t xml:space="preserve">The first time Scarlett lied in this fashion she felt disconcerted and guilty—disconcerted because the lie sprang so easily and naturally to her lips, guilty because the thought flashed into her mind: What would Mother say?</t>
  </si>
  <si>
    <t xml:space="preserve">TERM: stydno (стыдно) — it is shameful; (one) feels ashamed (impersonal predicate) [ORD]
PASSAGE: Когда Скарлетт впервые решилась на такую ложь, ей потом стало стыдно и очень не по себе —
TRANS: Kogda Skarlett vpervye reshilas' na takuyu lozh', ey potom stalo stydno i ochen' ne po sebe —
TRANSLATION: When Scarlett had first decided on such a lie, she afterward felt ashamed and very ill at ease —</t>
  </si>
  <si>
    <r>
      <rPr>
        <b/>
        <sz val="11"/>
        <color theme="1"/>
        <rFont val="Arial"/>
      </rPr>
      <t xml:space="preserve">TERM:</t>
    </r>
    <r>
      <rPr>
        <sz val="11"/>
        <color theme="1"/>
        <rFont val="Arial"/>
      </rPr>
      <t xml:space="preserve"> QYSYLU (ҚЫСЫЛУ) — to feel embarrassed; to feel constrained; to be in difficulty [KED, SZK]
</t>
    </r>
    <r>
      <rPr>
        <b/>
        <sz val="11"/>
        <color theme="1"/>
        <rFont val="Arial"/>
      </rPr>
      <t xml:space="preserve">PASSAGE:</t>
    </r>
    <r>
      <rPr>
        <sz val="11"/>
        <color theme="1"/>
        <rFont val="Arial"/>
      </rPr>
      <t xml:space="preserve"> Осы өтірік айтуға ең алғаш бел байлағанында, әрине, </t>
    </r>
    <r>
      <rPr>
        <b/>
        <sz val="11"/>
        <color theme="1"/>
        <rFont val="Arial"/>
      </rPr>
      <t xml:space="preserve">қысылған</t>
    </r>
    <r>
      <rPr>
        <sz val="11"/>
        <color theme="1"/>
        <rFont val="Arial"/>
      </rPr>
      <t xml:space="preserve"> еді.
</t>
    </r>
    <r>
      <rPr>
        <b/>
        <sz val="11"/>
        <color theme="1"/>
        <rFont val="Arial"/>
      </rPr>
      <t xml:space="preserve">TRANS:</t>
    </r>
    <r>
      <rPr>
        <sz val="11"/>
        <color theme="1"/>
        <rFont val="Arial"/>
      </rPr>
      <t xml:space="preserve"> Osy ötırık aituğa eñ alğaş bel bailağanynda, ärine, </t>
    </r>
    <r>
      <rPr>
        <b/>
        <sz val="11"/>
        <color theme="1"/>
        <rFont val="Arial"/>
      </rPr>
      <t xml:space="preserve">qysylğan</t>
    </r>
    <r>
      <rPr>
        <sz val="11"/>
        <color theme="1"/>
        <rFont val="Arial"/>
      </rPr>
      <t xml:space="preserve"> edı.
</t>
    </r>
    <r>
      <rPr>
        <b/>
        <sz val="11"/>
        <color theme="1"/>
        <rFont val="Arial"/>
      </rPr>
      <t xml:space="preserve">TRANSLATION:</t>
    </r>
    <r>
      <rPr>
        <sz val="11"/>
        <color theme="1"/>
        <rFont val="Arial"/>
      </rPr>
      <t xml:space="preserve"> When she first resolved to tell this lie, of course, she had been </t>
    </r>
    <r>
      <rPr>
        <b/>
        <sz val="11"/>
        <color theme="1"/>
        <rFont val="Arial"/>
      </rPr>
      <t xml:space="preserve">embarrassed</t>
    </r>
    <r>
      <rPr>
        <sz val="11"/>
        <color theme="1"/>
        <rFont val="Arial"/>
      </rPr>
      <t xml:space="preserve">.</t>
    </r>
  </si>
  <si>
    <t xml:space="preserve">Guilty sense of pleasure, pleasure that Melanie cannot be intimate with Ashley, guilt at knowing it is bad</t>
  </si>
  <si>
    <t xml:space="preserve">Melanie wanted another baby badly, but both Dr. Meade and Dr. Fontaine had said another child would cost her her life. So, only half resigned to her fate, she spent most of her time with Scarlett, vicariously enjoying a pregnancy not her own. To Scarlett, scarcely wanting her coming child and irritated at its untimeliness, this attitude seemed the height of sentimental stupidity. But she had a guilty sense of pleasure that the doctors' edict had made impossible any real intimacy between Ashley and his wife.</t>
  </si>
  <si>
    <t xml:space="preserve">Guilt and conscience close, guilt is mixed with fear of retribution from Rhett – so causes other feelings</t>
  </si>
  <si>
    <t xml:space="preserve">He had been away from Atlanta for months, since just after Gerald died, since long before Ella Lorena was born. She had missed him but she now wished ardently that there was some way to avoid seeing him. In fact, the sight of his dark face brought a feeling of guilty panic to her breast. A matter in which Ashley was concerned lay on her conscience and she did not wish to discuss it with Rhett, but she knew he would force the discussion, no matter how disinclined she might be.</t>
  </si>
  <si>
    <r>
      <rPr>
        <b/>
        <sz val="11"/>
        <color theme="1"/>
        <rFont val="Arial"/>
      </rPr>
      <t xml:space="preserve">TERM:</t>
    </r>
    <r>
      <rPr>
        <sz val="11"/>
        <color theme="1"/>
        <rFont val="Arial"/>
      </rPr>
      <t xml:space="preserve"> KİNÄLY (КІНӘЛЫ) — guilty; at fault [KED, SZK] (lemma: кінәлі)
</t>
    </r>
    <r>
      <rPr>
        <b/>
        <sz val="11"/>
        <color theme="1"/>
        <rFont val="Arial"/>
      </rPr>
      <t xml:space="preserve">PASSAGE:</t>
    </r>
    <r>
      <rPr>
        <sz val="11"/>
        <color theme="1"/>
        <rFont val="Arial"/>
      </rPr>
      <t xml:space="preserve"> Ашығын айтқанда, оның күреңіткен жүзін көргенде сасқалақтап, өзін </t>
    </r>
    <r>
      <rPr>
        <b/>
        <sz val="11"/>
        <color theme="1"/>
        <rFont val="Arial"/>
      </rPr>
      <t xml:space="preserve">кінәлі</t>
    </r>
    <r>
      <rPr>
        <sz val="11"/>
        <color theme="1"/>
        <rFont val="Arial"/>
      </rPr>
      <t xml:space="preserve"> сезінгендіктен де бүгежектей бастады.
</t>
    </r>
    <r>
      <rPr>
        <b/>
        <sz val="11"/>
        <color theme="1"/>
        <rFont val="Arial"/>
      </rPr>
      <t xml:space="preserve">TRANS:</t>
    </r>
    <r>
      <rPr>
        <sz val="11"/>
        <color theme="1"/>
        <rFont val="Arial"/>
      </rPr>
      <t xml:space="preserve"> Aşyğyn aitqanda, onyñ küreñıtken jüzın körgende sasqalaqtap, özın </t>
    </r>
    <r>
      <rPr>
        <b/>
        <sz val="11"/>
        <color theme="1"/>
        <rFont val="Arial"/>
      </rPr>
      <t xml:space="preserve">kınälı</t>
    </r>
    <r>
      <rPr>
        <sz val="11"/>
        <color theme="1"/>
        <rFont val="Arial"/>
      </rPr>
      <t xml:space="preserve"> sezıngendıkten de bügejektei bastady.
</t>
    </r>
    <r>
      <rPr>
        <b/>
        <sz val="11"/>
        <color theme="1"/>
        <rFont val="Arial"/>
      </rPr>
      <t xml:space="preserve">TRANSLATION:</t>
    </r>
    <r>
      <rPr>
        <sz val="11"/>
        <color theme="1"/>
        <rFont val="Arial"/>
      </rPr>
      <t xml:space="preserve"> To tell the truth, when she saw his darkened face, she became flustered and, feeling </t>
    </r>
    <r>
      <rPr>
        <b/>
        <sz val="11"/>
        <color theme="1"/>
        <rFont val="Arial"/>
      </rPr>
      <t xml:space="preserve">guilty</t>
    </r>
    <r>
      <rPr>
        <sz val="11"/>
        <color theme="1"/>
        <rFont val="Arial"/>
      </rPr>
      <t xml:space="preserve">, began to cower.</t>
    </r>
  </si>
  <si>
    <t xml:space="preserve">Guilt — Guilt as weight</t>
  </si>
  <si>
    <t xml:space="preserve">Guilt and fear at causing death (Frank); cannot confess to Ashley for fear of losing his love</t>
  </si>
  <si>
    <t xml:space="preserve">If there were only someone who could comfort her, quiet her fears, explain to her just what were these confused fears which made her heart sink with such cold sickness! If only Ashley—but she shrank from the thought. She had almost killed Ashley, just as she had killed Frank. And if Ashley ever knew the real truth about how she lied to Frank to get him, knew how mean she had been to Frank, he could never love her any more. Ashley was so honorable, so truthful, so kind and he saw so straightly, so clearly. If he knew the whole truth, he would understand. Oh, yes, he would understand only too well! But he would never love her any more. So he must never know the truth because he must keep on loving her. How could she live if that secret source of her strength, his love, were taken from her? But what a relief it would be to put her head on his shoulder and cry and unburden her guilty heart!</t>
  </si>
  <si>
    <t xml:space="preserve">TERM: greshnaya dusha (грешная душа) — a sinful soul [ORD] (lemma: грешный)
PASSAGE: Хотя ей стало бы намного легче, если бы она могла уткнуться головой ему в плечо, расплакаться и облегчить свою грешную душу!
TRANS: Khotya ey stalo by namnogo legche, esli by ona mogla utknut'sya golovoy emu v plecho, rasplakat'sya i oblegchit' svoyu greshnuyu dushu!
TRANSLATION: Although she would feel much better if she could bury her head in his shoulder, weep, and unburden her sinful soul!</t>
  </si>
  <si>
    <r>
      <rPr>
        <b/>
        <sz val="11"/>
        <color theme="1"/>
        <rFont val="Arial"/>
      </rPr>
      <t xml:space="preserve">TERM:</t>
    </r>
    <r>
      <rPr>
        <sz val="11"/>
        <color theme="1"/>
        <rFont val="Arial"/>
      </rPr>
      <t xml:space="preserve"> kökiregindegi zapyranyn (көкірегіндегі запыранын) — the bile in his/her chest (set image: deep bitterness/grief) [KED, SZK] (lemma: запыран)
</t>
    </r>
    <r>
      <rPr>
        <b/>
        <sz val="11"/>
        <color theme="1"/>
        <rFont val="Arial"/>
      </rPr>
      <t xml:space="preserve">PASSAGE:</t>
    </r>
    <r>
      <rPr>
        <sz val="11"/>
        <color theme="1"/>
        <rFont val="Arial"/>
      </rPr>
      <t xml:space="preserve"> Әйтсе де соның иығына басын сүйеп қойып, егіліп жыласа, бар ақиқатты, басынан кешкендерін ақтарып, </t>
    </r>
    <r>
      <rPr>
        <b/>
        <sz val="11"/>
        <color theme="1"/>
        <rFont val="Arial"/>
      </rPr>
      <t xml:space="preserve">көкірегіндегі запыранын</t>
    </r>
    <r>
      <rPr>
        <sz val="11"/>
        <color theme="1"/>
        <rFont val="Arial"/>
      </rPr>
      <t xml:space="preserve"> төгіп, мың батпан қасіретінен айрылса, жеңілдеп те қалар еді-ау
</t>
    </r>
    <r>
      <rPr>
        <b/>
        <sz val="11"/>
        <color theme="1"/>
        <rFont val="Arial"/>
      </rPr>
      <t xml:space="preserve">TRANS:</t>
    </r>
    <r>
      <rPr>
        <sz val="11"/>
        <color theme="1"/>
        <rFont val="Arial"/>
      </rPr>
      <t xml:space="preserve"> Äitse de sonyñ iyğyna basyn süiep qoiyp, egılıp jylasa, bar aqiqatty, basynan keşkenderın aqtaryp, </t>
    </r>
    <r>
      <rPr>
        <b/>
        <sz val="11"/>
        <color theme="1"/>
        <rFont val="Arial"/>
      </rPr>
      <t xml:space="preserve">kökıregındegı zapyranyn</t>
    </r>
    <r>
      <rPr>
        <sz val="11"/>
        <color theme="1"/>
        <rFont val="Arial"/>
      </rPr>
      <t xml:space="preserve"> tögıp, myñ batpan qasıretınen airylsa, jeñıldep te qalar edı-au
</t>
    </r>
    <r>
      <rPr>
        <b/>
        <sz val="11"/>
        <color theme="1"/>
        <rFont val="Arial"/>
      </rPr>
      <t xml:space="preserve">TRANSLATION:</t>
    </r>
    <r>
      <rPr>
        <sz val="11"/>
        <color theme="1"/>
        <rFont val="Arial"/>
      </rPr>
      <t xml:space="preserve"> And yet if she could lean her head on his shoulder and weep her heart out, pour out the whole truth, all she had been through, vent the </t>
    </r>
    <r>
      <rPr>
        <b/>
        <sz val="11"/>
        <color theme="1"/>
        <rFont val="Arial"/>
      </rPr>
      <t xml:space="preserve">bitterness from her chest</t>
    </r>
    <r>
      <rPr>
        <sz val="11"/>
        <color theme="1"/>
        <rFont val="Arial"/>
      </rPr>
      <t xml:space="preserve">, and rid herself of a thousand-pud weight of grief, she might feel relief.</t>
    </r>
  </si>
  <si>
    <t xml:space="preserve">strong felt guilt; inner moral accusation; Ashley as object of guilt</t>
  </si>
  <si>
    <t xml:space="preserve">"Oh," breathed Scarlett, guilt struggling with joy that Ashley should feel so deeply about her, should still think her sweet. Thank God, he thought Rhett to blame for her penny-pinching ways. Of course, Rhett had nothing to do with it and the guilt was hers but, after all, another black mark on Rhett could do him no harm.</t>
  </si>
  <si>
    <t xml:space="preserve">TERM: chuvstvo viny (чувство вины) — feeling of guilt [ORD] (lemma: вина)
PASSAGE: — О! — выдохнула Скарлетт: чувство вины боролось в ней с чувством радости оттого, что Эшли неравнодушен к ней, что она ему по-прежнему мила.
TRANS: — O! — vydokhnula Skarlett: chuvstvo viny borolos' v ney s chuvstvom radosti ottogo, chto Eshli neravnodushen k ney, chto ona emu po-prezhnemu mila.
TRANSLATION: "Oh!" Scarlett exhaled: a feeling of guilt struggled within her with the joy that Ashley was not indifferent to her, that she was still dear to him.</t>
  </si>
  <si>
    <r>
      <rPr>
        <b/>
        <sz val="11"/>
        <color theme="1"/>
        <rFont val="Arial"/>
      </rPr>
      <t xml:space="preserve">TERM:</t>
    </r>
    <r>
      <rPr>
        <sz val="11"/>
        <color theme="1"/>
        <rFont val="Arial"/>
      </rPr>
      <t xml:space="preserve"> KİNÄLAU (КІНӘЛАУ) — to blame; to find guilty [KED, SZK]
</t>
    </r>
    <r>
      <rPr>
        <b/>
        <sz val="11"/>
        <color theme="1"/>
        <rFont val="Arial"/>
      </rPr>
      <t xml:space="preserve">PASSAGE:</t>
    </r>
    <r>
      <rPr>
        <sz val="11"/>
        <color theme="1"/>
        <rFont val="Arial"/>
      </rPr>
      <t xml:space="preserve"> Эшлидің өзіне бейжай қарамайтынына көзі жеткеннен көңілі сергексіп, өзін іштей </t>
    </r>
    <r>
      <rPr>
        <b/>
        <sz val="11"/>
        <color theme="1"/>
        <rFont val="Arial"/>
      </rPr>
      <t xml:space="preserve">кінәлау</t>
    </r>
    <r>
      <rPr>
        <sz val="11"/>
        <color theme="1"/>
        <rFont val="Arial"/>
      </rPr>
      <t xml:space="preserve"> сезімін қуанышы жеңе бастағандай.
</t>
    </r>
    <r>
      <rPr>
        <b/>
        <sz val="11"/>
        <color theme="1"/>
        <rFont val="Arial"/>
      </rPr>
      <t xml:space="preserve">TRANS:</t>
    </r>
    <r>
      <rPr>
        <sz val="11"/>
        <color theme="1"/>
        <rFont val="Arial"/>
      </rPr>
      <t xml:space="preserve"> Eşlidıñ özıne beijai qaramaitynyna közı jetkennen köñılı sergeksıp, özın ıştei </t>
    </r>
    <r>
      <rPr>
        <b/>
        <sz val="11"/>
        <color theme="1"/>
        <rFont val="Arial"/>
      </rPr>
      <t xml:space="preserve">kınälau</t>
    </r>
    <r>
      <rPr>
        <sz val="11"/>
        <color theme="1"/>
        <rFont val="Arial"/>
      </rPr>
      <t xml:space="preserve"> sezımın quanyşy jeñe bastağandai.
</t>
    </r>
    <r>
      <rPr>
        <b/>
        <sz val="11"/>
        <color theme="1"/>
        <rFont val="Arial"/>
      </rPr>
      <t xml:space="preserve">TRANSLATION:</t>
    </r>
    <r>
      <rPr>
        <sz val="11"/>
        <color theme="1"/>
        <rFont val="Arial"/>
      </rPr>
      <t xml:space="preserve"> When she became convinced that Ashley was not indifferent toward her, her spirits revived, and joy began to overcome the feeling of </t>
    </r>
    <r>
      <rPr>
        <b/>
        <sz val="11"/>
        <color theme="1"/>
        <rFont val="Arial"/>
      </rPr>
      <t xml:space="preserve">guilt</t>
    </r>
    <r>
      <rPr>
        <sz val="11"/>
        <color theme="1"/>
        <rFont val="Arial"/>
      </rPr>
      <t xml:space="preserve"> within her.</t>
    </r>
  </si>
  <si>
    <t xml:space="preserve">Melanie as one wronged and as moral mirror</t>
  </si>
  <si>
    <t xml:space="preserve">Oh, she could stand the cuts, the slights, the covert smiles, anything the town might say, if she had to stand them—but not Melanie! Oh, not Melanie! She did not know why she should mind Melanie knowing, more than anyone else. She was too frightened and weighed down by a sense of past guilt to try to understand it. But she burst into tears at the thought of what would be in Melanie's eyes when India told her that she had caught Ashley fondling Scarlett.</t>
  </si>
  <si>
    <t xml:space="preserve">TERM: viny (вины) — guilt; fault (gen.) [ORD] (lemma: вина)
PASSAGE: Слишком она была испугана и подавлена сознанием вины за прошлое, чтобы пытаться это понять.
TRANS: Slishkom ona byla ispugana i podavlena soznaniem viny za proshloe, chtoby pytat'sya eto ponyat'.
TRANSLATION: She was too frightened and overwhelmed by the consciousness of guilt for the past to try to understand it.</t>
  </si>
  <si>
    <t xml:space="preserve">guilty conscience — guilt and conscience fused; interpersonal harm – Melanie, Ashley, Rhett</t>
  </si>
  <si>
    <t xml:space="preserve">She heard the servants come back as night fell and it seemed to her that they were very silent as they moved about preparing supper. Or was it her guilty conscience? Mammy came to the door and knocked but Scarlett sent her away, saying she did not want any supper.</t>
  </si>
  <si>
    <t xml:space="preserve">TERM: nechistoy sovesti (нечистой совести) — an unclean conscience (gen.) [ORD] (lemma: совесть)
PASSAGE: Или, быть может, так ей казалось из-за нечистой совести?
TRANS: Ili, byt' mozhet, tak ey kazalos' iz-za nechistoy sovesti?
TRANSLATION: Or perhaps it seemed so to her because of her unclean conscience?</t>
  </si>
  <si>
    <t xml:space="preserve">strong felt guilt; inner moral accusation; Melanie as moral mirror</t>
  </si>
  <si>
    <t xml:space="preserve">Rhett had left town the hour before with Bonnie and Prissy, and desolation was added to Scarlett's shame and anger. The additional burden of her guilt with Ashley and Melanie's defense was more than she could bear. Had Melanie believed India and Archie, cut her at the reception or even greeted her frigidly, then she could have held her head high and fought back with every weapon in her armory. But now, with the memory of Melanie standing between her and social ruin, standing like a thin, shining blade, with trust and a fighting light in her eyes, there seemed nothing honest to do but</t>
  </si>
  <si>
    <t xml:space="preserve">TERM: vinovataya (виноватая) — guilty; at fault (fem.) [ORD] (lemma: виноватый)
PASSAGE: А сейчас, когда Мелани стала ее защищать, тогда как сама она, Скарлетт, чувствовала себя глубоко виноватой, — этого она и вовсе не в состоянии была вынести.
TRANS: A seychas, kogda Melani stala ee zashchishchat', togda kak sama ona, Skarlett, chuvstvovala sebya gluboko vinovatoy, — etogo ona i vovse ne v sostoyanii byla vynesti.
TRANSLATION: And now, when Melanie began to defend her, while she herself, Scarlett, felt deeply guilty — this she was simply unable to bear.</t>
  </si>
  <si>
    <r>
      <rPr>
        <b/>
        <sz val="11"/>
        <color theme="1"/>
        <rFont val="Arial"/>
      </rPr>
      <t xml:space="preserve">TERM:</t>
    </r>
    <r>
      <rPr>
        <sz val="11"/>
        <color theme="1"/>
        <rFont val="Arial"/>
      </rPr>
      <t xml:space="preserve"> künä (күнә) — sin (religious register; from Persian gunāh) [KED, SZK]
</t>
    </r>
    <r>
      <rPr>
        <b/>
        <sz val="11"/>
        <color theme="1"/>
        <rFont val="Arial"/>
      </rPr>
      <t xml:space="preserve">PASSAGE:</t>
    </r>
    <r>
      <rPr>
        <sz val="11"/>
        <color theme="1"/>
        <rFont val="Arial"/>
      </rPr>
      <t xml:space="preserve"> Өзінің соншалық </t>
    </r>
    <r>
      <rPr>
        <b/>
        <sz val="11"/>
        <color theme="1"/>
        <rFont val="Arial"/>
      </rPr>
      <t xml:space="preserve">күнәға</t>
    </r>
    <r>
      <rPr>
        <sz val="11"/>
        <color theme="1"/>
        <rFont val="Arial"/>
      </rPr>
      <t xml:space="preserve"> батқан қазіргі жағдайында Меланидің өлердей сеніп, шыр-пыр боп, қорғаштағаны жанына тіпті қатты батып тұр
</t>
    </r>
    <r>
      <rPr>
        <b/>
        <sz val="11"/>
        <color theme="1"/>
        <rFont val="Arial"/>
      </rPr>
      <t xml:space="preserve">TRANS:</t>
    </r>
    <r>
      <rPr>
        <sz val="11"/>
        <color theme="1"/>
        <rFont val="Arial"/>
      </rPr>
      <t xml:space="preserve"> Özınıñ sonşalyq </t>
    </r>
    <r>
      <rPr>
        <b/>
        <sz val="11"/>
        <color theme="1"/>
        <rFont val="Arial"/>
      </rPr>
      <t xml:space="preserve">künäğa</t>
    </r>
    <r>
      <rPr>
        <sz val="11"/>
        <color theme="1"/>
        <rFont val="Arial"/>
      </rPr>
      <t xml:space="preserve"> batqan qazırgı jağdaiynda Melanidıñ ölerdei senıp, şyr-pyr bop, qorğaştağany janyna tıptı qatty batyp tūr
</t>
    </r>
    <r>
      <rPr>
        <b/>
        <sz val="11"/>
        <color theme="1"/>
        <rFont val="Arial"/>
      </rPr>
      <t xml:space="preserve">TRANSLATION:</t>
    </r>
    <r>
      <rPr>
        <sz val="11"/>
        <color theme="1"/>
        <rFont val="Arial"/>
      </rPr>
      <t xml:space="preserve"> In her present situation, having </t>
    </r>
    <r>
      <rPr>
        <b/>
        <sz val="11"/>
        <color theme="1"/>
        <rFont val="Arial"/>
      </rPr>
      <t xml:space="preserve">sinned</t>
    </r>
    <r>
      <rPr>
        <sz val="11"/>
        <color theme="1"/>
        <rFont val="Arial"/>
      </rPr>
      <t xml:space="preserve"> so deeply, Melanie's believing in her to the death and bustling about to protect her sat very heavily on her soul.</t>
    </r>
  </si>
  <si>
    <t xml:space="preserve">Some of Rhett's taunting words of contempt came back to her and she wondered if indeed Ashley had played the manly part in this mess. And, for the first time, some of the bright glow which had enveloped him since the first day she fell in love with him began to fade imperceptibly. The tarnish of shame and guilt that enveloped her spread to him as well. Resolutely she tried to fight off this thought but it only made her cry harder.</t>
  </si>
  <si>
    <t xml:space="preserve">TERM: pozora (позора) — disgrace (gen.) [ORD] (lemma: позор)
PASSAGE: Черное пятно позора и вины, лежавшее на ней, переползло и на него.
TRANS: Chernoe pyatno pozora i viny, lezhavshee na ney, perepolzlo i na nego.
TRANSLATION: The black stain of disgrace and guilt that lay upon her crept onto him as well.</t>
  </si>
  <si>
    <r>
      <rPr>
        <b/>
        <sz val="11"/>
        <color theme="1"/>
        <rFont val="Arial"/>
      </rPr>
      <t xml:space="preserve">TERM:</t>
    </r>
    <r>
      <rPr>
        <sz val="11"/>
        <color theme="1"/>
        <rFont val="Arial"/>
      </rPr>
      <t xml:space="preserve"> kınä men künä (кінә мен күнә) — guilt and sin (set phrase combining secular and religious registers) [KED, SZK] (lemma: кінә)
</t>
    </r>
    <r>
      <rPr>
        <b/>
        <sz val="11"/>
        <color theme="1"/>
        <rFont val="Arial"/>
      </rPr>
      <t xml:space="preserve">PASSAGE:</t>
    </r>
    <r>
      <rPr>
        <sz val="11"/>
        <color theme="1"/>
        <rFont val="Arial"/>
      </rPr>
      <t xml:space="preserve"> Осы уақытқа дейін өз арқасына басқан </t>
    </r>
    <r>
      <rPr>
        <b/>
        <sz val="11"/>
        <color theme="1"/>
        <rFont val="Arial"/>
      </rPr>
      <t xml:space="preserve">кінә мен күнәнің</t>
    </r>
    <r>
      <rPr>
        <sz val="11"/>
        <color theme="1"/>
        <rFont val="Arial"/>
      </rPr>
      <t xml:space="preserve"> қап-қара нүктесі жылыстап, Эшлиге қарай ауып бара жатты.
</t>
    </r>
    <r>
      <rPr>
        <b/>
        <sz val="11"/>
        <color theme="1"/>
        <rFont val="Arial"/>
      </rPr>
      <t xml:space="preserve">TRANS:</t>
    </r>
    <r>
      <rPr>
        <sz val="11"/>
        <color theme="1"/>
        <rFont val="Arial"/>
      </rPr>
      <t xml:space="preserve"> Osy uaqytqa deiın öz arqasyna basqan </t>
    </r>
    <r>
      <rPr>
        <b/>
        <sz val="11"/>
        <color theme="1"/>
        <rFont val="Arial"/>
      </rPr>
      <t xml:space="preserve">kınä men künänıñ</t>
    </r>
    <r>
      <rPr>
        <sz val="11"/>
        <color theme="1"/>
        <rFont val="Arial"/>
      </rPr>
      <t xml:space="preserve"> qap-qara nüktesı jylystap, Eşlige qarai auyp bara jatty.
</t>
    </r>
    <r>
      <rPr>
        <b/>
        <sz val="11"/>
        <color theme="1"/>
        <rFont val="Arial"/>
      </rPr>
      <t xml:space="preserve">TRANSLATION:</t>
    </r>
    <r>
      <rPr>
        <sz val="11"/>
        <color theme="1"/>
        <rFont val="Arial"/>
      </rPr>
      <t xml:space="preserve"> The pitch-black mark of </t>
    </r>
    <r>
      <rPr>
        <b/>
        <sz val="11"/>
        <color theme="1"/>
        <rFont val="Arial"/>
      </rPr>
      <t xml:space="preserve">guilt</t>
    </r>
    <r>
      <rPr>
        <sz val="11"/>
        <color theme="1"/>
        <rFont val="Arial"/>
      </rPr>
      <t xml:space="preserve"> and </t>
    </r>
    <r>
      <rPr>
        <b/>
        <sz val="11"/>
        <color theme="1"/>
        <rFont val="Arial"/>
      </rPr>
      <t xml:space="preserve">sin</t>
    </r>
    <r>
      <rPr>
        <sz val="11"/>
        <color theme="1"/>
        <rFont val="Arial"/>
      </rPr>
      <t xml:space="preserve"> that she had borne on her own back was sliding off and shifting toward Ashley.</t>
    </r>
  </si>
  <si>
    <t xml:space="preserve">Guilt about Melanie; activates as Dr Meade’s unmasked contempt</t>
  </si>
  <si>
    <t xml:space="preserve">The door of Melanie's room opened quietly and Dr. Meade came out into the hall, shutting the door behind him. He stood for a moment, his gray beard sunk on his chest, and looked at the suddenly frozen four. His gaze fell last on Scarlett. As he came toward her, she saw that there was grief in his eyes and also dislike and contempt that flooded her frightened heart with guilt.</t>
  </si>
  <si>
    <r>
      <rPr>
        <b/>
        <sz val="11"/>
        <color theme="1"/>
        <rFont val="Arial"/>
      </rPr>
      <t xml:space="preserve">TERM:</t>
    </r>
    <r>
      <rPr>
        <sz val="11"/>
        <color theme="1"/>
        <rFont val="Arial"/>
      </rPr>
      <t xml:space="preserve"> KİNÄLY (КІНӘЛЫ) — guilty; at fault [KED, SZK] (lemma: кінәлі)
</t>
    </r>
    <r>
      <rPr>
        <b/>
        <sz val="11"/>
        <color theme="1"/>
        <rFont val="Arial"/>
      </rPr>
      <t xml:space="preserve">PASSAGE:</t>
    </r>
    <r>
      <rPr>
        <sz val="11"/>
        <color theme="1"/>
        <rFont val="Arial"/>
      </rPr>
      <t xml:space="preserve"> Бері таман жақындап, қасына келген қарияның жанарынан қасірет көрген Скарлеттің жүрегі зырқ ете қалып </t>
    </r>
    <r>
      <rPr>
        <b/>
        <sz val="11"/>
        <color theme="1"/>
        <rFont val="Arial"/>
      </rPr>
      <t xml:space="preserve">кінәлі</t>
    </r>
    <r>
      <rPr>
        <sz val="11"/>
        <color theme="1"/>
        <rFont val="Arial"/>
      </rPr>
      <t xml:space="preserve"> балаша төмен қарай берді.
</t>
    </r>
    <r>
      <rPr>
        <b/>
        <sz val="11"/>
        <color theme="1"/>
        <rFont val="Arial"/>
      </rPr>
      <t xml:space="preserve">TRANS:</t>
    </r>
    <r>
      <rPr>
        <sz val="11"/>
        <color theme="1"/>
        <rFont val="Arial"/>
      </rPr>
      <t xml:space="preserve"> Berı taman jaqyndap, qasyna kelgen qarianyñ janarynan qasıret körgen Skarlettıñ jüregı zyrq ete qalyp </t>
    </r>
    <r>
      <rPr>
        <b/>
        <sz val="11"/>
        <color theme="1"/>
        <rFont val="Arial"/>
      </rPr>
      <t xml:space="preserve">kınälı</t>
    </r>
    <r>
      <rPr>
        <sz val="11"/>
        <color theme="1"/>
        <rFont val="Arial"/>
      </rPr>
      <t xml:space="preserve"> balaşa tömen qarai berdı.
</t>
    </r>
    <r>
      <rPr>
        <b/>
        <sz val="11"/>
        <color theme="1"/>
        <rFont val="Arial"/>
      </rPr>
      <t xml:space="preserve">TRANSLATION:</t>
    </r>
    <r>
      <rPr>
        <sz val="11"/>
        <color theme="1"/>
        <rFont val="Arial"/>
      </rPr>
      <t xml:space="preserve"> When the old man came nearer and approached, seeing the suffering in his gaze Scarlett's heart pounded and she lowered her eyes like a </t>
    </r>
    <r>
      <rPr>
        <b/>
        <sz val="11"/>
        <color theme="1"/>
        <rFont val="Arial"/>
      </rPr>
      <t xml:space="preserve">guilty</t>
    </r>
    <r>
      <rPr>
        <sz val="11"/>
        <color theme="1"/>
        <rFont val="Arial"/>
      </rPr>
      <t xml:space="preserve"> child.</t>
    </r>
  </si>
  <si>
    <t xml:space="preserve">strong felt guilt; inner moral accusation; Melanie feels she’s breaking moral and religious laws by coveting Scarlett’s baby</t>
  </si>
  <si>
    <t xml:space="preserve">She sank gratefully into a chair, her back, which always ached these days, feeling as though it would break in two at the waist line. Oh, how fortunate Scarlett was to have Captain Butler just outside her door while the baby was being born! If only she had had Ashley with her that dreadful day Beau came she would not have suffered half so much. If only that small girl behind those closed doors were hers and not Scarlett's! Oh, how wicked I am, she thought guiltily. I am coveting her baby and Scarlett has been so good to me. Forgive me, Lord. I wouldn't really want Scarlett's baby but—but I would so like a baby of my own!</t>
  </si>
  <si>
    <t xml:space="preserve">TERM: vinovato (виновато) — guiltily (adv.) [ORD]
PASSAGE: «Ах, какая же я скверная, — виновато подумала Мелани.
TRANS: «Akh, kakaya zhe ya skvernaya, — vinovato podumala Melani.
TRANSLATION: "Oh, what an awful person I am," Melanie thought guiltily.</t>
  </si>
  <si>
    <r>
      <rPr>
        <b/>
        <sz val="11"/>
        <color theme="1"/>
        <rFont val="Arial"/>
      </rPr>
      <t xml:space="preserve">TERM:</t>
    </r>
    <r>
      <rPr>
        <sz val="11"/>
        <color theme="1"/>
        <rFont val="Arial"/>
      </rPr>
      <t xml:space="preserve"> QYSYLU (ҚЫСЫЛУ) — to feel embarrassed; to feel constrained; to be in difficulty [KED, SZK]
</t>
    </r>
    <r>
      <rPr>
        <b/>
        <sz val="11"/>
        <color theme="1"/>
        <rFont val="Arial"/>
      </rPr>
      <t xml:space="preserve">PASSAGE:</t>
    </r>
    <r>
      <rPr>
        <sz val="11"/>
        <color theme="1"/>
        <rFont val="Arial"/>
      </rPr>
      <t xml:space="preserve"> О, тәңірім, мен неткен қызғаншақ едім, - деп ойлады тағы өз ішкі тұжырымдарынан </t>
    </r>
    <r>
      <rPr>
        <b/>
        <sz val="11"/>
        <color theme="1"/>
        <rFont val="Arial"/>
      </rPr>
      <t xml:space="preserve">қысылып</t>
    </r>
    <r>
      <rPr>
        <sz val="11"/>
        <color theme="1"/>
        <rFont val="Arial"/>
      </rPr>
      <t xml:space="preserve"> кеткен Мелани.
</t>
    </r>
    <r>
      <rPr>
        <b/>
        <sz val="11"/>
        <color theme="1"/>
        <rFont val="Arial"/>
      </rPr>
      <t xml:space="preserve">TRANS:</t>
    </r>
    <r>
      <rPr>
        <sz val="11"/>
        <color theme="1"/>
        <rFont val="Arial"/>
      </rPr>
      <t xml:space="preserve"> O, täñırım, men netken qyzğanşaq edım, - dep oilady tağy öz ışkı tūjyrymdarynan </t>
    </r>
    <r>
      <rPr>
        <b/>
        <sz val="11"/>
        <color theme="1"/>
        <rFont val="Arial"/>
      </rPr>
      <t xml:space="preserve">qysylyp</t>
    </r>
    <r>
      <rPr>
        <sz val="11"/>
        <color theme="1"/>
        <rFont val="Arial"/>
      </rPr>
      <t xml:space="preserve"> ketken Melani.
</t>
    </r>
    <r>
      <rPr>
        <b/>
        <sz val="11"/>
        <color theme="1"/>
        <rFont val="Arial"/>
      </rPr>
      <t xml:space="preserve">TRANSLATION:</t>
    </r>
    <r>
      <rPr>
        <sz val="11"/>
        <color theme="1"/>
        <rFont val="Arial"/>
      </rPr>
      <t xml:space="preserve"> "O God, how envious I have been!" — thought Melanie, again </t>
    </r>
    <r>
      <rPr>
        <b/>
        <sz val="11"/>
        <color theme="1"/>
        <rFont val="Arial"/>
      </rPr>
      <t xml:space="preserve">embarrassed</t>
    </r>
    <r>
      <rPr>
        <sz val="11"/>
        <color theme="1"/>
        <rFont val="Arial"/>
      </rPr>
      <t xml:space="preserve"> at her own inner conclusions.</t>
    </r>
  </si>
  <si>
    <t xml:space="preserve">strong felt guilt; inner moral accusation; about eating stolen food</t>
  </si>
  <si>
    <t xml:space="preserve">Pork foraged far, at times not coming home all night, and Scarlett did not ask him where he went. Sometimes he returned with game, sometimes with a few ears of corn, a bag of dried peas. Once he brought home a rooster which he said he found in the woods. The family ate it with relish but a sense of guilt, knowing very well Pork had stolen it, as he had stolen the peas and corn. One night soon after this, he tapped on Scarlett's door long after the house was asleep and sheepishly exhibited a leg peppered with small shot. As she bandaged it for him, he explained awkwardly that when attempting to get into a hen coop at Fayetteville, he had been discovered. Scarlett did not ask whose hen coop but patted Pork's shoulder gently, tears in her eyes.</t>
  </si>
  <si>
    <t xml:space="preserve">Family</t>
  </si>
  <si>
    <t xml:space="preserve">TERM: chuvstva viny (чувства вины) — feeling of guilt (gen.) [ORD] (lemma: вина)
PASSAGE: Они с превеликим аппетитом, но и не без чувства вины прикончили этого петуха, ибо все отлично понимали: петуха Порк украл, так же как горох и кукурузу.
TRANS: Oni s prevelikim appetitom, no i ne bez chuvstva viny prikonchili etogo petukha, ibo vse otlichno ponimali: petukha Pork ukral, tak zhe kak gorokh i kukuruzu.
TRANSLATION: They polished off this rooster with great appetite, but not without a feeling of guilt, for everyone understood perfectly well: Pork had stolen the rooster, just as he had the peas and corn.</t>
  </si>
  <si>
    <r>
      <rPr>
        <b/>
        <sz val="11"/>
        <color theme="1"/>
        <rFont val="Arial"/>
      </rPr>
      <t xml:space="preserve">TERM:</t>
    </r>
    <r>
      <rPr>
        <sz val="11"/>
        <color theme="1"/>
        <rFont val="Arial"/>
      </rPr>
      <t xml:space="preserve"> AİYPTY (АЙЫПТЫ) — guilty [KED, SZK]
</t>
    </r>
    <r>
      <rPr>
        <b/>
        <sz val="11"/>
        <color theme="1"/>
        <rFont val="Arial"/>
      </rPr>
      <t xml:space="preserve">PASSAGE:</t>
    </r>
    <r>
      <rPr>
        <sz val="11"/>
        <color theme="1"/>
        <rFont val="Arial"/>
      </rPr>
      <t xml:space="preserve"> Олар бұл әтешті тамаша тәбетпен жеп алды, бірақ оған қоса әлденеге </t>
    </r>
    <r>
      <rPr>
        <b/>
        <sz val="11"/>
        <color theme="1"/>
        <rFont val="Arial"/>
      </rPr>
      <t xml:space="preserve">айыпты</t>
    </r>
    <r>
      <rPr>
        <sz val="11"/>
        <color theme="1"/>
        <rFont val="Arial"/>
      </rPr>
      <t xml:space="preserve"> сезім де болды, өйткені Порктің бұршақ пен жүгеріні ұрлап әкелгені сияқты әтешті де үптеп кеткенін бәрінің іштері сезді.
</t>
    </r>
    <r>
      <rPr>
        <b/>
        <sz val="11"/>
        <color theme="1"/>
        <rFont val="Arial"/>
      </rPr>
      <t xml:space="preserve">TRANS:</t>
    </r>
    <r>
      <rPr>
        <sz val="11"/>
        <color theme="1"/>
        <rFont val="Arial"/>
      </rPr>
      <t xml:space="preserve"> Olar būl äteştı tamaşa täbetpen jep aldy, bıraq oğan qosa äldenege </t>
    </r>
    <r>
      <rPr>
        <b/>
        <sz val="11"/>
        <color theme="1"/>
        <rFont val="Arial"/>
      </rPr>
      <t xml:space="preserve">aiypty</t>
    </r>
    <r>
      <rPr>
        <sz val="11"/>
        <color theme="1"/>
        <rFont val="Arial"/>
      </rPr>
      <t xml:space="preserve"> sezım de boldy, öitkenı Porktıñ būrşaq pen jügerını ūrlap äkelgenı siaqty äteştı de üptep ketkenın bärınıñ ışterı sezdı.
</t>
    </r>
    <r>
      <rPr>
        <b/>
        <sz val="11"/>
        <color theme="1"/>
        <rFont val="Arial"/>
      </rPr>
      <t xml:space="preserve">TRANSLATION:</t>
    </r>
    <r>
      <rPr>
        <sz val="11"/>
        <color theme="1"/>
        <rFont val="Arial"/>
      </rPr>
      <t xml:space="preserve"> They ate this rooster with wonderful appetite, but along with that there was also a feeling of </t>
    </r>
    <r>
      <rPr>
        <b/>
        <sz val="11"/>
        <color theme="1"/>
        <rFont val="Arial"/>
      </rPr>
      <t xml:space="preserve">guilt</t>
    </r>
    <r>
      <rPr>
        <sz val="11"/>
        <color theme="1"/>
        <rFont val="Arial"/>
      </rPr>
      <t xml:space="preserve">, for everyone inwardly sensed that, just as Pork had stolen the peas and corn, he had taken this rooster too.</t>
    </r>
  </si>
  <si>
    <t xml:space="preserve">Activated by Peter’s severe look (child’s emotion at adult’s judgment)</t>
  </si>
  <si>
    <t xml:space="preserve">"No'm. She's po'ly, thank God," answered Peter, fastening a severe look first on Melly and then on Scarlett, so that they suddenly felt guilty but could think of no reason why. "She's po'ly but she is plum outdone wid you young Misses, an' ef it come right down to it, Ah is too!"</t>
  </si>
  <si>
    <t xml:space="preserve">Melanie-Scarlett</t>
  </si>
  <si>
    <t xml:space="preserve">TERM: provinivshimisya (провинившимися) — those at fault; the guilty ones (instr. pl.) [ORD] (lemma: провиниться)
PASSAGE: Она держится, храни ее господь, — отвечал дядюшка Питер, бросая такой суровый взгляд сначала на Мелани, затем на Скарлетт, что они сразу почувствовали себя провинившимися, хотя еще не отдавали себе отчета — в чем.
TRANS: Ona derzhitsya, khrani ee gospod', — otvechal dyadyushka Piter, brosaya takoy surovyy vzglyad snachala na Melani, zatem na Skarlett, chto oni srazu pochuvstvovali sebya provinivshimisya, khotya eshche ne otdavali sebe otcheta — v chem.
TRANSLATION: She is bearing up, God preserve her, — answered Uncle Peter, casting such a stern look first at Melanie and then at Scarlett that they immediately felt guilty, although they could not yet account to themselves of what.</t>
  </si>
  <si>
    <r>
      <rPr>
        <b/>
        <sz val="11"/>
        <color theme="1"/>
        <rFont val="Arial"/>
      </rPr>
      <t xml:space="preserve">TERM:</t>
    </r>
    <r>
      <rPr>
        <sz val="11"/>
        <color theme="1"/>
        <rFont val="Arial"/>
      </rPr>
      <t xml:space="preserve"> KİNÄLY (КІНӘЛЫ) — guilty; at fault [KED, SZK] (lemma: кінәлі)
</t>
    </r>
    <r>
      <rPr>
        <b/>
        <sz val="11"/>
        <color theme="1"/>
        <rFont val="Arial"/>
      </rPr>
      <t xml:space="preserve">PASSAGE:</t>
    </r>
    <r>
      <rPr>
        <sz val="11"/>
        <color theme="1"/>
        <rFont val="Arial"/>
      </rPr>
      <t xml:space="preserve"> осы сәтте олар не үшін екеніне есеп беріп жатпаса да, өздерін </t>
    </r>
    <r>
      <rPr>
        <b/>
        <sz val="11"/>
        <color theme="1"/>
        <rFont val="Arial"/>
      </rPr>
      <t xml:space="preserve">кінәлі</t>
    </r>
    <r>
      <rPr>
        <sz val="11"/>
        <color theme="1"/>
        <rFont val="Arial"/>
      </rPr>
      <t xml:space="preserve"> сезінді.
</t>
    </r>
    <r>
      <rPr>
        <b/>
        <sz val="11"/>
        <color theme="1"/>
        <rFont val="Arial"/>
      </rPr>
      <t xml:space="preserve">TRANS:</t>
    </r>
    <r>
      <rPr>
        <sz val="11"/>
        <color theme="1"/>
        <rFont val="Arial"/>
      </rPr>
      <t xml:space="preserve"> osy sätte olar ne üşın ekenıne esep berıp jatpasa da, özderın </t>
    </r>
    <r>
      <rPr>
        <b/>
        <sz val="11"/>
        <color theme="1"/>
        <rFont val="Arial"/>
      </rPr>
      <t xml:space="preserve">kınälı</t>
    </r>
    <r>
      <rPr>
        <sz val="11"/>
        <color theme="1"/>
        <rFont val="Arial"/>
      </rPr>
      <t xml:space="preserve"> sezındı.
</t>
    </r>
    <r>
      <rPr>
        <b/>
        <sz val="11"/>
        <color theme="1"/>
        <rFont val="Arial"/>
      </rPr>
      <t xml:space="preserve">TRANSLATION:</t>
    </r>
    <r>
      <rPr>
        <sz val="11"/>
        <color theme="1"/>
        <rFont val="Arial"/>
      </rPr>
      <t xml:space="preserve"> at that moment, although they were not yet giving themselves an account of why, they felt </t>
    </r>
    <r>
      <rPr>
        <b/>
        <sz val="11"/>
        <color theme="1"/>
        <rFont val="Arial"/>
      </rPr>
      <t xml:space="preserve">guilty</t>
    </r>
    <r>
      <rPr>
        <sz val="11"/>
        <color theme="1"/>
        <rFont val="Arial"/>
      </rPr>
      <t xml:space="preserve">.</t>
    </r>
  </si>
  <si>
    <t xml:space="preserve">strong felt guilt; inner moral accusation about what turned out to be slander</t>
  </si>
  <si>
    <t xml:space="preserve">Mrs Elsing</t>
  </si>
  <si>
    <t xml:space="preserve">TERM: stesnyaetes' (стесняетесь) — (you) are shy; feel awkward (2pl.) [ORD] (lemma: стесняться)
PASSAGE: Можно подумать, что вы стесняетесь этого
TRANS: Mozhno podumat', chto vy stesnyaetes' etogo
TRANSLATION: One might think that you are embarrassed by it</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</si>
  <si>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Тіпті сізді сол қызметі үшін </t>
    </r>
    <r>
      <rPr>
        <b/>
        <sz val="11"/>
        <color theme="1"/>
        <rFont val="Arial"/>
      </rPr>
      <t xml:space="preserve">ұялады</t>
    </r>
    <r>
      <rPr>
        <sz val="11"/>
        <color theme="1"/>
        <rFont val="Arial"/>
      </rPr>
      <t xml:space="preserve"> деуге де болатындай.
</t>
    </r>
    <r>
      <rPr>
        <b/>
        <sz val="11"/>
        <color theme="1"/>
        <rFont val="Arial"/>
      </rPr>
      <t xml:space="preserve">TRANS:</t>
    </r>
    <r>
      <rPr>
        <sz val="11"/>
        <color theme="1"/>
        <rFont val="Arial"/>
      </rPr>
      <t xml:space="preserve"> Tıptı sızdı sol qyzmetı üşın </t>
    </r>
    <r>
      <rPr>
        <b/>
        <sz val="11"/>
        <color theme="1"/>
        <rFont val="Arial"/>
      </rPr>
      <t xml:space="preserve">ūialady</t>
    </r>
    <r>
      <rPr>
        <sz val="11"/>
        <color theme="1"/>
        <rFont val="Arial"/>
      </rPr>
      <t xml:space="preserve"> deuge de bolatyndai.
</t>
    </r>
    <r>
      <rPr>
        <b/>
        <sz val="11"/>
        <color theme="1"/>
        <rFont val="Arial"/>
      </rPr>
      <t xml:space="preserve">TRANSLATION:</t>
    </r>
    <r>
      <rPr>
        <sz val="11"/>
        <color theme="1"/>
        <rFont val="Arial"/>
      </rPr>
      <t xml:space="preserve"> One could even say you are </t>
    </r>
    <r>
      <rPr>
        <b/>
        <sz val="11"/>
        <color theme="1"/>
        <rFont val="Arial"/>
      </rPr>
      <t xml:space="preserve">ashamed</t>
    </r>
    <r>
      <rPr>
        <sz val="11"/>
        <color theme="1"/>
        <rFont val="Arial"/>
      </rPr>
      <t xml:space="preserve"> of that service.</t>
    </r>
  </si>
  <si>
    <t xml:space="preserve">Guilty conscience</t>
  </si>
  <si>
    <t xml:space="preserve">TERM: sovest' (совесть) — conscience; the inner moral faculty [ORD]
PASSAGE: Или, быть может, так ей казалось из-за нечистой совести?
TRANS: Ili, byt' mozhet, tak ey kazalos' iz-za nechistoy sovesti?
TRANSLATION: Or perhaps it seemed so to her because of her unclean conscience?</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</si>
  <si>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Әлде өзінің </t>
    </r>
    <r>
      <rPr>
        <b/>
        <sz val="11"/>
        <color theme="1"/>
        <rFont val="Arial"/>
      </rPr>
      <t xml:space="preserve">ұяты</t>
    </r>
    <r>
      <rPr>
        <sz val="11"/>
        <color theme="1"/>
        <rFont val="Arial"/>
      </rPr>
      <t xml:space="preserve"> таза болмаған соң да солай көрінді ме екен?
</t>
    </r>
    <r>
      <rPr>
        <b/>
        <sz val="11"/>
        <color theme="1"/>
        <rFont val="Arial"/>
      </rPr>
      <t xml:space="preserve">TRANS:</t>
    </r>
    <r>
      <rPr>
        <sz val="11"/>
        <color theme="1"/>
        <rFont val="Arial"/>
      </rPr>
      <t xml:space="preserve"> Älde özınıñ </t>
    </r>
    <r>
      <rPr>
        <b/>
        <sz val="11"/>
        <color theme="1"/>
        <rFont val="Arial"/>
      </rPr>
      <t xml:space="preserve">ūiaty</t>
    </r>
    <r>
      <rPr>
        <sz val="11"/>
        <color theme="1"/>
        <rFont val="Arial"/>
      </rPr>
      <t xml:space="preserve"> taza bolmağan soñ da solai körındı me eken?
</t>
    </r>
    <r>
      <rPr>
        <b/>
        <sz val="11"/>
        <color theme="1"/>
        <rFont val="Arial"/>
      </rPr>
      <t xml:space="preserve">TRANSLATION:</t>
    </r>
    <r>
      <rPr>
        <sz val="11"/>
        <color theme="1"/>
        <rFont val="Arial"/>
      </rPr>
      <t xml:space="preserve"> Or did it seem so to her because her own </t>
    </r>
    <r>
      <rPr>
        <b/>
        <sz val="11"/>
        <color theme="1"/>
        <rFont val="Arial"/>
      </rPr>
      <t xml:space="preserve">shame</t>
    </r>
    <r>
      <rPr>
        <sz val="11"/>
        <color theme="1"/>
        <rFont val="Arial"/>
      </rPr>
      <t xml:space="preserve"> was not clean?</t>
    </r>
  </si>
  <si>
    <t xml:space="preserve">Guilt — Guilt as deed</t>
  </si>
  <si>
    <t xml:space="preserve">Deed</t>
  </si>
  <si>
    <t xml:space="preserve">If we had been caught that Christmas of his furlough when I kissed him good-by—if we had been caught in the orchard at Tara when I begged him to run away with me—oh, if we'd been caught any of the times when we were really guilty, it wouldn't be so bad! But now! Now! When I went to his arms as a friend—</t>
  </si>
  <si>
    <t xml:space="preserve">TERM: vinovaty (виноваты) — (we/they are) at fault (pl.) [ORD] (lemma: виноватый)
PASSAGE: ох, если бы нас застигли в любое другое время, когда мы были в самом деле виноваты, это не было бы так обидно!
TRANS: okh, esli by nas zastigli v lyuboe drugoe vremya, kogda my byli v samom dele vinovaty, eto ne bylo by tak obidno!
TRANSLATION: oh, if we had been caught at any other time, when we really were guilty, it would not have been so distressing!</t>
  </si>
  <si>
    <r>
      <rPr>
        <b/>
        <sz val="11"/>
        <color theme="1"/>
        <rFont val="Arial"/>
      </rPr>
      <t xml:space="preserve">TERM:</t>
    </r>
    <r>
      <rPr>
        <sz val="11"/>
        <color theme="1"/>
        <rFont val="Arial"/>
      </rPr>
      <t xml:space="preserve"> KİNÄLY (КІНӘЛЫ) — guilty; at fault [KED, SZK] (lemma: кінәлі)
</t>
    </r>
    <r>
      <rPr>
        <b/>
        <sz val="11"/>
        <color theme="1"/>
        <rFont val="Arial"/>
      </rPr>
      <t xml:space="preserve">PASSAGE:</t>
    </r>
    <r>
      <rPr>
        <sz val="11"/>
        <color theme="1"/>
        <rFont val="Arial"/>
      </rPr>
      <t xml:space="preserve"> Әскерде жүргенде жаңа жылға келіп-кетерінде бетінен сүйгенімді көргенде ғой... Тарада менімен бірге қашуға азғырып тұрғанымда... ой, құдайым-ай, шынымен </t>
    </r>
    <r>
      <rPr>
        <b/>
        <sz val="11"/>
        <color theme="1"/>
        <rFont val="Arial"/>
      </rPr>
      <t xml:space="preserve">кінәлі</t>
    </r>
    <r>
      <rPr>
        <sz val="11"/>
        <color theme="1"/>
        <rFont val="Arial"/>
      </rPr>
      <t xml:space="preserve"> кезімізде көргендерінде бұлай өкінішті болмас еді ғой.
</t>
    </r>
    <r>
      <rPr>
        <b/>
        <sz val="11"/>
        <color theme="1"/>
        <rFont val="Arial"/>
      </rPr>
      <t xml:space="preserve">TRANS:</t>
    </r>
    <r>
      <rPr>
        <sz val="11"/>
        <color theme="1"/>
        <rFont val="Arial"/>
      </rPr>
      <t xml:space="preserve"> Äskerde jürgende jaña jylğa kelıp-keterınde betınen süigenımdı körgende ğoi... Tarada menımen bırge qaşuğa azğyryp tūrğanymda... oi, qūdaiym-ai, şynymen </t>
    </r>
    <r>
      <rPr>
        <b/>
        <sz val="11"/>
        <color theme="1"/>
        <rFont val="Arial"/>
      </rPr>
      <t xml:space="preserve">kınälı</t>
    </r>
    <r>
      <rPr>
        <sz val="11"/>
        <color theme="1"/>
        <rFont val="Arial"/>
      </rPr>
      <t xml:space="preserve"> kezımızde körgenderınde būlai ökınıştı bolmas edı ğoi.
</t>
    </r>
    <r>
      <rPr>
        <b/>
        <sz val="11"/>
        <color theme="1"/>
        <rFont val="Arial"/>
      </rPr>
      <t xml:space="preserve">TRANSLATION:</t>
    </r>
    <r>
      <rPr>
        <sz val="11"/>
        <color theme="1"/>
        <rFont val="Arial"/>
      </rPr>
      <t xml:space="preserve"> When I kissed his face on his return for New Year while he was on military leave... When in Tara he was tempting me to run away with him... oh, my God, if we had been caught when we really were </t>
    </r>
    <r>
      <rPr>
        <b/>
        <sz val="11"/>
        <color theme="1"/>
        <rFont val="Arial"/>
      </rPr>
      <t xml:space="preserve">guilty</t>
    </r>
    <r>
      <rPr>
        <sz val="11"/>
        <color theme="1"/>
        <rFont val="Arial"/>
      </rPr>
      <t xml:space="preserve">, it would not have been so distressing.</t>
    </r>
  </si>
  <si>
    <t xml:space="preserve">deed</t>
  </si>
  <si>
    <t xml:space="preserve">But no one would believe that. She wouldn't have a single friend to take her part, not a single voice would be raised to say: "I don't believe she was doing anything wrong." She had outraged old friends too long to find a champion among them now. Her new friends, suffering in silence under her insolences, would welcome a chance to blackguard her. No, everybody would believe anything about her, though they might regret that so fine a man as Ashley Wilkes was mixed up in so dirty an affair. As usual they would cast the blame upon the woman and shrug at the man's guilt. And in this case they would be right. She had gone into his arms.</t>
  </si>
  <si>
    <t xml:space="preserve">TERM: vina (вина) — guilt; fault; blame [ORD]
PASSAGE: По обыкновению, всю вину свалят на женщину, а по поводу мужчины лишь пожмут плечами.
TRANS: Po obyknoveniyu, vsyu vinu svalyat na zhenshchinu, a po povodu muzhchiny lish' pozhmut plechami.
TRANSLATION: As usual, all the blame will be heaped on the woman, while regarding the man they will only shrug.</t>
  </si>
  <si>
    <r>
      <rPr>
        <b/>
        <sz val="11"/>
        <color theme="1"/>
        <rFont val="Arial"/>
      </rPr>
      <t xml:space="preserve">TERM:</t>
    </r>
    <r>
      <rPr>
        <sz val="11"/>
        <color theme="1"/>
        <rFont val="Arial"/>
      </rPr>
      <t xml:space="preserve"> KİNÄ (КІНӘ) — guilt; fault; blame (secular) [KED, SZK]
</t>
    </r>
    <r>
      <rPr>
        <b/>
        <sz val="11"/>
        <color theme="1"/>
        <rFont val="Arial"/>
      </rPr>
      <t xml:space="preserve">PASSAGE:</t>
    </r>
    <r>
      <rPr>
        <sz val="11"/>
        <color theme="1"/>
        <rFont val="Arial"/>
      </rPr>
      <t xml:space="preserve"> Әдеттегіше, бар </t>
    </r>
    <r>
      <rPr>
        <b/>
        <sz val="11"/>
        <color theme="1"/>
        <rFont val="Arial"/>
      </rPr>
      <t xml:space="preserve">кінәні</t>
    </r>
    <r>
      <rPr>
        <sz val="11"/>
        <color theme="1"/>
        <rFont val="Arial"/>
      </rPr>
      <t xml:space="preserve"> әйелге аударады да, еркек туралы айтылғанда тек иықтарын қиқаң еткізер де қояр.
</t>
    </r>
    <r>
      <rPr>
        <b/>
        <sz val="11"/>
        <color theme="1"/>
        <rFont val="Arial"/>
      </rPr>
      <t xml:space="preserve">TRANS:</t>
    </r>
    <r>
      <rPr>
        <sz val="11"/>
        <color theme="1"/>
        <rFont val="Arial"/>
      </rPr>
      <t xml:space="preserve"> Ädettegışe, bar </t>
    </r>
    <r>
      <rPr>
        <b/>
        <sz val="11"/>
        <color theme="1"/>
        <rFont val="Arial"/>
      </rPr>
      <t xml:space="preserve">kınänı</t>
    </r>
    <r>
      <rPr>
        <sz val="11"/>
        <color theme="1"/>
        <rFont val="Arial"/>
      </rPr>
      <t xml:space="preserve"> äielge audarady da, erkek turaly aitylğanda tek iyqtaryn qiqañ etkızer de qoiar.
</t>
    </r>
    <r>
      <rPr>
        <b/>
        <sz val="11"/>
        <color theme="1"/>
        <rFont val="Arial"/>
      </rPr>
      <t xml:space="preserve">TRANSLATION:</t>
    </r>
    <r>
      <rPr>
        <sz val="11"/>
        <color theme="1"/>
        <rFont val="Arial"/>
      </rPr>
      <t xml:space="preserve"> As usual, all the </t>
    </r>
    <r>
      <rPr>
        <b/>
        <sz val="11"/>
        <color theme="1"/>
        <rFont val="Arial"/>
      </rPr>
      <t xml:space="preserve">blame</t>
    </r>
    <r>
      <rPr>
        <sz val="11"/>
        <color theme="1"/>
        <rFont val="Arial"/>
      </rPr>
      <t xml:space="preserve"> is shifted onto the woman, while regarding the man they will only shrug their shoulders.</t>
    </r>
  </si>
  <si>
    <t xml:space="preserve">Those who espoused Melanie's side pointed triumphantly to the fact that Melanie was constantly with Scarlett these days. Would a woman of Melanie's high principles champion the cause of a guilty woman, especially a woman guilty with her own husband? No, indeed! India was just a cracked old maid who hated Scarlett and lied about her and induced Archie and Mrs. Elsing to believe her lies.</t>
  </si>
  <si>
    <t xml:space="preserve">TERM: sogreshivshuyu (согрешившую) — the one who sinned (active part. fem. acc.) [ORD] (lemma: согрешить)
PASSAGE: Неужели такая женщина, как Мелани, исповедующая столь высокие принципы, станет защищать женщину согрешившую,
TRANS: Neuzheli takaya zhenshchina, kak Melani, ispoveduyushchaya stol' vysokie printsipy, stanet zashchishchat' zhenshchinu sogreshivshuyu,
TRANSLATION: Could it be that a woman like Melanie, who professes such high principles, would defend a sinful woman,</t>
  </si>
  <si>
    <r>
      <rPr>
        <b/>
        <sz val="11"/>
        <color theme="1"/>
        <rFont val="Arial"/>
      </rPr>
      <t xml:space="preserve">TERM:</t>
    </r>
    <r>
      <rPr>
        <sz val="11"/>
        <color theme="1"/>
        <rFont val="Arial"/>
      </rPr>
      <t xml:space="preserve"> künähar (күнәһар) — sinful [KED, SZK]
</t>
    </r>
    <r>
      <rPr>
        <b/>
        <sz val="11"/>
        <color theme="1"/>
        <rFont val="Arial"/>
      </rPr>
      <t xml:space="preserve">PASSAGE:</t>
    </r>
    <r>
      <rPr>
        <sz val="11"/>
        <color theme="1"/>
        <rFont val="Arial"/>
      </rPr>
      <t xml:space="preserve"> Таным-түсінігі тым жоғары, адалдықты биік бағалайтын Мелани секілді әйел қалайша Скарлеттей </t>
    </r>
    <r>
      <rPr>
        <b/>
        <sz val="11"/>
        <color theme="1"/>
        <rFont val="Arial"/>
      </rPr>
      <t xml:space="preserve">күнәһар</t>
    </r>
    <r>
      <rPr>
        <sz val="11"/>
        <color theme="1"/>
        <rFont val="Arial"/>
      </rPr>
      <t xml:space="preserve"> әйелді қолдап, қорғаштайды,
</t>
    </r>
    <r>
      <rPr>
        <b/>
        <sz val="11"/>
        <color theme="1"/>
        <rFont val="Arial"/>
      </rPr>
      <t xml:space="preserve">TRANS:</t>
    </r>
    <r>
      <rPr>
        <sz val="11"/>
        <color theme="1"/>
        <rFont val="Arial"/>
      </rPr>
      <t xml:space="preserve"> Tanym-tüsınıgı tym joğary, adaldyqty biık bağalaityn Melani sekıldı äiel qalaişa Skarlettei </t>
    </r>
    <r>
      <rPr>
        <b/>
        <sz val="11"/>
        <color theme="1"/>
        <rFont val="Arial"/>
      </rPr>
      <t xml:space="preserve">künähar</t>
    </r>
    <r>
      <rPr>
        <sz val="11"/>
        <color theme="1"/>
        <rFont val="Arial"/>
      </rPr>
      <t xml:space="preserve"> äieldı qoldap, qorğaştaidy,
</t>
    </r>
    <r>
      <rPr>
        <b/>
        <sz val="11"/>
        <color theme="1"/>
        <rFont val="Arial"/>
      </rPr>
      <t xml:space="preserve">TRANSLATION:</t>
    </r>
    <r>
      <rPr>
        <sz val="11"/>
        <color theme="1"/>
        <rFont val="Arial"/>
      </rPr>
      <t xml:space="preserve"> How is it that a woman like Melanie, of such lofty understanding, who values integrity highly, would support and protect such a </t>
    </r>
    <r>
      <rPr>
        <b/>
        <sz val="11"/>
        <color theme="1"/>
        <rFont val="Arial"/>
      </rPr>
      <t xml:space="preserve">sinful</t>
    </r>
    <r>
      <rPr>
        <sz val="11"/>
        <color theme="1"/>
        <rFont val="Arial"/>
      </rPr>
      <t xml:space="preserve"> woman as Scarlett,</t>
    </r>
  </si>
  <si>
    <t xml:space="preserve">But, questioned India's adherents, if Scarlett isn't guilty, where is Captain Butler? Why isn't he here at his wife's side, lending her the strength of his countenance? That was an unanswerable question and, as the weeks went by and the rumor spread that Scarlett was pregnant, the pro-India group nodded with satisfaction. It couldn't be Captain Butler's baby, they said. For too long the fact of their estrangement had been public property. For too long the town had been scandalized by the separate bedrooms.</t>
  </si>
  <si>
    <t xml:space="preserve">TERM: povinna (повинна) — (she is) guilty; at fault (short form fem.) [ORD] (lemma: повинный)
PASSAGE: Но, спрашивали сторонники Индии, если Скарлетт ни в чем не повинна, где же тогда капитан Батлер?
TRANS: No, sprashivali storonniki Indii, esli Skarlett ni v chem ne povinna, gde zhe togda kapitan Batler?
TRANSLATION: But, asked India's supporters, if Scarlett is guilty of nothing, then where is Captain Butler?</t>
  </si>
  <si>
    <r>
      <rPr>
        <b/>
        <sz val="11"/>
        <color theme="1"/>
        <rFont val="Arial"/>
      </rPr>
      <t xml:space="preserve">TERM:</t>
    </r>
    <r>
      <rPr>
        <sz val="11"/>
        <color theme="1"/>
        <rFont val="Arial"/>
      </rPr>
      <t xml:space="preserve"> BEİKÜNÄ (БЕЙКҮНӘ) — innocent; without sin (Persian bey- privative) [KED, SZK]
</t>
    </r>
    <r>
      <rPr>
        <b/>
        <sz val="11"/>
        <color theme="1"/>
        <rFont val="Arial"/>
      </rPr>
      <t xml:space="preserve">PASSAGE:</t>
    </r>
    <r>
      <rPr>
        <sz val="11"/>
        <color theme="1"/>
        <rFont val="Arial"/>
      </rPr>
      <t xml:space="preserve"> Бірақ Индияны жақтаушылардың көкейіне Скарлетт </t>
    </r>
    <r>
      <rPr>
        <b/>
        <sz val="11"/>
        <color theme="1"/>
        <rFont val="Arial"/>
      </rPr>
      <t xml:space="preserve">бейкүнә</t>
    </r>
    <r>
      <rPr>
        <sz val="11"/>
        <color theme="1"/>
        <rFont val="Arial"/>
      </rPr>
      <t xml:space="preserve"> періште болса, неше күннен бері қарасы көрінбей, Батлер капитан қайда кетіп қалған деген сұрақ тұрды. 
</t>
    </r>
    <r>
      <rPr>
        <b/>
        <sz val="11"/>
        <color theme="1"/>
        <rFont val="Arial"/>
      </rPr>
      <t xml:space="preserve">TRANS:</t>
    </r>
    <r>
      <rPr>
        <sz val="11"/>
        <color theme="1"/>
        <rFont val="Arial"/>
      </rPr>
      <t xml:space="preserve"> Bıraq İndiany jaqtauşylardyñ kökeiıne Skarlett beikünä perışte bolsa, neşe künnen berı qarasy körınbei, Batler kapitan qaida ketıp qalğan degen sūraq tūrdy. 
</t>
    </r>
    <r>
      <rPr>
        <b/>
        <sz val="11"/>
        <color theme="1"/>
        <rFont val="Arial"/>
      </rPr>
      <t xml:space="preserve">TRANSLATION:</t>
    </r>
    <r>
      <rPr>
        <sz val="11"/>
        <color theme="1"/>
        <rFont val="Arial"/>
      </rPr>
      <t xml:space="preserve"> But India's supporters were left with the question: if Scarlett is an innocent angel, why has Captain Butler been nowhere in sight for so many days, where has he gone?</t>
    </r>
  </si>
  <si>
    <t xml:space="preserve">Scarlett interprets Melanie’s look as one of a guilty child – after taking money for the cause from Belle</t>
  </si>
  <si>
    <t xml:space="preserve">As she struggled with her bushy, obstinate locks, perspiration beading her forehead, she heard light running feet in the downstairs hall and knew that Melanie was home from the hospital. As she heard her fly up the stairs, two at a time, she paused, hairpin in mid-air, realizing that something must be wrong, for Melanie always moved as decorously as a dowager. She went to the door and threw it open, and Melanie ran in, her face flushed and frightened, looking like a guilty child.</t>
  </si>
  <si>
    <t xml:space="preserve">TERM: nashkodivshego (нашкодившего) — the naughty/mischievous one (active part. masc. gen.) [ORD] (lemma: нашкодить)
PASSAGE: Скарлетт поспешила к двери, распахнула ее, и Мелани, перепуганная, с пылающими щеками, вбежала в комнату, глядя на Скарлетт молящими глазами нашкодившего ребенка.
TRANS: Skarlett pospeshila k dveri, raspakhnula ee, i Melani, perepugannaya, s pylayushchimi shchekami, vbezhala v komnatu, glyadya na Skarlett molyashchimi glazami nashkodivshego rebenka.
TRANSLATION: Scarlett hurried to the door, flung it open, and Melanie, frightened, with burning cheeks, ran into the room, looking at Scarlett with the imploring eyes of a mischief-doing child.</t>
  </si>
  <si>
    <r>
      <rPr>
        <b/>
        <sz val="11"/>
        <color theme="1"/>
        <rFont val="Arial"/>
      </rPr>
      <t xml:space="preserve">TERM:</t>
    </r>
    <r>
      <rPr>
        <sz val="11"/>
        <color theme="1"/>
        <rFont val="Arial"/>
      </rPr>
      <t xml:space="preserve"> būzyq (бұзық) — naughty; mischievous; (of child) ill-behaved [KED, SZK]
</t>
    </r>
    <r>
      <rPr>
        <b/>
        <sz val="11"/>
        <color theme="1"/>
        <rFont val="Arial"/>
      </rPr>
      <t xml:space="preserve">PASSAGE:бұзық баланың бірдеңе бүлдіргендегі жалынышты көзімен Скарлеттке қарады.
TRANS:būzyq balanyñ bırdeñe büldırgendegı jalynyşty közımen Skarlettke qarady.
TRANSLATION: she looked at Scarlett with the imploring eyes of a naughty child who had broken something.</t>
    </r>
  </si>
  <si>
    <t xml:space="preserve">CONSCIENCE DOMAIN</t>
  </si>
  <si>
    <t xml:space="preserve">Conscience — Internal authority (advisor / opponent)</t>
  </si>
  <si>
    <t xml:space="preserve">Ellen as internalized conscience; Melanie as moral mirror; desire for penance and repair</t>
  </si>
  <si>
    <t xml:space="preserve">She was driven by a conscience which, though long suppressed, could still rise up, an active Catholic conscience. "Confess your sins and do penance for them in sorrow and contrition," Ellen had told her a hundred times and, in this crisis, Ellen's religious training came back and gripped her. She would confess—yes, everything, every look and word, those few caresses—and then God would ease her pain and give her peace. And, for her penance, there would be the dreadful sight of Melanie's face changing from fond love and trust to incredulous horror and repulsion. Oh, that was too hard a penance, she thought in anguish, to have to live out her life remembering Melanie's face, knowing that Melanie knew all the pettiness, the meanness, the two-faced disloyalty and the hypocrisy that were in her.</t>
  </si>
  <si>
    <t xml:space="preserve">TERM: sovest' (совесть) — conscience; the inner moral faculty [ORD]
PASSAGE: К такому шагу Скарлетт побуждала совесть, которая хоть и долго молчала, но все еще способна была поднять голос, — совесть истинно верующей католички.
TRANS: K takomu shagu Skarlett pobuzhdala sovest', kotoraya khot' i dolgo molchala, no vse eshche sposobna byla podnyat' golos, — sovest' istinno veruyushchey katolichki.
TRANSLATION: Scarlett was urged to such a step by a conscience that, although it had been silent for a long time, was still capable of raising its voice — the conscience of a true believing Catholic.</t>
  </si>
  <si>
    <r>
      <rPr>
        <b/>
        <sz val="11"/>
        <color theme="1"/>
        <rFont val="Arial"/>
      </rPr>
      <t xml:space="preserve">TERM:</t>
    </r>
    <r>
      <rPr>
        <sz val="11"/>
        <color theme="1"/>
        <rFont val="Arial"/>
      </rPr>
      <t xml:space="preserve"> AR-ŪİAT(АР-ҰЯТ) — conscience-shame (compound): the active inner moral faculty [KED, SZK]
</t>
    </r>
    <r>
      <rPr>
        <b/>
        <sz val="11"/>
        <color theme="1"/>
        <rFont val="Arial"/>
      </rPr>
      <t xml:space="preserve">PASSAGE:</t>
    </r>
    <r>
      <rPr>
        <sz val="11"/>
        <color theme="1"/>
        <rFont val="Arial"/>
      </rPr>
      <t xml:space="preserve"> Баяғыдан бері бұғып жатқанымен, ақыры өзінің бар екенін, бас көтеретін уақыты келгенін білдерген </t>
    </r>
    <r>
      <rPr>
        <b/>
        <sz val="11"/>
        <color theme="1"/>
        <rFont val="Arial"/>
      </rPr>
      <t xml:space="preserve">ар-ұяты</t>
    </r>
    <r>
      <rPr>
        <sz val="11"/>
        <color theme="1"/>
        <rFont val="Arial"/>
      </rPr>
      <t xml:space="preserve"> Скарлетті осы қадамға жетелейтін. Жүрегінің түкпірінде шынайы католиктік сенімі:
</t>
    </r>
    <r>
      <rPr>
        <b/>
        <sz val="11"/>
        <color theme="1"/>
        <rFont val="Arial"/>
      </rPr>
      <t xml:space="preserve">TRANS:</t>
    </r>
    <r>
      <rPr>
        <sz val="11"/>
        <color theme="1"/>
        <rFont val="Arial"/>
      </rPr>
      <t xml:space="preserve"> Baiağydan berı būğyp jatqanymen, aqyry özınıñ bar ekenın, bas köteretın uaqyty kelgenın bıldergen </t>
    </r>
    <r>
      <rPr>
        <b/>
        <sz val="11"/>
        <color theme="1"/>
        <rFont val="Arial"/>
      </rPr>
      <t xml:space="preserve">ar-ūiaty</t>
    </r>
    <r>
      <rPr>
        <sz val="11"/>
        <color theme="1"/>
        <rFont val="Arial"/>
      </rPr>
      <t xml:space="preserve"> Skarlettı osy qadamğa jeteleitın. Jüregınıñ tükpırınde şynaiy katoliktık senımı:
</t>
    </r>
    <r>
      <rPr>
        <b/>
        <sz val="11"/>
        <color theme="1"/>
        <rFont val="Arial"/>
      </rPr>
      <t xml:space="preserve">TRANSLATION:</t>
    </r>
    <r>
      <rPr>
        <sz val="11"/>
        <color theme="1"/>
        <rFont val="Arial"/>
      </rPr>
      <t xml:space="preserve"> Although it had been hiding for a long time, her </t>
    </r>
    <r>
      <rPr>
        <b/>
        <sz val="11"/>
        <color theme="1"/>
        <rFont val="Arial"/>
      </rPr>
      <t xml:space="preserve">conscience</t>
    </r>
    <r>
      <rPr>
        <sz val="11"/>
        <color theme="1"/>
        <rFont val="Arial"/>
      </rPr>
      <t xml:space="preserve"> — finally signaling its existence and that the time to raise its head had come — was leading Scarlett to this step. In the depths of her heart, her sincere Catholic faith:</t>
    </r>
  </si>
  <si>
    <t xml:space="preserve">Inner moral advisor and judge</t>
  </si>
  <si>
    <t xml:space="preserve">Gerald shoved in all his chips and laid on top of them his wallet. If the money it contained happened to belong to the firm of O'Hara Brothers, Gerald's conscience was not sufficiently troubled to confess it before Mass the following morning. He knew what he wanted, and when Gerald wanted something he gained it by taking the most direct route.</t>
  </si>
  <si>
    <t xml:space="preserve">TERM: sovest' (совесть) — conscience; the inner moral faculty [ORD]
PASSAGE: Тот факт, что содержимое бумажника являлось собственностью фирмы братьев О'Хара, не слишком обременял совесть Джералда, и каяться в своем грехе завтра перед утренней мессой он не собирался.
TRANS: Tot fakt, chto soderzhimoe bumazhnika yavlyalos' sobstvennost'yu firmy brat'ev O'Khara, ne slishkom obremenyal sovest' Dzheralda, i kayat'sya v svoem grekhe zavtra pered utrenney messoy on ne sobiralsya.
TRANSLATION: The fact that the contents of the wallet were the property of the firm of the O'Hara brothers did not weigh too heavily on Gerald's conscience, and he was not planning to repent of his sin tomorrow before morning Mass.</t>
  </si>
  <si>
    <r>
      <rPr>
        <b/>
        <sz val="11"/>
        <color theme="1"/>
        <rFont val="Arial"/>
      </rPr>
      <t xml:space="preserve">TERM:</t>
    </r>
    <r>
      <rPr>
        <sz val="11"/>
        <color theme="1"/>
        <rFont val="Arial"/>
      </rPr>
      <t xml:space="preserve"> AR-ŪİAT (АР-ҰЯТ) — conscience-shame (compound): the active inner moral faculty [KED, SZK]
</t>
    </r>
    <r>
      <rPr>
        <b/>
        <sz val="11"/>
        <color theme="1"/>
        <rFont val="Arial"/>
      </rPr>
      <t xml:space="preserve">PASSAGE:</t>
    </r>
    <r>
      <rPr>
        <sz val="11"/>
        <color theme="1"/>
        <rFont val="Arial"/>
      </rPr>
      <t xml:space="preserve"> ... Джералдтың </t>
    </r>
    <r>
      <rPr>
        <b/>
        <sz val="11"/>
        <color theme="1"/>
        <rFont val="Arial"/>
      </rPr>
      <t xml:space="preserve">ар-ұятын</t>
    </r>
    <r>
      <rPr>
        <sz val="11"/>
        <color theme="1"/>
        <rFont val="Arial"/>
      </rPr>
      <t xml:space="preserve"> мазаламады
</t>
    </r>
    <r>
      <rPr>
        <b/>
        <sz val="11"/>
        <color theme="1"/>
        <rFont val="Arial"/>
      </rPr>
      <t xml:space="preserve">TRANS:</t>
    </r>
    <r>
      <rPr>
        <sz val="11"/>
        <color theme="1"/>
        <rFont val="Arial"/>
      </rPr>
      <t xml:space="preserve"> ... Jeraldtyñ </t>
    </r>
    <r>
      <rPr>
        <b/>
        <sz val="11"/>
        <color theme="1"/>
        <rFont val="Arial"/>
      </rPr>
      <t xml:space="preserve">ar-ūiatyn </t>
    </r>
    <r>
      <rPr>
        <sz val="11"/>
        <color theme="1"/>
        <rFont val="Arial"/>
      </rPr>
      <t xml:space="preserve">mazalamady
</t>
    </r>
    <r>
      <rPr>
        <b/>
        <sz val="11"/>
        <color theme="1"/>
        <rFont val="Arial"/>
      </rPr>
      <t xml:space="preserve">TRANSLATION:</t>
    </r>
    <r>
      <rPr>
        <sz val="11"/>
        <color theme="1"/>
        <rFont val="Arial"/>
      </rPr>
      <t xml:space="preserve"> ... did not trouble Gerald's </t>
    </r>
    <r>
      <rPr>
        <b/>
        <sz val="11"/>
        <color theme="1"/>
        <rFont val="Arial"/>
      </rPr>
      <t xml:space="preserve">conscience</t>
    </r>
    <r>
      <rPr>
        <sz val="11"/>
        <color theme="1"/>
        <rFont val="Arial"/>
      </rPr>
      <t xml:space="preserve">.</t>
    </r>
  </si>
  <si>
    <t xml:space="preserve">conscience as internal debating partner — argued away (early arc)</t>
  </si>
  <si>
    <t xml:space="preserve">"Well, it's true," she argued with her conscience. "Everybody carries on like they were holy and they aren't anything but men, and mighty unattractive looking ones at that."</t>
  </si>
  <si>
    <t xml:space="preserve">TERM: sovest'yu (совестью) — conscience (instrumental) [ORD] (lemma: совесть)
PASSAGE: «Но ведь это же в самом деле так, — вступила она в спор с собственной совестью.
TRANS: «No ved' eto zhe v samom dele tak, — vstupila ona v spor s sobstvennoy sovest'yu.
TRANSLATION: "But it really is so," she entered into argument with her own conscience.</t>
  </si>
  <si>
    <r>
      <rPr>
        <b/>
        <sz val="11"/>
        <color theme="1"/>
        <rFont val="Arial"/>
      </rPr>
      <t xml:space="preserve">TERM:</t>
    </r>
    <r>
      <rPr>
        <sz val="11"/>
        <color theme="1"/>
        <rFont val="Arial"/>
      </rPr>
      <t xml:space="preserve"> AR-OJDAN (АР-ОЖДАН) — conscience (compound from Arabic wijdān): the inalienable inner tribunal [KED, SZK]
</t>
    </r>
    <r>
      <rPr>
        <b/>
        <sz val="11"/>
        <color theme="1"/>
        <rFont val="Arial"/>
      </rPr>
      <t xml:space="preserve">PASSAGE:</t>
    </r>
    <r>
      <rPr>
        <sz val="11"/>
        <color theme="1"/>
        <rFont val="Arial"/>
      </rPr>
      <t xml:space="preserve"> "Бірақ бұл шынымен де солай", - деді ол өз</t>
    </r>
    <r>
      <rPr>
        <b/>
        <sz val="11"/>
        <color theme="1"/>
        <rFont val="Arial"/>
      </rPr>
      <t xml:space="preserve"> ар-ұжданымен </t>
    </r>
    <r>
      <rPr>
        <sz val="11"/>
        <color theme="1"/>
        <rFont val="Arial"/>
      </rPr>
      <t xml:space="preserve">дауласып.
</t>
    </r>
    <r>
      <rPr>
        <b/>
        <sz val="11"/>
        <color theme="1"/>
        <rFont val="Arial"/>
      </rPr>
      <t xml:space="preserve">TRANS:</t>
    </r>
    <r>
      <rPr>
        <sz val="11"/>
        <color theme="1"/>
        <rFont val="Arial"/>
      </rPr>
      <t xml:space="preserve"> "Bıraq būl şynymen de solai", - dedı ol öz </t>
    </r>
    <r>
      <rPr>
        <b/>
        <sz val="11"/>
        <color theme="1"/>
        <rFont val="Arial"/>
      </rPr>
      <t xml:space="preserve">ar-ūjdanymen </t>
    </r>
    <r>
      <rPr>
        <sz val="11"/>
        <color theme="1"/>
        <rFont val="Arial"/>
      </rPr>
      <t xml:space="preserve">daulasyp.
</t>
    </r>
    <r>
      <rPr>
        <b/>
        <sz val="11"/>
        <color theme="1"/>
        <rFont val="Arial"/>
      </rPr>
      <t xml:space="preserve">TRANSLATION:</t>
    </r>
    <r>
      <rPr>
        <sz val="11"/>
        <color theme="1"/>
        <rFont val="Arial"/>
      </rPr>
      <t xml:space="preserve"> "But this really is so," — she said, arguing with her own </t>
    </r>
    <r>
      <rPr>
        <b/>
        <sz val="11"/>
        <color theme="1"/>
        <rFont val="Arial"/>
      </rPr>
      <t xml:space="preserve">conscience</t>
    </r>
    <r>
      <rPr>
        <sz val="11"/>
        <color theme="1"/>
        <rFont val="Arial"/>
      </rPr>
      <t xml:space="preserve">.</t>
    </r>
  </si>
  <si>
    <t xml:space="preserve">conscience battles desire for money — equal contest; loses</t>
  </si>
  <si>
    <t xml:space="preserve">As she drove off down the path to the Decatur road her conscience battled with her desire for money. She knew she had no business exposing human lives to the hard little man's mercies. If he should cause the death of one of them she would be as guilty as he was, for she had kept him in charge after learning of his brutalities. But, on the other hand—well, on the other hand, men had no business getting to be convicts. If they broke laws and got caught, then they deserved what they got. This partly salved her conscience but as she drove down the road the dull thin faces of the convicts would keep coming back into her mind.</t>
  </si>
  <si>
    <t xml:space="preserve">TERM: sovest' (совесть) — conscience; the inner moral faculty [ORD]
PASSAGE: Она ехала по тропе, выходившей на Декейтерскую дорогу, а в душе у нее совесть боролась с жаждой наживы.
TRANS: Ona ekhala po trope, vykhodivshey na Dekeyterskuyu dorogu, a v dushe u nee sovest' borolas' s zhazhdoy nazhivy.
TRANSLATION: She was riding along the path that led out to the Decatur road, and in her soul her conscience was struggling with greed.</t>
  </si>
  <si>
    <r>
      <rPr>
        <b/>
        <sz val="11"/>
        <color theme="1"/>
        <rFont val="Arial"/>
      </rPr>
      <t xml:space="preserve">TERM:</t>
    </r>
    <r>
      <rPr>
        <sz val="11"/>
        <color theme="1"/>
        <rFont val="Arial"/>
      </rPr>
      <t xml:space="preserve"> AR-ŪİAT(АР-ҰЯТ) — conscience-shame (compound): the active inner moral faculty [KED, SZK]
</t>
    </r>
    <r>
      <rPr>
        <b/>
        <sz val="11"/>
        <color theme="1"/>
        <rFont val="Arial"/>
      </rPr>
      <t xml:space="preserve">PASSAGE:</t>
    </r>
    <r>
      <rPr>
        <sz val="11"/>
        <color theme="1"/>
        <rFont val="Arial"/>
      </rPr>
      <t xml:space="preserve"> Ол Декейтер жолына шығатын соқпаққа түсіп алып, жүріп келеді, көкірегіндегі табысқа құмарлық мен </t>
    </r>
    <r>
      <rPr>
        <b/>
        <sz val="11"/>
        <color theme="1"/>
        <rFont val="Arial"/>
      </rPr>
      <t xml:space="preserve">ар-ұяты</t>
    </r>
    <r>
      <rPr>
        <sz val="11"/>
        <color theme="1"/>
        <rFont val="Arial"/>
      </rPr>
      <t xml:space="preserve"> өзара алысуда.
</t>
    </r>
    <r>
      <rPr>
        <b/>
        <sz val="11"/>
        <color theme="1"/>
        <rFont val="Arial"/>
      </rPr>
      <t xml:space="preserve">TRANS:</t>
    </r>
    <r>
      <rPr>
        <sz val="11"/>
        <color theme="1"/>
        <rFont val="Arial"/>
      </rPr>
      <t xml:space="preserve"> Ol Dekeiter jolyna şyğatyn soqpaqqa tüsıp alyp, jürıp keledı, kökıregındegı tabysqa qūmarlyq men </t>
    </r>
    <r>
      <rPr>
        <b/>
        <sz val="11"/>
        <color theme="1"/>
        <rFont val="Arial"/>
      </rPr>
      <t xml:space="preserve">ar-ūiaty</t>
    </r>
    <r>
      <rPr>
        <sz val="11"/>
        <color theme="1"/>
        <rFont val="Arial"/>
      </rPr>
      <t xml:space="preserve"> özara alysuda..
</t>
    </r>
    <r>
      <rPr>
        <b/>
        <sz val="11"/>
        <color theme="1"/>
        <rFont val="Arial"/>
      </rPr>
      <t xml:space="preserve">TRANSLATION:</t>
    </r>
    <r>
      <rPr>
        <sz val="11"/>
        <color theme="1"/>
        <rFont val="Arial"/>
      </rPr>
      <t xml:space="preserve"> Heading down the path that comes out onto the Decatur road, she rides along; her thirst for profit and her </t>
    </r>
    <r>
      <rPr>
        <b/>
        <sz val="11"/>
        <color theme="1"/>
        <rFont val="Arial"/>
      </rPr>
      <t xml:space="preserve">conscience</t>
    </r>
    <r>
      <rPr>
        <sz val="11"/>
        <color theme="1"/>
        <rFont val="Arial"/>
      </rPr>
      <t xml:space="preserve"> are wrestling with each other inside her.</t>
    </r>
  </si>
  <si>
    <t xml:space="preserve">Opponent, attacker, judge</t>
  </si>
  <si>
    <t xml:space="preserve">If only Melanie were with her, Melanie could calm her fears. But Melanie was at home, nursing Ashley. For a moment Scarlett thought of summoning Pittypat to stand between her and her conscience but she hesitated. Pitty would probably make matters worse, for she honestly mourned Frank.</t>
  </si>
  <si>
    <t xml:space="preserve">TERM: sovesti (совести) — conscience (gen./dat./prep.) [ORD] (lemma: совесть)
PASSAGE: На мгновение Скарлетт подумала было попросить Питтипэт подняться к ней — может, в ее присутствии умолкнет голос совести, — но не решилась.
TRANS: Na mgnovenie Skarlett podumala bylo poprosit' Pittipet podnyat'sya k ney — mozhet, v ee prisutstvii umolknet golos sovesti, — no ne reshilas'.
TRANSLATION: For a moment Scarlett thought to ask Pittypat to come up to her — perhaps in her presence the voice of conscience would fall silent — but she did not dare.</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</si>
  <si>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Бір сәтке Питтипэт тәтесін шақырғысы келіп те ойланды, ол мұның көңілін аулап, ойын бөлсе, </t>
    </r>
    <r>
      <rPr>
        <b/>
        <sz val="11"/>
        <color theme="1"/>
        <rFont val="Arial"/>
      </rPr>
      <t xml:space="preserve">ұятпен</t>
    </r>
    <r>
      <rPr>
        <sz val="11"/>
        <color theme="1"/>
        <rFont val="Arial"/>
      </rPr>
      <t xml:space="preserve"> бетпе-бет жалғыз қалудан құтылар ма еді, дегенмен бата алмады.
</t>
    </r>
    <r>
      <rPr>
        <b/>
        <sz val="11"/>
        <color theme="1"/>
        <rFont val="Arial"/>
      </rPr>
      <t xml:space="preserve">TRANS:</t>
    </r>
    <r>
      <rPr>
        <sz val="11"/>
        <color theme="1"/>
        <rFont val="Arial"/>
      </rPr>
      <t xml:space="preserve"> Bır sätke Pittipet tätesın şaqyrğysy kelıp te oilandy, ol mūnyñ köñılın aulap, oiyn bölse, </t>
    </r>
    <r>
      <rPr>
        <b/>
        <sz val="11"/>
        <color theme="1"/>
        <rFont val="Arial"/>
      </rPr>
      <t xml:space="preserve">ūiatpen</t>
    </r>
    <r>
      <rPr>
        <sz val="11"/>
        <color theme="1"/>
        <rFont val="Arial"/>
      </rPr>
      <t xml:space="preserve"> betpe-bet jalğyz qaludan qūtylar ma edı, degenmen bata almady.
</t>
    </r>
    <r>
      <rPr>
        <b/>
        <sz val="11"/>
        <color theme="1"/>
        <rFont val="Arial"/>
      </rPr>
      <t xml:space="preserve">TRANSLATION:</t>
    </r>
    <r>
      <rPr>
        <sz val="11"/>
        <color theme="1"/>
        <rFont val="Arial"/>
      </rPr>
      <t xml:space="preserve"> For a moment she even thought to call Aunt Pittypat — if she could distract her thoughts and entertain her, perhaps she could escape being left alone face-to-face with </t>
    </r>
    <r>
      <rPr>
        <b/>
        <sz val="11"/>
        <color theme="1"/>
        <rFont val="Arial"/>
      </rPr>
      <t xml:space="preserve">shame</t>
    </r>
    <r>
      <rPr>
        <sz val="11"/>
        <color theme="1"/>
        <rFont val="Arial"/>
      </rPr>
      <t xml:space="preserve"> — but she did not dare.</t>
    </r>
  </si>
  <si>
    <t xml:space="preserve">Opponent, attacker, judge – about a particularly “indecent” deed</t>
  </si>
  <si>
    <t xml:space="preserve">"Oh, come! You are confessing and you might as well confess the truth as a decorous lie. Did your—er—conscience bother you much when you offered to—shall we say—part with that jewel which is dearer than life for three hundred dollars?"</t>
  </si>
  <si>
    <t xml:space="preserve">TERM: sovest' (совесть) — conscience; the inner moral faculty [ORD]
PASSAGE: Ваша… м-м… совесть очень вас мучила, когда вы соглашались… скажем, так — расстаться с этим сокровищем, которое вам дороже жизни, за триста долларов?
TRANS: Vasha… m-m… sovest' ochen' vas muchila, kogda vy soglashalis'… skazhem, tak — rasstat'sya s etim sokrovishchem, kotoroe vam dorozhe zhizni, za trista dollarov?
TRANSLATION: Did your... mm... conscience torment you greatly when you agreed... shall we say — to part with this treasure that is dearer to you than life, for three hundred dollars?</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</si>
  <si>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Сіз үш жүз долларға бағалаған әшекейіңізбен қоштасарыңызда да </t>
    </r>
    <r>
      <rPr>
        <b/>
        <sz val="11"/>
        <color theme="1"/>
        <rFont val="Arial"/>
      </rPr>
      <t xml:space="preserve">ұятыңыз</t>
    </r>
    <r>
      <rPr>
        <sz val="11"/>
        <color theme="1"/>
        <rFont val="Arial"/>
      </rPr>
      <t xml:space="preserve"> сізді қинады ма екен.
</t>
    </r>
    <r>
      <rPr>
        <b/>
        <sz val="11"/>
        <color theme="1"/>
        <rFont val="Arial"/>
      </rPr>
      <t xml:space="preserve">TRANS:</t>
    </r>
    <r>
      <rPr>
        <sz val="11"/>
        <color theme="1"/>
        <rFont val="Arial"/>
      </rPr>
      <t xml:space="preserve">Sız üş jüz dollarğa bağalağan äşekeiıñızben qoştasaryñyzda da </t>
    </r>
    <r>
      <rPr>
        <b/>
        <sz val="11"/>
        <color theme="1"/>
        <rFont val="Arial"/>
      </rPr>
      <t xml:space="preserve">ūiatyñyz</t>
    </r>
    <r>
      <rPr>
        <sz val="11"/>
        <color theme="1"/>
        <rFont val="Arial"/>
      </rPr>
      <t xml:space="preserve"> sızdı qinady ma eken.
</t>
    </r>
    <r>
      <rPr>
        <b/>
        <sz val="11"/>
        <color theme="1"/>
        <rFont val="Arial"/>
      </rPr>
      <t xml:space="preserve">TRANSLATION:</t>
    </r>
    <r>
      <rPr>
        <sz val="11"/>
        <color theme="1"/>
        <rFont val="Arial"/>
      </rPr>
      <t xml:space="preserve"> When you bid farewell to your jewel that you priced at three hundred dollars, did your </t>
    </r>
    <r>
      <rPr>
        <b/>
        <sz val="11"/>
        <color theme="1"/>
        <rFont val="Arial"/>
      </rPr>
      <t xml:space="preserve">shame</t>
    </r>
    <r>
      <rPr>
        <sz val="11"/>
        <color theme="1"/>
        <rFont val="Arial"/>
      </rPr>
      <t xml:space="preserve"> trouble you?</t>
    </r>
  </si>
  <si>
    <t xml:space="preserve">Opponent, can kill</t>
  </si>
  <si>
    <t xml:space="preserve">"I can't tell her," she thought miserably. "Never, not even if my conscience kills me." She remembered irrelevantly Rhett's drunken remark: "She can't conceive of dishonor in anyone she loves...let that be your cross."</t>
  </si>
  <si>
    <t xml:space="preserve">TERM: sovest' (совесть) — conscience; the inner moral faculty [ORD]
PASSAGE: Никогда не смогу, даже если совесть убьет меня».
TRANS: Nikogda ne smogu, dazhe esli sovest' ub'et menya».
TRANSLATION: Never, even if my conscience kills me.</t>
  </si>
  <si>
    <r>
      <rPr>
        <b/>
        <sz val="11"/>
        <color theme="1"/>
        <rFont val="Arial"/>
      </rPr>
      <t xml:space="preserve">TERM:</t>
    </r>
    <r>
      <rPr>
        <sz val="11"/>
        <color theme="1"/>
        <rFont val="Arial"/>
      </rPr>
      <t xml:space="preserve"> AR-ŪİAT (АР-ҰЯТ) — conscience-shame (compound): the active inner moral faculty [KED, SZK]
</t>
    </r>
    <r>
      <rPr>
        <b/>
        <sz val="11"/>
        <color theme="1"/>
        <rFont val="Arial"/>
      </rPr>
      <t xml:space="preserve">PASSAGE:</t>
    </r>
    <r>
      <rPr>
        <sz val="11"/>
        <color theme="1"/>
        <rFont val="Arial"/>
      </rPr>
      <t xml:space="preserve"> "Мұны айта алмайды екенмін, </t>
    </r>
    <r>
      <rPr>
        <b/>
        <sz val="11"/>
        <color theme="1"/>
        <rFont val="Arial"/>
      </rPr>
      <t xml:space="preserve">ар-ұятым</t>
    </r>
    <r>
      <rPr>
        <sz val="11"/>
        <color theme="1"/>
        <rFont val="Arial"/>
      </rPr>
      <t xml:space="preserve"> тұншықтырып өлтірсе де айта алмаймын" деп тұнжырай ойлады Скарлетт.
</t>
    </r>
    <r>
      <rPr>
        <b/>
        <sz val="11"/>
        <color theme="1"/>
        <rFont val="Arial"/>
      </rPr>
      <t xml:space="preserve">TRANS:</t>
    </r>
    <r>
      <rPr>
        <sz val="11"/>
        <color theme="1"/>
        <rFont val="Arial"/>
      </rPr>
      <t xml:space="preserve"> "Mūny aita almaidy ekenmın, </t>
    </r>
    <r>
      <rPr>
        <b/>
        <sz val="11"/>
        <color theme="1"/>
        <rFont val="Arial"/>
      </rPr>
      <t xml:space="preserve">ar-ūiatym </t>
    </r>
    <r>
      <rPr>
        <sz val="11"/>
        <color theme="1"/>
        <rFont val="Arial"/>
      </rPr>
      <t xml:space="preserve">tūnşyqtyryp öltırse de aita almaimyn" dep tūnjyrai oilady Skarlett.
</t>
    </r>
    <r>
      <rPr>
        <b/>
        <sz val="11"/>
        <color theme="1"/>
        <rFont val="Arial"/>
      </rPr>
      <t xml:space="preserve">TRANSLATION:</t>
    </r>
    <r>
      <rPr>
        <sz val="11"/>
        <color theme="1"/>
        <rFont val="Arial"/>
      </rPr>
      <t xml:space="preserve"> "I cannot say it; even if my </t>
    </r>
    <r>
      <rPr>
        <b/>
        <sz val="11"/>
        <color theme="1"/>
        <rFont val="Arial"/>
      </rPr>
      <t xml:space="preserve">conscience</t>
    </r>
    <r>
      <rPr>
        <sz val="11"/>
        <color theme="1"/>
        <rFont val="Arial"/>
      </rPr>
      <t xml:space="preserve"> should choke and kill me, I cannot say it," thought Scarlett gloomily.</t>
    </r>
  </si>
  <si>
    <t xml:space="preserve">Interlocutor, advisor – can make one doubt one’s course of action</t>
  </si>
  <si>
    <t xml:space="preserve">That morning Aunt Pitty had reached the regretful decision that she had better kill the patriarch before he died of old age and pining for his harem which had long since been eaten. For days he had drooped about the empty chicken run, too dispirited to crow. After Uncle Peter had wrung his neck, Aunt Pitty had been beset by conscience at the thought of enjoying him, en famille, when so many of her friends had not tasted chicken for weeks, so she suggested company for dinner. Melanie, who was now in her fifth month, had not been out in public or received guests for weeks, and she was appalled at the idea. But Aunt Pitty, for once, was firm. It would be selfish to eat the rooster alone, and if Melanie would only move her top hoop a little higher no one would notice anything and she was so flat in the bust anyway.</t>
  </si>
  <si>
    <t xml:space="preserve">Aunt Pitty</t>
  </si>
  <si>
    <t xml:space="preserve">TERM: somneniya (сомнения) — doubt; doubts [ORD] (lemma: сомнение)
PASSAGE: Когда дядюшка Питер свернул ему шею, деликатную душу тетушки Питтипэт внезапно одолели сомнения: допустимо ли насладиться этой птицей в кругу семьи, в то время как многие из друзей неделями не могут отведать куриного мяса, и она решила пригласить гостей.
TRANS: Kogda dyadyushka Piter svernul emu sheyu, delikatnuyu dushu tetushki Pittipet vnezapno odoleli somneniya: dopustimo li nasladit'sya etoy ptitsey v krugu sem'i, v to vremya kak mnogie iz druzey nedelyami ne mogut otvedat' kurinogo myasa, i ona reshila priglasit' gostey.
TRANSLATION: When Uncle Peter wrung its neck, Aunt Pittypat's delicate soul was suddenly seized by doubts: was it permissible to enjoy this bird in the family circle while many of her friends could not have a taste of chicken meat for weeks, and she decided to invite guests.</t>
  </si>
  <si>
    <r>
      <rPr>
        <b/>
        <sz val="11"/>
        <color theme="1"/>
        <rFont val="Arial"/>
      </rPr>
      <t xml:space="preserve">TERM:</t>
    </r>
    <r>
      <rPr>
        <sz val="11"/>
        <color theme="1"/>
        <rFont val="Arial"/>
      </rPr>
      <t xml:space="preserve"> KÜMÄN (КҮМƏН) = doubt; uncertainty
</t>
    </r>
    <r>
      <rPr>
        <b/>
        <sz val="11"/>
        <color theme="1"/>
        <rFont val="Arial"/>
      </rPr>
      <t xml:space="preserve">PASSAGE:</t>
    </r>
    <r>
      <rPr>
        <sz val="11"/>
        <color theme="1"/>
        <rFont val="Arial"/>
      </rPr>
      <t xml:space="preserve"> Питтипэт тәтейдің нәзік жанында: "оның көптеген достары бірнеше апта бойы тауықтың дәмін тата алмай отырғанда, бұл құсты отбасымен бірге жеп рахаттануға бола ма, әлде қонақ шақыруға шешім қабылдауы дұрыс па?" деген </t>
    </r>
    <r>
      <rPr>
        <b/>
        <sz val="11"/>
        <color theme="1"/>
        <rFont val="Arial"/>
      </rPr>
      <t xml:space="preserve">күмән</t>
    </r>
    <r>
      <rPr>
        <sz val="11"/>
        <color theme="1"/>
        <rFont val="Arial"/>
      </rPr>
      <t xml:space="preserve"> пайда болды.
</t>
    </r>
    <r>
      <rPr>
        <b/>
        <sz val="11"/>
        <color theme="1"/>
        <rFont val="Arial"/>
      </rPr>
      <t xml:space="preserve">TRANS:</t>
    </r>
    <r>
      <rPr>
        <sz val="11"/>
        <color theme="1"/>
        <rFont val="Arial"/>
      </rPr>
      <t xml:space="preserve"> Pittipet täteidıñ näzık janynda: "onyñ köptegen dostary bırneşe apta boiy tauyqtyñ dämın tata almai otyrğanda, būl qūsty otbasymen bırge jep rahattanuğa bola ma, älde qonaq şaqyruğa şeşım qabyldauy dūrys pa?" degen </t>
    </r>
    <r>
      <rPr>
        <b/>
        <sz val="11"/>
        <color theme="1"/>
        <rFont val="Arial"/>
      </rPr>
      <t xml:space="preserve">kümän</t>
    </r>
    <r>
      <rPr>
        <sz val="11"/>
        <color theme="1"/>
        <rFont val="Arial"/>
      </rPr>
      <t xml:space="preserve"> paida boldy.
</t>
    </r>
    <r>
      <rPr>
        <b/>
        <sz val="11"/>
        <color theme="1"/>
        <rFont val="Arial"/>
      </rPr>
      <t xml:space="preserve">TRANSLATION:</t>
    </r>
    <r>
      <rPr>
        <sz val="11"/>
        <color theme="1"/>
        <rFont val="Arial"/>
      </rPr>
      <t xml:space="preserve"> In Aunt Pittypat's sensitive soul there arose the </t>
    </r>
    <r>
      <rPr>
        <b/>
        <sz val="11"/>
        <color theme="1"/>
        <rFont val="Arial"/>
      </rPr>
      <t xml:space="preserve">doubt</t>
    </r>
    <r>
      <rPr>
        <sz val="11"/>
        <color theme="1"/>
        <rFont val="Arial"/>
      </rPr>
      <t xml:space="preserve">: "While many of his friends have not been able to taste chicken for weeks, is it appropriate to enjoy eating this bird with the family — or would it be right to decide on inviting guests?"</t>
    </r>
  </si>
  <si>
    <t xml:space="preserve">Struggle with conscience</t>
  </si>
  <si>
    <t xml:space="preserve">"Of course," she said, wondering what the old fool had been talking about. Some struggle with his conscience. When a man got as old as Frank Kennedy he ought to have learned not to bother about things that didn't matter. But he always was so nervous and fussy and old maidish.</t>
  </si>
  <si>
    <t xml:space="preserve">TERM: sovesti (совести) — conscience (gen./dat./prep.) [ORD] (lemma: совесть)
PASSAGE: Что-то насчет своей совести.
TRANS: Chto-to naschet svoey sovesti.
TRANSLATION: Something about his conscience.</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</si>
  <si>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Өз </t>
    </r>
    <r>
      <rPr>
        <b/>
        <sz val="11"/>
        <color theme="1"/>
        <rFont val="Arial"/>
      </rPr>
      <t xml:space="preserve">ұяты</t>
    </r>
    <r>
      <rPr>
        <sz val="11"/>
        <color theme="1"/>
        <rFont val="Arial"/>
      </rPr>
      <t xml:space="preserve"> туралы ма, бірдеңе.
</t>
    </r>
    <r>
      <rPr>
        <b/>
        <sz val="11"/>
        <color theme="1"/>
        <rFont val="Arial"/>
      </rPr>
      <t xml:space="preserve">TRANS:</t>
    </r>
    <r>
      <rPr>
        <sz val="11"/>
        <color theme="1"/>
        <rFont val="Arial"/>
      </rPr>
      <t xml:space="preserve"> Öz </t>
    </r>
    <r>
      <rPr>
        <b/>
        <sz val="11"/>
        <color theme="1"/>
        <rFont val="Arial"/>
      </rPr>
      <t xml:space="preserve">ūiaty</t>
    </r>
    <r>
      <rPr>
        <sz val="11"/>
        <color theme="1"/>
        <rFont val="Arial"/>
      </rPr>
      <t xml:space="preserve"> turaly ma, bırdeñe.
</t>
    </r>
    <r>
      <rPr>
        <b/>
        <sz val="11"/>
        <color theme="1"/>
        <rFont val="Arial"/>
      </rPr>
      <t xml:space="preserve">TRANSLATION:</t>
    </r>
    <r>
      <rPr>
        <sz val="11"/>
        <color theme="1"/>
        <rFont val="Arial"/>
      </rPr>
      <t xml:space="preserve"> Something about their own</t>
    </r>
    <r>
      <rPr>
        <b/>
        <sz val="11"/>
        <color theme="1"/>
        <rFont val="Arial"/>
      </rPr>
      <t xml:space="preserve"> shame [conscience]</t>
    </r>
    <r>
      <rPr>
        <sz val="11"/>
        <color theme="1"/>
        <rFont val="Arial"/>
      </rPr>
      <t xml:space="preserve">, or something like that.</t>
    </r>
  </si>
  <si>
    <t xml:space="preserve">Conscience — Absent reaction</t>
  </si>
  <si>
    <t xml:space="preserve">ABSENT reaction of conscience due to personal loyalties</t>
  </si>
  <si>
    <t xml:space="preserve">The mottled wise old eyes saw deeply, saw clearly, with the directness of the savage and the child, undeterred by conscience when danger threatened her pet. Scarlett was her baby and what her baby wanted, even though it belonged to another, Mammy was willing to help her obtain. The rights of Suellen and Frank Kennedy did not even enter her mind, save to cause a grim inward chuckle. Scarlett was in trouble and doing the best she could, and Scarlett was Miss Ellen's child.</t>
  </si>
  <si>
    <t xml:space="preserve">TERM: soznanie (сознание) — consciousness; awareness (here: moral awareness) [ORD]
PASSAGE: не затуманенные слишком развитым сознанием
TRANS: ne zatumanennye slishkom razvitym soznaniem
TRANSLATION: not clouded by an overdeveloped consciousness</t>
  </si>
  <si>
    <t xml:space="preserve">Conscience — Dormant / waking creature</t>
  </si>
  <si>
    <t xml:space="preserve">Being that can sleep and wake up</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</si>
  <si>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Скарлетт аздап </t>
    </r>
    <r>
      <rPr>
        <b/>
        <sz val="11"/>
        <color theme="1"/>
        <rFont val="Arial"/>
      </rPr>
      <t xml:space="preserve">ұялыс</t>
    </r>
    <r>
      <rPr>
        <sz val="11"/>
        <color theme="1"/>
        <rFont val="Arial"/>
      </rPr>
      <t xml:space="preserve"> сезініп, Эшлидің хаттарындағы Меланиді осындай мәлімдеме жасауға итермелеген жолдарды еске түсіруге тырысты, ...
</t>
    </r>
    <r>
      <rPr>
        <b/>
        <sz val="11"/>
        <color theme="1"/>
        <rFont val="Arial"/>
      </rPr>
      <t xml:space="preserve">TRANS:</t>
    </r>
    <r>
      <rPr>
        <sz val="11"/>
        <color theme="1"/>
        <rFont val="Arial"/>
      </rPr>
      <t xml:space="preserve"> Skarlett azdap </t>
    </r>
    <r>
      <rPr>
        <b/>
        <sz val="11"/>
        <color theme="1"/>
        <rFont val="Arial"/>
      </rPr>
      <t xml:space="preserve">ūialys</t>
    </r>
    <r>
      <rPr>
        <sz val="11"/>
        <color theme="1"/>
        <rFont val="Arial"/>
      </rPr>
      <t xml:space="preserve"> sezınıp, Eşlidıñ hattaryndağy Melanidı osyndai mälımdeme jasauğa itermelegen joldardy eske tüsıruge tyrysty, ...
</t>
    </r>
    <r>
      <rPr>
        <b/>
        <sz val="11"/>
        <color theme="1"/>
        <rFont val="Arial"/>
      </rPr>
      <t xml:space="preserve">TRANSLATION:</t>
    </r>
    <r>
      <rPr>
        <sz val="11"/>
        <color theme="1"/>
        <rFont val="Arial"/>
      </rPr>
      <t xml:space="preserve"> Feeling a slight twinge of </t>
    </r>
    <r>
      <rPr>
        <b/>
        <sz val="11"/>
        <color theme="1"/>
        <rFont val="Arial"/>
      </rPr>
      <t xml:space="preserve">shame</t>
    </r>
    <r>
      <rPr>
        <sz val="11"/>
        <color theme="1"/>
        <rFont val="Arial"/>
      </rPr>
      <t xml:space="preserve">, Scarlett tried to recall the lines in Ashley's letters that had pushed Melanie to make such a statement,...</t>
    </r>
  </si>
  <si>
    <t xml:space="preserve">Conscience — General faculty</t>
  </si>
  <si>
    <t xml:space="preserve">conscience as active inner faculty — inner moral judge</t>
  </si>
  <si>
    <t xml:space="preserve">No one intruded upon her, believing that she wished to be left alone with her grief, but to be left alone was the last thing Scarlett desired. Had it only been grief that companioned her, she could have borne it as she had borne other griefs. But, added to her stunned sense of loss at Frank's death, were fear and remorse and the torment of a suddenly awakened conscience. For the first time in her life she was regretting things she had done, regretting them with a sweeping superstitious fear that made her cast sidelong glances at the bed upon which she had lain with Frank.</t>
  </si>
  <si>
    <t xml:space="preserve">TERM: sovesti (совести) — conscience (gen./dat./prep.) [ORD] (lemma: совесть)
PASSAGE: Но помимо потрясения от потери мужа, она испытывала еще страх, и раскаяние, и муки внезапно проснувшейся совести.
TRANS: No pomimo potryaseniya ot poteri muzha, ona ispytyvala eshche strakh, i raskayanie, i muki vnezapno prosnuvsheysya sovesti.
TRANSLATION: But besides the shock of losing her husband, she also felt fear, and remorse, and the pangs of suddenly awakened conscience.</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</si>
  <si>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Бірақ күйеуінен айырылған қасіреті өз алдында, бойын билеген қорқыныш пен жанын жеген өкініш, бір бүйірден бас көтере қалған </t>
    </r>
    <r>
      <rPr>
        <b/>
        <sz val="11"/>
        <color theme="1"/>
        <rFont val="Arial"/>
      </rPr>
      <t xml:space="preserve">ұят</t>
    </r>
    <r>
      <rPr>
        <sz val="11"/>
        <color theme="1"/>
        <rFont val="Arial"/>
      </rPr>
      <t xml:space="preserve"> қоса қысып барады.
</t>
    </r>
    <r>
      <rPr>
        <b/>
        <sz val="11"/>
        <color theme="1"/>
        <rFont val="Arial"/>
      </rPr>
      <t xml:space="preserve">TRANS:</t>
    </r>
    <r>
      <rPr>
        <sz val="11"/>
        <color theme="1"/>
        <rFont val="Arial"/>
      </rPr>
      <t xml:space="preserve"> Bıraq küieuınen aiyrylğan qasıretı öz aldynda, boiyn bilegen qorqynyş pen janyn jegen ökınış, bır büiırden bas kötere qalğan </t>
    </r>
    <r>
      <rPr>
        <b/>
        <sz val="11"/>
        <color theme="1"/>
        <rFont val="Arial"/>
      </rPr>
      <t xml:space="preserve">ūiat</t>
    </r>
    <r>
      <rPr>
        <sz val="11"/>
        <color theme="1"/>
        <rFont val="Arial"/>
      </rPr>
      <t xml:space="preserve"> qosa qysyp barady.
</t>
    </r>
    <r>
      <rPr>
        <b/>
        <sz val="11"/>
        <color theme="1"/>
        <rFont val="Arial"/>
      </rPr>
      <t xml:space="preserve">TRANSLATION:</t>
    </r>
    <r>
      <rPr>
        <sz val="11"/>
        <color theme="1"/>
        <rFont val="Arial"/>
      </rPr>
      <t xml:space="preserve"> But the grief of losing her husband had its own place; the fear that filled her body, the regret that ate at her soul, and the </t>
    </r>
    <r>
      <rPr>
        <b/>
        <sz val="11"/>
        <color theme="1"/>
        <rFont val="Arial"/>
      </rPr>
      <t xml:space="preserve">shame</t>
    </r>
    <r>
      <rPr>
        <sz val="11"/>
        <color theme="1"/>
        <rFont val="Arial"/>
      </rPr>
      <t xml:space="preserve"> that suddenly raised its head from one side, were all squeezing her along with it.</t>
    </r>
  </si>
  <si>
    <t xml:space="preserve">Plant, creature – something that can be born or die, become absent</t>
  </si>
  <si>
    <t xml:space="preserve">"You could have been—if you'd been somebody else. But you were born to bully anyone who'll let you do it. The strong were made to bully and the weak to knuckle under. It's all Frank's fault for not beating you with a buggy whip...I'm surprised at you, Scarlett, for sprouting a conscience this late in life. Opportunists like you shouldn't have them."</t>
  </si>
  <si>
    <t xml:space="preserve">TERM: sovest' (совесть) — conscience; the inner moral faculty [ORD]
PASSAGE: Вы удивляете меня, Скарлетт, — зачем вам понадобилось сейчас, когда вы уже взрослая, будить в себе совесть.
TRANS: Vy udivlyaete menya, Skarlett, — zachem vam ponadobilos' seychas, kogda vy uzhe vzroslaya, budit' v sebe sovest'.
TRANSLATION: You amaze me, Scarlett — why do you need now, when you are already grown up, to awaken a conscience in yourself?</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</si>
  <si>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Әбден есейген шағыңызда </t>
    </r>
    <r>
      <rPr>
        <b/>
        <sz val="11"/>
        <color theme="1"/>
        <rFont val="Arial"/>
      </rPr>
      <t xml:space="preserve">ұятыңызды</t>
    </r>
    <r>
      <rPr>
        <sz val="11"/>
        <color theme="1"/>
        <rFont val="Arial"/>
      </rPr>
      <t xml:space="preserve"> неге оятып отырсыз?
</t>
    </r>
    <r>
      <rPr>
        <b/>
        <sz val="11"/>
        <color theme="1"/>
        <rFont val="Arial"/>
      </rPr>
      <t xml:space="preserve">TRANS:</t>
    </r>
    <r>
      <rPr>
        <sz val="11"/>
        <color theme="1"/>
        <rFont val="Arial"/>
      </rPr>
      <t xml:space="preserve"> Äbden eseigen şağyñyzda </t>
    </r>
    <r>
      <rPr>
        <b/>
        <sz val="11"/>
        <color theme="1"/>
        <rFont val="Arial"/>
      </rPr>
      <t xml:space="preserve">ūiatyñyzdy</t>
    </r>
    <r>
      <rPr>
        <sz val="11"/>
        <color theme="1"/>
        <rFont val="Arial"/>
      </rPr>
      <t xml:space="preserve"> nege oiatyp otyrsyz?
</t>
    </r>
    <r>
      <rPr>
        <b/>
        <sz val="11"/>
        <color theme="1"/>
        <rFont val="Arial"/>
      </rPr>
      <t xml:space="preserve">TRANSLATION:</t>
    </r>
    <r>
      <rPr>
        <sz val="11"/>
        <color theme="1"/>
        <rFont val="Arial"/>
      </rPr>
      <t xml:space="preserve"> In your fully matured age, why are you waking up your </t>
    </r>
    <r>
      <rPr>
        <b/>
        <sz val="11"/>
        <color theme="1"/>
        <rFont val="Arial"/>
      </rPr>
      <t xml:space="preserve">shame</t>
    </r>
    <r>
      <rPr>
        <sz val="11"/>
        <color theme="1"/>
        <rFont val="Arial"/>
      </rPr>
      <t xml:space="preserve">?</t>
    </r>
  </si>
  <si>
    <t xml:space="preserve">Catholic conscience awakened: overwhelming, long suppressed, now drives action</t>
  </si>
  <si>
    <r>
      <rPr>
        <b/>
        <sz val="11"/>
        <color theme="1"/>
        <rFont val="Arial"/>
      </rPr>
      <t xml:space="preserve">TERM:</t>
    </r>
    <r>
      <rPr>
        <sz val="11"/>
        <color theme="1"/>
        <rFont val="Arial"/>
      </rPr>
      <t xml:space="preserve"> AR-ŪİAT (АР-ҰЯТ) — conscience-shame (compound): the active inner moral faculty [KED, SZK]
</t>
    </r>
    <r>
      <rPr>
        <b/>
        <sz val="11"/>
        <color theme="1"/>
        <rFont val="Arial"/>
      </rPr>
      <t xml:space="preserve">PASSAGE:</t>
    </r>
    <r>
      <rPr>
        <sz val="11"/>
        <color theme="1"/>
        <rFont val="Arial"/>
      </rPr>
      <t xml:space="preserve"> Баяғыдан бері бұғып жатқанымен, ақыры өзінің бар екенін, бас көтеретін уақыты келгенін білдерген </t>
    </r>
    <r>
      <rPr>
        <b/>
        <sz val="11"/>
        <color theme="1"/>
        <rFont val="Arial"/>
      </rPr>
      <t xml:space="preserve">ар-ұяты</t>
    </r>
    <r>
      <rPr>
        <sz val="11"/>
        <color theme="1"/>
        <rFont val="Arial"/>
      </rPr>
      <t xml:space="preserve"> Скарлетті осы қадамға жетелейтін. Жүрегінің түкпірінде шынайы католиктік сенімі:
</t>
    </r>
    <r>
      <rPr>
        <b/>
        <sz val="11"/>
        <color theme="1"/>
        <rFont val="Arial"/>
      </rPr>
      <t xml:space="preserve">TRANS:</t>
    </r>
    <r>
      <rPr>
        <sz val="11"/>
        <color theme="1"/>
        <rFont val="Arial"/>
      </rPr>
      <t xml:space="preserve"> Baiağydan berı būğyp jatqanymen, aqyry özınıñ bar ekenın, bas köteretın uaqyty kelgenın bıldergen </t>
    </r>
    <r>
      <rPr>
        <b/>
        <sz val="11"/>
        <color theme="1"/>
        <rFont val="Arial"/>
      </rPr>
      <t xml:space="preserve">ar-ūiaty</t>
    </r>
    <r>
      <rPr>
        <sz val="11"/>
        <color theme="1"/>
        <rFont val="Arial"/>
      </rPr>
      <t xml:space="preserve"> Skarlettı osy qadamğa jeteleitın. Jüregınıñ tükpırınde şynaiy katoliktık senımı:
</t>
    </r>
    <r>
      <rPr>
        <b/>
        <sz val="11"/>
        <color theme="1"/>
        <rFont val="Arial"/>
      </rPr>
      <t xml:space="preserve">TRANSLATION:</t>
    </r>
    <r>
      <rPr>
        <sz val="11"/>
        <color theme="1"/>
        <rFont val="Arial"/>
      </rPr>
      <t xml:space="preserve"> Although it had been hiding for a long time, </t>
    </r>
    <r>
      <rPr>
        <b/>
        <sz val="11"/>
        <color theme="1"/>
        <rFont val="Arial"/>
      </rPr>
      <t xml:space="preserve">conscience</t>
    </r>
    <r>
      <rPr>
        <sz val="11"/>
        <color theme="1"/>
        <rFont val="Arial"/>
      </rPr>
      <t xml:space="preserve"> — finally signaling its existence and that the time to raise its head had come — was leading Scarlett to this step. In the depths of her heart, her sincere Catholic faith:</t>
    </r>
  </si>
  <si>
    <t xml:space="preserve">Conscience — Object (stretchable)</t>
  </si>
  <si>
    <t xml:space="preserve">Stretchable object</t>
  </si>
  <si>
    <t xml:space="preserve">"You hoped! Alas, to blight your hopes! I should love you, for you are charming and talented at many useless accomplishments. But many ladies have charm and accomplishments and are just as useless as you are. No, I don't love you. But I do like you tremendously— for the elasticity of your conscience, for the selfishness which you seldom trouble to hide, and for the shrewd practicality in you which, I fear, you get from some not too remote Irish-peasant ancestor."</t>
  </si>
  <si>
    <t xml:space="preserve">TERM: sovesti (совести) — conscience (gen./dat./prep.) [ORD] (lemma: совесть)
PASSAGE: Но вы нравитесь мне безмерно — мне нравится эластичность вашей совести и ваших моральных правил, нравится ваш эгоизм, который вы весьма редко даете себе труд скрывать, нравится ваша крепкая жизненная хватка, унаследованная, боюсь, от какого-то не очень далекого ирландского предка-крестьянина.
TRANS: No vy nravites' mne bezmerno — mne nravitsya elastichnost' vashey sovesti i vashikh moral'nykh pravil, nravitsya vash egoizm, kotoryy vy ves'ma redko daete sebe trud skryvat', nravitsya vasha krepkaya zhiznennaya khvatka, unasledovannaya, boyus', ot kakogo-to ne ochen' dalekogo irlandskogo predka-krest'yanina.
TRANSLATION: But I find you immensely attractive — I like the elasticity of your conscience and your moral rules, I like the egotism that you very rarely take the trouble to conceal, I like your firm grip on life, inherited, I fear, from some not-too-distant Irish peasant ancestor.</t>
  </si>
  <si>
    <r>
      <rPr>
        <b/>
        <sz val="11"/>
        <color theme="1"/>
        <rFont val="Arial"/>
      </rPr>
      <t xml:space="preserve">TERM:</t>
    </r>
    <r>
      <rPr>
        <sz val="11"/>
        <color theme="1"/>
        <rFont val="Arial"/>
      </rPr>
      <t xml:space="preserve"> AR-ŪİAT (АР-ҰЯТ) — conscience-shame (compound): the active inner moral faculty [KED, SZK]
</t>
    </r>
    <r>
      <rPr>
        <b/>
        <sz val="11"/>
        <color theme="1"/>
        <rFont val="Arial"/>
      </rPr>
      <t xml:space="preserve">PASSAGE:</t>
    </r>
    <r>
      <rPr>
        <sz val="11"/>
        <color theme="1"/>
        <rFont val="Arial"/>
      </rPr>
      <t xml:space="preserve"> Бірақ сіз маған шексіз ұнайсыз---сіздің </t>
    </r>
    <r>
      <rPr>
        <b/>
        <sz val="11"/>
        <color theme="1"/>
        <rFont val="Arial"/>
      </rPr>
      <t xml:space="preserve">ар-ұятыңыз</t>
    </r>
    <r>
      <rPr>
        <sz val="11"/>
        <color theme="1"/>
        <rFont val="Arial"/>
      </rPr>
      <t xml:space="preserve"> бен адамгершілік ережелеріңіздің икемділігі ұнайды.
</t>
    </r>
    <r>
      <rPr>
        <b/>
        <sz val="11"/>
        <color theme="1"/>
        <rFont val="Arial"/>
      </rPr>
      <t xml:space="preserve">TRANS:</t>
    </r>
    <r>
      <rPr>
        <sz val="11"/>
        <color theme="1"/>
        <rFont val="Arial"/>
      </rPr>
      <t xml:space="preserve"> Bıraq sız mağan şeksız ūnaisyz---sızdıñ </t>
    </r>
    <r>
      <rPr>
        <b/>
        <sz val="11"/>
        <color theme="1"/>
        <rFont val="Arial"/>
      </rPr>
      <t xml:space="preserve">ar-ūiatyñyz</t>
    </r>
    <r>
      <rPr>
        <sz val="11"/>
        <color theme="1"/>
        <rFont val="Arial"/>
      </rPr>
      <t xml:space="preserve"> ben adamgerşılık erejelerıñızdıñ ikemdılıgı ūnaidy.
</t>
    </r>
    <r>
      <rPr>
        <b/>
        <sz val="11"/>
        <color theme="1"/>
        <rFont val="Arial"/>
      </rPr>
      <t xml:space="preserve">TRANSLATION:</t>
    </r>
    <r>
      <rPr>
        <sz val="11"/>
        <color theme="1"/>
        <rFont val="Arial"/>
      </rPr>
      <t xml:space="preserve"> But you appeal to me without measure — I like the elasticity of your </t>
    </r>
    <r>
      <rPr>
        <b/>
        <sz val="11"/>
        <color theme="1"/>
        <rFont val="Arial"/>
      </rPr>
      <t xml:space="preserve">conscience</t>
    </r>
    <r>
      <rPr>
        <sz val="11"/>
        <color theme="1"/>
        <rFont val="Arial"/>
      </rPr>
      <t xml:space="preserve"> and your principles of humanity.</t>
    </r>
  </si>
  <si>
    <t xml:space="preserve">Conscience — Resource</t>
  </si>
  <si>
    <t xml:space="preserve">Resource that has been almost spent</t>
  </si>
  <si>
    <t xml:space="preserve">"Yes. Aren't you relieved? I leave you to what remains of your conscience."</t>
  </si>
  <si>
    <t xml:space="preserve">TERM: sovesti (совести) — conscience (gen./dat./prep.) [ORD] (lemma: совесть)
PASSAGE: Хочу дать вам возможность побыть наедине с остатками вашей совести.
TRANS: Khochu dat' vam vozmozhnost' pobyt' naedine s ostatkami vashey sovesti.
TRANSLATION: I want to give you the chance to be alone with what remains of your conscience.</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</si>
  <si>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 Ұятыңыздан қалғандығымен бірге оңаша болуыңызға мүмкіндік берейін.
TRANS: Ūiatyñyzdan qalğandyğymen bırge oñaşa boluyñyzğa mümkındık bereiın.
TRANSLATION: I will give you the chance to be alone with what is left of your shame.</t>
    </r>
  </si>
  <si>
    <t xml:space="preserve">Conscience — Object (clean / unclean)</t>
  </si>
  <si>
    <t xml:space="preserve">Object that can become unclean</t>
  </si>
  <si>
    <t xml:space="preserve">Ellen finished and Gerald, who could never find his beads at prayer time, began furtively counting his decade on his fingers. As his voice droned on, Scarlett's thoughts strayed, in spite of herself. She knew she should be examining her conscience. Ellen had taught her that at the end of each day it was her duty to examine her conscience thoroughly, to admit her numerous faults and pray to God for forgiveness and strength never to repeat them. But Scarlett was examining her heart.</t>
  </si>
  <si>
    <t xml:space="preserve">TERM: sovest' (совесть) — conscience; the inner moral faculty [ORD]
PASSAGE: Под его монотонное, чтение Скарлетт невольно отвлеклась, хотя она знала, что ей сейчас надлежит, как учила ее Эллин, углубиться в себя, допросить свою совесть, вспомнить все проступки, совершенные за день, раскаяться в них и испросить у бога прощения, дабы он даровал ей силы никогда их больше не повторять.
TRANS: Pod ego monotonnoe, chtenie Skarlett nevol'no otvleklas', khotya ona znala, chto ey seychas nadlezhit, kak uchila ee Ellin, uglubit'sya v sebya, doprosit' svoyu sovest', vspomnit' vse prostupki, sovershennye za den', raskayat'sya v nikh i isprosit' u boga proshcheniya, daby on daroval ey sily nikogda ikh bol'she ne povtoryat'.
TRANSLATION: Under his monotonous reading, Scarlett involuntarily became distracted, although she knew that now she ought, as Ellen had taught her, to delve into herself, examine her conscience, recall all the wrongdoings committed during the day, repent of them, and ask God's forgiveness, that He might grant her the strength never to repeat them again.</t>
  </si>
  <si>
    <r>
      <rPr>
        <b/>
        <sz val="11"/>
        <color theme="1"/>
        <rFont val="Arial"/>
      </rPr>
      <t xml:space="preserve">TERM:</t>
    </r>
    <r>
      <rPr>
        <sz val="11"/>
        <color theme="1"/>
        <rFont val="Arial"/>
      </rPr>
      <t xml:space="preserve"> AR-OJDAN (АР-ОЖДАН) — conscience (compound from Arabic wijdān): the inalienable inner tribunal [KED, SZK]
</t>
    </r>
    <r>
      <rPr>
        <b/>
        <sz val="11"/>
        <color theme="1"/>
        <rFont val="Arial"/>
      </rPr>
      <t xml:space="preserve">PASSAGE:</t>
    </r>
    <r>
      <rPr>
        <sz val="11"/>
        <color theme="1"/>
        <rFont val="Arial"/>
      </rPr>
      <t xml:space="preserve"> Скарлетт Эллин үйреткендей, өз ішіне терең бойлап </t>
    </r>
    <r>
      <rPr>
        <b/>
        <sz val="11"/>
        <color theme="1"/>
        <rFont val="Arial"/>
      </rPr>
      <t xml:space="preserve">ар-ұжданын </t>
    </r>
    <r>
      <rPr>
        <sz val="11"/>
        <color theme="1"/>
        <rFont val="Arial"/>
      </rPr>
      <t xml:space="preserve">жауапқа тартып, ...
</t>
    </r>
    <r>
      <rPr>
        <b/>
        <sz val="11"/>
        <color theme="1"/>
        <rFont val="Arial"/>
      </rPr>
      <t xml:space="preserve">TRANS:</t>
    </r>
    <r>
      <rPr>
        <sz val="11"/>
        <color theme="1"/>
        <rFont val="Arial"/>
      </rPr>
      <t xml:space="preserve"> Skarlett Elin üiretkendei, öz ışıne tereñ boilap </t>
    </r>
    <r>
      <rPr>
        <b/>
        <sz val="11"/>
        <color theme="1"/>
        <rFont val="Arial"/>
      </rPr>
      <t xml:space="preserve">ar-ūjdanyn</t>
    </r>
    <r>
      <rPr>
        <sz val="11"/>
        <color theme="1"/>
        <rFont val="Arial"/>
      </rPr>
      <t xml:space="preserve"> jauapqa tartyp, ...
</t>
    </r>
    <r>
      <rPr>
        <b/>
        <sz val="11"/>
        <color theme="1"/>
        <rFont val="Arial"/>
      </rPr>
      <t xml:space="preserve">TRANSLATION:</t>
    </r>
    <r>
      <rPr>
        <sz val="11"/>
        <color theme="1"/>
        <rFont val="Arial"/>
      </rPr>
      <t xml:space="preserve"> Scarlett, as Ellen had taught her, plunging deep into herself, putting her </t>
    </r>
    <r>
      <rPr>
        <b/>
        <sz val="11"/>
        <color theme="1"/>
        <rFont val="Arial"/>
      </rPr>
      <t xml:space="preserve">conscience</t>
    </r>
    <r>
      <rPr>
        <sz val="11"/>
        <color theme="1"/>
        <rFont val="Arial"/>
      </rPr>
      <t xml:space="preserve"> to question,...</t>
    </r>
  </si>
  <si>
    <t xml:space="preserve">Conscience — Tormentor / punisher</t>
  </si>
  <si>
    <t xml:space="preserve">Moral wrongs, past harm to Melanie; Melanie as moral mirror</t>
  </si>
  <si>
    <r>
      <rPr>
        <b/>
        <sz val="11"/>
        <color theme="1"/>
        <rFont val="Arial"/>
      </rPr>
      <t xml:space="preserve">TERM:</t>
    </r>
    <r>
      <rPr>
        <sz val="11"/>
        <color theme="1"/>
        <rFont val="Arial"/>
      </rPr>
      <t xml:space="preserve"> AR-ŪİAT (АР-ҰЯТ) — conscience-shame (compound): the active inner moral faculty [KED, SZK]
</t>
    </r>
    <r>
      <rPr>
        <b/>
        <sz val="11"/>
        <color theme="1"/>
        <rFont val="Arial"/>
      </rPr>
      <t xml:space="preserve">PASSAGE:</t>
    </r>
    <r>
      <rPr>
        <sz val="11"/>
        <color theme="1"/>
        <rFont val="Arial"/>
      </rPr>
      <t xml:space="preserve"> "Мұны айта алмайды екенмін, </t>
    </r>
    <r>
      <rPr>
        <b/>
        <sz val="11"/>
        <color theme="1"/>
        <rFont val="Arial"/>
      </rPr>
      <t xml:space="preserve">ар-ұятым</t>
    </r>
    <r>
      <rPr>
        <sz val="11"/>
        <color theme="1"/>
        <rFont val="Arial"/>
      </rPr>
      <t xml:space="preserve"> тұншықтырып өлтірсе де айта алмаймын" деп тұнжырай ойлады Скарлетт.
</t>
    </r>
    <r>
      <rPr>
        <b/>
        <sz val="11"/>
        <color theme="1"/>
        <rFont val="Arial"/>
      </rPr>
      <t xml:space="preserve">TRANS:</t>
    </r>
    <r>
      <rPr>
        <sz val="11"/>
        <color theme="1"/>
        <rFont val="Arial"/>
      </rPr>
      <t xml:space="preserve"> "Mūny aita almaidy ekenmın, </t>
    </r>
    <r>
      <rPr>
        <b/>
        <sz val="11"/>
        <color theme="1"/>
        <rFont val="Arial"/>
      </rPr>
      <t xml:space="preserve">ar-ūiatym</t>
    </r>
    <r>
      <rPr>
        <sz val="11"/>
        <color theme="1"/>
        <rFont val="Arial"/>
      </rPr>
      <t xml:space="preserve"> tūnşyqtyryp öltırse de aita almaimyn" dep tūnjyrai oilady Skarlett.
</t>
    </r>
    <r>
      <rPr>
        <b/>
        <sz val="11"/>
        <color theme="1"/>
        <rFont val="Arial"/>
      </rPr>
      <t xml:space="preserve">TRANSLATION:</t>
    </r>
    <r>
      <rPr>
        <sz val="11"/>
        <color theme="1"/>
        <rFont val="Arial"/>
      </rPr>
      <t xml:space="preserve"> "I cannot say it, even if my </t>
    </r>
    <r>
      <rPr>
        <b/>
        <sz val="11"/>
        <color theme="1"/>
        <rFont val="Arial"/>
      </rPr>
      <t xml:space="preserve">conscience</t>
    </r>
    <r>
      <rPr>
        <sz val="11"/>
        <color theme="1"/>
        <rFont val="Arial"/>
      </rPr>
      <t xml:space="preserve"> should choke and kill me, I cannot say it," thought Scarlett gloomily.</t>
    </r>
  </si>
  <si>
    <t xml:space="preserve">Conscience activated by Ellen’s image, later overcome</t>
  </si>
  <si>
    <t xml:space="preserve">When Scarlett first began secretly reading these letters, she had been so stricken of conscience and so fearful of discovery she could hardly open the envelopes for trembling. Now, her never- too-scrupulous sense of honor was dulled by repetition of the offense and even fear of discovery had subsided. Occasionally, she thought with a sinking heart, "What would Mother say if she knew?" She knew Ellen would rather see her dead than know her guilty of such dishonor. This had worried Scarlett at first, for she still wanted to be like her mother in every respect. But the temptation to read the letters was too great and she put the thought of Ellen out of her mind.</t>
  </si>
  <si>
    <t xml:space="preserve">TERM: sovest' (совесть) — conscience; the inner moral faculty [ORD]
PASSAGE: Когда она впервые начала украдкой читать эти письма, ее порядком мучила совесть и охватывал такой страх быть пойманной на месте преступления, что она едва решалась вскрыть дрожащими пальцами конверт.
TRANS: Kogda ona vpervye nachala ukradkoy chitat' eti pis'ma, ee poryadkom muchila sovest' i okhvatyval takoy strakh byt' poymannoy na meste prestupleniya, chto ona edva reshalas' vskryt' drozhashchimi pal'tsami konvert.
TRANSLATION: When she first began secretly to read these letters, her conscience tormented her terribly and such a fear of being caught in the act gripped her that she barely dared open the envelope with trembling fingers.</t>
  </si>
  <si>
    <r>
      <rPr>
        <b/>
        <sz val="11"/>
        <color theme="1"/>
        <rFont val="Arial"/>
      </rPr>
      <t xml:space="preserve">TERM:</t>
    </r>
    <r>
      <rPr>
        <sz val="11"/>
        <color theme="1"/>
        <rFont val="Arial"/>
      </rPr>
      <t xml:space="preserve"> AR-OJDAN (АР-ОЖДАН) — conscience (compound from Arabic wijdān): the inalienable inner tribunal [KED, SZK]
</t>
    </r>
    <r>
      <rPr>
        <b/>
        <sz val="11"/>
        <color theme="1"/>
        <rFont val="Arial"/>
      </rPr>
      <t xml:space="preserve">PASSAGE:</t>
    </r>
    <r>
      <rPr>
        <sz val="11"/>
        <color theme="1"/>
        <rFont val="Arial"/>
      </rPr>
      <t xml:space="preserve"> Ол бастапқыда</t>
    </r>
    <r>
      <rPr>
        <b/>
        <sz val="11"/>
        <color theme="1"/>
        <rFont val="Arial"/>
      </rPr>
      <t xml:space="preserve"> ар-ұжданы</t>
    </r>
    <r>
      <rPr>
        <sz val="11"/>
        <color theme="1"/>
        <rFont val="Arial"/>
      </rPr>
      <t xml:space="preserve"> қинап, өзін қылмыс үстінде ұстап алатындай қорқыныш билеп, саусағы дірілдеп конвертті әрең ашып, хаттарды оқи бастады.
</t>
    </r>
    <r>
      <rPr>
        <b/>
        <sz val="11"/>
        <color theme="1"/>
        <rFont val="Arial"/>
      </rPr>
      <t xml:space="preserve">TRANS:</t>
    </r>
    <r>
      <rPr>
        <sz val="11"/>
        <color theme="1"/>
        <rFont val="Arial"/>
      </rPr>
      <t xml:space="preserve"> Ol bastapqyda </t>
    </r>
    <r>
      <rPr>
        <b/>
        <sz val="11"/>
        <color theme="1"/>
        <rFont val="Arial"/>
      </rPr>
      <t xml:space="preserve">ar-ūjdany</t>
    </r>
    <r>
      <rPr>
        <sz val="11"/>
        <color theme="1"/>
        <rFont val="Arial"/>
      </rPr>
      <t xml:space="preserve"> qinap, özın qylmys üstınde ūstap alatyndai qorqynyş bilep, sausağy dırıldep konverttı äreñ aşyp, hattardy oqi bastady.
</t>
    </r>
    <r>
      <rPr>
        <b/>
        <sz val="11"/>
        <color theme="1"/>
        <rFont val="Arial"/>
      </rPr>
      <t xml:space="preserve">TRANSLATION:</t>
    </r>
    <r>
      <rPr>
        <sz val="11"/>
        <color theme="1"/>
        <rFont val="Arial"/>
      </rPr>
      <t xml:space="preserve"> At first her </t>
    </r>
    <r>
      <rPr>
        <b/>
        <sz val="11"/>
        <color theme="1"/>
        <rFont val="Arial"/>
      </rPr>
      <t xml:space="preserve">conscience </t>
    </r>
    <r>
      <rPr>
        <sz val="11"/>
        <color theme="1"/>
        <rFont val="Arial"/>
      </rPr>
      <t xml:space="preserve">tormented her, fear gripped her as if she might be caught in the crime, and her fingers trembled as she barely managed to open the envelope and begin reading the letters.</t>
    </r>
  </si>
  <si>
    <t xml:space="preserve">Tormentor conscience involuntarily activated — stricken; fused with guilt and social fear</t>
  </si>
  <si>
    <t xml:space="preserve">When Scarlett first began secretly reading these letters, she had been so stricken of conscience and so fearful of discovery she could hardly open the envelopes for trembling. Now, her never- too-scrupulous sense of honor was dulled by repetition of the offense and even fear of discovery had subsided. Occasionally, she thought with a sinking heart, "What would Mother say if she knew?" She knew Ellen would rather see her dead than know her guilty of such dishonor. This had worried Scarlett at first, for she still wanted to be like her mother in every respect. But the temptation to read the letters was too great and she put the thought of Ellen out of her mind. She had become adept at putting unpleasant thoughts out of her mind these days. She had learned to say, "I won't think of this or that bothersome thought now. I'll think about it tomorrow." Generally when tomorrow came, the thought either did not occur at all or it was so attenuated by the delay it was not very troublesome. So the matter of Ashley's letters did not lie very heavily on her conscience.</t>
  </si>
  <si>
    <r>
      <rPr>
        <b/>
        <sz val="11"/>
        <color theme="1"/>
        <rFont val="Arial"/>
      </rPr>
      <t xml:space="preserve">TERM:</t>
    </r>
    <r>
      <rPr>
        <sz val="11"/>
        <color theme="1"/>
        <rFont val="Arial"/>
      </rPr>
      <t xml:space="preserve"> AR-OJDAN (АР-ОЖДАН) — conscience (compound from Arabic wijdān): the inalienable inner tribunal [KED, SZK]
</t>
    </r>
    <r>
      <rPr>
        <b/>
        <sz val="11"/>
        <color theme="1"/>
        <rFont val="Arial"/>
      </rPr>
      <t xml:space="preserve">PASSAGE:</t>
    </r>
    <r>
      <rPr>
        <sz val="11"/>
        <color theme="1"/>
        <rFont val="Arial"/>
      </rPr>
      <t xml:space="preserve"> Ол бастапқыда </t>
    </r>
    <r>
      <rPr>
        <b/>
        <sz val="11"/>
        <color theme="1"/>
        <rFont val="Arial"/>
      </rPr>
      <t xml:space="preserve">ар-ұжданы </t>
    </r>
    <r>
      <rPr>
        <sz val="11"/>
        <color theme="1"/>
        <rFont val="Arial"/>
      </rPr>
      <t xml:space="preserve">қинап, өзін қылмыс үстінде ұстап алатындай қорқыныш билеп, саусағы дірілдеп конвертті әрең ашып, хаттарды оқи бастады.
</t>
    </r>
    <r>
      <rPr>
        <b/>
        <sz val="11"/>
        <color theme="1"/>
        <rFont val="Arial"/>
      </rPr>
      <t xml:space="preserve">TRANS:</t>
    </r>
    <r>
      <rPr>
        <sz val="11"/>
        <color theme="1"/>
        <rFont val="Arial"/>
      </rPr>
      <t xml:space="preserve"> Ol bastapqyda </t>
    </r>
    <r>
      <rPr>
        <b/>
        <sz val="11"/>
        <color theme="1"/>
        <rFont val="Arial"/>
      </rPr>
      <t xml:space="preserve">ar-ūjdany </t>
    </r>
    <r>
      <rPr>
        <sz val="11"/>
        <color theme="1"/>
        <rFont val="Arial"/>
      </rPr>
      <t xml:space="preserve">qinap, özın qylmys üstınde ūstap alatyndai qorqynyş bilep, sausağy dırıldep konverttı äreñ aşyp, hattardy oqi bastady.
</t>
    </r>
    <r>
      <rPr>
        <b/>
        <sz val="11"/>
        <color theme="1"/>
        <rFont val="Arial"/>
      </rPr>
      <t xml:space="preserve">TRANSLATION:</t>
    </r>
    <r>
      <rPr>
        <sz val="11"/>
        <color theme="1"/>
        <rFont val="Arial"/>
      </rPr>
      <t xml:space="preserve"> At first her </t>
    </r>
    <r>
      <rPr>
        <b/>
        <sz val="11"/>
        <color theme="1"/>
        <rFont val="Arial"/>
      </rPr>
      <t xml:space="preserve">conscience</t>
    </r>
    <r>
      <rPr>
        <sz val="11"/>
        <color theme="1"/>
        <rFont val="Arial"/>
      </rPr>
      <t xml:space="preserve"> tormented her, fear gripped her as if she might be caught in the crime, and her fingers trembled as she barely managed to open the envelope and begin reading the letters.</t>
    </r>
  </si>
  <si>
    <t xml:space="preserve">Punisher</t>
  </si>
  <si>
    <t xml:space="preserve">Scarlett's conscience smote her at this last, for it had been months since she had been to church. Once she would have thought this omission a mortal sin but, somehow, staying away from church did not seem so sinful now as it formerly had. But she obeyed her mother and going to her room gabbled a hasty Rosary. When she rose from her knees she did not feel as comforted as she had formerly felt after prayer. For some time she had felt that God was not watching out for her, the Confederates or the South, in spite of the millions of prayers ascending to Him daily.</t>
  </si>
  <si>
    <t xml:space="preserve">TERM: ugryzeniya sovesti: (угрызения совести:) = pangs of conscience
PASSAGE: Читая эти строки, Скарлетт почувствовала угрызения совести: ведь она уже который месяц не посещала храма.
TRANS: Chitaya eti stroki, Skarlett pochuvstvovala ugryzeniya sovesti: ved' ona uzhe kotoryy mesyats ne poseshchala khrama.
TRANSLATION: Reading these lines, Scarlett felt pangs of conscience: for she had not visited the temple for several months now.</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</si>
  <si>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Бұл жолдарды оқи отырып, Скарлетт </t>
    </r>
    <r>
      <rPr>
        <b/>
        <sz val="11"/>
        <color theme="1"/>
        <rFont val="Arial"/>
      </rPr>
      <t xml:space="preserve">ұялып</t>
    </r>
    <r>
      <rPr>
        <sz val="11"/>
        <color theme="1"/>
        <rFont val="Arial"/>
      </rPr>
      <t xml:space="preserve"> кетті: өйткені ол бірнеше ай бойы ғибадатханаға бармаған болатын.
</t>
    </r>
    <r>
      <rPr>
        <b/>
        <sz val="11"/>
        <color theme="1"/>
        <rFont val="Arial"/>
      </rPr>
      <t xml:space="preserve">TRANS:</t>
    </r>
    <r>
      <rPr>
        <sz val="11"/>
        <color theme="1"/>
        <rFont val="Arial"/>
      </rPr>
      <t xml:space="preserve"> Būl joldardy oqi otyryp, Skarlett </t>
    </r>
    <r>
      <rPr>
        <b/>
        <sz val="11"/>
        <color theme="1"/>
        <rFont val="Arial"/>
      </rPr>
      <t xml:space="preserve">ūialyp</t>
    </r>
    <r>
      <rPr>
        <sz val="11"/>
        <color theme="1"/>
        <rFont val="Arial"/>
      </rPr>
      <t xml:space="preserve"> kettı: öitkenı ol bırneşe ai boiy ğibadathanağa barmağan bolatyn.
</t>
    </r>
    <r>
      <rPr>
        <b/>
        <sz val="11"/>
        <color theme="1"/>
        <rFont val="Arial"/>
      </rPr>
      <t xml:space="preserve">TRANSLATION:</t>
    </r>
    <r>
      <rPr>
        <sz val="11"/>
        <color theme="1"/>
        <rFont val="Arial"/>
      </rPr>
      <t xml:space="preserve"> Reading these lines, Scarlett became </t>
    </r>
    <r>
      <rPr>
        <b/>
        <sz val="11"/>
        <color theme="1"/>
        <rFont val="Arial"/>
      </rPr>
      <t xml:space="preserve">ashamed</t>
    </r>
    <r>
      <rPr>
        <sz val="11"/>
        <color theme="1"/>
        <rFont val="Arial"/>
      </rPr>
      <t xml:space="preserve">: for she had not gone to the place of worship for several months.</t>
    </r>
  </si>
  <si>
    <t xml:space="preserve">Tormentor</t>
  </si>
  <si>
    <t xml:space="preserve">"Never mind the rest. I follow your general idea. When I'm dead on the altar of my country, I hope your conscience hurts you."</t>
  </si>
  <si>
    <t xml:space="preserve">TERM: sovesti (совести) — conscience (gen./dat./prep.) [ORD] (lemma: совесть)
PASSAGE: Когда я сложу голову на алтарь отечества, вам, боюсь, придется испытать легкий укол совести.
TRANS: Kogda ya slozhu golovu na altar' otechestva, vam, boyus', pridetsya ispytat' legkiy ukol sovesti.
TRANSLATION: When I lay my head on the altar of the fatherland, you, I fear, will have to feel a slight prick of conscience.</t>
  </si>
  <si>
    <r>
      <rPr>
        <b/>
        <sz val="11"/>
        <color theme="1"/>
        <rFont val="Arial"/>
      </rPr>
      <t xml:space="preserve">TERM:</t>
    </r>
    <r>
      <rPr>
        <sz val="11"/>
        <color theme="1"/>
        <rFont val="Arial"/>
      </rPr>
      <t xml:space="preserve"> AR-OJDAN (АР-ОЖДАН) — conscience (compound from Arabic wijdān): the inalienable inner tribunal [KED, SZK]
</t>
    </r>
    <r>
      <rPr>
        <b/>
        <sz val="11"/>
        <color theme="1"/>
        <rFont val="Arial"/>
      </rPr>
      <t xml:space="preserve">PASSAGE:</t>
    </r>
    <r>
      <rPr>
        <sz val="11"/>
        <color theme="1"/>
        <rFont val="Arial"/>
      </rPr>
      <t xml:space="preserve"> Менің басым туған ел үшін құрбан болған кезде, сізді аздап болса да ар-ұжданыңыз мазалайтын шығар деп қорқамын.
</t>
    </r>
    <r>
      <rPr>
        <b/>
        <sz val="11"/>
        <color theme="1"/>
        <rFont val="Arial"/>
      </rPr>
      <t xml:space="preserve">TRANS:</t>
    </r>
    <r>
      <rPr>
        <sz val="11"/>
        <color theme="1"/>
        <rFont val="Arial"/>
      </rPr>
      <t xml:space="preserve"> Menıñ basym tuğan el üşın qūrban bolğan kezde, sızdı azdap bolsa da </t>
    </r>
    <r>
      <rPr>
        <b/>
        <sz val="11"/>
        <color theme="1"/>
        <rFont val="Arial"/>
      </rPr>
      <t xml:space="preserve">ar-ūjdanyñyz</t>
    </r>
    <r>
      <rPr>
        <sz val="11"/>
        <color theme="1"/>
        <rFont val="Arial"/>
      </rPr>
      <t xml:space="preserve"> mazalaityn şyğar dep qorqamyn.
</t>
    </r>
    <r>
      <rPr>
        <b/>
        <sz val="11"/>
        <color theme="1"/>
        <rFont val="Arial"/>
      </rPr>
      <t xml:space="preserve">TRANSLATION:</t>
    </r>
    <r>
      <rPr>
        <sz val="11"/>
        <color theme="1"/>
        <rFont val="Arial"/>
      </rPr>
      <t xml:space="preserve"> When my head is sacrificed for the native land, I fear your </t>
    </r>
    <r>
      <rPr>
        <b/>
        <sz val="11"/>
        <color theme="1"/>
        <rFont val="Arial"/>
      </rPr>
      <t xml:space="preserve">conscience</t>
    </r>
    <r>
      <rPr>
        <sz val="11"/>
        <color theme="1"/>
        <rFont val="Arial"/>
      </rPr>
      <t xml:space="preserve"> may trouble you a little.</t>
    </r>
  </si>
  <si>
    <t xml:space="preserve">Attacker, tormentor</t>
  </si>
  <si>
    <t xml:space="preserve">He winced at her words but his eyes still met hers, imploring silence, comfort. Every line of his face admitted the truth of her words. The very droop of his shoulders showed that his own self- castigation was more cruel than any she could give. He stood silent before her, clutching the glove as though it were an understanding hand and, in the stillness that followed her words, her indignation fell away and pity, tinged with contempt, took its place. Her conscience smote her. She was kicking a beaten and defenseless man—and she had promised Melanie that she would look after him.</t>
  </si>
  <si>
    <t xml:space="preserve">TERM: Sovest' (Совесть) — conscience; the inner moral faculty [ORD]
PASSAGE: Совесть заговорила в ней.
TRANS: Sovest' zagovorila v ney.
TRANSLATION: Conscience spoke up in her.</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</si>
  <si>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 Ұяты өзімен тілдескендей.
TRANS: Ūiaty özımen tıldeskendei.
TRANSLATION: It was as if her shame began to converse with her.</t>
    </r>
  </si>
  <si>
    <t xml:space="preserve">Mild pain due to a minor breach</t>
  </si>
  <si>
    <t xml:space="preserve">"Oh!" cried Melanie, looking conscience stricken. "How I have run on! Scarlett, I didn't mean to hurt your feelings or to criticize.</t>
  </si>
  <si>
    <t xml:space="preserve">Conscience — Internal authority (judge)</t>
  </si>
  <si>
    <t xml:space="preserve">conscience as active inner faculty — inner moral judge - ABSENT</t>
  </si>
  <si>
    <t xml:space="preserve">But now, Scarlett pushed that admonition into the back of her mind. That she was encouraging theft, and perhaps theft from people worse off than she, was no longer a matter for conscience. In fact the morals of the affair weighed lightly upon her. Instead of punishment or reproof, she only regretted he had been shot.</t>
  </si>
  <si>
    <t xml:space="preserve">Conscience — Pained body part</t>
  </si>
  <si>
    <t xml:space="preserve">Briefly pained body part</t>
  </si>
  <si>
    <t xml:space="preserve">There was a startled silence and then the buzzing broke out again. India rose tiredly from her seat beneath the arbor and went toward the angry Stuart Tarleton. Scarlett could not hear what she said, but the look in her eyes as she gazed up into his lowering face gave Scarlett something like a twinge of conscience. It was the same look of belonging that Melanie wore when she looked at Ashley, only Stuart did not see it. So India did love him. Scarlett thought for an instant that if she had not flirted so blatantly with Stuart at that political speaking a year ago, he might have married India long ere this. But then the twinge passed with the comforting thought that it wasn't her fault if other girls couldn't keep their men.</t>
  </si>
  <si>
    <t xml:space="preserve">TERM: sovesti (совести) — conscience (gen./dat./prep.) [ORD] (lemma: совесть)
PASSAGE: Слов Индии Скарлетт не слышала, но то, что она прочла в устремленном на Стюарта взгляде, заставило ее испытать нечто похожее на укол совести.
TRANS: Slov Indii Skarlett ne slyshala, no to, chto ona prochla v ustremlennom na Styuarta vzglyade, zastavilo ee ispytat' nechto pokhozhee na ukol sovesti.
TRANSLATION: Scarlett did not hear India's words, but what she read in the look fixed on Stuart made her experience something like a prick of conscience.</t>
  </si>
  <si>
    <r>
      <rPr>
        <b/>
        <sz val="11"/>
        <color theme="1"/>
        <rFont val="Arial"/>
      </rPr>
      <t xml:space="preserve">TERM:</t>
    </r>
    <r>
      <rPr>
        <sz val="11"/>
        <color theme="1"/>
        <rFont val="Arial"/>
      </rPr>
      <t xml:space="preserve"> AR-OJDAN (АР-ОЖДАН) — conscience (compound from Arabic wijdān): the inalienable inner tribunal [KED, SZK]
</t>
    </r>
    <r>
      <rPr>
        <b/>
        <sz val="11"/>
        <color theme="1"/>
        <rFont val="Arial"/>
      </rPr>
      <t xml:space="preserve">PASSAGE:</t>
    </r>
    <r>
      <rPr>
        <sz val="11"/>
        <color theme="1"/>
        <rFont val="Arial"/>
      </rPr>
      <t xml:space="preserve"> Скарлетт Индияның не айтқанын естімеді, бірақ оның Стюартқа қадалған көзінен оқыған жазулар мұның </t>
    </r>
    <r>
      <rPr>
        <b/>
        <sz val="11"/>
        <color theme="1"/>
        <rFont val="Arial"/>
      </rPr>
      <t xml:space="preserve">ар-ожданына</t>
    </r>
    <r>
      <rPr>
        <sz val="11"/>
        <color theme="1"/>
        <rFont val="Arial"/>
      </rPr>
      <t xml:space="preserve"> ине сұғып алғандай әсер етті.
</t>
    </r>
    <r>
      <rPr>
        <b/>
        <sz val="11"/>
        <color theme="1"/>
        <rFont val="Arial"/>
      </rPr>
      <t xml:space="preserve">TRANS:</t>
    </r>
    <r>
      <rPr>
        <sz val="11"/>
        <color theme="1"/>
        <rFont val="Arial"/>
      </rPr>
      <t xml:space="preserve"> Skarlett İndianyñ ne aitqanyn estımedı, bıraq onyñ Stüartqa qadalğan közınen oqyğan jazular mūnyñ </t>
    </r>
    <r>
      <rPr>
        <b/>
        <sz val="11"/>
        <color theme="1"/>
        <rFont val="Arial"/>
      </rPr>
      <t xml:space="preserve">ar-ojdanyna</t>
    </r>
    <r>
      <rPr>
        <sz val="11"/>
        <color theme="1"/>
        <rFont val="Arial"/>
      </rPr>
      <t xml:space="preserve"> ine sūğyp alğandai äser ettı.
</t>
    </r>
    <r>
      <rPr>
        <b/>
        <sz val="11"/>
        <color theme="1"/>
        <rFont val="Arial"/>
      </rPr>
      <t xml:space="preserve">TRANSLATION:</t>
    </r>
    <r>
      <rPr>
        <sz val="11"/>
        <color theme="1"/>
        <rFont val="Arial"/>
      </rPr>
      <t xml:space="preserve"> Scarlett did not hear what India said, but the writing she read in her gaze fixed on Stuart had the effect of pricking her </t>
    </r>
    <r>
      <rPr>
        <b/>
        <sz val="11"/>
        <color theme="1"/>
        <rFont val="Arial"/>
      </rPr>
      <t xml:space="preserve">conscience</t>
    </r>
    <r>
      <rPr>
        <sz val="11"/>
        <color theme="1"/>
        <rFont val="Arial"/>
      </rPr>
      <t xml:space="preserve"> with a needle.</t>
    </r>
  </si>
  <si>
    <t xml:space="preserve">Pained body part</t>
  </si>
  <si>
    <t xml:space="preserve">She crossed the room to the mirror and patted her smooth hair approvingly. Her spirits rose, as always at the sight of her white skin and slanting green eyes, and she smiled to bring out her dimples. Then she dismissed Captain Butler from her mind as she happily viewed her reflection, remembering how Ashley had always liked her dimples. No pang of conscience at loving another woman's husband or reading that woman's mail disturbed her pleasure in her youth and charm and her renewed assurance of Ashley's love.</t>
  </si>
  <si>
    <t xml:space="preserve">TERM: sovesti (совести) — conscience (gen./dat./prep.) [ORD] (lemma: совесть)
PASSAGE: Мысль о том, что она любит чужого мужа и только что тайком прочла его письма, адресованные жене, не потревожила ее совести и не омрачила радости, которую давало ей сознание своей молодости, очарования и окрепшая уверенность в любви Эшли.
TRANS: Mysl' o tom, chto ona lyubit chuzhogo muzha i tol'ko chto taykom prochla ego pis'ma, adresovannye zhene, ne potrevozhila ee sovesti i ne omrachila radosti, kotoruyu davalo ey soznanie svoey molodosti, ocharovaniya i okrepshaya uverennost' v lyubvi Eshli.
TRANSLATION: The thought that she loved another woman's husband and had just secretly read his letters addressed to his wife did not trouble her conscience, nor did it dim the joy that the awareness of her youth, charm, and strengthened conviction in Ashley's love brought her.</t>
  </si>
  <si>
    <r>
      <rPr>
        <b/>
        <sz val="11"/>
        <color theme="1"/>
        <rFont val="Arial"/>
      </rPr>
      <t xml:space="preserve">TERM:</t>
    </r>
    <r>
      <rPr>
        <sz val="11"/>
        <color theme="1"/>
        <rFont val="Arial"/>
      </rPr>
      <t xml:space="preserve"> AR (АР) — honour; conscience; inalienable inner moral principle [KED, SZK]
</t>
    </r>
    <r>
      <rPr>
        <b/>
        <sz val="11"/>
        <color theme="1"/>
        <rFont val="Arial"/>
      </rPr>
      <t xml:space="preserve">PASSAGE:</t>
    </r>
    <r>
      <rPr>
        <sz val="11"/>
        <color theme="1"/>
        <rFont val="Arial"/>
      </rPr>
      <t xml:space="preserve"> Өзінің басқа біреудің күйеуін жақсы көріп, жаңа ғана оның әйеліне жазған хаттарын жасырын оқығаны туралы ой оның </t>
    </r>
    <r>
      <rPr>
        <b/>
        <sz val="11"/>
        <color theme="1"/>
        <rFont val="Arial"/>
      </rPr>
      <t xml:space="preserve">арын</t>
    </r>
    <r>
      <rPr>
        <sz val="11"/>
        <color theme="1"/>
        <rFont val="Arial"/>
      </rPr>
      <t xml:space="preserve"> мазаламады және оның жастық санасы, сүйкімділігі мен Эшлидің махаббатына деген сенімін нығайтқан қуаныш өшірмеді.
</t>
    </r>
    <r>
      <rPr>
        <b/>
        <sz val="11"/>
        <color theme="1"/>
        <rFont val="Arial"/>
      </rPr>
      <t xml:space="preserve">TRANS:</t>
    </r>
    <r>
      <rPr>
        <sz val="11"/>
        <color theme="1"/>
        <rFont val="Arial"/>
      </rPr>
      <t xml:space="preserve"> Özınıñ basqa bıreudıñ küieuın jaqsy körıp, jaña ğana onyñ äielıne jazğan hattaryn jasyryn oqyğany turaly oi onyñ </t>
    </r>
    <r>
      <rPr>
        <b/>
        <sz val="11"/>
        <color theme="1"/>
        <rFont val="Arial"/>
      </rPr>
      <t xml:space="preserve">aryn</t>
    </r>
    <r>
      <rPr>
        <sz val="11"/>
        <color theme="1"/>
        <rFont val="Arial"/>
      </rPr>
      <t xml:space="preserve"> mazalamady jäne onyñ jastyq sanasy, süikımdılıgı men Eşlidıñ mahabbatyna degen senımın nyğaitqan quanyş öşırmedı.
</t>
    </r>
    <r>
      <rPr>
        <b/>
        <sz val="11"/>
        <color theme="1"/>
        <rFont val="Arial"/>
      </rPr>
      <t xml:space="preserve">TRANSLATION:</t>
    </r>
    <r>
      <rPr>
        <sz val="11"/>
        <color theme="1"/>
        <rFont val="Arial"/>
      </rPr>
      <t xml:space="preserve"> The thought that she loved someone else's husband and had just secretly read the letters he had written to his wife did not trouble her </t>
    </r>
    <r>
      <rPr>
        <b/>
        <sz val="11"/>
        <color theme="1"/>
        <rFont val="Arial"/>
      </rPr>
      <t xml:space="preserve">conscience</t>
    </r>
    <r>
      <rPr>
        <sz val="11"/>
        <color theme="1"/>
        <rFont val="Arial"/>
      </rPr>
      <t xml:space="preserve">/</t>
    </r>
    <r>
      <rPr>
        <b/>
        <sz val="11"/>
        <color theme="1"/>
        <rFont val="Arial"/>
      </rPr>
      <t xml:space="preserve">honor</t>
    </r>
    <r>
      <rPr>
        <sz val="11"/>
        <color theme="1"/>
        <rFont val="Arial"/>
      </rPr>
      <t xml:space="preserve">, nor did it extinguish the joy that her young consciousness, charm, and strengthened belief in Ashley's love had given her.</t>
    </r>
  </si>
  <si>
    <t xml:space="preserve">Conscience — Weight</t>
  </si>
  <si>
    <t xml:space="preserve">Feeling of weight</t>
  </si>
  <si>
    <t xml:space="preserve">Weight-bearer</t>
  </si>
  <si>
    <t xml:space="preserve">She had killed Frank. She had killed him just as surely as if it had been her finger that pulled the trigger. He had begged her not to go about alone but she had not listened to him. And now he was dead because of her obstinacy. God would punish her for that. But there lay upon her conscience another matter that was heavier and more frightening even than causing his death—a matter which had never troubled her until she looked upon his coffined face. There had been something helpless and pathetic in that still face which had accused her. God would punish her for marrying him when he really loved Suellen. She would have to cower at the seat of judgment and answer for that lie she told him coming back from the Yankee camp in his buggy.</t>
  </si>
  <si>
    <t xml:space="preserve">TERM: prinizila (принизила) — belittled; disparaged (pf., past fem.) [ORD] (lemma: принизить) Но на совести ее лежал и другой грех — лежал даже более тяжким и страшным грузом, чем его смерть; и этот грех никогда не тревожил ее, пока она не увидела лицо Фрэнка в гробу.
PASSAGE: Но на совести ее лежал и другой грех — лежал даже более тяжким и страшным грузом, чем его смерть; и этот грех никогда не тревожил ее, пока она не увидела лицо Фрэнка в гробу.
TRANS: No na sovesti yeye lezhal i drugoy grekh — lezhal dazhe boleye tyazhkim i strashnym gruzom, chem yego smert'; i etot grekh nikogda ne trevozhil yeye, poka ona ne uvidela litso Frenka v grobu.
TRANSLATION: But upon her conscience there lay also another sin — lay even as a heavier and more terrible burden than his death; and this sin had never troubled her until she saw Frank's face in the coffin.</t>
  </si>
  <si>
    <r>
      <rPr>
        <b/>
        <sz val="11"/>
        <color theme="1"/>
        <rFont val="Arial"/>
      </rPr>
      <t xml:space="preserve">TERM:</t>
    </r>
    <r>
      <rPr>
        <sz val="11"/>
        <color theme="1"/>
        <rFont val="Arial"/>
      </rPr>
      <t xml:space="preserve"> ar (ар) — honour; conscience; inalienable inner moral principle [KED, SZK]
</t>
    </r>
    <r>
      <rPr>
        <b/>
        <sz val="11"/>
        <color theme="1"/>
        <rFont val="Arial"/>
      </rPr>
      <t xml:space="preserve">PASSAGE:</t>
    </r>
    <r>
      <rPr>
        <sz val="11"/>
        <color theme="1"/>
        <rFont val="Arial"/>
      </rPr>
      <t xml:space="preserve"> Бірақ оның </t>
    </r>
    <r>
      <rPr>
        <b/>
        <sz val="11"/>
        <color theme="1"/>
        <rFont val="Arial"/>
      </rPr>
      <t xml:space="preserve">арына</t>
    </r>
    <r>
      <rPr>
        <sz val="11"/>
        <color theme="1"/>
        <rFont val="Arial"/>
      </rPr>
      <t xml:space="preserve"> салмақ түсірген бұдан да ауыр қылмысы бар, ауырлығы сондай, күйеуінің өлімінен де сорақы..
</t>
    </r>
    <r>
      <rPr>
        <b/>
        <sz val="11"/>
        <color theme="1"/>
        <rFont val="Arial"/>
      </rPr>
      <t xml:space="preserve">TRANS:</t>
    </r>
    <r>
      <rPr>
        <sz val="11"/>
        <color theme="1"/>
        <rFont val="Arial"/>
      </rPr>
      <t xml:space="preserve"> Bıraq onyñ </t>
    </r>
    <r>
      <rPr>
        <b/>
        <sz val="11"/>
        <color theme="1"/>
        <rFont val="Arial"/>
      </rPr>
      <t xml:space="preserve">aryna</t>
    </r>
    <r>
      <rPr>
        <sz val="11"/>
        <color theme="1"/>
        <rFont val="Arial"/>
      </rPr>
      <t xml:space="preserve"> salmaq tüsırgen būdan da auyr qylmysy bar, auyrlyğy sondai, küieuınıñ ölımınen de soraqy..
</t>
    </r>
    <r>
      <rPr>
        <b/>
        <sz val="11"/>
        <color theme="1"/>
        <rFont val="Arial"/>
      </rPr>
      <t xml:space="preserve">TRANSLATION:</t>
    </r>
    <r>
      <rPr>
        <sz val="11"/>
        <color theme="1"/>
        <rFont val="Arial"/>
      </rPr>
      <t xml:space="preserve"> But upon her </t>
    </r>
    <r>
      <rPr>
        <b/>
        <sz val="11"/>
        <color theme="1"/>
        <rFont val="Arial"/>
      </rPr>
      <t xml:space="preserve">conscience</t>
    </r>
    <r>
      <rPr>
        <sz val="11"/>
        <color theme="1"/>
        <rFont val="Arial"/>
      </rPr>
      <t xml:space="preserve"> there lay an even heavier crime than this; so heavy, more dreadful even than her husband's death...</t>
    </r>
  </si>
  <si>
    <t xml:space="preserve">Weight-carrier</t>
  </si>
  <si>
    <t xml:space="preserve">"Now, Miss," he whispered briefly, "no hysterics and no deathbed confessions from you or, before God, I will wring your neck! Don't give me any of your innocent stares. You know what I mean. Miss Melly is going to die easily and you aren't going to ease your own conscience by telling her anything about Ashley. I've never harmed a woman yet, but if you say anything now—you'll answer to me."</t>
  </si>
  <si>
    <t xml:space="preserve">TERM: sovesti (совести) — conscience (gen./dat./prep.) [ORD] (lemma: совесть)
PASSAGE: Мисс Мелли умрет легко, а вы не облегчите своей совести, если скажете ей про Эшли.
TRANS: Miss Melli umret legko, a vy ne oblegchite svoey sovesti, esli skazhete ey pro Eshli.
TRANSLATION: Miss Melly will die easily, and you will not lighten your conscience if you tell her about Ashley.</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</si>
  <si>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Эшли туралы айтқаннан өз </t>
    </r>
    <r>
      <rPr>
        <b/>
        <sz val="11"/>
        <color theme="1"/>
        <rFont val="Arial"/>
      </rPr>
      <t xml:space="preserve">ұятыңыздың</t>
    </r>
    <r>
      <rPr>
        <sz val="11"/>
        <color theme="1"/>
        <rFont val="Arial"/>
      </rPr>
      <t xml:space="preserve"> жүгін бәрібір жеңілдетпейсіз, Мелли ханым қиналмай кетсін.
</t>
    </r>
    <r>
      <rPr>
        <b/>
        <sz val="11"/>
        <color theme="1"/>
        <rFont val="Arial"/>
      </rPr>
      <t xml:space="preserve">TRANS:</t>
    </r>
    <r>
      <rPr>
        <sz val="11"/>
        <color theme="1"/>
        <rFont val="Arial"/>
      </rPr>
      <t xml:space="preserve"> Eşli turaly aitqannan öz </t>
    </r>
    <r>
      <rPr>
        <b/>
        <sz val="11"/>
        <color theme="1"/>
        <rFont val="Arial"/>
      </rPr>
      <t xml:space="preserve">ūiatyñyzdyñ</t>
    </r>
    <r>
      <rPr>
        <sz val="11"/>
        <color theme="1"/>
        <rFont val="Arial"/>
      </rPr>
      <t xml:space="preserve"> jügın bärıbır jeñıldetpeisız, Melli hanym qinalmai ketsın.
</t>
    </r>
    <r>
      <rPr>
        <b/>
        <sz val="11"/>
        <color theme="1"/>
        <rFont val="Arial"/>
      </rPr>
      <t xml:space="preserve">TRANSLATION:</t>
    </r>
    <r>
      <rPr>
        <sz val="11"/>
        <color theme="1"/>
        <rFont val="Arial"/>
      </rPr>
      <t xml:space="preserve"> You will not lighten the burden on your own </t>
    </r>
    <r>
      <rPr>
        <b/>
        <sz val="11"/>
        <color theme="1"/>
        <rFont val="Arial"/>
      </rPr>
      <t xml:space="preserve">shame</t>
    </r>
    <r>
      <rPr>
        <sz val="11"/>
        <color theme="1"/>
        <rFont val="Arial"/>
      </rPr>
      <t xml:space="preserve"> by telling about Ashley; let Mrs Melly go without suffering.</t>
    </r>
  </si>
  <si>
    <t xml:space="preserve">mild conscience burden</t>
  </si>
  <si>
    <t xml:space="preserve">"I'm glad you agree with me, Miss Scarlett. In a way, it's been on my conscience. Lots of folks have told me: 'Oh, forget about it, Frank,' but I can't. I couldn't hold up my head if I thought I'd done what wasn't right. Do you think I did right?"</t>
  </si>
  <si>
    <t xml:space="preserve">TERM: sovesti (совести) — conscience (gen./dat./prep.) [ORD] (lemma: совесть)
PASSAGE: А то это лежит у меня на совести.
TRANS: A to eto lezhit u menya na sovesti.
TRANSLATION: Otherwise this lies on my conscience.</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</si>
  <si>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Әйтпесе </t>
    </r>
    <r>
      <rPr>
        <b/>
        <sz val="11"/>
        <color theme="1"/>
        <rFont val="Arial"/>
      </rPr>
      <t xml:space="preserve">ұятыма</t>
    </r>
    <r>
      <rPr>
        <sz val="11"/>
        <color theme="1"/>
        <rFont val="Arial"/>
      </rPr>
      <t xml:space="preserve"> салмақ болып жүр еді.
</t>
    </r>
    <r>
      <rPr>
        <b/>
        <sz val="11"/>
        <color theme="1"/>
        <rFont val="Arial"/>
      </rPr>
      <t xml:space="preserve">TRANS:</t>
    </r>
    <r>
      <rPr>
        <sz val="11"/>
        <color theme="1"/>
        <rFont val="Arial"/>
      </rPr>
      <t xml:space="preserve"> Äitpese </t>
    </r>
    <r>
      <rPr>
        <b/>
        <sz val="11"/>
        <color theme="1"/>
        <rFont val="Arial"/>
      </rPr>
      <t xml:space="preserve">ūiatyma</t>
    </r>
    <r>
      <rPr>
        <sz val="11"/>
        <color theme="1"/>
        <rFont val="Arial"/>
      </rPr>
      <t xml:space="preserve"> salmaq bolyp jür edı.
</t>
    </r>
    <r>
      <rPr>
        <b/>
        <sz val="11"/>
        <color theme="1"/>
        <rFont val="Arial"/>
      </rPr>
      <t xml:space="preserve">TRANSLATION:</t>
    </r>
    <r>
      <rPr>
        <sz val="11"/>
        <color theme="1"/>
        <rFont val="Arial"/>
      </rPr>
      <t xml:space="preserve"> Otherwise this is becoming a weight on my </t>
    </r>
    <r>
      <rPr>
        <b/>
        <sz val="11"/>
        <color theme="1"/>
        <rFont val="Arial"/>
      </rPr>
      <t xml:space="preserve">conscience</t>
    </r>
    <r>
      <rPr>
        <sz val="11"/>
        <color theme="1"/>
        <rFont val="Arial"/>
      </rPr>
      <t xml:space="preserve">.</t>
    </r>
  </si>
  <si>
    <t xml:space="preserve">Expected reaction of conscience ABSENT – evading hospital duty</t>
  </si>
  <si>
    <t xml:space="preserve">He touched up the mare with the whip and she trotted briskly across Five Points and across the railroad tracks that cut the town in two. The train bearing the wounded had already come in and the litter bearers were working swiftly in the hot sun, transferring wounded into ambulances and covered ordnance wagons. Scarlett had no qualm of conscience as she watched them but only a feeling of vast relief that she had made her escape.</t>
  </si>
  <si>
    <t xml:space="preserve">TERM: ugryzeniy (угрызений) — pangs (gen. pl.) [ORD] (lemma: угрызение)
PASSAGE: Наблюдая за этим, Скарлетт не испытывала угрызений совести — только чувство огромного облегчения оттого, что ей удалось сбежать.
TRANS: Nablyudaya za etim, Skarlett ne ispytyvala ugryzeniy sovesti — tol'ko chuvstvo ogromnogo oblegcheniya ottogo, chto ey udalos' sbezhat'.
TRANSLATION: Watching this, Scarlett felt no pangs of conscience — only a sense of immense relief that she had managed to escape.</t>
  </si>
  <si>
    <r>
      <rPr>
        <b/>
        <sz val="11"/>
        <color theme="1"/>
        <rFont val="Arial"/>
      </rPr>
      <t xml:space="preserve">TERM:</t>
    </r>
    <r>
      <rPr>
        <sz val="11"/>
        <color theme="1"/>
        <rFont val="Arial"/>
      </rPr>
      <t xml:space="preserve"> ŪİALU (ҰЯЛУ) — to feel ashamed; to feel shy; to be embarrassed [KED, SZK]
</t>
    </r>
    <r>
      <rPr>
        <b/>
        <sz val="11"/>
        <color theme="1"/>
        <rFont val="Arial"/>
      </rPr>
      <t xml:space="preserve">PASSAGE:</t>
    </r>
    <r>
      <rPr>
        <sz val="11"/>
        <color theme="1"/>
        <rFont val="Arial"/>
      </rPr>
      <t xml:space="preserve"> Мұны көрген Скарлетт түк те </t>
    </r>
    <r>
      <rPr>
        <b/>
        <sz val="11"/>
        <color theme="1"/>
        <rFont val="Arial"/>
      </rPr>
      <t xml:space="preserve">ұялған</t>
    </r>
    <r>
      <rPr>
        <sz val="11"/>
        <color theme="1"/>
        <rFont val="Arial"/>
      </rPr>
      <t xml:space="preserve"> жоқ
</t>
    </r>
    <r>
      <rPr>
        <b/>
        <sz val="11"/>
        <color theme="1"/>
        <rFont val="Arial"/>
      </rPr>
      <t xml:space="preserve">TRANS:</t>
    </r>
    <r>
      <rPr>
        <sz val="11"/>
        <color theme="1"/>
        <rFont val="Arial"/>
      </rPr>
      <t xml:space="preserve"> Mūny körgen Skarlett tük te </t>
    </r>
    <r>
      <rPr>
        <b/>
        <sz val="11"/>
        <color theme="1"/>
        <rFont val="Arial"/>
      </rPr>
      <t xml:space="preserve">ūialğan</t>
    </r>
    <r>
      <rPr>
        <sz val="11"/>
        <color theme="1"/>
        <rFont val="Arial"/>
      </rPr>
      <t xml:space="preserve"> joq
</t>
    </r>
    <r>
      <rPr>
        <b/>
        <sz val="11"/>
        <color theme="1"/>
        <rFont val="Arial"/>
      </rPr>
      <t xml:space="preserve">TRANSLATION:</t>
    </r>
    <r>
      <rPr>
        <sz val="11"/>
        <color theme="1"/>
        <rFont val="Arial"/>
      </rPr>
      <t xml:space="preserve"> Seeing this, Scarlett felt no </t>
    </r>
    <r>
      <rPr>
        <b/>
        <sz val="11"/>
        <color theme="1"/>
        <rFont val="Arial"/>
      </rPr>
      <t xml:space="preserve">shame</t>
    </r>
    <r>
      <rPr>
        <sz val="11"/>
        <color theme="1"/>
        <rFont val="Arial"/>
      </rPr>
      <t xml:space="preserve"> at all</t>
    </r>
  </si>
  <si>
    <t xml:space="preserve">conscience ABSENT reaction; no inner accusation</t>
  </si>
  <si>
    <t xml:space="preserve">That he was Suellen's fiance caused her no qualm of conscience. After the complete moral collapse which had sent her to Atlanta and to Rhett, the appropriation of her sister's betrothed seemed a minor affair and one not to be bothered with at this time.</t>
  </si>
  <si>
    <t xml:space="preserve">TERM: sovesti (совести) — conscience (gen./dat./prep.) [ORD] (lemma: совесть)
PASSAGE: То, что Фрэнк — жених Сьюлин, не вызвало у Скарлетт ни малейшего укора совести.
TRANS: To, chto Frenk — zhenikh S'yulin, ne vyzvalo u Skarlett ni maleyshego ukora sovesti.
TRANSLATION: The fact that Frank was Suellen's fiancé did not arouse the slightest reproach of conscience in Scarlett.</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</si>
  <si>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Фрэнк Сьюлиннің күйеу жігіті екені Скарлеттің титімдей де </t>
    </r>
    <r>
      <rPr>
        <b/>
        <sz val="11"/>
        <color theme="1"/>
        <rFont val="Arial"/>
      </rPr>
      <t xml:space="preserve">ұятын</t>
    </r>
    <r>
      <rPr>
        <sz val="11"/>
        <color theme="1"/>
        <rFont val="Arial"/>
      </rPr>
      <t xml:space="preserve"> шақырмады.
</t>
    </r>
    <r>
      <rPr>
        <b/>
        <sz val="11"/>
        <color theme="1"/>
        <rFont val="Arial"/>
      </rPr>
      <t xml:space="preserve">TRANS:</t>
    </r>
    <r>
      <rPr>
        <sz val="11"/>
        <color theme="1"/>
        <rFont val="Arial"/>
      </rPr>
      <t xml:space="preserve"> Frenk Sülinnıñ küieu jıgıtı ekenı Skarlettıñ titımdei de </t>
    </r>
    <r>
      <rPr>
        <b/>
        <sz val="11"/>
        <color theme="1"/>
        <rFont val="Arial"/>
      </rPr>
      <t xml:space="preserve">ūiatyn</t>
    </r>
    <r>
      <rPr>
        <sz val="11"/>
        <color theme="1"/>
        <rFont val="Arial"/>
      </rPr>
      <t xml:space="preserve"> şaqyrmady.
</t>
    </r>
    <r>
      <rPr>
        <b/>
        <sz val="11"/>
        <color theme="1"/>
        <rFont val="Arial"/>
      </rPr>
      <t xml:space="preserve">TRANSLATION:</t>
    </r>
    <r>
      <rPr>
        <sz val="11"/>
        <color theme="1"/>
        <rFont val="Arial"/>
      </rPr>
      <t xml:space="preserve"> That Frank was Suellen's betrothed did not call up the tiniest bit of </t>
    </r>
    <r>
      <rPr>
        <b/>
        <sz val="11"/>
        <color theme="1"/>
        <rFont val="Arial"/>
      </rPr>
      <t xml:space="preserve">shame</t>
    </r>
    <r>
      <rPr>
        <sz val="11"/>
        <color theme="1"/>
        <rFont val="Arial"/>
      </rPr>
      <t xml:space="preserve"> in Scarlett.</t>
    </r>
  </si>
  <si>
    <t xml:space="preserve">Bad deed does not weigh on her conscience contrary to normal expectations; absent reaction</t>
  </si>
  <si>
    <t xml:space="preserve">He was so blithe about his murders her blood chilled. Words of moral indignation rose to her lips but suddenly she remembered the Yankee who lay under the tangle of scuppernong vines at Tara. He had not been on her conscience any more than a roach upon which she might have stepped. She could not sit in judgment on Rhett when she was as guilty as he.</t>
  </si>
  <si>
    <t xml:space="preserve">TERM: sovest' muchit ne bol'she (совесть мучит не больше) — conscience torments no more [ORD] (lemma: совесть)
PASSAGE: torments her not more) Совесть ведь мучит ее не больше, чем если бы она раздавила таракана.
TRANS: torments her not more) Sovest' ved' muchit ee ne bol'she, chem esli by ona razdavila tarakana.
TRANSLATION: (torments her not more) Her conscience torments her no more than if she had crushed a cockroach.</t>
  </si>
  <si>
    <r>
      <rPr>
        <b/>
        <sz val="11"/>
        <color theme="1"/>
        <rFont val="Arial"/>
      </rPr>
      <t xml:space="preserve">TERM:</t>
    </r>
    <r>
      <rPr>
        <sz val="11"/>
        <color theme="1"/>
        <rFont val="Arial"/>
      </rPr>
      <t xml:space="preserve"> ŪİAT (ҰЯТ) — shame; disgrace; sense of decency (also: that which is improper) [KED, SZK]
</t>
    </r>
    <r>
      <rPr>
        <b/>
        <sz val="11"/>
        <color theme="1"/>
        <rFont val="Arial"/>
      </rPr>
      <t xml:space="preserve">PASSAGE:</t>
    </r>
    <r>
      <rPr>
        <sz val="11"/>
        <color theme="1"/>
        <rFont val="Arial"/>
      </rPr>
      <t xml:space="preserve"> Аяғымен байқаусызда жердегі қоңызды басып кету емес қой ол, әрине, </t>
    </r>
    <r>
      <rPr>
        <b/>
        <sz val="11"/>
        <color theme="1"/>
        <rFont val="Arial"/>
      </rPr>
      <t xml:space="preserve">ұяты</t>
    </r>
    <r>
      <rPr>
        <sz val="11"/>
        <color theme="1"/>
        <rFont val="Arial"/>
      </rPr>
      <t xml:space="preserve"> өзін де үнемі қинап жүретін
</t>
    </r>
    <r>
      <rPr>
        <b/>
        <sz val="11"/>
        <color theme="1"/>
        <rFont val="Arial"/>
      </rPr>
      <t xml:space="preserve">TRANS:</t>
    </r>
    <r>
      <rPr>
        <sz val="11"/>
        <color theme="1"/>
        <rFont val="Arial"/>
      </rPr>
      <t xml:space="preserve"> Aiağymen baiqausyzda jerdegı qoñyzdy basyp ketu emes qoi ol, ärine, </t>
    </r>
    <r>
      <rPr>
        <b/>
        <sz val="11"/>
        <color theme="1"/>
        <rFont val="Arial"/>
      </rPr>
      <t xml:space="preserve">ūiaty</t>
    </r>
    <r>
      <rPr>
        <sz val="11"/>
        <color theme="1"/>
        <rFont val="Arial"/>
      </rPr>
      <t xml:space="preserve"> özın de ünemı qinap jüretın
</t>
    </r>
    <r>
      <rPr>
        <b/>
        <sz val="11"/>
        <color theme="1"/>
        <rFont val="Arial"/>
      </rPr>
      <t xml:space="preserve">TRANSLATION:</t>
    </r>
    <r>
      <rPr>
        <sz val="11"/>
        <color theme="1"/>
        <rFont val="Arial"/>
      </rPr>
      <t xml:space="preserve"> Of course, it was not as though she had accidentally stepped on a beetle on the ground — her </t>
    </r>
    <r>
      <rPr>
        <b/>
        <sz val="11"/>
        <color theme="1"/>
        <rFont val="Arial"/>
      </rPr>
      <t xml:space="preserve">shame</t>
    </r>
    <r>
      <rPr>
        <sz val="11"/>
        <color theme="1"/>
        <rFont val="Arial"/>
      </rPr>
      <t xml:space="preserve"> would not constantly torment her either</t>
    </r>
  </si>
  <si>
    <t xml:space="preserve">Bad deed does not weigh on Rhett’s conscience contrary to normal expectations; absent reaction</t>
  </si>
  <si>
    <t xml:space="preserve">"I suppose you think it's honest to keep the Confederate money. Well, it isn't. It's plain out and out stealing and you know it. I wouldn't have that on my conscience."</t>
  </si>
  <si>
    <t xml:space="preserve">TERM: sovesti (совести) — conscience (gen./dat./prep.) [ORD] (lemma: совесть)
PASSAGE: Я бы не хотела жить с таким пятном на совести.
TRANS: Ya by ne khotela zhit' s takim pyatnom na sovesti.
TRANSLATION: I would not want to live with such a stain on my conscience.</t>
  </si>
  <si>
    <r>
      <rPr>
        <b/>
        <sz val="11"/>
        <color theme="1"/>
        <rFont val="Arial"/>
      </rPr>
      <t xml:space="preserve">TERM:</t>
    </r>
    <r>
      <rPr>
        <sz val="11"/>
        <color theme="1"/>
        <rFont val="Arial"/>
      </rPr>
      <t xml:space="preserve"> AR (АР) — honour; conscience; inalienable inner moral principle [KED, SZK]
</t>
    </r>
    <r>
      <rPr>
        <b/>
        <sz val="11"/>
        <color theme="1"/>
        <rFont val="Arial"/>
      </rPr>
      <t xml:space="preserve">PASSAGE: Арыма</t>
    </r>
    <r>
      <rPr>
        <sz val="11"/>
        <color theme="1"/>
        <rFont val="Arial"/>
      </rPr>
      <t xml:space="preserve"> дақ түсіретін қылмыспен мен еркін өмір сүріп жүре алмас едім.</t>
    </r>
    <r>
      <rPr>
        <b/>
        <sz val="11"/>
        <color theme="1"/>
        <rFont val="Arial"/>
      </rPr>
      <t xml:space="preserve">
TRANS: Aryma</t>
    </r>
    <r>
      <rPr>
        <sz val="11"/>
        <color theme="1"/>
        <rFont val="Arial"/>
      </rPr>
      <t xml:space="preserve"> daq tüsıretın qylmyspen men erkın ömır sürıp jüre almas edım.</t>
    </r>
    <r>
      <rPr>
        <b/>
        <sz val="11"/>
        <color theme="1"/>
        <rFont val="Arial"/>
      </rPr>
      <t xml:space="preserve">
TRANSLATION: </t>
    </r>
    <r>
      <rPr>
        <sz val="11"/>
        <color theme="1"/>
        <rFont val="Arial"/>
      </rPr>
      <t xml:space="preserve">I could not live freely with a crime that would put a stain on my </t>
    </r>
    <r>
      <rPr>
        <b/>
        <sz val="11"/>
        <color theme="1"/>
        <rFont val="Arial"/>
      </rPr>
      <t xml:space="preserve">conscience</t>
    </r>
    <r>
      <rPr>
        <sz val="11"/>
        <color theme="1"/>
        <rFont val="Arial"/>
      </rPr>
      <t xml:space="preserve">.</t>
    </r>
  </si>
  <si>
    <t xml:space="preserve">Scarlett was silent because she knew he was telling the truth and she could think of nothing to say. She had never expected Will, of all people, to sit in judgment on her. Moreover the lie she had told Frank had never weighed heavily upon her conscience. If a girl couldn't keep a beau, she deserved to lose him.</t>
  </si>
  <si>
    <t xml:space="preserve">TERM: sovesti (совести) — conscience (gen./dat./prep.) [ORD] (lemma: совесть)
PASSAGE: А кроме того, ложь, которую она сказала Фрэнку, никогда не отягощала ее совести.
TRANS: A krome togo, lozh', kotoruyu ona skazala Frenku, nikogda ne otyagoshchala ee sovesti.
TRANSLATION: Besides, the lie she had told Frank had never weighed on her conscience.</t>
  </si>
  <si>
    <r>
      <rPr>
        <b/>
        <sz val="11"/>
        <color theme="1"/>
        <rFont val="Arial"/>
      </rPr>
      <t xml:space="preserve">TERM:</t>
    </r>
    <r>
      <rPr>
        <sz val="11"/>
        <color theme="1"/>
        <rFont val="Arial"/>
      </rPr>
      <t xml:space="preserve"> JÜREK (ЖҮРЕК) — heart (literal and figurative) [KED, SZK]
</t>
    </r>
    <r>
      <rPr>
        <b/>
        <sz val="11"/>
        <color theme="1"/>
        <rFont val="Arial"/>
      </rPr>
      <t xml:space="preserve">PASSAGE:</t>
    </r>
    <r>
      <rPr>
        <sz val="11"/>
        <color theme="1"/>
        <rFont val="Arial"/>
      </rPr>
      <t xml:space="preserve"> Фрэнкке айтқан өтірігі өз </t>
    </r>
    <r>
      <rPr>
        <b/>
        <sz val="11"/>
        <color theme="1"/>
        <rFont val="Arial"/>
      </rPr>
      <t xml:space="preserve">жүрегіне</t>
    </r>
    <r>
      <rPr>
        <sz val="11"/>
        <color theme="1"/>
        <rFont val="Arial"/>
      </rPr>
      <t xml:space="preserve"> ешқашан салмақ салып көрмеген еді.
</t>
    </r>
    <r>
      <rPr>
        <b/>
        <sz val="11"/>
        <color theme="1"/>
        <rFont val="Arial"/>
      </rPr>
      <t xml:space="preserve">TRANS:</t>
    </r>
    <r>
      <rPr>
        <sz val="11"/>
        <color theme="1"/>
        <rFont val="Arial"/>
      </rPr>
      <t xml:space="preserve"> Frenkke aitqan ötırıgı öz </t>
    </r>
    <r>
      <rPr>
        <b/>
        <sz val="11"/>
        <color theme="1"/>
        <rFont val="Arial"/>
      </rPr>
      <t xml:space="preserve">jüregıne</t>
    </r>
    <r>
      <rPr>
        <sz val="11"/>
        <color theme="1"/>
        <rFont val="Arial"/>
      </rPr>
      <t xml:space="preserve"> eşqaşan salmaq salyp körmegen edı.
</t>
    </r>
    <r>
      <rPr>
        <b/>
        <sz val="11"/>
        <color theme="1"/>
        <rFont val="Arial"/>
      </rPr>
      <t xml:space="preserve">TRANSLATION:</t>
    </r>
    <r>
      <rPr>
        <sz val="11"/>
        <color theme="1"/>
        <rFont val="Arial"/>
      </rPr>
      <t xml:space="preserve"> The lie she had told Frank had never weighed on her </t>
    </r>
    <r>
      <rPr>
        <b/>
        <sz val="11"/>
        <color theme="1"/>
        <rFont val="Arial"/>
      </rPr>
      <t xml:space="preserve">heart</t>
    </r>
    <r>
      <rPr>
        <sz val="11"/>
        <color theme="1"/>
        <rFont val="Arial"/>
      </rPr>
      <t xml:space="preserve">.</t>
    </r>
  </si>
  <si>
    <t xml:space="preserve">conscience as tormentor, almost absent; forgetting Ellen</t>
  </si>
  <si>
    <t xml:space="preserve">When Scarlett infrequently stopped to think about the matter she knew that none of her new associates could be called ladies by Ellen's strict standards. But she had broken with Ellen's standards too many times since that far-away day when she stood in the parlor at Tara and decided to be Rhett's mistress, and she did not often feel the bite of conscience now.</t>
  </si>
  <si>
    <t xml:space="preserve">TERM: sovest' (совесть) — conscience; the inner moral faculty [ORD]
PASSAGE: Но она уже не раз нарушала принципы Эллин после того далекого дня, когда, стоя в гостиной Тары, решила стать любовницей Ретта, и нельзя сказать, чтобы теперь ее часто мучила из-за этого совесть.
TRANS: No ona uzhe ne raz narushala printsipy Ellin posle togo dalekogo dnya, kogda, stoya v gostinoy Tary, reshila stat' lyubovnitsey Retta, i nel'zya skazat', chtoby teper' ee chasto muchila iz-za etogo sovest'.
TRANSLATION: But she had already broken Ellen's principles more than once since that distant day when, standing in the parlor at Tara, she decided to become Rhett's mistress, and one cannot say that her conscience tormented her much over it any more.</t>
  </si>
  <si>
    <r>
      <rPr>
        <b/>
        <sz val="11"/>
        <color theme="1"/>
        <rFont val="Arial"/>
      </rPr>
      <t xml:space="preserve">TERM:</t>
    </r>
    <r>
      <rPr>
        <sz val="11"/>
        <color theme="1"/>
        <rFont val="Arial"/>
      </rPr>
      <t xml:space="preserve"> AR-ŪİAT (АР-ҰЯТ) — conscience-shame (compound): the active inner moral faculty [KED, SZK]
</t>
    </r>
    <r>
      <rPr>
        <b/>
        <sz val="11"/>
        <color theme="1"/>
        <rFont val="Arial"/>
      </rPr>
      <t xml:space="preserve">PASSAGE:</t>
    </r>
    <r>
      <rPr>
        <sz val="11"/>
        <color theme="1"/>
        <rFont val="Arial"/>
      </rPr>
      <t xml:space="preserve"> Бірақ өзі де сол Эллиннің ұстанымдарын Тарадағы қонақ бөлмеде тұрып, Реттің нақсүйері болуға шешім шығарған сәттен бастап, бәлен рет бұзған-ды, содан ба, бұл күндері </t>
    </r>
    <r>
      <rPr>
        <b/>
        <sz val="11"/>
        <color theme="1"/>
        <rFont val="Arial"/>
      </rPr>
      <t xml:space="preserve">ар-ұяты</t>
    </r>
    <r>
      <rPr>
        <sz val="11"/>
        <color theme="1"/>
        <rFont val="Arial"/>
      </rPr>
      <t xml:space="preserve"> ертеректегідей аса көп жанын да қинай бермейді.
</t>
    </r>
    <r>
      <rPr>
        <b/>
        <sz val="11"/>
        <color theme="1"/>
        <rFont val="Arial"/>
      </rPr>
      <t xml:space="preserve">TRANS:</t>
    </r>
    <r>
      <rPr>
        <sz val="11"/>
        <color theme="1"/>
        <rFont val="Arial"/>
      </rPr>
      <t xml:space="preserve"> Bıraq özı de sol Elinnıñ ūstanymdaryn Taradağy qonaq bölmede tūryp, Rettıñ naqsüierı boluğa şeşım şyğarğan sätten bastap, bälen ret būzğan-dy, sodan ba, būl künderı </t>
    </r>
    <r>
      <rPr>
        <b/>
        <sz val="11"/>
        <color theme="1"/>
        <rFont val="Arial"/>
      </rPr>
      <t xml:space="preserve">ar-ūiaty</t>
    </r>
    <r>
      <rPr>
        <sz val="11"/>
        <color theme="1"/>
        <rFont val="Arial"/>
      </rPr>
      <t xml:space="preserve"> erterektegıdei asa köp janyn da qinai bermeidı.
</t>
    </r>
    <r>
      <rPr>
        <b/>
        <sz val="11"/>
        <color theme="1"/>
        <rFont val="Arial"/>
      </rPr>
      <t xml:space="preserve">TRANSLATION:</t>
    </r>
    <r>
      <rPr>
        <sz val="11"/>
        <color theme="1"/>
        <rFont val="Arial"/>
      </rPr>
      <t xml:space="preserve"> But she herself had broken those principles of Ellen's many times since the moment when, standing in the Tara parlor, she resolved to become Rhett's mistress; perhaps because of this, in those days her </t>
    </r>
    <r>
      <rPr>
        <b/>
        <sz val="11"/>
        <color theme="1"/>
        <rFont val="Arial"/>
      </rPr>
      <t xml:space="preserve">conscience</t>
    </r>
    <r>
      <rPr>
        <sz val="11"/>
        <color theme="1"/>
        <rFont val="Arial"/>
      </rPr>
      <t xml:space="preserve"> no longer tormented her soul as much as before.</t>
    </r>
  </si>
  <si>
    <t xml:space="preserve">conscience ABSENT reaction when reaction was expected</t>
  </si>
  <si>
    <t xml:space="preserve">"You misunderstand. I regret to say that my conscience has not troubled me at all about deserting you. But as for enlisting—when I think of joining the army in varnished boots and a white linen suit and armed with only a pair of dueling pistols— And those long cold miles in the snow after my boots wore out and I had no overcoat and nothing to eat...I cannot understand why I did not desert. It was all the purest insanity. But it's in one's blood. Southerners can never resist a losing cause. But never mind my reasons. It's enough that I'm forgiven."</t>
  </si>
  <si>
    <t xml:space="preserve">TERM: sovest' (совесть) — conscience; the inner moral faculty [ORD]
PASSAGE: К великому сожалению, я вынужден признать: совесть не мучила меня при мысли, что я вас бросил.
TRANS: K velikomu sozhaleniyu, ya vynuzhden priznat': sovest' ne muchila menya pri mysli, chto ya vas brosil.
TRANSLATION: To my great regret, I am forced to admit: my conscience did not torment me at the thought that I had abandoned you.</t>
  </si>
  <si>
    <r>
      <rPr>
        <b/>
        <sz val="11"/>
        <color theme="1"/>
        <rFont val="Arial"/>
      </rPr>
      <t xml:space="preserve">TERM:</t>
    </r>
    <r>
      <rPr>
        <sz val="11"/>
        <color theme="1"/>
        <rFont val="Arial"/>
      </rPr>
      <t xml:space="preserve"> AR (АР) — honour; conscience; inalienable inner moral principle [KED, SZK]
</t>
    </r>
    <r>
      <rPr>
        <b/>
        <sz val="11"/>
        <color theme="1"/>
        <rFont val="Arial"/>
      </rPr>
      <t xml:space="preserve">PASSAGE:</t>
    </r>
    <r>
      <rPr>
        <sz val="11"/>
        <color theme="1"/>
        <rFont val="Arial"/>
      </rPr>
      <t xml:space="preserve"> Өз </t>
    </r>
    <r>
      <rPr>
        <b/>
        <sz val="11"/>
        <color theme="1"/>
        <rFont val="Arial"/>
      </rPr>
      <t xml:space="preserve">арыңыз</t>
    </r>
    <r>
      <rPr>
        <sz val="11"/>
        <color theme="1"/>
        <rFont val="Arial"/>
      </rPr>
      <t xml:space="preserve">, </t>
    </r>
    <r>
      <rPr>
        <b/>
        <sz val="11"/>
        <color theme="1"/>
        <rFont val="Arial"/>
      </rPr>
      <t xml:space="preserve">ұятыңыз</t>
    </r>
    <r>
      <rPr>
        <sz val="11"/>
        <color theme="1"/>
        <rFont val="Arial"/>
      </rPr>
      <t xml:space="preserve"> туралы ұмытыңыз, Скарлетт.
</t>
    </r>
    <r>
      <rPr>
        <b/>
        <sz val="11"/>
        <color theme="1"/>
        <rFont val="Arial"/>
      </rPr>
      <t xml:space="preserve">TRANS:</t>
    </r>
    <r>
      <rPr>
        <sz val="11"/>
        <color theme="1"/>
        <rFont val="Arial"/>
      </rPr>
      <t xml:space="preserve"> Öz </t>
    </r>
    <r>
      <rPr>
        <b/>
        <sz val="11"/>
        <color theme="1"/>
        <rFont val="Arial"/>
      </rPr>
      <t xml:space="preserve">aryñyz</t>
    </r>
    <r>
      <rPr>
        <sz val="11"/>
        <color theme="1"/>
        <rFont val="Arial"/>
      </rPr>
      <t xml:space="preserve">, </t>
    </r>
    <r>
      <rPr>
        <b/>
        <sz val="11"/>
        <color theme="1"/>
        <rFont val="Arial"/>
      </rPr>
      <t xml:space="preserve">ūiatyñyz</t>
    </r>
    <r>
      <rPr>
        <sz val="11"/>
        <color theme="1"/>
        <rFont val="Arial"/>
      </rPr>
      <t xml:space="preserve"> turaly ūmytyñyz, Skarlett.
</t>
    </r>
    <r>
      <rPr>
        <b/>
        <sz val="11"/>
        <color theme="1"/>
        <rFont val="Arial"/>
      </rPr>
      <t xml:space="preserve">TRANSLATION:</t>
    </r>
    <r>
      <rPr>
        <sz val="11"/>
        <color theme="1"/>
        <rFont val="Arial"/>
      </rPr>
      <t xml:space="preserve"> Forget about your ar [</t>
    </r>
    <r>
      <rPr>
        <b/>
        <sz val="11"/>
        <color theme="1"/>
        <rFont val="Arial"/>
      </rPr>
      <t xml:space="preserve">conscience</t>
    </r>
    <r>
      <rPr>
        <sz val="11"/>
        <color theme="1"/>
        <rFont val="Arial"/>
      </rPr>
      <t xml:space="preserve">] and your </t>
    </r>
    <r>
      <rPr>
        <b/>
        <sz val="11"/>
        <color theme="1"/>
        <rFont val="Arial"/>
      </rPr>
      <t xml:space="preserve">shame</t>
    </r>
    <r>
      <rPr>
        <sz val="11"/>
        <color theme="1"/>
        <rFont val="Arial"/>
      </rPr>
      <t xml:space="preserve">, Scarlett.</t>
    </r>
  </si>
  <si>
    <t xml:space="preserve">Not specified, general moral faculty</t>
  </si>
  <si>
    <t xml:space="preserve">"To England and I may be gone for months. Forget your conscience, Scarlett. I have no intention of discussing your soul's welfare any further. Don't you want to hear my news?"</t>
  </si>
  <si>
    <t xml:space="preserve">TERM: sovesti (совести) — conscience (gen./dat./prep.) [ORD] (lemma: совесть)
PASSAGE: Забудьте о своей совести, Скарлетт.
TRANS: Zabud'te o svoey sovesti, Skarlett.
TRANSLATION: Forget about your conscience, Scarlett.</t>
  </si>
  <si>
    <t xml:space="preserve">TERM: AR (АР) — self-respect; conscience; shame; honor; ŪIAT (ҰЯТ) — conscience; shame; disgrace; sense of shame [KED, SZK]
PASSAGE: Өз арыңыз, ұятыңыз туралы ұмытыңыз, Скарлетт.
TRANS: Öz ar-yñyz, ūiat-yñyz turaly ūmyt-yñyz, Skarlett.
GLOSS: REFL honor/conscience-POSS.2SG.POL shame-POSS.2SG.POL about forget-IMP.2SG.POL Scarlett
TRANSLATION: Forget about your conscience and shame, Scarlett.</t>
  </si>
  <si>
    <t xml:space="preserve">HONOR DOMAIN</t>
  </si>
  <si>
    <t xml:space="preserve">Honor — Moral code</t>
  </si>
  <si>
    <t xml:space="preserve">honor as absolute inner principle — above life; not negotiable (Ashley)</t>
  </si>
  <si>
    <t xml:space="preserve">"Nothing," he said quietly, "nothing—except honor."</t>
  </si>
  <si>
    <t xml:space="preserve">TERM: chesti (чести) — honour (gen./dat./prep.) [ORD] (lemma: честь)
PASSAGE: Ничто, — ровным голосом повторил он, — ничто, кроме чести.
TRANS: Nichto, — rovnym golosom povtoril on, — nichto, krome chesti.
TRANSLATION: Nothing, — he repeated in an even voice, — nothing except honor.</t>
  </si>
  <si>
    <r>
      <rPr>
        <b/>
        <sz val="11"/>
        <color theme="1"/>
        <rFont val="Arial"/>
      </rPr>
      <t xml:space="preserve">TERM:</t>
    </r>
    <r>
      <rPr>
        <sz val="11"/>
        <color theme="1"/>
        <rFont val="Arial"/>
      </rPr>
      <t xml:space="preserve"> AR-ŪİAT (АР-ҰЯТ) — conscience-shame (compound): the active inner moral faculty [KED, SZK]
</t>
    </r>
    <r>
      <rPr>
        <b/>
        <sz val="11"/>
        <color theme="1"/>
        <rFont val="Arial"/>
      </rPr>
      <t xml:space="preserve">PASSAGE:</t>
    </r>
    <r>
      <rPr>
        <sz val="11"/>
        <color theme="1"/>
        <rFont val="Arial"/>
      </rPr>
      <t xml:space="preserve"> Ештеңе жоқ, - деп қайталады ол да,  - </t>
    </r>
    <r>
      <rPr>
        <b/>
        <sz val="11"/>
        <color theme="1"/>
        <rFont val="Arial"/>
      </rPr>
      <t xml:space="preserve">ар-ұяттан</t>
    </r>
    <r>
      <rPr>
        <sz val="11"/>
        <color theme="1"/>
        <rFont val="Arial"/>
      </rPr>
      <t xml:space="preserve"> басқа ештеңе жоқ.
</t>
    </r>
    <r>
      <rPr>
        <b/>
        <sz val="11"/>
        <color theme="1"/>
        <rFont val="Arial"/>
      </rPr>
      <t xml:space="preserve">TRANS:</t>
    </r>
    <r>
      <rPr>
        <sz val="11"/>
        <color theme="1"/>
        <rFont val="Arial"/>
      </rPr>
      <t xml:space="preserve"> Eşteñe joq, - dep qaitalady ol da,  - </t>
    </r>
    <r>
      <rPr>
        <b/>
        <sz val="11"/>
        <color theme="1"/>
        <rFont val="Arial"/>
      </rPr>
      <t xml:space="preserve">ar-ūiattan</t>
    </r>
    <r>
      <rPr>
        <sz val="11"/>
        <color theme="1"/>
        <rFont val="Arial"/>
      </rPr>
      <t xml:space="preserve"> basqa eşteñe joq.
</t>
    </r>
    <r>
      <rPr>
        <b/>
        <sz val="11"/>
        <color theme="1"/>
        <rFont val="Arial"/>
      </rPr>
      <t xml:space="preserve">TRANSLATION:</t>
    </r>
    <r>
      <rPr>
        <sz val="11"/>
        <color theme="1"/>
        <rFont val="Arial"/>
      </rPr>
      <t xml:space="preserve"> There is nothing, — he repeated, — nothing other than </t>
    </r>
    <r>
      <rPr>
        <b/>
        <sz val="11"/>
        <color theme="1"/>
        <rFont val="Arial"/>
      </rPr>
      <t xml:space="preserve">conscience</t>
    </r>
    <r>
      <rPr>
        <sz val="11"/>
        <color theme="1"/>
        <rFont val="Arial"/>
      </rPr>
      <t xml:space="preserve">/</t>
    </r>
    <r>
      <rPr>
        <b/>
        <sz val="11"/>
        <color theme="1"/>
        <rFont val="Arial"/>
      </rPr>
      <t xml:space="preserve">honor</t>
    </r>
    <r>
      <rPr>
        <sz val="11"/>
        <color theme="1"/>
        <rFont val="Arial"/>
      </rPr>
      <t xml:space="preserve">.</t>
    </r>
  </si>
  <si>
    <t xml:space="preserve">Scarlett writhed at his words. Of course, Ashley loved her for just these things. It was this knowledge that made life endurable, this knowledge that Ashley, bound by honor, loved her from afar for beautiful things deep buried in her that he alone could see. But they did not seem so beautiful when dragged to the light by Rhett, especially in that deceptively smooth voice that covered sarcasm.</t>
  </si>
  <si>
    <t xml:space="preserve">TERM: chesti (чести) — honour (gen./dat./prep.) [ORD] (lemma: честь)
PASSAGE: Сознание того, что Эшли, связанный соображениями чести, любит ее на расстоянии за то прекрасное, что глубоко скрыто в ней и что один, только он видит, — это сознание как раз и позволяло ей жить.
TRANS: Soznanie togo, chto Eshli, svyazannyy soobrazheniyami chesti, lyubit ee na rasstoyanii za to prekrasnoe, chto gluboko skryto v ney i chto odin, tol'ko on vidit, — eto soznanie kak raz i pozvolyalo ey zhit'.
TRANSLATION: The awareness that Ashley, bound by considerations of honor, loves her from a distance for the beautiful that is deeply hidden in her, which only he sees — this awareness was precisely what allowed her to live.</t>
  </si>
  <si>
    <r>
      <rPr>
        <b/>
        <sz val="11"/>
        <color theme="1"/>
        <rFont val="Arial"/>
      </rPr>
      <t xml:space="preserve">TERM:</t>
    </r>
    <r>
      <rPr>
        <sz val="11"/>
        <color theme="1"/>
        <rFont val="Arial"/>
      </rPr>
      <t xml:space="preserve"> AR-OJDAN (АР-ОЖДАН) — conscience (compound from Arabic wijdān): the inalienable inner tribunal [KED, SZK]
</t>
    </r>
    <r>
      <rPr>
        <b/>
        <sz val="11"/>
        <color theme="1"/>
        <rFont val="Arial"/>
      </rPr>
      <t xml:space="preserve">PASSAGE: Ар-ождан </t>
    </r>
    <r>
      <rPr>
        <sz val="11"/>
        <color theme="1"/>
        <rFont val="Arial"/>
      </rPr>
      <t xml:space="preserve">тазалығын бәрінен биік қойғандықтан да Эшли пәк сезімін ластамас үшін бойын аулақ сала ұстап, мұның тереңге жасырылған асып қасиеттеріне бола жақсы көреді.</t>
    </r>
    <r>
      <rPr>
        <b/>
        <sz val="11"/>
        <color theme="1"/>
        <rFont val="Arial"/>
      </rPr>
      <t xml:space="preserve">
TRANS: Ar-ojdan </t>
    </r>
    <r>
      <rPr>
        <sz val="11"/>
        <color theme="1"/>
        <rFont val="Arial"/>
      </rPr>
      <t xml:space="preserve">tazalyğyn bärınen biık qoiğandyqtan da Eşli päk sezımın lastamas üşın boiyn aulaq sala ūstap, mūnyñ tereñge jasyrylğan asyp qasietterıne bola jaqsy köredı.</t>
    </r>
    <r>
      <rPr>
        <b/>
        <sz val="11"/>
        <color theme="1"/>
        <rFont val="Arial"/>
      </rPr>
      <t xml:space="preserve">
TRANSLATION: </t>
    </r>
    <r>
      <rPr>
        <sz val="11"/>
        <color theme="1"/>
        <rFont val="Arial"/>
      </rPr>
      <t xml:space="preserve">Because he placed the purity of his </t>
    </r>
    <r>
      <rPr>
        <b/>
        <sz val="11"/>
        <color theme="1"/>
        <rFont val="Arial"/>
      </rPr>
      <t xml:space="preserve">conscience</t>
    </r>
    <r>
      <rPr>
        <sz val="11"/>
        <color theme="1"/>
        <rFont val="Arial"/>
      </rPr>
      <t xml:space="preserve"> above all, Ashley keeps himself at a distance so as not to soil his pure feeling; he loves her for the noble qualities hidden deep within her.</t>
    </r>
  </si>
  <si>
    <t xml:space="preserve">Knowing how Ashley valued honor above his life, Scarlett knew he must be writhing. He, like Scarlett, was forced to shelter behind Melanie's skirts. While Scarlett realized the necessity for this and knew that the blame for his false position lay mostly at her own door, still—still— Womanlike she would have respected Ashley more, had he shot Archie and admitted everything to Melanie and the world. She knew she was being unfair but she was too miserable to care for such fine points. Some of Rhett's taunting words of contempt came back to her and she wondered if indeed Ashley had played the manly part in this mess. And, for the first time, some of the bright glow which had enveloped him since the first day she fell in love with him began to fade imperceptibly.</t>
  </si>
  <si>
    <t xml:space="preserve">TERM: chest' (честь) — honour; honor [ORD]
PASSAGE: Зная, что Эшли ставит честь выше жизни, Скарлетт понимала, что он, должно быть, кипит от ярости.
TRANS: Znaya, chto Eshli stavit chest' vyshe zhizni, Skarlett ponimala, chto on, dolzhno byt', kipit ot yarosti.
TRANSLATION: Knowing that Ashley placed honor above life, Scarlett understood that he must be seething with rage.</t>
  </si>
  <si>
    <r>
      <rPr>
        <b/>
        <sz val="11"/>
        <color theme="1"/>
        <rFont val="Arial"/>
      </rPr>
      <t xml:space="preserve">TERM:</t>
    </r>
    <r>
      <rPr>
        <sz val="11"/>
        <color theme="1"/>
        <rFont val="Arial"/>
      </rPr>
      <t xml:space="preserve"> AR-NAMYS (АР-НАМЫС) — honour; observable behavioural code (compound) [KED, SZK]
</t>
    </r>
    <r>
      <rPr>
        <b/>
        <sz val="11"/>
        <color theme="1"/>
        <rFont val="Arial"/>
      </rPr>
      <t xml:space="preserve">PASSAGE:</t>
    </r>
    <r>
      <rPr>
        <sz val="11"/>
        <color theme="1"/>
        <rFont val="Arial"/>
      </rPr>
      <t xml:space="preserve"> Эшлидің </t>
    </r>
    <r>
      <rPr>
        <b/>
        <sz val="11"/>
        <color theme="1"/>
        <rFont val="Arial"/>
      </rPr>
      <t xml:space="preserve">ар-намысын</t>
    </r>
    <r>
      <rPr>
        <sz val="11"/>
        <color theme="1"/>
        <rFont val="Arial"/>
      </rPr>
      <t xml:space="preserve"> өмірінен де жоғары қоятынын білген Скарлетт оның ыза мен өкініштен жарылардай боп жүргенін топшылайды.
</t>
    </r>
    <r>
      <rPr>
        <b/>
        <sz val="11"/>
        <color theme="1"/>
        <rFont val="Arial"/>
      </rPr>
      <t xml:space="preserve">TRANS: </t>
    </r>
    <r>
      <rPr>
        <sz val="11"/>
        <color theme="1"/>
        <rFont val="Arial"/>
      </rPr>
      <t xml:space="preserve">Eşlidıñ </t>
    </r>
    <r>
      <rPr>
        <b/>
        <sz val="11"/>
        <color theme="1"/>
        <rFont val="Arial"/>
      </rPr>
      <t xml:space="preserve">ar-namysyn </t>
    </r>
    <r>
      <rPr>
        <sz val="11"/>
        <color theme="1"/>
        <rFont val="Arial"/>
      </rPr>
      <t xml:space="preserve">ömırınen de joğary qoiatynyn bılgen Skarlett onyñ yza men ökınışten jarylardai bop jürgenın topşylaidy.
</t>
    </r>
    <r>
      <rPr>
        <b/>
        <sz val="11"/>
        <color theme="1"/>
        <rFont val="Arial"/>
      </rPr>
      <t xml:space="preserve">TRANSLATION:</t>
    </r>
    <r>
      <rPr>
        <sz val="11"/>
        <color theme="1"/>
        <rFont val="Arial"/>
      </rPr>
      <t xml:space="preserve"> Knowing that Ashley places his </t>
    </r>
    <r>
      <rPr>
        <b/>
        <sz val="11"/>
        <color theme="1"/>
        <rFont val="Arial"/>
      </rPr>
      <t xml:space="preserve">honor</t>
    </r>
    <r>
      <rPr>
        <sz val="11"/>
        <color theme="1"/>
        <rFont val="Arial"/>
      </rPr>
      <t xml:space="preserve">-</t>
    </r>
    <r>
      <rPr>
        <b/>
        <sz val="11"/>
        <color theme="1"/>
        <rFont val="Arial"/>
      </rPr>
      <t xml:space="preserve">pride </t>
    </r>
    <r>
      <rPr>
        <sz val="11"/>
        <color theme="1"/>
        <rFont val="Arial"/>
      </rPr>
      <t xml:space="preserve">above his very life, Scarlett guesses that he is on the verge of bursting from anger and regret.</t>
    </r>
  </si>
  <si>
    <t xml:space="preserve">Honor — Nobility of character</t>
  </si>
  <si>
    <t xml:space="preserve">dishonor / absent honor — violation or accusation; outside the code</t>
  </si>
  <si>
    <t xml:space="preserve">"Yes, you will listen. And I'll tell you this to ease your worry. Miss Melly is a fool but not the kind you think. It was obvious that someone had told her but she didn't believe it. Even if she saw, she wouldn't believe. There's too much honor in her to conceive of dishonor in anyone she loves. I don't know what lie Ashley Wilkes told her—but any clumsy one would do, for she loves Ashley and she loves you. I'm sure I can't see why she loves you but she does. Let that be one of your crosses."</t>
  </si>
  <si>
    <t xml:space="preserve">TERM: blagorodstvo (благородство) — nobility; nobleness of character [ORD]
PASSAGE: otsutstvie blagorodstva (отсутствие благородства) = nobleness, absence of nobleness Слишком много в ней благородства, чтобы она могла поверить в отсутствие благородства у тех, кого любит.
TRANS: otsutstvie blagorodstva (otsutstvie blagorodstva) = nobleness, absence of nobleness Slishkom mnogo v ney blagorodstva, chtoby ona mogla poverit' v otsutstvie blagorodstva u tekh, kogo lyubit.
TRANSLATION: absence of nobility = There is too much nobility in her for her to be able to believe in the absence of nobility in those whom she loves.</t>
  </si>
  <si>
    <r>
      <rPr>
        <b/>
        <sz val="11"/>
        <color theme="1"/>
        <rFont val="Arial"/>
      </rPr>
      <t xml:space="preserve">TERM:</t>
    </r>
    <r>
      <rPr>
        <sz val="11"/>
        <color theme="1"/>
        <rFont val="Arial"/>
      </rPr>
      <t xml:space="preserve"> Janınıñ asıldığı, päktigi (Жанының асылдығы, пәктігі) = the nobility and purity of her soul
</t>
    </r>
    <r>
      <rPr>
        <b/>
        <sz val="11"/>
        <color theme="1"/>
        <rFont val="Arial"/>
      </rPr>
      <t xml:space="preserve">PASSAGE:</t>
    </r>
    <r>
      <rPr>
        <sz val="11"/>
        <color theme="1"/>
        <rFont val="Arial"/>
      </rPr>
      <t xml:space="preserve"> </t>
    </r>
    <r>
      <rPr>
        <b/>
        <sz val="11"/>
        <color theme="1"/>
        <rFont val="Arial"/>
      </rPr>
      <t xml:space="preserve">Жанының асылдығы, пәктігі</t>
    </r>
    <r>
      <rPr>
        <sz val="11"/>
        <color theme="1"/>
        <rFont val="Arial"/>
      </rPr>
      <t xml:space="preserve"> сондай өзі аса қатты жақсы көретін адамының сатқын болуы мүмкін екеніне сене алмайды.
</t>
    </r>
    <r>
      <rPr>
        <b/>
        <sz val="11"/>
        <color theme="1"/>
        <rFont val="Arial"/>
      </rPr>
      <t xml:space="preserve">TRANS:</t>
    </r>
    <r>
      <rPr>
        <sz val="11"/>
        <color theme="1"/>
        <rFont val="Arial"/>
      </rPr>
      <t xml:space="preserve"> </t>
    </r>
    <r>
      <rPr>
        <b/>
        <sz val="11"/>
        <color theme="1"/>
        <rFont val="Arial"/>
      </rPr>
      <t xml:space="preserve">Janynyñ asyldyğy, päktıgı </t>
    </r>
    <r>
      <rPr>
        <sz val="11"/>
        <color theme="1"/>
        <rFont val="Arial"/>
      </rPr>
      <t xml:space="preserve">sondai özı asa qatty jaqsy köretın adamynyñ satqyn boluy mümkın ekenıne sene almaidy.
</t>
    </r>
    <r>
      <rPr>
        <b/>
        <sz val="11"/>
        <color theme="1"/>
        <rFont val="Arial"/>
      </rPr>
      <t xml:space="preserve">TRANSLATION:</t>
    </r>
    <r>
      <rPr>
        <sz val="11"/>
        <color theme="1"/>
        <rFont val="Arial"/>
      </rPr>
      <t xml:space="preserve"> The </t>
    </r>
    <r>
      <rPr>
        <b/>
        <sz val="11"/>
        <color theme="1"/>
        <rFont val="Arial"/>
      </rPr>
      <t xml:space="preserve">nobility</t>
    </r>
    <r>
      <rPr>
        <sz val="11"/>
        <color theme="1"/>
        <rFont val="Arial"/>
      </rPr>
      <t xml:space="preserve">, </t>
    </r>
    <r>
      <rPr>
        <b/>
        <sz val="11"/>
        <color theme="1"/>
        <rFont val="Arial"/>
      </rPr>
      <t xml:space="preserve">the purity of her soul </t>
    </r>
    <r>
      <rPr>
        <sz val="11"/>
        <color theme="1"/>
        <rFont val="Arial"/>
      </rPr>
      <t xml:space="preserve">is such that she cannot believe that the person she loves so very much could be a traitor.</t>
    </r>
  </si>
  <si>
    <t xml:space="preserve">Scarlett sacrificed herself and did shameful things to prevent Ashley from doing dishonorable things</t>
  </si>
  <si>
    <t xml:space="preserve">"Yes, it's done now," he said with slow bitterness. "You wouldn't have let me do anything dishonorable but you would sell yourself to a man you didn't love—and bear his child, so that my family and I wouldn't starve. It was kind of you to shelter my helplessness."</t>
  </si>
  <si>
    <t xml:space="preserve">TERM: beschestnyy (бесчестный) — dishonourable; ignoble [ORD]
PASSAGE: Вы бы не допустили, чтобы я совершил бесчестный поступок, а сами продались человеку, которого не любили, и теперь носите под сердцем его ребенка, и все ради того, чтобы я и моя семья не умерли с голоду.
TRANS: Vy by ne dopustili, chtoby ya sovershil beschestnyy postupok, a sami prodalis' cheloveku, kotorogo ne lyubili, i teper' nosite pod serdtsem ego rebenka, i vse radi togo, chtoby ya i moya sem'ya ne umerli s golodu.
TRANSLATION: You would never have allowed me to commit a dishonorable deed, and yet you sold yourself to a man you did not love, and now bear his child beneath your heart, all so that I and my family would not die of starvation.</t>
  </si>
  <si>
    <r>
      <rPr>
        <b/>
        <sz val="11"/>
        <color theme="1"/>
        <rFont val="Arial"/>
      </rPr>
      <t xml:space="preserve">TERM: </t>
    </r>
    <r>
      <rPr>
        <sz val="11"/>
        <color theme="1"/>
        <rFont val="Arial"/>
      </rPr>
      <t xml:space="preserve">ARSYZDYQ (АРСЫЗДЫҚ) - shamelessness
</t>
    </r>
    <r>
      <rPr>
        <b/>
        <sz val="11"/>
        <color theme="1"/>
        <rFont val="Arial"/>
      </rPr>
      <t xml:space="preserve">PASSAGE:</t>
    </r>
    <r>
      <rPr>
        <sz val="11"/>
        <color theme="1"/>
        <rFont val="Arial"/>
      </rPr>
      <t xml:space="preserve"> Мені </t>
    </r>
    <r>
      <rPr>
        <b/>
        <sz val="11"/>
        <color theme="1"/>
        <rFont val="Arial"/>
      </rPr>
      <t xml:space="preserve">арсыздыққа</t>
    </r>
    <r>
      <rPr>
        <sz val="11"/>
        <color theme="1"/>
        <rFont val="Arial"/>
      </rPr>
      <t xml:space="preserve"> қайтсеңіз де жібермес едіңіз, бірақ өзіңізді еш сүймейтін адамға сатып жібердіңіз де, жүрегіңіздің астында соның баласын сақтап жүрсіз.
</t>
    </r>
    <r>
      <rPr>
        <b/>
        <sz val="11"/>
        <color theme="1"/>
        <rFont val="Arial"/>
      </rPr>
      <t xml:space="preserve">TRANS:</t>
    </r>
    <r>
      <rPr>
        <sz val="11"/>
        <color theme="1"/>
        <rFont val="Arial"/>
      </rPr>
      <t xml:space="preserve"> Menı </t>
    </r>
    <r>
      <rPr>
        <b/>
        <sz val="11"/>
        <color theme="1"/>
        <rFont val="Arial"/>
      </rPr>
      <t xml:space="preserve">arsyzdyqqa</t>
    </r>
    <r>
      <rPr>
        <sz val="11"/>
        <color theme="1"/>
        <rFont val="Arial"/>
      </rPr>
      <t xml:space="preserve"> qaitseñız de jıbermes edıñız, bıraq özıñızdı eş süimeitın adamğa satyp jıberdıñız de, jüregıñızdıñ astynda sonyñ balasyn saqtap jürsız.
</t>
    </r>
    <r>
      <rPr>
        <b/>
        <sz val="11"/>
        <color theme="1"/>
        <rFont val="Arial"/>
      </rPr>
      <t xml:space="preserve">TRANSLATION:</t>
    </r>
    <r>
      <rPr>
        <sz val="11"/>
        <color theme="1"/>
        <rFont val="Arial"/>
      </rPr>
      <t xml:space="preserve"> You, no matter what, would not have let me act </t>
    </r>
    <r>
      <rPr>
        <b/>
        <sz val="11"/>
        <color theme="1"/>
        <rFont val="Arial"/>
      </rPr>
      <t xml:space="preserve">shamelessly</t>
    </r>
    <r>
      <rPr>
        <sz val="11"/>
        <color theme="1"/>
        <rFont val="Arial"/>
      </rPr>
      <t xml:space="preserve">, but you yourself sold yourself off to a man you did not love at all, and now you carry his child beneath your heart.</t>
    </r>
  </si>
  <si>
    <t xml:space="preserve">Non-scrupulous</t>
  </si>
  <si>
    <t xml:space="preserve">TERM: poryadochnost' (порядочность) — decency; respectability; integrity [ORD]
PASSAGE: По мало-помалу от частых повторений этой проделки ее не слишком остро развитое чувство порядочности и вовсе притупилось, да и страх сам собой исчез.
TRANS: Po malo-pomalu ot chastykh povtoreniy etoy prodelki ee ne slishkom ostro razvitoe chuvstvo poryadochnosti i vovse pritupilos', da i strakh sam soboy ischez.
TRANSLATION: But little by little, with frequent repetitions of this trick, her not very sharply developed sense of decency was completely dulled, and the fear itself disappeared.</t>
  </si>
  <si>
    <r>
      <rPr>
        <b/>
        <sz val="11"/>
        <color theme="1"/>
        <rFont val="Arial"/>
      </rPr>
      <t xml:space="preserve">TERM:</t>
    </r>
    <r>
      <rPr>
        <sz val="11"/>
        <color theme="1"/>
        <rFont val="Arial"/>
      </rPr>
      <t xml:space="preserve">AR-ŪİAT(АР-ҰЯТ) — conscience-shame (compound): the active inner moral faculty [KED, SZK]
</t>
    </r>
    <r>
      <rPr>
        <b/>
        <sz val="11"/>
        <color theme="1"/>
        <rFont val="Arial"/>
      </rPr>
      <t xml:space="preserve">PASSAGE:</t>
    </r>
    <r>
      <rPr>
        <sz val="11"/>
        <color theme="1"/>
        <rFont val="Arial"/>
      </rPr>
      <t xml:space="preserve"> оның </t>
    </r>
    <r>
      <rPr>
        <b/>
        <sz val="11"/>
        <color theme="1"/>
        <rFont val="Arial"/>
      </rPr>
      <t xml:space="preserve">ар-ұят</t>
    </r>
    <r>
      <rPr>
        <sz val="11"/>
        <color theme="1"/>
        <rFont val="Arial"/>
      </rPr>
      <t xml:space="preserve">, әдептілік сезімі мүлдем өшіп, қорқынышы өзіненөзі жоғалып кетті
</t>
    </r>
    <r>
      <rPr>
        <b/>
        <sz val="11"/>
        <color theme="1"/>
        <rFont val="Arial"/>
      </rPr>
      <t xml:space="preserve">TRANS:</t>
    </r>
    <r>
      <rPr>
        <sz val="11"/>
        <color theme="1"/>
        <rFont val="Arial"/>
      </rPr>
      <t xml:space="preserve"> onyñ </t>
    </r>
    <r>
      <rPr>
        <b/>
        <sz val="11"/>
        <color theme="1"/>
        <rFont val="Arial"/>
      </rPr>
      <t xml:space="preserve">ar-ūiat</t>
    </r>
    <r>
      <rPr>
        <sz val="11"/>
        <color theme="1"/>
        <rFont val="Arial"/>
      </rPr>
      <t xml:space="preserve">, ädeptılık sezımı müldem öşıp, qorqynyşy özınenözı joğalyp kettı
</t>
    </r>
    <r>
      <rPr>
        <b/>
        <sz val="11"/>
        <color theme="1"/>
        <rFont val="Arial"/>
      </rPr>
      <t xml:space="preserve">TRANSLATION:</t>
    </r>
    <r>
      <rPr>
        <sz val="11"/>
        <color theme="1"/>
        <rFont val="Arial"/>
      </rPr>
      <t xml:space="preserve"> her sense of </t>
    </r>
    <r>
      <rPr>
        <b/>
        <sz val="11"/>
        <color theme="1"/>
        <rFont val="Arial"/>
      </rPr>
      <t xml:space="preserve">conscience-shame</t>
    </r>
    <r>
      <rPr>
        <sz val="11"/>
        <color theme="1"/>
        <rFont val="Arial"/>
      </rPr>
      <t xml:space="preserve"> and propriety was extinguished entirely, and her fear too vanished of itself.</t>
    </r>
  </si>
  <si>
    <t xml:space="preserve">Code of behavior</t>
  </si>
  <si>
    <t xml:space="preserve">Nothing her mother had taught her was of any value whatsoever now and Scarlett's heart was sore and puzzled. It did not occur to her that Ellen could not have foreseen the collapse of the civilization in which she raised her daughters, could not have anticipated the disappearings of the places in society for which she trained them so well. It did not occur to her that Ellen had looked down a vista of placid future years, all like the uneventful years of her own life, when she had taught her to be gentle and gracious, honorable and kind, modest and truthful. Life treated women well when they had learned those lessons, said Ellen.</t>
  </si>
  <si>
    <t xml:space="preserve">TERM: , chestnoy, pravdivoy (, честной, правдивой) = honest
PASSAGE: уча ее быть доброй, мягкой, уступчивой, честной, правдивой и скромной,
TRANS: ucha ee byt' dobroy, myagkoy, ustupchivoy, chestnoy, pravdivoy i skromnoy,
TRANSLATION: teaching her to be kind, gentle, yielding, honest, truthful, and modest,</t>
  </si>
  <si>
    <r>
      <rPr>
        <b/>
        <sz val="11"/>
        <color theme="1"/>
        <rFont val="Arial"/>
      </rPr>
      <t xml:space="preserve">TERM:</t>
    </r>
    <r>
      <rPr>
        <sz val="11"/>
        <color theme="1"/>
        <rFont val="Arial"/>
      </rPr>
      <t xml:space="preserve"> şynşyl, adal, adal (шыншыл, адал) = honest, loyal
</t>
    </r>
    <r>
      <rPr>
        <b/>
        <sz val="11"/>
        <color theme="1"/>
        <rFont val="Arial"/>
      </rPr>
      <t xml:space="preserve">PASSAGE:</t>
    </r>
    <r>
      <rPr>
        <sz val="11"/>
        <color theme="1"/>
        <rFont val="Arial"/>
      </rPr>
      <t xml:space="preserve"> Скарлетт Эллиннің мұны мейірімді, жұмсақ, мойынсұнғыш, </t>
    </r>
    <r>
      <rPr>
        <b/>
        <sz val="11"/>
        <color theme="1"/>
        <rFont val="Arial"/>
      </rPr>
      <t xml:space="preserve">шыншыл, адал</t>
    </r>
    <r>
      <rPr>
        <sz val="11"/>
        <color theme="1"/>
        <rFont val="Arial"/>
      </rPr>
      <t xml:space="preserve"> және қарапайым болуға үйрете отырып, өзінің өлшенген өмірі сияқты алдағы өмірден бейбіт, өзгеріссіз жылдар тізбегін ғана көргенін түсінбеді.
</t>
    </r>
    <r>
      <rPr>
        <b/>
        <sz val="11"/>
        <color theme="1"/>
        <rFont val="Arial"/>
      </rPr>
      <t xml:space="preserve">TRANS:</t>
    </r>
    <r>
      <rPr>
        <sz val="11"/>
        <color theme="1"/>
        <rFont val="Arial"/>
      </rPr>
      <t xml:space="preserve"> Skarlett Elinnıñ mūny meiırımdı, jūmsaq, moiynsūnğyş, şynşyl, adal jäne qarapaiym boluğa üirete otyryp, özınıñ ölşengen ömırı siaqty aldağy ömırden beibıt, özgerıssız jyldar tızbegın ğana körgenın tüsınbedı.
</t>
    </r>
    <r>
      <rPr>
        <b/>
        <sz val="11"/>
        <color theme="1"/>
        <rFont val="Arial"/>
      </rPr>
      <t xml:space="preserve">TRANSLATION:</t>
    </r>
    <r>
      <rPr>
        <sz val="11"/>
        <color theme="1"/>
        <rFont val="Arial"/>
      </rPr>
      <t xml:space="preserve"> Scarlett, while Ellen was teaching her to be kind, gentle, submissive, truthful, honest, and </t>
    </r>
    <r>
      <rPr>
        <b/>
        <sz val="11"/>
        <color theme="1"/>
        <rFont val="Arial"/>
      </rPr>
      <t xml:space="preserve">modest</t>
    </r>
    <r>
      <rPr>
        <sz val="11"/>
        <color theme="1"/>
        <rFont val="Arial"/>
      </rPr>
      <t xml:space="preserve">, did not understand that, like Ellen's measured life, [Ellen] was seeing only a row of peaceful and unchanging years stretching ahead.</t>
    </r>
  </si>
  <si>
    <t xml:space="preserve">Both social and moral honor</t>
  </si>
  <si>
    <t xml:space="preserve">There was no doubt what Ellen would say to a daughter who told lies and engaged in sharp practices. She would be stunned and incredulous and would speak gentle words that stung despite their gentleness, would talk of honor and honesty and truth and duty to one's neighbor. Momentarily, Scarlett cringed as she pictured the look on her mother's face.</t>
  </si>
  <si>
    <t xml:space="preserve">Ellen</t>
  </si>
  <si>
    <t xml:space="preserve">TERM: chesti (чести) — honour (gen./dat./prep.) [ORD] (lemma: честь)
PASSAGE: Она была бы потрясена, она бы ушам своим не поверила и так и сказала бы Скарлетт — мягко, но слова ее жгли бы каленым железом, — сказала бы о чести, и о честности, и о правде, и о долге перед ближними.
TRANS: Ona byla by potryasena, ona by usham svoim ne poverila i tak i skazala by Skarlett — myagko, no slova ee zhgli by kalenym zhelezom, — skazala by o chesti, i o chestnosti, i o pravde, i o dolge pered blizhnimi.
TRANSLATION: She would be shocked, she would not believe her ears and would say so to Scarlett — gently, but her words would burn like a red-hot iron — would speak of honor, and of honesty, and of truth, and of duty toward one's neighbors.</t>
  </si>
  <si>
    <r>
      <rPr>
        <b/>
        <sz val="11"/>
        <color theme="1"/>
        <rFont val="Arial"/>
      </rPr>
      <t xml:space="preserve">TERM:</t>
    </r>
    <r>
      <rPr>
        <sz val="11"/>
        <color theme="1"/>
        <rFont val="Arial"/>
      </rPr>
      <t xml:space="preserve"> AR-OJDAN (АР-ОЖДАН) — conscience (compound from Arabic wijdān): the inalienable inner tribunal [KED, SZK]
</t>
    </r>
    <r>
      <rPr>
        <b/>
        <sz val="11"/>
        <color theme="1"/>
        <rFont val="Arial"/>
      </rPr>
      <t xml:space="preserve">PASSAGE:</t>
    </r>
    <r>
      <rPr>
        <sz val="11"/>
        <color theme="1"/>
        <rFont val="Arial"/>
      </rPr>
      <t xml:space="preserve"> Алдымен өз құлағына өзі сенбей, көзі шарасынан шыға таңданар еді де, соншалық бәсең, бірақ намысыңа тигенде темірмен етіңді тіліп түскендей үнмен "Скарлетт" дер еді де, </t>
    </r>
    <r>
      <rPr>
        <b/>
        <sz val="11"/>
        <color theme="1"/>
        <rFont val="Arial"/>
      </rPr>
      <t xml:space="preserve">ар-ождан</t>
    </r>
    <r>
      <rPr>
        <sz val="11"/>
        <color theme="1"/>
        <rFont val="Arial"/>
      </rPr>
      <t xml:space="preserve"> туралы, адалдық, шындық, туыс-бауыр алдындағы міндеті туралы айтар еді.
</t>
    </r>
    <r>
      <rPr>
        <b/>
        <sz val="11"/>
        <color theme="1"/>
        <rFont val="Arial"/>
      </rPr>
      <t xml:space="preserve">TRANS:</t>
    </r>
    <r>
      <rPr>
        <sz val="11"/>
        <color theme="1"/>
        <rFont val="Arial"/>
      </rPr>
      <t xml:space="preserve"> Aldymen öz qūlağyna özı senbei, közı şarasynan şyğa tañdanar edı de, sonşalyq bäseñ, bıraq namysyña tigende temırmen etıñdı tılıp tüskendei ünmen "Skarlett" der edı de, </t>
    </r>
    <r>
      <rPr>
        <b/>
        <sz val="11"/>
        <color theme="1"/>
        <rFont val="Arial"/>
      </rPr>
      <t xml:space="preserve">ar-ojdan</t>
    </r>
    <r>
      <rPr>
        <sz val="11"/>
        <color theme="1"/>
        <rFont val="Arial"/>
      </rPr>
      <t xml:space="preserve"> turaly, adaldyq, şyndyq, tuys-bauyr aldyndağy mındetı turaly aitar edı.
</t>
    </r>
    <r>
      <rPr>
        <b/>
        <sz val="11"/>
        <color theme="1"/>
        <rFont val="Arial"/>
      </rPr>
      <t xml:space="preserve">TRANSLATION:</t>
    </r>
    <r>
      <rPr>
        <sz val="11"/>
        <color theme="1"/>
        <rFont val="Arial"/>
      </rPr>
      <t xml:space="preserve"> At first she would hardly believe her own ears and would stare in astonishment with her eyes wide, then say “Scarlett” in a voice so soft yet so cutting it was as if it sliced through your flesh with iron, and then she would speak of </t>
    </r>
    <r>
      <rPr>
        <b/>
        <sz val="11"/>
        <color theme="1"/>
        <rFont val="Arial"/>
      </rPr>
      <t xml:space="preserve">conscience</t>
    </r>
    <r>
      <rPr>
        <sz val="11"/>
        <color theme="1"/>
        <rFont val="Arial"/>
      </rPr>
      <t xml:space="preserve">, loyalty, truth, and one’s duty to family.</t>
    </r>
  </si>
  <si>
    <t xml:space="preserve">Morality, decency, honest behavior</t>
  </si>
  <si>
    <t xml:space="preserve">"I shouldn't have expected either truth or honor or fair dealing from you, knowing you as I do. But foolishly, I trusted you."</t>
  </si>
  <si>
    <t xml:space="preserve">TERM: chestnyy (честный) — honest; honourable [ORD]
PASSAGE: Зная вас, мне, конечно, не следовало ожидать, что вы будете правдивы, порядочны и честны со мной.
TRANS: Znaya vas, mne, konechno, ne sledovalo ozhidat', chto vy budete pravdivy, poryadochny i chestny so mnoy.
TRANSLATION: Knowing you, of course, I should not have expected you to be truthful, decent, and honest with me.</t>
  </si>
  <si>
    <r>
      <rPr>
        <b/>
        <sz val="11"/>
        <color theme="1"/>
        <rFont val="Arial"/>
      </rPr>
      <t xml:space="preserve">TERM:</t>
    </r>
    <r>
      <rPr>
        <sz val="11"/>
        <color theme="1"/>
        <rFont val="Arial"/>
      </rPr>
      <t xml:space="preserve"> ADAL (АДАЛ) — honest; faithful; pure; lawful (Arabic ḥalāl) [KED, SZK]
</t>
    </r>
    <r>
      <rPr>
        <b/>
        <sz val="11"/>
        <color theme="1"/>
        <rFont val="Arial"/>
      </rPr>
      <t xml:space="preserve">PASSAGE:</t>
    </r>
    <r>
      <rPr>
        <sz val="11"/>
        <color theme="1"/>
        <rFont val="Arial"/>
      </rPr>
      <t xml:space="preserve"> Сізді бұрыннан танып, біле тұра, менімен барынша </t>
    </r>
    <r>
      <rPr>
        <b/>
        <sz val="11"/>
        <color theme="1"/>
        <rFont val="Arial"/>
      </rPr>
      <t xml:space="preserve">адал</t>
    </r>
    <r>
      <rPr>
        <sz val="11"/>
        <color theme="1"/>
        <rFont val="Arial"/>
      </rPr>
      <t xml:space="preserve">, бүкпесіз ашық болады деп илануымның өзі қателік екенін білемін.
</t>
    </r>
    <r>
      <rPr>
        <b/>
        <sz val="11"/>
        <color theme="1"/>
        <rFont val="Arial"/>
      </rPr>
      <t xml:space="preserve">TRANS:</t>
    </r>
    <r>
      <rPr>
        <sz val="11"/>
        <color theme="1"/>
        <rFont val="Arial"/>
      </rPr>
      <t xml:space="preserve"> Sızdı būrynnan tanyp, bıle tūra, menımen barynşa </t>
    </r>
    <r>
      <rPr>
        <b/>
        <sz val="11"/>
        <color theme="1"/>
        <rFont val="Arial"/>
      </rPr>
      <t xml:space="preserve">adal</t>
    </r>
    <r>
      <rPr>
        <sz val="11"/>
        <color theme="1"/>
        <rFont val="Arial"/>
      </rPr>
      <t xml:space="preserve">, bükpesız aşyq bolady dep ilanuymnyñ özı qatelık ekenın bılemın.
</t>
    </r>
    <r>
      <rPr>
        <b/>
        <sz val="11"/>
        <color theme="1"/>
        <rFont val="Arial"/>
      </rPr>
      <t xml:space="preserve">TRANSLATION:</t>
    </r>
    <r>
      <rPr>
        <sz val="11"/>
        <color theme="1"/>
        <rFont val="Arial"/>
      </rPr>
      <t xml:space="preserve"> Knowing you of old, I myself know it was a mistake to believe you would be utterly </t>
    </r>
    <r>
      <rPr>
        <b/>
        <sz val="11"/>
        <color theme="1"/>
        <rFont val="Arial"/>
      </rPr>
      <t xml:space="preserve">honest</t>
    </r>
    <r>
      <rPr>
        <sz val="11"/>
        <color theme="1"/>
        <rFont val="Arial"/>
      </rPr>
      <t xml:space="preserve"> with me, open without concealment.</t>
    </r>
  </si>
  <si>
    <t xml:space="preserve">moral honor</t>
  </si>
  <si>
    <t xml:space="preserve">"Pride and honor and truth and virtue and kindliness," he enumerated silkily. "You are right, Scarlett. They aren't important when a boat is sinking. But look around you at your friends. Either they are bringing their boats ashore safely with cargoes intact or they are content to go down with all flags flying."</t>
  </si>
  <si>
    <t xml:space="preserve">TERM: chest' (честь) — honour; honor [ORD]
PASSAGE: Гордость, и честь, и правдивость, и целомудрие, и милосердие, — хмуро перечислил он.
TRANS: Gordost', i chest', i pravdivost', i tselomudrie, i miloserdie, — khmuro perechislil on.
TRANSLATION: Pride, and honor, and truthfulness, and chastity, and mercy, — he listed gloomily.</t>
  </si>
  <si>
    <r>
      <rPr>
        <b/>
        <sz val="11"/>
        <color theme="1"/>
        <rFont val="Arial"/>
      </rPr>
      <t xml:space="preserve">TERM:</t>
    </r>
    <r>
      <rPr>
        <sz val="11"/>
        <color theme="1"/>
        <rFont val="Arial"/>
      </rPr>
      <t xml:space="preserve"> AR (АР) — honour; conscience; inalienable inner moral principle [KED, SZK]
</t>
    </r>
    <r>
      <rPr>
        <b/>
        <sz val="11"/>
        <color theme="1"/>
        <rFont val="Arial"/>
      </rPr>
      <t xml:space="preserve">PASSAGE: Ар</t>
    </r>
    <r>
      <rPr>
        <sz val="11"/>
        <color theme="1"/>
        <rFont val="Arial"/>
      </rPr>
      <t xml:space="preserve">, адалдық, шыншылдық, тәкаппарлық, мақсатшылдық, мейірімділік</t>
    </r>
    <r>
      <rPr>
        <b/>
        <sz val="11"/>
        <color theme="1"/>
        <rFont val="Arial"/>
      </rPr>
      <t xml:space="preserve">
TRANS: Ar</t>
    </r>
    <r>
      <rPr>
        <sz val="11"/>
        <color theme="1"/>
        <rFont val="Arial"/>
      </rPr>
      <t xml:space="preserve">, adaldyq, şynşyldyq, täkapparlyq, maqsatşyldyq, meiırımdılık</t>
    </r>
    <r>
      <rPr>
        <b/>
        <sz val="11"/>
        <color theme="1"/>
        <rFont val="Arial"/>
      </rPr>
      <t xml:space="preserve">
TRANSLATION: Conscience</t>
    </r>
    <r>
      <rPr>
        <sz val="11"/>
        <color theme="1"/>
        <rFont val="Arial"/>
      </rPr>
      <t xml:space="preserve">, honesty, truthfulness, dignity, purpose, mercy</t>
    </r>
  </si>
  <si>
    <t xml:space="preserve">"You can afford to be—but you won't. It's hard to salvage jettisoned cargo and, if it is retrieved, it's usually irreparably damaged. And I fear that when you can afford to fish up the honor and virtue and kindness you've thrown overboard, you'll find they have suffered a sea change and not, I fear, into something rich and strange..."</t>
  </si>
  <si>
    <t xml:space="preserve">TERM: chest' (честь) — honour; honor [ORD]
PASSAGE: И боюсь, что когда вы сочтете возможным втянуть обратно в лодку честь, целомудрие и милосердие, которые вышвырнули за борт, вы обнаружите, что они претерпели в воде существенные изменения, причем отнюдь не к лучшему…
TRANS: I boyus', chto kogda vy sochtete vozmozhnym vtyanut' obratno v lodku chest', tselomudrie i miloserdie, kotorye vyshvyrnuli za bort, vy obnaruzhite, chto oni preterpeli v vode sushchestvennye izmeneniya, prichem otnyud' ne k luchshemu…
TRANSLATION: And I fear that when you find it possible to pull back into the boat the honor, chastity, and mercy that you tossed overboard, you will discover that they have undergone substantial changes in the water, and not at all for the better...</t>
  </si>
  <si>
    <r>
      <rPr>
        <b/>
        <sz val="11"/>
        <color theme="1"/>
        <rFont val="Arial"/>
      </rPr>
      <t xml:space="preserve">TERM:</t>
    </r>
    <r>
      <rPr>
        <sz val="11"/>
        <color theme="1"/>
        <rFont val="Arial"/>
      </rPr>
      <t xml:space="preserve"> AR-ŪİAT (АР-ҰЯТ) — conscience-shame (compound): the active inner moral faculty [KED, SZK]
</t>
    </r>
    <r>
      <rPr>
        <b/>
        <sz val="11"/>
        <color theme="1"/>
        <rFont val="Arial"/>
      </rPr>
      <t xml:space="preserve">PASSAGE:</t>
    </r>
    <r>
      <rPr>
        <sz val="11"/>
        <color theme="1"/>
        <rFont val="Arial"/>
      </rPr>
      <t xml:space="preserve"> Сіз </t>
    </r>
    <r>
      <rPr>
        <b/>
        <sz val="11"/>
        <color theme="1"/>
        <rFont val="Arial"/>
      </rPr>
      <t xml:space="preserve">ар-ұятыңызды</t>
    </r>
    <r>
      <rPr>
        <sz val="11"/>
        <color theme="1"/>
        <rFont val="Arial"/>
      </rPr>
      <t xml:space="preserve">, мейірімділік пен адалдығыңызды қайтадан қажетсініп қайыққа тартып алған кезде де, олардың бұрынғы мәнін жойып, суда қалған кездерінде мүлдем танымастай өзгергенін байқайсыз, және жақсы жағына қарай өзгермес...
</t>
    </r>
    <r>
      <rPr>
        <b/>
        <sz val="11"/>
        <color theme="1"/>
        <rFont val="Arial"/>
      </rPr>
      <t xml:space="preserve">TRANS:</t>
    </r>
    <r>
      <rPr>
        <sz val="11"/>
        <color theme="1"/>
        <rFont val="Arial"/>
      </rPr>
      <t xml:space="preserve"> Sız </t>
    </r>
    <r>
      <rPr>
        <b/>
        <sz val="11"/>
        <color theme="1"/>
        <rFont val="Arial"/>
      </rPr>
      <t xml:space="preserve">ar-ūiatyñyzdy</t>
    </r>
    <r>
      <rPr>
        <sz val="11"/>
        <color theme="1"/>
        <rFont val="Arial"/>
      </rPr>
      <t xml:space="preserve">, meiırımdılık pen adaldyğyñyzdy qaitadan qajetsınıp qaiyqqa tartyp alğan kezde de, olardyñ būrynğy mänın joiyp, suda qalğan kezderınde müldem tanymastai özgergenın baiqaisyz, jäne jaqsy jağyna qarai özgermes...
</t>
    </r>
    <r>
      <rPr>
        <b/>
        <sz val="11"/>
        <color theme="1"/>
        <rFont val="Arial"/>
      </rPr>
      <t xml:space="preserve">TRANSLATION:</t>
    </r>
    <r>
      <rPr>
        <sz val="11"/>
        <color theme="1"/>
        <rFont val="Arial"/>
      </rPr>
      <t xml:space="preserve"> When you again come to need your </t>
    </r>
    <r>
      <rPr>
        <b/>
        <sz val="11"/>
        <color theme="1"/>
        <rFont val="Arial"/>
      </rPr>
      <t xml:space="preserve">conscience</t>
    </r>
    <r>
      <rPr>
        <sz val="11"/>
        <color theme="1"/>
        <rFont val="Arial"/>
      </rPr>
      <t xml:space="preserve">, your mercy, and your honesty and pull them back into the boat, you will discover that they have lost their original substance and changed beyond recognition while in the water — and not for the better...</t>
    </r>
  </si>
  <si>
    <t xml:space="preserve">Moral code</t>
  </si>
  <si>
    <t xml:space="preserve">"Ashley Wilkes has never taken a cent from me! I couldn't make him take a cent if he were starving! You don't understand him, how honorable, how proud he is! Of course, you can't understand him, being what you are—"</t>
  </si>
  <si>
    <t xml:space="preserve">TERM: blagorodnyy (благородный) — noble; of noble character [ORD]
PASSAGE: Вам в жизни не понять, какой он благородный, какой гордый!
TRANS: Vam v zhizni ne ponyat', kakoy on blagorodnyy, kakoy gordyy!
TRANSLATION: You will never in your life understand how noble he is, how proud!</t>
  </si>
  <si>
    <r>
      <rPr>
        <b/>
        <sz val="11"/>
        <color theme="1"/>
        <rFont val="Arial"/>
      </rPr>
      <t xml:space="preserve">TERM:</t>
    </r>
    <r>
      <rPr>
        <sz val="11"/>
        <color theme="1"/>
        <rFont val="Arial"/>
      </rPr>
      <t xml:space="preserve"> ASYL (АСЫЛ) — noble; precious; intrinsically valuable [KED, SZK]
</t>
    </r>
    <r>
      <rPr>
        <b/>
        <sz val="11"/>
        <color theme="1"/>
        <rFont val="Arial"/>
      </rPr>
      <t xml:space="preserve">PASSAGE:</t>
    </r>
    <r>
      <rPr>
        <sz val="11"/>
        <color theme="1"/>
        <rFont val="Arial"/>
      </rPr>
      <t xml:space="preserve"> Оның қандай жаны </t>
    </r>
    <r>
      <rPr>
        <b/>
        <sz val="11"/>
        <color theme="1"/>
        <rFont val="Arial"/>
      </rPr>
      <t xml:space="preserve">асыл</t>
    </r>
    <r>
      <rPr>
        <sz val="11"/>
        <color theme="1"/>
        <rFont val="Arial"/>
      </rPr>
      <t xml:space="preserve">, қандай ар-ұятты биік қоятын адам екенін мәңгі түсінбей өтесіз!
</t>
    </r>
    <r>
      <rPr>
        <b/>
        <sz val="11"/>
        <color theme="1"/>
        <rFont val="Arial"/>
      </rPr>
      <t xml:space="preserve">TRANS:</t>
    </r>
    <r>
      <rPr>
        <sz val="11"/>
        <color theme="1"/>
        <rFont val="Arial"/>
      </rPr>
      <t xml:space="preserve"> Onyñ qandai jany </t>
    </r>
    <r>
      <rPr>
        <b/>
        <sz val="11"/>
        <color theme="1"/>
        <rFont val="Arial"/>
      </rPr>
      <t xml:space="preserve">asyl</t>
    </r>
    <r>
      <rPr>
        <sz val="11"/>
        <color theme="1"/>
        <rFont val="Arial"/>
      </rPr>
      <t xml:space="preserve">, qandai ar-ūiatty biık qoiatyn adam ekenın mäñgı tüsınbei ötesız!
</t>
    </r>
    <r>
      <rPr>
        <b/>
        <sz val="11"/>
        <color theme="1"/>
        <rFont val="Arial"/>
      </rPr>
      <t xml:space="preserve">TRANSLATION:</t>
    </r>
    <r>
      <rPr>
        <sz val="11"/>
        <color theme="1"/>
        <rFont val="Arial"/>
      </rPr>
      <t xml:space="preserve"> You will never understand all your life what kind of soul he is — how nobly elevated, how high he holds his </t>
    </r>
    <r>
      <rPr>
        <b/>
        <sz val="11"/>
        <color theme="1"/>
        <rFont val="Arial"/>
      </rPr>
      <t xml:space="preserve">conscience</t>
    </r>
    <r>
      <rPr>
        <sz val="11"/>
        <color theme="1"/>
        <rFont val="Arial"/>
      </rPr>
      <t xml:space="preserve">!</t>
    </r>
  </si>
  <si>
    <t xml:space="preserve">Moral honor, code of behavior</t>
  </si>
  <si>
    <t xml:space="preserve">"If you are comparing him with yourself, you conceited thing, why— He's not like you, thank God! He wouldn't soil his hands as you do, making money with Carpetbaggers and Scallawags and Yankees. He's scrupulous and honorable!"</t>
  </si>
  <si>
    <t xml:space="preserve">TERM: uvazhayushchiy sebya (уважающий себя) — self-respecting (lit. respecting oneself) [ORD] (lemma: уважать)
PASSAGE: Он человек, уважающий себя, совестливый!
TRANS: On chelovek, uvazhayushchiy sebya, sovestlivyy!
TRANSLATION: He is a man who respects himself, conscientious!</t>
  </si>
  <si>
    <r>
      <rPr>
        <b/>
        <sz val="11"/>
        <color theme="1"/>
        <rFont val="Arial"/>
      </rPr>
      <t xml:space="preserve">TERM:</t>
    </r>
    <r>
      <rPr>
        <sz val="11"/>
        <color theme="1"/>
        <rFont val="Arial"/>
      </rPr>
      <t xml:space="preserve"> qūrmetti (ҚҰРМЕТTІ) = құрмет respected, honourable
</t>
    </r>
    <r>
      <rPr>
        <b/>
        <sz val="11"/>
        <color theme="1"/>
        <rFont val="Arial"/>
      </rPr>
      <t xml:space="preserve">PASSAGE:</t>
    </r>
    <r>
      <rPr>
        <sz val="11"/>
        <color theme="1"/>
        <rFont val="Arial"/>
      </rPr>
      <t xml:space="preserve"> Ол - өзін </t>
    </r>
    <r>
      <rPr>
        <b/>
        <sz val="11"/>
        <color theme="1"/>
        <rFont val="Arial"/>
      </rPr>
      <t xml:space="preserve">құрметтейтін</t>
    </r>
    <r>
      <rPr>
        <sz val="11"/>
        <color theme="1"/>
        <rFont val="Arial"/>
      </rPr>
      <t xml:space="preserve">, ұяты бар адам.
</t>
    </r>
    <r>
      <rPr>
        <b/>
        <sz val="11"/>
        <color theme="1"/>
        <rFont val="Arial"/>
      </rPr>
      <t xml:space="preserve">TRANS:</t>
    </r>
    <r>
      <rPr>
        <sz val="11"/>
        <color theme="1"/>
        <rFont val="Arial"/>
      </rPr>
      <t xml:space="preserve"> Ol - özın </t>
    </r>
    <r>
      <rPr>
        <b/>
        <sz val="11"/>
        <color theme="1"/>
        <rFont val="Arial"/>
      </rPr>
      <t xml:space="preserve">qūrmetteitın</t>
    </r>
    <r>
      <rPr>
        <sz val="11"/>
        <color theme="1"/>
        <rFont val="Arial"/>
      </rPr>
      <t xml:space="preserve">, ūiaty bar adam.
</t>
    </r>
    <r>
      <rPr>
        <b/>
        <sz val="11"/>
        <color theme="1"/>
        <rFont val="Arial"/>
      </rPr>
      <t xml:space="preserve">TRANSLATION:</t>
    </r>
    <r>
      <rPr>
        <sz val="11"/>
        <color theme="1"/>
        <rFont val="Arial"/>
      </rPr>
      <t xml:space="preserve"> He is a man who </t>
    </r>
    <r>
      <rPr>
        <b/>
        <sz val="11"/>
        <color theme="1"/>
        <rFont val="Arial"/>
      </rPr>
      <t xml:space="preserve">respects</t>
    </r>
    <r>
      <rPr>
        <sz val="11"/>
        <color theme="1"/>
        <rFont val="Arial"/>
      </rPr>
      <t xml:space="preserve"> himself, who has conscience.</t>
    </r>
  </si>
  <si>
    <t xml:space="preserve">"But not too scrupulous and honorable to take aid and money from a woman."</t>
  </si>
  <si>
    <t xml:space="preserve">TERM: uvazhayushchiy sebya (уважающий себя) — self-respecting (lit. respecting oneself) [ORD] (lemma: уважать)
PASSAGE: Но не настолько уважающий себя и не настолько совестливый, чтобы отказаться от помощи и денег женщины.
TRANS: No ne nastol'ko uvazhayushchiy sebya i ne nastol'ko sovestlivyy, chtoby otkazat'sya ot pomoshchi i deneg zhenshchiny.
TRANSLATION: But not so self-respecting and not so conscientious as to refuse a woman's help and money.</t>
  </si>
  <si>
    <r>
      <rPr>
        <b/>
        <sz val="11"/>
        <color theme="1"/>
        <rFont val="Arial"/>
      </rPr>
      <t xml:space="preserve">TERM:</t>
    </r>
    <r>
      <rPr>
        <sz val="11"/>
        <color theme="1"/>
        <rFont val="Arial"/>
      </rPr>
      <t xml:space="preserve"> QŪRMETTI (ҚҰРМЕТTІ) = құрмет respected, honourable
</t>
    </r>
    <r>
      <rPr>
        <b/>
        <sz val="11"/>
        <color theme="1"/>
        <rFont val="Arial"/>
      </rPr>
      <t xml:space="preserve">PASSAGE:</t>
    </r>
    <r>
      <rPr>
        <sz val="11"/>
        <color theme="1"/>
        <rFont val="Arial"/>
      </rPr>
      <t xml:space="preserve"> Дегенмен әйелдің ақшасы мен көмегінен бас тартпайтынына қарағанда, соншалық құрметті, соншалық </t>
    </r>
    <r>
      <rPr>
        <b/>
        <sz val="11"/>
        <color theme="1"/>
        <rFont val="Arial"/>
      </rPr>
      <t xml:space="preserve">ұятты</t>
    </r>
    <r>
      <rPr>
        <sz val="11"/>
        <color theme="1"/>
        <rFont val="Arial"/>
      </rPr>
      <t xml:space="preserve"> емес те сияқты ғой.
</t>
    </r>
    <r>
      <rPr>
        <b/>
        <sz val="11"/>
        <color theme="1"/>
        <rFont val="Arial"/>
      </rPr>
      <t xml:space="preserve">TRANS:</t>
    </r>
    <r>
      <rPr>
        <sz val="11"/>
        <color theme="1"/>
        <rFont val="Arial"/>
      </rPr>
      <t xml:space="preserve"> Degenmen äieldıñ aqşasy men kömegınen bas tartpaitynyna qarağanda, sonşalyq </t>
    </r>
    <r>
      <rPr>
        <b/>
        <sz val="11"/>
        <color theme="1"/>
        <rFont val="Arial"/>
      </rPr>
      <t xml:space="preserve">qūrmettı</t>
    </r>
    <r>
      <rPr>
        <sz val="11"/>
        <color theme="1"/>
        <rFont val="Arial"/>
      </rPr>
      <t xml:space="preserve">, sonşalyq ūiatty emes te siaqty ğoi.
</t>
    </r>
    <r>
      <rPr>
        <b/>
        <sz val="11"/>
        <color theme="1"/>
        <rFont val="Arial"/>
      </rPr>
      <t xml:space="preserve">TRANSLATION:</t>
    </r>
    <r>
      <rPr>
        <sz val="11"/>
        <color theme="1"/>
        <rFont val="Arial"/>
      </rPr>
      <t xml:space="preserve">  And yet, since he did not refuse the woman’s money or assistance, he did not seem quite so </t>
    </r>
    <r>
      <rPr>
        <b/>
        <sz val="11"/>
        <color theme="1"/>
        <rFont val="Arial"/>
      </rPr>
      <t xml:space="preserve">honorable</t>
    </r>
    <r>
      <rPr>
        <sz val="11"/>
        <color theme="1"/>
        <rFont val="Arial"/>
      </rPr>
      <t xml:space="preserve">—or so shameful after all.</t>
    </r>
  </si>
  <si>
    <t xml:space="preserve">Code of behavior, moral</t>
  </si>
  <si>
    <t xml:space="preserve">TERM: blagorodnyy (благородный) — noble; of noble character [ORD]
PASSAGE: Эшли ведь такой благородный, такой правдивый, такой добрый, и он видит все так ясно, без прикрас.
TRANS: Eshli ved' takoy blagorodnyy, takoy pravdivyy, takoy dobryy, i on vidit vse tak yasno, bez prikras.
TRANSLATION: Ashley is so noble, so truthful, so kind, and he sees everything so clearly, without embellishment.</t>
  </si>
  <si>
    <r>
      <rPr>
        <b/>
        <sz val="11"/>
        <color theme="1"/>
        <rFont val="Arial"/>
      </rPr>
      <t xml:space="preserve">TERM:</t>
    </r>
    <r>
      <rPr>
        <sz val="11"/>
        <color theme="1"/>
        <rFont val="Arial"/>
      </rPr>
      <t xml:space="preserve"> keñpeiıl (кеңпейіл) = ‘broad-souled’ (noble) 
</t>
    </r>
    <r>
      <rPr>
        <b/>
        <sz val="11"/>
        <color theme="1"/>
        <rFont val="Arial"/>
      </rPr>
      <t xml:space="preserve">PASSAGE:</t>
    </r>
    <r>
      <rPr>
        <sz val="11"/>
        <color theme="1"/>
        <rFont val="Arial"/>
      </rPr>
      <t xml:space="preserve"> Ол сондай </t>
    </r>
    <r>
      <rPr>
        <b/>
        <sz val="11"/>
        <color theme="1"/>
        <rFont val="Arial"/>
      </rPr>
      <t xml:space="preserve">кеңпейіл</t>
    </r>
    <r>
      <rPr>
        <sz val="11"/>
        <color theme="1"/>
        <rFont val="Arial"/>
      </rPr>
      <t xml:space="preserve">, сондай шыншыл, сондай қамқор, мейірімді, бәрін жақсы ашық көңілмен қабылдайды.
</t>
    </r>
    <r>
      <rPr>
        <b/>
        <sz val="11"/>
        <color theme="1"/>
        <rFont val="Arial"/>
      </rPr>
      <t xml:space="preserve">TRANS:</t>
    </r>
    <r>
      <rPr>
        <sz val="11"/>
        <color theme="1"/>
        <rFont val="Arial"/>
      </rPr>
      <t xml:space="preserve"> Ol sondai </t>
    </r>
    <r>
      <rPr>
        <b/>
        <sz val="11"/>
        <color theme="1"/>
        <rFont val="Arial"/>
      </rPr>
      <t xml:space="preserve">keñpeiıl</t>
    </r>
    <r>
      <rPr>
        <sz val="11"/>
        <color theme="1"/>
        <rFont val="Arial"/>
      </rPr>
      <t xml:space="preserve">, sondai şynşyl, sondai qamqor, meiırımdı, bärın jaqsy aşyq köñılmen qabyldaidy.
</t>
    </r>
    <r>
      <rPr>
        <b/>
        <sz val="11"/>
        <color theme="1"/>
        <rFont val="Arial"/>
      </rPr>
      <t xml:space="preserve">TRANSLATION:</t>
    </r>
    <r>
      <rPr>
        <sz val="11"/>
        <color theme="1"/>
        <rFont val="Arial"/>
      </rPr>
      <t xml:space="preserve"> He is so </t>
    </r>
    <r>
      <rPr>
        <b/>
        <sz val="11"/>
        <color theme="1"/>
        <rFont val="Arial"/>
      </rPr>
      <t xml:space="preserve">broad-souled</t>
    </r>
    <r>
      <rPr>
        <sz val="11"/>
        <color theme="1"/>
        <rFont val="Arial"/>
      </rPr>
      <t xml:space="preserve">, so truthful, so caring, so merciful — he accepts everything with an open and clear heart.</t>
    </r>
  </si>
  <si>
    <t xml:space="preserve">"Oh, for God's sake, hush!" interrupted Scarlett, annoyed as usual when he made her look like a conceited fool, and not caring to have Ashley and his honor become the subject of further conversation. "What was the other thing you wanted to tell me?"</t>
  </si>
  <si>
    <t xml:space="preserve">TERM: poryadochnost' (порядочность) — decency; respectability; integrity [ORD]
PASSAGE: к тому же ей вовсе не хотелось обсуждать Эшли и его порядочность.
TRANS: k tomu zhe ey vovse ne khotelos' obsuzhdat' Eshli i ego poryadochnost'.
TRANSLATION: besides, she did not at all want to discuss Ashley and his decency.</t>
  </si>
  <si>
    <r>
      <rPr>
        <b/>
        <sz val="11"/>
        <color theme="1"/>
        <rFont val="Arial"/>
      </rPr>
      <t xml:space="preserve">TERM:</t>
    </r>
    <r>
      <rPr>
        <sz val="11"/>
        <color theme="1"/>
        <rFont val="Arial"/>
      </rPr>
      <t xml:space="preserve"> ÄDEPTILIK (ӘДЕПТІЛІК) — politeness; decency; propriety [KED, SZK]
</t>
    </r>
    <r>
      <rPr>
        <b/>
        <sz val="11"/>
        <color theme="1"/>
        <rFont val="Arial"/>
      </rPr>
      <t xml:space="preserve">PASSAGE:</t>
    </r>
    <r>
      <rPr>
        <sz val="11"/>
        <color theme="1"/>
        <rFont val="Arial"/>
      </rPr>
      <t xml:space="preserve"> Бұрын да өзімшіл екенін бетіне басып, өкпелететін кездеріндей қиналып кетті де, Эшлидің </t>
    </r>
    <r>
      <rPr>
        <b/>
        <sz val="11"/>
        <color theme="1"/>
        <rFont val="Arial"/>
      </rPr>
      <t xml:space="preserve">әдептілігі</t>
    </r>
    <r>
      <rPr>
        <sz val="11"/>
        <color theme="1"/>
        <rFont val="Arial"/>
      </rPr>
      <t xml:space="preserve"> туралы да сөз қозғатқысы келмеді.
</t>
    </r>
    <r>
      <rPr>
        <b/>
        <sz val="11"/>
        <color theme="1"/>
        <rFont val="Arial"/>
      </rPr>
      <t xml:space="preserve">TRANS:</t>
    </r>
    <r>
      <rPr>
        <sz val="11"/>
        <color theme="1"/>
        <rFont val="Arial"/>
      </rPr>
      <t xml:space="preserve"> Būryn da özımşıl ekenın betıne basyp, ökpeletetın kezderındei qinalyp kettı de, Eşlidıñ </t>
    </r>
    <r>
      <rPr>
        <b/>
        <sz val="11"/>
        <color theme="1"/>
        <rFont val="Arial"/>
      </rPr>
      <t xml:space="preserve">ädeptılıgı</t>
    </r>
    <r>
      <rPr>
        <sz val="11"/>
        <color theme="1"/>
        <rFont val="Arial"/>
      </rPr>
      <t xml:space="preserve"> turaly da söz qozğatqysy kelmedı.
</t>
    </r>
    <r>
      <rPr>
        <b/>
        <sz val="11"/>
        <color theme="1"/>
        <rFont val="Arial"/>
      </rPr>
      <t xml:space="preserve">TRANSLATION:</t>
    </r>
    <r>
      <rPr>
        <sz val="11"/>
        <color theme="1"/>
        <rFont val="Arial"/>
      </rPr>
      <t xml:space="preserve"> As before when he had thrown her self-centeredness in her face, she felt distressed, and did not want to bring up Ashley's </t>
    </r>
    <r>
      <rPr>
        <b/>
        <sz val="11"/>
        <color theme="1"/>
        <rFont val="Arial"/>
      </rPr>
      <t xml:space="preserve">decency</t>
    </r>
    <r>
      <rPr>
        <sz val="11"/>
        <color theme="1"/>
        <rFont val="Arial"/>
      </rPr>
      <t xml:space="preserve"> for discussion either.</t>
    </r>
  </si>
  <si>
    <t xml:space="preserve">honor cited ironically / sarcastically — Rhett's deflation of the concept</t>
  </si>
  <si>
    <t xml:space="preserve">"I still laugh—but I've reached the end of roaming, Scarlett. I'm forty-five—the age when a man begins to value some of the things he's thrown away so lightly in youth, the clannishness of families, honor and security, roots that go deep— Oh, no! I'm not recanting, I'm not regretting anything I've ever done. I've had a hell of a good time—such a hell of a good time that it's begun to pall and now I want something different. No, I never intend to change more than my spots. But I want the outer semblance of the things I used to know, the utter boredom of respectability—other people's respectability, my pet, not my own—the calm dignity life can have when it's lived by gentle folks, the genial grace of days that are gone. When I lived those days I didn't realize the slow charm of them—"</t>
  </si>
  <si>
    <t xml:space="preserve">TERM: chest' (честь) — honour; honor [ORD]
PASSAGE: Мне сорок пять лет, и в этом возрасте человек начинает ценить то, что он так легко отбрасывал в юности: свой клан, свою семью, свою честь и безопасность, корни, уходящие глубоко…
TRANS: Mne sorok pyat' let, i v etom vozraste chelovek nachinaet tsenit' to, chto on tak legko otbrasyval v yunosti: svoy klan, svoyu sem'yu, svoyu chest' i bezopasnost', korni, ukhodyashchie gluboko…
TRANSLATION: I am forty-five years old, and at this age a person begins to value what he so easily cast aside in his youth: his clan, his family, his honor and security, roots that go deep...</t>
  </si>
  <si>
    <r>
      <rPr>
        <b/>
        <sz val="11"/>
        <color theme="1"/>
        <rFont val="Arial"/>
      </rPr>
      <t xml:space="preserve">TERM:</t>
    </r>
    <r>
      <rPr>
        <sz val="11"/>
        <color theme="1"/>
        <rFont val="Arial"/>
      </rPr>
      <t xml:space="preserve"> AR-NAMYS (АР-НАМЫС) — honour; observable behavioural code (compound) [KED, SZK]
</t>
    </r>
    <r>
      <rPr>
        <b/>
        <sz val="11"/>
        <color theme="1"/>
        <rFont val="Arial"/>
      </rPr>
      <t xml:space="preserve">PASSAGE:</t>
    </r>
    <r>
      <rPr>
        <sz val="11"/>
        <color theme="1"/>
        <rFont val="Arial"/>
      </rPr>
      <t xml:space="preserve"> Менің жасым қырық беске келіпті, бұл адамның жас кезінде қолын бір сілтеп, керек қылмай кеткен нәрселерін - отбасын, </t>
    </r>
    <r>
      <rPr>
        <b/>
        <sz val="11"/>
        <color theme="1"/>
        <rFont val="Arial"/>
      </rPr>
      <t xml:space="preserve">ар-намысын</t>
    </r>
    <r>
      <rPr>
        <sz val="11"/>
        <color theme="1"/>
        <rFont val="Arial"/>
      </rPr>
      <t xml:space="preserve">, қауіпсіздігін, түп-тамырын бағалайтын, қадірлейтін тұсы!
</t>
    </r>
    <r>
      <rPr>
        <b/>
        <sz val="11"/>
        <color theme="1"/>
        <rFont val="Arial"/>
      </rPr>
      <t xml:space="preserve">TRANS:</t>
    </r>
    <r>
      <rPr>
        <sz val="11"/>
        <color theme="1"/>
        <rFont val="Arial"/>
      </rPr>
      <t xml:space="preserve"> Menıñ jasym qyryq beske kelıptı, būl adamnyñ jas kezınde qolyn bır sıltep, kerek qylmai ketken närselerın - otbasyn, </t>
    </r>
    <r>
      <rPr>
        <b/>
        <sz val="11"/>
        <color theme="1"/>
        <rFont val="Arial"/>
      </rPr>
      <t xml:space="preserve">ar-namysyn,</t>
    </r>
    <r>
      <rPr>
        <sz val="11"/>
        <color theme="1"/>
        <rFont val="Arial"/>
      </rPr>
      <t xml:space="preserve"> qauıpsızdıgın, tüp-tamyryn bağalaityn, qadırleitın tūsy!
</t>
    </r>
    <r>
      <rPr>
        <b/>
        <sz val="11"/>
        <color theme="1"/>
        <rFont val="Arial"/>
      </rPr>
      <t xml:space="preserve">TRANSLATION:</t>
    </r>
    <r>
      <rPr>
        <sz val="11"/>
        <color theme="1"/>
        <rFont val="Arial"/>
      </rPr>
      <t xml:space="preserve"> I am forty-five years old now — this is the age when a person begins to value and treasure the things he so easily cast aside in his youth: family, </t>
    </r>
    <r>
      <rPr>
        <b/>
        <sz val="11"/>
        <color theme="1"/>
        <rFont val="Arial"/>
      </rPr>
      <t xml:space="preserve">honor</t>
    </r>
    <r>
      <rPr>
        <sz val="11"/>
        <color theme="1"/>
        <rFont val="Arial"/>
      </rPr>
      <t xml:space="preserve">-</t>
    </r>
    <r>
      <rPr>
        <b/>
        <sz val="11"/>
        <color theme="1"/>
        <rFont val="Arial"/>
      </rPr>
      <t xml:space="preserve">pride</t>
    </r>
    <r>
      <rPr>
        <sz val="11"/>
        <color theme="1"/>
        <rFont val="Arial"/>
      </rPr>
      <t xml:space="preserve">, security, deep roots!</t>
    </r>
  </si>
  <si>
    <t xml:space="preserve">Moral guide</t>
  </si>
  <si>
    <t xml:space="preserve">"You made it with the money I lent you to give you your start. That's what you mean. My money is being used to support Ashley. You are a woman quite without honor and if you hadn't repaid my loan, I'd take great pleasure in calling it in now and selling you out at public auction if you couldn't pay."</t>
  </si>
  <si>
    <t xml:space="preserve">TERM: beschestnaya (бесчестная) — dishonourable (adj. fem.) [ORD] (lemma: бесчестный)
PASSAGE: Вы бесчестная женщина, и если бы вы не вернули мне долг, я бы с удовольствием востребовал его сейчас, а не заплати вы мне — все ваше добро пошло бы с аукциона.
TRANS: Vy beschestnaya zhenshchina, i esli by vy ne vernuli mne dolg, ya by s udovol'stviem vostreboval ego seychas, a ne zaplati vy mne — vse vashe dobro poshlo by s auktsiona.
TRANSLATION: You are a dishonest woman, and if you had not returned me the debt, I would gladly have demanded it now, and had you not paid me — all your goods would have gone under the hammer.</t>
  </si>
  <si>
    <r>
      <rPr>
        <b/>
        <sz val="11"/>
        <color theme="1"/>
        <rFont val="Arial"/>
      </rPr>
      <t xml:space="preserve">TERM:</t>
    </r>
    <r>
      <rPr>
        <sz val="11"/>
        <color theme="1"/>
        <rFont val="Arial"/>
      </rPr>
      <t xml:space="preserve"> ÄDILETSIZ (ӘДІЛЕТСІЗ) = unjust
</t>
    </r>
    <r>
      <rPr>
        <b/>
        <sz val="11"/>
        <color theme="1"/>
        <rFont val="Arial"/>
      </rPr>
      <t xml:space="preserve">PASSAGE:</t>
    </r>
    <r>
      <rPr>
        <sz val="11"/>
        <color theme="1"/>
        <rFont val="Arial"/>
      </rPr>
      <t xml:space="preserve"> Сіз </t>
    </r>
    <r>
      <rPr>
        <b/>
        <sz val="11"/>
        <color theme="1"/>
        <rFont val="Arial"/>
      </rPr>
      <t xml:space="preserve">әділетсіз</t>
    </r>
    <r>
      <rPr>
        <sz val="11"/>
        <color theme="1"/>
        <rFont val="Arial"/>
      </rPr>
      <t xml:space="preserve"> әйел екенсіз, егер қарызды қайтармағаныңызда, мен үстемелеп төлеуге заң арқылы мәжбүрлей алар едім.
</t>
    </r>
    <r>
      <rPr>
        <b/>
        <sz val="11"/>
        <color theme="1"/>
        <rFont val="Arial"/>
      </rPr>
      <t xml:space="preserve">TRANS:</t>
    </r>
    <r>
      <rPr>
        <sz val="11"/>
        <color theme="1"/>
        <rFont val="Arial"/>
      </rPr>
      <t xml:space="preserve"> Sız </t>
    </r>
    <r>
      <rPr>
        <b/>
        <sz val="11"/>
        <color theme="1"/>
        <rFont val="Arial"/>
      </rPr>
      <t xml:space="preserve">ädıletsız</t>
    </r>
    <r>
      <rPr>
        <sz val="11"/>
        <color theme="1"/>
        <rFont val="Arial"/>
      </rPr>
      <t xml:space="preserve"> äiel ekensız, eger qaryzdy qaitarmağanyñyzda, men üstemelep töleuge zañ arqyly mäjbürlei alar edım.
</t>
    </r>
    <r>
      <rPr>
        <b/>
        <sz val="11"/>
        <color theme="1"/>
        <rFont val="Arial"/>
      </rPr>
      <t xml:space="preserve">TRANSLATION:</t>
    </r>
    <r>
      <rPr>
        <sz val="11"/>
        <color theme="1"/>
        <rFont val="Arial"/>
      </rPr>
      <t xml:space="preserve"> You are an </t>
    </r>
    <r>
      <rPr>
        <b/>
        <sz val="11"/>
        <color theme="1"/>
        <rFont val="Arial"/>
      </rPr>
      <t xml:space="preserve">unjust</t>
    </r>
    <r>
      <rPr>
        <sz val="11"/>
        <color theme="1"/>
        <rFont val="Arial"/>
      </rPr>
      <t xml:space="preserve"> woman; had you not returned the debt, I could have made you pay double through the law.</t>
    </r>
  </si>
  <si>
    <t xml:space="preserve">Honor — Reputation / standing</t>
  </si>
  <si>
    <t xml:space="preserve">social honor — reputation, community standing, publicly conferred dignity</t>
  </si>
  <si>
    <t xml:space="preserve">There was no more warmth in him than in a marsh light, no more security than in quicksand. It was Rhett—Rhett who had strong arms to hold her, a broad chest to pillow her tired head, jeering laughter to pull her affairs into proper perspective. And complete understanding, because he, like her, saw truth as truth, unobstructed by impractical notions of honor, sacrifice, or high belief in human nature. He loved her! Why hadn't she realized that he loved her, for all his taunting remarks to the contrary? Melanie had seen it and with her last breath had said, "Be kind to him."</t>
  </si>
  <si>
    <t xml:space="preserve">TERM: chest' (честь) — honour; honor [ORD]
PASSAGE: а не затуманенную всякими так называемыми высокими представлениями о чести, самопожертвовании или вере в человеческую натуру.
TRANS: a ne zatumanennuyu vsyakimi tak nazyvaemymi vysokimi predstavleniyami o chesti, samopozhertvovanii ili vere v chelovecheskuyu naturu.
TRANSLATION: and not [a vision] clouded by all sorts of so-called lofty notions of honor, self-sacrifice, or faith in human nature.</t>
  </si>
  <si>
    <r>
      <rPr>
        <b/>
        <sz val="11"/>
        <color theme="1"/>
        <rFont val="Arial"/>
      </rPr>
      <t xml:space="preserve">TERM:</t>
    </r>
    <r>
      <rPr>
        <sz val="11"/>
        <color theme="1"/>
        <rFont val="Arial"/>
      </rPr>
      <t xml:space="preserve"> adal AR (адал АР) — honest ar; pure conscience [KED, SZK] (lemma: ар)
Abyroy (абырой) = dignity 
</t>
    </r>
    <r>
      <rPr>
        <b/>
        <sz val="11"/>
        <color theme="1"/>
        <rFont val="Arial"/>
      </rPr>
      <t xml:space="preserve">PASSAGE:</t>
    </r>
    <r>
      <rPr>
        <sz val="11"/>
        <color theme="1"/>
        <rFont val="Arial"/>
      </rPr>
      <t xml:space="preserve"> Өзі де бұл тақылеттес болғандықтан мұны толық түсінетін, ақиқатты сол күйімен қабылдайтын, биік мақсат, </t>
    </r>
    <r>
      <rPr>
        <b/>
        <sz val="11"/>
        <color theme="1"/>
        <rFont val="Arial"/>
      </rPr>
      <t xml:space="preserve">адал ар</t>
    </r>
    <r>
      <rPr>
        <sz val="11"/>
        <color theme="1"/>
        <rFont val="Arial"/>
      </rPr>
      <t xml:space="preserve">, </t>
    </r>
    <r>
      <rPr>
        <b/>
        <sz val="11"/>
        <color theme="1"/>
        <rFont val="Arial"/>
      </rPr>
      <t xml:space="preserve">абырой</t>
    </r>
    <r>
      <rPr>
        <sz val="11"/>
        <color theme="1"/>
        <rFont val="Arial"/>
      </rPr>
      <t xml:space="preserve"> туралы жұмбақ түсініктермен ештеңені әсірелемейтін, адам келбетінің бар шынайылығын солай көре қоятын жан.
</t>
    </r>
    <r>
      <rPr>
        <b/>
        <sz val="11"/>
        <color theme="1"/>
        <rFont val="Arial"/>
      </rPr>
      <t xml:space="preserve">TRANS:</t>
    </r>
    <r>
      <rPr>
        <sz val="11"/>
        <color theme="1"/>
        <rFont val="Arial"/>
      </rPr>
      <t xml:space="preserve"> Özı de būl taqylettes bolğandyqtan mūny tolyq tüsınetın, aqiqatty sol küiımen qabyldaityn, biık maqsat, </t>
    </r>
    <r>
      <rPr>
        <b/>
        <sz val="11"/>
        <color theme="1"/>
        <rFont val="Arial"/>
      </rPr>
      <t xml:space="preserve">adal ar, abyroi </t>
    </r>
    <r>
      <rPr>
        <sz val="11"/>
        <color theme="1"/>
        <rFont val="Arial"/>
      </rPr>
      <t xml:space="preserve">turaly jūmbaq tüsınıktermen eşteñenı äsırelemeitın, adam kelbetınıñ bar şynaiylyğyn solai köre qoiatyn jan.
</t>
    </r>
    <r>
      <rPr>
        <b/>
        <sz val="11"/>
        <color theme="1"/>
        <rFont val="Arial"/>
      </rPr>
      <t xml:space="preserve">TRANSLATION:</t>
    </r>
    <r>
      <rPr>
        <sz val="11"/>
        <color theme="1"/>
        <rFont val="Arial"/>
      </rPr>
      <t xml:space="preserve"> He himself, being of this same kind, fully understood her, accepting the truth as it is — a soul who did not exaggerate anything with mysterious notions of lofty aim, true </t>
    </r>
    <r>
      <rPr>
        <b/>
        <sz val="11"/>
        <color theme="1"/>
        <rFont val="Arial"/>
      </rPr>
      <t xml:space="preserve">conscience</t>
    </r>
    <r>
      <rPr>
        <sz val="11"/>
        <color theme="1"/>
        <rFont val="Arial"/>
      </rPr>
      <t xml:space="preserve">, or </t>
    </r>
    <r>
      <rPr>
        <b/>
        <sz val="11"/>
        <color theme="1"/>
        <rFont val="Arial"/>
      </rPr>
      <t xml:space="preserve">dignity</t>
    </r>
    <r>
      <rPr>
        <sz val="11"/>
        <color theme="1"/>
        <rFont val="Arial"/>
      </rPr>
      <t xml:space="preserve">, but saw the whole reality of human appearance as it is.</t>
    </r>
  </si>
  <si>
    <t xml:space="preserve">Moral honor, Rhett’s irony with regard to Ashley</t>
  </si>
  <si>
    <t xml:space="preserve">"I understand practically everything about you and Ashley, now," Rhett resumed. "I began with your inelegant scene at Twelve Oaks and, since then, I've picked up many things by keeping my eyes open. What things? Oh, that you still cherish a romantic schoolgirl passion for him which he reciprocates as well as his honorable nature will permit him. And that Mrs. Wilkes knows nothing and that, between the two of you, you've done her a pretty trick. I understand practically everything, except one thing that piques my curiosity. Did the honorable Ashley ever jeopardize his immortal soul by kissing you?"</t>
  </si>
  <si>
    <t xml:space="preserve">TERM: blagorodnaya vozvyshennaya natura (благородная возвышенная натура) — noble and elevated nature (descriptive phrase) [ORD] (lemma: благородный)
PASSAGE: в той мере, в какой ему позволяет это его благородная возвышенная натура.
TRANS: v toy mere, v kakoy emu pozvolyaet eto ego blagorodnaya vozvyshennaya natura.
TRANSLATION: to the extent that his noble, lofty nature allows him to.</t>
  </si>
  <si>
    <r>
      <rPr>
        <b/>
        <sz val="11"/>
        <color theme="1"/>
        <rFont val="Arial"/>
      </rPr>
      <t xml:space="preserve">TERM:</t>
    </r>
    <r>
      <rPr>
        <sz val="11"/>
        <color theme="1"/>
        <rFont val="Arial"/>
      </rPr>
      <t xml:space="preserve"> bekzat bolmysty asqaq tabiğaty (бекзат болмысты асқақ табиғаты) — elevated nature of his noble being (descriptive phrase) [KED, SZK] (lemma: бекзат)
</t>
    </r>
    <r>
      <rPr>
        <b/>
        <sz val="11"/>
        <color theme="1"/>
        <rFont val="Arial"/>
      </rPr>
      <t xml:space="preserve">PASSAGE:</t>
    </r>
    <r>
      <rPr>
        <sz val="11"/>
        <color theme="1"/>
        <rFont val="Arial"/>
      </rPr>
      <t xml:space="preserve"> оның </t>
    </r>
    <r>
      <rPr>
        <b/>
        <sz val="11"/>
        <color theme="1"/>
        <rFont val="Arial"/>
      </rPr>
      <t xml:space="preserve">бекзат болмысты асқақ табиғаты</t>
    </r>
    <r>
      <rPr>
        <sz val="11"/>
        <color theme="1"/>
        <rFont val="Arial"/>
      </rPr>
      <t xml:space="preserve"> оған мүмкіндік беретіндігінен.
</t>
    </r>
    <r>
      <rPr>
        <b/>
        <sz val="11"/>
        <color theme="1"/>
        <rFont val="Arial"/>
      </rPr>
      <t xml:space="preserve">TRANS:</t>
    </r>
    <r>
      <rPr>
        <sz val="11"/>
        <color theme="1"/>
        <rFont val="Arial"/>
      </rPr>
      <t xml:space="preserve"> onyñ </t>
    </r>
    <r>
      <rPr>
        <b/>
        <sz val="11"/>
        <color theme="1"/>
        <rFont val="Arial"/>
      </rPr>
      <t xml:space="preserve">bekzat bolmysty asqaq tabiğaty</t>
    </r>
    <r>
      <rPr>
        <sz val="11"/>
        <color theme="1"/>
        <rFont val="Arial"/>
      </rPr>
      <t xml:space="preserve"> oğan mümkındık beretındıgınen.
</t>
    </r>
    <r>
      <rPr>
        <b/>
        <sz val="11"/>
        <color theme="1"/>
        <rFont val="Arial"/>
      </rPr>
      <t xml:space="preserve">TRANSLATION:</t>
    </r>
    <r>
      <rPr>
        <sz val="11"/>
        <color theme="1"/>
        <rFont val="Arial"/>
      </rPr>
      <t xml:space="preserve"> because of what his </t>
    </r>
    <r>
      <rPr>
        <b/>
        <sz val="11"/>
        <color theme="1"/>
        <rFont val="Arial"/>
      </rPr>
      <t xml:space="preserve">aristocratic, exalted</t>
    </r>
    <r>
      <rPr>
        <sz val="11"/>
        <color theme="1"/>
        <rFont val="Arial"/>
      </rPr>
      <t xml:space="preserve"> nature allows him.</t>
    </r>
  </si>
  <si>
    <t xml:space="preserve">Moral honor, not leaving his wife</t>
  </si>
  <si>
    <t xml:space="preserve">At the mention of Melanie, Scarlett began to breathe hard and could scarcely restrain herself from crying out the whole story, that only honor kept Ashley with Melanie. She opened her mouth to speak and then closed it.</t>
  </si>
  <si>
    <t xml:space="preserve">TERM: chesti (чести) — honour (gen./dat./prep.) [ORD] (lemma: честь)
PASSAGE: что только соображения чести удерживают Эшли подле Мелани.
TRANS: chto tol'ko soobrazheniya chesti uderzhivayut Eshli podle Melani.
TRANSLATION: that only considerations of honor were keeping Ashley by Melanie's side.</t>
  </si>
  <si>
    <r>
      <rPr>
        <b/>
        <sz val="11"/>
        <color theme="1"/>
        <rFont val="Arial"/>
      </rPr>
      <t xml:space="preserve">TERM:</t>
    </r>
    <r>
      <rPr>
        <sz val="11"/>
        <color theme="1"/>
        <rFont val="Arial"/>
      </rPr>
      <t xml:space="preserve"> ABYROİ (АБЫРОЙ) — dignity; prestige; public standing; reputation (Arabic-Persian loan) [KED, SZK]
</t>
    </r>
    <r>
      <rPr>
        <b/>
        <sz val="11"/>
        <color theme="1"/>
        <rFont val="Arial"/>
      </rPr>
      <t xml:space="preserve">PASSAGE:</t>
    </r>
    <r>
      <rPr>
        <sz val="11"/>
        <color theme="1"/>
        <rFont val="Arial"/>
      </rPr>
      <t xml:space="preserve"> Меланидің есімі аталғанда Скарлеттің көкірегіне ащы запыран жиналғандай, Реттке бар даусымен Меланидің </t>
    </r>
    <r>
      <rPr>
        <b/>
        <sz val="11"/>
        <color theme="1"/>
        <rFont val="Arial"/>
      </rPr>
      <t xml:space="preserve">абыройына</t>
    </r>
    <r>
      <rPr>
        <sz val="11"/>
        <color theme="1"/>
        <rFont val="Arial"/>
      </rPr>
      <t xml:space="preserve"> дақ түсірмеу үшін Эшли соның қасында жүргенін айтып, айқайлағысы келіп тұрды да, аузын аша беріп, қайта жапты.
</t>
    </r>
    <r>
      <rPr>
        <b/>
        <sz val="11"/>
        <color theme="1"/>
        <rFont val="Arial"/>
      </rPr>
      <t xml:space="preserve">TRANS:</t>
    </r>
    <r>
      <rPr>
        <sz val="11"/>
        <color theme="1"/>
        <rFont val="Arial"/>
      </rPr>
      <t xml:space="preserve"> Melanidıñ esımı atalğanda Skarlettıñ kökıregıne aşşy zapyran jinalğandai, Rettke bar dausymen Melanidıñ </t>
    </r>
    <r>
      <rPr>
        <b/>
        <sz val="11"/>
        <color theme="1"/>
        <rFont val="Arial"/>
      </rPr>
      <t xml:space="preserve">abyroiyna</t>
    </r>
    <r>
      <rPr>
        <sz val="11"/>
        <color theme="1"/>
        <rFont val="Arial"/>
      </rPr>
      <t xml:space="preserve"> daq tüsırmeu üşın Eşli sonyñ qasynda jürgenın aityp, aiqailağysy kelıp tūrdy da, auzyn aşa berıp, qaita japty.
</t>
    </r>
    <r>
      <rPr>
        <b/>
        <sz val="11"/>
        <color theme="1"/>
        <rFont val="Arial"/>
      </rPr>
      <t xml:space="preserve">TRANSLATION:</t>
    </r>
    <r>
      <rPr>
        <sz val="11"/>
        <color theme="1"/>
        <rFont val="Arial"/>
      </rPr>
      <t xml:space="preserve"> When Melanie's name was mentioned, bitter bile gathered in Scarlett's chest; she wanted to shout to Rhett at the top of her voice that Ashley remained beside Melanie so as not to stain her </t>
    </r>
    <r>
      <rPr>
        <b/>
        <sz val="11"/>
        <color theme="1"/>
        <rFont val="Arial"/>
      </rPr>
      <t xml:space="preserve">dignity</t>
    </r>
    <r>
      <rPr>
        <sz val="11"/>
        <color theme="1"/>
        <rFont val="Arial"/>
      </rPr>
      <t xml:space="preserve">, but she opened her mouth and shut it again.</t>
    </r>
  </si>
  <si>
    <t xml:space="preserve">Moral honor – uninteresting to Rhett, as self-claimed</t>
  </si>
  <si>
    <t xml:space="preserve">"Oh, I've never denied coveting you, if that's what you mean. But, thank God, I'm not bothered about matters of honor. What I want I take if I can get it, and so I wrestle neither with angels nor devils. What a merry hell you must have made for Ashley! Almost I can be sorry for him."</t>
  </si>
  <si>
    <t xml:space="preserve">TERM: chesti (чести) — honour (gen./dat./prep.) [ORD] (lemma: честь)
PASSAGE: Но слава богу, меня не волнуют проблемы чести.
TRANS: No slava bogu, menya ne volnuyut problemy chesti.
TRANSLATION: But thank God, I am not troubled by problems of honor.</t>
  </si>
  <si>
    <r>
      <rPr>
        <b/>
        <sz val="11"/>
        <color theme="1"/>
        <rFont val="Arial"/>
      </rPr>
      <t xml:space="preserve">TERM:</t>
    </r>
    <r>
      <rPr>
        <sz val="11"/>
        <color theme="1"/>
        <rFont val="Arial"/>
      </rPr>
      <t xml:space="preserve"> AR-ŪİAT(АР-ҰЯТ) — conscience-shame (compound): the active inner moral faculty [KED, SZK]
</t>
    </r>
    <r>
      <rPr>
        <b/>
        <sz val="11"/>
        <color theme="1"/>
        <rFont val="Arial"/>
      </rPr>
      <t xml:space="preserve">PASSAGE:</t>
    </r>
    <r>
      <rPr>
        <sz val="11"/>
        <color theme="1"/>
        <rFont val="Arial"/>
      </rPr>
      <t xml:space="preserve"> Бірақ, құдайға шүкір, мені </t>
    </r>
    <r>
      <rPr>
        <b/>
        <sz val="11"/>
        <color theme="1"/>
        <rFont val="Arial"/>
      </rPr>
      <t xml:space="preserve">ар-ұяттың</t>
    </r>
    <r>
      <rPr>
        <sz val="11"/>
        <color theme="1"/>
        <rFont val="Arial"/>
      </rPr>
      <t xml:space="preserve"> мәселесі мазаламайды.
</t>
    </r>
    <r>
      <rPr>
        <b/>
        <sz val="11"/>
        <color theme="1"/>
        <rFont val="Arial"/>
      </rPr>
      <t xml:space="preserve">TRANS:</t>
    </r>
    <r>
      <rPr>
        <sz val="11"/>
        <color theme="1"/>
        <rFont val="Arial"/>
      </rPr>
      <t xml:space="preserve"> Bıraq, qūdaiğa şükır, menı</t>
    </r>
    <r>
      <rPr>
        <b/>
        <sz val="11"/>
        <color theme="1"/>
        <rFont val="Arial"/>
      </rPr>
      <t xml:space="preserve"> ar-ūiattyñ</t>
    </r>
    <r>
      <rPr>
        <sz val="11"/>
        <color theme="1"/>
        <rFont val="Arial"/>
      </rPr>
      <t xml:space="preserve"> mäselesı mazalamaidy.
</t>
    </r>
    <r>
      <rPr>
        <b/>
        <sz val="11"/>
        <color theme="1"/>
        <rFont val="Arial"/>
      </rPr>
      <t xml:space="preserve">TRANSLATION:</t>
    </r>
    <r>
      <rPr>
        <sz val="11"/>
        <color theme="1"/>
        <rFont val="Arial"/>
      </rPr>
      <t xml:space="preserve"> But, thank God, the question of </t>
    </r>
    <r>
      <rPr>
        <b/>
        <sz val="11"/>
        <color theme="1"/>
        <rFont val="Arial"/>
      </rPr>
      <t xml:space="preserve">conscience </t>
    </r>
    <r>
      <rPr>
        <sz val="11"/>
        <color theme="1"/>
        <rFont val="Arial"/>
      </rPr>
      <t xml:space="preserve">does not trouble me.</t>
    </r>
  </si>
  <si>
    <t xml:space="preserve">Moral honor</t>
  </si>
  <si>
    <t xml:space="preserve">How unfair he was! As if Ashley was a mind reader! As if Ashley could have stopped her, even had he known! But, she knew suddenly, Ashley could have stopped her. The faintest intimation from him, in the orchard, that some day things might be different and she would never have thought of going to Rhett. A word of tenderness, even a parting caress when she was getting on the train, would have held her back. But he had only talked of honor. Yet—was Rhett right? Should Ashley have known her mind?</t>
  </si>
  <si>
    <t xml:space="preserve">TERM: chesti (чести) — honour (gen./dat./prep.) [ORD] (lemma: честь)
PASSAGE: Но он говорил только о чести.
TRANS: No on govoril tol'ko o chesti.
TRANSLATION: But he spoke only of honor.</t>
  </si>
  <si>
    <r>
      <rPr>
        <b/>
        <sz val="11"/>
        <color theme="1"/>
        <rFont val="Arial"/>
      </rPr>
      <t xml:space="preserve">TERM:</t>
    </r>
    <r>
      <rPr>
        <sz val="11"/>
        <color theme="1"/>
        <rFont val="Arial"/>
      </rPr>
      <t xml:space="preserve"> AR-ŪİAT (АР-ҰЯТ) — conscience-shame (compound): the active inner moral faculty [KED, SZK]
</t>
    </r>
    <r>
      <rPr>
        <b/>
        <sz val="11"/>
        <color theme="1"/>
        <rFont val="Arial"/>
      </rPr>
      <t xml:space="preserve">PASSAGE:</t>
    </r>
    <r>
      <rPr>
        <sz val="11"/>
        <color theme="1"/>
        <rFont val="Arial"/>
      </rPr>
      <t xml:space="preserve"> Бірақ ол тек </t>
    </r>
    <r>
      <rPr>
        <b/>
        <sz val="11"/>
        <color theme="1"/>
        <rFont val="Arial"/>
      </rPr>
      <t xml:space="preserve">ар-ұят</t>
    </r>
    <r>
      <rPr>
        <sz val="11"/>
        <color theme="1"/>
        <rFont val="Arial"/>
      </rPr>
      <t xml:space="preserve"> туралы ғана айтқан.
</t>
    </r>
    <r>
      <rPr>
        <b/>
        <sz val="11"/>
        <color theme="1"/>
        <rFont val="Arial"/>
      </rPr>
      <t xml:space="preserve">TRANS:</t>
    </r>
    <r>
      <rPr>
        <sz val="11"/>
        <color theme="1"/>
        <rFont val="Arial"/>
      </rPr>
      <t xml:space="preserve"> Bıraq ol tek</t>
    </r>
    <r>
      <rPr>
        <b/>
        <sz val="11"/>
        <color theme="1"/>
        <rFont val="Arial"/>
      </rPr>
      <t xml:space="preserve"> ar-ūiat </t>
    </r>
    <r>
      <rPr>
        <sz val="11"/>
        <color theme="1"/>
        <rFont val="Arial"/>
      </rPr>
      <t xml:space="preserve">turaly ğana aitqan.
</t>
    </r>
    <r>
      <rPr>
        <b/>
        <sz val="11"/>
        <color theme="1"/>
        <rFont val="Arial"/>
      </rPr>
      <t xml:space="preserve">TRANSLATION:</t>
    </r>
    <r>
      <rPr>
        <sz val="11"/>
        <color theme="1"/>
        <rFont val="Arial"/>
      </rPr>
      <t xml:space="preserve"> But he spoke only of </t>
    </r>
    <r>
      <rPr>
        <b/>
        <sz val="11"/>
        <color theme="1"/>
        <rFont val="Arial"/>
      </rPr>
      <t xml:space="preserve">conscience</t>
    </r>
    <r>
      <rPr>
        <sz val="11"/>
        <color theme="1"/>
        <rFont val="Arial"/>
      </rPr>
      <t xml:space="preserve">.</t>
    </r>
  </si>
  <si>
    <t xml:space="preserve">Moral</t>
  </si>
  <si>
    <t xml:space="preserve">But, she promised herself, never, never would she again try to prod him into words of love, never again would she try to make him throw away that foolish honor he valued more than love. Somehow, she must delicately convey to him this new resolution of hers. Otherwise he might refuse, fearing another scene such as that last terrible one had been.</t>
  </si>
  <si>
    <t xml:space="preserve">TERM: chest'yu (честью) — honour (instr.); honourably [ORD] (lemma: честь)
PASSAGE: никогда не будет вынуждать его поступиться этой дурацкой честью, которую он ставит выше любви.
TRANS: nikogda ne budet vynuzhdat' ego postupit'sya etoy duratskoy chest'yu, kotoruyu on stavit vyshe lyubvi.
TRANSLATION: will never force him to compromise that foolish honor that he places above love.</t>
  </si>
  <si>
    <r>
      <rPr>
        <b/>
        <sz val="11"/>
        <color theme="1"/>
        <rFont val="Arial"/>
      </rPr>
      <t xml:space="preserve">TERM:</t>
    </r>
    <r>
      <rPr>
        <sz val="11"/>
        <color theme="1"/>
        <rFont val="Arial"/>
      </rPr>
      <t xml:space="preserve"> AR-OJDAN (АР-ОЖДАН) — conscience (compound from Arabic wijdān): the inalienable inner tribunal [KED, SZK]
</t>
    </r>
    <r>
      <rPr>
        <b/>
        <sz val="11"/>
        <color theme="1"/>
        <rFont val="Arial"/>
      </rPr>
      <t xml:space="preserve">PASSAGE:</t>
    </r>
    <r>
      <rPr>
        <sz val="11"/>
        <color theme="1"/>
        <rFont val="Arial"/>
      </rPr>
      <t xml:space="preserve"> Ол үшін тірлігінен биік қоятын </t>
    </r>
    <r>
      <rPr>
        <b/>
        <sz val="11"/>
        <color theme="1"/>
        <rFont val="Arial"/>
      </rPr>
      <t xml:space="preserve">ар-ожданына</t>
    </r>
    <r>
      <rPr>
        <sz val="11"/>
        <color theme="1"/>
        <rFont val="Arial"/>
      </rPr>
      <t xml:space="preserve"> дақ түсірмеуге келіседі.
</t>
    </r>
    <r>
      <rPr>
        <b/>
        <sz val="11"/>
        <color theme="1"/>
        <rFont val="Arial"/>
      </rPr>
      <t xml:space="preserve">TRANS:</t>
    </r>
    <r>
      <rPr>
        <sz val="11"/>
        <color theme="1"/>
        <rFont val="Arial"/>
      </rPr>
      <t xml:space="preserve"> Ol üşın tırlıgınen biık qoiatyn ar-ojdanyna daq tüsırmeuge kelısedı.
</t>
    </r>
    <r>
      <rPr>
        <b/>
        <sz val="11"/>
        <color theme="1"/>
        <rFont val="Arial"/>
      </rPr>
      <t xml:space="preserve">TRANSLATION:</t>
    </r>
    <r>
      <rPr>
        <sz val="11"/>
        <color theme="1"/>
        <rFont val="Arial"/>
      </rPr>
      <t xml:space="preserve"> For his sake she agrees not to soil the </t>
    </r>
    <r>
      <rPr>
        <b/>
        <sz val="11"/>
        <color theme="1"/>
        <rFont val="Arial"/>
      </rPr>
      <t xml:space="preserve">conscience</t>
    </r>
    <r>
      <rPr>
        <sz val="11"/>
        <color theme="1"/>
        <rFont val="Arial"/>
      </rPr>
      <t xml:space="preserve"> he places above his life.</t>
    </r>
  </si>
  <si>
    <t xml:space="preserve">"Oh, no! You are so fine, so honorable and he—" She broke off, confused.</t>
  </si>
  <si>
    <t xml:space="preserve">TERM: blagorodnyy (благородный) — noble; of noble character [ORD]
PASSAGE: Вы — такой тонкий, такой благородный, а он…
TRANS: Vy — takoy tonkiy, takoy blagorodnyy, a on…
TRANSLATION: You — so refined, so noble, while he...</t>
  </si>
  <si>
    <r>
      <rPr>
        <b/>
        <sz val="11"/>
        <color theme="1"/>
        <rFont val="Arial"/>
      </rPr>
      <t xml:space="preserve">TERM:</t>
    </r>
    <r>
      <rPr>
        <sz val="11"/>
        <color theme="1"/>
        <rFont val="Arial"/>
      </rPr>
      <t xml:space="preserve"> BEKZAT adam (БЕКЗАТ адам) — aristocrat; man of noble birth [KED, SZK] (lemma: бекзат)
</t>
    </r>
    <r>
      <rPr>
        <b/>
        <sz val="11"/>
        <color theme="1"/>
        <rFont val="Arial"/>
      </rPr>
      <t xml:space="preserve">PASSAGE:</t>
    </r>
    <r>
      <rPr>
        <sz val="11"/>
        <color theme="1"/>
        <rFont val="Arial"/>
      </rPr>
      <t xml:space="preserve"> Ой, жоқ, ұқсамайсыздар. Ол сондай нәзік сезімді, </t>
    </r>
    <r>
      <rPr>
        <b/>
        <sz val="11"/>
        <color theme="1"/>
        <rFont val="Arial"/>
      </rPr>
      <t xml:space="preserve">бекзат адам</t>
    </r>
    <r>
      <rPr>
        <sz val="11"/>
        <color theme="1"/>
        <rFont val="Arial"/>
      </rPr>
      <t xml:space="preserve"> ғой, және...
</t>
    </r>
    <r>
      <rPr>
        <b/>
        <sz val="11"/>
        <color theme="1"/>
        <rFont val="Arial"/>
      </rPr>
      <t xml:space="preserve">TRANS:</t>
    </r>
    <r>
      <rPr>
        <sz val="11"/>
        <color theme="1"/>
        <rFont val="Arial"/>
      </rPr>
      <t xml:space="preserve"> Oi, joq, ūqsamaisyzdar. Ol sondai näzık sezımdı, </t>
    </r>
    <r>
      <rPr>
        <b/>
        <sz val="11"/>
        <color theme="1"/>
        <rFont val="Arial"/>
      </rPr>
      <t xml:space="preserve">bekzat</t>
    </r>
    <r>
      <rPr>
        <sz val="11"/>
        <color theme="1"/>
        <rFont val="Arial"/>
      </rPr>
      <t xml:space="preserve"> adam ğoi, jäne...
</t>
    </r>
    <r>
      <rPr>
        <b/>
        <sz val="11"/>
        <color theme="1"/>
        <rFont val="Arial"/>
      </rPr>
      <t xml:space="preserve">TRANSLATION:</t>
    </r>
    <r>
      <rPr>
        <sz val="11"/>
        <color theme="1"/>
        <rFont val="Arial"/>
      </rPr>
      <t xml:space="preserve"> Oh, no, you are not alike. He is such a man of refined feeling, a noble man, and...</t>
    </r>
  </si>
  <si>
    <t xml:space="preserve">If I were dead, if Miss Melly were dead and you had your precious honorable lover, do you think you'd be happy with him?</t>
  </si>
  <si>
    <t xml:space="preserve">TERM: blagorodnogo (благородного) — noble (adj. masc. gen.) [ORD] (lemma: благородный)
PASSAGE: Если б я умер и если бы мисс Мелли умерла и вы получили бы своего бесценного благородного возлюбленного, вы думаете, что были бы счастливы с ним?
TRANS: Esli b ya umer i esli by miss Melli umerla i vy poluchili by svoego bestsennogo blagorodnogo vozlyublennogo, vy dumaete, chto byli by schastlivy s nim?
TRANSLATION: If I died and if Miss Melly died, and you got your priceless noble beloved, do you think you would be happy with him?</t>
  </si>
  <si>
    <t xml:space="preserve">"What you've gone through! Don't you think that I— Oh, Ashley, you should have known, years ago, that you loved her and not me! Why didn't you! Everything would have been so different, so— Oh, you should have realized and not kept me dangling with all your talk about honor and sacrifice! If you'd told me, years ago, I'd have— It would have killed me but I could have stood it somehow. But you wait till now, till Melly's dying, to find it out and now it's too late to do anything.</t>
  </si>
  <si>
    <t xml:space="preserve">TERM: chesti (чести) — honour (gen./dat./prep.) [ORD] (lemma: честь)
PASSAGE: Все могло бы быть иначе, а теперь… ах, тебе бы следовало понять и не держать меня на привязи, рассуждая о чести и жертвах!
TRANS: Vse moglo by byt' inache, a teper'… akh, tebe by sledovalo ponyat' i ne derzhat' menya na privyazi, rassuzhdaya o chesti i zhertvakh!
TRANSLATION: Everything could have been different, and now... ah, you should have understood and not kept me on a leash, talking of honor and sacrifices!</t>
  </si>
  <si>
    <r>
      <rPr>
        <b/>
        <sz val="11"/>
        <color theme="1"/>
        <rFont val="Arial"/>
      </rPr>
      <t xml:space="preserve">TERM:</t>
    </r>
    <r>
      <rPr>
        <sz val="11"/>
        <color theme="1"/>
        <rFont val="Arial"/>
      </rPr>
      <t xml:space="preserve"> AR-ŪİAT(АР-ҰЯТ) — conscience-shame (compound): the active inner moral faculty [KED, SZK]
</t>
    </r>
    <r>
      <rPr>
        <b/>
        <sz val="11"/>
        <color theme="1"/>
        <rFont val="Arial"/>
      </rPr>
      <t xml:space="preserve">PASSAGE:</t>
    </r>
    <r>
      <rPr>
        <sz val="11"/>
        <color theme="1"/>
        <rFont val="Arial"/>
      </rPr>
      <t xml:space="preserve"> Ой, құдайым-ай, мені де емексітпей, құрбандықтар мен </t>
    </r>
    <r>
      <rPr>
        <b/>
        <sz val="11"/>
        <color theme="1"/>
        <rFont val="Arial"/>
      </rPr>
      <t xml:space="preserve">ар-ұят</t>
    </r>
    <r>
      <rPr>
        <sz val="11"/>
        <color theme="1"/>
        <rFont val="Arial"/>
      </rPr>
      <t xml:space="preserve"> туралы ой толғай бермей, алдымен өз сеніміңді анықтап алуың керек еді ғой!
</t>
    </r>
    <r>
      <rPr>
        <b/>
        <sz val="11"/>
        <color theme="1"/>
        <rFont val="Arial"/>
      </rPr>
      <t xml:space="preserve">TRANS:</t>
    </r>
    <r>
      <rPr>
        <sz val="11"/>
        <color theme="1"/>
        <rFont val="Arial"/>
      </rPr>
      <t xml:space="preserve"> Oi, qūdaiym-ai, menı de emeksıtpei, qūrbandyqtar men </t>
    </r>
    <r>
      <rPr>
        <b/>
        <sz val="11"/>
        <color theme="1"/>
        <rFont val="Arial"/>
      </rPr>
      <t xml:space="preserve">ar-ūiat</t>
    </r>
    <r>
      <rPr>
        <sz val="11"/>
        <color theme="1"/>
        <rFont val="Arial"/>
      </rPr>
      <t xml:space="preserve"> turaly oi tolğai bermei, aldymen öz senımıñdı anyqtap aluyñ kerek edı ğoi!
</t>
    </r>
    <r>
      <rPr>
        <b/>
        <sz val="11"/>
        <color theme="1"/>
        <rFont val="Arial"/>
      </rPr>
      <t xml:space="preserve">TRANSLATION:</t>
    </r>
    <r>
      <rPr>
        <sz val="11"/>
        <color theme="1"/>
        <rFont val="Arial"/>
      </rPr>
      <t xml:space="preserve"> Oh, my God, you should have decided your own conviction first, and not gone on tantalizing me, holding forth about sacrifices and </t>
    </r>
    <r>
      <rPr>
        <b/>
        <sz val="11"/>
        <color theme="1"/>
        <rFont val="Arial"/>
      </rPr>
      <t xml:space="preserve">honor</t>
    </r>
    <r>
      <rPr>
        <sz val="11"/>
        <color theme="1"/>
        <rFont val="Arial"/>
      </rPr>
      <t xml:space="preserve">!</t>
    </r>
  </si>
  <si>
    <t xml:space="preserve">"What a fool I've been," she thought bitterly. "And now I've got to pay for it. What I've wished for so often has happened. I've wished Melly was dead so I could have him. And now she's dead and I've got him and I don't want him. His damned honor will make him ask me if I want to divorce Rhett and marry him. Marry him? I wouldn't have him on a silver platter!</t>
  </si>
  <si>
    <t xml:space="preserve">TERM: proklyatoe ponyatie o chesti (проклятое понятие о чести) — that cursed notion of honour [ORD] (lemma: понятие)
PASSAGE: Его проклятое понятие о чести заставит его спросить меня, не соглашусь ли я развестись с Реттом и выйти за него замуж.
TRANS: Ego proklyatoe ponyatie o chesti zastavit ego sprosit' menya, ne soglashus' li ya razvestis' s Rettom i vyyti za nego zamuzh.
TRANSLATION: His cursed concept of honor will compel him to ask me whether I will agree to divorce Rhett and marry him.</t>
  </si>
  <si>
    <t xml:space="preserve">"Ashley!" she said, and made an impatient gesture. "I—I don't believe I've cared anything about him for ages. It was—well, a sort of habit I hung onto from when I was a little girl. Rhett, I'd never even thought I cared about him if I'd ever known what he was really like. He's such a helpless, poor-spirited creature, for all his prattle about truth and honor and—"</t>
  </si>
  <si>
    <t xml:space="preserve">TERM: o pravde, i o chesti, (о правде, и о чести,) = about truth, about honor
PASSAGE: А ведь он такое беспомощное, жалкое существо, несмотря на всю свою болтовню о правде, и о чести, и о…
TRANS: A ved' on takoe bespomoshchnoe, zhalkoe sushchestvo, nesmotrya na vsyu svoyu boltovnyu o pravde, i o chesti, i o…
TRANSLATION: And he is such a helpless, pitiful creature, despite all his prattle of truth, and of honor, and of...</t>
  </si>
  <si>
    <r>
      <rPr>
        <b/>
        <sz val="11"/>
        <color theme="1"/>
        <rFont val="Arial"/>
      </rPr>
      <t xml:space="preserve">TERM:</t>
    </r>
    <r>
      <rPr>
        <sz val="11"/>
        <color theme="1"/>
        <rFont val="Arial"/>
      </rPr>
      <t xml:space="preserve"> AR-ŪİAT (АР-ҰЯТ) — conscience-shame (compound): the active inner moral faculty [KED, SZK]
</t>
    </r>
    <r>
      <rPr>
        <b/>
        <sz val="11"/>
        <color theme="1"/>
        <rFont val="Arial"/>
      </rPr>
      <t xml:space="preserve">PASSAGE:</t>
    </r>
    <r>
      <rPr>
        <sz val="11"/>
        <color theme="1"/>
        <rFont val="Arial"/>
      </rPr>
      <t xml:space="preserve"> Өзінің шындық, </t>
    </r>
    <r>
      <rPr>
        <b/>
        <sz val="11"/>
        <color theme="1"/>
        <rFont val="Arial"/>
      </rPr>
      <t xml:space="preserve">ар-ұят</t>
    </r>
    <r>
      <rPr>
        <sz val="11"/>
        <color theme="1"/>
        <rFont val="Arial"/>
      </rPr>
      <t xml:space="preserve">, намыс туралы әңгімелеріне қарамастан, ол сондай дәрменсіз, аянышты адам.
</t>
    </r>
    <r>
      <rPr>
        <b/>
        <sz val="11"/>
        <color theme="1"/>
        <rFont val="Arial"/>
      </rPr>
      <t xml:space="preserve">TRANS:</t>
    </r>
    <r>
      <rPr>
        <sz val="11"/>
        <color theme="1"/>
        <rFont val="Arial"/>
      </rPr>
      <t xml:space="preserve"> Özınıñ şyndyq, </t>
    </r>
    <r>
      <rPr>
        <b/>
        <sz val="11"/>
        <color theme="1"/>
        <rFont val="Arial"/>
      </rPr>
      <t xml:space="preserve">ar-ūiat</t>
    </r>
    <r>
      <rPr>
        <sz val="11"/>
        <color theme="1"/>
        <rFont val="Arial"/>
      </rPr>
      <t xml:space="preserve">, namys turaly äñgımelerıne qaramastan, ol sondai därmensız, aianyşty adam.
</t>
    </r>
    <r>
      <rPr>
        <b/>
        <sz val="11"/>
        <color theme="1"/>
        <rFont val="Arial"/>
      </rPr>
      <t xml:space="preserve">TRANSLATION:</t>
    </r>
    <r>
      <rPr>
        <sz val="11"/>
        <color theme="1"/>
        <rFont val="Arial"/>
      </rPr>
      <t xml:space="preserve"> Despite his talk of truth, </t>
    </r>
    <r>
      <rPr>
        <b/>
        <sz val="11"/>
        <color theme="1"/>
        <rFont val="Arial"/>
      </rPr>
      <t xml:space="preserve">conscience/honor</t>
    </r>
    <r>
      <rPr>
        <sz val="11"/>
        <color theme="1"/>
        <rFont val="Arial"/>
      </rPr>
      <t xml:space="preserve">, and honor, he is such a helpless, pitiful person.</t>
    </r>
  </si>
  <si>
    <t xml:space="preserve">Living with Rhett, she learned many new things about him, and she had thought she knew him so well. She learned that his voice could be as silky as a cat's fur one moment and crisp and crackling with oaths the next. He could tell, with apparent sincerity and approval, stories of courage and honor and virtue and love in the odd places he had been, and follow them with ribald stories of coldest cynicism.</t>
  </si>
  <si>
    <t xml:space="preserve">TERM: blagorodnykh (благородных) — noble (adj. pl. gen.) [ORD] (lemma: благородный)
PASSAGE: Он мог вроде бы откровенно и с одобрением рассказывать о мужественных, благородных, добродетельных, подсказанных любовью поступках, коим он был свидетелем в тех странных местах, куда его заносило, и тут же с холодным цинизмом добавлять скабрезнейшие истории.
TRANS: On mog vrode by otkrovenno i s odobreniem rasskazyvat' o muzhestvennykh, blagorodnykh, dobrodetel'nykh, podskazannykh lyubov'yu postupkakh, koim on byl svidetelem v tekh strannykh mestakh, kuda ego zanosilo, i tut zhe s kholodnym tsinizmom dobavlyat' skabrezneyshie istorii.
TRANSLATION: He could, as it were, frankly and with approval tell of brave, noble, virtuous, love-prompted deeds, of which he had been witness in those strange places where he had been carried, and at the same instant with cold cynicism add the most scabrous stories.</t>
  </si>
  <si>
    <r>
      <rPr>
        <b/>
        <sz val="11"/>
        <color theme="1"/>
        <rFont val="Arial"/>
      </rPr>
      <t xml:space="preserve">TERM:</t>
    </r>
    <r>
      <rPr>
        <sz val="11"/>
        <color theme="1"/>
        <rFont val="Arial"/>
      </rPr>
      <t xml:space="preserve"> ADAMGERŞILIK (АДАМГЕРШІЛІК) — humanity; civility; humanness (the secularised humanist moral term) [KED, SZK]
</t>
    </r>
    <r>
      <rPr>
        <b/>
        <sz val="11"/>
        <color theme="1"/>
        <rFont val="Arial"/>
      </rPr>
      <t xml:space="preserve">PASSAGE:</t>
    </r>
    <r>
      <rPr>
        <sz val="11"/>
        <color theme="1"/>
        <rFont val="Arial"/>
      </rPr>
      <t xml:space="preserve"> Ер міңезді, кең пейіл, мейірім шапағаты себелеген, жүрек елжіретер оқиғаларды ашық-жарқын әңгімелеп, </t>
    </r>
    <r>
      <rPr>
        <b/>
        <sz val="11"/>
        <color theme="1"/>
        <rFont val="Arial"/>
      </rPr>
      <t xml:space="preserve">адамгершілік</t>
    </r>
    <r>
      <rPr>
        <sz val="11"/>
        <color theme="1"/>
        <rFont val="Arial"/>
      </rPr>
      <t xml:space="preserve"> қағидаларын қоштай отырып, аяқастынан әдепсіз, ерсі, жағымсыз жайттарға көшіп, түсі де суып сала береді.
</t>
    </r>
    <r>
      <rPr>
        <b/>
        <sz val="11"/>
        <color theme="1"/>
        <rFont val="Arial"/>
      </rPr>
      <t xml:space="preserve">TRANS:</t>
    </r>
    <r>
      <rPr>
        <sz val="11"/>
        <color theme="1"/>
        <rFont val="Arial"/>
      </rPr>
      <t xml:space="preserve"> Er mıñezdı, keñ peiıl, meiırım şapağaty sebelegen, jürek eljıreter oqiğalardy aşyq-jarqyn äñgımelep, </t>
    </r>
    <r>
      <rPr>
        <b/>
        <sz val="11"/>
        <color theme="1"/>
        <rFont val="Arial"/>
      </rPr>
      <t xml:space="preserve">adamgerşılık</t>
    </r>
    <r>
      <rPr>
        <sz val="11"/>
        <color theme="1"/>
        <rFont val="Arial"/>
      </rPr>
      <t xml:space="preserve"> qağidalaryn qoştai otyryp, aiaqastynan ädepsız, ersı, jağymsyz jaittarğa köşıp, tüsı de suyp sala beredı.
</t>
    </r>
    <r>
      <rPr>
        <b/>
        <sz val="11"/>
        <color theme="1"/>
        <rFont val="Arial"/>
      </rPr>
      <t xml:space="preserve">TRANSLATION:</t>
    </r>
    <r>
      <rPr>
        <sz val="11"/>
        <color theme="1"/>
        <rFont val="Arial"/>
      </rPr>
      <t xml:space="preserve"> He would tell openly and frankly of manly, broad-souled, mercy-strewn, heart-melting events, supporting the principles of </t>
    </r>
    <r>
      <rPr>
        <b/>
        <sz val="11"/>
        <color theme="1"/>
        <rFont val="Arial"/>
      </rPr>
      <t xml:space="preserve">humanity</t>
    </r>
    <r>
      <rPr>
        <sz val="11"/>
        <color theme="1"/>
        <rFont val="Arial"/>
      </rPr>
      <t xml:space="preserve">; and then suddenly switch to indecent, unseemly, unpleasant matters, his expression cooling.</t>
    </r>
  </si>
  <si>
    <t xml:space="preserve">The upshot of the matter was that every planter agreed to pay for equipping his own sons and a certain number of the others, but the manner of handling the arrangements was such that the less wealthy members of the outfit could accept horses and uniforms without offense to their honor.</t>
  </si>
  <si>
    <t xml:space="preserve">TERM: bez maleyshego ushchemleniya svoey gordosti. (без малейшего ущемления своей гордости.) = without harm to their pride
PASSAGE: что менее имущие члены Эскадрона могли получить обмундирование и лошадь без малейшего ущемления своей гордости.
TRANS: chto menee imushchie chleny Eskadrona mogli poluchit' obmundirovanie i loshad' bez maleyshego ushchemleniya svoey gordosti.
TRANSLATION: so that less wealthy members of the Squadron could obtain equipment and a horse without the slightest infringement of their pride.</t>
  </si>
  <si>
    <t xml:space="preserve">The white children clamored to sit on his knee and be trotted, while he denounced to their elders the infamy of Yankee politicians; the daughters of his friends took him into their confidence about their love affairs, and the youths of the neighborhood, fearful of confessing debts of honor upon the carpets of their fathers, found him a friend in need.</t>
  </si>
  <si>
    <t xml:space="preserve">She shrugged in irritation. Perhaps these people were right and she was wrong but, just the same, these proud fools weren't looking forward as she was doing, straining every nerve, risking even honor and good name to get back what they had lost. It was beneath the dignity of any of them to indulge in a scramble for money. The times were rude and hard. They called for rude and hard struggle if one was to conquer them. Scarlett knew that family tradition would forcibly restrain many of these people from such a struggle— with the making of money admittedly its aim.</t>
  </si>
  <si>
    <t xml:space="preserve">TERM: chest'yu (честью) — honour (instr.); honourably [ORD] (lemma: честь)
PASSAGE: рискуя даже честью и добрым своим именем,
TRANS: riskuya dazhe chest'yu i dobrym svoim imenem,
TRANSLATION: risking even his honor and his good name,</t>
  </si>
  <si>
    <r>
      <rPr>
        <b/>
        <sz val="11"/>
        <color theme="1"/>
        <rFont val="Arial"/>
      </rPr>
      <t xml:space="preserve">TERM:</t>
    </r>
    <r>
      <rPr>
        <sz val="11"/>
        <color theme="1"/>
        <rFont val="Arial"/>
      </rPr>
      <t xml:space="preserve"> AR (АР) — honour; conscience; inalienable inner moral principle [KED, SZK]
</t>
    </r>
    <r>
      <rPr>
        <b/>
        <sz val="11"/>
        <color theme="1"/>
        <rFont val="Arial"/>
      </rPr>
      <t xml:space="preserve">PASSAGE:</t>
    </r>
    <r>
      <rPr>
        <sz val="11"/>
        <color theme="1"/>
        <rFont val="Arial"/>
      </rPr>
      <t xml:space="preserve"> Бәлкім, олардікі дұрыс та, өзінікі бұрыс шығар, бірақ мына менменсігендердің болашаққа тура қарайтын түрлері жоқ сияқты да, бұл бар жүйкесіне салмақ түсіре, </t>
    </r>
    <r>
      <rPr>
        <b/>
        <sz val="11"/>
        <color theme="1"/>
        <rFont val="Arial"/>
      </rPr>
      <t xml:space="preserve">ары</t>
    </r>
    <r>
      <rPr>
        <sz val="11"/>
        <color theme="1"/>
        <rFont val="Arial"/>
      </rPr>
      <t xml:space="preserve"> мен адал атын бәйгеге тігіп, алдырғанының бәрін қайтаруға жанталасып бағуда.
</t>
    </r>
    <r>
      <rPr>
        <b/>
        <sz val="11"/>
        <color theme="1"/>
        <rFont val="Arial"/>
      </rPr>
      <t xml:space="preserve">TRANS:</t>
    </r>
    <r>
      <rPr>
        <sz val="11"/>
        <color theme="1"/>
        <rFont val="Arial"/>
      </rPr>
      <t xml:space="preserve"> Bälkım, olardıkı dūrys ta, özınıkı būrys şyğar, bıraq myna menmensıgenderdıñ bolaşaqqa tura qaraityn türlerı joq siaqty da, būl bar jüikesıne salmaq tüsıre, </t>
    </r>
    <r>
      <rPr>
        <b/>
        <sz val="11"/>
        <color theme="1"/>
        <rFont val="Arial"/>
      </rPr>
      <t xml:space="preserve">ary</t>
    </r>
    <r>
      <rPr>
        <sz val="11"/>
        <color theme="1"/>
        <rFont val="Arial"/>
      </rPr>
      <t xml:space="preserve"> men adal atyn bäigege tıgıp, aldyrğanynyñ bärın qaitaruğa jantalasyp bağuda. 
</t>
    </r>
    <r>
      <rPr>
        <b/>
        <sz val="11"/>
        <color theme="1"/>
        <rFont val="Arial"/>
      </rPr>
      <t xml:space="preserve">TRANSLATION:</t>
    </r>
    <r>
      <rPr>
        <sz val="11"/>
        <color theme="1"/>
        <rFont val="Arial"/>
      </rPr>
      <t xml:space="preserve"> Perhaps they were right and he was wrong, but these arrogant ones do not appear to be facing the future squarely; this places a strain on all his nerves, and he is straining with his </t>
    </r>
    <r>
      <rPr>
        <b/>
        <sz val="11"/>
        <color theme="1"/>
        <rFont val="Arial"/>
      </rPr>
      <t xml:space="preserve">honor</t>
    </r>
    <r>
      <rPr>
        <sz val="11"/>
        <color theme="1"/>
        <rFont val="Arial"/>
      </rPr>
      <t xml:space="preserve"> and good name on the line, struggling to recoup all that he had lost.</t>
    </r>
  </si>
  <si>
    <t xml:space="preserve">collective honor as community property — betrayal of group solidarity, loss of group honor</t>
  </si>
  <si>
    <t xml:space="preserve">To them she had done worse than murder her father. She had tried to betray him into disloyalty to the South. And to that grim and close-knit community it was as if she had tried to betray the honor of them all. She had broken the solid front the County presented to the world. By her attempt to get money from the Yankee government she had aligned herself with Carpetbaggers and Scallawags, more hated enemies than the Yankee soldiers had ever been. She, a member of an old and staunchly Confederate family, a planter's family, had gone over to the enemy and by so doing had brought shame on every family in the County.</t>
  </si>
  <si>
    <r>
      <rPr>
        <b/>
        <sz val="11"/>
        <color theme="1"/>
        <rFont val="Arial"/>
      </rPr>
      <t xml:space="preserve">TERM:</t>
    </r>
    <r>
      <rPr>
        <sz val="11"/>
        <color theme="1"/>
        <rFont val="Arial"/>
      </rPr>
      <t xml:space="preserve"> KÜYE (КҮЙЕ) — soot; grime (used metaphorically: "stain") [KED, SZK]
</t>
    </r>
    <r>
      <rPr>
        <b/>
        <sz val="11"/>
        <color theme="1"/>
        <rFont val="Arial"/>
      </rPr>
      <t xml:space="preserve">PASSAGE:</t>
    </r>
    <r>
      <rPr>
        <sz val="11"/>
        <color theme="1"/>
        <rFont val="Arial"/>
      </rPr>
      <t xml:space="preserve"> Конфедерацияға шын берілген, плантатор отбасында туған әйел қас дұшпанға тек өз басын ғана иген жоқ, күллі графтықтардың бетіне </t>
    </r>
    <r>
      <rPr>
        <b/>
        <sz val="11"/>
        <color theme="1"/>
        <rFont val="Arial"/>
      </rPr>
      <t xml:space="preserve">күйе</t>
    </r>
    <r>
      <rPr>
        <sz val="11"/>
        <color theme="1"/>
        <rFont val="Arial"/>
      </rPr>
      <t xml:space="preserve"> жақты.
</t>
    </r>
    <r>
      <rPr>
        <b/>
        <sz val="11"/>
        <color theme="1"/>
        <rFont val="Arial"/>
      </rPr>
      <t xml:space="preserve">TRANS:</t>
    </r>
    <r>
      <rPr>
        <sz val="11"/>
        <color theme="1"/>
        <rFont val="Arial"/>
      </rPr>
      <t xml:space="preserve"> Konfederasiağa şyn berılgen, plantator otbasynda tuğan äiel qas dūşpanğa tek öz basyn ğana igen joq, küllı graftyqtardyñ betıne </t>
    </r>
    <r>
      <rPr>
        <b/>
        <sz val="11"/>
        <color theme="1"/>
        <rFont val="Arial"/>
      </rPr>
      <t xml:space="preserve">küie</t>
    </r>
    <r>
      <rPr>
        <sz val="11"/>
        <color theme="1"/>
        <rFont val="Arial"/>
      </rPr>
      <t xml:space="preserve"> jaqty.
</t>
    </r>
    <r>
      <rPr>
        <b/>
        <sz val="11"/>
        <color theme="1"/>
        <rFont val="Arial"/>
      </rPr>
      <t xml:space="preserve">TRANSLATION:</t>
    </r>
    <r>
      <rPr>
        <sz val="11"/>
        <color theme="1"/>
        <rFont val="Arial"/>
      </rPr>
      <t xml:space="preserve"> A woman truly devoted to the Confederacy, born in a planter's family — she did not only bow her head to the arch-enemy, she put </t>
    </r>
    <r>
      <rPr>
        <b/>
        <sz val="11"/>
        <color theme="1"/>
        <rFont val="Arial"/>
      </rPr>
      <t xml:space="preserve">soot</t>
    </r>
    <r>
      <rPr>
        <sz val="11"/>
        <color theme="1"/>
        <rFont val="Arial"/>
      </rPr>
      <t xml:space="preserve"> on the faces of all the counties.</t>
    </r>
  </si>
  <si>
    <t xml:space="preserve">social honor — reputation, community standing, behavior, publicly conferred dignity</t>
  </si>
  <si>
    <t xml:space="preserve">She could talk to him about almost everything, with no care for concealing her motives or her real opinions and she never ran out of things to say as she did with Frank—or even with Ashley, if she must be honest with herself. But of course, in all her conversations with Ashley there were so many things which could not be said, for honor's sake, that the sheer force of them inhibited other remarks.</t>
  </si>
  <si>
    <t xml:space="preserve">TERM: soobrazheniya chesti (соображения чести) — considerations of honour [ORD] (lemma: соображение)
PASSAGE: Правда, когда она разговаривала с Эшли, возникало много такого, чего соображения чести не позволяли ей говорить, и эти невысказанные слова и мысли, естественно, влияли на ход беседы.
TRANS: Pravda, kogda ona razgovarivala s Eshli, voznikalo mnogo takogo, chego soobrazheniya chesti ne pozvolyali ey govorit', i eti nevyskazannye slova i mysli, estestvenno, vliyali na khod besedy.
TRANSLATION: True, when she spoke with Ashley, much arose that considerations of honor did not allow her to say, and these unspoken words and thoughts, naturally, influenced the course of the conversation.</t>
  </si>
  <si>
    <r>
      <rPr>
        <b/>
        <sz val="11"/>
        <color theme="1"/>
        <rFont val="Arial"/>
      </rPr>
      <t xml:space="preserve">TERM:</t>
    </r>
    <r>
      <rPr>
        <sz val="11"/>
        <color theme="1"/>
        <rFont val="Arial"/>
      </rPr>
      <t xml:space="preserve"> AR (АР) — honour; conscience; inalienable inner moral principle [KED, SZK]
</t>
    </r>
    <r>
      <rPr>
        <b/>
        <sz val="11"/>
        <color theme="1"/>
        <rFont val="Arial"/>
      </rPr>
      <t xml:space="preserve">PASSAGE:</t>
    </r>
    <r>
      <rPr>
        <sz val="11"/>
        <color theme="1"/>
        <rFont val="Arial"/>
      </rPr>
      <t xml:space="preserve"> Анығында, Эшлимен әңгімелескенде кейбір </t>
    </r>
    <r>
      <rPr>
        <b/>
        <sz val="11"/>
        <color theme="1"/>
        <rFont val="Arial"/>
      </rPr>
      <t xml:space="preserve">ары</t>
    </r>
    <r>
      <rPr>
        <sz val="11"/>
        <color theme="1"/>
        <rFont val="Arial"/>
      </rPr>
      <t xml:space="preserve"> жібермейтін нәрселер, айтылмай қалған ойлар әңгіме өрбуіне тосқауыл болып, кеселін тигізетін.
</t>
    </r>
    <r>
      <rPr>
        <b/>
        <sz val="11"/>
        <color theme="1"/>
        <rFont val="Arial"/>
      </rPr>
      <t xml:space="preserve">TRANS:</t>
    </r>
    <r>
      <rPr>
        <sz val="11"/>
        <color theme="1"/>
        <rFont val="Arial"/>
      </rPr>
      <t xml:space="preserve"> Anyğynda, Eşlimen äñgımeleskende keibır </t>
    </r>
    <r>
      <rPr>
        <b/>
        <sz val="11"/>
        <color theme="1"/>
        <rFont val="Arial"/>
      </rPr>
      <t xml:space="preserve">ary</t>
    </r>
    <r>
      <rPr>
        <sz val="11"/>
        <color theme="1"/>
        <rFont val="Arial"/>
      </rPr>
      <t xml:space="preserve"> jıbermeitın närseler, aitylmai qalğan oilar äñgıme örbuıne tosqauyl bolyp, keselın tigızetın.
</t>
    </r>
    <r>
      <rPr>
        <b/>
        <sz val="11"/>
        <color theme="1"/>
        <rFont val="Arial"/>
      </rPr>
      <t xml:space="preserve">TRANSLATION:</t>
    </r>
    <r>
      <rPr>
        <sz val="11"/>
        <color theme="1"/>
        <rFont val="Arial"/>
      </rPr>
      <t xml:space="preserve"> In truth, when she conversed with Ashley, things that her sense of </t>
    </r>
    <r>
      <rPr>
        <b/>
        <sz val="11"/>
        <color theme="1"/>
        <rFont val="Arial"/>
      </rPr>
      <t xml:space="preserve">honor</t>
    </r>
    <r>
      <rPr>
        <sz val="11"/>
        <color theme="1"/>
        <rFont val="Arial"/>
      </rPr>
      <t xml:space="preserve"> would not let her speak — those unsaid thoughts — became obstacles to the development of conversation and disrupted it.</t>
    </r>
  </si>
  <si>
    <t xml:space="preserve">Ironic, quotative description by Rhett</t>
  </si>
  <si>
    <t xml:space="preserve">"Oh, yes, I know. Let's grant that he does the best he can but I don't imagine he's much help. You'll never make a farm hand out of a Wilkes—or anything else that's useful. The breed is purely ornamental. Now, quiet your ruffled feathers and overlook my boorish remarks about the proud and honorable Ashley. Strange how these illusions will persist even in women as hard headed as you are. How much money do you want and what do you want it for?"</t>
  </si>
  <si>
    <t xml:space="preserve">TERM: vysokochtimogo (высокочтимого) — highly respected; revered (adj. masc. gen., archaic-elevated) [ORD] (lemma: высокочтимый)
PASSAGE: Ну, а теперь пригладьте свои взъерошенные перышки и забудьте о моих грубых высказываниях по адресу гордого и высокочтимого Эшли.
TRANS: Nu, a teper' priglad'te svoi vz"eroshennye peryshki i zabud'te o moikh grubykh vyskazyvaniyakh po adresu gordogo i vysokochtimogo Eshli.
TRANSLATION: Well, now smooth out your ruffled feathers and forget my crude remarks at the address of the proud and highly-revered Ashley.</t>
  </si>
  <si>
    <r>
      <rPr>
        <b/>
        <sz val="11"/>
        <color theme="1"/>
        <rFont val="Arial"/>
      </rPr>
      <t xml:space="preserve">TERM:</t>
    </r>
    <r>
      <rPr>
        <sz val="11"/>
        <color theme="1"/>
        <rFont val="Arial"/>
      </rPr>
      <t xml:space="preserve"> QADIRLI (ҚАДІРЛІ) — respected; held in due regard [KED, SZK]
</t>
    </r>
    <r>
      <rPr>
        <b/>
        <sz val="11"/>
        <color theme="1"/>
        <rFont val="Arial"/>
      </rPr>
      <t xml:space="preserve">PASSAGE:</t>
    </r>
    <r>
      <rPr>
        <sz val="11"/>
        <color theme="1"/>
        <rFont val="Arial"/>
      </rPr>
      <t xml:space="preserve"> Ал енді өзіңіздің шашылып, үкі-түкі болған қауырсындарыңызды тегістеп жіберіңіз де, менің мақтаншақ та аса </t>
    </r>
    <r>
      <rPr>
        <b/>
        <sz val="11"/>
        <color theme="1"/>
        <rFont val="Arial"/>
      </rPr>
      <t xml:space="preserve">қадірлі</t>
    </r>
    <r>
      <rPr>
        <sz val="11"/>
        <color theme="1"/>
        <rFont val="Arial"/>
      </rPr>
      <t xml:space="preserve"> Эшлиіңіздің ауласына атқан тасымды жинап ала қойыңыз да, ерсі сөздерімді ұмытып қалыңыз.
</t>
    </r>
    <r>
      <rPr>
        <b/>
        <sz val="11"/>
        <color theme="1"/>
        <rFont val="Arial"/>
      </rPr>
      <t xml:space="preserve">TRANS:</t>
    </r>
    <r>
      <rPr>
        <sz val="11"/>
        <color theme="1"/>
        <rFont val="Arial"/>
      </rPr>
      <t xml:space="preserve"> Al endı özıñızdıñ şaşylyp, ükı-tükı bolğan qauyrsyndaryñyzdy tegıstep jıberıñız de, menıñ maqtanşaq ta asa </t>
    </r>
    <r>
      <rPr>
        <b/>
        <sz val="11"/>
        <color theme="1"/>
        <rFont val="Arial"/>
      </rPr>
      <t xml:space="preserve">qadırlı</t>
    </r>
    <r>
      <rPr>
        <sz val="11"/>
        <color theme="1"/>
        <rFont val="Arial"/>
      </rPr>
      <t xml:space="preserve"> Eşliıñızdıñ aulasyna atqan tasymdy jinap ala qoiyñyz da, ersı sözderımdı ūmytyp qalyñyz.
</t>
    </r>
    <r>
      <rPr>
        <b/>
        <sz val="11"/>
        <color theme="1"/>
        <rFont val="Arial"/>
      </rPr>
      <t xml:space="preserve">TRANSLATION:</t>
    </r>
    <r>
      <rPr>
        <sz val="11"/>
        <color theme="1"/>
        <rFont val="Arial"/>
      </rPr>
      <t xml:space="preserve"> And now smooth out your scattered, downy-fluffed feathers, gather up the stones I have thrown at the courtyard of your boastful and </t>
    </r>
    <r>
      <rPr>
        <b/>
        <sz val="11"/>
        <color theme="1"/>
        <rFont val="Arial"/>
      </rPr>
      <t xml:space="preserve">highly esteemed</t>
    </r>
    <r>
      <rPr>
        <sz val="11"/>
        <color theme="1"/>
        <rFont val="Arial"/>
      </rPr>
      <t xml:space="preserve"> Ashley, and forget my unseemly words.</t>
    </r>
  </si>
  <si>
    <t xml:space="preserve">Would he hate her now, her darling honorable Ashley, because she had shamed him?</t>
  </si>
  <si>
    <t xml:space="preserve">TERM: blagorodnyy (благородный) — noble; of noble character [ORD]
PASSAGE: Неужели он теперь возненавидит ее — он, ее дорогой благородный Эшли, — за то, что она опозорила его?
TRANS: Neuzheli on teper' voznenavidit ee — on, ee dorogoy blagorodnyy Eshli, — za to, chto ona opozorila ego?
TRANSLATION: Could it be that he will now hate her — he, her dear noble Ashley — because she has disgraced him?</t>
  </si>
  <si>
    <r>
      <rPr>
        <b/>
        <sz val="11"/>
        <color theme="1"/>
        <rFont val="Arial"/>
      </rPr>
      <t xml:space="preserve">TERM:</t>
    </r>
    <r>
      <rPr>
        <sz val="11"/>
        <color theme="1"/>
        <rFont val="Arial"/>
      </rPr>
      <t xml:space="preserve"> ASYL (АСЫЛ) — noble; precious; intrinsically valuable [KED, SZK]
</t>
    </r>
    <r>
      <rPr>
        <b/>
        <sz val="11"/>
        <color theme="1"/>
        <rFont val="Arial"/>
      </rPr>
      <t xml:space="preserve">PASSAGE:</t>
    </r>
    <r>
      <rPr>
        <sz val="11"/>
        <color theme="1"/>
        <rFont val="Arial"/>
      </rPr>
      <t xml:space="preserve"> Мұның өзіне тигізген зиянынан кейін </t>
    </r>
    <r>
      <rPr>
        <b/>
        <sz val="11"/>
        <color theme="1"/>
        <rFont val="Arial"/>
      </rPr>
      <t xml:space="preserve">асыл</t>
    </r>
    <r>
      <rPr>
        <sz val="11"/>
        <color theme="1"/>
        <rFont val="Arial"/>
      </rPr>
      <t xml:space="preserve"> </t>
    </r>
    <r>
      <rPr>
        <b/>
        <sz val="11"/>
        <color theme="1"/>
        <rFont val="Arial"/>
      </rPr>
      <t xml:space="preserve">текті</t>
    </r>
    <r>
      <rPr>
        <sz val="11"/>
        <color theme="1"/>
        <rFont val="Arial"/>
      </rPr>
      <t xml:space="preserve"> Эшлиін көре алмас па екен, тіпті бұл туралы білгісі де келмей қалар ма екен, қайтер екен?
</t>
    </r>
    <r>
      <rPr>
        <b/>
        <sz val="11"/>
        <color theme="1"/>
        <rFont val="Arial"/>
      </rPr>
      <t xml:space="preserve">TRANS:</t>
    </r>
    <r>
      <rPr>
        <sz val="11"/>
        <color theme="1"/>
        <rFont val="Arial"/>
      </rPr>
      <t xml:space="preserve"> Mūnyñ özıne tigızgen zianynan keiın </t>
    </r>
    <r>
      <rPr>
        <b/>
        <sz val="11"/>
        <color theme="1"/>
        <rFont val="Arial"/>
      </rPr>
      <t xml:space="preserve">asyl</t>
    </r>
    <r>
      <rPr>
        <sz val="11"/>
        <color theme="1"/>
        <rFont val="Arial"/>
      </rPr>
      <t xml:space="preserve"> </t>
    </r>
    <r>
      <rPr>
        <b/>
        <sz val="11"/>
        <color theme="1"/>
        <rFont val="Arial"/>
      </rPr>
      <t xml:space="preserve">tektı</t>
    </r>
    <r>
      <rPr>
        <sz val="11"/>
        <color theme="1"/>
        <rFont val="Arial"/>
      </rPr>
      <t xml:space="preserve"> Eşliın köre almas pa eken, tıptı būl turaly bılgısı de kelmei qalar ma eken, qaiter eken?
</t>
    </r>
    <r>
      <rPr>
        <b/>
        <sz val="11"/>
        <color theme="1"/>
        <rFont val="Arial"/>
      </rPr>
      <t xml:space="preserve">TRANSLATION:</t>
    </r>
    <r>
      <rPr>
        <sz val="11"/>
        <color theme="1"/>
        <rFont val="Arial"/>
      </rPr>
      <t xml:space="preserve"> After the harm she has caused him, could it be that her </t>
    </r>
    <r>
      <rPr>
        <b/>
        <sz val="11"/>
        <color theme="1"/>
        <rFont val="Arial"/>
      </rPr>
      <t xml:space="preserve">noble-blooded</t>
    </r>
    <r>
      <rPr>
        <sz val="11"/>
        <color theme="1"/>
        <rFont val="Arial"/>
      </rPr>
      <t xml:space="preserve"> Ashley would not be able to bear the sight of her, would no longer want to know about it, what would he do?</t>
    </r>
  </si>
  <si>
    <t xml:space="preserve">Then, as an afterthought, he added: "The honorable Ashley was over here last night. He wanted to know if I thought you would sell him your mill and the part interest you have in his."</t>
  </si>
  <si>
    <t xml:space="preserve">TERM: mnogouvazhaemyy (многоуважаемый) — much respected; honoured (epithet) [ORD]
PASSAGE: Кстати, вчера вечером у нас тут был многоуважаемый Эшли.
TRANS: Kstati, vchera vecherom u nas tut byl mnogouvazhaemyy Eshli.
TRANSLATION: By the way, last evening the much-respected Ashley was here.</t>
  </si>
  <si>
    <r>
      <rPr>
        <b/>
        <sz val="11"/>
        <color theme="1"/>
        <rFont val="Arial"/>
      </rPr>
      <t xml:space="preserve">TERM:</t>
    </r>
    <r>
      <rPr>
        <sz val="11"/>
        <color theme="1"/>
        <rFont val="Arial"/>
      </rPr>
      <t xml:space="preserve"> QŪRMETTI (ҚҰРМЕТTІ) = құрмет respected, honourable
</t>
    </r>
    <r>
      <rPr>
        <b/>
        <sz val="11"/>
        <color theme="1"/>
        <rFont val="Arial"/>
      </rPr>
      <t xml:space="preserve">PASSAGE:</t>
    </r>
    <r>
      <rPr>
        <sz val="11"/>
        <color theme="1"/>
        <rFont val="Arial"/>
      </rPr>
      <t xml:space="preserve"> Айтпақшы, кеше кешкісін бізге аса </t>
    </r>
    <r>
      <rPr>
        <b/>
        <sz val="11"/>
        <color theme="1"/>
        <rFont val="Arial"/>
      </rPr>
      <t xml:space="preserve">құрметті</t>
    </r>
    <r>
      <rPr>
        <sz val="11"/>
        <color theme="1"/>
        <rFont val="Arial"/>
      </rPr>
      <t xml:space="preserve"> Эшли келіп кетті.
</t>
    </r>
    <r>
      <rPr>
        <b/>
        <sz val="11"/>
        <color theme="1"/>
        <rFont val="Arial"/>
      </rPr>
      <t xml:space="preserve">TRANS:</t>
    </r>
    <r>
      <rPr>
        <sz val="11"/>
        <color theme="1"/>
        <rFont val="Arial"/>
      </rPr>
      <t xml:space="preserve"> Aitpaqşy, keşe keşkısın bızge asa </t>
    </r>
    <r>
      <rPr>
        <b/>
        <sz val="11"/>
        <color theme="1"/>
        <rFont val="Arial"/>
      </rPr>
      <t xml:space="preserve">qūrmettı</t>
    </r>
    <r>
      <rPr>
        <sz val="11"/>
        <color theme="1"/>
        <rFont val="Arial"/>
      </rPr>
      <t xml:space="preserve"> Eşli kelıp kettı.
</t>
    </r>
    <r>
      <rPr>
        <b/>
        <sz val="11"/>
        <color theme="1"/>
        <rFont val="Arial"/>
      </rPr>
      <t xml:space="preserve">TRANSLATION:</t>
    </r>
    <r>
      <rPr>
        <sz val="11"/>
        <color theme="1"/>
        <rFont val="Arial"/>
      </rPr>
      <t xml:space="preserve"> By the way, the </t>
    </r>
    <r>
      <rPr>
        <b/>
        <sz val="11"/>
        <color theme="1"/>
        <rFont val="Arial"/>
      </rPr>
      <t xml:space="preserve">highly esteemed</t>
    </r>
    <r>
      <rPr>
        <sz val="11"/>
        <color theme="1"/>
        <rFont val="Arial"/>
      </rPr>
      <t xml:space="preserve"> Ashley came to us yesterday evening.</t>
    </r>
  </si>
  <si>
    <t xml:space="preserve">It had been her experience that the liar was the hottest to defend his veracity, the coward his courage, the ill-bred his gentlemanliness, and the cad his honor. But not Rhett. He admitted everything and laughed and dared her to say more.</t>
  </si>
  <si>
    <t xml:space="preserve">cad</t>
  </si>
  <si>
    <t xml:space="preserve">TERM: chest' (честь) — honour; honor [ORD]
PASSAGE: Она привыкла считать, что никто с таким жаром не доказывает свою правдивость, как лжец, свою храбрость — как трус, свою учтивость — как дурно воспитанный человек, свою незапятнанную честь — как подонок.
TRANS: Ona privykla schitat', chto nikto s takim zharom ne dokazyvaet svoyu pravdivost', kak lzhets, svoyu khrabrost' — kak trus, svoyu uchtivost' — kak durno vospitannyy chelovek, svoyu nezapyatnannuyu chest' — kak podonok.
TRANSLATION: She had grown used to thinking that no one defends his truthfulness as fervently as a liar, his bravery as a coward, his courtesy as an ill-bred man, his unblemished honor as a scoundrel.</t>
  </si>
  <si>
    <r>
      <rPr>
        <b/>
        <sz val="11"/>
        <color theme="1"/>
        <rFont val="Arial"/>
      </rPr>
      <t xml:space="preserve">TERM:</t>
    </r>
    <r>
      <rPr>
        <sz val="11"/>
        <color theme="1"/>
        <rFont val="Arial"/>
      </rPr>
      <t xml:space="preserve"> abyroi (абырой) — dignity; prestige; public standing; reputation (Arabic-Persian loan) [KED, SZK]
</t>
    </r>
    <r>
      <rPr>
        <b/>
        <sz val="11"/>
        <color theme="1"/>
        <rFont val="Arial"/>
      </rPr>
      <t xml:space="preserve">PASSAGE:</t>
    </r>
    <r>
      <rPr>
        <sz val="11"/>
        <color theme="1"/>
        <rFont val="Arial"/>
      </rPr>
      <t xml:space="preserve"> Одан басқа ешбір адамның шыншылдығын өтірікші ретінде, батылдығын қорқақ сияқты, сыпайылығын тәрбиесіз адам сияқты, дақ түспеген </t>
    </r>
    <r>
      <rPr>
        <b/>
        <sz val="11"/>
        <color theme="1"/>
        <rFont val="Arial"/>
      </rPr>
      <t xml:space="preserve">абыройын</t>
    </r>
    <r>
      <rPr>
        <sz val="11"/>
        <color theme="1"/>
        <rFont val="Arial"/>
      </rPr>
      <t xml:space="preserve"> азғын сияқты көрсетпейтіні анық.
</t>
    </r>
    <r>
      <rPr>
        <b/>
        <sz val="11"/>
        <color theme="1"/>
        <rFont val="Arial"/>
      </rPr>
      <t xml:space="preserve">TRANS:</t>
    </r>
    <r>
      <rPr>
        <sz val="11"/>
        <color theme="1"/>
        <rFont val="Arial"/>
      </rPr>
      <t xml:space="preserve"> Odan basqa eşbır adamnyñ şynşyldyğyn ötırıkşı retınde, batyldyğyn qorqaq siaqty, sypaiylyğyn tärbiesız adam siaqty, daq tüspegen </t>
    </r>
    <r>
      <rPr>
        <b/>
        <sz val="11"/>
        <color theme="1"/>
        <rFont val="Arial"/>
      </rPr>
      <t xml:space="preserve">abyroiyn</t>
    </r>
    <r>
      <rPr>
        <sz val="11"/>
        <color theme="1"/>
        <rFont val="Arial"/>
      </rPr>
      <t xml:space="preserve"> azğyn siaqty körsetpeitını anyq.
</t>
    </r>
    <r>
      <rPr>
        <b/>
        <sz val="11"/>
        <color theme="1"/>
        <rFont val="Arial"/>
      </rPr>
      <t xml:space="preserve">TRANSLATION:</t>
    </r>
    <r>
      <rPr>
        <sz val="11"/>
        <color theme="1"/>
        <rFont val="Arial"/>
      </rPr>
      <t xml:space="preserve"> It is clear that no other person defends his truthfulness as a liar does, his courage as a coward does, his politeness as an ill-bred man does, his unstained </t>
    </r>
    <r>
      <rPr>
        <b/>
        <sz val="11"/>
        <color theme="1"/>
        <rFont val="Arial"/>
      </rPr>
      <t xml:space="preserve">honor/dignity</t>
    </r>
    <r>
      <rPr>
        <sz val="11"/>
        <color theme="1"/>
        <rFont val="Arial"/>
      </rPr>
      <t xml:space="preserve"> as a depraved man does.</t>
    </r>
  </si>
  <si>
    <t xml:space="preserve">Honor — Tribute / glory</t>
  </si>
  <si>
    <t xml:space="preserve">The Troop bowed to real worth and moreover, because they liked him, they made him an officer. He bore the honor gravely and with no untoward conceit, as though it were only his due</t>
  </si>
  <si>
    <t xml:space="preserve">TERM: chest' (честь) — honour; honor [ORD]
PASSAGE: Он принял оказанную ему честь с достоинством и без излишнего зазнайства — просто как положенное.
TRANS: On prinyal okazannuyu emu chest' s dostoinstvom i bez izlishnego zaznaystva — prosto kak polozhennoe.
TRANSLATION: He accepted the honor bestowed on him with dignity and without excessive vanity — simply as something due.</t>
  </si>
  <si>
    <r>
      <rPr>
        <b/>
        <sz val="11"/>
        <color theme="1"/>
        <rFont val="Arial"/>
      </rPr>
      <t xml:space="preserve">TERM:</t>
    </r>
    <r>
      <rPr>
        <sz val="11"/>
        <color theme="1"/>
        <rFont val="Arial"/>
      </rPr>
      <t xml:space="preserve"> QŪRMET (ҚҰРМЕТ) — respect; honouring (the act of paying respect) [KED, SZK]
</t>
    </r>
    <r>
      <rPr>
        <b/>
        <sz val="11"/>
        <color theme="1"/>
        <rFont val="Arial"/>
      </rPr>
      <t xml:space="preserve">PASSAGE:</t>
    </r>
    <r>
      <rPr>
        <sz val="11"/>
        <color theme="1"/>
        <rFont val="Arial"/>
      </rPr>
      <t xml:space="preserve"> Ол өзіне берілген </t>
    </r>
    <r>
      <rPr>
        <b/>
        <sz val="11"/>
        <color theme="1"/>
        <rFont val="Arial"/>
      </rPr>
      <t xml:space="preserve">құрметті</t>
    </r>
    <r>
      <rPr>
        <sz val="11"/>
        <color theme="1"/>
        <rFont val="Arial"/>
      </rPr>
      <t xml:space="preserve"> дандайсымай, абыроймен лайықты түрде қабылдады.
</t>
    </r>
    <r>
      <rPr>
        <b/>
        <sz val="11"/>
        <color theme="1"/>
        <rFont val="Arial"/>
      </rPr>
      <t xml:space="preserve">TRANS:</t>
    </r>
    <r>
      <rPr>
        <sz val="11"/>
        <color theme="1"/>
        <rFont val="Arial"/>
      </rPr>
      <t xml:space="preserve"> Ol özıne berılgen </t>
    </r>
    <r>
      <rPr>
        <b/>
        <sz val="11"/>
        <color theme="1"/>
        <rFont val="Arial"/>
      </rPr>
      <t xml:space="preserve">qūrmettı</t>
    </r>
    <r>
      <rPr>
        <sz val="11"/>
        <color theme="1"/>
        <rFont val="Arial"/>
      </rPr>
      <t xml:space="preserve"> dandaisymai, abyroimen laiyqty türde qabyldady.
</t>
    </r>
    <r>
      <rPr>
        <b/>
        <sz val="11"/>
        <color theme="1"/>
        <rFont val="Arial"/>
      </rPr>
      <t xml:space="preserve">TRANSLATION:</t>
    </r>
    <r>
      <rPr>
        <sz val="11"/>
        <color theme="1"/>
        <rFont val="Arial"/>
      </rPr>
      <t xml:space="preserve"> He accepted the </t>
    </r>
    <r>
      <rPr>
        <b/>
        <sz val="11"/>
        <color theme="1"/>
        <rFont val="Arial"/>
      </rPr>
      <t xml:space="preserve">honor</t>
    </r>
    <r>
      <rPr>
        <sz val="11"/>
        <color theme="1"/>
        <rFont val="Arial"/>
      </rPr>
      <t xml:space="preserve"> given to him with dignity and propriety, without showing off.</t>
    </r>
  </si>
  <si>
    <t xml:space="preserve">military / social honor as aspiration — glory, public recognition</t>
  </si>
  <si>
    <t xml:space="preserve">The unfortunate boy had not only been cheated of the love he thought he had won but also of his high hopes of honor and glory on the field of battle.</t>
  </si>
  <si>
    <t xml:space="preserve">But automatically, the words Ellen had taught her to say in such emergencies rose to her lips and casting down her eyes, from force of long habit, she murmured: "Mr. Hamilton, I am not unaware of the honor you have bestowed on me in wanting me to become your wife, but this is all so sudden that I do not know what to say."</t>
  </si>
  <si>
    <t xml:space="preserve">TERM: chest' (честь) — honour; honor [ORD]
PASSAGE: Мистер Гамильтон, я, разумеется, высоко ценю честь, которую вы оказали мне, прося стать вашей женой,
TRANS: Mister Gamil'ton, ya, razumeetsya, vysoko tsenyu chest', kotoruyu vy okazali mne, prosya stat' vashey zhenoy,
TRANSLATION: Mr. Hamilton, I, of course, value highly the honor that you have shown me by asking me to be your wife,</t>
  </si>
  <si>
    <r>
      <rPr>
        <b/>
        <sz val="11"/>
        <color theme="1"/>
        <rFont val="Arial"/>
      </rPr>
      <t xml:space="preserve">TERM:</t>
    </r>
    <r>
      <rPr>
        <sz val="11"/>
        <color theme="1"/>
        <rFont val="Arial"/>
      </rPr>
      <t xml:space="preserve"> QŪRMET (ҚҰРМЕТ) — respect; honouring (the act of paying respect) [KED, SZK]
</t>
    </r>
    <r>
      <rPr>
        <b/>
        <sz val="11"/>
        <color theme="1"/>
        <rFont val="Arial"/>
      </rPr>
      <t xml:space="preserve">PASSAGE:</t>
    </r>
    <r>
      <rPr>
        <sz val="11"/>
        <color theme="1"/>
        <rFont val="Arial"/>
      </rPr>
      <t xml:space="preserve"> Гамильтон мырза, сіздің әйелім деген өтінішіңізді, көрсеткен </t>
    </r>
    <r>
      <rPr>
        <b/>
        <sz val="11"/>
        <color theme="1"/>
        <rFont val="Arial"/>
      </rPr>
      <t xml:space="preserve">құрметіңізді</t>
    </r>
    <r>
      <rPr>
        <sz val="11"/>
        <color theme="1"/>
        <rFont val="Arial"/>
      </rPr>
      <t xml:space="preserve"> бағалаймын, ...
</t>
    </r>
    <r>
      <rPr>
        <b/>
        <sz val="11"/>
        <color theme="1"/>
        <rFont val="Arial"/>
      </rPr>
      <t xml:space="preserve">TRANS:</t>
    </r>
    <r>
      <rPr>
        <sz val="11"/>
        <color theme="1"/>
        <rFont val="Arial"/>
      </rPr>
      <t xml:space="preserve"> Gamilton myrza, sızdıñ äielım degen ötınışıñızdı, körsetken </t>
    </r>
    <r>
      <rPr>
        <b/>
        <sz val="11"/>
        <color theme="1"/>
        <rFont val="Arial"/>
      </rPr>
      <t xml:space="preserve">qūrmetıñızdı</t>
    </r>
    <r>
      <rPr>
        <sz val="11"/>
        <color theme="1"/>
        <rFont val="Arial"/>
      </rPr>
      <t xml:space="preserve"> bağalaimyn, ...
</t>
    </r>
    <r>
      <rPr>
        <b/>
        <sz val="11"/>
        <color theme="1"/>
        <rFont val="Arial"/>
      </rPr>
      <t xml:space="preserve">TRANSLATION:</t>
    </r>
    <r>
      <rPr>
        <sz val="11"/>
        <color theme="1"/>
        <rFont val="Arial"/>
      </rPr>
      <t xml:space="preserve"> Mr. Hamilton, I value your request that I be your wife and the </t>
    </r>
    <r>
      <rPr>
        <b/>
        <sz val="11"/>
        <color theme="1"/>
        <rFont val="Arial"/>
      </rPr>
      <t xml:space="preserve">honor</t>
    </r>
    <r>
      <rPr>
        <sz val="11"/>
        <color theme="1"/>
        <rFont val="Arial"/>
      </rPr>
      <t xml:space="preserve"> you have shown me,...</t>
    </r>
  </si>
  <si>
    <t xml:space="preserve">Suspense grew and the beginnings of dread slowly crawled over the town. Nothing was so bad as not knowing what was happening. Families with sons at the front prayed fervently that their boys were not in Pennsylvania, but those who knew their relatives were in the same regiment with Darcy Meade clamped their teeth and said it was an honor for them to be in the big fight that would lick the Yankees for good and all.</t>
  </si>
  <si>
    <t xml:space="preserve">TERM: chesti (чести) — honour (gen./dat./prep.) [ORD] (lemma: честь)
PASSAGE: заявляли, что рады выпавшей на долю этих храбрецов чести участвовать в великой битве,
TRANS: zayavlyali, chto rady vypavshey na dolyu etikh khrabretsov chesti uchastvovat' v velikoy bitve,
TRANSLATION: declared that they were glad of the honor that had befallen these brave men of participating in the great battle,</t>
  </si>
  <si>
    <r>
      <rPr>
        <b/>
        <sz val="11"/>
        <color theme="1"/>
        <rFont val="Arial"/>
      </rPr>
      <t xml:space="preserve">TERM:</t>
    </r>
    <r>
      <rPr>
        <sz val="11"/>
        <color theme="1"/>
        <rFont val="Arial"/>
      </rPr>
      <t xml:space="preserve"> QŪRMET (ҚҰРМЕТ) — respect; honouring (the act of paying respect) [KED, SZK]
</t>
    </r>
    <r>
      <rPr>
        <b/>
        <sz val="11"/>
        <color theme="1"/>
        <rFont val="Arial"/>
      </rPr>
      <t xml:space="preserve">PASSAGE:</t>
    </r>
    <r>
      <rPr>
        <sz val="11"/>
        <color theme="1"/>
        <rFont val="Arial"/>
      </rPr>
      <t xml:space="preserve"> ұлы шайқасқа қатысу </t>
    </r>
    <r>
      <rPr>
        <b/>
        <sz val="11"/>
        <color theme="1"/>
        <rFont val="Arial"/>
      </rPr>
      <t xml:space="preserve">құрметі</t>
    </r>
    <r>
      <rPr>
        <sz val="11"/>
        <color theme="1"/>
        <rFont val="Arial"/>
      </rPr>
      <t xml:space="preserve"> бұйрығына қуанышты екенін мәлімдеді.
</t>
    </r>
    <r>
      <rPr>
        <b/>
        <sz val="11"/>
        <color theme="1"/>
        <rFont val="Arial"/>
      </rPr>
      <t xml:space="preserve">TRANS:</t>
    </r>
    <r>
      <rPr>
        <sz val="11"/>
        <color theme="1"/>
        <rFont val="Arial"/>
      </rPr>
      <t xml:space="preserve"> ūly şaiqasqa qatysu </t>
    </r>
    <r>
      <rPr>
        <b/>
        <sz val="11"/>
        <color theme="1"/>
        <rFont val="Arial"/>
      </rPr>
      <t xml:space="preserve">qūrmetı</t>
    </r>
    <r>
      <rPr>
        <sz val="11"/>
        <color theme="1"/>
        <rFont val="Arial"/>
      </rPr>
      <t xml:space="preserve"> būiryğyna quanyşty ekenın mälımdedı.
</t>
    </r>
    <r>
      <rPr>
        <b/>
        <sz val="11"/>
        <color theme="1"/>
        <rFont val="Arial"/>
      </rPr>
      <t xml:space="preserve">TRANSLATION:</t>
    </r>
    <r>
      <rPr>
        <sz val="11"/>
        <color theme="1"/>
        <rFont val="Arial"/>
      </rPr>
      <t xml:space="preserve"> declared that they were rejoicing over the </t>
    </r>
    <r>
      <rPr>
        <b/>
        <sz val="11"/>
        <color theme="1"/>
        <rFont val="Arial"/>
      </rPr>
      <t xml:space="preserve">honor</t>
    </r>
    <r>
      <rPr>
        <sz val="11"/>
        <color theme="1"/>
        <rFont val="Arial"/>
      </rPr>
      <t xml:space="preserve"> of being called to participate in the great battle.</t>
    </r>
  </si>
  <si>
    <t xml:space="preserve">honor cited ironically / sarcastically — Rhett's deflation of the concept – dubious honor</t>
  </si>
  <si>
    <t xml:space="preserve">They do me the dubious honor of thinking me almost one of them because they know my—shall we call it my 'unpopularity'?—among my townsmen. And you see, I was playing poker in Belle's bar earlier in the evening. There are a dozen Yankee soldiers who can testify to that. And Belle and her girls will gladly lie themselves black in the face and say Mr. Wilkes and the others were—upstairs all evening. And the Yankees will believe them. Yankees are queer that way. It won't occur to them that women of—their profession are capable of intense loyalty or patriotism. The Yankees wouldn't take the word of a single nice Atlanta lady as to the whereabouts of the men who were supposed to be at the meeting tonight but they will take the word of—fancy ladies. And I think that between the word of honor of a Scallawag and a dozen fancy ladies, we may have a chance of getting the men off."</t>
  </si>
  <si>
    <t xml:space="preserve">TERM: chest' (честь) — honour; honor [ORD]
PASSAGE: Они оказывают мне сомнительную честь, считая за своего, ибо знают мою… назовем это «непопулярность»… среди земляков.
TRANS: Oni okazyvayut mne somnitel'nuyu chest', schitaya za svoego, ibo znayut moyu… nazovem eto «nepopulyarnost'»… sredi zemlyakov.
TRANSLATION: They do me the doubtful honor of considering me one of their own, for they know my... let us call it "unpopularity"... among my fellow countrymen.</t>
  </si>
  <si>
    <t xml:space="preserve">"Not for honor and glory, certainly. War is a dirty business and I do not like dirt.</t>
  </si>
  <si>
    <t xml:space="preserve">TERM: pochestey (почестей) — honours; tokens of esteem (gen. pl.) [ORD] (lemma: почести)
PASSAGE: Не ради почестей и славы, разумеется.
TRANS: Ne radi pochestey i slavy, razumeetsya.
TRANSLATION: Not for the sake of honors and glory, of course.</t>
  </si>
  <si>
    <r>
      <rPr>
        <b/>
        <sz val="11"/>
        <color theme="1"/>
        <rFont val="Arial"/>
      </rPr>
      <t xml:space="preserve">TERM:</t>
    </r>
    <r>
      <rPr>
        <sz val="11"/>
        <color theme="1"/>
        <rFont val="Arial"/>
      </rPr>
      <t xml:space="preserve"> ABYROİ (АБЫРОЙ) — dignity; prestige; public standing; reputation (Arabic-Persian loan) [KED, SZK]
</t>
    </r>
    <r>
      <rPr>
        <b/>
        <sz val="11"/>
        <color theme="1"/>
        <rFont val="Arial"/>
      </rPr>
      <t xml:space="preserve">PASSAGE:</t>
    </r>
    <r>
      <rPr>
        <sz val="11"/>
        <color theme="1"/>
        <rFont val="Arial"/>
      </rPr>
      <t xml:space="preserve"> Әрине, </t>
    </r>
    <r>
      <rPr>
        <b/>
        <sz val="11"/>
        <color theme="1"/>
        <rFont val="Arial"/>
      </rPr>
      <t xml:space="preserve">абырой</t>
    </r>
    <r>
      <rPr>
        <sz val="11"/>
        <color theme="1"/>
        <rFont val="Arial"/>
      </rPr>
      <t xml:space="preserve"> мен даңқ үшін емес.
</t>
    </r>
    <r>
      <rPr>
        <b/>
        <sz val="11"/>
        <color theme="1"/>
        <rFont val="Arial"/>
      </rPr>
      <t xml:space="preserve">TRANS:</t>
    </r>
    <r>
      <rPr>
        <sz val="11"/>
        <color theme="1"/>
        <rFont val="Arial"/>
      </rPr>
      <t xml:space="preserve"> Ärine, </t>
    </r>
    <r>
      <rPr>
        <b/>
        <sz val="11"/>
        <color theme="1"/>
        <rFont val="Arial"/>
      </rPr>
      <t xml:space="preserve">abyroi</t>
    </r>
    <r>
      <rPr>
        <sz val="11"/>
        <color theme="1"/>
        <rFont val="Arial"/>
      </rPr>
      <t xml:space="preserve"> men dañq üşın emes.
</t>
    </r>
    <r>
      <rPr>
        <b/>
        <sz val="11"/>
        <color theme="1"/>
        <rFont val="Arial"/>
      </rPr>
      <t xml:space="preserve">TRANSLATION:</t>
    </r>
    <r>
      <rPr>
        <sz val="11"/>
        <color theme="1"/>
        <rFont val="Arial"/>
      </rPr>
      <t xml:space="preserve"> Of course, not for the sake of </t>
    </r>
    <r>
      <rPr>
        <b/>
        <sz val="11"/>
        <color theme="1"/>
        <rFont val="Arial"/>
      </rPr>
      <t xml:space="preserve">dignity</t>
    </r>
    <r>
      <rPr>
        <sz val="11"/>
        <color theme="1"/>
        <rFont val="Arial"/>
      </rPr>
      <t xml:space="preserve"> and glory.</t>
    </r>
  </si>
  <si>
    <t xml:space="preserve">Honor — Ironic / mocked</t>
  </si>
  <si>
    <t xml:space="preserve">"My dear, he doesn't even know you've got a mind. If it was your mind that attracted him, he would not need to struggle against you, as he must have done to keep this love so—shall we say 'holy'? He could rest easily for, after all, a man can admire a woman's mind and soul and still be an honorable gentleman and true to his wife. But it must be difficult for him to reconcile the honor of the Wilkeses with coveting your body as he does."</t>
  </si>
  <si>
    <t xml:space="preserve">TERM: chest' (честь) — honour; honor [ORD]
PASSAGE: А ему, видимо, трудно примирить честь Уилксов с жаждой обладать вами, которая снедает его.
TRANS: A emu, vidimo, trudno primirit' chest' Uilksov s zhazhdoy obladat' vami, kotoraya snedaet ego.
TRANSLATION: And he, evidently, finds it hard to reconcile the Wilkes honor with the longing to possess you that consumes him.</t>
  </si>
  <si>
    <r>
      <rPr>
        <b/>
        <sz val="11"/>
        <color theme="1"/>
        <rFont val="Arial"/>
      </rPr>
      <t xml:space="preserve">TERM:</t>
    </r>
    <r>
      <rPr>
        <sz val="11"/>
        <color theme="1"/>
        <rFont val="Arial"/>
      </rPr>
      <t xml:space="preserve"> qūrmetti (ҚҰРМЕТТI) = respected, honoured
 abyroi (АБЫРОЙ) = dignity; authority 
</t>
    </r>
    <r>
      <rPr>
        <b/>
        <sz val="11"/>
        <color theme="1"/>
        <rFont val="Arial"/>
      </rPr>
      <t xml:space="preserve">PASSAGE: </t>
    </r>
    <r>
      <rPr>
        <sz val="11"/>
        <color theme="1"/>
        <rFont val="Arial"/>
      </rPr>
      <t xml:space="preserve">Еркек бәріне </t>
    </r>
    <r>
      <rPr>
        <b/>
        <sz val="11"/>
        <color theme="1"/>
        <rFont val="Arial"/>
      </rPr>
      <t xml:space="preserve">құрметті</t>
    </r>
    <r>
      <rPr>
        <sz val="11"/>
        <color theme="1"/>
        <rFont val="Arial"/>
      </rPr>
      <t xml:space="preserve"> қожайын бола тұрып, жұбайына да адал күйінде, сүйген әйелінің ақылы мен жан дүниесіне бас ие де алады, тыныш өмірін де сүру алады. Сізді иемденгісі келген ынтық сезімі мен Уилкстердің </t>
    </r>
    <r>
      <rPr>
        <b/>
        <sz val="11"/>
        <color theme="1"/>
        <rFont val="Arial"/>
      </rPr>
      <t xml:space="preserve">абыройы</t>
    </r>
    <r>
      <rPr>
        <sz val="11"/>
        <color theme="1"/>
        <rFont val="Arial"/>
      </rPr>
      <t xml:space="preserve"> таразыға қатар түскенде, өзін іштен мүжіп жейтін шығар.
</t>
    </r>
    <r>
      <rPr>
        <b/>
        <sz val="11"/>
        <color theme="1"/>
        <rFont val="Arial"/>
      </rPr>
      <t xml:space="preserve">TRANS:</t>
    </r>
    <r>
      <rPr>
        <sz val="11"/>
        <color theme="1"/>
        <rFont val="Arial"/>
      </rPr>
      <t xml:space="preserve"> Erkek bärıne </t>
    </r>
    <r>
      <rPr>
        <b/>
        <sz val="11"/>
        <color theme="1"/>
        <rFont val="Arial"/>
      </rPr>
      <t xml:space="preserve">qūrmettı</t>
    </r>
    <r>
      <rPr>
        <sz val="11"/>
        <color theme="1"/>
        <rFont val="Arial"/>
      </rPr>
      <t xml:space="preserve"> qojaiyn bola tūryp, jūbaiyna da adal küiınde, süigen äielınıñ aqyly men jan düniesıne bas ie de alady, tynyş ömırın de süru alady. Sızdı iemdengısı kelgen yntyq sezımı men Uilksterdıñ </t>
    </r>
    <r>
      <rPr>
        <b/>
        <sz val="11"/>
        <color theme="1"/>
        <rFont val="Arial"/>
      </rPr>
      <t xml:space="preserve">abyroiy</t>
    </r>
    <r>
      <rPr>
        <sz val="11"/>
        <color theme="1"/>
        <rFont val="Arial"/>
      </rPr>
      <t xml:space="preserve"> tarazyğa qatar tüskende, özın ışten müjıp jeitın şyğar.
</t>
    </r>
    <r>
      <rPr>
        <b/>
        <sz val="11"/>
        <color theme="1"/>
        <rFont val="Arial"/>
      </rPr>
      <t xml:space="preserve">TRANSLATION:</t>
    </r>
    <r>
      <rPr>
        <sz val="11"/>
        <color theme="1"/>
        <rFont val="Arial"/>
      </rPr>
      <t xml:space="preserve"> A man can be </t>
    </r>
    <r>
      <rPr>
        <b/>
        <sz val="11"/>
        <color theme="1"/>
        <rFont val="Arial"/>
      </rPr>
      <t xml:space="preserve">respected</t>
    </r>
    <r>
      <rPr>
        <sz val="11"/>
        <color theme="1"/>
        <rFont val="Arial"/>
      </rPr>
      <t xml:space="preserve"> master of all and faithful husband, can be lord of the mind and soul of his beloved woman and live a peaceful life. When the longing-feeling that wants to possess you and the Wilkes' </t>
    </r>
    <r>
      <rPr>
        <b/>
        <sz val="11"/>
        <color theme="1"/>
        <rFont val="Arial"/>
      </rPr>
      <t xml:space="preserve">honor</t>
    </r>
    <r>
      <rPr>
        <sz val="11"/>
        <color theme="1"/>
        <rFont val="Arial"/>
      </rPr>
      <t xml:space="preserve"> are placed on the scales together, he probably eats himself up inwardly.</t>
    </r>
  </si>
  <si>
    <t xml:space="preserve">"Yes, you! There you are, a constant temptation to him, but like most of his breed he prefers what passes in these parts as honor to any amount of love. And it looks to me as if the poor devil now had neither love nor honor to warm himself!"</t>
  </si>
  <si>
    <t xml:space="preserve">TERM: chest'yu (честью) — honour (instr.); honourably [ORD] (lemma: честь)
PASSAGE: Но, как большинство людей его породы, он предпочитает самой большой любви то, что в этих краях именуют честью.
TRANS: No, kak bol'shinstvo lyudey ego porody, on predpochitaet samoy bol'shoy lyubvi to, chto v etikh krayakh imenuyut chest'yu.
TRANSLATION: But like most people of his breed, he prefers, to the greatest love, what in these parts they call honor.</t>
  </si>
  <si>
    <r>
      <rPr>
        <b/>
        <sz val="11"/>
        <color theme="1"/>
        <rFont val="Arial"/>
      </rPr>
      <t xml:space="preserve">TERM:</t>
    </r>
    <r>
      <rPr>
        <sz val="11"/>
        <color theme="1"/>
        <rFont val="Arial"/>
      </rPr>
      <t xml:space="preserve"> ABYROİ (АБЫРОЙ) — dignity; prestige; public standing; reputation (Arabic-Persian loan) [KED, SZK]
</t>
    </r>
    <r>
      <rPr>
        <b/>
        <sz val="11"/>
        <color theme="1"/>
        <rFont val="Arial"/>
      </rPr>
      <t xml:space="preserve">PASSAGE:</t>
    </r>
    <r>
      <rPr>
        <sz val="11"/>
        <color theme="1"/>
        <rFont val="Arial"/>
      </rPr>
      <t xml:space="preserve"> Бұл өңірдегілер </t>
    </r>
    <r>
      <rPr>
        <b/>
        <sz val="11"/>
        <color theme="1"/>
        <rFont val="Arial"/>
      </rPr>
      <t xml:space="preserve">абыройға</t>
    </r>
    <r>
      <rPr>
        <sz val="11"/>
        <color theme="1"/>
        <rFont val="Arial"/>
      </rPr>
      <t xml:space="preserve"> санайтын үлкен махаббат иесі болуды ол да қалайтын шығар, тегіндегі басқа адамдар секілді.
</t>
    </r>
    <r>
      <rPr>
        <b/>
        <sz val="11"/>
        <color theme="1"/>
        <rFont val="Arial"/>
      </rPr>
      <t xml:space="preserve">TRANS:</t>
    </r>
    <r>
      <rPr>
        <sz val="11"/>
        <color theme="1"/>
        <rFont val="Arial"/>
      </rPr>
      <t xml:space="preserve"> Būl öñırdegıler </t>
    </r>
    <r>
      <rPr>
        <b/>
        <sz val="11"/>
        <color theme="1"/>
        <rFont val="Arial"/>
      </rPr>
      <t xml:space="preserve">abyroiğa</t>
    </r>
    <r>
      <rPr>
        <sz val="11"/>
        <color theme="1"/>
        <rFont val="Arial"/>
      </rPr>
      <t xml:space="preserve"> sanaityn ülken mahabbat iesı boludy ol da qalaityn şyğar, tegındegı basqa adamdar sekıldı.
</t>
    </r>
    <r>
      <rPr>
        <b/>
        <sz val="11"/>
        <color theme="1"/>
        <rFont val="Arial"/>
      </rPr>
      <t xml:space="preserve">TRANSLATION:</t>
    </r>
    <r>
      <rPr>
        <sz val="11"/>
        <color theme="1"/>
        <rFont val="Arial"/>
      </rPr>
      <t xml:space="preserve"> Perhaps he too desires to be the bearer of a great love that the people of this region count as </t>
    </r>
    <r>
      <rPr>
        <b/>
        <sz val="11"/>
        <color theme="1"/>
        <rFont val="Arial"/>
      </rPr>
      <t xml:space="preserve">honor</t>
    </r>
    <r>
      <rPr>
        <sz val="11"/>
        <color theme="1"/>
        <rFont val="Arial"/>
      </rPr>
      <t xml:space="preserve">, like the others of his sort.</t>
    </r>
  </si>
  <si>
    <t xml:space="preserve">"He's a gentleman," said Rhett, and Scarlett wondered how it was possible to convey such cynicism and contempt in that one honorable word.</t>
  </si>
  <si>
    <t xml:space="preserve">TERM: chtimoe (чтимое) — esteemed; revered [ORD] (lemma: чтимый)
PASSAGE: и Скарлетт оторопела: как сумел он вложить столько циничного презрения в одно короткое, высоко всеми чтимое слово?
TRANS: i Skarlett otoropela: kak sumel on vlozhit' stol'ko tsinichnogo prezreniya v odno korotkoe, vysoko vsemi chtimoe slovo?
TRANSLATION: and Scarlett was taken aback: how had he managed to put so much cynical contempt into one short word that everyone holds in such high esteem?</t>
  </si>
  <si>
    <r>
      <rPr>
        <b/>
        <sz val="11"/>
        <color theme="1"/>
        <rFont val="Arial"/>
      </rPr>
      <t xml:space="preserve">TERM:</t>
    </r>
    <r>
      <rPr>
        <sz val="11"/>
        <color theme="1"/>
        <rFont val="Arial"/>
      </rPr>
      <t xml:space="preserve"> ARDAQTAU (АРДАҚТАУ) — to honour; to pay due respect; to cherish (from ардақ "honour, esteem") [KED, SZK]
</t>
    </r>
    <r>
      <rPr>
        <b/>
        <sz val="11"/>
        <color theme="1"/>
        <rFont val="Arial"/>
      </rPr>
      <t xml:space="preserve">PASSAGE:</t>
    </r>
    <r>
      <rPr>
        <sz val="11"/>
        <color theme="1"/>
        <rFont val="Arial"/>
      </rPr>
      <t xml:space="preserve"> Скарлетт бұған аң-таң болды: ол қысқа ғана, барлығы соншалықты </t>
    </r>
    <r>
      <rPr>
        <b/>
        <sz val="11"/>
        <color theme="1"/>
        <rFont val="Arial"/>
      </rPr>
      <t xml:space="preserve">ардақтайтын</t>
    </r>
    <r>
      <rPr>
        <sz val="11"/>
        <color theme="1"/>
        <rFont val="Arial"/>
      </rPr>
      <t xml:space="preserve"> осы бір сөзге соншалықты арсыз жеккөрушілікті қалай сыйғызып жіберді?
</t>
    </r>
    <r>
      <rPr>
        <b/>
        <sz val="11"/>
        <color theme="1"/>
        <rFont val="Arial"/>
      </rPr>
      <t xml:space="preserve">TRANS:</t>
    </r>
    <r>
      <rPr>
        <sz val="11"/>
        <color theme="1"/>
        <rFont val="Arial"/>
      </rPr>
      <t xml:space="preserve"> Skarlett būğan añ-tañ boldy: ol qysqa ğana, barlyğy sonşalyqty </t>
    </r>
    <r>
      <rPr>
        <b/>
        <sz val="11"/>
        <color theme="1"/>
        <rFont val="Arial"/>
      </rPr>
      <t xml:space="preserve">ardaqtaityn</t>
    </r>
    <r>
      <rPr>
        <sz val="11"/>
        <color theme="1"/>
        <rFont val="Arial"/>
      </rPr>
      <t xml:space="preserve"> osy bır sözge sonşalyqty arsyz jekköruşılıktı qalai syiğyzyp jıberdı?
</t>
    </r>
    <r>
      <rPr>
        <b/>
        <sz val="11"/>
        <color theme="1"/>
        <rFont val="Arial"/>
      </rPr>
      <t xml:space="preserve">TRANSLATION:</t>
    </r>
    <r>
      <rPr>
        <sz val="11"/>
        <color theme="1"/>
        <rFont val="Arial"/>
      </rPr>
      <t xml:space="preserve"> Scarlett was astonished by this: how had he packed so much shameless contempt into this single short word that everyone </t>
    </r>
    <r>
      <rPr>
        <b/>
        <sz val="11"/>
        <color theme="1"/>
        <rFont val="Arial"/>
      </rPr>
      <t xml:space="preserve">holds in such high regard</t>
    </r>
    <r>
      <rPr>
        <sz val="11"/>
        <color theme="1"/>
        <rFont val="Arial"/>
      </rPr>
      <t xml:space="preserve">?</t>
    </r>
  </si>
  <si>
    <t xml:space="preserve">However, I admired him and tried to copy him far more than I ever did my father, for Father is an amiable gentleman full of honorable habits and pious saws—so you see how it goes.</t>
  </si>
  <si>
    <t xml:space="preserve">Rhett’s father</t>
  </si>
  <si>
    <t xml:space="preserve">TERM: pochtennyy (почтенный) — venerable; esteemed [ORD]
PASSAGE: Тем не менее я всегда восхищался им и старался подражать ему куда больше, чем отцу, хотя отец у меня — весьма благовоспитанный господин, чрезвычайно почтенный и религиозный, так что видите, как оно бывает.
TRANS: Tem ne menee ya vsegda voskhishchalsya im i staralsya podrazhat' emu kuda bol'she, chem ottsu, khotya otets u menya — ves'ma blagovospitannyy gospodin, chrezvychayno pochtennyy i religioznyy, tak chto vidite, kak ono byvaet.
TRANSLATION: Nevertheless I always admired him and tried to imitate him much more than my father, although my father is a very well-bred gentleman, extremely respectable and religious, so you see how it goes.</t>
  </si>
  <si>
    <t xml:space="preserve">honor cited ironically / sarcastically — Rhett's deflation of the concept of moral honor</t>
  </si>
  <si>
    <t xml:space="preserve">"Yes, my dear, it is my much advertised chivalry that makes me protect you." The mocking light began to dance in his black eyes and all signs of earnestness fled from his face. "And why? Because of my deep love for you, Mrs. Kennedy. Yes, I have silently hungered and thirsted for you and worshipped you from afar; but being an honorable man, like Mr. Ashley Wilkes, I have concealed it from you. You are, alas, Frank's wife and honor has forbidden my telling this to you. But even as Mr. Wilkes' honor cracks occasionally, so mine is cracking now and I reveal my secret passion and my—"</t>
  </si>
  <si>
    <t xml:space="preserve">TERM: poryadochnost' (порядочность) — decency; respectability; integrity [ORD]
PASSAGE: К сожалению, вы — супруга Фрэнка, и порядочность запрещает мне говорить вам о своих чувствах.
TRANS: K sozhaleniyu, vy — supruga Frenka, i poryadochnost' zapreshchaet mne govorit' vam o svoikh chuvstvakh.
TRANSLATION: Unfortunately, you are Frank's wife, and decency forbids me to speak to you of my feelings.</t>
  </si>
  <si>
    <r>
      <rPr>
        <b/>
        <sz val="11"/>
        <color theme="1"/>
        <rFont val="Arial"/>
      </rPr>
      <t xml:space="preserve">TERM:</t>
    </r>
    <r>
      <rPr>
        <sz val="11"/>
        <color theme="1"/>
        <rFont val="Arial"/>
      </rPr>
      <t xml:space="preserve"> ADAMGERŞILIK (АДАМГЕРШІЛІК) — humanity; civility; humanness (the secularised humanist moral term) [KED, SZK]
</t>
    </r>
    <r>
      <rPr>
        <b/>
        <sz val="11"/>
        <color theme="1"/>
        <rFont val="Arial"/>
      </rPr>
      <t xml:space="preserve">PASSAGE:</t>
    </r>
    <r>
      <rPr>
        <sz val="11"/>
        <color theme="1"/>
        <rFont val="Arial"/>
      </rPr>
      <t xml:space="preserve"> Өкініштісі, сіз енді Фрэнктің жұбайысыз, өз сезімдерім туралы баяндағаным да </t>
    </r>
    <r>
      <rPr>
        <b/>
        <sz val="11"/>
        <color theme="1"/>
        <rFont val="Arial"/>
      </rPr>
      <t xml:space="preserve">адамгершілікке</t>
    </r>
    <r>
      <rPr>
        <sz val="11"/>
        <color theme="1"/>
        <rFont val="Arial"/>
      </rPr>
      <t xml:space="preserve"> жатпайды.
</t>
    </r>
    <r>
      <rPr>
        <b/>
        <sz val="11"/>
        <color theme="1"/>
        <rFont val="Arial"/>
      </rPr>
      <t xml:space="preserve">TRANS:</t>
    </r>
    <r>
      <rPr>
        <sz val="11"/>
        <color theme="1"/>
        <rFont val="Arial"/>
      </rPr>
      <t xml:space="preserve"> Ökınıştısı, sız endı Frenktıñ jūbaiysyz, öz sezımderım turaly baiandağanym da </t>
    </r>
    <r>
      <rPr>
        <b/>
        <sz val="11"/>
        <color theme="1"/>
        <rFont val="Arial"/>
      </rPr>
      <t xml:space="preserve">adamgerşılıkke</t>
    </r>
    <r>
      <rPr>
        <sz val="11"/>
        <color theme="1"/>
        <rFont val="Arial"/>
      </rPr>
      <t xml:space="preserve"> jatpaidy.
</t>
    </r>
    <r>
      <rPr>
        <b/>
        <sz val="11"/>
        <color theme="1"/>
        <rFont val="Arial"/>
      </rPr>
      <t xml:space="preserve">TRANSLATION:</t>
    </r>
    <r>
      <rPr>
        <sz val="11"/>
        <color theme="1"/>
        <rFont val="Arial"/>
      </rPr>
      <t xml:space="preserve"> Unfortunately, you are now Frank's wife, and to speak of my own feelings goes against humanity/</t>
    </r>
    <r>
      <rPr>
        <b/>
        <sz val="11"/>
        <color theme="1"/>
        <rFont val="Arial"/>
      </rPr>
      <t xml:space="preserve">decency</t>
    </r>
    <r>
      <rPr>
        <sz val="11"/>
        <color theme="1"/>
        <rFont val="Arial"/>
      </rPr>
      <t xml:space="preserve">.</t>
    </r>
  </si>
  <si>
    <t xml:space="preserve">Honor — Absent / dishonor</t>
  </si>
  <si>
    <t xml:space="preserve">social honor — publicly conferred dignity</t>
  </si>
  <si>
    <t xml:space="preserve">Why, I'll bet you Ma is still so excited about the new horse that she'll never even realize we're home again till she sits down to supper tonight and sees Boyd. And before supper is over she'll be going strong and breathing fire. And it'll be ten o'clock before Boyd gets a chance to tell her that it wouldn't have been honorable for any of us to stay in college after the way the Chancellor talked to you and me.</t>
  </si>
  <si>
    <t xml:space="preserve">TERM: unizitel'no (унизительно) — humiliatingly; demeaningly (adv.) [ORD]
PASSAGE: А часам к десяти, и никак не раньше, Бойду удастся втолковать ей, что было бы унизительно для любого из ее сыновей оставаться в учебном заведении, где ректор позволил себе разговаривать с нами в таком тоне.
TRANS: A chasam k desyati, i nikak ne ran'she, Boydu udastsya vtolkovat' ey, chto bylo by unizitel'no dlya lyubogo iz ee synovey ostavat'sya v uchebnom zavedenii, gde rektor pozvolil sebe razgovarivat' s nami v takom tone.
TRANSLATION: And around ten o'clock — and no earlier — Boyd will manage to convince her that it would be humiliating for any of her sons to remain at an institution where the rector has allowed himself to speak with us in such a tone.</t>
  </si>
  <si>
    <r>
      <rPr>
        <b/>
        <sz val="11"/>
        <color theme="1"/>
        <rFont val="Arial"/>
      </rPr>
      <t xml:space="preserve">TERM:</t>
    </r>
    <r>
      <rPr>
        <sz val="11"/>
        <color theme="1"/>
        <rFont val="Arial"/>
      </rPr>
      <t xml:space="preserve"> QORLYQ (ҚОРЛЫҚ) — humiliation; abasement; disgrace [KED, SZK]
MASQARA (МАСҚАРА) — disgrace; scandal; outrage (acute) [KED, SZK]
</t>
    </r>
    <r>
      <rPr>
        <b/>
        <sz val="11"/>
        <color theme="1"/>
        <rFont val="Arial"/>
      </rPr>
      <t xml:space="preserve">PASSAGE:</t>
    </r>
    <r>
      <rPr>
        <sz val="11"/>
        <color theme="1"/>
        <rFont val="Arial"/>
      </rPr>
      <t xml:space="preserve"> Ал сағат түнгі онға қарай (одан бұрын болуы мүмкін емес), ұлдарына ректордың өзі қырын қабақ танытқан оқу орнында қалуы Бойд үшін </t>
    </r>
    <r>
      <rPr>
        <b/>
        <sz val="11"/>
        <color theme="1"/>
        <rFont val="Arial"/>
      </rPr>
      <t xml:space="preserve">қорлық</t>
    </r>
    <r>
      <rPr>
        <sz val="11"/>
        <color theme="1"/>
        <rFont val="Arial"/>
      </rPr>
      <t xml:space="preserve">, </t>
    </r>
    <r>
      <rPr>
        <b/>
        <sz val="11"/>
        <color theme="1"/>
        <rFont val="Arial"/>
      </rPr>
      <t xml:space="preserve">масқара</t>
    </r>
    <r>
      <rPr>
        <sz val="11"/>
        <color theme="1"/>
        <rFont val="Arial"/>
      </rPr>
      <t xml:space="preserve"> екенін түсіндірудің ыңғайы келеді.
</t>
    </r>
    <r>
      <rPr>
        <b/>
        <sz val="11"/>
        <color theme="1"/>
        <rFont val="Arial"/>
      </rPr>
      <t xml:space="preserve">TRANS:</t>
    </r>
    <r>
      <rPr>
        <sz val="11"/>
        <color theme="1"/>
        <rFont val="Arial"/>
      </rPr>
      <t xml:space="preserve"> Al sağat tüngı onğa qarai (odan būryn boluy mümkın emes), ūldaryna rektordyñ özı qyryn qabaq tanytqan oqu ornynda qaluy Boid üşın </t>
    </r>
    <r>
      <rPr>
        <b/>
        <sz val="11"/>
        <color theme="1"/>
        <rFont val="Arial"/>
      </rPr>
      <t xml:space="preserve">qorlyq</t>
    </r>
    <r>
      <rPr>
        <sz val="11"/>
        <color theme="1"/>
        <rFont val="Arial"/>
      </rPr>
      <t xml:space="preserve">, </t>
    </r>
    <r>
      <rPr>
        <b/>
        <sz val="11"/>
        <color theme="1"/>
        <rFont val="Arial"/>
      </rPr>
      <t xml:space="preserve">masqara</t>
    </r>
    <r>
      <rPr>
        <sz val="11"/>
        <color theme="1"/>
        <rFont val="Arial"/>
      </rPr>
      <t xml:space="preserve"> ekenın tüsındırudıñ yñğaiy keledı.
</t>
    </r>
    <r>
      <rPr>
        <b/>
        <sz val="11"/>
        <color theme="1"/>
        <rFont val="Arial"/>
      </rPr>
      <t xml:space="preserve">TRANSLATION:</t>
    </r>
    <r>
      <rPr>
        <sz val="11"/>
        <color theme="1"/>
        <rFont val="Arial"/>
      </rPr>
      <t xml:space="preserve"> And by about ten in the evening (no sooner), the moment will come for Boyd to explain that it would be a </t>
    </r>
    <r>
      <rPr>
        <b/>
        <sz val="11"/>
        <color theme="1"/>
        <rFont val="Arial"/>
      </rPr>
      <t xml:space="preserve">humiliation</t>
    </r>
    <r>
      <rPr>
        <sz val="11"/>
        <color theme="1"/>
        <rFont val="Arial"/>
      </rPr>
      <t xml:space="preserve">, a </t>
    </r>
    <r>
      <rPr>
        <b/>
        <sz val="11"/>
        <color theme="1"/>
        <rFont val="Arial"/>
      </rPr>
      <t xml:space="preserve">disgrace</t>
    </r>
    <r>
      <rPr>
        <sz val="11"/>
        <color theme="1"/>
        <rFont val="Arial"/>
      </rPr>
      <t xml:space="preserve"> for her sons to stay at an institution where the rector himself has shown them a stern face.</t>
    </r>
  </si>
  <si>
    <t xml:space="preserve">"Add conceit to dishonor," he said. "You'll never get over being the belle of the County, will you? You'll always think you're the cutest little trick in shoe leather and that every man you meet is expiring for love of you."</t>
  </si>
  <si>
    <t xml:space="preserve">TERM: beschestnaya (бесчестная) — dishonourable (adj. fem.) [ORD] (lemma: бесчестный)
PASSAGE: Вы не только бесчестная, но еще и самонадеянная
TRANS: Vy ne tol'ko beschestnaya, no eshche i samonadeyannaya
TRANSLATION: You are not only dishonest, but also conceited</t>
  </si>
  <si>
    <r>
      <rPr>
        <b/>
        <sz val="11"/>
        <color theme="1"/>
        <rFont val="Arial"/>
      </rPr>
      <t xml:space="preserve">TERM:</t>
    </r>
    <r>
      <rPr>
        <sz val="11"/>
        <color theme="1"/>
        <rFont val="Arial"/>
      </rPr>
      <t xml:space="preserve"> ÄDILETSIZDIK (ӘДІЛЕТСІЗДІК) = injustice, unfairness, dishonesty, dishonor
</t>
    </r>
    <r>
      <rPr>
        <b/>
        <sz val="11"/>
        <color theme="1"/>
        <rFont val="Arial"/>
      </rPr>
      <t xml:space="preserve">PASSAGE:</t>
    </r>
    <r>
      <rPr>
        <sz val="11"/>
        <color theme="1"/>
        <rFont val="Arial"/>
      </rPr>
      <t xml:space="preserve"> Сіз </t>
    </r>
    <r>
      <rPr>
        <b/>
        <sz val="11"/>
        <color theme="1"/>
        <rFont val="Arial"/>
      </rPr>
      <t xml:space="preserve">әділетсіздігіңізбен</t>
    </r>
    <r>
      <rPr>
        <sz val="11"/>
        <color theme="1"/>
        <rFont val="Arial"/>
      </rPr>
      <t xml:space="preserve"> қоса, өзіңізді тым артық бағалап жібереді екенсіз
</t>
    </r>
    <r>
      <rPr>
        <b/>
        <sz val="11"/>
        <color theme="1"/>
        <rFont val="Arial"/>
      </rPr>
      <t xml:space="preserve">TRANS:</t>
    </r>
    <r>
      <rPr>
        <sz val="11"/>
        <color theme="1"/>
        <rFont val="Arial"/>
      </rPr>
      <t xml:space="preserve"> Sız </t>
    </r>
    <r>
      <rPr>
        <b/>
        <sz val="11"/>
        <color theme="1"/>
        <rFont val="Arial"/>
      </rPr>
      <t xml:space="preserve">ädıletsızdıgıñızben</t>
    </r>
    <r>
      <rPr>
        <sz val="11"/>
        <color theme="1"/>
        <rFont val="Arial"/>
      </rPr>
      <t xml:space="preserve"> qosa, özıñızdı tym artyq bağalap jıberedı ekensız
</t>
    </r>
    <r>
      <rPr>
        <b/>
        <sz val="11"/>
        <color theme="1"/>
        <rFont val="Arial"/>
      </rPr>
      <t xml:space="preserve">TRANSLATION:</t>
    </r>
    <r>
      <rPr>
        <sz val="11"/>
        <color theme="1"/>
        <rFont val="Arial"/>
      </rPr>
      <t xml:space="preserve"> In addition to your </t>
    </r>
    <r>
      <rPr>
        <b/>
        <sz val="11"/>
        <color theme="1"/>
        <rFont val="Arial"/>
      </rPr>
      <t xml:space="preserve">unjustness</t>
    </r>
    <r>
      <rPr>
        <sz val="11"/>
        <color theme="1"/>
        <rFont val="Arial"/>
      </rPr>
      <t xml:space="preserve">, it turns out you also overrate yourself excessively</t>
    </r>
  </si>
  <si>
    <t xml:space="preserve">Moral honor; absence of moral honor</t>
  </si>
  <si>
    <t xml:space="preserve">I know you've been physically faithful to me. Was that what you were trying to say? Oh, I've known that all along. All these years. How do I know? Oh, well, I know Ashley Wilkes and his breed. I know he is honorable and a gentleman. And that, my dear, is more than I can say for you—or for me, for that matter. We are not gentlemen and we have no honor, have we? That's why we flourish like green bay trees."</t>
  </si>
  <si>
    <t xml:space="preserve">TERM: poryadochnyy i blagorodnyy (порядочный и благородный) — decent and noble [ORD] (lemma: порядочный)
PASSAGE: blagorodstvo (благородство) = nobility Знаю, что он человек порядочный и благородный. Мы с вами благородством не отличаемся, и у нас нет понятия чести, верно?
TRANS: blagorodstvo (blagorodstvo) = nobility Znayu, chto on chelovek poryadochnyy i blagorodnyy. My s vami blagorodstvom ne otlichaemsya, i u nas net ponyatiya chesti, verno?
TRANSLATION: blagorodstvo = nobility. I know that he is decent and noble. You and I do not stand out for nobility, and we have no concept of honor, do we?</t>
  </si>
  <si>
    <r>
      <rPr>
        <b/>
        <sz val="11"/>
        <color theme="1"/>
        <rFont val="Arial"/>
      </rPr>
      <t xml:space="preserve">TERM:</t>
    </r>
    <r>
      <rPr>
        <sz val="11"/>
        <color theme="1"/>
        <rFont val="Arial"/>
      </rPr>
      <t xml:space="preserve"> ADAL (АДАЛ) — honest; faithful; pure; lawful (Arabic ḥalāl) [KED, SZK]
asyl (АСЫЛ) = noble; precious
</t>
    </r>
    <r>
      <rPr>
        <b/>
        <sz val="11"/>
        <color theme="1"/>
        <rFont val="Arial"/>
      </rPr>
      <t xml:space="preserve">PASSAGE:</t>
    </r>
    <r>
      <rPr>
        <sz val="11"/>
        <color theme="1"/>
        <rFont val="Arial"/>
      </rPr>
      <t xml:space="preserve"> Оның </t>
    </r>
    <r>
      <rPr>
        <b/>
        <sz val="11"/>
        <color theme="1"/>
        <rFont val="Arial"/>
      </rPr>
      <t xml:space="preserve">адал</t>
    </r>
    <r>
      <rPr>
        <sz val="11"/>
        <color theme="1"/>
        <rFont val="Arial"/>
      </rPr>
      <t xml:space="preserve"> һәм абзал жан екенін білемін. Біз асыл тегімізбен, абзал жүрегімізбен ерекшелене алмаймыз, бізде </t>
    </r>
    <r>
      <rPr>
        <b/>
        <sz val="11"/>
        <color theme="1"/>
        <rFont val="Arial"/>
      </rPr>
      <t xml:space="preserve">адалдық</t>
    </r>
    <r>
      <rPr>
        <sz val="11"/>
        <color theme="1"/>
        <rFont val="Arial"/>
      </rPr>
      <t xml:space="preserve"> деген түсінік жоқ қой, солай ма?
</t>
    </r>
    <r>
      <rPr>
        <b/>
        <sz val="11"/>
        <color theme="1"/>
        <rFont val="Arial"/>
      </rPr>
      <t xml:space="preserve">TRANS:</t>
    </r>
    <r>
      <rPr>
        <sz val="11"/>
        <color theme="1"/>
        <rFont val="Arial"/>
      </rPr>
      <t xml:space="preserve">  Onyñ </t>
    </r>
    <r>
      <rPr>
        <b/>
        <sz val="11"/>
        <color theme="1"/>
        <rFont val="Arial"/>
      </rPr>
      <t xml:space="preserve">adal</t>
    </r>
    <r>
      <rPr>
        <sz val="11"/>
        <color theme="1"/>
        <rFont val="Arial"/>
      </rPr>
      <t xml:space="preserve"> häm abzal jan ekenın bılemın. Bız asyl tegımızben, abzal jüregımızben erekşelene almaimyz, bızde adaldyq degen tüsınık joq qoi, solai ma?
</t>
    </r>
    <r>
      <rPr>
        <b/>
        <sz val="11"/>
        <color theme="1"/>
        <rFont val="Arial"/>
      </rPr>
      <t xml:space="preserve">TRANSLATION:</t>
    </r>
    <r>
      <rPr>
        <sz val="11"/>
        <color theme="1"/>
        <rFont val="Arial"/>
      </rPr>
      <t xml:space="preserve"> I know he is honest and </t>
    </r>
    <r>
      <rPr>
        <b/>
        <sz val="11"/>
        <color theme="1"/>
        <rFont val="Arial"/>
      </rPr>
      <t xml:space="preserve">noble</t>
    </r>
    <r>
      <rPr>
        <sz val="11"/>
        <color theme="1"/>
        <rFont val="Arial"/>
      </rPr>
      <t xml:space="preserve">. You and I cannot stand out by our </t>
    </r>
    <r>
      <rPr>
        <b/>
        <sz val="11"/>
        <color theme="1"/>
        <rFont val="Arial"/>
      </rPr>
      <t xml:space="preserve">noble</t>
    </r>
    <r>
      <rPr>
        <sz val="11"/>
        <color theme="1"/>
        <rFont val="Arial"/>
      </rPr>
      <t xml:space="preserve"> origin, by a </t>
    </r>
    <r>
      <rPr>
        <b/>
        <sz val="11"/>
        <color theme="1"/>
        <rFont val="Arial"/>
      </rPr>
      <t xml:space="preserve">noble</t>
    </r>
    <r>
      <rPr>
        <sz val="11"/>
        <color theme="1"/>
        <rFont val="Arial"/>
      </rPr>
      <t xml:space="preserve"> heart; we have no notion of honesty, isn't that so?</t>
    </r>
  </si>
  <si>
    <t xml:space="preserve">The words bubbled up faster than she could speak them. She could tell him. She could tell Rhett anything. He'd been so bad himself that he wouldn't sit in judgment on her. How wonderful to know someone who was bad and dishonorable and a cheat and a liar, when all the world was filled with people who would not lie to save their souls and who would rather starve than do a dishonorable deed!</t>
  </si>
  <si>
    <t xml:space="preserve">TERM: beschestnyy (бесчестный) — dishonourable; ignoble [ORD]
PASSAGE: А до чего же приятно знать, что существует на свете человек плохой и бесчестный, обманщик и лгун,
TRANS: A do chego zhe priyatno znat', chto sushchestvuet na svete chelovek plokhoy i beschestnyy, obmanshchik i lgun,
TRANSLATION: And how pleasant it is to know that there exists in the world a person bad and dishonorable, a deceiver and liar,</t>
  </si>
  <si>
    <r>
      <rPr>
        <b/>
        <sz val="11"/>
        <color theme="1"/>
        <rFont val="Arial"/>
      </rPr>
      <t xml:space="preserve">TERM:</t>
    </r>
    <r>
      <rPr>
        <sz val="11"/>
        <color theme="1"/>
        <rFont val="Arial"/>
      </rPr>
      <t xml:space="preserve"> ŪİATSYZ (ҰЯТСЫЗ) — shameless; without sense of shame [KED, SZK]
</t>
    </r>
    <r>
      <rPr>
        <b/>
        <sz val="11"/>
        <color theme="1"/>
        <rFont val="Arial"/>
      </rPr>
      <t xml:space="preserve">PASSAGE: ұятсыз</t>
    </r>
    <r>
      <rPr>
        <sz val="11"/>
        <color theme="1"/>
        <rFont val="Arial"/>
      </rPr>
      <t xml:space="preserve">, өтірікші, арсыз осындай адамдар да болатынын білу қандай ғанибет.</t>
    </r>
    <r>
      <rPr>
        <b/>
        <sz val="11"/>
        <color theme="1"/>
        <rFont val="Arial"/>
      </rPr>
      <t xml:space="preserve">
TRANS: ūiatsyz</t>
    </r>
    <r>
      <rPr>
        <sz val="11"/>
        <color theme="1"/>
        <rFont val="Arial"/>
      </rPr>
      <t xml:space="preserve">, ötırıkşı, arsyz osyndai adamdar da bolatynyn bılu qandai ğanibet.</t>
    </r>
    <r>
      <rPr>
        <b/>
        <sz val="11"/>
        <color theme="1"/>
        <rFont val="Arial"/>
      </rPr>
      <t xml:space="preserve">
TRANSLATION: </t>
    </r>
    <r>
      <rPr>
        <sz val="11"/>
        <color theme="1"/>
        <rFont val="Arial"/>
      </rPr>
      <t xml:space="preserve">How pleasant it is to know that there exists in the world such people — </t>
    </r>
    <r>
      <rPr>
        <b/>
        <sz val="11"/>
        <color theme="1"/>
        <rFont val="Arial"/>
      </rPr>
      <t xml:space="preserve">shameless</t>
    </r>
    <r>
      <rPr>
        <sz val="11"/>
        <color theme="1"/>
        <rFont val="Arial"/>
      </rPr>
      <t xml:space="preserve">, lying, dishonorable.</t>
    </r>
  </si>
  <si>
    <t xml:space="preserve">She loved him, scamp, blackguard, without scruple or honor—at least, honor as Ashley saw it. "Damn Ashley's honor!" she thought. "Ashley's honor has always let me down. Yes, from the very beginning when he kept on coming to see me, even though he knew his family expected him to marry Melanie. Rhett has never let me down, even that dreadful night of Melly's reception when he ought to have wrung my neck. –</t>
  </si>
  <si>
    <t xml:space="preserve">Rhett-Ashley</t>
  </si>
  <si>
    <t xml:space="preserve">TERM: bez chesti i sovesti (без чести и совести) — without honour or conscience (set phrase) [ORD] (lemma: честь)
PASSAGE: Она любила его — негодяя, мерзавца, человека без чести и совести, во всяком случае в том смысле, в каком Эшли понимал честь.
TRANS: Ona lyubila ego — negodyaya, merzavtsa, cheloveka bez chesti i sovesti, vo vsyakom sluchae v tom smysle, v kakom Eshli ponimal chest'.
TRANSLATION: She loved him — a scoundrel, a villain, a man without honor or conscience, at any rate in the sense in which Ashley understood honor.</t>
  </si>
  <si>
    <r>
      <rPr>
        <b/>
        <sz val="11"/>
        <color theme="1"/>
        <rFont val="Arial"/>
      </rPr>
      <t xml:space="preserve">TERM:</t>
    </r>
    <r>
      <rPr>
        <sz val="11"/>
        <color theme="1"/>
        <rFont val="Arial"/>
      </rPr>
      <t xml:space="preserve"> AR (АР) — honour; conscience; inalienable inner moral principle [KED, SZK]
ADALDYQ (АДАЛДЫҚ)
ADAMŞYLYQ (АДАМШЫЛЫҚ)
ŪİAT (ҰЯТ)
</t>
    </r>
    <r>
      <rPr>
        <b/>
        <sz val="11"/>
        <color theme="1"/>
        <rFont val="Arial"/>
      </rPr>
      <t xml:space="preserve">PASSAGE:</t>
    </r>
    <r>
      <rPr>
        <sz val="11"/>
        <color theme="1"/>
        <rFont val="Arial"/>
      </rPr>
      <t xml:space="preserve"> Ол соны - оңбағанды, жексұрынды, </t>
    </r>
    <r>
      <rPr>
        <b/>
        <sz val="11"/>
        <color theme="1"/>
        <rFont val="Arial"/>
      </rPr>
      <t xml:space="preserve">ары</t>
    </r>
    <r>
      <rPr>
        <sz val="11"/>
        <color theme="1"/>
        <rFont val="Arial"/>
      </rPr>
      <t xml:space="preserve"> мен </t>
    </r>
    <r>
      <rPr>
        <b/>
        <sz val="11"/>
        <color theme="1"/>
        <rFont val="Arial"/>
      </rPr>
      <t xml:space="preserve">ұяты</t>
    </r>
    <r>
      <rPr>
        <sz val="11"/>
        <color theme="1"/>
        <rFont val="Arial"/>
      </rPr>
      <t xml:space="preserve"> жоқ адамды, өз пайымдауынша, Эшли қандай адам деп ойлауы мүмкін болса, сондай адамды сүйетін. "Барсыншы әрі сол Эшли, өзінің </t>
    </r>
    <r>
      <rPr>
        <b/>
        <sz val="11"/>
        <color theme="1"/>
        <rFont val="Arial"/>
      </rPr>
      <t xml:space="preserve">адалдығымен</t>
    </r>
    <r>
      <rPr>
        <sz val="11"/>
        <color theme="1"/>
        <rFont val="Arial"/>
      </rPr>
      <t xml:space="preserve">, </t>
    </r>
    <r>
      <rPr>
        <b/>
        <sz val="11"/>
        <color theme="1"/>
        <rFont val="Arial"/>
      </rPr>
      <t xml:space="preserve">адамшылық</t>
    </r>
    <r>
      <rPr>
        <sz val="11"/>
        <color theme="1"/>
        <rFont val="Arial"/>
      </rPr>
      <t xml:space="preserve"> туралы түсініктерімен мені шатастырып бітті, сатып кетті.
</t>
    </r>
    <r>
      <rPr>
        <b/>
        <sz val="11"/>
        <color theme="1"/>
        <rFont val="Arial"/>
      </rPr>
      <t xml:space="preserve">TRANS:</t>
    </r>
    <r>
      <rPr>
        <sz val="11"/>
        <color theme="1"/>
        <rFont val="Arial"/>
      </rPr>
      <t xml:space="preserve"> Ol sony - oñbağandy, jeksūryndy, </t>
    </r>
    <r>
      <rPr>
        <b/>
        <sz val="11"/>
        <color theme="1"/>
        <rFont val="Arial"/>
      </rPr>
      <t xml:space="preserve">ary</t>
    </r>
    <r>
      <rPr>
        <sz val="11"/>
        <color theme="1"/>
        <rFont val="Arial"/>
      </rPr>
      <t xml:space="preserve"> men </t>
    </r>
    <r>
      <rPr>
        <b/>
        <sz val="11"/>
        <color theme="1"/>
        <rFont val="Arial"/>
      </rPr>
      <t xml:space="preserve">ūiaty</t>
    </r>
    <r>
      <rPr>
        <sz val="11"/>
        <color theme="1"/>
        <rFont val="Arial"/>
      </rPr>
      <t xml:space="preserve"> joq adamdy, öz paiymdauynşa, Eşli qandai adam dep oilauy mümkın bolsa, sondai adamdy süietın. "Barsynşy ärı sol Eşli, özınıñ </t>
    </r>
    <r>
      <rPr>
        <b/>
        <sz val="11"/>
        <color theme="1"/>
        <rFont val="Arial"/>
      </rPr>
      <t xml:space="preserve">adaldyğymen</t>
    </r>
    <r>
      <rPr>
        <sz val="11"/>
        <color theme="1"/>
        <rFont val="Arial"/>
      </rPr>
      <t xml:space="preserve">, </t>
    </r>
    <r>
      <rPr>
        <b/>
        <sz val="11"/>
        <color theme="1"/>
        <rFont val="Arial"/>
      </rPr>
      <t xml:space="preserve">adamşylyq</t>
    </r>
    <r>
      <rPr>
        <sz val="11"/>
        <color theme="1"/>
        <rFont val="Arial"/>
      </rPr>
      <t xml:space="preserve"> turaly tüsınıkterımen menı şatastyryp bıttı, satyp kettı.
</t>
    </r>
    <r>
      <rPr>
        <b/>
        <sz val="11"/>
        <color theme="1"/>
        <rFont val="Arial"/>
      </rPr>
      <t xml:space="preserve">TRANSLATION:</t>
    </r>
    <r>
      <rPr>
        <sz val="11"/>
        <color theme="1"/>
        <rFont val="Arial"/>
      </rPr>
      <t xml:space="preserve"> She loved such a man—a scoundrel, a vile creature, a person without </t>
    </r>
    <r>
      <rPr>
        <b/>
        <sz val="11"/>
        <color theme="1"/>
        <rFont val="Arial"/>
      </rPr>
      <t xml:space="preserve">honor</t>
    </r>
    <r>
      <rPr>
        <sz val="11"/>
        <color theme="1"/>
        <rFont val="Arial"/>
      </rPr>
      <t xml:space="preserve"> or </t>
    </r>
    <r>
      <rPr>
        <b/>
        <sz val="11"/>
        <color theme="1"/>
        <rFont val="Arial"/>
      </rPr>
      <t xml:space="preserve">shame</t>
    </r>
    <r>
      <rPr>
        <sz val="11"/>
        <color theme="1"/>
        <rFont val="Arial"/>
      </rPr>
      <t xml:space="preserve">—exactly the kind of man Ashley, in her judgment, might have thought him to be. “Let him go, and that Ashley too—he has completely confused me and betrayed me with his notions of </t>
    </r>
    <r>
      <rPr>
        <b/>
        <sz val="11"/>
        <color theme="1"/>
        <rFont val="Arial"/>
      </rPr>
      <t xml:space="preserve">honesty</t>
    </r>
    <r>
      <rPr>
        <sz val="11"/>
        <color theme="1"/>
        <rFont val="Arial"/>
      </rPr>
      <t xml:space="preserve"> and </t>
    </r>
    <r>
      <rPr>
        <b/>
        <sz val="11"/>
        <color theme="1"/>
        <rFont val="Arial"/>
      </rPr>
      <t xml:space="preserve">humanity</t>
    </r>
    <r>
      <rPr>
        <sz val="11"/>
        <color theme="1"/>
        <rFont val="Arial"/>
      </rPr>
      <t xml:space="preserve">.”</t>
    </r>
  </si>
  <si>
    <t xml:space="preserve">Honor — Undifferentiated honor</t>
  </si>
  <si>
    <t xml:space="preserve">Undifferentiated honor</t>
  </si>
  <si>
    <t xml:space="preserve">If it killed him, he would never leave Melanie. If he burned for Scarlett until the end of his days, he would never take her and he would fight to keep her at a distance. She would never again get through that armor. The words, hospitality and loyalty and honor, meant more to him than she did.</t>
  </si>
  <si>
    <r>
      <rPr>
        <b/>
        <sz val="11"/>
        <color theme="1"/>
        <rFont val="Arial"/>
      </rPr>
      <t xml:space="preserve">TERM:</t>
    </r>
    <r>
      <rPr>
        <sz val="11"/>
        <color theme="1"/>
        <rFont val="Arial"/>
      </rPr>
      <t xml:space="preserve"> ABYROİ (АБЫРОЙ) — dignity; prestige; public standing; reputation (Arabic-Persian loan) [KED, SZK]
ar men iba (ар мен иба) = conscience and modesty 
</t>
    </r>
    <r>
      <rPr>
        <b/>
        <sz val="11"/>
        <color theme="1"/>
        <rFont val="Arial"/>
      </rPr>
      <t xml:space="preserve">PASSAGE:</t>
    </r>
    <r>
      <rPr>
        <sz val="11"/>
        <color theme="1"/>
        <rFont val="Arial"/>
      </rPr>
      <t xml:space="preserve"> "Қонақжайлылық", "</t>
    </r>
    <r>
      <rPr>
        <b/>
        <sz val="11"/>
        <color theme="1"/>
        <rFont val="Arial"/>
      </rPr>
      <t xml:space="preserve">абырой</t>
    </r>
    <r>
      <rPr>
        <sz val="11"/>
        <color theme="1"/>
        <rFont val="Arial"/>
      </rPr>
      <t xml:space="preserve">", "</t>
    </r>
    <r>
      <rPr>
        <b/>
        <sz val="11"/>
        <color theme="1"/>
        <rFont val="Arial"/>
      </rPr>
      <t xml:space="preserve">ар мен иба</t>
    </r>
    <r>
      <rPr>
        <sz val="11"/>
        <color theme="1"/>
        <rFont val="Arial"/>
      </rPr>
      <t xml:space="preserve">" дегендерді бұдан биік ұстайды.
</t>
    </r>
    <r>
      <rPr>
        <b/>
        <sz val="11"/>
        <color theme="1"/>
        <rFont val="Arial"/>
      </rPr>
      <t xml:space="preserve">TRANS:</t>
    </r>
    <r>
      <rPr>
        <sz val="11"/>
        <color theme="1"/>
        <rFont val="Arial"/>
      </rPr>
      <t xml:space="preserve"> "Qonaqjailylyq", "</t>
    </r>
    <r>
      <rPr>
        <b/>
        <sz val="11"/>
        <color theme="1"/>
        <rFont val="Arial"/>
      </rPr>
      <t xml:space="preserve">abyroi</t>
    </r>
    <r>
      <rPr>
        <sz val="11"/>
        <color theme="1"/>
        <rFont val="Arial"/>
      </rPr>
      <t xml:space="preserve">", "</t>
    </r>
    <r>
      <rPr>
        <b/>
        <sz val="11"/>
        <color theme="1"/>
        <rFont val="Arial"/>
      </rPr>
      <t xml:space="preserve">ar men iba</t>
    </r>
    <r>
      <rPr>
        <sz val="11"/>
        <color theme="1"/>
        <rFont val="Arial"/>
      </rPr>
      <t xml:space="preserve">" degenderdı būdan biık ūstaidy.
</t>
    </r>
    <r>
      <rPr>
        <b/>
        <sz val="11"/>
        <color theme="1"/>
        <rFont val="Arial"/>
      </rPr>
      <t xml:space="preserve">TRANSLATION:</t>
    </r>
    <r>
      <rPr>
        <sz val="11"/>
        <color theme="1"/>
        <rFont val="Arial"/>
      </rPr>
      <t xml:space="preserve"> He values "hospitality", "</t>
    </r>
    <r>
      <rPr>
        <b/>
        <sz val="11"/>
        <color theme="1"/>
        <rFont val="Arial"/>
      </rPr>
      <t xml:space="preserve">dignity</t>
    </r>
    <r>
      <rPr>
        <sz val="11"/>
        <color theme="1"/>
        <rFont val="Arial"/>
      </rPr>
      <t xml:space="preserve">", and "</t>
    </r>
    <r>
      <rPr>
        <b/>
        <sz val="11"/>
        <color theme="1"/>
        <rFont val="Arial"/>
      </rPr>
      <t xml:space="preserve">conscience</t>
    </r>
    <r>
      <rPr>
        <sz val="11"/>
        <color theme="1"/>
        <rFont val="Arial"/>
      </rPr>
      <t xml:space="preserve"> and </t>
    </r>
    <r>
      <rPr>
        <b/>
        <sz val="11"/>
        <color theme="1"/>
        <rFont val="Arial"/>
      </rPr>
      <t xml:space="preserve">modesty</t>
    </r>
    <r>
      <rPr>
        <sz val="11"/>
        <color theme="1"/>
        <rFont val="Arial"/>
      </rPr>
      <t xml:space="preserve">" higher than this.</t>
    </r>
  </si>
  <si>
    <t xml:space="preserve">In accordance with honor</t>
  </si>
  <si>
    <t xml:space="preserve">"I bare my soul and you are suspicious! No, Scarlett, this is a bona fide honorable declaration. I admit that it's not in the best of taste, coming at this time, but I have a very good excuse for my lack of breeding. I'm going away tomorrow for a long time and I fear that if I wait till I return you'll have married some one else with a little money. So I thought, why not me and my money? Really, Scarlett, I can't go all my life, waiting to catch you between husbands."</t>
  </si>
  <si>
    <t xml:space="preserve">TERM: chestnoe predlozhenie. (честное предложение.) = honest declaration
PASSAGE: Нет, Скарлетт, это bonа fide честное предложение.
TRANS: Net, Skarlett, eto bona fide chestnoe predlozhenie.
TRANSLATION: No, Scarlett, this is bona fide an honest proposal.</t>
  </si>
  <si>
    <r>
      <rPr>
        <b/>
        <sz val="11"/>
        <color theme="1"/>
        <rFont val="Arial"/>
      </rPr>
      <t xml:space="preserve">TERM:</t>
    </r>
    <r>
      <rPr>
        <sz val="11"/>
        <color theme="1"/>
        <rFont val="Arial"/>
      </rPr>
      <t xml:space="preserve"> ADAL ŪİAT(АДАЛ ҰЯТ) — honest shame/conscience; pure inner uprightness [KED, SZK] (lemma: ұят)
</t>
    </r>
    <r>
      <rPr>
        <b/>
        <sz val="11"/>
        <color theme="1"/>
        <rFont val="Arial"/>
      </rPr>
      <t xml:space="preserve">PASSAGE:</t>
    </r>
    <r>
      <rPr>
        <sz val="11"/>
        <color theme="1"/>
        <rFont val="Arial"/>
      </rPr>
      <t xml:space="preserve"> Жоқ, Скарлетт, </t>
    </r>
    <r>
      <rPr>
        <b/>
        <sz val="11"/>
        <color theme="1"/>
        <rFont val="Arial"/>
      </rPr>
      <t xml:space="preserve">адал ұятымның</t>
    </r>
    <r>
      <rPr>
        <sz val="11"/>
        <color theme="1"/>
        <rFont val="Arial"/>
      </rPr>
      <t xml:space="preserve"> шын ұсынысы.
</t>
    </r>
    <r>
      <rPr>
        <b/>
        <sz val="11"/>
        <color theme="1"/>
        <rFont val="Arial"/>
      </rPr>
      <t xml:space="preserve">TRANS:</t>
    </r>
    <r>
      <rPr>
        <sz val="11"/>
        <color theme="1"/>
        <rFont val="Arial"/>
      </rPr>
      <t xml:space="preserve"> Joq, Skarlett, </t>
    </r>
    <r>
      <rPr>
        <b/>
        <sz val="11"/>
        <color theme="1"/>
        <rFont val="Arial"/>
      </rPr>
      <t xml:space="preserve">adal ūiatymnyñ </t>
    </r>
    <r>
      <rPr>
        <sz val="11"/>
        <color theme="1"/>
        <rFont val="Arial"/>
      </rPr>
      <t xml:space="preserve">şyn ūsynysy.
</t>
    </r>
    <r>
      <rPr>
        <b/>
        <sz val="11"/>
        <color theme="1"/>
        <rFont val="Arial"/>
      </rPr>
      <t xml:space="preserve">TRANSLATION:</t>
    </r>
    <r>
      <rPr>
        <sz val="11"/>
        <color theme="1"/>
        <rFont val="Arial"/>
      </rPr>
      <t xml:space="preserve"> No, Scarlett, it is the sincere proposal of my honest </t>
    </r>
    <r>
      <rPr>
        <b/>
        <sz val="11"/>
        <color theme="1"/>
        <rFont val="Arial"/>
      </rPr>
      <t xml:space="preserve">conscience</t>
    </r>
    <r>
      <rPr>
        <sz val="11"/>
        <color theme="1"/>
        <rFont val="Arial"/>
      </rPr>
      <t xml:space="preserve">.</t>
    </r>
  </si>
  <si>
    <t xml:space="preserve">Gone with the Wind — moral-emotion corpus: counts</t>
  </si>
  <si>
    <t xml:space="preserve">Dual-character tokens (#23, #128, #229) are counted under each of their two characters; token totals count each token once via the Token column.</t>
  </si>
  <si>
    <t xml:space="preserve">Tokens by English word (domain)</t>
  </si>
  <si>
    <t xml:space="preserve">English word</t>
  </si>
  <si>
    <t xml:space="preserve">Tokens</t>
  </si>
  <si>
    <t xml:space="preserve">Shame</t>
  </si>
  <si>
    <t xml:space="preserve">Guilt</t>
  </si>
  <si>
    <t xml:space="preserve">Conscience</t>
  </si>
  <si>
    <t xml:space="preserve">Honor</t>
  </si>
  <si>
    <t xml:space="preserve">Total</t>
  </si>
  <si>
    <t xml:space="preserve">Tokens by English word × Part of novel (the arc)</t>
  </si>
  <si>
    <t xml:space="preserve">Tokens by character × English word  (dual tokens counted under each character)</t>
  </si>
  <si>
    <t xml:space="preserve">Principal characters — counts</t>
  </si>
  <si>
    <t xml:space="preserve">The four central characters. Dual-character tokens (#23, #128, #229) are counted under each of their two characters, so the four character rows sum to 190; the distinct-token count is 187.</t>
  </si>
  <si>
    <t xml:space="preserve">By English word (domain)</t>
  </si>
  <si>
    <t xml:space="preserve">Distinct tokens</t>
  </si>
  <si>
    <t xml:space="preserve">By Part of the novel (the arc)</t>
  </si>
  <si>
    <t xml:space="preserve">SHAME — 104 tokens</t>
  </si>
  <si>
    <t xml:space="preserve">Shame: subtype × part of novel (arc)</t>
  </si>
  <si>
    <t xml:space="preserve">Subtype</t>
  </si>
  <si>
    <t xml:space="preserve">Moral shame</t>
  </si>
  <si>
    <t xml:space="preserve">Social shame</t>
  </si>
  <si>
    <t xml:space="preserve">Illocutionary shame (shaming)</t>
  </si>
  <si>
    <t xml:space="preserve">Absent shame</t>
  </si>
  <si>
    <t xml:space="preserve">Performed / ironic shame</t>
  </si>
  <si>
    <t xml:space="preserve">Absent social shame</t>
  </si>
  <si>
    <t xml:space="preserve">Social shame (somatic expression)</t>
  </si>
  <si>
    <t xml:space="preserve">Social shame (about the body)</t>
  </si>
  <si>
    <t xml:space="preserve">Absent moral shame</t>
  </si>
  <si>
    <t xml:space="preserve">Absent social shame (about the body)</t>
  </si>
  <si>
    <t xml:space="preserve">Shame as verdict</t>
  </si>
  <si>
    <t xml:space="preserve">Shame: subtype × character   (dual tokens counted under each principal; Tokens = distinct count)</t>
  </si>
  <si>
    <t xml:space="preserve">Other</t>
  </si>
  <si>
    <t xml:space="preserve">GUILT — 31 tokens</t>
  </si>
  <si>
    <t xml:space="preserve">Guilt: subtype × part of novel (arc)</t>
  </si>
  <si>
    <t xml:space="preserve">Felt guilt</t>
  </si>
  <si>
    <t xml:space="preserve">Guilt as deed</t>
  </si>
  <si>
    <t xml:space="preserve">Felt guilt (guilty pleasure)</t>
  </si>
  <si>
    <t xml:space="preserve">Felt guilt (guilty conscience)</t>
  </si>
  <si>
    <t xml:space="preserve">Guilt as tormentor</t>
  </si>
  <si>
    <t xml:space="preserve">Guilt as weight</t>
  </si>
  <si>
    <t xml:space="preserve">Guilt: subtype × character   (dual tokens counted under each principal; Tokens = distinct count)</t>
  </si>
  <si>
    <t xml:space="preserve">CONSCIENCE — 39 tokens</t>
  </si>
  <si>
    <t xml:space="preserve">Conscience: subtype × part of novel (arc)</t>
  </si>
  <si>
    <t xml:space="preserve">Internal authority (advisor / opponent)</t>
  </si>
  <si>
    <t xml:space="preserve">Absent reaction</t>
  </si>
  <si>
    <t xml:space="preserve">Tormentor / punisher</t>
  </si>
  <si>
    <t xml:space="preserve">Weight</t>
  </si>
  <si>
    <t xml:space="preserve">Dormant / waking creature</t>
  </si>
  <si>
    <t xml:space="preserve">General faculty</t>
  </si>
  <si>
    <t xml:space="preserve">Object (stretchable)</t>
  </si>
  <si>
    <t xml:space="preserve">Resource</t>
  </si>
  <si>
    <t xml:space="preserve">Object (clean / unclean)</t>
  </si>
  <si>
    <t xml:space="preserve">Internal authority (judge)</t>
  </si>
  <si>
    <t xml:space="preserve">Conscience: subtype × character   (dual tokens counted under each principal; Tokens = distinct count)</t>
  </si>
  <si>
    <t xml:space="preserve">HONOR — 57 tokens</t>
  </si>
  <si>
    <t xml:space="preserve">Honor: subtype × part of novel (arc)</t>
  </si>
  <si>
    <t xml:space="preserve">Reputation / standing</t>
  </si>
  <si>
    <t xml:space="preserve">Tribute / glory</t>
  </si>
  <si>
    <t xml:space="preserve">Ironic / mocked</t>
  </si>
  <si>
    <t xml:space="preserve">Absent / dishonor</t>
  </si>
  <si>
    <t xml:space="preserve">Nobility of character</t>
  </si>
  <si>
    <t xml:space="preserve">Honor: subtype × character   (dual tokens counted under each principal; Tokens = distinct count)</t>
  </si>
  <si>
    <t xml:space="preserve">Russian renderings: how each subtype (frame) is rendered, with counts</t>
  </si>
  <si>
    <t xml:space="preserve">Rendering (lemma / form; bracketed = paraphrase/omission)</t>
  </si>
  <si>
    <t xml:space="preserve">Count</t>
  </si>
  <si>
    <t xml:space="preserve">стеснение</t>
  </si>
  <si>
    <t xml:space="preserve">стыд</t>
  </si>
  <si>
    <t xml:space="preserve">угрызение</t>
  </si>
  <si>
    <t xml:space="preserve">стыдиться</t>
  </si>
  <si>
    <t xml:space="preserve">[paraphrase / no single-word equivalent]</t>
  </si>
  <si>
    <t xml:space="preserve">Смутить</t>
  </si>
  <si>
    <t xml:space="preserve">бесстыдно</t>
  </si>
  <si>
    <t xml:space="preserve">бесстыдство</t>
  </si>
  <si>
    <t xml:space="preserve">зазрение</t>
  </si>
  <si>
    <t xml:space="preserve">осуждать</t>
  </si>
  <si>
    <t xml:space="preserve">пристыдить</t>
  </si>
  <si>
    <t xml:space="preserve">стесняться</t>
  </si>
  <si>
    <t xml:space="preserve">стыдно</t>
  </si>
  <si>
    <t xml:space="preserve">устыдиться</t>
  </si>
  <si>
    <t xml:space="preserve">постыдный</t>
  </si>
  <si>
    <t xml:space="preserve">изъян</t>
  </si>
  <si>
    <t xml:space="preserve">позор</t>
  </si>
  <si>
    <t xml:space="preserve">постыдиться</t>
  </si>
  <si>
    <t xml:space="preserve">совестно</t>
  </si>
  <si>
    <t xml:space="preserve">опозоренный</t>
  </si>
  <si>
    <t xml:space="preserve">опозорить</t>
  </si>
  <si>
    <t xml:space="preserve">сгорать со стыда!</t>
  </si>
  <si>
    <t xml:space="preserve">стыдить</t>
  </si>
  <si>
    <t xml:space="preserve">посрамить</t>
  </si>
  <si>
    <t xml:space="preserve">пристыженный</t>
  </si>
  <si>
    <t xml:space="preserve">слеза</t>
  </si>
  <si>
    <t xml:space="preserve">Стыдно</t>
  </si>
  <si>
    <t xml:space="preserve">сгорать</t>
  </si>
  <si>
    <t xml:space="preserve">смутить</t>
  </si>
  <si>
    <t xml:space="preserve">смущенно</t>
  </si>
  <si>
    <t xml:space="preserve">смущенный</t>
  </si>
  <si>
    <t xml:space="preserve">унижение</t>
  </si>
  <si>
    <t xml:space="preserve">мука</t>
  </si>
  <si>
    <t xml:space="preserve">смутиться</t>
  </si>
  <si>
    <t xml:space="preserve">Зардевшись от смущения,</t>
  </si>
  <si>
    <t xml:space="preserve">обида</t>
  </si>
  <si>
    <t xml:space="preserve">сгорая от стыда.</t>
  </si>
  <si>
    <t xml:space="preserve">вина</t>
  </si>
  <si>
    <t xml:space="preserve">провиниться</t>
  </si>
  <si>
    <t xml:space="preserve">совесть</t>
  </si>
  <si>
    <t xml:space="preserve">виновато</t>
  </si>
  <si>
    <t xml:space="preserve">виноватый</t>
  </si>
  <si>
    <t xml:space="preserve">угрызения совести.</t>
  </si>
  <si>
    <t xml:space="preserve">нашкодить</t>
  </si>
  <si>
    <t xml:space="preserve">повинный</t>
  </si>
  <si>
    <t xml:space="preserve">согрешить</t>
  </si>
  <si>
    <t xml:space="preserve">раскаяние</t>
  </si>
  <si>
    <t xml:space="preserve">грешный</t>
  </si>
  <si>
    <t xml:space="preserve">сознание</t>
  </si>
  <si>
    <t xml:space="preserve">сомнение</t>
  </si>
  <si>
    <t xml:space="preserve">Совесть</t>
  </si>
  <si>
    <t xml:space="preserve">засовеститься</t>
  </si>
  <si>
    <t xml:space="preserve">угрызения совести:</t>
  </si>
  <si>
    <t xml:space="preserve">принизить</t>
  </si>
  <si>
    <t xml:space="preserve">бесчестный</t>
  </si>
  <si>
    <t xml:space="preserve">порядочный</t>
  </si>
  <si>
    <t xml:space="preserve">унизительно</t>
  </si>
  <si>
    <t xml:space="preserve">честь</t>
  </si>
  <si>
    <t xml:space="preserve">порядочность</t>
  </si>
  <si>
    <t xml:space="preserve">почтенный</t>
  </si>
  <si>
    <t xml:space="preserve">чтимый</t>
  </si>
  <si>
    <t xml:space="preserve">благородный</t>
  </si>
  <si>
    <t xml:space="preserve">уважать</t>
  </si>
  <si>
    <t xml:space="preserve">, честной, правдивой</t>
  </si>
  <si>
    <t xml:space="preserve">о правде, и о чести,</t>
  </si>
  <si>
    <t xml:space="preserve">понятие</t>
  </si>
  <si>
    <t xml:space="preserve">честный</t>
  </si>
  <si>
    <t xml:space="preserve">благородство</t>
  </si>
  <si>
    <t xml:space="preserve">без малейшего ущемления своей гордости.</t>
  </si>
  <si>
    <t xml:space="preserve">высокочтимый</t>
  </si>
  <si>
    <t xml:space="preserve">многоуважаемый</t>
  </si>
  <si>
    <t xml:space="preserve">соображение</t>
  </si>
  <si>
    <t xml:space="preserve">почести</t>
  </si>
  <si>
    <t xml:space="preserve">честное предложение.</t>
  </si>
  <si>
    <t xml:space="preserve">Kazakh renderings: how each subtype (frame) is rendered, with counts</t>
  </si>
  <si>
    <t xml:space="preserve">QYMSYNU</t>
  </si>
  <si>
    <t xml:space="preserve">ŪİAT</t>
  </si>
  <si>
    <t xml:space="preserve">ŪİALU</t>
  </si>
  <si>
    <t xml:space="preserve">QYSYLU</t>
  </si>
  <si>
    <t xml:space="preserve">KINÄLAU</t>
  </si>
  <si>
    <t xml:space="preserve">ŪİALTU</t>
  </si>
  <si>
    <t xml:space="preserve">ŪİATSYZDYQ</t>
  </si>
  <si>
    <t xml:space="preserve">KEMŞILIK</t>
  </si>
  <si>
    <t xml:space="preserve">MASQARA</t>
  </si>
  <si>
    <t xml:space="preserve">DÄRMENSIZ</t>
  </si>
  <si>
    <t xml:space="preserve">KÜLKI</t>
  </si>
  <si>
    <t xml:space="preserve">SALMAQ</t>
  </si>
  <si>
    <t xml:space="preserve">KÜNÄ</t>
  </si>
  <si>
    <t xml:space="preserve">QOLAYSYZ</t>
  </si>
  <si>
    <t xml:space="preserve">kınä men künä</t>
  </si>
  <si>
    <t xml:space="preserve">ÖKINU</t>
  </si>
  <si>
    <t xml:space="preserve">yñğaisyz</t>
  </si>
  <si>
    <t xml:space="preserve">ŪİATTY</t>
  </si>
  <si>
    <t xml:space="preserve">KÜİE</t>
  </si>
  <si>
    <t xml:space="preserve">AÑYRAU</t>
  </si>
  <si>
    <t xml:space="preserve">NAZAR</t>
  </si>
  <si>
    <t xml:space="preserve">QYSAS</t>
  </si>
  <si>
    <t xml:space="preserve">TÜR</t>
  </si>
  <si>
    <t xml:space="preserve">AZAPTY</t>
  </si>
  <si>
    <t xml:space="preserve">ÖKINIŞ</t>
  </si>
  <si>
    <t xml:space="preserve">KINÄLY</t>
  </si>
  <si>
    <t xml:space="preserve">AR-OJDAN</t>
  </si>
  <si>
    <t xml:space="preserve">AİYPTY sezım</t>
  </si>
  <si>
    <t xml:space="preserve">JAZYQTY</t>
  </si>
  <si>
    <t xml:space="preserve">künä</t>
  </si>
  <si>
    <t xml:space="preserve">ūial-</t>
  </si>
  <si>
    <t xml:space="preserve">AR</t>
  </si>
  <si>
    <t xml:space="preserve">BEİKÜNÄ</t>
  </si>
  <si>
    <t xml:space="preserve">DIN</t>
  </si>
  <si>
    <t xml:space="preserve">KINÄ</t>
  </si>
  <si>
    <t xml:space="preserve">būzyq</t>
  </si>
  <si>
    <t xml:space="preserve">kökıregındegı zapyranyn</t>
  </si>
  <si>
    <t xml:space="preserve">AR-ŪİAT</t>
  </si>
  <si>
    <t xml:space="preserve">JÜREK</t>
  </si>
  <si>
    <t xml:space="preserve">kümän</t>
  </si>
  <si>
    <t xml:space="preserve">ar</t>
  </si>
  <si>
    <t xml:space="preserve">ADAL</t>
  </si>
  <si>
    <t xml:space="preserve">QORLYQ</t>
  </si>
  <si>
    <t xml:space="preserve">ädıletsızdık</t>
  </si>
  <si>
    <t xml:space="preserve">ŪİATsyz</t>
  </si>
  <si>
    <t xml:space="preserve">ABYROİ</t>
  </si>
  <si>
    <t xml:space="preserve">ADAMGERŞILIK</t>
  </si>
  <si>
    <t xml:space="preserve">ARDAQTAU</t>
  </si>
  <si>
    <t xml:space="preserve">qūrmettı</t>
  </si>
  <si>
    <t xml:space="preserve">AR-NAMYS</t>
  </si>
  <si>
    <t xml:space="preserve">ASYL</t>
  </si>
  <si>
    <t xml:space="preserve">BEKZAT adam</t>
  </si>
  <si>
    <t xml:space="preserve">bekzat bolmysty asqaq tabiğaty</t>
  </si>
  <si>
    <t xml:space="preserve">ÄDEPTILIK</t>
  </si>
  <si>
    <t xml:space="preserve">ädıletsız</t>
  </si>
  <si>
    <t xml:space="preserve">şynşyl, adal</t>
  </si>
  <si>
    <t xml:space="preserve">Janynyñ asyldyğy, päktıgı</t>
  </si>
  <si>
    <t xml:space="preserve">QADIRLI</t>
  </si>
  <si>
    <t xml:space="preserve">abyroi</t>
  </si>
  <si>
    <t xml:space="preserve">adal AR</t>
  </si>
  <si>
    <t xml:space="preserve">QŪRMET</t>
  </si>
  <si>
    <t xml:space="preserve">ADAL ŪİAT</t>
  </si>
  <si>
    <t xml:space="preserve">Domain</t>
  </si>
  <si>
    <t xml:space="preserve">Russian rendering</t>
  </si>
  <si>
    <t xml:space="preserve">Kazakh rendering</t>
  </si>
  <si>
    <t xml:space="preserve">Token</t>
  </si>
  <si>
    <t xml:space="preserve">IsPrincipal</t>
  </si>
  <si>
    <t xml:space="preserve">QOLAİSYZ</t>
  </si>
  <si>
    <t xml:space="preserve">KINÄ MEN KÜNÄ</t>
  </si>
  <si>
    <t xml:space="preserve">SALMAĞY</t>
  </si>
  <si>
    <t xml:space="preserve">YÑĞAİSYZ</t>
  </si>
  <si>
    <t xml:space="preserve">KINÄLI</t>
  </si>
  <si>
    <t xml:space="preserve">ŪİAL-</t>
  </si>
  <si>
    <t xml:space="preserve">KÖKIREGINDEGI ZAPYRANYN</t>
  </si>
  <si>
    <t xml:space="preserve">AİYPTY SEZIM</t>
  </si>
  <si>
    <t xml:space="preserve">BŪZYQ</t>
  </si>
  <si>
    <t xml:space="preserve">KÜMÄN</t>
  </si>
  <si>
    <t xml:space="preserve">JANYNYÑ ASYLDYĞY, PÄKTIGI</t>
  </si>
  <si>
    <t xml:space="preserve">ŞYNŞYL, ADAL</t>
  </si>
  <si>
    <t xml:space="preserve">QŪRMETTI</t>
  </si>
  <si>
    <t xml:space="preserve">ÄDILETSIZ</t>
  </si>
  <si>
    <t xml:space="preserve">ADAL AR</t>
  </si>
  <si>
    <t xml:space="preserve">BEKZAT BOLMYSTYÑ ASQAQ TABİĞATY</t>
  </si>
  <si>
    <t xml:space="preserve">BEKZAT ADAM</t>
  </si>
  <si>
    <t xml:space="preserve">ÄDILETSIZDIK</t>
  </si>
  <si>
    <t xml:space="preserve">ŪİATSYZ</t>
  </si>
  <si>
    <r>
      <rPr>
        <rFont val="Arial"/>
        <sz val="10"/>
        <b/>
      </rPr>
      <t>TERM:</t>
    </r>
    <r>
      <rPr>
        <rFont val="Arial"/>
        <sz val="10"/>
      </rPr>
      <t xml:space="preserve"> pristydit' (пристыдить) — to put to shame, to shame (someone) [ORD]
</t>
    </r>
    <r>
      <rPr>
        <rFont val="Arial"/>
        <sz val="10"/>
        <b/>
      </rPr>
      <t>PASSAGE:</t>
    </r>
    <r>
      <rPr>
        <rFont val="Arial"/>
        <sz val="10"/>
      </rPr>
      <t xml:space="preserve"> ибо одного укоряющего взгляда матери было достаточно, чтобы пристыдить ее до слез.
</t>
    </r>
    <r>
      <rPr>
        <rFont val="Arial"/>
        <sz val="10"/>
        <b/>
      </rPr>
      <t>TRANS:</t>
    </r>
    <r>
      <rPr>
        <rFont val="Arial"/>
        <sz val="10"/>
      </rPr>
      <t xml:space="preserve"> ibo odnogo ukoryayushchego vzglyada materi bylo dostatochno, chtoby pristydit' ee do slez.
</t>
    </r>
    <r>
      <rPr>
        <rFont val="Arial"/>
        <sz val="10"/>
        <b/>
      </rPr>
      <t>TRANSLATION:</t>
    </r>
    <r>
      <rPr>
        <rFont val="Arial"/>
        <sz val="10"/>
      </rPr>
      <t xml:space="preserve"> for a single reproachful glance from her mother was enough to shame her to tears.</t>
    </r>
  </si>
  <si>
    <r>
      <rPr>
        <rFont val="Arial"/>
        <sz val="10"/>
        <b/>
      </rPr>
      <t>TERM:</t>
    </r>
    <r>
      <rPr>
        <rFont val="Arial"/>
        <sz val="10"/>
      </rPr>
      <t xml:space="preserve"> ŪİALTU (ҰЯЛТУ) — to make (someone) feel ashamed; to disconcert; to embarrass (causative) [KED, SZK]
</t>
    </r>
    <r>
      <rPr>
        <rFont val="Arial"/>
        <sz val="10"/>
        <b/>
      </rPr>
      <t>PASSAGE:</t>
    </r>
    <r>
      <rPr>
        <rFont val="Arial"/>
        <sz val="10"/>
      </rPr>
      <t xml:space="preserve"> Өзін момын етіп көрсетудің жолын білді, анасының сөге қараған жалғыз көзқарасы оны ұялтып, жылатуға жеткілікті болатын
</t>
    </r>
    <r>
      <rPr>
        <rFont val="Arial"/>
        <sz val="10"/>
        <b/>
      </rPr>
      <t>TRANS:</t>
    </r>
    <r>
      <rPr>
        <rFont val="Arial"/>
        <sz val="10"/>
      </rPr>
      <t xml:space="preserve"> Özın momyn etıp körsetudıñ jolyn bıldı, anasynyñ söge qarağan jalğyz közqarasy ony ūialtyp, jylatuğa jetkılıktı bolatyn
</t>
    </r>
    <r>
      <rPr>
        <rFont val="Arial"/>
        <sz val="10"/>
        <b/>
      </rPr>
      <t>TRANSLATION:</t>
    </r>
    <r>
      <rPr>
        <rFont val="Arial"/>
        <sz val="10"/>
      </rPr>
      <t xml:space="preserve"> She knew how to put on an air of meekness; her mother's single reproachful glance was enough to shame her into tears.</t>
    </r>
  </si>
  <si>
    <r>
      <rPr>
        <rFont val="Arial"/>
        <sz val="10"/>
        <b/>
      </rPr>
      <t>TERM:</t>
    </r>
    <r>
      <rPr>
        <rFont val="Arial"/>
        <sz val="10"/>
      </rPr>
      <t xml:space="preserve"> ustydilas' (устыдилась) — felt ashamed (pf., past fem.) [ORD] (lemma: устыдиться)
</t>
    </r>
    <r>
      <rPr>
        <rFont val="Arial"/>
        <sz val="10"/>
        <b/>
      </rPr>
      <t>PASSAGE:</t>
    </r>
    <r>
      <rPr>
        <rFont val="Arial"/>
        <sz val="10"/>
      </rPr>
      <t xml:space="preserve"> Но она устыдилась такой мысли, почувствовав даже в этом какое-то неуважение к Эллин
</t>
    </r>
    <r>
      <rPr>
        <rFont val="Arial"/>
        <sz val="10"/>
        <b/>
      </rPr>
      <t>TRANS:</t>
    </r>
    <r>
      <rPr>
        <rFont val="Arial"/>
        <sz val="10"/>
      </rPr>
      <t xml:space="preserve"> No ona ustydilas' takoy mysli, pochuvstvovav dazhe v etom kakoe-to neuvazhenie k Ellin
</t>
    </r>
    <r>
      <rPr>
        <rFont val="Arial"/>
        <sz val="10"/>
        <b/>
      </rPr>
      <t>TRANSLATION:</t>
    </r>
    <r>
      <rPr>
        <rFont val="Arial"/>
        <sz val="10"/>
      </rPr>
      <t xml:space="preserve"> But she felt ashamed at such a thought, sensing in it a kind of disrespect toward Ellen</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</si>
  <si>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Әйтсе де мұндай ойдың өзі Эллинге деген құрметсіздік сияқты сезіліп, ұялып қалды.
</t>
    </r>
    <r>
      <rPr>
        <rFont val="Arial"/>
        <sz val="10"/>
        <b/>
      </rPr>
      <t>TRANS:</t>
    </r>
    <r>
      <rPr>
        <rFont val="Arial"/>
        <sz val="10"/>
      </rPr>
      <t xml:space="preserve"> Äitse de mūndai oidyñ özı Elinge degen qūrmetsızdık siaqty sezılıp, ūialyp qaldy.
</t>
    </r>
    <r>
      <rPr>
        <rFont val="Arial"/>
        <sz val="10"/>
        <b/>
      </rPr>
      <t>TRANSLATION:</t>
    </r>
    <r>
      <rPr>
        <rFont val="Arial"/>
        <sz val="10"/>
      </rPr>
      <t xml:space="preserve"> And yet such a thought itself felt like disrespect toward Ellen, and she felt ashamed.</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</si>
  <si>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ей стыдно было возвратиться к тете Питти,
</t>
    </r>
    <r>
      <rPr>
        <rFont val="Arial"/>
        <sz val="10"/>
        <b/>
      </rPr>
      <t>TRANS:</t>
    </r>
    <r>
      <rPr>
        <rFont val="Arial"/>
        <sz val="10"/>
      </rPr>
      <t xml:space="preserve"> ey stydno bylo vozvratit'sya k tete Pitti,
</t>
    </r>
    <r>
      <rPr>
        <rFont val="Arial"/>
        <sz val="10"/>
        <b/>
      </rPr>
      <t>TRANSLATION:</t>
    </r>
    <r>
      <rPr>
        <rFont val="Arial"/>
        <sz val="10"/>
      </rPr>
      <t xml:space="preserve"> she was ashamed to return to Aunt Pitty,</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</si>
  <si>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Бұрышқа жеткенде әрі қарай қалай жүрерін білмей тұрып қалды; Ол Питти тәтейге баруға ұялды
</t>
    </r>
    <r>
      <rPr>
        <rFont val="Arial"/>
        <sz val="10"/>
        <b/>
      </rPr>
      <t>TRANS:</t>
    </r>
    <r>
      <rPr>
        <rFont val="Arial"/>
        <sz val="10"/>
      </rPr>
      <t xml:space="preserve"> Būryşqa jetkende ärı qarai qalai jürerın bılmei tūryp qaldy; Ol Pitti täteige baruğa ūialdy
</t>
    </r>
    <r>
      <rPr>
        <rFont val="Arial"/>
        <sz val="10"/>
        <b/>
      </rPr>
      <t>TRANSLATION:</t>
    </r>
    <r>
      <rPr>
        <rFont val="Arial"/>
        <sz val="10"/>
      </rPr>
      <t xml:space="preserve"> When she reached the corner she stood still, not knowing what to do next; she was too ashamed to go to Aunt Pitty.</t>
    </r>
  </si>
  <si>
    <r>
      <rPr>
        <rFont val="Arial"/>
        <sz val="10"/>
        <b/>
      </rPr>
      <t>TERM:</t>
    </r>
    <r>
      <rPr>
        <rFont val="Arial"/>
        <sz val="10"/>
      </rPr>
      <t xml:space="preserve"> ustydyas' (устыдясь) — having felt ashamed (gerund) [ORD] (lemma: устыдиться)
</t>
    </r>
    <r>
      <rPr>
        <rFont val="Arial"/>
        <sz val="10"/>
        <b/>
      </rPr>
      <t>PASSAGE:</t>
    </r>
    <r>
      <rPr>
        <rFont val="Arial"/>
        <sz val="10"/>
      </rPr>
      <t xml:space="preserve"> и Скарлетт глубоко вздохнула, устыдясь своей внезапной вспышки
</t>
    </r>
    <r>
      <rPr>
        <rFont val="Arial"/>
        <sz val="10"/>
        <b/>
      </rPr>
      <t>TRANS:</t>
    </r>
    <r>
      <rPr>
        <rFont val="Arial"/>
        <sz val="10"/>
      </rPr>
      <t xml:space="preserve"> i Skarlett gluboko vzdokhnula, ustydyas' svoey vnezapnoy vspyshki
</t>
    </r>
    <r>
      <rPr>
        <rFont val="Arial"/>
        <sz val="10"/>
        <b/>
      </rPr>
      <t>TRANSLATION:</t>
    </r>
    <r>
      <rPr>
        <rFont val="Arial"/>
        <sz val="10"/>
      </rPr>
      <t xml:space="preserve"> and Scarlett took a deep breath, ashamed of her sudden outburst</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</si>
  <si>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ей было стыдно, словно Мелани прочла трусливые мысли на ее лице.
</t>
    </r>
    <r>
      <rPr>
        <rFont val="Arial"/>
        <sz val="10"/>
        <b/>
      </rPr>
      <t>TRANS:</t>
    </r>
    <r>
      <rPr>
        <rFont val="Arial"/>
        <sz val="10"/>
      </rPr>
      <t xml:space="preserve"> ey bylo stydno, slovno Melani prochla truslivye mysli na ee litse.
</t>
    </r>
    <r>
      <rPr>
        <rFont val="Arial"/>
        <sz val="10"/>
        <b/>
      </rPr>
      <t>TRANSLATION:</t>
    </r>
    <r>
      <rPr>
        <rFont val="Arial"/>
        <sz val="10"/>
      </rPr>
      <t xml:space="preserve"> she felt ashamed, as if Melanie had read her cowardly thoughts on her face.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</si>
  <si>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Мелани тек Скарлеттің өзі ойлағанын дауыстап айтқан еді, бірақ Скарлетт, Мелани оның қорқынышын бетінен оқып қойғандай, ұялғаннан ашуланды.
</t>
    </r>
    <r>
      <rPr>
        <rFont val="Arial"/>
        <sz val="10"/>
        <b/>
      </rPr>
      <t>TRANS:</t>
    </r>
    <r>
      <rPr>
        <rFont val="Arial"/>
        <sz val="10"/>
      </rPr>
      <t xml:space="preserve"> Melani tek Skarlettıñ özı oilağanyn dauystap aitqan edı, bıraq Skarlett, Melani onyñ qorqynyşyn betınen oqyp qoiğandai, ūialğannan aşulandy.
</t>
    </r>
    <r>
      <rPr>
        <rFont val="Arial"/>
        <sz val="10"/>
        <b/>
      </rPr>
      <t>TRANSLATION:</t>
    </r>
    <r>
      <rPr>
        <rFont val="Arial"/>
        <sz val="10"/>
      </rPr>
      <t xml:space="preserve"> Melanie had only said aloud what Scarlett herself had been thinking, but Scarlett, as if Melanie had read her fear on her face, became angry from shame.</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</si>
  <si>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И тут ей неожиданно стало стыдно.
</t>
    </r>
    <r>
      <rPr>
        <rFont val="Arial"/>
        <sz val="10"/>
        <b/>
      </rPr>
      <t>TRANS:</t>
    </r>
    <r>
      <rPr>
        <rFont val="Arial"/>
        <sz val="10"/>
      </rPr>
      <t xml:space="preserve"> I tut ey neozhidanno stalo stydno.
</t>
    </r>
    <r>
      <rPr>
        <rFont val="Arial"/>
        <sz val="10"/>
        <b/>
      </rPr>
      <t>TRANSLATION:</t>
    </r>
    <r>
      <rPr>
        <rFont val="Arial"/>
        <sz val="10"/>
      </rPr>
      <t xml:space="preserve"> And then suddenly she felt ashamed.</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</si>
  <si>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Ах, наверное, ей было слишком стыдно.
</t>
    </r>
    <r>
      <rPr>
        <rFont val="Arial"/>
        <sz val="10"/>
        <b/>
      </rPr>
      <t>TRANS:</t>
    </r>
    <r>
      <rPr>
        <rFont val="Arial"/>
        <sz val="10"/>
      </rPr>
      <t xml:space="preserve"> Akh, navernoe, ey bylo slishkom stydno.
</t>
    </r>
    <r>
      <rPr>
        <rFont val="Arial"/>
        <sz val="10"/>
        <b/>
      </rPr>
      <t>TRANSLATION:</t>
    </r>
    <r>
      <rPr>
        <rFont val="Arial"/>
        <sz val="10"/>
      </rPr>
      <t xml:space="preserve"> Ah, she must have been too ashamed.</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</si>
  <si>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Сірә, ұяты жібермеген шығар.
</t>
    </r>
    <r>
      <rPr>
        <rFont val="Arial"/>
        <sz val="10"/>
        <b/>
      </rPr>
      <t>TRANS:</t>
    </r>
    <r>
      <rPr>
        <rFont val="Arial"/>
        <sz val="10"/>
      </rPr>
      <t xml:space="preserve"> Sırä, ūiaty jıbermegen şyğar.
</t>
    </r>
    <r>
      <rPr>
        <rFont val="Arial"/>
        <sz val="10"/>
        <b/>
      </rPr>
      <t>TRANSLATION:</t>
    </r>
    <r>
      <rPr>
        <rFont val="Arial"/>
        <sz val="10"/>
      </rPr>
      <t xml:space="preserve"> Most likely shame did not let her [write].</t>
    </r>
  </si>
  <si>
    <r>
      <rPr>
        <rFont val="Arial"/>
        <sz val="10"/>
        <b/>
      </rPr>
      <t>TERM:</t>
    </r>
    <r>
      <rPr>
        <rFont val="Arial"/>
        <sz val="10"/>
      </rPr>
      <t xml:space="preserve"> pristyzhennoy (пристыженной) — shamed, abashed (past pass. participle) [ORD] (lemma: пристыженный)
</t>
    </r>
    <r>
      <rPr>
        <rFont val="Arial"/>
        <sz val="10"/>
        <b/>
      </rPr>
      <t>PASSAGE:</t>
    </r>
    <r>
      <rPr>
        <rFont val="Arial"/>
        <sz val="10"/>
      </rPr>
      <t xml:space="preserve"> Скарлетт была озадачена и чувствовала себя немного пристыженной
</t>
    </r>
    <r>
      <rPr>
        <rFont val="Arial"/>
        <sz val="10"/>
        <b/>
      </rPr>
      <t>TRANS:</t>
    </r>
    <r>
      <rPr>
        <rFont val="Arial"/>
        <sz val="10"/>
      </rPr>
      <t xml:space="preserve"> Skarlett byla ozadachena i chuvstvovala sebya nemnogo pristyzhennoy
</t>
    </r>
    <r>
      <rPr>
        <rFont val="Arial"/>
        <sz val="10"/>
        <b/>
      </rPr>
      <t>TRANSLATION:</t>
    </r>
    <r>
      <rPr>
        <rFont val="Arial"/>
        <sz val="10"/>
      </rPr>
      <t xml:space="preserve"> Scarlett was puzzled and felt herself a bit shamed</t>
    </r>
  </si>
  <si>
    <r>
      <rPr>
        <rFont val="Arial"/>
        <sz val="10"/>
        <b/>
      </rPr>
      <t>TERM:</t>
    </r>
    <r>
      <rPr>
        <rFont val="Arial"/>
        <sz val="10"/>
      </rPr>
      <t xml:space="preserve"> QOLAİSYZ (ҚОЛАЙСЫЗ) — inappropriate; inconvenient; awkward [KED, SZK]
</t>
    </r>
    <r>
      <rPr>
        <rFont val="Arial"/>
        <sz val="10"/>
        <b/>
      </rPr>
      <t>PASSAGE:</t>
    </r>
    <r>
      <rPr>
        <rFont val="Arial"/>
        <sz val="10"/>
      </rPr>
      <t xml:space="preserve"> Скарлеттің көңілі алаңдап, өзін қолайсыз сезініп тұр, әйтеуір, адамдар ылғи да бұған өзінің ойлары мен сезімдерін таңады да жүреді, мұның ортақтаспайтынымен шаруалары жоқ.
</t>
    </r>
    <r>
      <rPr>
        <rFont val="Arial"/>
        <sz val="10"/>
        <b/>
      </rPr>
      <t>TRANS:</t>
    </r>
    <r>
      <rPr>
        <rFont val="Arial"/>
        <sz val="10"/>
      </rPr>
      <t xml:space="preserve"> Skarlettıñ köñılı alañdap, özın qolaisyz sezınıp tūr, äiteuır, adamdar ylği da būğan özınıñ oilary men sezımderın tañady da jüredı, mūnyñ ortaqtaspaitynymen şarualary joq.
</t>
    </r>
    <r>
      <rPr>
        <rFont val="Arial"/>
        <sz val="10"/>
        <b/>
      </rPr>
      <t>TRANSLATION:</t>
    </r>
    <r>
      <rPr>
        <rFont val="Arial"/>
        <sz val="10"/>
      </rPr>
      <t xml:space="preserve"> Scarlett was confused and felt awkward — people always ascribe to her their own thoughts and feelings, with no regard for whether she shares them.</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</si>
  <si>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Вам было стыдно?
</t>
    </r>
    <r>
      <rPr>
        <rFont val="Arial"/>
        <sz val="10"/>
        <b/>
      </rPr>
      <t>TRANS:</t>
    </r>
    <r>
      <rPr>
        <rFont val="Arial"/>
        <sz val="10"/>
      </rPr>
      <t xml:space="preserve"> Vam bylo stydno?
</t>
    </r>
    <r>
      <rPr>
        <rFont val="Arial"/>
        <sz val="10"/>
        <b/>
      </rPr>
      <t>TRANSLATION:</t>
    </r>
    <r>
      <rPr>
        <rFont val="Arial"/>
        <sz val="10"/>
      </rPr>
      <t xml:space="preserve"> You were ashamed?</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</si>
  <si>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Ұялдым дейсіз бе?
</t>
    </r>
    <r>
      <rPr>
        <rFont val="Arial"/>
        <sz val="10"/>
        <b/>
      </rPr>
      <t>TRANS:</t>
    </r>
    <r>
      <rPr>
        <rFont val="Arial"/>
        <sz val="10"/>
      </rPr>
      <t xml:space="preserve"> Ūialdym deisız be?
</t>
    </r>
    <r>
      <rPr>
        <rFont val="Arial"/>
        <sz val="10"/>
        <b/>
      </rPr>
      <t>TRANSLATION:</t>
    </r>
    <r>
      <rPr>
        <rFont val="Arial"/>
        <sz val="10"/>
      </rPr>
      <t xml:space="preserve"> You say you were ashamed?</t>
    </r>
  </si>
  <si>
    <r>
      <rPr>
        <rFont val="Arial"/>
        <sz val="10"/>
        <b/>
      </rPr>
      <t>TERM:</t>
    </r>
    <r>
      <rPr>
        <rFont val="Arial"/>
        <sz val="10"/>
      </rPr>
      <t xml:space="preserve"> slezy styda (слезы стыда) — tears of shame [ORD] (lemma: слеза)
</t>
    </r>
    <r>
      <rPr>
        <rFont val="Arial"/>
        <sz val="10"/>
        <b/>
      </rPr>
      <t>PASSAGE:</t>
    </r>
    <r>
      <rPr>
        <rFont val="Arial"/>
        <sz val="10"/>
      </rPr>
      <t xml:space="preserve"> Раздражение, звучавшее в его голосе, говорило о незаживающей ране, которая болела, и от его слов слезы стыда выступили у нее на глазах.
</t>
    </r>
    <r>
      <rPr>
        <rFont val="Arial"/>
        <sz val="10"/>
        <b/>
      </rPr>
      <t>TRANS:</t>
    </r>
    <r>
      <rPr>
        <rFont val="Arial"/>
        <sz val="10"/>
      </rPr>
      <t xml:space="preserve"> Razdrazhenie, zvuchavshee v ego golose, govorilo o nezazhivayushchey rane, kotoraya bolela, i ot ego slov slezy styda vystupili u nee na glazakh.
</t>
    </r>
    <r>
      <rPr>
        <rFont val="Arial"/>
        <sz val="10"/>
        <b/>
      </rPr>
      <t>TRANSLATION:</t>
    </r>
    <r>
      <rPr>
        <rFont val="Arial"/>
        <sz val="10"/>
      </rPr>
      <t xml:space="preserve"> The irritation that sounded in his voice spoke of an unhealing wound that hurt, and at his words tears of shame welled up in her eyes.</t>
    </r>
  </si>
  <si>
    <r>
      <rPr>
        <rFont val="Arial"/>
        <sz val="10"/>
        <b/>
      </rPr>
      <t>TERM:</t>
    </r>
    <r>
      <rPr>
        <rFont val="Arial"/>
        <sz val="10"/>
      </rPr>
      <t xml:space="preserve"> styda (стыда) — shame (genitive) [ORD] (lemma: стыд)
</t>
    </r>
    <r>
      <rPr>
        <rFont val="Arial"/>
        <sz val="10"/>
        <b/>
      </rPr>
      <t>PASSAGE:</t>
    </r>
    <r>
      <rPr>
        <rFont val="Arial"/>
        <sz val="10"/>
      </rPr>
      <t xml:space="preserve"> Скарлетт — со смесью удивления и стыда.
</t>
    </r>
    <r>
      <rPr>
        <rFont val="Arial"/>
        <sz val="10"/>
        <b/>
      </rPr>
      <t>TRANS:</t>
    </r>
    <r>
      <rPr>
        <rFont val="Arial"/>
        <sz val="10"/>
      </rPr>
      <t xml:space="preserve"> Skarlett — so smes'yu udivleniya i styda.
</t>
    </r>
    <r>
      <rPr>
        <rFont val="Arial"/>
        <sz val="10"/>
        <b/>
      </rPr>
      <t>TRANSLATION:</t>
    </r>
    <r>
      <rPr>
        <rFont val="Arial"/>
        <sz val="10"/>
      </rPr>
      <t xml:space="preserve"> Scarlett — with a mix of surprise and shame.</t>
    </r>
  </si>
  <si>
    <r>
      <rPr>
        <rFont val="Arial"/>
        <sz val="10"/>
        <b/>
      </rPr>
      <t>TERM:</t>
    </r>
    <r>
      <rPr>
        <rFont val="Arial"/>
        <sz val="10"/>
      </rPr>
      <t xml:space="preserve"> ŪİAT(ҰЯТ) — shame; disgrace; sense of decency (also: that which is improper) [KED, SZK]
</t>
    </r>
    <r>
      <rPr>
        <rFont val="Arial"/>
        <sz val="10"/>
        <b/>
      </rPr>
      <t>PASSAGE:</t>
    </r>
    <r>
      <rPr>
        <rFont val="Arial"/>
        <sz val="10"/>
      </rPr>
      <t xml:space="preserve"> Эшли дағдарып, есін жия алмаса, Скарлетт ұяттан өртеніп әрі таңырқап тұр.
</t>
    </r>
    <r>
      <rPr>
        <rFont val="Arial"/>
        <sz val="10"/>
        <b/>
      </rPr>
      <t>TRANS:</t>
    </r>
    <r>
      <rPr>
        <rFont val="Arial"/>
        <sz val="10"/>
      </rPr>
      <t xml:space="preserve"> Eşli dağdaryp, esın jia almasa, Skarlett ūiattan örtenıp ärı tañyrqap tūr.
</t>
    </r>
    <r>
      <rPr>
        <rFont val="Arial"/>
        <sz val="10"/>
        <b/>
      </rPr>
      <t>TRANSLATION:</t>
    </r>
    <r>
      <rPr>
        <rFont val="Arial"/>
        <sz val="10"/>
      </rPr>
      <t xml:space="preserve"> While Ashley was confused and could not collect himself, Scarlett stood burning with shame and astonished.</t>
    </r>
  </si>
  <si>
    <r>
      <rPr>
        <rFont val="Arial"/>
        <sz val="10"/>
        <b/>
      </rPr>
      <t>TERM:</t>
    </r>
    <r>
      <rPr>
        <rFont val="Arial"/>
        <sz val="10"/>
      </rPr>
      <t xml:space="preserve"> styda (стыда) — shame (genitive) [ORD] (lemma: стыд)
</t>
    </r>
    <r>
      <rPr>
        <rFont val="Arial"/>
        <sz val="10"/>
        <b/>
      </rPr>
      <t>PASSAGE:</t>
    </r>
    <r>
      <rPr>
        <rFont val="Arial"/>
        <sz val="10"/>
      </rPr>
      <t xml:space="preserve"> И Скарлетт, столкнувшись с этим умением Мелани приписывать людям благородные поступки там, где благородством и не пахло, почувствовала, по обыкновению, прилив стыда и раздражения
</t>
    </r>
    <r>
      <rPr>
        <rFont val="Arial"/>
        <sz val="10"/>
        <b/>
      </rPr>
      <t>TRANS:</t>
    </r>
    <r>
      <rPr>
        <rFont val="Arial"/>
        <sz val="10"/>
      </rPr>
      <t xml:space="preserve"> I Skarlett, stolknuvshis' s etim umeniem Melani pripisyvat' lyudyam blagorodnye postupki tam, gde blagorodstvom i ne pakhlo, pochuvstvovala, po obyknoveniyu, priliv styda i razdrazheniya
</t>
    </r>
    <r>
      <rPr>
        <rFont val="Arial"/>
        <sz val="10"/>
        <b/>
      </rPr>
      <t>TRANSLATION:</t>
    </r>
    <r>
      <rPr>
        <rFont val="Arial"/>
        <sz val="10"/>
      </rPr>
      <t xml:space="preserve"> And Scarlett, faced with this skill of Melanie's for ascribing noble motives to people where no nobility was to be found, felt her customary surge of shame and irritation</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</si>
  <si>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Өзінің көрген, маңдайына бұйырған әр жақсылығын қашан да біреудің арқасында болды деп ойлайтын Меланидің мына қуанышты күйі Скарлеттің бетінен отын шығарып, ұяттан жерге кірердей болды.
</t>
    </r>
    <r>
      <rPr>
        <rFont val="Arial"/>
        <sz val="10"/>
        <b/>
      </rPr>
      <t>TRANS:</t>
    </r>
    <r>
      <rPr>
        <rFont val="Arial"/>
        <sz val="10"/>
      </rPr>
      <t xml:space="preserve"> Özınıñ körgen, mañdaiyna būiyrğan är jaqsylyğyn qaşan da bıreudıñ arqasynda boldy dep oilaityn Melanidıñ myna quanyşty küiı Skarlettıñ betınen otyn şyğaryp, ūiattan jerge kırerdei boldy.
</t>
    </r>
    <r>
      <rPr>
        <rFont val="Arial"/>
        <sz val="10"/>
        <b/>
      </rPr>
      <t>TRANSLATION:</t>
    </r>
    <r>
      <rPr>
        <rFont val="Arial"/>
        <sz val="10"/>
      </rPr>
      <t xml:space="preserve"> Melanie's joyous mood — always thinking that every good thing she had received in life had come because of someone else — made Scarlett's face burn and want to sink into the ground from shame.</t>
    </r>
  </si>
  <si>
    <r>
      <rPr>
        <rFont val="Arial"/>
        <sz val="10"/>
        <b/>
      </rPr>
      <t>TERM:</t>
    </r>
    <r>
      <rPr>
        <rFont val="Arial"/>
        <sz val="10"/>
      </rPr>
      <t xml:space="preserve"> stydom (стыдом) — shame (instrumental) [ORD] (lemma: стыд)
</t>
    </r>
    <r>
      <rPr>
        <rFont val="Arial"/>
        <sz val="10"/>
        <b/>
      </rPr>
      <t>PASSAGE:</t>
    </r>
    <r>
      <rPr>
        <rFont val="Arial"/>
        <sz val="10"/>
      </rPr>
      <t xml:space="preserve"> И Скарлетт, со стыдом глядя в темные, сверкающие любовью и возмущением глаза, почувствовала, как у нее захолонуло сердце, ибо поняла, что никогда не узнает мира и покоя, следующих за признанием.
</t>
    </r>
    <r>
      <rPr>
        <rFont val="Arial"/>
        <sz val="10"/>
        <b/>
      </rPr>
      <t>TRANS:</t>
    </r>
    <r>
      <rPr>
        <rFont val="Arial"/>
        <sz val="10"/>
      </rPr>
      <t xml:space="preserve"> I Skarlett, so stydom glyadya v temnye, sverkayushchie lyubov'yu i vozmushcheniem glaza, pochuvstvovala, kak u nee zakholonulo serdtse, ibo ponyala, chto nikogda ne uznaet mira i pokoya, sleduyushchikh za priznaniem.
</t>
    </r>
    <r>
      <rPr>
        <rFont val="Arial"/>
        <sz val="10"/>
        <b/>
      </rPr>
      <t>TRANSLATION:</t>
    </r>
    <r>
      <rPr>
        <rFont val="Arial"/>
        <sz val="10"/>
      </rPr>
      <t xml:space="preserve"> And Scarlett, looking with shame into the dark eyes shining with love and indignation, felt her heart go cold, for she understood that she would never know the peace and quiet that follows confession.</t>
    </r>
  </si>
  <si>
    <r>
      <rPr>
        <rFont val="Arial"/>
        <sz val="10"/>
        <b/>
      </rPr>
      <t>TERM:</t>
    </r>
    <r>
      <rPr>
        <rFont val="Arial"/>
        <sz val="10"/>
      </rPr>
      <t xml:space="preserve"> styda (стыда) — shame (genitive) [ORD] (lemma: стыд)
</t>
    </r>
    <r>
      <rPr>
        <rFont val="Arial"/>
        <sz val="10"/>
        <b/>
      </rPr>
      <t>PASSAGE:</t>
    </r>
    <r>
      <rPr>
        <rFont val="Arial"/>
        <sz val="10"/>
      </rPr>
      <t xml:space="preserve"> Да, этот крест она будет нести до самой смерти — будет молча терпеть свою муку, никому не скажет о том, как больно колет ее власяница стыда при каждом нежном взгляде и жесте Мелани, будет вечно подавлять в себе желание крикнуть: «Не будь такой доброй!
</t>
    </r>
    <r>
      <rPr>
        <rFont val="Arial"/>
        <sz val="10"/>
        <b/>
      </rPr>
      <t>TRANS:</t>
    </r>
    <r>
      <rPr>
        <rFont val="Arial"/>
        <sz val="10"/>
      </rPr>
      <t xml:space="preserve"> Da, etot krest ona budet nesti do samoy smerti — budet molcha terpet' svoyu muku, nikomu ne skazhet o tom, kak bol'no kolet ee vlasyanitsa styda pri kazhdom nezhnom vzglyade i zheste Melani, budet vechno podavlyat' v sebe zhelanie kriknut': «Ne bud' takoy dobroy!
</t>
    </r>
    <r>
      <rPr>
        <rFont val="Arial"/>
        <sz val="10"/>
        <b/>
      </rPr>
      <t>TRANSLATION:</t>
    </r>
    <r>
      <rPr>
        <rFont val="Arial"/>
        <sz val="10"/>
      </rPr>
      <t xml:space="preserve"> Yes, she would bear this cross until her very death — she would silently endure her torment, would tell no one how painfully the hair shirt of shame pricked her at every tender glance and gesture of Melanie's, would forever suppress the desire to cry: "Don't be so kind!"</t>
    </r>
  </si>
  <si>
    <r>
      <rPr>
        <rFont val="Arial"/>
        <sz val="10"/>
        <b/>
      </rPr>
      <t>TERM:</t>
    </r>
    <r>
      <rPr>
        <rFont val="Arial"/>
        <sz val="10"/>
      </rPr>
      <t xml:space="preserve"> KÜNÄ (КҮНӘ) — sin (religious register; from Persian gunāh) [KED, SZK]
</t>
    </r>
    <r>
      <rPr>
        <rFont val="Arial"/>
        <sz val="10"/>
        <b/>
      </rPr>
      <t>PASSAGE:</t>
    </r>
    <r>
      <rPr>
        <rFont val="Arial"/>
        <sz val="10"/>
      </rPr>
      <t xml:space="preserve"> Иә, бұл күнәсін мәңгі арқалайтынын өзі де біледі, үнсіз шыдайды, Меланидің мейірімі төгілген әрбір көзқарасын көрген сайын жүрегі шаншып, «Бұлай елжіремеші маған! Мен үшін ешкіммен күреспе де! Мен оған мүлдем лайық емеспін!» дегісі келеді.
</t>
    </r>
    <r>
      <rPr>
        <rFont val="Arial"/>
        <sz val="10"/>
        <b/>
      </rPr>
      <t>TRANS:</t>
    </r>
    <r>
      <rPr>
        <rFont val="Arial"/>
        <sz val="10"/>
      </rPr>
      <t xml:space="preserve"> İä, būl künäsın mäñgı arqalaitynyn özı de bıledı, ünsız şydaidy, Melanidıñ meiırımı tögılgen ärbır közqarasyn körgen saiyn jüregı şanşyp, «Būlai eljıremeşı mağan! Men üşın eşkımmen kürespe de! Men oğan müldem laiyq emespın!» degısı keledı.
</t>
    </r>
    <r>
      <rPr>
        <rFont val="Arial"/>
        <sz val="10"/>
        <b/>
      </rPr>
      <t>TRANSLATION:</t>
    </r>
    <r>
      <rPr>
        <rFont val="Arial"/>
        <sz val="10"/>
      </rPr>
      <t xml:space="preserve"> Yes, she herself knows that she will carry this sin forever; she will endure in silence; every time she sees Melanie's glance brimming with kindness her heart pierces her, and she wants to say: "Don't feel such tenderness for me! Don't fight with anyone for my sake! I am not at all worthy of it!"</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</si>
  <si>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Сейчас Скарлетт уже не было стыдно, она ничего не чувствовала, кроме диких угрызений совести за то, что столько лет причиняла боль этой мягкой, ласковой женщине.
</t>
    </r>
    <r>
      <rPr>
        <rFont val="Arial"/>
        <sz val="10"/>
        <b/>
      </rPr>
      <t>TRANS:</t>
    </r>
    <r>
      <rPr>
        <rFont val="Arial"/>
        <sz val="10"/>
      </rPr>
      <t xml:space="preserve"> Seychas Skarlett uzhe ne bylo stydno, ona nichego ne chuvstvovala, krome dikikh ugryzeniy sovesti za to, chto stol'ko let prichinyala bol' etoy myagkoy, laskovoy zhenshchine.
</t>
    </r>
    <r>
      <rPr>
        <rFont val="Arial"/>
        <sz val="10"/>
        <b/>
      </rPr>
      <t>TRANSLATION:</t>
    </r>
    <r>
      <rPr>
        <rFont val="Arial"/>
        <sz val="10"/>
      </rPr>
      <t xml:space="preserve"> Now Scarlett was no longer ashamed; she felt nothing but wild pangs of conscience for having caused pain to this gentle, tender woman for so many years.</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</si>
  <si>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Дәл қазір Скарлетт ешкімнен, ештеңеден де ұялған жоқ, осынау мейірімді де жұмсақ, жайсаң әйелге өмір бойы қиянат жасап келгеніне ғана қиналды.
</t>
    </r>
    <r>
      <rPr>
        <rFont val="Arial"/>
        <sz val="10"/>
        <b/>
      </rPr>
      <t>TRANS:</t>
    </r>
    <r>
      <rPr>
        <rFont val="Arial"/>
        <sz val="10"/>
      </rPr>
      <t xml:space="preserve"> Däl qazır Skarlett eşkımnen, eşteñeden de ūialğan joq, osynau meiırımdı de jūmsaq, jaisañ äielge ömır boiy qianat jasap kelgenıne ğana qinaldy.
</t>
    </r>
    <r>
      <rPr>
        <rFont val="Arial"/>
        <sz val="10"/>
        <b/>
      </rPr>
      <t>TRANSLATION:</t>
    </r>
    <r>
      <rPr>
        <rFont val="Arial"/>
        <sz val="10"/>
      </rPr>
      <t xml:space="preserve"> Right now Scarlett was not ashamed of anyone, of anything; she only suffered because she had wronged this kind, gentle, generous woman all her life.</t>
    </r>
  </si>
  <si>
    <r>
      <rPr>
        <rFont val="Arial"/>
        <sz val="10"/>
        <b/>
      </rPr>
      <t>TERM:</t>
    </r>
    <r>
      <rPr>
        <rFont val="Arial"/>
        <sz val="10"/>
      </rPr>
      <t xml:space="preserve"> styda (стыда) — shame (genitive) [ORD] (lemma: стыд)
</t>
    </r>
    <r>
      <rPr>
        <rFont val="Arial"/>
        <sz val="10"/>
        <b/>
      </rPr>
      <t>PASSAGE:</t>
    </r>
    <r>
      <rPr>
        <rFont val="Arial"/>
        <sz val="10"/>
      </rPr>
      <t xml:space="preserve"> Сердце у нее чуть сжалось от стыда при виде этой закрытой двери — она вспомнила многие вечера прошедшего лета, когда Ретт сидел там один и пил до одурения, а потом Порк являлся и укладывал его в постель.
</t>
    </r>
    <r>
      <rPr>
        <rFont val="Arial"/>
        <sz val="10"/>
        <b/>
      </rPr>
      <t>TRANS:</t>
    </r>
    <r>
      <rPr>
        <rFont val="Arial"/>
        <sz val="10"/>
      </rPr>
      <t xml:space="preserve"> Serdtse u nee chut' szhalos' ot styda pri vide etoy zakrytoy dveri — ona vspomnila mnogie vechera proshedshego leta, kogda Rett sidel tam odin i pil do odureniya, a potom Pork yavlyalsya i ukladyval ego v postel'.
</t>
    </r>
    <r>
      <rPr>
        <rFont val="Arial"/>
        <sz val="10"/>
        <b/>
      </rPr>
      <t>TRANSLATION:</t>
    </r>
    <r>
      <rPr>
        <rFont val="Arial"/>
        <sz val="10"/>
      </rPr>
      <t xml:space="preserve"> Her heart contracted with shame at the sight of this closed door — she remembered many evenings of the past summer when Rhett sat there alone drinking himself into oblivion, and then Pork would come and put him to bed.</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</si>
  <si>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Сол есікке көзі түскенде Реттің есінен танғанша ішетін кездері, ақырында Порктің оны сүйрелеп, төсегіне әзер жеткізетін сәттері көп болған өткен жаздың кештері есіне түсіп, ұялғаннан жүрегі қысылып кетті.
</t>
    </r>
    <r>
      <rPr>
        <rFont val="Arial"/>
        <sz val="10"/>
        <b/>
      </rPr>
      <t>TRANS:</t>
    </r>
    <r>
      <rPr>
        <rFont val="Arial"/>
        <sz val="10"/>
      </rPr>
      <t xml:space="preserve"> Sol esıkke közı tüskende Rettıñ esınen tanğanşa ışetın kezderı, aqyrynda Porktıñ ony süirelep, tösegıne äzer jetkızetın sätterı köp bolğan ötken jazdyñ keşterı esıne tüsıp, ūialğannan jüregı qysylyp kettı.
</t>
    </r>
    <r>
      <rPr>
        <rFont val="Arial"/>
        <sz val="10"/>
        <b/>
      </rPr>
      <t>TRANSLATION:</t>
    </r>
    <r>
      <rPr>
        <rFont val="Arial"/>
        <sz val="10"/>
      </rPr>
      <t xml:space="preserve"> When her gaze fell on that door she remembered the evenings of the past summer when Rhett used to drink until he lost his senses, and finally Pork would drag him and barely manage to put him in bed — and her heart was clenched from shame.</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</si>
  <si>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Но что-то в его лице удержало ее, и внезапно ей стало стыдно говорить о любви в такую минуту — ведь Мелани еще не успела остыть.
</t>
    </r>
    <r>
      <rPr>
        <rFont val="Arial"/>
        <sz val="10"/>
        <b/>
      </rPr>
      <t>TRANS:</t>
    </r>
    <r>
      <rPr>
        <rFont val="Arial"/>
        <sz val="10"/>
      </rPr>
      <t xml:space="preserve"> No chto-to v ego litse uderzhalo ee, i vnezapno ey stalo stydno govorit' o lyubvi v takuyu minutu — ved' Melani eshche ne uspela ostyt'.
</t>
    </r>
    <r>
      <rPr>
        <rFont val="Arial"/>
        <sz val="10"/>
        <b/>
      </rPr>
      <t>TRANSLATION:</t>
    </r>
    <r>
      <rPr>
        <rFont val="Arial"/>
        <sz val="10"/>
      </rPr>
      <t xml:space="preserve"> But something in his face restrained her, and suddenly she felt ashamed to speak of love at such a moment — Melanie had not yet had time to grow cold.</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</si>
  <si>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Бірақ оның жүзіндегі әлдене ниетін тежей берді, тіпті мынадай жағдайда сезім туралы айтудың өзі ұят сияқтанды, Меланидің денесі де суып үлгермеді ғой.
</t>
    </r>
    <r>
      <rPr>
        <rFont val="Arial"/>
        <sz val="10"/>
        <b/>
      </rPr>
      <t>TRANS:</t>
    </r>
    <r>
      <rPr>
        <rFont val="Arial"/>
        <sz val="10"/>
      </rPr>
      <t xml:space="preserve"> Bıraq onyñ jüzındegı äldene nietın tejei berdı, tıptı mynadai jağdaida sezım turaly aitudyñ özı ūiat siaqtandy, Melanidıñ denesı de suyp ülgermedı ğoi.
</t>
    </r>
    <r>
      <rPr>
        <rFont val="Arial"/>
        <sz val="10"/>
        <b/>
      </rPr>
      <t>TRANSLATION:</t>
    </r>
    <r>
      <rPr>
        <rFont val="Arial"/>
        <sz val="10"/>
      </rPr>
      <t xml:space="preserve"> But something on his face held back her intent; even speaking of feelings in such a situation felt like a shame, since Melanie's body had not even had time to cool.</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</si>
  <si>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Что ж, я рада слышать, что вам стыдно вспоминать, как вы поступили со мной.
</t>
    </r>
    <r>
      <rPr>
        <rFont val="Arial"/>
        <sz val="10"/>
        <b/>
      </rPr>
      <t>TRANS:</t>
    </r>
    <r>
      <rPr>
        <rFont val="Arial"/>
        <sz val="10"/>
      </rPr>
      <t xml:space="preserve"> Chto zh, ya rada slyshat', chto vam stydno vspominat', kak vy postupili so mnoy.
</t>
    </r>
    <r>
      <rPr>
        <rFont val="Arial"/>
        <sz val="10"/>
        <b/>
      </rPr>
      <t>TRANSLATION:</t>
    </r>
    <r>
      <rPr>
        <rFont val="Arial"/>
        <sz val="10"/>
      </rPr>
      <t xml:space="preserve"> Well, I am glad to hear that you are ashamed of remembering how you treated me.</t>
    </r>
  </si>
  <si>
    <r>
      <rPr>
        <rFont val="Arial"/>
        <sz val="10"/>
        <b/>
      </rPr>
      <t>TERM:</t>
    </r>
    <r>
      <rPr>
        <rFont val="Arial"/>
        <sz val="10"/>
      </rPr>
      <t xml:space="preserve"> ÖKINU (ӨКІНУ) — to regret; to repent [KED, SZK]
</t>
    </r>
    <r>
      <rPr>
        <rFont val="Arial"/>
        <sz val="10"/>
        <b/>
      </rPr>
      <t>PASSAGE:</t>
    </r>
    <r>
      <rPr>
        <rFont val="Arial"/>
        <sz val="10"/>
      </rPr>
      <t xml:space="preserve"> Жарайды, мені тастап кеткеніңіз үшін өкінгеніңізге де қуанамын.
</t>
    </r>
    <r>
      <rPr>
        <rFont val="Arial"/>
        <sz val="10"/>
        <b/>
      </rPr>
      <t>TRANS:</t>
    </r>
    <r>
      <rPr>
        <rFont val="Arial"/>
        <sz val="10"/>
      </rPr>
      <t xml:space="preserve"> Jaraidy, menı tastap ketkenıñız üşın ökıngenıñızge de quanamyn.
</t>
    </r>
    <r>
      <rPr>
        <rFont val="Arial"/>
        <sz val="10"/>
        <b/>
      </rPr>
      <t>TRANSLATION:</t>
    </r>
    <r>
      <rPr>
        <rFont val="Arial"/>
        <sz val="10"/>
      </rPr>
      <t xml:space="preserve"> Very well, I am also glad that you regret leaving me behind.</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</si>
  <si>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Ведь мы трое… как солдаты сражались вместе на протяжении стольких лет, так что мне даже стыдно за тебя: ну, как ты могла подумать, что досужие сплетни могут возвести между нами стену.
</t>
    </r>
    <r>
      <rPr>
        <rFont val="Arial"/>
        <sz val="10"/>
        <b/>
      </rPr>
      <t>TRANS:</t>
    </r>
    <r>
      <rPr>
        <rFont val="Arial"/>
        <sz val="10"/>
      </rPr>
      <t xml:space="preserve"> Ved' my troe… kak soldaty srazhalis' vmeste na protyazhenii stol'kikh let, tak chto mne dazhe stydno za tebya: nu, kak ty mogla podumat', chto dosuzhie spletni mogut vozvesti mezhdu nami stenu.
</t>
    </r>
    <r>
      <rPr>
        <rFont val="Arial"/>
        <sz val="10"/>
        <b/>
      </rPr>
      <t>TRANSLATION:</t>
    </r>
    <r>
      <rPr>
        <rFont val="Arial"/>
        <sz val="10"/>
      </rPr>
      <t xml:space="preserve"> For we three... like soldiers fought together for so many years, that I am even ashamed for you: how could you have thought that idle gossip could erect a wall between us.</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</si>
  <si>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Біз үшеуміз… қаншама жылдар бойы қатар түзеп, өмірдегі тосқауылдармен сарбаздарша күресіп, беріспей келеміз, сондықтан сенің бұл әрекетің үшін ұяламын, қайдағы біреулердің қаңқу өсектеріне бола ортамызда алауыздық болады деп, қалай ойлайсың, сірә?
</t>
    </r>
    <r>
      <rPr>
        <rFont val="Arial"/>
        <sz val="10"/>
        <b/>
      </rPr>
      <t>TRANS:</t>
    </r>
    <r>
      <rPr>
        <rFont val="Arial"/>
        <sz val="10"/>
      </rPr>
      <t xml:space="preserve"> Bız üşeumız… qanşama jyldar boiy qatar tüzep, ömırdegı tosqauyldarmen sarbazdarşa küresıp, berıspei kelemız, sondyqtan senıñ būl äreketıñ üşın ūialamyn, qaidağy bıreulerdıñ qañqu ösekterıne bola ortamyzda alauyzdyq bolady dep, qalai oilaisyñ, sırä?
</t>
    </r>
    <r>
      <rPr>
        <rFont val="Arial"/>
        <sz val="10"/>
        <b/>
      </rPr>
      <t>TRANSLATION:</t>
    </r>
    <r>
      <rPr>
        <rFont val="Arial"/>
        <sz val="10"/>
      </rPr>
      <t xml:space="preserve"> We three... for so many years standing in line, fighting like soldiers against life's obstacles without yielding — and so I am ashamed for you for this action of yours: how could you have thought that the cackling rumors of some people would create division among us?</t>
    </r>
  </si>
  <si>
    <r>
      <rPr>
        <rFont val="Arial"/>
        <sz val="10"/>
        <b/>
      </rPr>
      <t>TERM:</t>
    </r>
    <r>
      <rPr>
        <rFont val="Arial"/>
        <sz val="10"/>
      </rPr>
      <t xml:space="preserve"> styd (стыд) — shame; the feeling of having transgressed a moral or social norm [ORD]
</t>
    </r>
    <r>
      <rPr>
        <rFont val="Arial"/>
        <sz val="10"/>
        <b/>
      </rPr>
      <t>PASSAGE:</t>
    </r>
    <r>
      <rPr>
        <rFont val="Arial"/>
        <sz val="10"/>
      </rPr>
      <t xml:space="preserve"> Она поняла, что он любит ее и ее любовь дает ему радость и повергает его в безмерное отчаяние и стыд.
</t>
    </r>
    <r>
      <rPr>
        <rFont val="Arial"/>
        <sz val="10"/>
        <b/>
      </rPr>
      <t>TRANS:</t>
    </r>
    <r>
      <rPr>
        <rFont val="Arial"/>
        <sz val="10"/>
      </rPr>
      <t xml:space="preserve"> Ona ponyala, chto on lyubit ee i ee lyubov' daet emu radost' i povergaet ego v bezmernoe otchayanie i styd.
</t>
    </r>
    <r>
      <rPr>
        <rFont val="Arial"/>
        <sz val="10"/>
        <b/>
      </rPr>
      <t>TRANSLATION:</t>
    </r>
    <r>
      <rPr>
        <rFont val="Arial"/>
        <sz val="10"/>
      </rPr>
      <t xml:space="preserve"> She understood that he loves her, and that her love brings him joy and casts him into boundless despair and shame.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</si>
  <si>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Ол оның өзін жақсы көретінін түсінді... мұның махаббаты оған қуаныш сыйлайтынын және оны үлкен үмітсіздік пен ұятқа душар ететінін де түсінді.
</t>
    </r>
    <r>
      <rPr>
        <rFont val="Arial"/>
        <sz val="10"/>
        <b/>
      </rPr>
      <t>TRANS:</t>
    </r>
    <r>
      <rPr>
        <rFont val="Arial"/>
        <sz val="10"/>
      </rPr>
      <t xml:space="preserve"> Ol onyñ özın jaqsy köretının tüsındı... mūnyñ mahabbaty oğan quanyş syilaitynyn jäne ony ülken ümıtsızdık pen ūiatqa duşar etetının de tüsındı.
</t>
    </r>
    <r>
      <rPr>
        <rFont val="Arial"/>
        <sz val="10"/>
        <b/>
      </rPr>
      <t>TRANSLATION:</t>
    </r>
    <r>
      <rPr>
        <rFont val="Arial"/>
        <sz val="10"/>
      </rPr>
      <t xml:space="preserve"> She understood that he loves her... she understood that her love gives him joy and brings him to great hopelessness and shame.</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</si>
  <si>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Вам было стыдно? Stydit’sja (стыдиться) = to be ashamed
</t>
    </r>
    <r>
      <rPr>
        <rFont val="Arial"/>
        <sz val="10"/>
        <b/>
      </rPr>
      <t>TRANS:</t>
    </r>
    <r>
      <rPr>
        <rFont val="Arial"/>
        <sz val="10"/>
      </rPr>
      <t xml:space="preserve"> Vam bylo stydno? Stydit’sja (stydit'sya) = to be ashamed
</t>
    </r>
    <r>
      <rPr>
        <rFont val="Arial"/>
        <sz val="10"/>
        <b/>
      </rPr>
      <t>TRANSLATION:</t>
    </r>
    <r>
      <rPr>
        <rFont val="Arial"/>
        <sz val="10"/>
      </rPr>
      <t xml:space="preserve"> You were ashamed?</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</si>
  <si>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Ұялдым дейсіз бе?
</t>
    </r>
    <r>
      <rPr>
        <rFont val="Arial"/>
        <sz val="10"/>
        <b/>
      </rPr>
      <t>TRANS:</t>
    </r>
    <r>
      <rPr>
        <rFont val="Arial"/>
        <sz val="10"/>
      </rPr>
      <t xml:space="preserve"> Ūialdym deisız be?
</t>
    </r>
    <r>
      <rPr>
        <rFont val="Arial"/>
        <sz val="10"/>
        <b/>
      </rPr>
      <t>TRANSLATION:</t>
    </r>
    <r>
      <rPr>
        <rFont val="Arial"/>
        <sz val="10"/>
      </rPr>
      <t xml:space="preserve"> You say you were ashamed?</t>
    </r>
  </si>
  <si>
    <r>
      <rPr>
        <rFont val="Arial"/>
        <sz val="10"/>
        <b/>
      </rPr>
      <t>TERM:</t>
    </r>
    <r>
      <rPr>
        <rFont val="Arial"/>
        <sz val="10"/>
      </rPr>
      <t xml:space="preserve"> stydilsya (стыдился) — felt ashamed (3sg masc. past, impf.) [ORD] (lemma: стыдиться)
</t>
    </r>
    <r>
      <rPr>
        <rFont val="Arial"/>
        <sz val="10"/>
        <b/>
      </rPr>
      <t>PASSAGE:</t>
    </r>
    <r>
      <rPr>
        <rFont val="Arial"/>
        <sz val="10"/>
      </rPr>
      <t xml:space="preserve"> К тому же он, казалось, стыдился того, что у него работают каторжники, и почти не общался со Скарлетт.
</t>
    </r>
    <r>
      <rPr>
        <rFont val="Arial"/>
        <sz val="10"/>
        <b/>
      </rPr>
      <t>TRANS:</t>
    </r>
    <r>
      <rPr>
        <rFont val="Arial"/>
        <sz val="10"/>
      </rPr>
      <t xml:space="preserve"> K tomu zhe on, kazalos', stydilsya togo, chto u nego rabotayut katorzhniki, i pochti ne obshchalsya so Skarlett.
</t>
    </r>
    <r>
      <rPr>
        <rFont val="Arial"/>
        <sz val="10"/>
        <b/>
      </rPr>
      <t>TRANSLATION:</t>
    </r>
    <r>
      <rPr>
        <rFont val="Arial"/>
        <sz val="10"/>
      </rPr>
      <t xml:space="preserve"> Moreover, he seemed to be ashamed that convicts were working for him, and he hardly communicated with Scarlett at all.</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</si>
  <si>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Сотталғандармен жұмыс істеп жүргеніне қысылатын да сияқты ма, Скарлеттпен де көп кездеспей жүр.
</t>
    </r>
    <r>
      <rPr>
        <rFont val="Arial"/>
        <sz val="10"/>
        <b/>
      </rPr>
      <t>TRANS:</t>
    </r>
    <r>
      <rPr>
        <rFont val="Arial"/>
        <sz val="10"/>
      </rPr>
      <t xml:space="preserve"> Sottalğandarmen jūmys ıstep jürgenıne qysylatyn da siaqty ma, Skarlettpen de köp kezdespei jür.
</t>
    </r>
    <r>
      <rPr>
        <rFont val="Arial"/>
        <sz val="10"/>
        <b/>
      </rPr>
      <t>TRANSLATION:</t>
    </r>
    <r>
      <rPr>
        <rFont val="Arial"/>
        <sz val="10"/>
      </rPr>
      <t xml:space="preserve"> It seems he is also embarrassed at working with convicts; he no longer often meets with Scarlett either.</t>
    </r>
  </si>
  <si>
    <r>
      <rPr>
        <rFont val="Arial"/>
        <sz val="10"/>
        <b/>
      </rPr>
      <t>TERM:</t>
    </r>
    <r>
      <rPr>
        <rFont val="Arial"/>
        <sz val="10"/>
      </rPr>
      <t xml:space="preserve"> pozor (позор) — disgrace; shame; ignominy [ORD]
</t>
    </r>
    <r>
      <rPr>
        <rFont val="Arial"/>
        <sz val="10"/>
        <b/>
      </rPr>
      <t>PASSAGE:</t>
    </r>
    <r>
      <rPr>
        <rFont val="Arial"/>
        <sz val="10"/>
      </rPr>
      <t xml:space="preserve"> Черное пятно позора и вины, лежавшее на ней, переползло и на него.
</t>
    </r>
    <r>
      <rPr>
        <rFont val="Arial"/>
        <sz val="10"/>
        <b/>
      </rPr>
      <t>TRANS:</t>
    </r>
    <r>
      <rPr>
        <rFont val="Arial"/>
        <sz val="10"/>
      </rPr>
      <t xml:space="preserve"> Černoe pjatno pozora i viny, ležavšee na nej, perepolzlo i na nego.
</t>
    </r>
    <r>
      <rPr>
        <rFont val="Arial"/>
        <sz val="10"/>
        <b/>
      </rPr>
      <t>TRANSLATION:</t>
    </r>
    <r>
      <rPr>
        <rFont val="Arial"/>
        <sz val="10"/>
      </rPr>
      <t xml:space="preserve"> The black stain of disgrace and guilt that lay upon her spread to him as well.</t>
    </r>
  </si>
  <si>
    <r>
      <rPr>
        <rFont val="Arial"/>
        <sz val="10"/>
        <b/>
      </rPr>
      <t>TERM:</t>
    </r>
    <r>
      <rPr>
        <rFont val="Arial"/>
        <sz val="10"/>
      </rPr>
      <t xml:space="preserve"> kınä men künä (кінә мен күнә) — guilt and sin (set phrase combining secular and religious registers) [KED, SZK] (lemma: кінә)
</t>
    </r>
    <r>
      <rPr>
        <rFont val="Arial"/>
        <sz val="10"/>
        <b/>
      </rPr>
      <t>PASSAGE:</t>
    </r>
    <r>
      <rPr>
        <rFont val="Arial"/>
        <sz val="10"/>
      </rPr>
      <t xml:space="preserve"> Осы уақытқа дейін өз арқасына басқан кінә мен күнәнің қап-қара нүктесі жылыстап, Эшлиге қарай ауып бара жатты.
</t>
    </r>
    <r>
      <rPr>
        <rFont val="Arial"/>
        <sz val="10"/>
        <b/>
      </rPr>
      <t>TRANS:</t>
    </r>
    <r>
      <rPr>
        <rFont val="Arial"/>
        <sz val="10"/>
      </rPr>
      <t xml:space="preserve"> Osy uaqytqa deiın öz arqasyna basqan kınä men künänıñ qap-qara nüktesı jylystap, Eşlige qarai auyp bara jatty.
</t>
    </r>
    <r>
      <rPr>
        <rFont val="Arial"/>
        <sz val="10"/>
        <b/>
      </rPr>
      <t>TRANSLATION:</t>
    </r>
    <r>
      <rPr>
        <rFont val="Arial"/>
        <sz val="10"/>
      </rPr>
      <t xml:space="preserve"> Up till now, the pitch-black mark of guilt and sin she had borne on her own back was sliding off and shifting toward Ashley.</t>
    </r>
  </si>
  <si>
    <r>
      <rPr>
        <rFont val="Arial"/>
        <sz val="10"/>
        <b/>
      </rPr>
      <t>TERM:</t>
    </r>
    <r>
      <rPr>
        <rFont val="Arial"/>
        <sz val="10"/>
      </rPr>
      <t xml:space="preserve"> styd (стыд) — shame; the feeling of having transgressed a moral or social norm [ORD]
</t>
    </r>
    <r>
      <rPr>
        <rFont val="Arial"/>
        <sz val="10"/>
        <b/>
      </rPr>
      <t>PASSAGE:</t>
    </r>
    <r>
      <rPr>
        <rFont val="Arial"/>
        <sz val="10"/>
      </rPr>
      <t xml:space="preserve"> Растерянность и стыд были в ее вытаращенных от страха глазах.
</t>
    </r>
    <r>
      <rPr>
        <rFont val="Arial"/>
        <sz val="10"/>
        <b/>
      </rPr>
      <t>TRANS:</t>
    </r>
    <r>
      <rPr>
        <rFont val="Arial"/>
        <sz val="10"/>
      </rPr>
      <t xml:space="preserve"> Rasteryannost' i styd byli v ee vytarashchennykh ot strakha glazakh.
</t>
    </r>
    <r>
      <rPr>
        <rFont val="Arial"/>
        <sz val="10"/>
        <b/>
      </rPr>
      <t>TRANSLATION:</t>
    </r>
    <r>
      <rPr>
        <rFont val="Arial"/>
        <sz val="10"/>
      </rPr>
      <t xml:space="preserve"> Bewilderment and shame were in her eyes bulging with terror.</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</si>
  <si>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Оның жүзінен абыржу мен ұялғандықты анық бауқауға болатын еді.
</t>
    </r>
    <r>
      <rPr>
        <rFont val="Arial"/>
        <sz val="10"/>
        <b/>
      </rPr>
      <t>TRANS:</t>
    </r>
    <r>
      <rPr>
        <rFont val="Arial"/>
        <sz val="10"/>
      </rPr>
      <t xml:space="preserve"> Onyñ jüzınen abyrju men ūialğandyqty anyq bauqauğa bolatyn edı.
</t>
    </r>
    <r>
      <rPr>
        <rFont val="Arial"/>
        <sz val="10"/>
        <b/>
      </rPr>
      <t>TRANSLATION:</t>
    </r>
    <r>
      <rPr>
        <rFont val="Arial"/>
        <sz val="10"/>
      </rPr>
      <t xml:space="preserve"> Bewilderment and shame could be clearly seen on her face.</t>
    </r>
  </si>
  <si>
    <r>
      <rPr>
        <rFont val="Arial"/>
        <sz val="10"/>
        <b/>
      </rPr>
      <t>TERM:</t>
    </r>
    <r>
      <rPr>
        <rFont val="Arial"/>
        <sz val="10"/>
      </rPr>
      <t xml:space="preserve"> posramil by samogo sebya (посрамил бы самого себя) — would have brought shame on himself [ORD] (lemma: посрамить)
</t>
    </r>
    <r>
      <rPr>
        <rFont val="Arial"/>
        <sz val="10"/>
        <b/>
      </rPr>
      <t>PASSAGE:</t>
    </r>
    <r>
      <rPr>
        <rFont val="Arial"/>
        <sz val="10"/>
      </rPr>
      <t xml:space="preserve"> Порк посрамил бы самого себя, если бы потратил ее деньги
</t>
    </r>
    <r>
      <rPr>
        <rFont val="Arial"/>
        <sz val="10"/>
        <b/>
      </rPr>
      <t>TRANS:</t>
    </r>
    <r>
      <rPr>
        <rFont val="Arial"/>
        <sz val="10"/>
      </rPr>
      <t xml:space="preserve"> Pork posramil by samogo sebya, esli by potratil ee den'gi
</t>
    </r>
    <r>
      <rPr>
        <rFont val="Arial"/>
        <sz val="10"/>
        <b/>
      </rPr>
      <t>TRANSLATION:</t>
    </r>
    <r>
      <rPr>
        <rFont val="Arial"/>
        <sz val="10"/>
      </rPr>
      <t xml:space="preserve"> Pork would have shamed himself if he had spent her money</t>
    </r>
  </si>
  <si>
    <r>
      <rPr>
        <rFont val="Arial"/>
        <sz val="10"/>
        <b/>
      </rPr>
      <t>TERM:</t>
    </r>
    <r>
      <rPr>
        <rFont val="Arial"/>
        <sz val="10"/>
      </rPr>
      <t xml:space="preserve"> nikakikh ugryzeniy sovesti (никаких угрызений совести) — no pangs of conscience whatsoever [ORD] (lemma: угрызение)
</t>
    </r>
    <r>
      <rPr>
        <rFont val="Arial"/>
        <sz val="10"/>
        <b/>
      </rPr>
      <t>PASSAGE:</t>
    </r>
    <r>
      <rPr>
        <rFont val="Arial"/>
        <sz val="10"/>
      </rPr>
      <t xml:space="preserve"> Лицо Скарлетт выражало торжество — никаких угрызений совести она не испытывала, хотя и поступила с Джералдом отнюдь не как любящая, преданная дочь.
</t>
    </r>
    <r>
      <rPr>
        <rFont val="Arial"/>
        <sz val="10"/>
        <b/>
      </rPr>
      <t>TRANS:</t>
    </r>
    <r>
      <rPr>
        <rFont val="Arial"/>
        <sz val="10"/>
      </rPr>
      <t xml:space="preserve"> Litso Skarlett vyrazhalo torzhestvo — nikakikh ugryzeniy sovesti ona ne ispytyvala, khotya i postupila s Dzheraldom otnyud' ne kak lyubyashchaya, predannaya doch'.
</t>
    </r>
    <r>
      <rPr>
        <rFont val="Arial"/>
        <sz val="10"/>
        <b/>
      </rPr>
      <t>TRANSLATION:</t>
    </r>
    <r>
      <rPr>
        <rFont val="Arial"/>
        <sz val="10"/>
      </rPr>
      <t xml:space="preserve"> Scarlett's face wore a triumphant expression — she felt no pangs of conscience whatsoever, although she had not behaved like a loving, devoted daughter toward Gerald.</t>
    </r>
  </si>
  <si>
    <r>
      <rPr>
        <rFont val="Arial"/>
        <sz val="10"/>
        <b/>
      </rPr>
      <t>TERM:</t>
    </r>
    <r>
      <rPr>
        <rFont val="Arial"/>
        <sz val="10"/>
      </rPr>
      <t xml:space="preserve"> QYMSYNU (ҚЫМСЫНУ) — to feel awkward; to feel embarrassed [KED, SZK]
</t>
    </r>
    <r>
      <rPr>
        <rFont val="Arial"/>
        <sz val="10"/>
        <b/>
      </rPr>
      <t>PASSAGE:</t>
    </r>
    <r>
      <rPr>
        <rFont val="Arial"/>
        <sz val="10"/>
      </rPr>
      <t xml:space="preserve"> Скарлеттің бет-әлпетінде жеңіске жеткен түр байқалады, ол Джералдқа әкесін жақсы көретін адал қызы емес, бөтен біреудей қулық жасағанына еш қымсынған жоқ.
</t>
    </r>
    <r>
      <rPr>
        <rFont val="Arial"/>
        <sz val="10"/>
        <b/>
      </rPr>
      <t>TRANS:</t>
    </r>
    <r>
      <rPr>
        <rFont val="Arial"/>
        <sz val="10"/>
      </rPr>
      <t xml:space="preserve"> Skarlettıñ bet-älpetınde jeñıske jetken tür baiqalady, ol Jeraldqa äkesın jaqsy köretın adal qyzy emes, böten bıreudei qulyq jasağanyna eş qymsynğan joq.
</t>
    </r>
    <r>
      <rPr>
        <rFont val="Arial"/>
        <sz val="10"/>
        <b/>
      </rPr>
      <t>TRANSLATION:</t>
    </r>
    <r>
      <rPr>
        <rFont val="Arial"/>
        <sz val="10"/>
      </rPr>
      <t xml:space="preserve"> Scarlett's face showed a victorious expression; she felt no embarrassment at all that she had played a trick on Gerald like a stranger rather than as a loving, faithful daughter.</t>
    </r>
  </si>
  <si>
    <r>
      <rPr>
        <rFont val="Arial"/>
        <sz val="10"/>
        <b/>
      </rPr>
      <t>TERM:</t>
    </r>
    <r>
      <rPr>
        <rFont val="Arial"/>
        <sz val="10"/>
      </rPr>
      <t xml:space="preserve"> styd (стыд) — shame; the feeling of having transgressed a moral or social norm [ORD]
</t>
    </r>
    <r>
      <rPr>
        <rFont val="Arial"/>
        <sz val="10"/>
        <b/>
      </rPr>
      <t>PASSAGE:</t>
    </r>
    <r>
      <rPr>
        <rFont val="Arial"/>
        <sz val="10"/>
      </rPr>
      <t xml:space="preserve"> Ее уже не мучил стыд, разочарование или горечь — лишь была какая-то слабость в коленях да огромная пустота в душе.
</t>
    </r>
    <r>
      <rPr>
        <rFont val="Arial"/>
        <sz val="10"/>
        <b/>
      </rPr>
      <t>TRANS:</t>
    </r>
    <r>
      <rPr>
        <rFont val="Arial"/>
        <sz val="10"/>
      </rPr>
      <t xml:space="preserve"> Ee uzhe ne muchil styd, razocharovanie ili gorech' — lish' byla kakaya-to slabost' v kolenyakh da ogromnaya pustota v dushe.
</t>
    </r>
    <r>
      <rPr>
        <rFont val="Arial"/>
        <sz val="10"/>
        <b/>
      </rPr>
      <t>TRANSLATION:</t>
    </r>
    <r>
      <rPr>
        <rFont val="Arial"/>
        <sz val="10"/>
      </rPr>
      <t xml:space="preserve"> She was no longer tormented by shame, disappointment, or bitterness — only a kind of weakness in her knees and a vast emptiness in her soul.</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</si>
  <si>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Қалған көңіл де, қысқан ұят та бір шетке ысырылып, жан дүниесі босап, буын-буынынан әл кетіпті.
</t>
    </r>
    <r>
      <rPr>
        <rFont val="Arial"/>
        <sz val="10"/>
        <b/>
      </rPr>
      <t>TRANS:</t>
    </r>
    <r>
      <rPr>
        <rFont val="Arial"/>
        <sz val="10"/>
      </rPr>
      <t xml:space="preserve"> Qalğan köñıl de, qysqan ūiat ta bır şetke ysyrylyp, jan düniesı bosap, buyn-buynynan äl ketıptı.
</t>
    </r>
    <r>
      <rPr>
        <rFont val="Arial"/>
        <sz val="10"/>
        <b/>
      </rPr>
      <t>TRANSLATION:</t>
    </r>
    <r>
      <rPr>
        <rFont val="Arial"/>
        <sz val="10"/>
      </rPr>
      <t xml:space="preserve"> Both her remaining feelings and her gripping shame had been pushed aside; her inner being was emptied, and the strength had left her every joint.</t>
    </r>
  </si>
  <si>
    <r>
      <rPr>
        <rFont val="Arial"/>
        <sz val="10"/>
        <b/>
      </rPr>
      <t>TERM:</t>
    </r>
    <r>
      <rPr>
        <rFont val="Arial"/>
        <sz val="10"/>
      </rPr>
      <t xml:space="preserve"> stesneniya (стеснения) — awkwardness; constraint (gen.) [ORD] (lemma: стеснение)
</t>
    </r>
    <r>
      <rPr>
        <rFont val="Arial"/>
        <sz val="10"/>
        <b/>
      </rPr>
      <t>PASSAGE:</t>
    </r>
    <r>
      <rPr>
        <rFont val="Arial"/>
        <sz val="10"/>
      </rPr>
      <t xml:space="preserve"> Скажи она их кому угодно, кроме Ретта, она бы без всякого стеснения взяла их назад.
</t>
    </r>
    <r>
      <rPr>
        <rFont val="Arial"/>
        <sz val="10"/>
        <b/>
      </rPr>
      <t>TRANS:</t>
    </r>
    <r>
      <rPr>
        <rFont val="Arial"/>
        <sz val="10"/>
      </rPr>
      <t xml:space="preserve"> Skazhi ona ikh komu ugodno, krome Retta, ona by bez vsyakogo stesneniya vzyala ikh nazad.
</t>
    </r>
    <r>
      <rPr>
        <rFont val="Arial"/>
        <sz val="10"/>
        <b/>
      </rPr>
      <t>TRANSLATION:</t>
    </r>
    <r>
      <rPr>
        <rFont val="Arial"/>
        <sz val="10"/>
      </rPr>
      <t xml:space="preserve"> Had she said it to anyone but Rhett, she would have taken it back without any embarrassment.</t>
    </r>
  </si>
  <si>
    <r>
      <rPr>
        <rFont val="Arial"/>
        <sz val="10"/>
        <b/>
      </rPr>
      <t>TERM:</t>
    </r>
    <r>
      <rPr>
        <rFont val="Arial"/>
        <sz val="10"/>
      </rPr>
      <t xml:space="preserve"> stydit'sya (стыдиться) — to feel ashamed (imperfective); pf. постыдиться/устыдиться [ORD]
</t>
    </r>
    <r>
      <rPr>
        <rFont val="Arial"/>
        <sz val="10"/>
        <b/>
      </rPr>
      <t>PASSAGE:</t>
    </r>
    <r>
      <rPr>
        <rFont val="Arial"/>
        <sz val="10"/>
      </rPr>
      <t xml:space="preserve"> ей не приходится стыдиться
</t>
    </r>
    <r>
      <rPr>
        <rFont val="Arial"/>
        <sz val="10"/>
        <b/>
      </rPr>
      <t>TRANS:</t>
    </r>
    <r>
      <rPr>
        <rFont val="Arial"/>
        <sz val="10"/>
      </rPr>
      <t xml:space="preserve"> ey ne prikhoditsya stydit'sya
</t>
    </r>
    <r>
      <rPr>
        <rFont val="Arial"/>
        <sz val="10"/>
        <b/>
      </rPr>
      <t>TRANSLATION:</t>
    </r>
    <r>
      <rPr>
        <rFont val="Arial"/>
        <sz val="10"/>
      </rPr>
      <t xml:space="preserve"> she did not have to feel ashamed</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</si>
  <si>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Түптеп келгенде тіпті таңертеңнен мойнын, иығын, қолын жаңалаштау аса орынды болмаса да, сол үшін қысылуына тура келмейді.
</t>
    </r>
    <r>
      <rPr>
        <rFont val="Arial"/>
        <sz val="10"/>
        <b/>
      </rPr>
      <t>TRANS:</t>
    </r>
    <r>
      <rPr>
        <rFont val="Arial"/>
        <sz val="10"/>
      </rPr>
      <t xml:space="preserve"> Tüptep kelgende tıptı tañerteñnen moinyn, iyğyn, qolyn jañalaştau asa oryndy bolmasa da, sol üşın qysyluyna tura kelmeidı.
</t>
    </r>
    <r>
      <rPr>
        <rFont val="Arial"/>
        <sz val="10"/>
        <b/>
      </rPr>
      <t>TRANSLATION:</t>
    </r>
    <r>
      <rPr>
        <rFont val="Arial"/>
        <sz val="10"/>
      </rPr>
      <t xml:space="preserve"> After all, even though baring her neck, shoulders, and arms in the morning was not entirely proper, she did not have to feel embarrassed about it.</t>
    </r>
  </si>
  <si>
    <r>
      <rPr>
        <rFont val="Arial"/>
        <sz val="10"/>
        <b/>
      </rPr>
      <t>TERM:</t>
    </r>
    <r>
      <rPr>
        <rFont val="Arial"/>
        <sz val="10"/>
      </rPr>
      <t xml:space="preserve"> iz"yana (изъяна) — defect; flaw (gen.) [ORD] (lemma: изъян)
</t>
    </r>
    <r>
      <rPr>
        <rFont val="Arial"/>
        <sz val="10"/>
        <b/>
      </rPr>
      <t>PASSAGE:</t>
    </r>
    <r>
      <rPr>
        <rFont val="Arial"/>
        <sz val="10"/>
      </rPr>
      <t xml:space="preserve"> не обнаружила в своей фигуре ни малейшего изъяна.
</t>
    </r>
    <r>
      <rPr>
        <rFont val="Arial"/>
        <sz val="10"/>
        <b/>
      </rPr>
      <t>TRANS:</t>
    </r>
    <r>
      <rPr>
        <rFont val="Arial"/>
        <sz val="10"/>
      </rPr>
      <t xml:space="preserve"> ne obnaruzhila v svoey figure ni maleyshego iz"yana.
</t>
    </r>
    <r>
      <rPr>
        <rFont val="Arial"/>
        <sz val="10"/>
        <b/>
      </rPr>
      <t>TRANSLATION:</t>
    </r>
    <r>
      <rPr>
        <rFont val="Arial"/>
        <sz val="10"/>
      </rPr>
      <t xml:space="preserve"> she found not the slightest flaw in her figure.</t>
    </r>
  </si>
  <si>
    <r>
      <rPr>
        <rFont val="Arial"/>
        <sz val="10"/>
        <b/>
      </rPr>
      <t>TERM:</t>
    </r>
    <r>
      <rPr>
        <rFont val="Arial"/>
        <sz val="10"/>
      </rPr>
      <t xml:space="preserve"> KEMŞILIK (КЕМШІЛІК) — defect; failing; shortcoming [KED, SZK]
</t>
    </r>
    <r>
      <rPr>
        <rFont val="Arial"/>
        <sz val="10"/>
        <b/>
      </rPr>
      <t>PASSAGE:</t>
    </r>
    <r>
      <rPr>
        <rFont val="Arial"/>
        <sz val="10"/>
      </rPr>
      <t xml:space="preserve"> Айна алдында тұрып, ол өзін жанынан көру үшін белін майыстырып қарап, сымбатынан еш кемшілік таппады.  comment: 'shame' is not directly translated. 
</t>
    </r>
    <r>
      <rPr>
        <rFont val="Arial"/>
        <sz val="10"/>
        <b/>
      </rPr>
      <t>TRANS:</t>
    </r>
    <r>
      <rPr>
        <rFont val="Arial"/>
        <sz val="10"/>
      </rPr>
      <t xml:space="preserve"> Aina aldynda tūryp, ol özın janynan köru üşın belın maiystyryp qarap, symbatynan eş kemşılık tappady.  comment: 'shame' is not directly translated. 
</t>
    </r>
    <r>
      <rPr>
        <rFont val="Arial"/>
        <sz val="10"/>
        <b/>
      </rPr>
      <t>TRANSLATION:</t>
    </r>
    <r>
      <rPr>
        <rFont val="Arial"/>
        <sz val="10"/>
      </rPr>
      <t xml:space="preserve"> Standing before the mirror and turning sideways to view her profile, she found no flaw in her elegance.</t>
    </r>
  </si>
  <si>
    <r>
      <rPr>
        <rFont val="Arial"/>
        <sz val="10"/>
        <b/>
      </rPr>
      <t>TERM:</t>
    </r>
    <r>
      <rPr>
        <rFont val="Arial"/>
        <sz val="10"/>
      </rPr>
      <t xml:space="preserve"> sgorat' so styda (сгорать со стыда) — to burn up with shame (idiom) [ORD] (lemma: сгорать)
</t>
    </r>
    <r>
      <rPr>
        <rFont val="Arial"/>
        <sz val="10"/>
        <b/>
      </rPr>
      <t>PASSAGE:</t>
    </r>
    <r>
      <rPr>
        <rFont val="Arial"/>
        <sz val="10"/>
      </rPr>
      <t xml:space="preserve"> Пусть бы он никогда-никогда не узнал об этом — все лучше, чем так сгорать со стыда
</t>
    </r>
    <r>
      <rPr>
        <rFont val="Arial"/>
        <sz val="10"/>
        <b/>
      </rPr>
      <t>TRANS:</t>
    </r>
    <r>
      <rPr>
        <rFont val="Arial"/>
        <sz val="10"/>
      </rPr>
      <t xml:space="preserve"> Pust' by on nikogda-nikogda ne uznal ob etom — vse luchshe, chem tak sgorat' so styda
</t>
    </r>
    <r>
      <rPr>
        <rFont val="Arial"/>
        <sz val="10"/>
        <b/>
      </rPr>
      <t>TRANSLATION:</t>
    </r>
    <r>
      <rPr>
        <rFont val="Arial"/>
        <sz val="10"/>
      </rPr>
      <t xml:space="preserve"> Let him never, never know about it — anything would be better than burning up with shame so</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</si>
  <si>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Ах, ол неге Эллин мен Үлкен шешейдің нұсқауын тыңдамады! Эшли мұның сезімінен күдіктенбеуі керек еді! Бұлай ұяттан өртенгенше, оның бұл туралы ешқашан, еш уақытта білмегені жақсы еді!
</t>
    </r>
    <r>
      <rPr>
        <rFont val="Arial"/>
        <sz val="10"/>
        <b/>
      </rPr>
      <t>TRANS:</t>
    </r>
    <r>
      <rPr>
        <rFont val="Arial"/>
        <sz val="10"/>
      </rPr>
      <t xml:space="preserve"> Ah, ol nege Elin men Ülken şeşeidıñ nūsqauyn tyñdamady! Eşli mūnyñ sezımınen küdıktenbeuı kerek edı! Būlai ūiattan örtengenşe, onyñ būl turaly eşqaşan, eş uaqytta bılmegenı jaqsy edı!
</t>
    </r>
    <r>
      <rPr>
        <rFont val="Arial"/>
        <sz val="10"/>
        <b/>
      </rPr>
      <t>TRANSLATION:</t>
    </r>
    <r>
      <rPr>
        <rFont val="Arial"/>
        <sz val="10"/>
      </rPr>
      <t xml:space="preserve"> Ah, why had she not heeded Ellen's and Mammy's instructions! Ashley should not have suspected her feelings! Better that he should never, ever know about this than to burn up like this with shame!</t>
    </r>
  </si>
  <si>
    <r>
      <rPr>
        <rFont val="Arial"/>
        <sz val="10"/>
        <b/>
      </rPr>
      <t>TERM:</t>
    </r>
    <r>
      <rPr>
        <rFont val="Arial"/>
        <sz val="10"/>
      </rPr>
      <t xml:space="preserve"> Zardevshis' ot smushcheniya, (Зардевшись от смущения,) = flushing; having blushed
</t>
    </r>
    <r>
      <rPr>
        <rFont val="Arial"/>
        <sz val="10"/>
        <b/>
      </rPr>
      <t>PASSAGE:</t>
    </r>
    <r>
      <rPr>
        <rFont val="Arial"/>
        <sz val="10"/>
      </rPr>
      <t xml:space="preserve"> Зардевшись от смущения, она с мольбой подняла на него глаза
</t>
    </r>
    <r>
      <rPr>
        <rFont val="Arial"/>
        <sz val="10"/>
        <b/>
      </rPr>
      <t>TRANS:</t>
    </r>
    <r>
      <rPr>
        <rFont val="Arial"/>
        <sz val="10"/>
      </rPr>
      <t xml:space="preserve"> Zardevshis' ot smushcheniya, ona s mol'boy podnyala na nego glaza
</t>
    </r>
    <r>
      <rPr>
        <rFont val="Arial"/>
        <sz val="10"/>
        <b/>
      </rPr>
      <t>TRANSLATION:</t>
    </r>
    <r>
      <rPr>
        <rFont val="Arial"/>
        <sz val="10"/>
      </rPr>
      <t xml:space="preserve"> Burning crimson with embarrassment, she raised her eyes pleadingly to him</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</si>
  <si>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Ұяла қысылған Скарлетт оған басын көтеріп қарады, ...
</t>
    </r>
    <r>
      <rPr>
        <rFont val="Arial"/>
        <sz val="10"/>
        <b/>
      </rPr>
      <t>TRANS:</t>
    </r>
    <r>
      <rPr>
        <rFont val="Arial"/>
        <sz val="10"/>
      </rPr>
      <t xml:space="preserve"> Ūiala qysylğan Skarlett oğan basyn köterıp qarady, ...
</t>
    </r>
    <r>
      <rPr>
        <rFont val="Arial"/>
        <sz val="10"/>
        <b/>
      </rPr>
      <t>TRANSLATION:</t>
    </r>
    <r>
      <rPr>
        <rFont val="Arial"/>
        <sz val="10"/>
      </rPr>
      <t xml:space="preserve"> Scarlett, flushed with embarrassment, raised her head and looked at him,...</t>
    </r>
  </si>
  <si>
    <r>
      <rPr>
        <rFont val="Arial"/>
        <sz val="10"/>
        <b/>
      </rPr>
      <t>TERM:</t>
    </r>
    <r>
      <rPr>
        <rFont val="Arial"/>
        <sz val="10"/>
      </rPr>
      <t xml:space="preserve"> styd (стыд) — shame; the feeling of having transgressed a moral or social norm [ORD]
</t>
    </r>
    <r>
      <rPr>
        <rFont val="Arial"/>
        <sz val="10"/>
        <b/>
      </rPr>
      <t>PASSAGE:</t>
    </r>
    <r>
      <rPr>
        <rFont val="Arial"/>
        <sz val="10"/>
      </rPr>
      <t xml:space="preserve"> Скарлетт не раз испытывала втайне стыд, что Эшли не пишет Мелани таких писем, которые интересно было бы почитать в швейном кружке вслух.
</t>
    </r>
    <r>
      <rPr>
        <rFont val="Arial"/>
        <sz val="10"/>
        <b/>
      </rPr>
      <t>TRANS:</t>
    </r>
    <r>
      <rPr>
        <rFont val="Arial"/>
        <sz val="10"/>
      </rPr>
      <t xml:space="preserve"> Skarlett ne raz ispytyvala vtayne styd, chto Eshli ne pishet Melani takikh pisem, kotorye interesno bylo by pochitat' v shveynom kruzhke vslukh.
</t>
    </r>
    <r>
      <rPr>
        <rFont val="Arial"/>
        <sz val="10"/>
        <b/>
      </rPr>
      <t>TRANSLATION:</t>
    </r>
    <r>
      <rPr>
        <rFont val="Arial"/>
        <sz val="10"/>
      </rPr>
      <t xml:space="preserve"> Scarlett had more than once felt secret shame that Ashley did not write Melanie letters of the kind that would be interesting to read aloud in the sewing circle.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</si>
  <si>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 ал Скарлетт Эшлидің Меланиге мұндай хаттарды жазбағанына бірнеше рет ішінен ұялған, ...
</t>
    </r>
    <r>
      <rPr>
        <rFont val="Arial"/>
        <sz val="10"/>
        <b/>
      </rPr>
      <t>TRANS:</t>
    </r>
    <r>
      <rPr>
        <rFont val="Arial"/>
        <sz val="10"/>
      </rPr>
      <t xml:space="preserve"> ... al Skarlett Eşlidıñ Melanige mūndai hattardy jazbağanyna bırneşe ret ışınen ūialğan, ...
</t>
    </r>
    <r>
      <rPr>
        <rFont val="Arial"/>
        <sz val="10"/>
        <b/>
      </rPr>
      <t>TRANSLATION:</t>
    </r>
    <r>
      <rPr>
        <rFont val="Arial"/>
        <sz val="10"/>
      </rPr>
      <t xml:space="preserve"> ...and Scarlett had felt ashamed inwardly several times that Ashley did not write Melanie such letters,...</t>
    </r>
  </si>
  <si>
    <r>
      <rPr>
        <rFont val="Arial"/>
        <sz val="10"/>
        <b/>
      </rPr>
      <t>TERM:</t>
    </r>
    <r>
      <rPr>
        <rFont val="Arial"/>
        <sz val="10"/>
      </rPr>
      <t xml:space="preserve"> sgoraya ot styda. (сгорая от стыда.) = burning with shame
</t>
    </r>
    <r>
      <rPr>
        <rFont val="Arial"/>
        <sz val="10"/>
        <b/>
      </rPr>
      <t>PASSAGE:</t>
    </r>
    <r>
      <rPr>
        <rFont val="Arial"/>
        <sz val="10"/>
      </rPr>
      <t xml:space="preserve"> Скарлетт вскочила с кресла, сгорая от стыда.
</t>
    </r>
    <r>
      <rPr>
        <rFont val="Arial"/>
        <sz val="10"/>
        <b/>
      </rPr>
      <t>TRANS:</t>
    </r>
    <r>
      <rPr>
        <rFont val="Arial"/>
        <sz val="10"/>
      </rPr>
      <t xml:space="preserve"> Skarlett vskochila s kresla, sgoraya ot styda.
</t>
    </r>
    <r>
      <rPr>
        <rFont val="Arial"/>
        <sz val="10"/>
        <b/>
      </rPr>
      <t>TRANSLATION:</t>
    </r>
    <r>
      <rPr>
        <rFont val="Arial"/>
        <sz val="10"/>
      </rPr>
      <t xml:space="preserve"> Scarlett leapt up from the chair, burning with shame.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</si>
  <si>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Скарлетт ұяттан өртеніп креслодан атып тұрды.
</t>
    </r>
    <r>
      <rPr>
        <rFont val="Arial"/>
        <sz val="10"/>
        <b/>
      </rPr>
      <t>TRANS:</t>
    </r>
    <r>
      <rPr>
        <rFont val="Arial"/>
        <sz val="10"/>
      </rPr>
      <t xml:space="preserve"> Skarlett ūiattan örtenıp kreslodan atyp tūrdy.
</t>
    </r>
    <r>
      <rPr>
        <rFont val="Arial"/>
        <sz val="10"/>
        <b/>
      </rPr>
      <t>TRANSLATION:</t>
    </r>
    <r>
      <rPr>
        <rFont val="Arial"/>
        <sz val="10"/>
      </rPr>
      <t xml:space="preserve"> Scarlett, burning up with shame, sprang up from the armchair.</t>
    </r>
  </si>
  <si>
    <r>
      <rPr>
        <rFont val="Arial"/>
        <sz val="10"/>
        <b/>
      </rPr>
      <t>TERM:</t>
    </r>
    <r>
      <rPr>
        <rFont val="Arial"/>
        <sz val="10"/>
      </rPr>
      <t xml:space="preserve"> unizhenii (унижении) — humiliation (prep.) [ORD] (lemma: унижение)
</t>
    </r>
    <r>
      <rPr>
        <rFont val="Arial"/>
        <sz val="10"/>
        <b/>
      </rPr>
      <t>PASSAGE:</t>
    </r>
    <r>
      <rPr>
        <rFont val="Arial"/>
        <sz val="10"/>
      </rPr>
      <t xml:space="preserve"> Завтра она снова будет думать о поведении Ретта, о своем унижении и снова будет кипеть от гнева.
</t>
    </r>
    <r>
      <rPr>
        <rFont val="Arial"/>
        <sz val="10"/>
        <b/>
      </rPr>
      <t>TRANS:</t>
    </r>
    <r>
      <rPr>
        <rFont val="Arial"/>
        <sz val="10"/>
      </rPr>
      <t xml:space="preserve"> Zavtra ona snova budet dumat' o povedenii Retta, o svoem unizhenii i snova budet kipet' ot gneva.
</t>
    </r>
    <r>
      <rPr>
        <rFont val="Arial"/>
        <sz val="10"/>
        <b/>
      </rPr>
      <t>TRANSLATION:</t>
    </r>
    <r>
      <rPr>
        <rFont val="Arial"/>
        <sz val="10"/>
      </rPr>
      <t xml:space="preserve"> Tomorrow she would once again be thinking of Rhett's behavior, of her humiliation, and would once again be seething with anger.</t>
    </r>
  </si>
  <si>
    <r>
      <rPr>
        <rFont val="Arial"/>
        <sz val="10"/>
        <b/>
      </rPr>
      <t>TERM:</t>
    </r>
    <r>
      <rPr>
        <rFont val="Arial"/>
        <sz val="10"/>
      </rPr>
      <t xml:space="preserve"> QYSAS (ҚЫСАС) — malice; revenge; spite [KED, SZK]
</t>
    </r>
    <r>
      <rPr>
        <rFont val="Arial"/>
        <sz val="10"/>
        <b/>
      </rPr>
      <t>PASSAGE:</t>
    </r>
    <r>
      <rPr>
        <rFont val="Arial"/>
        <sz val="10"/>
      </rPr>
      <t xml:space="preserve"> Ертең Реттің қылығын қайтадан еске түсіріп, өзіне жасаған қысастығына күйініп, тағы да ашудан қызынатын шығар.
</t>
    </r>
    <r>
      <rPr>
        <rFont val="Arial"/>
        <sz val="10"/>
        <b/>
      </rPr>
      <t>TRANS:</t>
    </r>
    <r>
      <rPr>
        <rFont val="Arial"/>
        <sz val="10"/>
      </rPr>
      <t xml:space="preserve"> Erteñ Rettıñ qylyğyn qaitadan eske tüsırıp, özıne jasağan qysastyğyna küiınıp, tağy da aşudan qyzynatyn şyğar.
</t>
    </r>
    <r>
      <rPr>
        <rFont val="Arial"/>
        <sz val="10"/>
        <b/>
      </rPr>
      <t>TRANSLATION:</t>
    </r>
    <r>
      <rPr>
        <rFont val="Arial"/>
        <sz val="10"/>
      </rPr>
      <t xml:space="preserve"> Tomorrow she would probably again recall Rhett's behavior, again be wounded by the wrong he had done her, and again burn with anger.</t>
    </r>
  </si>
  <si>
    <r>
      <rPr>
        <rFont val="Arial"/>
        <sz val="10"/>
        <b/>
      </rPr>
      <t>TERM:</t>
    </r>
    <r>
      <rPr>
        <rFont val="Arial"/>
        <sz val="10"/>
      </rPr>
      <t xml:space="preserve"> postydnogo (постыдного) — shameful; ignominious (adj., gen.) [ORD] (lemma: постыдный)
</t>
    </r>
    <r>
      <rPr>
        <rFont val="Arial"/>
        <sz val="10"/>
        <b/>
      </rPr>
      <t>PASSAGE:</t>
    </r>
    <r>
      <rPr>
        <rFont val="Arial"/>
        <sz val="10"/>
      </rPr>
      <t xml:space="preserve"> Даже очутись Эллин на самом дне нищеты, она бы не увидела в этом ничего постыдного.
</t>
    </r>
    <r>
      <rPr>
        <rFont val="Arial"/>
        <sz val="10"/>
        <b/>
      </rPr>
      <t>TRANS:</t>
    </r>
    <r>
      <rPr>
        <rFont val="Arial"/>
        <sz val="10"/>
      </rPr>
      <t xml:space="preserve"> Dazhe ochutis' Ellin na samom dne nishchety, ona by ne uvidela v etom nichego postydnogo.
</t>
    </r>
    <r>
      <rPr>
        <rFont val="Arial"/>
        <sz val="10"/>
        <b/>
      </rPr>
      <t>TRANSLATION:</t>
    </r>
    <r>
      <rPr>
        <rFont val="Arial"/>
        <sz val="10"/>
      </rPr>
      <t xml:space="preserve"> Even if Ellen had found herself at the very bottom of poverty, she would not have seen anything shameful in this.</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</si>
  <si>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Жарлылықтың жұтқыншығында жатып, есін жиғанға да Эллин одан ұялып, қысыла қоймаған еді.
</t>
    </r>
    <r>
      <rPr>
        <rFont val="Arial"/>
        <sz val="10"/>
        <b/>
      </rPr>
      <t>TRANS:</t>
    </r>
    <r>
      <rPr>
        <rFont val="Arial"/>
        <sz val="10"/>
      </rPr>
      <t xml:space="preserve"> Jarlylyqtyñ jūtqynşyğynda jatyp, esın jiğanğa da Elin odan ūialyp, qysyla qoimağan edı.
</t>
    </r>
    <r>
      <rPr>
        <rFont val="Arial"/>
        <sz val="10"/>
        <b/>
      </rPr>
      <t>TRANSLATION:</t>
    </r>
    <r>
      <rPr>
        <rFont val="Arial"/>
        <sz val="10"/>
      </rPr>
      <t xml:space="preserve"> Even if Ellen had been lying in the throat of destitution and come to her senses there, she would not have been ashamed of it nor felt embarrassed.</t>
    </r>
  </si>
  <si>
    <r>
      <rPr>
        <rFont val="Arial"/>
        <sz val="10"/>
        <b/>
      </rPr>
      <t>TERM:</t>
    </r>
    <r>
      <rPr>
        <rFont val="Arial"/>
        <sz val="10"/>
      </rPr>
      <t xml:space="preserve"> styda (стыда) — shame (genitive) [ORD] (lemma: стыд)
</t>
    </r>
    <r>
      <rPr>
        <rFont val="Arial"/>
        <sz val="10"/>
        <b/>
      </rPr>
      <t>PASSAGE:</t>
    </r>
    <r>
      <rPr>
        <rFont val="Arial"/>
        <sz val="10"/>
      </rPr>
      <t xml:space="preserve"> Она вспомнила, как он унизил ее, и вспыхнула от стыда.
</t>
    </r>
    <r>
      <rPr>
        <rFont val="Arial"/>
        <sz val="10"/>
        <b/>
      </rPr>
      <t>TRANS:</t>
    </r>
    <r>
      <rPr>
        <rFont val="Arial"/>
        <sz val="10"/>
      </rPr>
      <t xml:space="preserve"> Ona vspomnila, kak on unizil ee, i vspykhnula ot styda.
</t>
    </r>
    <r>
      <rPr>
        <rFont val="Arial"/>
        <sz val="10"/>
        <b/>
      </rPr>
      <t>TRANSLATION:</t>
    </r>
    <r>
      <rPr>
        <rFont val="Arial"/>
        <sz val="10"/>
      </rPr>
      <t xml:space="preserve"> She remembered how he had humiliated her, and she flushed with shame.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</si>
  <si>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Есіне өзін қалай қорлап, мазақ еткені түсті де, ұяттан өртеніп кете жаздады.
</t>
    </r>
    <r>
      <rPr>
        <rFont val="Arial"/>
        <sz val="10"/>
        <b/>
      </rPr>
      <t>TRANS:</t>
    </r>
    <r>
      <rPr>
        <rFont val="Arial"/>
        <sz val="10"/>
      </rPr>
      <t xml:space="preserve"> Esıne özın qalai qorlap, mazaq etkenı tüstı de, ūiattan örtenıp kete jazdady.
</t>
    </r>
    <r>
      <rPr>
        <rFont val="Arial"/>
        <sz val="10"/>
        <b/>
      </rPr>
      <t>TRANSLATION:</t>
    </r>
    <r>
      <rPr>
        <rFont val="Arial"/>
        <sz val="10"/>
      </rPr>
      <t xml:space="preserve"> She remembered how he had insulted and mocked her, and almost burst into flame with shame.</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</si>
  <si>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Ей вдруг стало стыдно — и не столько того, что она дала ему повод поглумиться над ней, сколько своего раздавшегося тела.
</t>
    </r>
    <r>
      <rPr>
        <rFont val="Arial"/>
        <sz val="10"/>
        <b/>
      </rPr>
      <t>TRANS:</t>
    </r>
    <r>
      <rPr>
        <rFont val="Arial"/>
        <sz val="10"/>
      </rPr>
      <t xml:space="preserve"> Ey vdrug stalo stydno — i ne stol'ko togo, chto ona dala emu povod poglumit'sya nad ney, skol'ko svoego razdavshegosya tela.
</t>
    </r>
    <r>
      <rPr>
        <rFont val="Arial"/>
        <sz val="10"/>
        <b/>
      </rPr>
      <t>TRANSLATION:</t>
    </r>
    <r>
      <rPr>
        <rFont val="Arial"/>
        <sz val="10"/>
      </rPr>
      <t xml:space="preserve"> She suddenly felt ashamed — and not so much that she had given him an occasion to mock her, as of her swollen body.</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</si>
  <si>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Өзінің мазақ болуына соқтырған әлгі сөзінен де гөрі, жайылып кеткен денесінен, ыңғайсыз пішінінен де өлердей ұялып кетті.
</t>
    </r>
    <r>
      <rPr>
        <rFont val="Arial"/>
        <sz val="10"/>
        <b/>
      </rPr>
      <t>TRANS:</t>
    </r>
    <r>
      <rPr>
        <rFont val="Arial"/>
        <sz val="10"/>
      </rPr>
      <t xml:space="preserve"> Özınıñ mazaq boluyna soqtyrğan älgı sözınen de görı, jaiylyp ketken denesınen, yñğaisyz pışınınen de ölerdei ūialyp kettı.
</t>
    </r>
    <r>
      <rPr>
        <rFont val="Arial"/>
        <sz val="10"/>
        <b/>
      </rPr>
      <t>TRANSLATION:</t>
    </r>
    <r>
      <rPr>
        <rFont val="Arial"/>
        <sz val="10"/>
      </rPr>
      <t xml:space="preserve"> More than the words that had brought mockery on her, she became mortally embarrassed by her spread-out body and awkward shape.</t>
    </r>
  </si>
  <si>
    <r>
      <rPr>
        <rFont val="Arial"/>
        <sz val="10"/>
        <b/>
      </rPr>
      <t>TERM:</t>
    </r>
    <r>
      <rPr>
        <rFont val="Arial"/>
        <sz val="10"/>
      </rPr>
      <t xml:space="preserve"> obidy (обиды) — offence; hurt (gen.) [ORD] (lemma: обида)
</t>
    </r>
    <r>
      <rPr>
        <rFont val="Arial"/>
        <sz val="10"/>
        <b/>
      </rPr>
      <t>PASSAGE:</t>
    </r>
    <r>
      <rPr>
        <rFont val="Arial"/>
        <sz val="10"/>
      </rPr>
      <t xml:space="preserve"> Когда приступ рвоты прошел, Скарлетт закрыла лицо руками и заплакала от обиды.
</t>
    </r>
    <r>
      <rPr>
        <rFont val="Arial"/>
        <sz val="10"/>
        <b/>
      </rPr>
      <t>TRANS:</t>
    </r>
    <r>
      <rPr>
        <rFont val="Arial"/>
        <sz val="10"/>
      </rPr>
      <t xml:space="preserve"> Kogda pristup rvoty proshel, Skarlett zakryla litso rukami i zaplakala ot obidy.
</t>
    </r>
    <r>
      <rPr>
        <rFont val="Arial"/>
        <sz val="10"/>
        <b/>
      </rPr>
      <t>TRANSLATION:</t>
    </r>
    <r>
      <rPr>
        <rFont val="Arial"/>
        <sz val="10"/>
      </rPr>
      <t xml:space="preserve"> When the bout of nausea passed, Scarlett covered her face with her hands and wept from offense.</t>
    </r>
  </si>
  <si>
    <r>
      <rPr>
        <rFont val="Arial"/>
        <sz val="10"/>
        <b/>
      </rPr>
      <t>TERM:</t>
    </r>
    <r>
      <rPr>
        <rFont val="Arial"/>
        <sz val="10"/>
      </rPr>
      <t xml:space="preserve"> ÖKINIŞ (ӨКІНІШ) — regret; repentance [KED, SZK]
</t>
    </r>
    <r>
      <rPr>
        <rFont val="Arial"/>
        <sz val="10"/>
        <b/>
      </rPr>
      <t>PASSAGE:</t>
    </r>
    <r>
      <rPr>
        <rFont val="Arial"/>
        <sz val="10"/>
      </rPr>
      <t xml:space="preserve"> Жүрегінің айнығаны басылып, құсып болған соң Скарлетт бетін қолымен басып алып, өкініштен жылап жіберді.
</t>
    </r>
    <r>
      <rPr>
        <rFont val="Arial"/>
        <sz val="10"/>
        <b/>
      </rPr>
      <t>TRANS:</t>
    </r>
    <r>
      <rPr>
        <rFont val="Arial"/>
        <sz val="10"/>
      </rPr>
      <t xml:space="preserve"> Jüregınıñ ainyğany basylyp, qūsyp bolğan soñ Skarlett betın qolymen basyp alyp, ökınışten jylap jıberdı.
</t>
    </r>
    <r>
      <rPr>
        <rFont val="Arial"/>
        <sz val="10"/>
        <b/>
      </rPr>
      <t>TRANSLATION:</t>
    </r>
    <r>
      <rPr>
        <rFont val="Arial"/>
        <sz val="10"/>
      </rPr>
      <t xml:space="preserve"> When her queasiness passed and she had finished retching, Scarlett covered her face with her hands and wept from regret.</t>
    </r>
  </si>
  <si>
    <r>
      <rPr>
        <rFont val="Arial"/>
        <sz val="10"/>
        <b/>
      </rPr>
      <t>TERM:</t>
    </r>
    <r>
      <rPr>
        <rFont val="Arial"/>
        <sz val="10"/>
      </rPr>
      <t xml:space="preserve"> styda (стыда) — shame (genitive) [ORD] (lemma: стыд)
</t>
    </r>
    <r>
      <rPr>
        <rFont val="Arial"/>
        <sz val="10"/>
        <b/>
      </rPr>
      <t>PASSAGE:</t>
    </r>
    <r>
      <rPr>
        <rFont val="Arial"/>
        <sz val="10"/>
      </rPr>
      <t xml:space="preserve"> А вы, видно, самая настоящая дурочка, раз плачете от стыда.
</t>
    </r>
    <r>
      <rPr>
        <rFont val="Arial"/>
        <sz val="10"/>
        <b/>
      </rPr>
      <t>TRANS:</t>
    </r>
    <r>
      <rPr>
        <rFont val="Arial"/>
        <sz val="10"/>
      </rPr>
      <t xml:space="preserve"> A vy, vidno, samaya nastoyashchaya durochka, raz plachete ot styda.
</t>
    </r>
    <r>
      <rPr>
        <rFont val="Arial"/>
        <sz val="10"/>
        <b/>
      </rPr>
      <t>TRANSLATION:</t>
    </r>
    <r>
      <rPr>
        <rFont val="Arial"/>
        <sz val="10"/>
      </rPr>
      <t xml:space="preserve"> And you, evidently, are a real fool, since you are crying from shame.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</si>
  <si>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Мен білмей жүрсем, ұялғаннан жылайтын сіз шынында нағыз ақымақтың өзі екенсіз ғой.
</t>
    </r>
    <r>
      <rPr>
        <rFont val="Arial"/>
        <sz val="10"/>
        <b/>
      </rPr>
      <t>TRANS:</t>
    </r>
    <r>
      <rPr>
        <rFont val="Arial"/>
        <sz val="10"/>
      </rPr>
      <t xml:space="preserve"> Men bılmei jürsem, ūialğannan jylaityn sız şynynda nağyz aqymaqtyñ özı ekensız ğoi.
</t>
    </r>
    <r>
      <rPr>
        <rFont val="Arial"/>
        <sz val="10"/>
        <b/>
      </rPr>
      <t>TRANSLATION:</t>
    </r>
    <r>
      <rPr>
        <rFont val="Arial"/>
        <sz val="10"/>
      </rPr>
      <t xml:space="preserve"> I had not realized — you who weep from shame are truly the very picture of a fool.</t>
    </r>
  </si>
  <si>
    <r>
      <rPr>
        <rFont val="Arial"/>
        <sz val="10"/>
        <b/>
      </rPr>
      <t>TERM:</t>
    </r>
    <r>
      <rPr>
        <rFont val="Arial"/>
        <sz val="10"/>
      </rPr>
      <t xml:space="preserve"> smutilas' (смутилась) — became flustered; got embarrassed (pf. past fem.) [ORD] (lemma: смутиться)
</t>
    </r>
    <r>
      <rPr>
        <rFont val="Arial"/>
        <sz val="10"/>
        <b/>
      </rPr>
      <t>PASSAGE:</t>
    </r>
    <r>
      <rPr>
        <rFont val="Arial"/>
        <sz val="10"/>
      </rPr>
      <t xml:space="preserve"> Вздрогнув от этого неожиданного перехода к ее особе, Скарлетт смутилась и покраснела, ибо взоры всех обратились к ней.
</t>
    </r>
    <r>
      <rPr>
        <rFont val="Arial"/>
        <sz val="10"/>
        <b/>
      </rPr>
      <t>TRANS:</t>
    </r>
    <r>
      <rPr>
        <rFont val="Arial"/>
        <sz val="10"/>
      </rPr>
      <t xml:space="preserve"> Vzdrognuv ot etogo neozhidannogo perekhoda k ee osobe, Skarlett smutilas' i pokrasnela, ibo vzory vsekh obratilis' k ney.
</t>
    </r>
    <r>
      <rPr>
        <rFont val="Arial"/>
        <sz val="10"/>
        <b/>
      </rPr>
      <t>TRANSLATION:</t>
    </r>
    <r>
      <rPr>
        <rFont val="Arial"/>
        <sz val="10"/>
      </rPr>
      <t xml:space="preserve"> Startled at this unexpected shift to her own person, Scarlett became flustered and blushed, for everyone's eyes turned to her.</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</si>
  <si>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Тосыннан өз атына бағыттала айтылған шешімнен селк етіп, Скарлетт ұялғаннан қып-қызыл боп кетті.
</t>
    </r>
    <r>
      <rPr>
        <rFont val="Arial"/>
        <sz val="10"/>
        <b/>
      </rPr>
      <t>TRANS:</t>
    </r>
    <r>
      <rPr>
        <rFont val="Arial"/>
        <sz val="10"/>
      </rPr>
      <t xml:space="preserve"> Tosynnan öz atyna bağyttala aitylğan şeşımnen selk etıp, Skarlett ūialğannan qyp-qyzyl bop kettı.
</t>
    </r>
    <r>
      <rPr>
        <rFont val="Arial"/>
        <sz val="10"/>
        <b/>
      </rPr>
      <t>TRANSLATION:</t>
    </r>
    <r>
      <rPr>
        <rFont val="Arial"/>
        <sz val="10"/>
      </rPr>
      <t xml:space="preserve"> Startled at this unexpected turn directed at her, Scarlett went bright red with embarrassment.</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</si>
  <si>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А мне было так стыдно показываться вам…
</t>
    </r>
    <r>
      <rPr>
        <rFont val="Arial"/>
        <sz val="10"/>
        <b/>
      </rPr>
      <t>TRANS:</t>
    </r>
    <r>
      <rPr>
        <rFont val="Arial"/>
        <sz val="10"/>
      </rPr>
      <t xml:space="preserve"> A mne bylo tak stydno pokazyvat'sya vam…
</t>
    </r>
    <r>
      <rPr>
        <rFont val="Arial"/>
        <sz val="10"/>
        <b/>
      </rPr>
      <t>TRANSLATION:</t>
    </r>
    <r>
      <rPr>
        <rFont val="Arial"/>
        <sz val="10"/>
      </rPr>
      <t xml:space="preserve"> And I was so ashamed to show myself to you...</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</si>
  <si>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Мен болсам, сізге көрінуге де ұялып жүр едім...
</t>
    </r>
    <r>
      <rPr>
        <rFont val="Arial"/>
        <sz val="10"/>
        <b/>
      </rPr>
      <t>TRANS:</t>
    </r>
    <r>
      <rPr>
        <rFont val="Arial"/>
        <sz val="10"/>
      </rPr>
      <t xml:space="preserve"> Men bolsam, sızge körınuge de ūialyp jür edım...
</t>
    </r>
    <r>
      <rPr>
        <rFont val="Arial"/>
        <sz val="10"/>
        <b/>
      </rPr>
      <t>TRANSLATION:</t>
    </r>
    <r>
      <rPr>
        <rFont val="Arial"/>
        <sz val="10"/>
      </rPr>
      <t xml:space="preserve"> As for me, I was even ashamed to be seen by you...</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</si>
  <si>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возник и тот страшный день, когда она пришла к нему в тюрьму, и ей стало стыдно от этих воспоминаний.
</t>
    </r>
    <r>
      <rPr>
        <rFont val="Arial"/>
        <sz val="10"/>
        <b/>
      </rPr>
      <t>TRANS:</t>
    </r>
    <r>
      <rPr>
        <rFont val="Arial"/>
        <sz val="10"/>
      </rPr>
      <t xml:space="preserve"> voznik i tot strashnyy den', kogda ona prishla k nemu v tyur'mu, i ey stalo stydno ot etikh vospominaniy.
</t>
    </r>
    <r>
      <rPr>
        <rFont val="Arial"/>
        <sz val="10"/>
        <b/>
      </rPr>
      <t>TRANSLATION:</t>
    </r>
    <r>
      <rPr>
        <rFont val="Arial"/>
        <sz val="10"/>
      </rPr>
      <t xml:space="preserve"> that terrible day when she came to him in prison also came back, and she felt ashamed at these memories.</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</si>
  <si>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Бұған нақсүйері болуды ұсынып, емеурін танытқан кезі, содан кейін де өз аяғымен түрмеге іздеп барғандағы ұятқа қалғаны есіне түсіп, қатты қысылып кетті.
</t>
    </r>
    <r>
      <rPr>
        <rFont val="Arial"/>
        <sz val="10"/>
        <b/>
      </rPr>
      <t>TRANS:</t>
    </r>
    <r>
      <rPr>
        <rFont val="Arial"/>
        <sz val="10"/>
      </rPr>
      <t xml:space="preserve"> Būğan naqsüierı boludy ūsynyp, emeurın tanytqan kezı, sodan keiın de öz aiağymen türmege ızdep barğandağy ūiatqa qalğany esıne tüsıp, qatty qysylyp kettı.
</t>
    </r>
    <r>
      <rPr>
        <rFont val="Arial"/>
        <sz val="10"/>
        <b/>
      </rPr>
      <t>TRANSLATION:</t>
    </r>
    <r>
      <rPr>
        <rFont val="Arial"/>
        <sz val="10"/>
      </rPr>
      <t xml:space="preserve"> She remembered offering herself to him as his mistress, and then later going to him in prison on her own feet and bringing disgrace upon herself; she became deeply embarrassed.</t>
    </r>
  </si>
  <si>
    <r>
      <rPr>
        <rFont val="Arial"/>
        <sz val="10"/>
        <b/>
      </rPr>
      <t>TERM:</t>
    </r>
    <r>
      <rPr>
        <rFont val="Arial"/>
        <sz val="10"/>
      </rPr>
      <t xml:space="preserve"> stydom (стыдом) — shame (instrumental) [ORD] (lemma: стыд)
</t>
    </r>
    <r>
      <rPr>
        <rFont val="Arial"/>
        <sz val="10"/>
        <b/>
      </rPr>
      <t>PASSAGE:</t>
    </r>
    <r>
      <rPr>
        <rFont val="Arial"/>
        <sz val="10"/>
      </rPr>
      <t xml:space="preserve"> Скарлетт помчалась домой, подгоняемая стыдом и страхом,
</t>
    </r>
    <r>
      <rPr>
        <rFont val="Arial"/>
        <sz val="10"/>
        <b/>
      </rPr>
      <t>TRANS:</t>
    </r>
    <r>
      <rPr>
        <rFont val="Arial"/>
        <sz val="10"/>
      </rPr>
      <t xml:space="preserve"> Skarlett pomchalas' domoy, podgonyaemaya stydom i strakhom,
</t>
    </r>
    <r>
      <rPr>
        <rFont val="Arial"/>
        <sz val="10"/>
        <b/>
      </rPr>
      <t>TRANSLATION:</t>
    </r>
    <r>
      <rPr>
        <rFont val="Arial"/>
        <sz val="10"/>
      </rPr>
      <t xml:space="preserve"> Scarlett rushed home, driven by shame and fear,</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</si>
  <si>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Қорқыныш пен ұят қамалап, соңынан қуып келе жатқандай, үйіне қарай ышқынып келеді, көз алдында сақалы сала құлаш, Көне Өсиет ішіндегі кек алушы періште секілді Арчидің бейнесі бірге ұшып келеді.
</t>
    </r>
    <r>
      <rPr>
        <rFont val="Arial"/>
        <sz val="10"/>
        <b/>
      </rPr>
      <t>TRANS:</t>
    </r>
    <r>
      <rPr>
        <rFont val="Arial"/>
        <sz val="10"/>
      </rPr>
      <t xml:space="preserve"> Qorqynyş pen ūiat qamalap, soñynan quyp kele jatqandai, üiıne qarai yşqynyp keledı, köz aldynda saqaly sala qūlaş, Köne Ösiet ışındegı kek aluşy perışte sekıldı Archidıñ beinesı bırge ūşyp keledı.
</t>
    </r>
    <r>
      <rPr>
        <rFont val="Arial"/>
        <sz val="10"/>
        <b/>
      </rPr>
      <t>TRANSLATION:</t>
    </r>
    <r>
      <rPr>
        <rFont val="Arial"/>
        <sz val="10"/>
      </rPr>
      <t xml:space="preserve"> Driven on by fear and shame as if pursuing her, she rushed home, with the image of Archie — bearded down to his waist, like an avenging angel from the Old Testament — flying along beside her in her mind.</t>
    </r>
  </si>
  <si>
    <r>
      <rPr>
        <rFont val="Arial"/>
        <sz val="10"/>
        <b/>
      </rPr>
      <t>TERM:</t>
    </r>
    <r>
      <rPr>
        <rFont val="Arial"/>
        <sz val="10"/>
      </rPr>
      <t xml:space="preserve"> nedoumevayushche i smushchenno (недоумевающе и смущенно) — in bewilderment and embarrassment [ORD] (lemma: смущенно)
</t>
    </r>
    <r>
      <rPr>
        <rFont val="Arial"/>
        <sz val="10"/>
        <b/>
      </rPr>
      <t>PASSAGE:</t>
    </r>
    <r>
      <rPr>
        <rFont val="Arial"/>
        <sz val="10"/>
      </rPr>
      <t xml:space="preserve"> Чарльз как-то странно посмотрел на нее — недоумевающе и смущенно
</t>
    </r>
    <r>
      <rPr>
        <rFont val="Arial"/>
        <sz val="10"/>
        <b/>
      </rPr>
      <t>TRANS:</t>
    </r>
    <r>
      <rPr>
        <rFont val="Arial"/>
        <sz val="10"/>
      </rPr>
      <t xml:space="preserve"> Charl'z kak-to stranno posmotrel na nee — nedoumevayushche i smushchenno
</t>
    </r>
    <r>
      <rPr>
        <rFont val="Arial"/>
        <sz val="10"/>
        <b/>
      </rPr>
      <t>TRANSLATION:</t>
    </r>
    <r>
      <rPr>
        <rFont val="Arial"/>
        <sz val="10"/>
      </rPr>
      <t xml:space="preserve"> Charles looked at her in a strange way — bewildered and embarrassed.</t>
    </r>
  </si>
  <si>
    <r>
      <rPr>
        <rFont val="Arial"/>
        <sz val="10"/>
        <b/>
      </rPr>
      <t>TERM:</t>
    </r>
    <r>
      <rPr>
        <rFont val="Arial"/>
        <sz val="10"/>
      </rPr>
      <t xml:space="preserve"> ne byla smushchena (не была смущена) — was not embarrassed (passive past fem. neg.) [ORD] (lemma: смутить)
</t>
    </r>
    <r>
      <rPr>
        <rFont val="Arial"/>
        <sz val="10"/>
        <b/>
      </rPr>
      <t>PASSAGE:</t>
    </r>
    <r>
      <rPr>
        <rFont val="Arial"/>
        <sz val="10"/>
      </rPr>
      <t xml:space="preserve"> Ужас ее был тем более неописуем, что Мейбелл ничуть не была смущена.
</t>
    </r>
    <r>
      <rPr>
        <rFont val="Arial"/>
        <sz val="10"/>
        <b/>
      </rPr>
      <t>TRANS:</t>
    </r>
    <r>
      <rPr>
        <rFont val="Arial"/>
        <sz val="10"/>
      </rPr>
      <t xml:space="preserve"> Uzhas ee byl tem bolee neopisuem, chto Meybell nichut' ne byla smushchena.
</t>
    </r>
    <r>
      <rPr>
        <rFont val="Arial"/>
        <sz val="10"/>
        <b/>
      </rPr>
      <t>TRANSLATION:</t>
    </r>
    <r>
      <rPr>
        <rFont val="Arial"/>
        <sz val="10"/>
      </rPr>
      <t xml:space="preserve"> Her horror was the more indescribable because Maybelle was not at all flustered.</t>
    </r>
  </si>
  <si>
    <r>
      <rPr>
        <rFont val="Arial"/>
        <sz val="10"/>
        <b/>
      </rPr>
      <t>TERM:</t>
    </r>
    <r>
      <rPr>
        <rFont val="Arial"/>
        <sz val="10"/>
      </rPr>
      <t xml:space="preserve"> QYMSYNU (ҚЫМСЫНУ) — to feel awkward; to feel embarrassed [KED, SZK]
</t>
    </r>
    <r>
      <rPr>
        <rFont val="Arial"/>
        <sz val="10"/>
        <b/>
      </rPr>
      <t>PASSAGE:</t>
    </r>
    <r>
      <rPr>
        <rFont val="Arial"/>
        <sz val="10"/>
      </rPr>
      <t xml:space="preserve"> Осы қылығы үшін Мэйбеллдің ешқандай қымсынбағанын көргенде тіпті айран-асыр болды.
</t>
    </r>
    <r>
      <rPr>
        <rFont val="Arial"/>
        <sz val="10"/>
        <b/>
      </rPr>
      <t>TRANS:</t>
    </r>
    <r>
      <rPr>
        <rFont val="Arial"/>
        <sz val="10"/>
      </rPr>
      <t xml:space="preserve"> Osy qylyğy üşın Meibelldıñ eşqandai qymsynbağanyn körgende tıptı airan-asyr boldy.
</t>
    </r>
    <r>
      <rPr>
        <rFont val="Arial"/>
        <sz val="10"/>
        <b/>
      </rPr>
      <t>TRANSLATION:</t>
    </r>
    <r>
      <rPr>
        <rFont val="Arial"/>
        <sz val="10"/>
      </rPr>
      <t xml:space="preserve"> When she saw that Maybelle was not at all embarrassed about this conduct of hers, she was utterly astounded.</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</si>
  <si>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Я не хочу, чтобы ему было стыдно перед другими маленькими зверюгами.
</t>
    </r>
    <r>
      <rPr>
        <rFont val="Arial"/>
        <sz val="10"/>
        <b/>
      </rPr>
      <t>TRANS:</t>
    </r>
    <r>
      <rPr>
        <rFont val="Arial"/>
        <sz val="10"/>
      </rPr>
      <t xml:space="preserve"> Ya ne khochu, chtoby emu bylo stydno pered drugimi malen'kimi zveryugami.
</t>
    </r>
    <r>
      <rPr>
        <rFont val="Arial"/>
        <sz val="10"/>
        <b/>
      </rPr>
      <t>TRANSLATION:</t>
    </r>
    <r>
      <rPr>
        <rFont val="Arial"/>
        <sz val="10"/>
      </rPr>
      <t xml:space="preserve"> I do not want him to be ashamed before other little brutes.</t>
    </r>
  </si>
  <si>
    <r>
      <rPr>
        <rFont val="Arial"/>
        <sz val="10"/>
        <b/>
      </rPr>
      <t>TERM:</t>
    </r>
    <r>
      <rPr>
        <rFont val="Arial"/>
        <sz val="10"/>
      </rPr>
      <t xml:space="preserve"> NAZAR (НАЗАР) — attention; notice; gaze [KED, SZK]
</t>
    </r>
    <r>
      <rPr>
        <rFont val="Arial"/>
        <sz val="10"/>
        <b/>
      </rPr>
      <t>PASSAGE:</t>
    </r>
    <r>
      <rPr>
        <rFont val="Arial"/>
        <sz val="10"/>
      </rPr>
      <t xml:space="preserve"> Өзге балалардың алдында назары төмен, көңілі пәс болғанын қаламаймын.
</t>
    </r>
    <r>
      <rPr>
        <rFont val="Arial"/>
        <sz val="10"/>
        <b/>
      </rPr>
      <t>TRANS:</t>
    </r>
    <r>
      <rPr>
        <rFont val="Arial"/>
        <sz val="10"/>
      </rPr>
      <t xml:space="preserve"> Özge balalardyñ aldynda nazary tömen, köñılı päs bolğanyn qalamaimyn.
</t>
    </r>
    <r>
      <rPr>
        <rFont val="Arial"/>
        <sz val="10"/>
        <b/>
      </rPr>
      <t>TRANSLATION:</t>
    </r>
    <r>
      <rPr>
        <rFont val="Arial"/>
        <sz val="10"/>
      </rPr>
      <t xml:space="preserve"> I do not want him to be downcast and dispirited before the other children.</t>
    </r>
  </si>
  <si>
    <r>
      <rPr>
        <rFont val="Arial"/>
        <sz val="10"/>
        <b/>
      </rPr>
      <t>TERM:</t>
    </r>
    <r>
      <rPr>
        <rFont val="Arial"/>
        <sz val="10"/>
      </rPr>
      <t xml:space="preserve"> stydilas' (стыдилась) — felt ashamed (3sg fem. past, impf.) [ORD] (lemma: стыдиться)
</t>
    </r>
    <r>
      <rPr>
        <rFont val="Arial"/>
        <sz val="10"/>
        <b/>
      </rPr>
      <t>PASSAGE:</t>
    </r>
    <r>
      <rPr>
        <rFont val="Arial"/>
        <sz val="10"/>
      </rPr>
      <t xml:space="preserve"> Вы думаете, я допущу, чтобы моя Бонни стыдилась своего отца?
</t>
    </r>
    <r>
      <rPr>
        <rFont val="Arial"/>
        <sz val="10"/>
        <b/>
      </rPr>
      <t>TRANS:</t>
    </r>
    <r>
      <rPr>
        <rFont val="Arial"/>
        <sz val="10"/>
      </rPr>
      <t xml:space="preserve"> Vy dumaete, ya dopushchu, chtoby moya Bonni stydilas' svoego ottsa?
</t>
    </r>
    <r>
      <rPr>
        <rFont val="Arial"/>
        <sz val="10"/>
        <b/>
      </rPr>
      <t>TRANSLATION:</t>
    </r>
    <r>
      <rPr>
        <rFont val="Arial"/>
        <sz val="10"/>
      </rPr>
      <t xml:space="preserve"> Do you think I will allow my Bonnie to be ashamed of her father?</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</si>
  <si>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Боннидің өз әкесі үшін ұялғанын қалайды ғой деймісің мені?
</t>
    </r>
    <r>
      <rPr>
        <rFont val="Arial"/>
        <sz val="10"/>
        <b/>
      </rPr>
      <t>TRANS:</t>
    </r>
    <r>
      <rPr>
        <rFont val="Arial"/>
        <sz val="10"/>
      </rPr>
      <t xml:space="preserve"> Bonnidıñ öz äkesı üşın ūialğanyn qalaidy ğoi deimısıñ menı?
</t>
    </r>
    <r>
      <rPr>
        <rFont val="Arial"/>
        <sz val="10"/>
        <b/>
      </rPr>
      <t>TRANSLATION:</t>
    </r>
    <r>
      <rPr>
        <rFont val="Arial"/>
        <sz val="10"/>
      </rPr>
      <t xml:space="preserve"> Do you think I would want Bonnie to be ashamed of her own father?</t>
    </r>
  </si>
  <si>
    <r>
      <rPr>
        <rFont val="Arial"/>
        <sz val="10"/>
        <b/>
      </rPr>
      <t>TERM:</t>
    </r>
    <r>
      <rPr>
        <rFont val="Arial"/>
        <sz val="10"/>
      </rPr>
      <t xml:space="preserve"> smushchennyy (смущенный) — embarrassed; flustered (adj./past pass. part.) [ORD]
</t>
    </r>
    <r>
      <rPr>
        <rFont val="Arial"/>
        <sz val="10"/>
        <b/>
      </rPr>
      <t>PASSAGE:</t>
    </r>
    <r>
      <rPr>
        <rFont val="Arial"/>
        <sz val="10"/>
      </rPr>
      <t xml:space="preserve"> Почему не везете их домой?», он ни слова не ответил, но вид у него был смущенный.
</t>
    </r>
    <r>
      <rPr>
        <rFont val="Arial"/>
        <sz val="10"/>
        <b/>
      </rPr>
      <t>TRANS:</t>
    </r>
    <r>
      <rPr>
        <rFont val="Arial"/>
        <sz val="10"/>
      </rPr>
      <t xml:space="preserve"> Pochemu ne vezete ikh domoy?», on ni slova ne otvetil, no vid u nego byl smushchennyy.
</t>
    </r>
    <r>
      <rPr>
        <rFont val="Arial"/>
        <sz val="10"/>
        <b/>
      </rPr>
      <t>TRANSLATION:</t>
    </r>
    <r>
      <rPr>
        <rFont val="Arial"/>
        <sz val="10"/>
      </rPr>
      <t xml:space="preserve"> "Why don't you take them home?" — he didn't say a word in reply, but he had an embarrassed look.</t>
    </r>
  </si>
  <si>
    <r>
      <rPr>
        <rFont val="Arial"/>
        <sz val="10"/>
        <b/>
      </rPr>
      <t>TERM:</t>
    </r>
    <r>
      <rPr>
        <rFont val="Arial"/>
        <sz val="10"/>
      </rPr>
      <t xml:space="preserve"> TÜR (ТҮР) — appearance; look; form [KED, SZK]
</t>
    </r>
    <r>
      <rPr>
        <rFont val="Arial"/>
        <sz val="10"/>
        <b/>
      </rPr>
      <t>PASSAGE:</t>
    </r>
    <r>
      <rPr>
        <rFont val="Arial"/>
        <sz val="10"/>
      </rPr>
      <t xml:space="preserve"> жұмған аузын ашпады, бірақ түрі түтігіп кеткен.
</t>
    </r>
    <r>
      <rPr>
        <rFont val="Arial"/>
        <sz val="10"/>
        <b/>
      </rPr>
      <t>TRANS:</t>
    </r>
    <r>
      <rPr>
        <rFont val="Arial"/>
        <sz val="10"/>
      </rPr>
      <t xml:space="preserve"> jūmğan auzyn aşpady, bıraq türı tütıgıp ketken.
</t>
    </r>
    <r>
      <rPr>
        <rFont val="Arial"/>
        <sz val="10"/>
        <b/>
      </rPr>
      <t>TRANSLATION:</t>
    </r>
    <r>
      <rPr>
        <rFont val="Arial"/>
        <sz val="10"/>
      </rPr>
      <t xml:space="preserve"> he did not open his closed mouth, but his look had darkened.</t>
    </r>
  </si>
  <si>
    <r>
      <rPr>
        <rFont val="Arial"/>
        <sz val="10"/>
        <b/>
      </rPr>
      <t>TERM:</t>
    </r>
    <r>
      <rPr>
        <rFont val="Arial"/>
        <sz val="10"/>
      </rPr>
      <t xml:space="preserve"> muki (муки) — torments; agonies (pl.) [ORD] (lemma: мука)
</t>
    </r>
    <r>
      <rPr>
        <rFont val="Arial"/>
        <sz val="10"/>
        <b/>
      </rPr>
      <t>PASSAGE:</t>
    </r>
    <r>
      <rPr>
        <rFont val="Arial"/>
        <sz val="10"/>
      </rPr>
      <t xml:space="preserve"> «Какое счастье, что я не наделена такой непомерной стыдливостью», — подумала Скарлетт, обертывая рваным пеньюаром изуродованную голову солдата и не столько видя, сколько чувствуя, какие муки испытывает от своей наготы Мелани.
</t>
    </r>
    <r>
      <rPr>
        <rFont val="Arial"/>
        <sz val="10"/>
        <b/>
      </rPr>
      <t>TRANS:</t>
    </r>
    <r>
      <rPr>
        <rFont val="Arial"/>
        <sz val="10"/>
      </rPr>
      <t xml:space="preserve"> «Kakoe schast'e, chto ya ne nadelena takoy nepomernoy stydlivost'yu», — podumala Skarlett, obertyvaya rvanym pen'yuarom izurodovannuyu golovu soldata i ne stol'ko vidya, skol'ko chuvstvuya, kakie muki ispytyvaet ot svoey nagoty Melani.
</t>
    </r>
    <r>
      <rPr>
        <rFont val="Arial"/>
        <sz val="10"/>
        <b/>
      </rPr>
      <t>TRANSLATION:</t>
    </r>
    <r>
      <rPr>
        <rFont val="Arial"/>
        <sz val="10"/>
      </rPr>
      <t xml:space="preserve"> "What luck that I am not endowed with such excessive modesty," thought Scarlett, wrapping the soldier's mutilated head in her torn dressing-gown and not so much seeing as feeling what torments Melanie was undergoing because of her nakedness.</t>
    </r>
  </si>
  <si>
    <r>
      <rPr>
        <rFont val="Arial"/>
        <sz val="10"/>
        <b/>
      </rPr>
      <t>TERM:</t>
    </r>
    <r>
      <rPr>
        <rFont val="Arial"/>
        <sz val="10"/>
      </rPr>
      <t xml:space="preserve"> AZAPTY (АЗАПТЫ) — tormented; painful [KED, SZK]
</t>
    </r>
    <r>
      <rPr>
        <rFont val="Arial"/>
        <sz val="10"/>
        <b/>
      </rPr>
      <t>PASSAGE:</t>
    </r>
    <r>
      <rPr>
        <rFont val="Arial"/>
        <sz val="10"/>
      </rPr>
      <t xml:space="preserve"> "Маған мұндай шамадан тыс ұялшақтық берілмегені қандай бақыт, - деп ойлады Скарлетт, Меланидің жалаңаштығынан қандай азапты сезінгеніне қарап
</t>
    </r>
    <r>
      <rPr>
        <rFont val="Arial"/>
        <sz val="10"/>
        <b/>
      </rPr>
      <t>TRANS:</t>
    </r>
    <r>
      <rPr>
        <rFont val="Arial"/>
        <sz val="10"/>
      </rPr>
      <t xml:space="preserve"> "Mağan mūndai şamadan tys ūialşaqtyq berılmegenı qandai baqyt, - dep oilady Skarlett, Melanidıñ jalañaştyğynan qandai azapty sezıngenıne qarap
</t>
    </r>
    <r>
      <rPr>
        <rFont val="Arial"/>
        <sz val="10"/>
        <b/>
      </rPr>
      <t>TRANSLATION:</t>
    </r>
    <r>
      <rPr>
        <rFont val="Arial"/>
        <sz val="10"/>
      </rPr>
      <t xml:space="preserve"> "What good fortune that I have not been given such excessive shyness," thought Scarlett, looking at what torments Melanie was suffering because of her nakedness</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</si>
  <si>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А мне было так стыдно показываться вам…
</t>
    </r>
    <r>
      <rPr>
        <rFont val="Arial"/>
        <sz val="10"/>
        <b/>
      </rPr>
      <t>TRANS:</t>
    </r>
    <r>
      <rPr>
        <rFont val="Arial"/>
        <sz val="10"/>
      </rPr>
      <t xml:space="preserve"> A mne bylo tak stydno pokazyvat'sya vam…
</t>
    </r>
    <r>
      <rPr>
        <rFont val="Arial"/>
        <sz val="10"/>
        <b/>
      </rPr>
      <t>TRANSLATION:</t>
    </r>
    <r>
      <rPr>
        <rFont val="Arial"/>
        <sz val="10"/>
      </rPr>
      <t xml:space="preserve"> And I was so ashamed to show myself to you...</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</si>
  <si>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Мен болсам, сізге көрінуге де ұялып жүр едім...
</t>
    </r>
    <r>
      <rPr>
        <rFont val="Arial"/>
        <sz val="10"/>
        <b/>
      </rPr>
      <t>TRANS:</t>
    </r>
    <r>
      <rPr>
        <rFont val="Arial"/>
        <sz val="10"/>
      </rPr>
      <t xml:space="preserve"> Men bolsam, sızge körınuge de ūialyp jür edım...
</t>
    </r>
    <r>
      <rPr>
        <rFont val="Arial"/>
        <sz val="10"/>
        <b/>
      </rPr>
      <t>TRANSLATION:</t>
    </r>
    <r>
      <rPr>
        <rFont val="Arial"/>
        <sz val="10"/>
      </rPr>
      <t xml:space="preserve"> As for me, I had been ashamed to be seen by you...</t>
    </r>
  </si>
  <si>
    <r>
      <rPr>
        <rFont val="Arial"/>
        <sz val="10"/>
        <b/>
      </rPr>
      <t>TERM:</t>
    </r>
    <r>
      <rPr>
        <rFont val="Arial"/>
        <sz val="10"/>
      </rPr>
      <t xml:space="preserve"> styda (стыда) — shame (genitive) [ORD] (lemma: стыд)
</t>
    </r>
    <r>
      <rPr>
        <rFont val="Arial"/>
        <sz val="10"/>
        <b/>
      </rPr>
      <t>PASSAGE:</t>
    </r>
    <r>
      <rPr>
        <rFont val="Arial"/>
        <sz val="10"/>
      </rPr>
      <t xml:space="preserve"> О, Эшли просто умрет со стыда и возненавидит меня за то, что я навлекла на него такое
</t>
    </r>
    <r>
      <rPr>
        <rFont val="Arial"/>
        <sz val="10"/>
        <b/>
      </rPr>
      <t>TRANS:</t>
    </r>
    <r>
      <rPr>
        <rFont val="Arial"/>
        <sz val="10"/>
      </rPr>
      <t xml:space="preserve"> O, Eshli prosto umret so styda i voznenavidit menya za to, chto ya navlekla na nego takoe
</t>
    </r>
    <r>
      <rPr>
        <rFont val="Arial"/>
        <sz val="10"/>
        <b/>
      </rPr>
      <t>TRANSLATION:</t>
    </r>
    <r>
      <rPr>
        <rFont val="Arial"/>
        <sz val="10"/>
      </rPr>
      <t xml:space="preserve"> Oh, Ashley would simply die of shame and would hate me for having brought such a thing upon him</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</si>
  <si>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Эшли осы жағдайға тап келтіргені үшін мұны өлердей жек көріп және өзі ұяттан өліп те кетуі мүмкін-ау.
</t>
    </r>
    <r>
      <rPr>
        <rFont val="Arial"/>
        <sz val="10"/>
        <b/>
      </rPr>
      <t>TRANS:</t>
    </r>
    <r>
      <rPr>
        <rFont val="Arial"/>
        <sz val="10"/>
      </rPr>
      <t xml:space="preserve"> Eşli osy jağdaiğa tap keltırgenı üşın mūny ölerdei jek körıp jäne özı ūiattan ölıp te ketuı mümkın-au.
</t>
    </r>
    <r>
      <rPr>
        <rFont val="Arial"/>
        <sz val="10"/>
        <b/>
      </rPr>
      <t>TRANSLATION:</t>
    </r>
    <r>
      <rPr>
        <rFont val="Arial"/>
        <sz val="10"/>
      </rPr>
      <t xml:space="preserve"> Ashley might hate this woman to death and might himself die of shame for having put him in this situation.</t>
    </r>
  </si>
  <si>
    <r>
      <rPr>
        <rFont val="Arial"/>
        <sz val="10"/>
        <b/>
      </rPr>
      <t>TERM:</t>
    </r>
    <r>
      <rPr>
        <rFont val="Arial"/>
        <sz val="10"/>
      </rPr>
      <t xml:space="preserve"> pozor (позор) — disgrace; shame; ignominy [ORD]
</t>
    </r>
    <r>
      <rPr>
        <rFont val="Arial"/>
        <sz val="10"/>
        <b/>
      </rPr>
      <t>PASSAGE:</t>
    </r>
    <r>
      <rPr>
        <rFont val="Arial"/>
        <sz val="10"/>
      </rPr>
      <t xml:space="preserve"> Завтра ее уже не будет преследовать лицо Эшли, воспоминание об его сломленной гордости и позоре — позоре, который навлекла на него она, тогда как он был ни в чем не повинен.
</t>
    </r>
    <r>
      <rPr>
        <rFont val="Arial"/>
        <sz val="10"/>
        <b/>
      </rPr>
      <t>TRANS:</t>
    </r>
    <r>
      <rPr>
        <rFont val="Arial"/>
        <sz val="10"/>
      </rPr>
      <t xml:space="preserve"> Zavtra ee uzhe ne budet presledovat' litso Eshli, vospominanie ob ego slomlennoy gordosti i pozore — pozore, kotoryy navlekla na nego ona, togda kak on byl ni v chem ne povinen.
</t>
    </r>
    <r>
      <rPr>
        <rFont val="Arial"/>
        <sz val="10"/>
        <b/>
      </rPr>
      <t>TRANSLATION:</t>
    </r>
    <r>
      <rPr>
        <rFont val="Arial"/>
        <sz val="10"/>
      </rPr>
      <t xml:space="preserve"> Tomorrow she would no longer be haunted by Ashley's face, the memory of his broken pride and his disgrace — disgrace which she had brought upon him, while he was guilty of nothing.</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</si>
  <si>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Оның Ричмонд пен Уилмингтондағы қызметі туралы қауесет Атландаға жетіп, бір кезде оны қонаққа шақырған барлық адамдарды ұятқа қалдырды.
</t>
    </r>
    <r>
      <rPr>
        <rFont val="Arial"/>
        <sz val="10"/>
        <b/>
      </rPr>
      <t>TRANS:</t>
    </r>
    <r>
      <rPr>
        <rFont val="Arial"/>
        <sz val="10"/>
      </rPr>
      <t xml:space="preserve"> Onyñ Richmond pen Uilmingtondağy qyzmetı turaly qaueset Atlandağa jetıp, bır kezde ony qonaqqa şaqyrğan barlyq adamdardy ūiatqa qaldyrdy.
</t>
    </r>
    <r>
      <rPr>
        <rFont val="Arial"/>
        <sz val="10"/>
        <b/>
      </rPr>
      <t>TRANSLATION:</t>
    </r>
    <r>
      <rPr>
        <rFont val="Arial"/>
        <sz val="10"/>
      </rPr>
      <t xml:space="preserve"> The talk about his service in Richmond and Wilmington reached Atlanta, and put to shame all those who had once invited him as a guest.</t>
    </r>
  </si>
  <si>
    <r>
      <rPr>
        <rFont val="Arial"/>
        <sz val="10"/>
        <b/>
      </rPr>
      <t>TERM:</t>
    </r>
    <r>
      <rPr>
        <rFont val="Arial"/>
        <sz val="10"/>
      </rPr>
      <t xml:space="preserve"> stydit'sya (стыдиться) — to feel ashamed (imperfective); pf. постыдиться/устыдиться [ORD]
</t>
    </r>
    <r>
      <rPr>
        <rFont val="Arial"/>
        <sz val="10"/>
        <b/>
      </rPr>
      <t>PASSAGE:</t>
    </r>
    <r>
      <rPr>
        <rFont val="Arial"/>
        <sz val="10"/>
      </rPr>
      <t xml:space="preserve"> вам нечего этого стыдиться.
</t>
    </r>
    <r>
      <rPr>
        <rFont val="Arial"/>
        <sz val="10"/>
        <b/>
      </rPr>
      <t>TRANS:</t>
    </r>
    <r>
      <rPr>
        <rFont val="Arial"/>
        <sz val="10"/>
      </rPr>
      <t xml:space="preserve"> vam nechego etogo stydit'sya.
</t>
    </r>
    <r>
      <rPr>
        <rFont val="Arial"/>
        <sz val="10"/>
        <b/>
      </rPr>
      <t>TRANSLATION:</t>
    </r>
    <r>
      <rPr>
        <rFont val="Arial"/>
        <sz val="10"/>
      </rPr>
      <t xml:space="preserve"> you have nothing to be ashamed of for that.</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</si>
  <si>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сізге ол үшін ұялудың қажеті жоқ.
</t>
    </r>
    <r>
      <rPr>
        <rFont val="Arial"/>
        <sz val="10"/>
        <b/>
      </rPr>
      <t>TRANS:</t>
    </r>
    <r>
      <rPr>
        <rFont val="Arial"/>
        <sz val="10"/>
      </rPr>
      <t xml:space="preserve"> sızge ol üşın ūialudyñ qajetı joq.
</t>
    </r>
    <r>
      <rPr>
        <rFont val="Arial"/>
        <sz val="10"/>
        <b/>
      </rPr>
      <t>TRANSLATION:</t>
    </r>
    <r>
      <rPr>
        <rFont val="Arial"/>
        <sz val="10"/>
      </rPr>
      <t xml:space="preserve"> you have no need to feel ashamed for that.</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</si>
  <si>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Ему было до того стыдно — он не мог людям в глаза смотреть.
</t>
    </r>
    <r>
      <rPr>
        <rFont val="Arial"/>
        <sz val="10"/>
        <b/>
      </rPr>
      <t>TRANS:</t>
    </r>
    <r>
      <rPr>
        <rFont val="Arial"/>
        <sz val="10"/>
      </rPr>
      <t xml:space="preserve"> Emu bylo do togo stydno — on ne mog lyudyam v glaza smotret'.
</t>
    </r>
    <r>
      <rPr>
        <rFont val="Arial"/>
        <sz val="10"/>
        <b/>
      </rPr>
      <t>TRANSLATION:</t>
    </r>
    <r>
      <rPr>
        <rFont val="Arial"/>
        <sz val="10"/>
      </rPr>
      <t xml:space="preserve"> He was so ashamed — he could not look people in the eyes.</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</si>
  <si>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Ол қатты ұялғаннан адамдардың бетіне тіке қарай алмай жүрді.
</t>
    </r>
    <r>
      <rPr>
        <rFont val="Arial"/>
        <sz val="10"/>
        <b/>
      </rPr>
      <t>TRANS:</t>
    </r>
    <r>
      <rPr>
        <rFont val="Arial"/>
        <sz val="10"/>
      </rPr>
      <t xml:space="preserve"> Ol qatty ūialğannan adamdardyñ betıne tıke qarai almai jürdı.
</t>
    </r>
    <r>
      <rPr>
        <rFont val="Arial"/>
        <sz val="10"/>
        <b/>
      </rPr>
      <t>TRANSLATION:</t>
    </r>
    <r>
      <rPr>
        <rFont val="Arial"/>
        <sz val="10"/>
      </rPr>
      <t xml:space="preserve"> He was so embarrassed that he could not look people directly in the face.</t>
    </r>
  </si>
  <si>
    <r>
      <rPr>
        <rFont val="Arial"/>
        <sz val="10"/>
        <b/>
      </rPr>
      <t>TERM:</t>
    </r>
    <r>
      <rPr>
        <rFont val="Arial"/>
        <sz val="10"/>
      </rPr>
      <t xml:space="preserve"> ustydit'sya (устыдиться) — to feel ashamed (perfective) [ORD]
</t>
    </r>
    <r>
      <rPr>
        <rFont val="Arial"/>
        <sz val="10"/>
        <b/>
      </rPr>
      <t>PASSAGE:</t>
    </r>
    <r>
      <rPr>
        <rFont val="Arial"/>
        <sz val="10"/>
      </rPr>
      <t xml:space="preserve"> Но вместо того чтобы устыдиться столь унизительного занятия о котором было сказано во всеуслышание, Рене расхохотался с довольным видом и хлопнул Хью по спине
</t>
    </r>
    <r>
      <rPr>
        <rFont val="Arial"/>
        <sz val="10"/>
        <b/>
      </rPr>
      <t>TRANS:</t>
    </r>
    <r>
      <rPr>
        <rFont val="Arial"/>
        <sz val="10"/>
      </rPr>
      <t xml:space="preserve"> No vmesto togo chtoby ustydit'sya stol' unizitel'nogo zanyatiya o kotorom bylo skazano vo vseuslyshanie, Rene raskhokhotalsya s dovol'nym vidom i khlopnul Kh'yu po spinу
</t>
    </r>
    <r>
      <rPr>
        <rFont val="Arial"/>
        <sz val="10"/>
        <b/>
      </rPr>
      <t>TRANSLATION:</t>
    </r>
    <r>
      <rPr>
        <rFont val="Arial"/>
        <sz val="10"/>
      </rPr>
      <t xml:space="preserve"> But instead of being ashamed of such a degrading occupation that had been mentioned for everyone to hear, Rene burst into laughter with a satisfied air and slapped Hugh on the back</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</si>
  <si>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Бірақ жұрттың бәрі естісе де янкилерге нан тасығанынан қысыла қоятын, өз ісін қорлық көріп тұрған Рене жоқ, өз-өзіне риза кейіпте қарқылдай күліп, Хьюдің арқасынан қағып қойды.
</t>
    </r>
    <r>
      <rPr>
        <rFont val="Arial"/>
        <sz val="10"/>
        <b/>
      </rPr>
      <t>TRANS:</t>
    </r>
    <r>
      <rPr>
        <rFont val="Arial"/>
        <sz val="10"/>
      </rPr>
      <t xml:space="preserve"> Bıraq jūrttyñ bärı estıse de iankilerge nan tasyğanynan qysyla qoiatyn, öz ısın qorlyq körıp tūrğan Rene joq, öz-özıne riza keiıpte qarqyldai külıp, Hüdıñ arqasynan qağyp qoidy.
</t>
    </r>
    <r>
      <rPr>
        <rFont val="Arial"/>
        <sz val="10"/>
        <b/>
      </rPr>
      <t>TRANSLATION:</t>
    </r>
    <r>
      <rPr>
        <rFont val="Arial"/>
        <sz val="10"/>
      </rPr>
      <t xml:space="preserve"> But Rene, who would have been embarrassed if everyone heard he was carting bread to the Yankees and considered his work degrading — there was no such Rene; with a self-satisfied air he laughed loudly and slapped Hugh on the back.</t>
    </r>
  </si>
  <si>
    <r>
      <rPr>
        <rFont val="Arial"/>
        <sz val="10"/>
        <b/>
      </rPr>
      <t>TERM:</t>
    </r>
    <r>
      <rPr>
        <rFont val="Arial"/>
        <sz val="10"/>
      </rPr>
      <t xml:space="preserve"> ustydit'sya (устыдиться) — to feel ashamed (perfective) [ORD]
</t>
    </r>
    <r>
      <rPr>
        <rFont val="Arial"/>
        <sz val="10"/>
        <b/>
      </rPr>
      <t>PASSAGE:</t>
    </r>
    <r>
      <rPr>
        <rFont val="Arial"/>
        <sz val="10"/>
      </rPr>
      <t xml:space="preserve"> А ведь должна была бы устыдиться, должна была бы бежать даже воспоминаний о жаркой, кружащей голову тьме!
</t>
    </r>
    <r>
      <rPr>
        <rFont val="Arial"/>
        <sz val="10"/>
        <b/>
      </rPr>
      <t>TRANS:</t>
    </r>
    <r>
      <rPr>
        <rFont val="Arial"/>
        <sz val="10"/>
      </rPr>
      <t xml:space="preserve"> A ved' dolzhna byla by ustydit'sya, dolzhna byla by bezhat' dazhe vospominaniy o zharkoy, kruzhashchey golovu t'me!
</t>
    </r>
    <r>
      <rPr>
        <rFont val="Arial"/>
        <sz val="10"/>
        <b/>
      </rPr>
      <t>TRANSLATION:</t>
    </r>
    <r>
      <rPr>
        <rFont val="Arial"/>
        <sz val="10"/>
      </rPr>
      <t xml:space="preserve"> And yet she should have been ashamed, should have fled even from the memories of that hot, head-spinning darkness!</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</si>
  <si>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Содан енді өзі ұялса керек еді ғой, лапылдай жанған отқа оранып, басы айналған түннің есіне түскен елесінен де қашуы керек емес пе?
</t>
    </r>
    <r>
      <rPr>
        <rFont val="Arial"/>
        <sz val="10"/>
        <b/>
      </rPr>
      <t>TRANS:</t>
    </r>
    <r>
      <rPr>
        <rFont val="Arial"/>
        <sz val="10"/>
      </rPr>
      <t xml:space="preserve"> Sodan endı özı ūialsa kerek edı ğoi, lapyldai janğan otqa oranyp, basy ainalğan tünnıñ esıne tüsken elesınen de qaşuy kerek emes pe?
</t>
    </r>
    <r>
      <rPr>
        <rFont val="Arial"/>
        <sz val="10"/>
        <b/>
      </rPr>
      <t>TRANSLATION:</t>
    </r>
    <r>
      <rPr>
        <rFont val="Arial"/>
        <sz val="10"/>
      </rPr>
      <t xml:space="preserve"> Should she not now be ashamed, should she not flee even from the appearing memory of that night, wrapped in flaming fire, that made her head spin?</t>
    </r>
  </si>
  <si>
    <r>
      <rPr>
        <rFont val="Arial"/>
        <sz val="10"/>
        <b/>
      </rPr>
      <t>TERM:</t>
    </r>
    <r>
      <rPr>
        <rFont val="Arial"/>
        <sz val="10"/>
      </rPr>
      <t xml:space="preserve"> postydnogo (постыдного) — shameful; ignominious (adj., gen.) [ORD] (lemma: постыдный)
</t>
    </r>
    <r>
      <rPr>
        <rFont val="Arial"/>
        <sz val="10"/>
        <b/>
      </rPr>
      <t>PASSAGE:</t>
    </r>
    <r>
      <rPr>
        <rFont val="Arial"/>
        <sz val="10"/>
      </rPr>
      <t xml:space="preserve"> Ничего нет постыдного в том, чтобы оставаться незамужней.
</t>
    </r>
    <r>
      <rPr>
        <rFont val="Arial"/>
        <sz val="10"/>
        <b/>
      </rPr>
      <t>TRANS:</t>
    </r>
    <r>
      <rPr>
        <rFont val="Arial"/>
        <sz val="10"/>
      </rPr>
      <t xml:space="preserve"> Nichego net postydnogo v tom, chtoby ostavat'sya nezamuzhney.
</t>
    </r>
    <r>
      <rPr>
        <rFont val="Arial"/>
        <sz val="10"/>
        <b/>
      </rPr>
      <t>TRANSLATION:</t>
    </r>
    <r>
      <rPr>
        <rFont val="Arial"/>
        <sz val="10"/>
      </rPr>
      <t xml:space="preserve"> There is nothing shameful about remaining unmarried.</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</si>
  <si>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Күйеуге шықпағанда тұрған ұят ештеңе жоқ.
</t>
    </r>
    <r>
      <rPr>
        <rFont val="Arial"/>
        <sz val="10"/>
        <b/>
      </rPr>
      <t>TRANS:</t>
    </r>
    <r>
      <rPr>
        <rFont val="Arial"/>
        <sz val="10"/>
      </rPr>
      <t xml:space="preserve"> Küieuge şyqpağanda tūrğan ūiat eşteñe joq.
</t>
    </r>
    <r>
      <rPr>
        <rFont val="Arial"/>
        <sz val="10"/>
        <b/>
      </rPr>
      <t>TRANSLATION:</t>
    </r>
    <r>
      <rPr>
        <rFont val="Arial"/>
        <sz val="10"/>
      </rPr>
      <t xml:space="preserve"> There is no shame in not having married.</t>
    </r>
  </si>
  <si>
    <r>
      <rPr>
        <rFont val="Arial"/>
        <sz val="10"/>
        <b/>
      </rPr>
      <t>TERM:</t>
    </r>
    <r>
      <rPr>
        <rFont val="Arial"/>
        <sz val="10"/>
      </rPr>
      <t xml:space="preserve"> styditsya (стыдится) — feels ashamed (3sg) [ORD] (lemma: стыдиться)
</t>
    </r>
    <r>
      <rPr>
        <rFont val="Arial"/>
        <sz val="10"/>
        <b/>
      </rPr>
      <t>PASSAGE:</t>
    </r>
    <r>
      <rPr>
        <rFont val="Arial"/>
        <sz val="10"/>
      </rPr>
      <t xml:space="preserve"> Порой, глядя, как гости сидят на траве и попивают чай — единственный напиток, который Уилксы в состоянии были предложить, — Скарлетт поражалась, как это Мелли не стыдится выставлять напоказ свою бедность.
</t>
    </r>
    <r>
      <rPr>
        <rFont val="Arial"/>
        <sz val="10"/>
        <b/>
      </rPr>
      <t>TRANS:</t>
    </r>
    <r>
      <rPr>
        <rFont val="Arial"/>
        <sz val="10"/>
      </rPr>
      <t xml:space="preserve"> Poroy, glyadya, kak gosti sidyat na trave i popivayut chay — edinstvennyy napitok, kotoryy Uilksy v sostoyanii byli predlozhit', — Skarlett porazhalas', kak eto Melli ne styditsya vystavlyat' napokaz svoyu bednost'.
</t>
    </r>
    <r>
      <rPr>
        <rFont val="Arial"/>
        <sz val="10"/>
        <b/>
      </rPr>
      <t>TRANSLATION:</t>
    </r>
    <r>
      <rPr>
        <rFont val="Arial"/>
        <sz val="10"/>
      </rPr>
      <t xml:space="preserve"> At times, looking at the guests sitting on the grass and sipping tea — the only beverage the Wilkeses were able to offer — Scarlett was amazed that Melly was not ashamed of putting her poverty on display.</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</si>
  <si>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Кейде қонақтардың шөп үстінде үй иесінің шамасы жететін жалғыз сусынын - шайын ішіп отырғандарын көргенде Скарлетт Меланидің өз кедейлігінен ұялмай, елге жайып көрсететініне таңырқайтын.
</t>
    </r>
    <r>
      <rPr>
        <rFont val="Arial"/>
        <sz val="10"/>
        <b/>
      </rPr>
      <t>TRANS:</t>
    </r>
    <r>
      <rPr>
        <rFont val="Arial"/>
        <sz val="10"/>
      </rPr>
      <t xml:space="preserve"> Keide qonaqtardyñ şöp üstınde üi iesınıñ şamasy jetetın jalğyz susynyn - şaiyn ışıp otyrğandaryn körgende Skarlett Melanidıñ öz kedeilıgınen ūialmai, elge jaiyp körsetetınıne tañyrqaityn.
</t>
    </r>
    <r>
      <rPr>
        <rFont val="Arial"/>
        <sz val="10"/>
        <b/>
      </rPr>
      <t>TRANSLATION:</t>
    </r>
    <r>
      <rPr>
        <rFont val="Arial"/>
        <sz val="10"/>
      </rPr>
      <t xml:space="preserve"> Sometimes, when she saw the guests sitting on the grass drinking the only refreshment the host could afford — tea — Scarlett would be amazed that Melanie was not ashamed of her poverty and openly showed it to all.</t>
    </r>
  </si>
  <si>
    <r>
      <rPr>
        <rFont val="Arial"/>
        <sz val="10"/>
        <b/>
      </rPr>
      <t>TERM:</t>
    </r>
    <r>
      <rPr>
        <rFont val="Arial"/>
        <sz val="10"/>
      </rPr>
      <t xml:space="preserve"> besstydstva (бесстыдства) — shamelessness; impudence (gen.) [ORD] (lemma: бесстыдство)
</t>
    </r>
    <r>
      <rPr>
        <rFont val="Arial"/>
        <sz val="10"/>
        <b/>
      </rPr>
      <t>PASSAGE:</t>
    </r>
    <r>
      <rPr>
        <rFont val="Arial"/>
        <sz val="10"/>
      </rPr>
      <t xml:space="preserve"> и перед лицом такого бесстыдства она не переставала с изумлением вопрошать: куда идет мир?
</t>
    </r>
    <r>
      <rPr>
        <rFont val="Arial"/>
        <sz val="10"/>
        <b/>
      </rPr>
      <t>TRANS:</t>
    </r>
    <r>
      <rPr>
        <rFont val="Arial"/>
        <sz val="10"/>
      </rPr>
      <t xml:space="preserve"> i pered litsom takogo besstydstva ona ne perestavala s izumleniem voproshat': kuda idet mir?
</t>
    </r>
    <r>
      <rPr>
        <rFont val="Arial"/>
        <sz val="10"/>
        <b/>
      </rPr>
      <t>TRANSLATION:</t>
    </r>
    <r>
      <rPr>
        <rFont val="Arial"/>
        <sz val="10"/>
      </rPr>
      <t xml:space="preserve"> and faced with such shamelessness she did not cease asking in astonishment: where is the world heading?</t>
    </r>
  </si>
  <si>
    <r>
      <rPr>
        <rFont val="Arial"/>
        <sz val="10"/>
        <b/>
      </rPr>
      <t>TERM:</t>
    </r>
    <r>
      <rPr>
        <rFont val="Arial"/>
        <sz val="10"/>
      </rPr>
      <t xml:space="preserve"> ŪİATSYZDYQ (ҰЯТСЫЗДЫҚ) — shamelessness; impudence [KED, SZK]
</t>
    </r>
    <r>
      <rPr>
        <rFont val="Arial"/>
        <sz val="10"/>
        <b/>
      </rPr>
      <t>PASSAGE:</t>
    </r>
    <r>
      <rPr>
        <rFont val="Arial"/>
        <sz val="10"/>
      </rPr>
      <t xml:space="preserve"> ол мұндай ұятсыздыққа "бұл дүние не болып жатыр?" деп таңғалуын қоймады.
</t>
    </r>
    <r>
      <rPr>
        <rFont val="Arial"/>
        <sz val="10"/>
        <b/>
      </rPr>
      <t>TRANS:</t>
    </r>
    <r>
      <rPr>
        <rFont val="Arial"/>
        <sz val="10"/>
      </rPr>
      <t xml:space="preserve"> ol mūndai ūiatsyzdyqqa "būl dünie ne bolyp jatyr?" dep tañğaluyn qoimady.
</t>
    </r>
    <r>
      <rPr>
        <rFont val="Arial"/>
        <sz val="10"/>
        <b/>
      </rPr>
      <t>TRANSLATION:</t>
    </r>
    <r>
      <rPr>
        <rFont val="Arial"/>
        <sz val="10"/>
      </rPr>
      <t xml:space="preserve"> she did not stop being astonished at this shamelessness, asking, "What is happening to this world?"</t>
    </r>
  </si>
  <si>
    <r>
      <rPr>
        <rFont val="Arial"/>
        <sz val="10"/>
        <b/>
      </rPr>
      <t>TERM:</t>
    </r>
    <r>
      <rPr>
        <rFont val="Arial"/>
        <sz val="10"/>
      </rPr>
      <t xml:space="preserve"> ni maleyshego styda (ни малейшего стыда) — not the slightest shame [ORD] (lemma: стыд)
</t>
    </r>
    <r>
      <rPr>
        <rFont val="Arial"/>
        <sz val="10"/>
        <b/>
      </rPr>
      <t>PASSAGE:</t>
    </r>
    <r>
      <rPr>
        <rFont val="Arial"/>
        <sz val="10"/>
      </rPr>
      <t xml:space="preserve"> А Скарлетт и не испытывала ни малейшего стыда
</t>
    </r>
    <r>
      <rPr>
        <rFont val="Arial"/>
        <sz val="10"/>
        <b/>
      </rPr>
      <t>TRANS:</t>
    </r>
    <r>
      <rPr>
        <rFont val="Arial"/>
        <sz val="10"/>
      </rPr>
      <t xml:space="preserve"> A Skarlett i ne ispytyvala ni maleyshego styda
</t>
    </r>
    <r>
      <rPr>
        <rFont val="Arial"/>
        <sz val="10"/>
        <b/>
      </rPr>
      <t>TRANSLATION:</t>
    </r>
    <r>
      <rPr>
        <rFont val="Arial"/>
        <sz val="10"/>
      </rPr>
      <t xml:space="preserve"> And Scarlett did not feel the slightest shame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</si>
  <si>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Ал Скарлетт ешқандай да ұялған жоқ еді
</t>
    </r>
    <r>
      <rPr>
        <rFont val="Arial"/>
        <sz val="10"/>
        <b/>
      </rPr>
      <t>TRANS:</t>
    </r>
    <r>
      <rPr>
        <rFont val="Arial"/>
        <sz val="10"/>
      </rPr>
      <t xml:space="preserve"> Al Skarlett eşqandai da ūialğan joq edı
</t>
    </r>
    <r>
      <rPr>
        <rFont val="Arial"/>
        <sz val="10"/>
        <b/>
      </rPr>
      <t>TRANSLATION:</t>
    </r>
    <r>
      <rPr>
        <rFont val="Arial"/>
        <sz val="10"/>
      </rPr>
      <t xml:space="preserve"> And Scarlett was not in the least ashamed</t>
    </r>
  </si>
  <si>
    <r>
      <rPr>
        <rFont val="Arial"/>
        <sz val="10"/>
        <b/>
      </rPr>
      <t>TERM:</t>
    </r>
    <r>
      <rPr>
        <rFont val="Arial"/>
        <sz val="10"/>
      </rPr>
      <t xml:space="preserve"> styd (стыд) — shame; the feeling of having transgressed a moral or social norm [ORD]
</t>
    </r>
    <r>
      <rPr>
        <rFont val="Arial"/>
        <sz val="10"/>
        <b/>
      </rPr>
      <t>PASSAGE:</t>
    </r>
    <r>
      <rPr>
        <rFont val="Arial"/>
        <sz val="10"/>
      </rPr>
      <t xml:space="preserve"> Да я свой стыд давно похоронил!
</t>
    </r>
    <r>
      <rPr>
        <rFont val="Arial"/>
        <sz val="10"/>
        <b/>
      </rPr>
      <t>TRANS:</t>
    </r>
    <r>
      <rPr>
        <rFont val="Arial"/>
        <sz val="10"/>
      </rPr>
      <t xml:space="preserve"> Da ya svoy styd davno pokhoronil!
</t>
    </r>
    <r>
      <rPr>
        <rFont val="Arial"/>
        <sz val="10"/>
        <b/>
      </rPr>
      <t>TRANSLATION:</t>
    </r>
    <r>
      <rPr>
        <rFont val="Arial"/>
        <sz val="10"/>
      </rPr>
      <t xml:space="preserve"> Oh, I have buried my shame long ago!</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</si>
  <si>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Маған ба? Ой, саспа, мен ұятымды баяғыда жерлеп тастаған адаммын.
</t>
    </r>
    <r>
      <rPr>
        <rFont val="Arial"/>
        <sz val="10"/>
        <b/>
      </rPr>
      <t>TRANS:</t>
    </r>
    <r>
      <rPr>
        <rFont val="Arial"/>
        <sz val="10"/>
      </rPr>
      <t xml:space="preserve"> Mağan ba? Oi, saspa, men ūiatymdy baiağyda jerlep tastağan adammyn.
</t>
    </r>
    <r>
      <rPr>
        <rFont val="Arial"/>
        <sz val="10"/>
        <b/>
      </rPr>
      <t>TRANSLATION:</t>
    </r>
    <r>
      <rPr>
        <rFont val="Arial"/>
        <sz val="10"/>
      </rPr>
      <t xml:space="preserve"> Me? Oh, don't worry, I am a man who buried my shame long ago.</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</si>
  <si>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Мне стыдно, что ты плачешь.
</t>
    </r>
    <r>
      <rPr>
        <rFont val="Arial"/>
        <sz val="10"/>
        <b/>
      </rPr>
      <t>TRANS:</t>
    </r>
    <r>
      <rPr>
        <rFont val="Arial"/>
        <sz val="10"/>
      </rPr>
      <t xml:space="preserve"> Mne stydno, chto ty plachesh'.
</t>
    </r>
    <r>
      <rPr>
        <rFont val="Arial"/>
        <sz val="10"/>
        <b/>
      </rPr>
      <t>TRANSLATION:</t>
    </r>
    <r>
      <rPr>
        <rFont val="Arial"/>
        <sz val="10"/>
      </rPr>
      <t xml:space="preserve"> I am ashamed that you are crying.</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</si>
  <si>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Сенің көз жасың үшін мен қатты қысылып отырмын.
</t>
    </r>
    <r>
      <rPr>
        <rFont val="Arial"/>
        <sz val="10"/>
        <b/>
      </rPr>
      <t>TRANS:</t>
    </r>
    <r>
      <rPr>
        <rFont val="Arial"/>
        <sz val="10"/>
      </rPr>
      <t xml:space="preserve"> Senıñ köz jasyñ üşın men qatty qysylyp otyrmyn.
</t>
    </r>
    <r>
      <rPr>
        <rFont val="Arial"/>
        <sz val="10"/>
        <b/>
      </rPr>
      <t>TRANSLATION:</t>
    </r>
    <r>
      <rPr>
        <rFont val="Arial"/>
        <sz val="10"/>
      </rPr>
      <t xml:space="preserve"> I am very embarrassed for your tears.</t>
    </r>
  </si>
  <si>
    <r>
      <rPr>
        <rFont val="Arial"/>
        <sz val="10"/>
        <b/>
      </rPr>
      <t>TERM:</t>
    </r>
    <r>
      <rPr>
        <rFont val="Arial"/>
        <sz val="10"/>
      </rPr>
      <t xml:space="preserve"> Postydilsya (Постыдился) — felt ashamed (pf.); refrained out of shame [ORD] (lemma: постыдиться)
</t>
    </r>
    <r>
      <rPr>
        <rFont val="Arial"/>
        <sz val="10"/>
        <b/>
      </rPr>
      <t>PASSAGE:</t>
    </r>
    <r>
      <rPr>
        <rFont val="Arial"/>
        <sz val="10"/>
      </rPr>
      <t xml:space="preserve"> Постыдился бы даже показываться на ней: ведь могут подумать, будто у него нет своей лошади.
</t>
    </r>
    <r>
      <rPr>
        <rFont val="Arial"/>
        <sz val="10"/>
        <b/>
      </rPr>
      <t>TRANS:</t>
    </r>
    <r>
      <rPr>
        <rFont val="Arial"/>
        <sz val="10"/>
      </rPr>
      <t xml:space="preserve"> Postydilsya by dazhe pokazyvat'sya na ney: ved' mogut podumat', budto u nego net svoey loshadi.
</t>
    </r>
    <r>
      <rPr>
        <rFont val="Arial"/>
        <sz val="10"/>
        <b/>
      </rPr>
      <t>TRANSLATION:</t>
    </r>
    <r>
      <rPr>
        <rFont val="Arial"/>
        <sz val="10"/>
      </rPr>
      <t xml:space="preserve"> He would be ashamed even to show himself on her, for people might think he had no horse of his own.</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</si>
  <si>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Бұған көрінуге де ұялмайды өзі.
</t>
    </r>
    <r>
      <rPr>
        <rFont val="Arial"/>
        <sz val="10"/>
        <b/>
      </rPr>
      <t>TRANS:</t>
    </r>
    <r>
      <rPr>
        <rFont val="Arial"/>
        <sz val="10"/>
      </rPr>
      <t xml:space="preserve"> Būğan körınuge de ūialmaidy özı.
</t>
    </r>
    <r>
      <rPr>
        <rFont val="Arial"/>
        <sz val="10"/>
        <b/>
      </rPr>
      <t>TRANSLATION:</t>
    </r>
    <r>
      <rPr>
        <rFont val="Arial"/>
        <sz val="10"/>
      </rPr>
      <t xml:space="preserve"> He himself would not even be ashamed to be seen on her.</t>
    </r>
  </si>
  <si>
    <r>
      <rPr>
        <rFont val="Arial"/>
        <sz val="10"/>
        <b/>
      </rPr>
      <t>TERM:</t>
    </r>
    <r>
      <rPr>
        <rFont val="Arial"/>
        <sz val="10"/>
      </rPr>
      <t xml:space="preserve"> opozorili (опозорили) — they disgraced (pf. past pl.) [ORD] (lemma: опозорить)
</t>
    </r>
    <r>
      <rPr>
        <rFont val="Arial"/>
        <sz val="10"/>
        <b/>
      </rPr>
      <t>PASSAGE:</t>
    </r>
    <r>
      <rPr>
        <rFont val="Arial"/>
        <sz val="10"/>
      </rPr>
      <t xml:space="preserve"> А вы… вы… вы все сделали, чтобы уронить престиж приличных людей: стали работать и опозорили хорошего мужа, давая повод янки и всему сброду смеяться над нами и делать разные оскорбительные замечания насчет того, что никакие мы, дескать, не аристократы.
</t>
    </r>
    <r>
      <rPr>
        <rFont val="Arial"/>
        <sz val="10"/>
        <b/>
      </rPr>
      <t>TRANS:</t>
    </r>
    <r>
      <rPr>
        <rFont val="Arial"/>
        <sz val="10"/>
      </rPr>
      <t xml:space="preserve"> A vy… vy… vy vse sdelali, chtoby uronit' prestizh prilichnykh lyudey: stali rabotat' i opozorili khoroshego muzha, davaya povod yanki i vsemu sbrodu smeyat'sya nad nami i delat' raznye oskorbitel'nye zamechaniya naschet togo, chto nikakie my, deskat', ne aristokraty.
</t>
    </r>
    <r>
      <rPr>
        <rFont val="Arial"/>
        <sz val="10"/>
        <b/>
      </rPr>
      <t>TRANSLATION:</t>
    </r>
    <r>
      <rPr>
        <rFont val="Arial"/>
        <sz val="10"/>
      </rPr>
      <t xml:space="preserve"> And you... you... you have done everything to undermine the prestige of decent people: you took to working and disgraced a good husband, giving the Yankees and all the rabble cause to laugh at us and to make all sorts of insulting remarks about how we are no aristocrats at all.</t>
    </r>
  </si>
  <si>
    <r>
      <rPr>
        <rFont val="Arial"/>
        <sz val="10"/>
        <b/>
      </rPr>
      <t>TERM:</t>
    </r>
    <r>
      <rPr>
        <rFont val="Arial"/>
        <sz val="10"/>
      </rPr>
      <t xml:space="preserve"> KÜLKI (КҮЛКІ) — laughter; mockery; object of mockery [KED, SZK]
</t>
    </r>
    <r>
      <rPr>
        <rFont val="Arial"/>
        <sz val="10"/>
        <b/>
      </rPr>
      <t>PASSAGE:</t>
    </r>
    <r>
      <rPr>
        <rFont val="Arial"/>
        <sz val="10"/>
      </rPr>
      <t xml:space="preserve"> Ал сіз... сіз... Зиялы адамдардың мәртебесін түсіру үшін бәрін жасадыңыз: жұмыс істедіңіз, тым жақсы күйеуіңізді ел алдында күлкіге қалдырдыңыз
</t>
    </r>
    <r>
      <rPr>
        <rFont val="Arial"/>
        <sz val="10"/>
        <b/>
      </rPr>
      <t>TRANS:</t>
    </r>
    <r>
      <rPr>
        <rFont val="Arial"/>
        <sz val="10"/>
      </rPr>
      <t xml:space="preserve"> Al sız... sız... Zialy adamdardyñ märtebesın tüsıru üşın bärın jasadyñyz: jūmys ıstedıñız, tym jaqsy küieuıñızdı el aldynda külkıge qaldyrdyñyz
</t>
    </r>
    <r>
      <rPr>
        <rFont val="Arial"/>
        <sz val="10"/>
        <b/>
      </rPr>
      <t>TRANSLATION:</t>
    </r>
    <r>
      <rPr>
        <rFont val="Arial"/>
        <sz val="10"/>
      </rPr>
      <t xml:space="preserve"> And you... you... you did everything to bring down the standing of respectable people: you went to work, you put your too-good husband to shame before everyone</t>
    </r>
  </si>
  <si>
    <r>
      <rPr>
        <rFont val="Arial"/>
        <sz val="10"/>
        <b/>
      </rPr>
      <t>TERM:</t>
    </r>
    <r>
      <rPr>
        <rFont val="Arial"/>
        <sz val="10"/>
      </rPr>
      <t xml:space="preserve"> opozorennaya (опозоренная) — disgraced (past pass. part. fem.) [ORD] (lemma: опозоренный)
</t>
    </r>
    <r>
      <rPr>
        <rFont val="Arial"/>
        <sz val="10"/>
        <b/>
      </rPr>
      <t>PASSAGE:</t>
    </r>
    <r>
      <rPr>
        <rFont val="Arial"/>
        <sz val="10"/>
      </rPr>
      <t xml:space="preserve"> Она просто не в силах предстать перед ним сегодня — опозоренная, испуганная, трясущаяся.
</t>
    </r>
    <r>
      <rPr>
        <rFont val="Arial"/>
        <sz val="10"/>
        <b/>
      </rPr>
      <t>TRANS:</t>
    </r>
    <r>
      <rPr>
        <rFont val="Arial"/>
        <sz val="10"/>
      </rPr>
      <t xml:space="preserve"> Ona prosto ne v silakh predstat' pered nim segodnya — opozorennaya, ispugannaya, tryasushchayasya.
</t>
    </r>
    <r>
      <rPr>
        <rFont val="Arial"/>
        <sz val="10"/>
        <b/>
      </rPr>
      <t>TRANSLATION:</t>
    </r>
    <r>
      <rPr>
        <rFont val="Arial"/>
        <sz val="10"/>
      </rPr>
      <t xml:space="preserve"> She simply did not have the strength to appear before him today — disgraced, frightened, trembling.</t>
    </r>
  </si>
  <si>
    <r>
      <rPr>
        <rFont val="Arial"/>
        <sz val="10"/>
        <b/>
      </rPr>
      <t>TERM:</t>
    </r>
    <r>
      <rPr>
        <rFont val="Arial"/>
        <sz val="10"/>
      </rPr>
      <t xml:space="preserve"> DÄRMENSIZ (ДӘРМЕНСІЗ) — helpless; powerless [KED, SZK]
</t>
    </r>
    <r>
      <rPr>
        <rFont val="Arial"/>
        <sz val="10"/>
        <b/>
      </rPr>
      <t>PASSAGE:</t>
    </r>
    <r>
      <rPr>
        <rFont val="Arial"/>
        <sz val="10"/>
      </rPr>
      <t xml:space="preserve"> Тап бүгін бойын үрей билеген, қалтырап-дірілдеген, дәрменсіз күйінде оның алдында тұрар халі де жоқ.
</t>
    </r>
    <r>
      <rPr>
        <rFont val="Arial"/>
        <sz val="10"/>
        <b/>
      </rPr>
      <t>TRANS:</t>
    </r>
    <r>
      <rPr>
        <rFont val="Arial"/>
        <sz val="10"/>
      </rPr>
      <t xml:space="preserve"> Tap bügın boiyn ürei bilegen, qaltyrap-dırıldegen, därmensız küiınde onyñ aldynda tūrar halı de joq.
</t>
    </r>
    <r>
      <rPr>
        <rFont val="Arial"/>
        <sz val="10"/>
        <b/>
      </rPr>
      <t>TRANSLATION:</t>
    </r>
    <r>
      <rPr>
        <rFont val="Arial"/>
        <sz val="10"/>
      </rPr>
      <t xml:space="preserve"> Today, with terror gripping her body, trembling and shaking, helpless, she had no condition to stand before him.</t>
    </r>
  </si>
  <si>
    <r>
      <rPr>
        <rFont val="Arial"/>
        <sz val="10"/>
        <b/>
      </rPr>
      <t>TERM:</t>
    </r>
    <r>
      <rPr>
        <rFont val="Arial"/>
        <sz val="10"/>
      </rPr>
      <t xml:space="preserve"> pozoru (позору) — disgrace (dat.) [ORD] (lemma: позор)
</t>
    </r>
    <r>
      <rPr>
        <rFont val="Arial"/>
        <sz val="10"/>
        <b/>
      </rPr>
      <t>PASSAGE:</t>
    </r>
    <r>
      <rPr>
        <rFont val="Arial"/>
        <sz val="10"/>
      </rPr>
      <t xml:space="preserve"> Ретт покинул город час тому назад с Бонни и Присси, и к позору и злости Скарлетт прибавилось отчаяние.
</t>
    </r>
    <r>
      <rPr>
        <rFont val="Arial"/>
        <sz val="10"/>
        <b/>
      </rPr>
      <t>TRANS:</t>
    </r>
    <r>
      <rPr>
        <rFont val="Arial"/>
        <sz val="10"/>
      </rPr>
      <t xml:space="preserve"> Rett pokinul gorod chas tomu nazad s Bonni i Prissi, i k pozoru i zlosti Skarlett pribavilos' otchayanie.
</t>
    </r>
    <r>
      <rPr>
        <rFont val="Arial"/>
        <sz val="10"/>
        <b/>
      </rPr>
      <t>TRANSLATION:</t>
    </r>
    <r>
      <rPr>
        <rFont val="Arial"/>
        <sz val="10"/>
      </rPr>
      <t xml:space="preserve"> Rhett had left the city an hour ago with Bonnie and Prissy, and to Scarlett's disgrace and anger was added despair.</t>
    </r>
  </si>
  <si>
    <r>
      <rPr>
        <rFont val="Arial"/>
        <sz val="10"/>
        <b/>
      </rPr>
      <t>TERM:</t>
    </r>
    <r>
      <rPr>
        <rFont val="Arial"/>
        <sz val="10"/>
      </rPr>
      <t xml:space="preserve"> MASQARA (МАСҚАРА) — disgrace; scandal; outrage (acute) [KED, SZK]
</t>
    </r>
    <r>
      <rPr>
        <rFont val="Arial"/>
        <sz val="10"/>
        <b/>
      </rPr>
      <t>PASSAGE:</t>
    </r>
    <r>
      <rPr>
        <rFont val="Arial"/>
        <sz val="10"/>
      </rPr>
      <t xml:space="preserve"> Ретт осыдан бір сағат бұрын өзімен бірге Бонни мен Приссиді алып, қаладан кетіп қалған еді, сондықтан да Скарлеттің іштей өртенген масқара өкінішіне енді тағы ашу-ызасы мен шарасыздығы қосылды.
</t>
    </r>
    <r>
      <rPr>
        <rFont val="Arial"/>
        <sz val="10"/>
        <b/>
      </rPr>
      <t>TRANS:</t>
    </r>
    <r>
      <rPr>
        <rFont val="Arial"/>
        <sz val="10"/>
      </rPr>
      <t xml:space="preserve"> Rett osydan bır sağat būryn özımen bırge Bonni men Prissidı alyp, qaladan ketıp qalğan edı, sondyqtan da Skarlettıñ ıştei örtengen masqara ökınışıne endı tağy aşu-yzasy men şarasyzdyğy qosyldy.
</t>
    </r>
    <r>
      <rPr>
        <rFont val="Arial"/>
        <sz val="10"/>
        <b/>
      </rPr>
      <t>TRANSLATION:</t>
    </r>
    <r>
      <rPr>
        <rFont val="Arial"/>
        <sz val="10"/>
      </rPr>
      <t xml:space="preserve"> Rhett had taken Bonnie and Prissy with him and left the city an hour ago, so to Scarlett's inwardly burning shameful regret were now added anger and helplessness.</t>
    </r>
  </si>
  <si>
    <r>
      <rPr>
        <rFont val="Arial"/>
        <sz val="10"/>
        <b/>
      </rPr>
      <t>TERM:</t>
    </r>
    <r>
      <rPr>
        <rFont val="Arial"/>
        <sz val="10"/>
      </rPr>
      <t xml:space="preserve"> stydit' (стыдить) — to shame (someone) (imperfective) [ORD]
</t>
    </r>
    <r>
      <rPr>
        <rFont val="Arial"/>
        <sz val="10"/>
        <b/>
      </rPr>
      <t>PASSAGE:</t>
    </r>
    <r>
      <rPr>
        <rFont val="Arial"/>
        <sz val="10"/>
      </rPr>
      <t xml:space="preserve"> Но она уже не могла обвинять Ретта, не могла устраивать ему бурные сцены, требовать верности или стыдить его — как не могла заставить себя просить у него прощения за то, что обвинила его в смерти Бонни.
</t>
    </r>
    <r>
      <rPr>
        <rFont val="Arial"/>
        <sz val="10"/>
        <b/>
      </rPr>
      <t>TRANS:</t>
    </r>
    <r>
      <rPr>
        <rFont val="Arial"/>
        <sz val="10"/>
      </rPr>
      <t xml:space="preserve"> No ona uzhe ne mogla obvinyat' Retta, ne mogla ustraivat' emu burnye stseny, trebovat' vernosti ili stydit' ego — kak ne mogla zastavit' sebya prosit' u nego proshcheniya za to, chto obvinila ego v smerti Bonni.
</t>
    </r>
    <r>
      <rPr>
        <rFont val="Arial"/>
        <sz val="10"/>
        <b/>
      </rPr>
      <t>TRANSLATION:</t>
    </r>
    <r>
      <rPr>
        <rFont val="Arial"/>
        <sz val="10"/>
      </rPr>
      <t xml:space="preserve"> But she could no longer accuse Rhett, could no longer make stormy scenes, demand fidelity or shame him — just as she could not bring herself to ask his forgiveness for accusing him of Bonnie's death.</t>
    </r>
  </si>
  <si>
    <r>
      <rPr>
        <rFont val="Arial"/>
        <sz val="10"/>
        <b/>
      </rPr>
      <t>TERM:</t>
    </r>
    <r>
      <rPr>
        <rFont val="Arial"/>
        <sz val="10"/>
      </rPr>
      <t xml:space="preserve"> SALMAQ (САЛМАҚ) — weight; burden [KED, SZK]
</t>
    </r>
    <r>
      <rPr>
        <rFont val="Arial"/>
        <sz val="10"/>
        <b/>
      </rPr>
      <t>PASSAGE:</t>
    </r>
    <r>
      <rPr>
        <rFont val="Arial"/>
        <sz val="10"/>
      </rPr>
      <t xml:space="preserve"> Бірақ өзі енді Ретті кінәлай да алмайды, қызғаныштың қызыл итін абалатып, жер теуіп тұрып, талап та қоя алмайды, адалдықты міндеттеп, ұятына да салмақ сала алмайды.
</t>
    </r>
    <r>
      <rPr>
        <rFont val="Arial"/>
        <sz val="10"/>
        <b/>
      </rPr>
      <t>TRANS:</t>
    </r>
    <r>
      <rPr>
        <rFont val="Arial"/>
        <sz val="10"/>
      </rPr>
      <t xml:space="preserve"> Bıraq özı endı Rettı kınälai da almaidy, qyzğanyştyñ qyzyl itın abalatyp, jer teuıp tūryp, talap ta qoia almaidy, adaldyqty mındettep, ūiatyna da salmaq sala almaidy.
</t>
    </r>
    <r>
      <rPr>
        <rFont val="Arial"/>
        <sz val="10"/>
        <b/>
      </rPr>
      <t>TRANSLATION:</t>
    </r>
    <r>
      <rPr>
        <rFont val="Arial"/>
        <sz val="10"/>
      </rPr>
      <t xml:space="preserve"> But she could no longer even blame Rhett, could no longer set loose the red dog of jealousy, stamp her foot and make demands, oblige him to faithfulness and lay the burden on his conscience.</t>
    </r>
  </si>
  <si>
    <r>
      <rPr>
        <rFont val="Arial"/>
        <sz val="10"/>
        <b/>
      </rPr>
      <t>TERM:</t>
    </r>
    <r>
      <rPr>
        <rFont val="Arial"/>
        <sz val="10"/>
      </rPr>
      <t xml:space="preserve"> pozore (позоре) — disgrace (prep.) [ORD] (lemma: позор)
</t>
    </r>
    <r>
      <rPr>
        <rFont val="Arial"/>
        <sz val="10"/>
        <b/>
      </rPr>
      <t>PASSAGE:</t>
    </r>
    <r>
      <rPr>
        <rFont val="Arial"/>
        <sz val="10"/>
      </rPr>
      <t xml:space="preserve"> — Им уже, без сомнения, известно — как, впрочем, и всем остальным — о нашем позоре.
</t>
    </r>
    <r>
      <rPr>
        <rFont val="Arial"/>
        <sz val="10"/>
        <b/>
      </rPr>
      <t>TRANS:</t>
    </r>
    <r>
      <rPr>
        <rFont val="Arial"/>
        <sz val="10"/>
      </rPr>
      <t xml:space="preserve"> — Im uzhe, bez somneniya, izvestno — kak, vprochem, i vsem ostal'nym — o nashem pozore.
</t>
    </r>
    <r>
      <rPr>
        <rFont val="Arial"/>
        <sz val="10"/>
        <b/>
      </rPr>
      <t>TRANSLATION:</t>
    </r>
    <r>
      <rPr>
        <rFont val="Arial"/>
        <sz val="10"/>
      </rPr>
      <t xml:space="preserve"> They no doubt already know — as do all the rest — of our disgrace.</t>
    </r>
  </si>
  <si>
    <r>
      <rPr>
        <rFont val="Arial"/>
        <sz val="10"/>
        <b/>
      </rPr>
      <t>TERM:</t>
    </r>
    <r>
      <rPr>
        <rFont val="Arial"/>
        <sz val="10"/>
      </rPr>
      <t xml:space="preserve"> MASQARA (МАСҚАРА) — disgrace; scandal; outrage (acute) [KED, SZK]
</t>
    </r>
    <r>
      <rPr>
        <rFont val="Arial"/>
        <sz val="10"/>
        <b/>
      </rPr>
      <t>PASSAGE:</t>
    </r>
    <r>
      <rPr>
        <rFont val="Arial"/>
        <sz val="10"/>
      </rPr>
      <t xml:space="preserve"> Басқалар сияқты олар да біздің масқарамыз туралы білетіні сөзсіз.
</t>
    </r>
    <r>
      <rPr>
        <rFont val="Arial"/>
        <sz val="10"/>
        <b/>
      </rPr>
      <t>TRANS:</t>
    </r>
    <r>
      <rPr>
        <rFont val="Arial"/>
        <sz val="10"/>
      </rPr>
      <t xml:space="preserve"> Basqalar siyaqty olar da bizdiñ masqaramyz turaly biletini sözsiz.
</t>
    </r>
    <r>
      <rPr>
        <rFont val="Arial"/>
        <sz val="10"/>
        <b/>
      </rPr>
      <t>TRANSLATION:</t>
    </r>
    <r>
      <rPr>
        <rFont val="Arial"/>
        <sz val="10"/>
      </rPr>
      <t xml:space="preserve"> No doubt they, like the others, also know about our disgrace.</t>
    </r>
  </si>
  <si>
    <r>
      <rPr>
        <rFont val="Arial"/>
        <sz val="10"/>
        <b/>
      </rPr>
      <t>TERM:</t>
    </r>
    <r>
      <rPr>
        <rFont val="Arial"/>
        <sz val="10"/>
      </rPr>
      <t xml:space="preserve"> sgorat' so styda! (сгорать со стыда!) = burn with shame
</t>
    </r>
    <r>
      <rPr>
        <rFont val="Arial"/>
        <sz val="10"/>
        <b/>
      </rPr>
      <t>PASSAGE:</t>
    </r>
    <r>
      <rPr>
        <rFont val="Arial"/>
        <sz val="10"/>
      </rPr>
      <t xml:space="preserve"> Разумеется, вы должны сгорать со стыда!
</t>
    </r>
    <r>
      <rPr>
        <rFont val="Arial"/>
        <sz val="10"/>
        <b/>
      </rPr>
      <t>TRANS:</t>
    </r>
    <r>
      <rPr>
        <rFont val="Arial"/>
        <sz val="10"/>
      </rPr>
      <t xml:space="preserve"> Razumeetsya, vy dolzhny sgorat' so styda!
</t>
    </r>
    <r>
      <rPr>
        <rFont val="Arial"/>
        <sz val="10"/>
        <b/>
      </rPr>
      <t>TRANSLATION:</t>
    </r>
    <r>
      <rPr>
        <rFont val="Arial"/>
        <sz val="10"/>
      </rPr>
      <t xml:space="preserve"> Of course, you must be burning up with shame!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</si>
  <si>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Әрине, ұяттан бетіңіздің оты шығып, күйіп қалуыңыз керек!
</t>
    </r>
    <r>
      <rPr>
        <rFont val="Arial"/>
        <sz val="10"/>
        <b/>
      </rPr>
      <t>TRANS:</t>
    </r>
    <r>
      <rPr>
        <rFont val="Arial"/>
        <sz val="10"/>
      </rPr>
      <t xml:space="preserve"> Ärine, ūiattan betıñızdıñ oty şyğyp, küiıp qaluyñyz kerek!
</t>
    </r>
    <r>
      <rPr>
        <rFont val="Arial"/>
        <sz val="10"/>
        <b/>
      </rPr>
      <t>TRANSLATION:</t>
    </r>
    <r>
      <rPr>
        <rFont val="Arial"/>
        <sz val="10"/>
      </rPr>
      <t xml:space="preserve"> Of course, the fire of shame should come out of your face and scorch you!</t>
    </r>
  </si>
  <si>
    <r>
      <rPr>
        <rFont val="Arial"/>
        <sz val="10"/>
        <b/>
      </rPr>
      <t>TERM:</t>
    </r>
    <r>
      <rPr>
        <rFont val="Arial"/>
        <sz val="10"/>
      </rPr>
      <t xml:space="preserve"> Postydilis' (Постыдились) — should have been ashamed (pl., reproachful) [ORD] (lemma: постыдиться)
</t>
    </r>
    <r>
      <rPr>
        <rFont val="Arial"/>
        <sz val="10"/>
        <b/>
      </rPr>
      <t>PASSAGE:</t>
    </r>
    <r>
      <rPr>
        <rFont val="Arial"/>
        <sz val="10"/>
      </rPr>
      <t xml:space="preserve"> Постыдились бы сравнивать такого благородного человека, как Эшли, с этим подонком, капитаном Батлером!
</t>
    </r>
    <r>
      <rPr>
        <rFont val="Arial"/>
        <sz val="10"/>
        <b/>
      </rPr>
      <t>TRANS:</t>
    </r>
    <r>
      <rPr>
        <rFont val="Arial"/>
        <sz val="10"/>
      </rPr>
      <t xml:space="preserve"> Postydilis' by sravnivat' takogo blagorodnogo cheloveka, kak Eshli, s etim podonkom, kapitanom Batlerom!
</t>
    </r>
    <r>
      <rPr>
        <rFont val="Arial"/>
        <sz val="10"/>
        <b/>
      </rPr>
      <t>TRANSLATION:</t>
    </r>
    <r>
      <rPr>
        <rFont val="Arial"/>
        <sz val="10"/>
      </rPr>
      <t xml:space="preserve"> You ought to be ashamed of yourselves for comparing such a noble man as Ashley with that scoundrel, Captain Butler!</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</si>
  <si>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Сіз Эшли сияқты асыл адамды сол арсыз Батлер капитанмен салыстыруға ұялсаңызшы!
</t>
    </r>
    <r>
      <rPr>
        <rFont val="Arial"/>
        <sz val="10"/>
        <b/>
      </rPr>
      <t>TRANS:</t>
    </r>
    <r>
      <rPr>
        <rFont val="Arial"/>
        <sz val="10"/>
      </rPr>
      <t xml:space="preserve"> Sız Eşli siaqty asyl adamdy sol arsyz Batler kapitanmen salystyruğa ūialsañyzşy!
</t>
    </r>
    <r>
      <rPr>
        <rFont val="Arial"/>
        <sz val="10"/>
        <b/>
      </rPr>
      <t>TRANSLATION:</t>
    </r>
    <r>
      <rPr>
        <rFont val="Arial"/>
        <sz val="10"/>
      </rPr>
      <t xml:space="preserve"> You should be ashamed of comparing such a noble man as Ashley with that shameless Captain Butler!</t>
    </r>
  </si>
  <si>
    <r>
      <rPr>
        <rFont val="Arial"/>
        <sz val="10"/>
        <b/>
      </rPr>
      <t>TERM:</t>
    </r>
    <r>
      <rPr>
        <rFont val="Arial"/>
        <sz val="10"/>
      </rPr>
      <t xml:space="preserve"> ŪİALU (ҰЯЛУ) — to feel ashamed; to feel shy or embarrassed [KED, SZK]
</t>
    </r>
    <r>
      <rPr>
        <rFont val="Arial"/>
        <sz val="10"/>
        <b/>
      </rPr>
      <t>PASSAGE:</t>
    </r>
    <r>
      <rPr>
        <rFont val="Arial"/>
        <sz val="10"/>
      </rPr>
      <t xml:space="preserve"> Ұялсаң нетті!
</t>
    </r>
    <r>
      <rPr>
        <rFont val="Arial"/>
        <sz val="10"/>
        <b/>
      </rPr>
      <t>TRANS:</t>
    </r>
    <r>
      <rPr>
        <rFont val="Arial"/>
        <sz val="10"/>
      </rPr>
      <t xml:space="preserve"> Ūialsañ nettı!
</t>
    </r>
    <r>
      <rPr>
        <rFont val="Arial"/>
        <sz val="10"/>
        <b/>
      </rPr>
      <t>TRANSLATION:</t>
    </r>
    <r>
      <rPr>
        <rFont val="Arial"/>
        <sz val="10"/>
      </rPr>
      <t xml:space="preserve"> You should be asham</t>
    </r>
  </si>
  <si>
    <r>
      <rPr>
        <rFont val="Arial"/>
        <sz val="10"/>
        <b/>
      </rPr>
      <t>TERM:</t>
    </r>
    <r>
      <rPr>
        <rFont val="Arial"/>
        <sz val="10"/>
      </rPr>
      <t xml:space="preserve"> ne sovestno (не совестно) — it is not conscience-troubling; (one) feels no qualms [ORD] (lemma: совестно)
</t>
    </r>
    <r>
      <rPr>
        <rFont val="Arial"/>
        <sz val="10"/>
        <b/>
      </rPr>
      <t>PASSAGE:</t>
    </r>
    <r>
      <rPr>
        <rFont val="Arial"/>
        <sz val="10"/>
      </rPr>
      <t xml:space="preserve"> Как же вам, молодые барышни, не совестно доводить мисс Питти до состояния
</t>
    </r>
    <r>
      <rPr>
        <rFont val="Arial"/>
        <sz val="10"/>
        <b/>
      </rPr>
      <t>TRANS:</t>
    </r>
    <r>
      <rPr>
        <rFont val="Arial"/>
        <sz val="10"/>
      </rPr>
      <t xml:space="preserve"> Kak zhe vam, molodye baryshni, ne sovestno dovodit' miss Pitti do sostoyaniya
</t>
    </r>
    <r>
      <rPr>
        <rFont val="Arial"/>
        <sz val="10"/>
        <b/>
      </rPr>
      <t>TRANSLATION:</t>
    </r>
    <r>
      <rPr>
        <rFont val="Arial"/>
        <sz val="10"/>
      </rPr>
      <t xml:space="preserve"> How can you, young ladies, not be ashamed of bringing Miss Pitty to such a state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</si>
  <si>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Питти бикешті осындай күйге жеткізуге қалайша ұялмайсыңдар, жас ханымдар, ...
</t>
    </r>
    <r>
      <rPr>
        <rFont val="Arial"/>
        <sz val="10"/>
        <b/>
      </rPr>
      <t>TRANS:</t>
    </r>
    <r>
      <rPr>
        <rFont val="Arial"/>
        <sz val="10"/>
      </rPr>
      <t xml:space="preserve"> Pitti bikeştı osyndai küige jetkızuge qalaişa ūialmaisyñdar, jas hanymdar, ...
</t>
    </r>
    <r>
      <rPr>
        <rFont val="Arial"/>
        <sz val="10"/>
        <b/>
      </rPr>
      <t>TRANSLATION:</t>
    </r>
    <r>
      <rPr>
        <rFont val="Arial"/>
        <sz val="10"/>
      </rPr>
      <t xml:space="preserve"> How can you not be ashamed, young ladies, of bringing Miss Pitty to such a condition,...</t>
    </r>
  </si>
  <si>
    <r>
      <rPr>
        <rFont val="Arial"/>
        <sz val="10"/>
        <b/>
      </rPr>
      <t>TERM:</t>
    </r>
    <r>
      <rPr>
        <rFont val="Arial"/>
        <sz val="10"/>
      </rPr>
      <t xml:space="preserve"> ne sovestno (не совестно) — it is not conscience-troubling; (one) feels no qualms [ORD] (lemma: совестно)
</t>
    </r>
    <r>
      <rPr>
        <rFont val="Arial"/>
        <sz val="10"/>
        <b/>
      </rPr>
      <t>PASSAGE:</t>
    </r>
    <r>
      <rPr>
        <rFont val="Arial"/>
        <sz val="10"/>
      </rPr>
      <t xml:space="preserve"> Как же вам, молодые барышни, не совестно доводить мисс Питти до состояния
</t>
    </r>
    <r>
      <rPr>
        <rFont val="Arial"/>
        <sz val="10"/>
        <b/>
      </rPr>
      <t>TRANS:</t>
    </r>
    <r>
      <rPr>
        <rFont val="Arial"/>
        <sz val="10"/>
      </rPr>
      <t xml:space="preserve"> Kak zhe vam, molodye baryshni, ne sovestno dovodit' miss Pitti do sostoyaniya
</t>
    </r>
    <r>
      <rPr>
        <rFont val="Arial"/>
        <sz val="10"/>
        <b/>
      </rPr>
      <t>TRANSLATION:</t>
    </r>
    <r>
      <rPr>
        <rFont val="Arial"/>
        <sz val="10"/>
      </rPr>
      <t xml:space="preserve"> How can you, young ladies, not be ashamed of bringing Miss Pitty to such a state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</si>
  <si>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Питти бикешті осындай күйге жеткізуге қалайша ұялмайсыңдар, жас ханымдар, ...
</t>
    </r>
    <r>
      <rPr>
        <rFont val="Arial"/>
        <sz val="10"/>
        <b/>
      </rPr>
      <t>TRANS:</t>
    </r>
    <r>
      <rPr>
        <rFont val="Arial"/>
        <sz val="10"/>
      </rPr>
      <t xml:space="preserve"> Pitti bikeştı osyndai küige jetkızuge qalaişa ūialmaisyñdar, jas hanymdar, ...
</t>
    </r>
    <r>
      <rPr>
        <rFont val="Arial"/>
        <sz val="10"/>
        <b/>
      </rPr>
      <t>TRANSLATION:</t>
    </r>
    <r>
      <rPr>
        <rFont val="Arial"/>
        <sz val="10"/>
      </rPr>
      <t xml:space="preserve"> How can you not be ashamed, young ladies, of bringing Miss Pitty to such a condition,...</t>
    </r>
  </si>
  <si>
    <r>
      <rPr>
        <rFont val="Arial"/>
        <sz val="10"/>
        <b/>
      </rPr>
      <t>TERM:</t>
    </r>
    <r>
      <rPr>
        <rFont val="Arial"/>
        <sz val="10"/>
      </rPr>
      <t xml:space="preserve"> styda (стыда) — shame (genitive) [ORD] (lemma: стыд)
</t>
    </r>
    <r>
      <rPr>
        <rFont val="Arial"/>
        <sz val="10"/>
        <b/>
      </rPr>
      <t>PASSAGE:</t>
    </r>
    <r>
      <rPr>
        <rFont val="Arial"/>
        <sz val="10"/>
      </rPr>
      <t xml:space="preserve"> Не может она дольше так жить, не зная, что он теперь к ней испытывает, не зная, сгорела ли его любовь от стыда после того страшного вечера, когда Мелани устроила прием.
</t>
    </r>
    <r>
      <rPr>
        <rFont val="Arial"/>
        <sz val="10"/>
        <b/>
      </rPr>
      <t>TRANS:</t>
    </r>
    <r>
      <rPr>
        <rFont val="Arial"/>
        <sz val="10"/>
      </rPr>
      <t xml:space="preserve"> Ne mozhet ona dol'she tak zhit', ne znaya, chto on teper' k ney ispytyvaet, ne znaya, sgorela li ego lyubov' ot styda posle togo strashnogo vechera, kogda Melani ustroila priem.
</t>
    </r>
    <r>
      <rPr>
        <rFont val="Arial"/>
        <sz val="10"/>
        <b/>
      </rPr>
      <t>TRANSLATION:</t>
    </r>
    <r>
      <rPr>
        <rFont val="Arial"/>
        <sz val="10"/>
      </rPr>
      <t xml:space="preserve"> She could not go on living like this, not knowing what he now feels toward her, not knowing whether his love had burned out from shame after that terrible evening when Melanie hosted the reception.</t>
    </r>
  </si>
  <si>
    <r>
      <rPr>
        <rFont val="Arial"/>
        <sz val="10"/>
        <b/>
      </rPr>
      <t>TERM:</t>
    </r>
    <r>
      <rPr>
        <rFont val="Arial"/>
        <sz val="10"/>
      </rPr>
      <t xml:space="preserve"> styda (стыда) — shame (genitive) [ORD] (lemma: стыд)
</t>
    </r>
    <r>
      <rPr>
        <rFont val="Arial"/>
        <sz val="10"/>
        <b/>
      </rPr>
      <t>PASSAGE:</t>
    </r>
    <r>
      <rPr>
        <rFont val="Arial"/>
        <sz val="10"/>
      </rPr>
      <t xml:space="preserve"> Да ваша семья умрет со стыда.
</t>
    </r>
    <r>
      <rPr>
        <rFont val="Arial"/>
        <sz val="10"/>
        <b/>
      </rPr>
      <t>TRANS:</t>
    </r>
    <r>
      <rPr>
        <rFont val="Arial"/>
        <sz val="10"/>
      </rPr>
      <t xml:space="preserve"> Da vasha sem'ya umret so styda.
</t>
    </r>
    <r>
      <rPr>
        <rFont val="Arial"/>
        <sz val="10"/>
        <b/>
      </rPr>
      <t>TRANSLATION:</t>
    </r>
    <r>
      <rPr>
        <rFont val="Arial"/>
        <sz val="10"/>
      </rPr>
      <t xml:space="preserve"> Why, your family will die of shame.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</si>
  <si>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Ұяттан отбасыңыз елдің бетіне қарай алмай қалады.
</t>
    </r>
    <r>
      <rPr>
        <rFont val="Arial"/>
        <sz val="10"/>
        <b/>
      </rPr>
      <t>TRANS:</t>
    </r>
    <r>
      <rPr>
        <rFont val="Arial"/>
        <sz val="10"/>
      </rPr>
      <t xml:space="preserve"> Ūiattan otbasyñyz eldıñ betıne qarai almai qalady.
</t>
    </r>
    <r>
      <rPr>
        <rFont val="Arial"/>
        <sz val="10"/>
        <b/>
      </rPr>
      <t>TRANSLATION:</t>
    </r>
    <r>
      <rPr>
        <rFont val="Arial"/>
        <sz val="10"/>
      </rPr>
      <t xml:space="preserve"> From shame, your family will not be able to look people in the face.</t>
    </r>
  </si>
  <si>
    <r>
      <rPr>
        <rFont val="Arial"/>
        <sz val="10"/>
        <b/>
      </rPr>
      <t>TERM:</t>
    </r>
    <r>
      <rPr>
        <rFont val="Arial"/>
        <sz val="10"/>
      </rPr>
      <t xml:space="preserve"> styda (стыда) — shame (genitive) [ORD] (lemma: стыд)
</t>
    </r>
    <r>
      <rPr>
        <rFont val="Arial"/>
        <sz val="10"/>
        <b/>
      </rPr>
      <t>PASSAGE:</t>
    </r>
    <r>
      <rPr>
        <rFont val="Arial"/>
        <sz val="10"/>
      </rPr>
      <t xml:space="preserve"> Да я со стыда умру, как люди узнают, что это для моей деточки!
</t>
    </r>
    <r>
      <rPr>
        <rFont val="Arial"/>
        <sz val="10"/>
        <b/>
      </rPr>
      <t>TRANS:</t>
    </r>
    <r>
      <rPr>
        <rFont val="Arial"/>
        <sz val="10"/>
      </rPr>
      <t xml:space="preserve"> Da ya so styda umru, kak lyudi uznayut, chto eto dlya moey detochki!
</t>
    </r>
    <r>
      <rPr>
        <rFont val="Arial"/>
        <sz val="10"/>
        <b/>
      </rPr>
      <t>TRANSLATION:</t>
    </r>
    <r>
      <rPr>
        <rFont val="Arial"/>
        <sz val="10"/>
      </rPr>
      <t xml:space="preserve"> Why, I will die of shame when people learn that this is for my little baby!</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</si>
  <si>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Балама бояу алып жүргенімді ел білсе, ұяттан өлмеймін бе!
</t>
    </r>
    <r>
      <rPr>
        <rFont val="Arial"/>
        <sz val="10"/>
        <b/>
      </rPr>
      <t>TRANS:</t>
    </r>
    <r>
      <rPr>
        <rFont val="Arial"/>
        <sz val="10"/>
      </rPr>
      <t xml:space="preserve"> Balama boiau alyp jürgenımdı el bılse, ūiattan ölmeimın be!
</t>
    </r>
    <r>
      <rPr>
        <rFont val="Arial"/>
        <sz val="10"/>
        <b/>
      </rPr>
      <t>TRANSLATION:</t>
    </r>
    <r>
      <rPr>
        <rFont val="Arial"/>
        <sz val="10"/>
      </rPr>
      <t xml:space="preserve"> If people find out that I am carrying paint for my child, won't I die of shame!</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</si>
  <si>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Я почему-то считаю, что вам стыдно этим заниматься.
</t>
    </r>
    <r>
      <rPr>
        <rFont val="Arial"/>
        <sz val="10"/>
        <b/>
      </rPr>
      <t>TRANS:</t>
    </r>
    <r>
      <rPr>
        <rFont val="Arial"/>
        <sz val="10"/>
      </rPr>
      <t xml:space="preserve"> Ya pochemu-to schitayu, chto vam stydno etim zanimat'sya.
</t>
    </r>
    <r>
      <rPr>
        <rFont val="Arial"/>
        <sz val="10"/>
        <b/>
      </rPr>
      <t>TRANSLATION:</t>
    </r>
    <r>
      <rPr>
        <rFont val="Arial"/>
        <sz val="10"/>
      </rPr>
      <t xml:space="preserve"> I somehow think that you are ashamed to do this.</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</si>
  <si>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Сізге нанмен айналысу ұяттау ғой деп ойлаймын.
</t>
    </r>
    <r>
      <rPr>
        <rFont val="Arial"/>
        <sz val="10"/>
        <b/>
      </rPr>
      <t>TRANS:</t>
    </r>
    <r>
      <rPr>
        <rFont val="Arial"/>
        <sz val="10"/>
      </rPr>
      <t xml:space="preserve"> Sızge nanmen ainalysu ūiattau ğoi dep oilaimyn.
</t>
    </r>
    <r>
      <rPr>
        <rFont val="Arial"/>
        <sz val="10"/>
        <b/>
      </rPr>
      <t>TRANSLATION:</t>
    </r>
    <r>
      <rPr>
        <rFont val="Arial"/>
        <sz val="10"/>
      </rPr>
      <t xml:space="preserve"> I think it is rather shameful for you to be busy with bread.</t>
    </r>
  </si>
  <si>
    <r>
      <rPr>
        <rFont val="Arial"/>
        <sz val="10"/>
        <b/>
      </rPr>
      <t>TERM:</t>
    </r>
    <r>
      <rPr>
        <rFont val="Arial"/>
        <sz val="10"/>
      </rPr>
      <t xml:space="preserve"> pozor (позор) — disgrace; shame; ignominy [ORD]
</t>
    </r>
    <r>
      <rPr>
        <rFont val="Arial"/>
        <sz val="10"/>
        <b/>
      </rPr>
      <t>PASSAGE:</t>
    </r>
    <r>
      <rPr>
        <rFont val="Arial"/>
        <sz val="10"/>
      </rPr>
      <t xml:space="preserve"> навлекла позор на каждую семью в графстве.
</t>
    </r>
    <r>
      <rPr>
        <rFont val="Arial"/>
        <sz val="10"/>
        <b/>
      </rPr>
      <t>TRANS:</t>
    </r>
    <r>
      <rPr>
        <rFont val="Arial"/>
        <sz val="10"/>
      </rPr>
      <t xml:space="preserve"> navlekla pozor na kazhduyu sem'yu v grafstve.
</t>
    </r>
    <r>
      <rPr>
        <rFont val="Arial"/>
        <sz val="10"/>
        <b/>
      </rPr>
      <t>TRANSLATION:</t>
    </r>
    <r>
      <rPr>
        <rFont val="Arial"/>
        <sz val="10"/>
      </rPr>
      <t xml:space="preserve"> brought disgrace upon every family in the county.</t>
    </r>
  </si>
  <si>
    <r>
      <rPr>
        <rFont val="Arial"/>
        <sz val="10"/>
        <b/>
      </rPr>
      <t>TERM:</t>
    </r>
    <r>
      <rPr>
        <rFont val="Arial"/>
        <sz val="10"/>
      </rPr>
      <t xml:space="preserve"> KÜİE (КҮЙЕ) — soot; grime (used metaphorically: "stain") [KED, SZK]
</t>
    </r>
    <r>
      <rPr>
        <rFont val="Arial"/>
        <sz val="10"/>
        <b/>
      </rPr>
      <t>PASSAGE:</t>
    </r>
    <r>
      <rPr>
        <rFont val="Arial"/>
        <sz val="10"/>
      </rPr>
      <t xml:space="preserve"> Конфедерацияға шын берілген, плантатор отбасында туған әйел қас дұшпанға тек өз басын ғана иген жоқ, күллі графтықтардың бетіне күйе жақты.
</t>
    </r>
    <r>
      <rPr>
        <rFont val="Arial"/>
        <sz val="10"/>
        <b/>
      </rPr>
      <t>TRANS:</t>
    </r>
    <r>
      <rPr>
        <rFont val="Arial"/>
        <sz val="10"/>
      </rPr>
      <t xml:space="preserve"> onfederasiağa şyn berılgen, plantator otbasynda tuğan äiel qas dūşpanğa tek öz basyn ğana igen joq, küllı graftyqtardyñ betıne küie jaqty.
</t>
    </r>
    <r>
      <rPr>
        <rFont val="Arial"/>
        <sz val="10"/>
        <b/>
      </rPr>
      <t>TRANSLATION:</t>
    </r>
    <r>
      <rPr>
        <rFont val="Arial"/>
        <sz val="10"/>
      </rPr>
      <t xml:space="preserve"> A woman who was truly devoted to the Confederacy and born into a planter's family — she did not only bow her head to her arch-enemy, she daubed soot on the faces of all the counties.</t>
    </r>
  </si>
  <si>
    <r>
      <rPr>
        <rFont val="Arial"/>
        <sz val="10"/>
        <b/>
      </rPr>
      <t>TERM:</t>
    </r>
    <r>
      <rPr>
        <rFont val="Arial"/>
        <sz val="10"/>
      </rPr>
      <t xml:space="preserve"> pozore (позоре) — disgrace (prep.) [ORD] (lemma: позор)
</t>
    </r>
    <r>
      <rPr>
        <rFont val="Arial"/>
        <sz val="10"/>
        <b/>
      </rPr>
      <t>PASSAGE:</t>
    </r>
    <r>
      <rPr>
        <rFont val="Arial"/>
        <sz val="10"/>
      </rPr>
      <t xml:space="preserve"> Сьюлин вся в мыслях о своем позоре, а Кэррин — о боге, и это их поддерживает.
</t>
    </r>
    <r>
      <rPr>
        <rFont val="Arial"/>
        <sz val="10"/>
        <b/>
      </rPr>
      <t>TRANS:</t>
    </r>
    <r>
      <rPr>
        <rFont val="Arial"/>
        <sz val="10"/>
      </rPr>
      <t xml:space="preserve"> S'yulin vsya v myslyakh o svoem pozore, a Kerrin — o boge, i eto ikh podderzhivaet.
</t>
    </r>
    <r>
      <rPr>
        <rFont val="Arial"/>
        <sz val="10"/>
        <b/>
      </rPr>
      <t>TRANSLATION:</t>
    </r>
    <r>
      <rPr>
        <rFont val="Arial"/>
        <sz val="10"/>
      </rPr>
      <t xml:space="preserve"> Suellen is wholly absorbed in thoughts of her disgrace, and Carreen in [thoughts of] God, and that supports them.</t>
    </r>
  </si>
  <si>
    <r>
      <rPr>
        <rFont val="Arial"/>
        <sz val="10"/>
        <b/>
      </rPr>
      <t>TERM:</t>
    </r>
    <r>
      <rPr>
        <rFont val="Arial"/>
        <sz val="10"/>
      </rPr>
      <t xml:space="preserve"> MASQARA (МАСҚАРА) — disgrace; scandal; outrage (acute) [KED, SZK]
</t>
    </r>
    <r>
      <rPr>
        <rFont val="Arial"/>
        <sz val="10"/>
        <b/>
      </rPr>
      <t>PASSAGE:</t>
    </r>
    <r>
      <rPr>
        <rFont val="Arial"/>
        <sz val="10"/>
      </rPr>
      <t xml:space="preserve"> Сьюлин өзінің масқара қылығын еске алса, Кэррин құдайын ойлайды, екеуінің де бас сүйерлері бар.
</t>
    </r>
    <r>
      <rPr>
        <rFont val="Arial"/>
        <sz val="10"/>
        <b/>
      </rPr>
      <t>TRANS:</t>
    </r>
    <r>
      <rPr>
        <rFont val="Arial"/>
        <sz val="10"/>
      </rPr>
      <t xml:space="preserve"> S'iulin özınıñ masqara qylyğyn eske alsa, Kerrin qūdaiyn oilaidy, ekeuınıñ de bas süierlerı bar.
</t>
    </r>
    <r>
      <rPr>
        <rFont val="Arial"/>
        <sz val="10"/>
        <b/>
      </rPr>
      <t>TRANSLATION:</t>
    </r>
    <r>
      <rPr>
        <rFont val="Arial"/>
        <sz val="10"/>
      </rPr>
      <t xml:space="preserve"> If Suellen recalls her own shameful conduct, Carreen thinks of her God; both have something to lean on.</t>
    </r>
  </si>
  <si>
    <r>
      <rPr>
        <rFont val="Arial"/>
        <sz val="10"/>
        <b/>
      </rPr>
      <t>TERM:</t>
    </r>
    <r>
      <rPr>
        <rFont val="Arial"/>
        <sz val="10"/>
      </rPr>
      <t xml:space="preserve"> bez zazreniya sovesti (без зазрения совести) — without a qualm of conscience (set phrase) [ORD] (lemma: зазрение)
</t>
    </r>
    <r>
      <rPr>
        <rFont val="Arial"/>
        <sz val="10"/>
        <b/>
      </rPr>
      <t>PASSAGE:</t>
    </r>
    <r>
      <rPr>
        <rFont val="Arial"/>
        <sz val="10"/>
      </rPr>
      <t xml:space="preserve"> Она могла без зазрения совести, даже с гордостью, рассказывать ему, как ободрала кого-нибудь точно липку, и он лишь аплодировал ей.
</t>
    </r>
    <r>
      <rPr>
        <rFont val="Arial"/>
        <sz val="10"/>
        <b/>
      </rPr>
      <t>TRANS:</t>
    </r>
    <r>
      <rPr>
        <rFont val="Arial"/>
        <sz val="10"/>
      </rPr>
      <t xml:space="preserve"> Ona mogla bez zazreniya sovesti, dazhe s gordost'yu, rasskazyvat' emu, kak obodrala kogo-nibud' tochno lipku, i on lish' aplodiroval ey.
</t>
    </r>
    <r>
      <rPr>
        <rFont val="Arial"/>
        <sz val="10"/>
        <b/>
      </rPr>
      <t>TRANSLATION:</t>
    </r>
    <r>
      <rPr>
        <rFont val="Arial"/>
        <sz val="10"/>
      </rPr>
      <t xml:space="preserve"> She could, without any pang of conscience, even with pride, tell him how she had fleeced someone like a sticky-leaf, and he would only applaud her.</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</si>
  <si>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Скарлетт еш қысылмастан кімнің қалтасын қалай қаққанын, қай қыспақтан қалай сытылып шыққанын ұялмай, қайта танау желбезегі дірілдеп отырып, мақтанышпен айтатын, сол кезде алақанын алақанына ұрып, мадақтайтын адамы да сол болатын.
</t>
    </r>
    <r>
      <rPr>
        <rFont val="Arial"/>
        <sz val="10"/>
        <b/>
      </rPr>
      <t>TRANS:</t>
    </r>
    <r>
      <rPr>
        <rFont val="Arial"/>
        <sz val="10"/>
      </rPr>
      <t xml:space="preserve"> Skarlett eş qysylmastan kımnıñ qaltasyn qalai qaqqanyn, qai qyspaqtan qalai sytylyp şyqqanyn ūialmai, qaita tanau jelbezegı dırıldep otyryp, maqtanyşpen aitatyn, sol kezde alaqanyn alaqanyna ūryp, madaqtaityn adamy da sol bolatyn.
</t>
    </r>
    <r>
      <rPr>
        <rFont val="Arial"/>
        <sz val="10"/>
        <b/>
      </rPr>
      <t>TRANSLATION:</t>
    </r>
    <r>
      <rPr>
        <rFont val="Arial"/>
        <sz val="10"/>
      </rPr>
      <t xml:space="preserve"> Scarlett would, without the slightest embarrassment — indeed with her nostrils trembling with pride — tell him how she had picked someone's pocket or wriggled out of some squeeze, and he was the very man who would clap his palms in praise.</t>
    </r>
  </si>
  <si>
    <r>
      <rPr>
        <rFont val="Arial"/>
        <sz val="10"/>
        <b/>
      </rPr>
      <t>TERM:</t>
    </r>
    <r>
      <rPr>
        <rFont val="Arial"/>
        <sz val="10"/>
      </rPr>
      <t xml:space="preserve"> Smutit' (Смутить) — to disconcert; to embarrass (perfective) [ORD]
</t>
    </r>
    <r>
      <rPr>
        <rFont val="Arial"/>
        <sz val="10"/>
        <b/>
      </rPr>
      <t>PASSAGE:</t>
    </r>
    <r>
      <rPr>
        <rFont val="Arial"/>
        <sz val="10"/>
      </rPr>
      <t xml:space="preserve"> Смутить его было невозможно.
</t>
    </r>
    <r>
      <rPr>
        <rFont val="Arial"/>
        <sz val="10"/>
        <b/>
      </rPr>
      <t>TRANS:</t>
    </r>
    <r>
      <rPr>
        <rFont val="Arial"/>
        <sz val="10"/>
      </rPr>
      <t xml:space="preserve"> Smutit' ego bylo nevozmozhno.
</t>
    </r>
    <r>
      <rPr>
        <rFont val="Arial"/>
        <sz val="10"/>
        <b/>
      </rPr>
      <t>TRANSLATION:</t>
    </r>
    <r>
      <rPr>
        <rFont val="Arial"/>
        <sz val="10"/>
      </rPr>
      <t xml:space="preserve"> It was impossible to disconcert him.</t>
    </r>
  </si>
  <si>
    <r>
      <rPr>
        <rFont val="Arial"/>
        <sz val="10"/>
        <b/>
      </rPr>
      <t>TERM:</t>
    </r>
    <r>
      <rPr>
        <rFont val="Arial"/>
        <sz val="10"/>
      </rPr>
      <t xml:space="preserve"> ŪİALTU (ҰЯЛТУ) — to make (someone) feel ashamed; to disconcert; to embarrass (causative) [KED, SZK]
</t>
    </r>
    <r>
      <rPr>
        <rFont val="Arial"/>
        <sz val="10"/>
        <b/>
      </rPr>
      <t>PASSAGE:</t>
    </r>
    <r>
      <rPr>
        <rFont val="Arial"/>
        <sz val="10"/>
      </rPr>
      <t xml:space="preserve"> Оны ұялту мүмкін емес еді.
</t>
    </r>
    <r>
      <rPr>
        <rFont val="Arial"/>
        <sz val="10"/>
        <b/>
      </rPr>
      <t>TRANS:</t>
    </r>
    <r>
      <rPr>
        <rFont val="Arial"/>
        <sz val="10"/>
      </rPr>
      <t xml:space="preserve"> Ony ūialtu mümkın emes edı.
</t>
    </r>
    <r>
      <rPr>
        <rFont val="Arial"/>
        <sz val="10"/>
        <b/>
      </rPr>
      <t>TRANSLATION:</t>
    </r>
    <r>
      <rPr>
        <rFont val="Arial"/>
        <sz val="10"/>
      </rPr>
      <t xml:space="preserve"> It was impossible to make him feel ashamed.</t>
    </r>
  </si>
  <si>
    <r>
      <rPr>
        <rFont val="Arial"/>
        <sz val="10"/>
        <b/>
      </rPr>
      <t>TERM:</t>
    </r>
    <r>
      <rPr>
        <rFont val="Arial"/>
        <sz val="10"/>
      </rPr>
      <t xml:space="preserve"> pristyzhen (пристыжен) — shamed; abashed (short form pass.) [ORD] (lemma: пристыдить)
</t>
    </r>
    <r>
      <rPr>
        <rFont val="Arial"/>
        <sz val="10"/>
        <b/>
      </rPr>
      <t>PASSAGE:</t>
    </r>
    <r>
      <rPr>
        <rFont val="Arial"/>
        <sz val="10"/>
      </rPr>
      <t xml:space="preserve"> Он явно не был пристыжен
</t>
    </r>
    <r>
      <rPr>
        <rFont val="Arial"/>
        <sz val="10"/>
        <b/>
      </rPr>
      <t>TRANS:</t>
    </r>
    <r>
      <rPr>
        <rFont val="Arial"/>
        <sz val="10"/>
      </rPr>
      <t xml:space="preserve"> On yavno ne byl pristyzhen
</t>
    </r>
    <r>
      <rPr>
        <rFont val="Arial"/>
        <sz val="10"/>
        <b/>
      </rPr>
      <t>TRANSLATION:</t>
    </r>
    <r>
      <rPr>
        <rFont val="Arial"/>
        <sz val="10"/>
      </rPr>
      <t xml:space="preserve"> He clearly was not put to shame.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</si>
  <si>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Оның ұялмағаны анық
</t>
    </r>
    <r>
      <rPr>
        <rFont val="Arial"/>
        <sz val="10"/>
        <b/>
      </rPr>
      <t>TRANS:</t>
    </r>
    <r>
      <rPr>
        <rFont val="Arial"/>
        <sz val="10"/>
      </rPr>
      <t xml:space="preserve"> Onyñ ūialmağany anyq
</t>
    </r>
    <r>
      <rPr>
        <rFont val="Arial"/>
        <sz val="10"/>
        <b/>
      </rPr>
      <t>TRANSLATION:</t>
    </r>
    <r>
      <rPr>
        <rFont val="Arial"/>
        <sz val="10"/>
      </rPr>
      <t xml:space="preserve"> It was clear he was not embarrassed.</t>
    </r>
  </si>
  <si>
    <r>
      <rPr>
        <rFont val="Arial"/>
        <sz val="10"/>
        <b/>
      </rPr>
      <t>TERM:</t>
    </r>
    <r>
      <rPr>
        <rFont val="Arial"/>
        <sz val="10"/>
      </rPr>
      <t xml:space="preserve"> ne oszhudat' (не осжудать) — not to condemn (typo for не осуждать in source) [ORD] (lemma: осуждать)
</t>
    </r>
    <r>
      <rPr>
        <rFont val="Arial"/>
        <sz val="10"/>
        <b/>
      </rPr>
      <t>PASSAGE:</t>
    </r>
    <r>
      <rPr>
        <rFont val="Arial"/>
        <sz val="10"/>
      </rPr>
      <t xml:space="preserve"> но нисколько не осуждающая ее или себя.
</t>
    </r>
    <r>
      <rPr>
        <rFont val="Arial"/>
        <sz val="10"/>
        <b/>
      </rPr>
      <t>TRANS:</t>
    </r>
    <r>
      <rPr>
        <rFont val="Arial"/>
        <sz val="10"/>
      </rPr>
      <t xml:space="preserve"> no niskol'ko ne osuzhdayushchaya ee ili sebya.
</t>
    </r>
    <r>
      <rPr>
        <rFont val="Arial"/>
        <sz val="10"/>
        <b/>
      </rPr>
      <t>TRANSLATION:</t>
    </r>
    <r>
      <rPr>
        <rFont val="Arial"/>
        <sz val="10"/>
      </rPr>
      <t xml:space="preserve"> but [a smile] not at all condemning her or himself.</t>
    </r>
  </si>
  <si>
    <r>
      <rPr>
        <rFont val="Arial"/>
        <sz val="10"/>
        <b/>
      </rPr>
      <t>TERM:</t>
    </r>
    <r>
      <rPr>
        <rFont val="Arial"/>
        <sz val="10"/>
      </rPr>
      <t xml:space="preserve"> KİNÄLAU (КІНӘЛАУ) — to blame; to find guilty [KED, SZK]
</t>
    </r>
    <r>
      <rPr>
        <rFont val="Arial"/>
        <sz val="10"/>
        <b/>
      </rPr>
      <t>PASSAGE:</t>
    </r>
    <r>
      <rPr>
        <rFont val="Arial"/>
        <sz val="10"/>
      </rPr>
      <t xml:space="preserve"> - Мүмкін татуласармыз? - Жоғарыдан төмен, бұған жадырай қарап тұрған оның күлкісі сондай шуақты соншалықты кеңдік пен аздаған дөрекілікті паш етіп тұрды, өзін де, мұны да ештеңеге кінәламайтындай.
</t>
    </r>
    <r>
      <rPr>
        <rFont val="Arial"/>
        <sz val="10"/>
        <b/>
      </rPr>
      <t>TRANS:</t>
    </r>
    <r>
      <rPr>
        <rFont val="Arial"/>
        <sz val="10"/>
      </rPr>
      <t xml:space="preserve"> - Mümkın tatulasarmyz? - Joğarydan tömen, būğan jadyrai qarap tūrğan onyñ külkısı sondai şuaqty sonşalyqty keñdık pen azdağan dörekılıktı paş etıp tūrdy, özın de, mūny da eşteñege kınälamaityndai.
</t>
    </r>
    <r>
      <rPr>
        <rFont val="Arial"/>
        <sz val="10"/>
        <b/>
      </rPr>
      <t>TRANSLATION:</t>
    </r>
    <r>
      <rPr>
        <rFont val="Arial"/>
        <sz val="10"/>
      </rPr>
      <t xml:space="preserve"> "Perhaps we will be reconciled?" — the smile he gave her, looking down at her with such warmth, such breadth and a slight roughness, as if blaming neither himself nor her in the slightest.</t>
    </r>
  </si>
  <si>
    <r>
      <rPr>
        <rFont val="Arial"/>
        <sz val="10"/>
        <b/>
      </rPr>
      <t>TERM:</t>
    </r>
    <r>
      <rPr>
        <rFont val="Arial"/>
        <sz val="10"/>
      </rPr>
      <t xml:space="preserve"> besstydstva (бесстыдства) — shamelessness; impudence (gen.) [ORD] (lemma: бесстыдство)
</t>
    </r>
    <r>
      <rPr>
        <rFont val="Arial"/>
        <sz val="10"/>
        <b/>
      </rPr>
      <t>PASSAGE:</t>
    </r>
    <r>
      <rPr>
        <rFont val="Arial"/>
        <sz val="10"/>
      </rPr>
      <t xml:space="preserve"> Его наглости нет предела, а от его бесстыдства — ведь он же самый настоящий спекулянт! — я весь киплю.
</t>
    </r>
    <r>
      <rPr>
        <rFont val="Arial"/>
        <sz val="10"/>
        <b/>
      </rPr>
      <t>TRANS:</t>
    </r>
    <r>
      <rPr>
        <rFont val="Arial"/>
        <sz val="10"/>
      </rPr>
      <t xml:space="preserve"> Ego naglosti net predela, a ot ego besstydstva — ved' on zhe samyy nastoyashchiy spekulyant! — ya ves' kiplyu.
</t>
    </r>
    <r>
      <rPr>
        <rFont val="Arial"/>
        <sz val="10"/>
        <b/>
      </rPr>
      <t>TRANSLATION:</t>
    </r>
    <r>
      <rPr>
        <rFont val="Arial"/>
        <sz val="10"/>
      </rPr>
      <t xml:space="preserve"> His insolence has no limit, and from his shamelessness — for he is the most outright speculator! — I am all boiling.</t>
    </r>
  </si>
  <si>
    <r>
      <rPr>
        <rFont val="Arial"/>
        <sz val="10"/>
        <b/>
      </rPr>
      <t>TERM:</t>
    </r>
    <r>
      <rPr>
        <rFont val="Arial"/>
        <sz val="10"/>
      </rPr>
      <t xml:space="preserve"> ŪİATSYZDYQ (ҰЯТСЫЗДЫҚ) — shamelessness; impudence [KED, SZK]
</t>
    </r>
    <r>
      <rPr>
        <rFont val="Arial"/>
        <sz val="10"/>
        <b/>
      </rPr>
      <t>PASSAGE:</t>
    </r>
    <r>
      <rPr>
        <rFont val="Arial"/>
        <sz val="10"/>
      </rPr>
      <t xml:space="preserve"> Оның арсыздығының шегі жоқ, ал ұятсыздығы сол, ол нағыз саудагер емес пе? Ойлаған сайын күйініп кетемін.
</t>
    </r>
    <r>
      <rPr>
        <rFont val="Arial"/>
        <sz val="10"/>
        <b/>
      </rPr>
      <t>TRANS:</t>
    </r>
    <r>
      <rPr>
        <rFont val="Arial"/>
        <sz val="10"/>
      </rPr>
      <t xml:space="preserve"> Onyñ arsyzdyğynyñ şegı joq, al ūiatsyzdyğy sol, ol nağyz saudager emes pe? Oilağan saiyn küiınıp ketemın.
</t>
    </r>
    <r>
      <rPr>
        <rFont val="Arial"/>
        <sz val="10"/>
        <b/>
      </rPr>
      <t>TRANSLATION:</t>
    </r>
    <r>
      <rPr>
        <rFont val="Arial"/>
        <sz val="10"/>
      </rPr>
      <t xml:space="preserve"> His insolence has no limit, and his shamelessness lies in this — is he not a real merchant? Every time I think of it I am incensed.</t>
    </r>
  </si>
  <si>
    <r>
      <rPr>
        <rFont val="Arial"/>
        <sz val="10"/>
        <b/>
      </rPr>
      <t>TERM:</t>
    </r>
    <r>
      <rPr>
        <rFont val="Arial"/>
        <sz val="10"/>
      </rPr>
      <t xml:space="preserve"> Ne stesnyayas' (Не стесняясь) — without being embarrassed (gerund neg.) [ORD] (lemma: стесняться)
</t>
    </r>
    <r>
      <rPr>
        <rFont val="Arial"/>
        <sz val="10"/>
        <b/>
      </rPr>
      <t>PASSAGE:</t>
    </r>
    <r>
      <rPr>
        <rFont val="Arial"/>
        <sz val="10"/>
      </rPr>
      <t xml:space="preserve"> Не стесняясь того, какими путями он сам пришел к богатству, он делал вид,
</t>
    </r>
    <r>
      <rPr>
        <rFont val="Arial"/>
        <sz val="10"/>
        <b/>
      </rPr>
      <t>TRANS:</t>
    </r>
    <r>
      <rPr>
        <rFont val="Arial"/>
        <sz val="10"/>
      </rPr>
      <t xml:space="preserve"> Ne stesnyayas' togo, kakimi putyami on sam prishel k bogatstvu, on delal vid,
</t>
    </r>
    <r>
      <rPr>
        <rFont val="Arial"/>
        <sz val="10"/>
        <b/>
      </rPr>
      <t>TRANSLATION:</t>
    </r>
    <r>
      <rPr>
        <rFont val="Arial"/>
        <sz val="10"/>
      </rPr>
      <t xml:space="preserve"> Not embarrassed by the ways he himself had come to his wealth, he made out as though...</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</si>
  <si>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Өзінің бұл байлыққа қол жеткізу жолын жасырмайтын да ұялмайтын болған соң,
</t>
    </r>
    <r>
      <rPr>
        <rFont val="Arial"/>
        <sz val="10"/>
        <b/>
      </rPr>
      <t>TRANS:</t>
    </r>
    <r>
      <rPr>
        <rFont val="Arial"/>
        <sz val="10"/>
      </rPr>
      <t xml:space="preserve">  Özınıñ būl bailyqqa qol jetkızu jolyn jasyrmaityn da ūialmaityn bolğan soñ,
</t>
    </r>
    <r>
      <rPr>
        <rFont val="Arial"/>
        <sz val="10"/>
        <b/>
      </rPr>
      <t>TRANSLATION:</t>
    </r>
    <r>
      <rPr>
        <rFont val="Arial"/>
        <sz val="10"/>
      </rPr>
      <t xml:space="preserve"> Since he neither hid nor was ashamed of the path by which he had come to this wealth,...</t>
    </r>
  </si>
  <si>
    <r>
      <rPr>
        <rFont val="Arial"/>
        <sz val="10"/>
        <b/>
      </rPr>
      <t>TERM:</t>
    </r>
    <r>
      <rPr>
        <rFont val="Arial"/>
        <sz val="10"/>
      </rPr>
      <t xml:space="preserve"> besstydno (бесстыдно) — shamelessly (adv.) [ORD]
</t>
    </r>
    <r>
      <rPr>
        <rFont val="Arial"/>
        <sz val="10"/>
        <b/>
      </rPr>
      <t>PASSAGE:</t>
    </r>
    <r>
      <rPr>
        <rFont val="Arial"/>
        <sz val="10"/>
      </rPr>
      <t xml:space="preserve"> Ну, кто бы мог подумать, что из всех людей именно он будет столь открыто, столь бесстыдно гордиться своим отцовством?
</t>
    </r>
    <r>
      <rPr>
        <rFont val="Arial"/>
        <sz val="10"/>
        <b/>
      </rPr>
      <t>TRANS:</t>
    </r>
    <r>
      <rPr>
        <rFont val="Arial"/>
        <sz val="10"/>
      </rPr>
      <t xml:space="preserve"> Nu, kto by mog podumat', chto iz vsekh lyudey imenno on budet stol' otkryto, stol' besstydno gordit'sya svoim ottsovstvom?
</t>
    </r>
    <r>
      <rPr>
        <rFont val="Arial"/>
        <sz val="10"/>
        <b/>
      </rPr>
      <t>TRANSLATION:</t>
    </r>
    <r>
      <rPr>
        <rFont val="Arial"/>
        <sz val="10"/>
      </rPr>
      <t xml:space="preserve"> Now, who would have thought that of all people, it would be precisely he who would be so openly, so shamelessly proud of his fatherhood?</t>
    </r>
  </si>
  <si>
    <r>
      <rPr>
        <rFont val="Arial"/>
        <sz val="10"/>
        <b/>
      </rPr>
      <t>TERM:</t>
    </r>
    <r>
      <rPr>
        <rFont val="Arial"/>
        <sz val="10"/>
      </rPr>
      <t xml:space="preserve"> QYMSYNU (ҚЫМСЫНУ) — to feel awkward; to feel embarrassed [KED, SZK]
</t>
    </r>
    <r>
      <rPr>
        <rFont val="Arial"/>
        <sz val="10"/>
        <b/>
      </rPr>
      <t>PASSAGE:</t>
    </r>
    <r>
      <rPr>
        <rFont val="Arial"/>
        <sz val="10"/>
      </rPr>
      <t xml:space="preserve"> Мына дүниедегі қаптаған адамдардың ішінен тап осы еркек өзін осыншама дардай етіп, елдің құлағын да әбден сарсытып, ашықтан-ашық, еш қымсынбастан әке болғанына жатпай-тұрмай мақтанады деп кім ойлаған?
</t>
    </r>
    <r>
      <rPr>
        <rFont val="Arial"/>
        <sz val="10"/>
        <b/>
      </rPr>
      <t>TRANS:</t>
    </r>
    <r>
      <rPr>
        <rFont val="Arial"/>
        <sz val="10"/>
      </rPr>
      <t xml:space="preserve"> Myna düniedegı qaptağan adamdardyñ ışınen tap osy erkek özın osynşama dardai etıp, eldıñ qūlağyn da äbden sarsytyp, aşyqtan-aşyq, eş qymsynbastan äke bolğanyna jatpai-tūrmai maqtanady dep kım oilağan?
</t>
    </r>
    <r>
      <rPr>
        <rFont val="Arial"/>
        <sz val="10"/>
        <b/>
      </rPr>
      <t>TRANSLATION:</t>
    </r>
    <r>
      <rPr>
        <rFont val="Arial"/>
        <sz val="10"/>
      </rPr>
      <t xml:space="preserve"> Of all the men in this world, who would have thought that this very man — making such a grand show of himself, wearing out everyone's ears — would, openly and without the slightest embarrassment, boast indefatigably of his fatherhood?</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</si>
  <si>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И мне не было бы стыдно, так как мы с тобой заключили сделку — сделку, которой я верен и которую ты сейчас нарушаешь.
</t>
    </r>
    <r>
      <rPr>
        <rFont val="Arial"/>
        <sz val="10"/>
        <b/>
      </rPr>
      <t>TRANS:</t>
    </r>
    <r>
      <rPr>
        <rFont val="Arial"/>
        <sz val="10"/>
      </rPr>
      <t xml:space="preserve"> I mne ne bylo by stydno, tak kak my s toboy zaklyuchili sdelku — sdelku, kotoroy ya veren i kotoruyu ty seychas narushaesh'.
</t>
    </r>
    <r>
      <rPr>
        <rFont val="Arial"/>
        <sz val="10"/>
        <b/>
      </rPr>
      <t>TRANSLATION:</t>
    </r>
    <r>
      <rPr>
        <rFont val="Arial"/>
        <sz val="10"/>
      </rPr>
      <t xml:space="preserve"> And I would not be ashamed, since you and I made a bargain — a bargain to which I have been faithful and which you are now breaking.</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</si>
  <si>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Екеуміз жасасқан келісімге мен қиянат қылмай, осы уақытқа дейін адал боп келгендіктен, ештеңеден ұялар жайым жоқ, бәрін бұзған өзіңнен көрмесең.
</t>
    </r>
    <r>
      <rPr>
        <rFont val="Arial"/>
        <sz val="10"/>
        <b/>
      </rPr>
      <t>TRANS:</t>
    </r>
    <r>
      <rPr>
        <rFont val="Arial"/>
        <sz val="10"/>
      </rPr>
      <t xml:space="preserve"> Ekeumız jasasqan kelısımge men qianat qylmai, osy uaqytqa deiın adal bop kelgendıkten, eşteñeden ūialar jaiym joq, bärın būzğan özıñnen körmeseñ.
</t>
    </r>
    <r>
      <rPr>
        <rFont val="Arial"/>
        <sz val="10"/>
        <b/>
      </rPr>
      <t>TRANSLATION:</t>
    </r>
    <r>
      <rPr>
        <rFont val="Arial"/>
        <sz val="10"/>
      </rPr>
      <t xml:space="preserve"> Since I have been faithful all this while to the agreement we two made — not betraying it — I have nothing to be ashamed of: for breaking it all you have only yourself to look to.</t>
    </r>
  </si>
  <si>
    <r>
      <rPr>
        <rFont val="Arial"/>
        <sz val="10"/>
        <b/>
      </rPr>
      <t>TERM:</t>
    </r>
    <r>
      <rPr>
        <rFont val="Arial"/>
        <sz val="10"/>
      </rPr>
      <t xml:space="preserve"> Styditsya (Стыдится) — feels ashamed (3sg) [ORD] (lemma: стыдиться)
</t>
    </r>
    <r>
      <rPr>
        <rFont val="Arial"/>
        <sz val="10"/>
        <b/>
      </rPr>
      <t>PASSAGE:</t>
    </r>
    <r>
      <rPr>
        <rFont val="Arial"/>
        <sz val="10"/>
      </rPr>
      <t xml:space="preserve"> Стыдится?! Ерунда!
</t>
    </r>
    <r>
      <rPr>
        <rFont val="Arial"/>
        <sz val="10"/>
        <b/>
      </rPr>
      <t>TRANS:</t>
    </r>
    <r>
      <rPr>
        <rFont val="Arial"/>
        <sz val="10"/>
      </rPr>
      <t xml:space="preserve"> Styditsya?! Erunda!
</t>
    </r>
    <r>
      <rPr>
        <rFont val="Arial"/>
        <sz val="10"/>
        <b/>
      </rPr>
      <t>TRANSLATION:</t>
    </r>
    <r>
      <rPr>
        <rFont val="Arial"/>
        <sz val="10"/>
      </rPr>
      <t xml:space="preserve"> Ashamed?! Nonsense!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</si>
  <si>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Ұялады деймісіз? Қайдан?
</t>
    </r>
    <r>
      <rPr>
        <rFont val="Arial"/>
        <sz val="10"/>
        <b/>
      </rPr>
      <t>TRANS:</t>
    </r>
    <r>
      <rPr>
        <rFont val="Arial"/>
        <sz val="10"/>
      </rPr>
      <t xml:space="preserve"> Ūialady deimısız? Qaidan?
</t>
    </r>
    <r>
      <rPr>
        <rFont val="Arial"/>
        <sz val="10"/>
        <b/>
      </rPr>
      <t>TRANSLATION:</t>
    </r>
    <r>
      <rPr>
        <rFont val="Arial"/>
        <sz val="10"/>
      </rPr>
      <t xml:space="preserve"> You say he is ashamed? From where?</t>
    </r>
  </si>
  <si>
    <r>
      <rPr>
        <rFont val="Arial"/>
        <sz val="10"/>
        <b/>
      </rPr>
      <t>TERM:</t>
    </r>
    <r>
      <rPr>
        <rFont val="Arial"/>
        <sz val="10"/>
      </rPr>
      <t xml:space="preserve"> ne styzhus' (не стыжусь) — I am not ashamed (1sg neg.) [ORD] (lemma: стыдиться)
</t>
    </r>
    <r>
      <rPr>
        <rFont val="Arial"/>
        <sz val="10"/>
        <b/>
      </rPr>
      <t>PASSAGE:</t>
    </r>
    <r>
      <rPr>
        <rFont val="Arial"/>
        <sz val="10"/>
      </rPr>
      <t xml:space="preserve"> И я нисколько не стыжусь того, что он так думает.
</t>
    </r>
    <r>
      <rPr>
        <rFont val="Arial"/>
        <sz val="10"/>
        <b/>
      </rPr>
      <t>TRANS:</t>
    </r>
    <r>
      <rPr>
        <rFont val="Arial"/>
        <sz val="10"/>
      </rPr>
      <t xml:space="preserve"> I ya niskol'ko ne styzhus' togo, chto on tak dumaet.
</t>
    </r>
    <r>
      <rPr>
        <rFont val="Arial"/>
        <sz val="10"/>
        <b/>
      </rPr>
      <t>TRANSLATION:</t>
    </r>
    <r>
      <rPr>
        <rFont val="Arial"/>
        <sz val="10"/>
      </rPr>
      <t xml:space="preserve"> And I am not in the least ashamed that he thinks so.</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</si>
  <si>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Ал мен оның солай ойлайтыны үшін еш ұялмаймын.
</t>
    </r>
    <r>
      <rPr>
        <rFont val="Arial"/>
        <sz val="10"/>
        <b/>
      </rPr>
      <t>TRANS:</t>
    </r>
    <r>
      <rPr>
        <rFont val="Arial"/>
        <sz val="10"/>
      </rPr>
      <t xml:space="preserve"> Al men onyñ solai oilaityny üşın eş ūialmaimyn.
</t>
    </r>
    <r>
      <rPr>
        <rFont val="Arial"/>
        <sz val="10"/>
        <b/>
      </rPr>
      <t>TRANSLATION:</t>
    </r>
    <r>
      <rPr>
        <rFont val="Arial"/>
        <sz val="10"/>
      </rPr>
      <t xml:space="preserve"> And I am not at all ashamed that he thinks so.</t>
    </r>
  </si>
  <si>
    <r>
      <rPr>
        <rFont val="Arial"/>
        <sz val="10"/>
        <b/>
      </rPr>
      <t>TERM:</t>
    </r>
    <r>
      <rPr>
        <rFont val="Arial"/>
        <sz val="10"/>
      </rPr>
      <t xml:space="preserve"> ne stydyas' (не стыдясь) — without being ashamed (gerund) [ORD] (lemma: стыдиться)
</t>
    </r>
    <r>
      <rPr>
        <rFont val="Arial"/>
        <sz val="10"/>
        <b/>
      </rPr>
      <t>PASSAGE:</t>
    </r>
    <r>
      <rPr>
        <rFont val="Arial"/>
        <sz val="10"/>
      </rPr>
      <t xml:space="preserve"> делать все то, что Мелани, не стыдясь, проделывала при всех.
</t>
    </r>
    <r>
      <rPr>
        <rFont val="Arial"/>
        <sz val="10"/>
        <b/>
      </rPr>
      <t>TRANS:</t>
    </r>
    <r>
      <rPr>
        <rFont val="Arial"/>
        <sz val="10"/>
      </rPr>
      <t xml:space="preserve"> delat' vse to, chto Melani, ne stydyas', prodelyvala pri vsekh.
</t>
    </r>
    <r>
      <rPr>
        <rFont val="Arial"/>
        <sz val="10"/>
        <b/>
      </rPr>
      <t>TRANSLATION:</t>
    </r>
    <r>
      <rPr>
        <rFont val="Arial"/>
        <sz val="10"/>
      </rPr>
      <t xml:space="preserve"> do everything that Melanie did in front of everyone without being ashamed.</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</si>
  <si>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Мелани сияқты ешкімнен қысылмай, бәрінің көзінше жасар еді.
</t>
    </r>
    <r>
      <rPr>
        <rFont val="Arial"/>
        <sz val="10"/>
        <b/>
      </rPr>
      <t>TRANS:</t>
    </r>
    <r>
      <rPr>
        <rFont val="Arial"/>
        <sz val="10"/>
      </rPr>
      <t xml:space="preserve"> Melani siaqty eşkımnen qysylmai, bärınıñ közınşe jasar edı.
</t>
    </r>
    <r>
      <rPr>
        <rFont val="Arial"/>
        <sz val="10"/>
        <b/>
      </rPr>
      <t>TRANSLATION:</t>
    </r>
    <r>
      <rPr>
        <rFont val="Arial"/>
        <sz val="10"/>
      </rPr>
      <t xml:space="preserve"> She would do, like Melanie, in front of everyone's eyes, without being embarrassed by anyone.</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</si>
  <si>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А возможно… возможно, потому, что мне стыдно.
</t>
    </r>
    <r>
      <rPr>
        <rFont val="Arial"/>
        <sz val="10"/>
        <b/>
      </rPr>
      <t>TRANS:</t>
    </r>
    <r>
      <rPr>
        <rFont val="Arial"/>
        <sz val="10"/>
      </rPr>
      <t xml:space="preserve"> A vozmozhno… vozmozhno, potomu, chto mne stydno.
</t>
    </r>
    <r>
      <rPr>
        <rFont val="Arial"/>
        <sz val="10"/>
        <b/>
      </rPr>
      <t>TRANSLATION:</t>
    </r>
    <r>
      <rPr>
        <rFont val="Arial"/>
        <sz val="10"/>
      </rPr>
      <t xml:space="preserve"> And perhaps... perhaps because I am ashamed.</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</si>
  <si>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Мүмкін... ұялғанымнан шығар
</t>
    </r>
    <r>
      <rPr>
        <rFont val="Arial"/>
        <sz val="10"/>
        <b/>
      </rPr>
      <t>TRANS:</t>
    </r>
    <r>
      <rPr>
        <rFont val="Arial"/>
        <sz val="10"/>
      </rPr>
      <t xml:space="preserve"> Mümkın... ūialğanymnan şyğar
</t>
    </r>
    <r>
      <rPr>
        <rFont val="Arial"/>
        <sz val="10"/>
        <b/>
      </rPr>
      <t>TRANSLATION:</t>
    </r>
    <r>
      <rPr>
        <rFont val="Arial"/>
        <sz val="10"/>
      </rPr>
      <t xml:space="preserve"> Perhaps... it must be because I am ashamed.</t>
    </r>
  </si>
  <si>
    <r>
      <rPr>
        <rFont val="Arial"/>
        <sz val="10"/>
        <b/>
      </rPr>
      <t>TERM:</t>
    </r>
    <r>
      <rPr>
        <rFont val="Arial"/>
        <sz val="10"/>
      </rPr>
      <t xml:space="preserve"> sgorat' so styda! (сгорать со стыда!) = burn with shame
</t>
    </r>
    <r>
      <rPr>
        <rFont val="Arial"/>
        <sz val="10"/>
        <b/>
      </rPr>
      <t>PASSAGE:</t>
    </r>
    <r>
      <rPr>
        <rFont val="Arial"/>
        <sz val="10"/>
      </rPr>
      <t xml:space="preserve"> Я от стыда сгораю, думая об этом.
</t>
    </r>
    <r>
      <rPr>
        <rFont val="Arial"/>
        <sz val="10"/>
        <b/>
      </rPr>
      <t>TRANS:</t>
    </r>
    <r>
      <rPr>
        <rFont val="Arial"/>
        <sz val="10"/>
      </rPr>
      <t xml:space="preserve"> Ya ot styda sgorayu, dumaya ob etom.
</t>
    </r>
    <r>
      <rPr>
        <rFont val="Arial"/>
        <sz val="10"/>
        <b/>
      </rPr>
      <t>TRANSLATION:</t>
    </r>
    <r>
      <rPr>
        <rFont val="Arial"/>
        <sz val="10"/>
      </rPr>
      <t xml:space="preserve"> I burn with shame whenever I think about it.</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</si>
  <si>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Соны ойласам, ұяттан өліп кете жаздаймын.
</t>
    </r>
    <r>
      <rPr>
        <rFont val="Arial"/>
        <sz val="10"/>
        <b/>
      </rPr>
      <t>TRANS:</t>
    </r>
    <r>
      <rPr>
        <rFont val="Arial"/>
        <sz val="10"/>
      </rPr>
      <t xml:space="preserve"> Sony oilasam, ūiattan ölıp kete jazdaimyn.
</t>
    </r>
    <r>
      <rPr>
        <rFont val="Arial"/>
        <sz val="10"/>
        <b/>
      </rPr>
      <t>TRANSLATION:</t>
    </r>
    <r>
      <rPr>
        <rFont val="Arial"/>
        <sz val="10"/>
      </rPr>
      <t xml:space="preserve"> When I think of it, I almost die of shame.</t>
    </r>
  </si>
  <si>
    <r>
      <rPr>
        <rFont val="Arial"/>
        <sz val="10"/>
        <b/>
      </rPr>
      <t>TERM:</t>
    </r>
    <r>
      <rPr>
        <rFont val="Arial"/>
        <sz val="10"/>
      </rPr>
      <t xml:space="preserve"> pozore (позоре) — disgrace (prep.) [ORD] (lemma: позор)
</t>
    </r>
    <r>
      <rPr>
        <rFont val="Arial"/>
        <sz val="10"/>
        <b/>
      </rPr>
      <t>PASSAGE:</t>
    </r>
    <r>
      <rPr>
        <rFont val="Arial"/>
        <sz val="10"/>
      </rPr>
      <t xml:space="preserve"> ибо Ретт с наигранным ужасом умолял ее никому не говорить об этом его «позоре».
</t>
    </r>
    <r>
      <rPr>
        <rFont val="Arial"/>
        <sz val="10"/>
        <b/>
      </rPr>
      <t>TRANS:</t>
    </r>
    <r>
      <rPr>
        <rFont val="Arial"/>
        <sz val="10"/>
      </rPr>
      <t xml:space="preserve"> ibo Rett s naigrannym uzhasom umolyal ee nikomu ne govorit' ob etom ego «pozore».
</t>
    </r>
    <r>
      <rPr>
        <rFont val="Arial"/>
        <sz val="10"/>
        <b/>
      </rPr>
      <t>TRANSLATION:</t>
    </r>
    <r>
      <rPr>
        <rFont val="Arial"/>
        <sz val="10"/>
      </rPr>
      <t xml:space="preserve"> for Rhett with feigned horror had implored her not to tell anyone about this "disgrace" of his.</t>
    </r>
  </si>
  <si>
    <r>
      <rPr>
        <rFont val="Arial"/>
        <sz val="10"/>
        <b/>
      </rPr>
      <t>TERM:</t>
    </r>
    <r>
      <rPr>
        <rFont val="Arial"/>
        <sz val="10"/>
      </rPr>
      <t xml:space="preserve"> ŪİATTY (ҰЯТТЫ) — shameful; indecent (adj.) [KED, SZK]
</t>
    </r>
    <r>
      <rPr>
        <rFont val="Arial"/>
        <sz val="10"/>
        <b/>
      </rPr>
      <t>PASSAGE:</t>
    </r>
    <r>
      <rPr>
        <rFont val="Arial"/>
        <sz val="10"/>
      </rPr>
      <t xml:space="preserve"> Реттің сегіз ай бойы конфедераттармен бірге болғанын жалғыз Скарлетт қана білетін, өйткені ол "ұятты іс" туралы ешкімге тіс жармауын жалған қорқақтың кейпіне еніп тұрып сұраған-ды.
</t>
    </r>
    <r>
      <rPr>
        <rFont val="Arial"/>
        <sz val="10"/>
        <b/>
      </rPr>
      <t>TRANS:</t>
    </r>
    <r>
      <rPr>
        <rFont val="Arial"/>
        <sz val="10"/>
      </rPr>
      <t xml:space="preserve"> Rettıñ segız ai boiy konfederattarmen bırge bolğanyn jalğyz Skarlett qana bıletın, öitkenı ol "ūiatty ıs" turaly eşkımge tıs jarmauyn jalğan qorqaqtyñ keipıne enıp tūryp sūrağan-dy.
</t>
    </r>
    <r>
      <rPr>
        <rFont val="Arial"/>
        <sz val="10"/>
        <b/>
      </rPr>
      <t>TRANSLATION:</t>
    </r>
    <r>
      <rPr>
        <rFont val="Arial"/>
        <sz val="10"/>
      </rPr>
      <t xml:space="preserve"> Only Scarlett knew that Rhett had been with the Confederates for eight months, because he had asked her, donning the mask of feigned cowardice, not to breathe a word about that "shameful business".</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</si>
  <si>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Стыдно признаться, но они смотрят на меня, как на своего, и открыто говорят при мне обо всем.
</t>
    </r>
    <r>
      <rPr>
        <rFont val="Arial"/>
        <sz val="10"/>
        <b/>
      </rPr>
      <t>TRANS:</t>
    </r>
    <r>
      <rPr>
        <rFont val="Arial"/>
        <sz val="10"/>
      </rPr>
      <t xml:space="preserve"> Stydno priznat'sya, no oni smotryat na menya, kak na svoego, i otkryto govoryat pri mne obo vsem.
</t>
    </r>
    <r>
      <rPr>
        <rFont val="Arial"/>
        <sz val="10"/>
        <b/>
      </rPr>
      <t>TRANSLATION:</t>
    </r>
    <r>
      <rPr>
        <rFont val="Arial"/>
        <sz val="10"/>
      </rPr>
      <t xml:space="preserve"> It's shameful to admit, but they look at me as one of their own and openly talk about everything in my presence.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</si>
  <si>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Мұны айтуым ұят шығар, бірақ ол байғұстар мені өз адамдарындай көріп, мен бар жерде барлығын ашық жоспарлай береді.
</t>
    </r>
    <r>
      <rPr>
        <rFont val="Arial"/>
        <sz val="10"/>
        <b/>
      </rPr>
      <t>TRANS:</t>
    </r>
    <r>
      <rPr>
        <rFont val="Arial"/>
        <sz val="10"/>
      </rPr>
      <t xml:space="preserve"> Mūny aituym ūiat şyğar, bıraq ol baiğūstar menı öz adamdaryndai körıp, men bar jerde barlyğyn aşyq josparlai beredı.
</t>
    </r>
    <r>
      <rPr>
        <rFont val="Arial"/>
        <sz val="10"/>
        <b/>
      </rPr>
      <t>TRANSLATION:</t>
    </r>
    <r>
      <rPr>
        <rFont val="Arial"/>
        <sz val="10"/>
      </rPr>
      <t xml:space="preserve"> Saying this may be shameful, but those poor souls regard me as one of their own people and openly plan everything when I am there.</t>
    </r>
  </si>
  <si>
    <r>
      <rPr>
        <rFont val="Arial"/>
        <sz val="10"/>
        <b/>
      </rPr>
      <t>TERM:</t>
    </r>
    <r>
      <rPr>
        <rFont val="Arial"/>
        <sz val="10"/>
      </rPr>
      <t xml:space="preserve"> stydites' (стыдитесь) — feel ashamed (imperative pl./formal sg.) [ORD] (lemma: стыдиться)
</t>
    </r>
    <r>
      <rPr>
        <rFont val="Arial"/>
        <sz val="10"/>
        <b/>
      </rPr>
      <t>PASSAGE:</t>
    </r>
    <r>
      <rPr>
        <rFont val="Arial"/>
        <sz val="10"/>
      </rPr>
      <t xml:space="preserve"> А я-то полагала, что вы стыдитесь своего участия в войне,
</t>
    </r>
    <r>
      <rPr>
        <rFont val="Arial"/>
        <sz val="10"/>
        <b/>
      </rPr>
      <t>TRANS:</t>
    </r>
    <r>
      <rPr>
        <rFont val="Arial"/>
        <sz val="10"/>
      </rPr>
      <t xml:space="preserve"> A ya-to polagala, chto vy stydites' svoego uchastiya v voyne,
</t>
    </r>
    <r>
      <rPr>
        <rFont val="Arial"/>
        <sz val="10"/>
        <b/>
      </rPr>
      <t>TRANSLATION:</t>
    </r>
    <r>
      <rPr>
        <rFont val="Arial"/>
        <sz val="10"/>
      </rPr>
      <t xml:space="preserve"> And I had assumed you were ashamed of your participation in the war,</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</si>
  <si>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Мен сізді соғысқа қатысқаныңызға ұялып жүр екен десем.
</t>
    </r>
    <r>
      <rPr>
        <rFont val="Arial"/>
        <sz val="10"/>
        <b/>
      </rPr>
      <t>TRANS:</t>
    </r>
    <r>
      <rPr>
        <rFont val="Arial"/>
        <sz val="10"/>
      </rPr>
      <t xml:space="preserve"> Men sızdı soğysqa qatysqanyñyzğa ūialyp jür eken desem.
</t>
    </r>
    <r>
      <rPr>
        <rFont val="Arial"/>
        <sz val="10"/>
        <b/>
      </rPr>
      <t>TRANSLATION:</t>
    </r>
    <r>
      <rPr>
        <rFont val="Arial"/>
        <sz val="10"/>
      </rPr>
      <t xml:space="preserve"> Whereas I had thought you were ashamed of having taken part in the war.</t>
    </r>
  </si>
  <si>
    <r>
      <rPr>
        <rFont val="Arial"/>
        <sz val="10"/>
        <b/>
      </rPr>
      <t>TERM:</t>
    </r>
    <r>
      <rPr>
        <rFont val="Arial"/>
        <sz val="10"/>
      </rPr>
      <t xml:space="preserve"> stesnyaetes' (стесняетесь) — (you) are shy; feel awkward (2pl.) [ORD] (lemma: стесняться)
</t>
    </r>
    <r>
      <rPr>
        <rFont val="Arial"/>
        <sz val="10"/>
        <b/>
      </rPr>
      <t>PASSAGE:</t>
    </r>
    <r>
      <rPr>
        <rFont val="Arial"/>
        <sz val="10"/>
      </rPr>
      <t xml:space="preserve"> Можно подумать, что вы стесняетесь этого
</t>
    </r>
    <r>
      <rPr>
        <rFont val="Arial"/>
        <sz val="10"/>
        <b/>
      </rPr>
      <t>TRANS:</t>
    </r>
    <r>
      <rPr>
        <rFont val="Arial"/>
        <sz val="10"/>
      </rPr>
      <t xml:space="preserve"> Mozhno podumat', chto vy stesnyaetes' etogo
</t>
    </r>
    <r>
      <rPr>
        <rFont val="Arial"/>
        <sz val="10"/>
        <b/>
      </rPr>
      <t>TRANSLATION:</t>
    </r>
    <r>
      <rPr>
        <rFont val="Arial"/>
        <sz val="10"/>
      </rPr>
      <t xml:space="preserve"> One might think you were embarrassed by it</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</si>
  <si>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Тіпті сізді сол қызметі үшін ұялады деуге де болатындай.
</t>
    </r>
    <r>
      <rPr>
        <rFont val="Arial"/>
        <sz val="10"/>
        <b/>
      </rPr>
      <t>TRANS:</t>
    </r>
    <r>
      <rPr>
        <rFont val="Arial"/>
        <sz val="10"/>
      </rPr>
      <t xml:space="preserve"> Tıptı sızdı sol qyzmetı üşın ūialady deuge de bolatyndai.
</t>
    </r>
    <r>
      <rPr>
        <rFont val="Arial"/>
        <sz val="10"/>
        <b/>
      </rPr>
      <t>TRANSLATION:</t>
    </r>
    <r>
      <rPr>
        <rFont val="Arial"/>
        <sz val="10"/>
      </rPr>
      <t xml:space="preserve"> One could even say you were ashamed of that service.</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</si>
  <si>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Как-то стыдно мне было говорить об этом в свете… в свете некоторых моих тогдашних поступков.
</t>
    </r>
    <r>
      <rPr>
        <rFont val="Arial"/>
        <sz val="10"/>
        <b/>
      </rPr>
      <t>TRANS:</t>
    </r>
    <r>
      <rPr>
        <rFont val="Arial"/>
        <sz val="10"/>
      </rPr>
      <t xml:space="preserve"> Kak-to stydno mne bylo govorit' ob etom v svete… v svete nekotorykh moikh togdashnikh postupkov.
</t>
    </r>
    <r>
      <rPr>
        <rFont val="Arial"/>
        <sz val="10"/>
        <b/>
      </rPr>
      <t>TRANSLATION:</t>
    </r>
    <r>
      <rPr>
        <rFont val="Arial"/>
        <sz val="10"/>
      </rPr>
      <t xml:space="preserve"> It was somehow shameful for me to talk about it in the light of... in the light of certain of my actions back then.</t>
    </r>
  </si>
  <si>
    <r>
      <rPr>
        <rFont val="Arial"/>
        <sz val="10"/>
        <b/>
      </rPr>
      <t>TERM:</t>
    </r>
    <r>
      <rPr>
        <rFont val="Arial"/>
        <sz val="10"/>
      </rPr>
      <t xml:space="preserve"> yñğaisyz (ыңғайсыз) — awkward; uncomfortable [KED, SZK]
</t>
    </r>
    <r>
      <rPr>
        <rFont val="Arial"/>
        <sz val="10"/>
        <b/>
      </rPr>
      <t>PASSAGE:</t>
    </r>
    <r>
      <rPr>
        <rFont val="Arial"/>
        <sz val="10"/>
      </rPr>
      <t xml:space="preserve"> Оның адам мақтанарлық ештеңесі жоқ секілді ғой. Оның үстіне көпшілік ортада өзімнің әлгіндей... қылықтарымнан кейін бірдеңе деп мақтанудың өзі ыңғайсыз секілді.
</t>
    </r>
    <r>
      <rPr>
        <rFont val="Arial"/>
        <sz val="10"/>
        <b/>
      </rPr>
      <t>TRANS:</t>
    </r>
    <r>
      <rPr>
        <rFont val="Arial"/>
        <sz val="10"/>
      </rPr>
      <t xml:space="preserve"> Onyñ adam maqtanarlyq eşteñesı joq sekıldı ğoi. Onyñ üstıne köpşılık ortada özımnıñ älgındei... qylyqtarymnan keiın bırdeñe dep maqtanudyñ özı yñğaisyz sekıldı.
</t>
    </r>
    <r>
      <rPr>
        <rFont val="Arial"/>
        <sz val="10"/>
        <b/>
      </rPr>
      <t>TRANSLATION:</t>
    </r>
    <r>
      <rPr>
        <rFont val="Arial"/>
        <sz val="10"/>
      </rPr>
      <t xml:space="preserve"> There seems to be nothing in it for one to boast of. Besides, in public, after my own such... behavior, even saying anything boastful seems awkward.</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</si>
  <si>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И даю слово, Долли, он сказал, что ему стыдно, со слезами на глазах!
</t>
    </r>
    <r>
      <rPr>
        <rFont val="Arial"/>
        <sz val="10"/>
        <b/>
      </rPr>
      <t>TRANS:</t>
    </r>
    <r>
      <rPr>
        <rFont val="Arial"/>
        <sz val="10"/>
      </rPr>
      <t xml:space="preserve"> I dayu slovo, Dolli, on skazal, chto emu stydno, so slezami na glazakh!
</t>
    </r>
    <r>
      <rPr>
        <rFont val="Arial"/>
        <sz val="10"/>
        <b/>
      </rPr>
      <t>TRANSLATION:</t>
    </r>
    <r>
      <rPr>
        <rFont val="Arial"/>
        <sz val="10"/>
      </rPr>
      <t xml:space="preserve"> And I give you my word, Dolly, he said he was ashamed, with tears in his eyes!</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</si>
  <si>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Шынымен де оның ұяты бар екен, Долли, көзіне жас алып тұрды.
</t>
    </r>
    <r>
      <rPr>
        <rFont val="Arial"/>
        <sz val="10"/>
        <b/>
      </rPr>
      <t>TRANS:</t>
    </r>
    <r>
      <rPr>
        <rFont val="Arial"/>
        <sz val="10"/>
      </rPr>
      <t xml:space="preserve"> Şynymen de onyñ ūiaty bar eken, Dolli, közıne jas alyp tūrdy.
</t>
    </r>
    <r>
      <rPr>
        <rFont val="Arial"/>
        <sz val="10"/>
        <b/>
      </rPr>
      <t>TRANSLATION:</t>
    </r>
    <r>
      <rPr>
        <rFont val="Arial"/>
        <sz val="10"/>
      </rPr>
      <t xml:space="preserve"> He really did have shame, Dolly — he had tears in his eyes.</t>
    </r>
  </si>
  <si>
    <r>
      <rPr>
        <rFont val="Arial"/>
        <sz val="10"/>
        <b/>
      </rPr>
      <t>TERM:</t>
    </r>
    <r>
      <rPr>
        <rFont val="Arial"/>
        <sz val="10"/>
      </rPr>
      <t xml:space="preserve"> styditsya (стыдится) — feels ashamed (3sg) [ORD] (lemma: стыдиться)
</t>
    </r>
    <r>
      <rPr>
        <rFont val="Arial"/>
        <sz val="10"/>
        <b/>
      </rPr>
      <t>PASSAGE:</t>
    </r>
    <r>
      <rPr>
        <rFont val="Arial"/>
        <sz val="10"/>
      </rPr>
      <t xml:space="preserve"> Знаете, Долли, мне в самом деле кажется, что он… ну, словом, что он стыдится Скарлетт, но, будучи джентльменом, не показывает этого.
</t>
    </r>
    <r>
      <rPr>
        <rFont val="Arial"/>
        <sz val="10"/>
        <b/>
      </rPr>
      <t>TRANS:</t>
    </r>
    <r>
      <rPr>
        <rFont val="Arial"/>
        <sz val="10"/>
      </rPr>
      <t xml:space="preserve"> Znaete, Dolli, mne v samom dele kazhetsya, chto on… nu, slovom, chto on styditsya Skarlett, no, buduchi dzhentl'menom, ne pokazyvaet etogo.
</t>
    </r>
    <r>
      <rPr>
        <rFont val="Arial"/>
        <sz val="10"/>
        <b/>
      </rPr>
      <t>TRANSLATION:</t>
    </r>
    <r>
      <rPr>
        <rFont val="Arial"/>
        <sz val="10"/>
      </rPr>
      <t xml:space="preserve"> You know, Dolly, it really seems to me that he... well, that he is ashamed of Scarlett, but being a gentleman, he does not show it.</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</si>
  <si>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Байқайсыз ба, Долли, сірә, ол Скарлетт үшін ұялатын тәрізді ме, қалай? Тек онысын байқатпайтын сияқты. Қанша дегенмен мырза емес пе?
</t>
    </r>
    <r>
      <rPr>
        <rFont val="Arial"/>
        <sz val="10"/>
        <b/>
      </rPr>
      <t>TRANS:</t>
    </r>
    <r>
      <rPr>
        <rFont val="Arial"/>
        <sz val="10"/>
      </rPr>
      <t xml:space="preserve"> Baiqaisyz ba, Dolli, sırä, ol Skarlett üşın ūialatyn tärızdı me, qalai? Tek onysyn baiqatpaityn siaqty. Qanşa degenmen myrza emes pe?
</t>
    </r>
    <r>
      <rPr>
        <rFont val="Arial"/>
        <sz val="10"/>
        <b/>
      </rPr>
      <t>TRANSLATION:</t>
    </r>
    <r>
      <rPr>
        <rFont val="Arial"/>
        <sz val="10"/>
      </rPr>
      <t xml:space="preserve"> Don't you notice, Dolly — it seems perhaps he is ashamed for Scarlett's sake, no? But he doesn't let it show. After all, isn't he a gentleman?</t>
    </r>
  </si>
  <si>
    <r>
      <rPr>
        <rFont val="Arial"/>
        <sz val="10"/>
        <b/>
      </rPr>
      <t>TERM:</t>
    </r>
    <r>
      <rPr>
        <rFont val="Arial"/>
        <sz val="10"/>
      </rPr>
      <t xml:space="preserve"> chuvstva viny (чувства вины) — feeling of guilt (gen.) [ORD] (lemma: вина)
</t>
    </r>
    <r>
      <rPr>
        <rFont val="Arial"/>
        <sz val="10"/>
        <b/>
      </rPr>
      <t>PASSAGE:</t>
    </r>
    <r>
      <rPr>
        <rFont val="Arial"/>
        <sz val="10"/>
      </rPr>
      <t xml:space="preserve"> Но Стюарт не мог избавиться от чувства вины и испытывал поэтому неловкость.
</t>
    </r>
    <r>
      <rPr>
        <rFont val="Arial"/>
        <sz val="10"/>
        <b/>
      </rPr>
      <t>TRANS:</t>
    </r>
    <r>
      <rPr>
        <rFont val="Arial"/>
        <sz val="10"/>
      </rPr>
      <t xml:space="preserve"> No Styuart ne mog izbavit'sya ot chuvstva viny i ispytyval poetomu nelovkost'.
</t>
    </r>
    <r>
      <rPr>
        <rFont val="Arial"/>
        <sz val="10"/>
        <b/>
      </rPr>
      <t>TRANSLATION:</t>
    </r>
    <r>
      <rPr>
        <rFont val="Arial"/>
        <sz val="10"/>
      </rPr>
      <t xml:space="preserve"> But Stuart could not rid himself of the feeling of guilt and as a result felt awkward.</t>
    </r>
  </si>
  <si>
    <r>
      <rPr>
        <rFont val="Arial"/>
        <sz val="10"/>
        <b/>
      </rPr>
      <t>TERM:</t>
    </r>
    <r>
      <rPr>
        <rFont val="Arial"/>
        <sz val="10"/>
      </rPr>
      <t xml:space="preserve"> KİNÄLY (КІНӘЛЫ) — guilty; at fault [KED, SZK] (lemma: кінәлі)
</t>
    </r>
    <r>
      <rPr>
        <rFont val="Arial"/>
        <sz val="10"/>
        <b/>
      </rPr>
      <t>PASSAGE:</t>
    </r>
    <r>
      <rPr>
        <rFont val="Arial"/>
        <sz val="10"/>
      </rPr>
      <t xml:space="preserve"> Бірақ Стюарт оның алдында өзін кінәлі сезінгендіктен ыңғайсыздықтан арыла алмады.
</t>
    </r>
    <r>
      <rPr>
        <rFont val="Arial"/>
        <sz val="10"/>
        <b/>
      </rPr>
      <t>TRANS:</t>
    </r>
    <r>
      <rPr>
        <rFont val="Arial"/>
        <sz val="10"/>
      </rPr>
      <t xml:space="preserve"> Biraq Styuart onyñ aldynda özin kinäli sezingendikten yñğaysyzdyqtan aryla almady.
</t>
    </r>
    <r>
      <rPr>
        <rFont val="Arial"/>
        <sz val="10"/>
        <b/>
      </rPr>
      <t>TRANSLATION:</t>
    </r>
    <r>
      <rPr>
        <rFont val="Arial"/>
        <sz val="10"/>
      </rPr>
      <t xml:space="preserve"> But Stuart could not rid himself of the awkwardness of feeling guilty before her.</t>
    </r>
  </si>
  <si>
    <r>
      <rPr>
        <rFont val="Arial"/>
        <sz val="10"/>
        <b/>
      </rPr>
      <t>TERM:</t>
    </r>
    <r>
      <rPr>
        <rFont val="Arial"/>
        <sz val="10"/>
      </rPr>
      <t xml:space="preserve"> Ø — omission; English guilt is not lexicalized in the Kazakh translation
</t>
    </r>
    <r>
      <rPr>
        <rFont val="Arial"/>
        <sz val="10"/>
        <b/>
      </rPr>
      <t>PASSAGE:</t>
    </r>
    <r>
      <rPr>
        <rFont val="Arial"/>
        <sz val="10"/>
      </rPr>
      <t xml:space="preserve"> Скарлетт әкесінен қорықпайтын. Ол өзінен кейінгі сіңлілеріне қарағанда әкесіне жақын болды, оны құрдасындай көретін, өйткені Джералд жас бала секілді әйеліне көрсетпей шалғында тікесінен шауып өтуді ұнататын, Скарлетт те сондай тосын қылықтар мен батылдықтарды өте жақсы көреді, сонымен бірге оның Үлкен шешейге қарсы адал одақтасы болатын.
</t>
    </r>
    <r>
      <rPr>
        <rFont val="Arial"/>
        <sz val="10"/>
        <b/>
      </rPr>
      <t>TRANS:</t>
    </r>
    <r>
      <rPr>
        <rFont val="Arial"/>
        <sz val="10"/>
      </rPr>
      <t xml:space="preserve"> Skarlett äkesınen qoryqpaityn. Ol özınen keiıngı sıñlılerıne qarağanda äkesıne jaqyn boldy, ony qūrdasyndai köretın, öitkenı Gerald jas bala sekıldı äielıne körsetpei şalğynda tıkesınen şauyp ötudı ūnatatyn, Skarlett te sondai tosın qylyqtar men batyldyqtardy öte jaqsy köredı, sonymen bırge onyñ Ülken şeşeige qarsy adal odaqtasy bolatyn.
</t>
    </r>
    <r>
      <rPr>
        <rFont val="Arial"/>
        <sz val="10"/>
        <b/>
      </rPr>
      <t>TRANSLATION:</t>
    </r>
    <r>
      <rPr>
        <rFont val="Arial"/>
        <sz val="10"/>
      </rPr>
      <t xml:space="preserve"> Scarlett was not afraid of her father. She was closer to him than her younger sisters were and regarded him as a peer, because Gerald, like a young boy, enjoyed galloping straight across the meadow without his wife seeing him. Scarlett loved such unexpected acts and displays of boldness, and he was also her loyal ally against Mammy.
</t>
    </r>
    <r>
      <rPr>
        <rFont val="Arial"/>
        <sz val="10"/>
        <b/>
      </rPr>
      <t>COMMENT:</t>
    </r>
    <r>
      <rPr>
        <rFont val="Arial"/>
        <sz val="10"/>
      </rPr>
      <t xml:space="preserve"> The source-text reference to guilt is omitted; no Kazakh moral-emotion term corresponds to it.</t>
    </r>
  </si>
  <si>
    <r>
      <rPr>
        <rFont val="Arial"/>
        <sz val="10"/>
        <b/>
      </rPr>
      <t>TERM:</t>
    </r>
    <r>
      <rPr>
        <rFont val="Arial"/>
        <sz val="10"/>
      </rPr>
      <t xml:space="preserve"> smushchenno (смущенно) — in embarrassment; awkwardly (adv.) [ORD]
</t>
    </r>
    <r>
      <rPr>
        <rFont val="Arial"/>
        <sz val="10"/>
        <b/>
      </rPr>
      <t>PASSAGE:</t>
    </r>
    <r>
      <rPr>
        <rFont val="Arial"/>
        <sz val="10"/>
      </rPr>
      <t xml:space="preserve"> — Хм, да, да, — смущенно пробормотал Джералд, до сознания которого вдруг дошло, что этот чрезвычайно интересный и вполне, на его взгляд, приличный разговор, вероятно, показался бы совсем неуместным его жене
</t>
    </r>
    <r>
      <rPr>
        <rFont val="Arial"/>
        <sz val="10"/>
        <b/>
      </rPr>
      <t>TRANS:</t>
    </r>
    <r>
      <rPr>
        <rFont val="Arial"/>
        <sz val="10"/>
      </rPr>
      <t xml:space="preserve"> — Khm, da, da, — smushchenno probormotal Dzherald, do soznaniya kotorogo vdrug doshlo, chto etot chrezvychayno interesnyy i vpolne, na ego vzglyad, prilichnyy razgovor, veroyatno, pokazalsya by sovsem neumestnym ego zhene
</t>
    </r>
    <r>
      <rPr>
        <rFont val="Arial"/>
        <sz val="10"/>
        <b/>
      </rPr>
      <t>TRANSLATION:</t>
    </r>
    <r>
      <rPr>
        <rFont val="Arial"/>
        <sz val="10"/>
      </rPr>
      <t xml:space="preserve"> "Hm, yes, yes," Gerald muttered in embarrassment, suddenly realizing that this conversation, extremely interesting and, in his view, perfectly proper, would probably appear utterly inappropriate to his wife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</si>
  <si>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 Джералд ұялғаннан күбірлеп, ол кенет өзінің ойынша өте қызықты әрі әжептәуір әңгіме әйеліме мүлдем орынсыз болып көрінер еді деп ойлады.
</t>
    </r>
    <r>
      <rPr>
        <rFont val="Arial"/>
        <sz val="10"/>
        <b/>
      </rPr>
      <t>TRANS:</t>
    </r>
    <r>
      <rPr>
        <rFont val="Arial"/>
        <sz val="10"/>
      </rPr>
      <t xml:space="preserve"> ... Jerald ūialğannan kübırlep, ol kenet özınıñ oiynşa öte qyzyqty ärı äjeptäuır äñgıme äielıme müldem orynsyz bolyp körıner edı dep oilady.
</t>
    </r>
    <r>
      <rPr>
        <rFont val="Arial"/>
        <sz val="10"/>
        <b/>
      </rPr>
      <t>TRANSLATION:</t>
    </r>
    <r>
      <rPr>
        <rFont val="Arial"/>
        <sz val="10"/>
      </rPr>
      <t xml:space="preserve"> ... Gerald murmured in embarrassment, suddenly thinking that the conversation he found very interesting and respectable would seem entirely improper to his wife.</t>
    </r>
  </si>
  <si>
    <r>
      <rPr>
        <rFont val="Arial"/>
        <sz val="10"/>
        <b/>
      </rPr>
      <t>TERM:</t>
    </r>
    <r>
      <rPr>
        <rFont val="Arial"/>
        <sz val="10"/>
      </rPr>
      <t xml:space="preserve"> ne bez nekotorykh ugryzeniy sovesti (не без некоторых угрызений совести) — not without some pangs of conscience [ORD] (lemma: угрызение)
</t>
    </r>
    <r>
      <rPr>
        <rFont val="Arial"/>
        <sz val="10"/>
        <b/>
      </rPr>
      <t>PASSAGE:</t>
    </r>
    <r>
      <rPr>
        <rFont val="Arial"/>
        <sz val="10"/>
      </rPr>
      <t xml:space="preserve"> Пока коляска, поднимая красную пыль, катилась по дороге к Двенадцати Дубам, Скарлетт, не без некоторых угрызений совести, радовалась тому, что ни Эллин, ни Мамушка не будут присутствовать на барбекю.
</t>
    </r>
    <r>
      <rPr>
        <rFont val="Arial"/>
        <sz val="10"/>
        <b/>
      </rPr>
      <t>TRANS:</t>
    </r>
    <r>
      <rPr>
        <rFont val="Arial"/>
        <sz val="10"/>
      </rPr>
      <t xml:space="preserve"> Poka kolyaska, podnimaya krasnuyu pyl', katilas' po doroge k Dvenadtsati Dubam, Skarlett, ne bez nekotorykh ugryzeniy sovesti, radovalas' tomu, chto ni Ellin, ni Mamushka ne budut prisutstvovat' na barbekyu.
</t>
    </r>
    <r>
      <rPr>
        <rFont val="Arial"/>
        <sz val="10"/>
        <b/>
      </rPr>
      <t>TRANSLATION:</t>
    </r>
    <r>
      <rPr>
        <rFont val="Arial"/>
        <sz val="10"/>
      </rPr>
      <t xml:space="preserve"> As the carriage rolled along the road to Twelve Oaks raising red dust, Scarlett, not without some pangs of conscience, was glad that neither Ellen nor Mammy would be present at the barbecue.</t>
    </r>
  </si>
  <si>
    <r>
      <rPr>
        <rFont val="Arial"/>
        <sz val="10"/>
        <b/>
      </rPr>
      <t>TERM:</t>
    </r>
    <r>
      <rPr>
        <rFont val="Arial"/>
        <sz val="10"/>
      </rPr>
      <t xml:space="preserve"> AR (АР) — honour; conscience; inalienable inner moral principle [KED, SZK]
</t>
    </r>
    <r>
      <rPr>
        <rFont val="Arial"/>
        <sz val="10"/>
        <b/>
      </rPr>
      <t>PASSAGE:</t>
    </r>
    <r>
      <rPr>
        <rFont val="Arial"/>
        <sz val="10"/>
      </rPr>
      <t xml:space="preserve"> Скарлетт аздап ары мазаласа да, барбекюде Эллиннің де, Үлкен шешейдің де болмайтынына қуанды.
</t>
    </r>
    <r>
      <rPr>
        <rFont val="Arial"/>
        <sz val="10"/>
        <b/>
      </rPr>
      <t>TRANS:</t>
    </r>
    <r>
      <rPr>
        <rFont val="Arial"/>
        <sz val="10"/>
      </rPr>
      <t xml:space="preserve"> Skarlett azdap ary mazalasa da, barbeküde Elinnıñ de, Ülken şeşeidıñ de bolmaitynyna quandy
</t>
    </r>
    <r>
      <rPr>
        <rFont val="Arial"/>
        <sz val="10"/>
        <b/>
      </rPr>
      <t>TRANSLATION:</t>
    </r>
    <r>
      <rPr>
        <rFont val="Arial"/>
        <sz val="10"/>
      </rPr>
      <t xml:space="preserve"> Although Scarlett's conscience troubled her a little, she rejoiced that neither Ellen nor Mammy would be at the barbecue.</t>
    </r>
  </si>
  <si>
    <r>
      <rPr>
        <rFont val="Arial"/>
        <sz val="10"/>
        <b/>
      </rPr>
      <t>TERM:</t>
    </r>
    <r>
      <rPr>
        <rFont val="Arial"/>
        <sz val="10"/>
      </rPr>
      <t xml:space="preserve"> raskayanie (раскаяние) — repentance; remorse [ORD]
</t>
    </r>
    <r>
      <rPr>
        <rFont val="Arial"/>
        <sz val="10"/>
        <b/>
      </rPr>
      <t>PASSAGE:</t>
    </r>
    <r>
      <rPr>
        <rFont val="Arial"/>
        <sz val="10"/>
      </rPr>
      <t xml:space="preserve"> Скарлетт похолодела и в душе у нее пробудилось раскаяние.
</t>
    </r>
    <r>
      <rPr>
        <rFont val="Arial"/>
        <sz val="10"/>
        <b/>
      </rPr>
      <t>TRANS:</t>
    </r>
    <r>
      <rPr>
        <rFont val="Arial"/>
        <sz val="10"/>
      </rPr>
      <t xml:space="preserve"> Skarlett pokholodela i v dushe u nee probudilos' raskayanie.
</t>
    </r>
    <r>
      <rPr>
        <rFont val="Arial"/>
        <sz val="10"/>
        <b/>
      </rPr>
      <t>TRANSLATION:</t>
    </r>
    <r>
      <rPr>
        <rFont val="Arial"/>
        <sz val="10"/>
      </rPr>
      <t xml:space="preserve"> Scarlett went cold and remorse awakened in her soul.</t>
    </r>
  </si>
  <si>
    <r>
      <rPr>
        <rFont val="Arial"/>
        <sz val="10"/>
        <b/>
      </rPr>
      <t>TERM:</t>
    </r>
    <r>
      <rPr>
        <rFont val="Arial"/>
        <sz val="10"/>
      </rPr>
      <t xml:space="preserve"> ÖKİNİSH (ӨКІНІШ) — regret; repentance [KED, SZK]
</t>
    </r>
    <r>
      <rPr>
        <rFont val="Arial"/>
        <sz val="10"/>
        <b/>
      </rPr>
      <t>PASSAGE:</t>
    </r>
    <r>
      <rPr>
        <rFont val="Arial"/>
        <sz val="10"/>
      </rPr>
      <t xml:space="preserve"> Скарлетт суып сала берді де, оның жан дүниесінде өкініш пайда болды.
</t>
    </r>
    <r>
      <rPr>
        <rFont val="Arial"/>
        <sz val="10"/>
        <b/>
      </rPr>
      <t>TRANS:</t>
    </r>
    <r>
      <rPr>
        <rFont val="Arial"/>
        <sz val="10"/>
      </rPr>
      <t xml:space="preserve"> Skarlett suyp sala berdı de, onyñ jan düniesınde ökınış paida boldy.
</t>
    </r>
    <r>
      <rPr>
        <rFont val="Arial"/>
        <sz val="10"/>
        <b/>
      </rPr>
      <t>TRANSLATION:</t>
    </r>
    <r>
      <rPr>
        <rFont val="Arial"/>
        <sz val="10"/>
      </rPr>
      <t xml:space="preserve"> Scarlett grew cold, and remorse arose in her inner being.</t>
    </r>
  </si>
  <si>
    <r>
      <rPr>
        <rFont val="Arial"/>
        <sz val="10"/>
        <b/>
      </rPr>
      <t>TERM:</t>
    </r>
    <r>
      <rPr>
        <rFont val="Arial"/>
        <sz val="10"/>
      </rPr>
      <t xml:space="preserve"> provinivshiysya (провинившийся) — the one at fault; one who has done wrong (active part.) [ORD] (lemma: провиниться)
</t>
    </r>
    <r>
      <rPr>
        <rFont val="Arial"/>
        <sz val="10"/>
        <b/>
      </rPr>
      <t>PASSAGE:</t>
    </r>
    <r>
      <rPr>
        <rFont val="Arial"/>
        <sz val="10"/>
      </rPr>
      <t xml:space="preserve"> Она чувствовала себя словно провинившийся ребенок — совсем как в десять лет, когда как-то раз за столом запустила в Сьюлин печеньем.
</t>
    </r>
    <r>
      <rPr>
        <rFont val="Arial"/>
        <sz val="10"/>
        <b/>
      </rPr>
      <t>TRANS:</t>
    </r>
    <r>
      <rPr>
        <rFont val="Arial"/>
        <sz val="10"/>
      </rPr>
      <t xml:space="preserve"> Ona chuvstvovala sebya slovno provinivshiysya rebenok — sovsem kak v desyat' let, kogda kak-to raz za stolom zapustila v S'yulin pechen'em.
</t>
    </r>
    <r>
      <rPr>
        <rFont val="Arial"/>
        <sz val="10"/>
        <b/>
      </rPr>
      <t>TRANSLATION:</t>
    </r>
    <r>
      <rPr>
        <rFont val="Arial"/>
        <sz val="10"/>
      </rPr>
      <t xml:space="preserve"> She felt as though she were a guilty child — exactly as at age ten, when she once threw a cookie at Suellen at the table.</t>
    </r>
  </si>
  <si>
    <r>
      <rPr>
        <rFont val="Arial"/>
        <sz val="10"/>
        <b/>
      </rPr>
      <t>TERM:</t>
    </r>
    <r>
      <rPr>
        <rFont val="Arial"/>
        <sz val="10"/>
      </rPr>
      <t xml:space="preserve"> JAZYQTY (ЖАЗЫҚТЫ) — at fault; guilty [KED, SZK]
</t>
    </r>
    <r>
      <rPr>
        <rFont val="Arial"/>
        <sz val="10"/>
        <b/>
      </rPr>
      <t>PASSAGE:</t>
    </r>
    <r>
      <rPr>
        <rFont val="Arial"/>
        <sz val="10"/>
      </rPr>
      <t xml:space="preserve"> Сьюлинге тоқаш лақтырған кездегі жазықты болған он жасар жасөспірім кезіндегідей сезінді.
</t>
    </r>
    <r>
      <rPr>
        <rFont val="Arial"/>
        <sz val="10"/>
        <b/>
      </rPr>
      <t>TRANS:</t>
    </r>
    <r>
      <rPr>
        <rFont val="Arial"/>
        <sz val="10"/>
      </rPr>
      <t xml:space="preserve"> S'iulinge toqaş laqtyrğan kezdegı jazyqty bolğan on jasar jasöspırım kezındegıdei sezındı.
</t>
    </r>
    <r>
      <rPr>
        <rFont val="Arial"/>
        <sz val="10"/>
        <b/>
      </rPr>
      <t>TRANSLATION:</t>
    </r>
    <r>
      <rPr>
        <rFont val="Arial"/>
        <sz val="10"/>
      </rPr>
      <t xml:space="preserve"> She felt as if she were a ten-year-old who had thrown a roll at Suellen — like a guilty youngster.</t>
    </r>
  </si>
  <si>
    <r>
      <rPr>
        <rFont val="Arial"/>
        <sz val="10"/>
        <b/>
      </rPr>
      <t>TERM:</t>
    </r>
    <r>
      <rPr>
        <rFont val="Arial"/>
        <sz val="10"/>
      </rPr>
      <t xml:space="preserve"> sovest' (совесть) — conscience; the inner moral faculty [ORD]
</t>
    </r>
    <r>
      <rPr>
        <rFont val="Arial"/>
        <sz val="10"/>
        <b/>
      </rPr>
      <t>PASSAGE:</t>
    </r>
    <r>
      <rPr>
        <rFont val="Arial"/>
        <sz val="10"/>
      </rPr>
      <t xml:space="preserve"> в испуге подумала Скарлетт, так как, совесть ее, разумеется, была нечиста.
</t>
    </r>
    <r>
      <rPr>
        <rFont val="Arial"/>
        <sz val="10"/>
        <b/>
      </rPr>
      <t>TRANS:</t>
    </r>
    <r>
      <rPr>
        <rFont val="Arial"/>
        <sz val="10"/>
      </rPr>
      <t xml:space="preserve"> v ispuge podumala Skarlett, tak kak, sovest' ee, razumeetsya, byla nechista.
</t>
    </r>
    <r>
      <rPr>
        <rFont val="Arial"/>
        <sz val="10"/>
        <b/>
      </rPr>
      <t>TRANSLATION:</t>
    </r>
    <r>
      <rPr>
        <rFont val="Arial"/>
        <sz val="10"/>
      </rPr>
      <t xml:space="preserve"> Scarlett thought in fright, since her conscience was, of course, not clean.</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</si>
  <si>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 осылай ойлаған Скарлетт шошып кетті, өйткені оның ар-ұжданы, әрине, таза емес еді.
</t>
    </r>
    <r>
      <rPr>
        <rFont val="Arial"/>
        <sz val="10"/>
        <b/>
      </rPr>
      <t>TRANS:</t>
    </r>
    <r>
      <rPr>
        <rFont val="Arial"/>
        <sz val="10"/>
      </rPr>
      <t xml:space="preserve"> ... osylai oilağan Skarlett şoşyp kettı, öitkenı onyñ ar-ūjdany, ärine, taza emes edı.
</t>
    </r>
    <r>
      <rPr>
        <rFont val="Arial"/>
        <sz val="10"/>
        <b/>
      </rPr>
      <t>TRANSLATION:</t>
    </r>
    <r>
      <rPr>
        <rFont val="Arial"/>
        <sz val="10"/>
      </rPr>
      <t xml:space="preserve"> ... thinking thus, Scarlett took fright, for her ar-ujdan [conscience] was, of course, not clean.</t>
    </r>
  </si>
  <si>
    <r>
      <rPr>
        <rFont val="Arial"/>
        <sz val="10"/>
        <b/>
      </rPr>
      <t>TERM:</t>
    </r>
    <r>
      <rPr>
        <rFont val="Arial"/>
        <sz val="10"/>
      </rPr>
      <t xml:space="preserve"> ugryzeniya sovesti. (угрызения совести.) = pangs of conscience
</t>
    </r>
    <r>
      <rPr>
        <rFont val="Arial"/>
        <sz val="10"/>
        <b/>
      </rPr>
      <t>PASSAGE:</t>
    </r>
    <r>
      <rPr>
        <rFont val="Arial"/>
        <sz val="10"/>
      </rPr>
      <t xml:space="preserve"> — Я всегда, всегда буду вашей маленькой дочуркой, — говорила Скарлетт и прятала лицо на груди Эллин, чувствуя внезапно вспыхнувшие угрызения совести.
</t>
    </r>
    <r>
      <rPr>
        <rFont val="Arial"/>
        <sz val="10"/>
        <b/>
      </rPr>
      <t>TRANS:</t>
    </r>
    <r>
      <rPr>
        <rFont val="Arial"/>
        <sz val="10"/>
      </rPr>
      <t xml:space="preserve"> — Ya vsegda, vsegda budu vashey malen'koy dochurkoy, — govorila Skarlett i pryatala litso na grudi Ellin, chuvstvuya vnezapno vspykhnuvshie ugryzeniya sovesti.
</t>
    </r>
    <r>
      <rPr>
        <rFont val="Arial"/>
        <sz val="10"/>
        <b/>
      </rPr>
      <t>TRANSLATION:</t>
    </r>
    <r>
      <rPr>
        <rFont val="Arial"/>
        <sz val="10"/>
      </rPr>
      <t xml:space="preserve"> "I will always, always be your little daughter," said Scarlett, hiding her face on Ellen's breast, feeling suddenly flaring pangs of conscience.</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</si>
  <si>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 Мен әрқашан сенің кішкентай қызың боламын, - деді Скарлетт өзінің ұжданы алдында қысылған жүзін Эллиннің кеудесіне жасырып.
</t>
    </r>
    <r>
      <rPr>
        <rFont val="Arial"/>
        <sz val="10"/>
        <b/>
      </rPr>
      <t>TRANS:</t>
    </r>
    <r>
      <rPr>
        <rFont val="Arial"/>
        <sz val="10"/>
      </rPr>
      <t xml:space="preserve"> Men ärqaşan senıñ kışkentai qyzyñ bolamyn, - dedı Skarlett özınıñ ūjdany aldynda qysylğan jüzın Elinnıñ keudesıne jasyryp.
</t>
    </r>
    <r>
      <rPr>
        <rFont val="Arial"/>
        <sz val="10"/>
        <b/>
      </rPr>
      <t>TRANSLATION:</t>
    </r>
    <r>
      <rPr>
        <rFont val="Arial"/>
        <sz val="10"/>
      </rPr>
      <t xml:space="preserve"> "I will always be your little girl," said Scarlett, hiding her face — embarrassed before her own conscience [ūjdan] — on Ellen's breast.</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</si>
  <si>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Скарлетт, испытывая легкий укол совести, старалась вспомнить, что же было такого в письмах Эшли, что заставило Мелани сделать подобное заявление, но содержание писем почти мгновенно улетучивалось у нее из головы, как только она кончала читать.
</t>
    </r>
    <r>
      <rPr>
        <rFont val="Arial"/>
        <sz val="10"/>
        <b/>
      </rPr>
      <t>TRANS:</t>
    </r>
    <r>
      <rPr>
        <rFont val="Arial"/>
        <sz val="10"/>
      </rPr>
      <t xml:space="preserve"> Skarlett, ispytyvaya legkiy ukol sovesti, staralas' vspomnit', chto zhe bylo takogo v pis'makh Eshli, chto zastavilo Melani sdelat' podobnoe zayavlenie, no soderzhanie pisem pochti mgnovenno uletuchivalos' u nee iz golovy, kak tol'ko ona konchala chitat'.
</t>
    </r>
    <r>
      <rPr>
        <rFont val="Arial"/>
        <sz val="10"/>
        <b/>
      </rPr>
      <t>TRANSLATION:</t>
    </r>
    <r>
      <rPr>
        <rFont val="Arial"/>
        <sz val="10"/>
      </rPr>
      <t xml:space="preserve"> Scarlett, feeling a slight prick of conscience, tried to recall what was in Ashley's letters that would make Melanie make such a statement, but the contents of the letters almost instantly evaporated from her head as soon as she finished reading.</t>
    </r>
  </si>
  <si>
    <r>
      <rPr>
        <rFont val="Arial"/>
        <sz val="10"/>
        <b/>
      </rPr>
      <t>TERM:</t>
    </r>
    <r>
      <rPr>
        <rFont val="Arial"/>
        <sz val="10"/>
      </rPr>
      <t xml:space="preserve"> ūial- (ұял-) — be ashamed (verbal stem) [KED, SZK] (lemma: ұялу)
</t>
    </r>
    <r>
      <rPr>
        <rFont val="Arial"/>
        <sz val="10"/>
        <b/>
      </rPr>
      <t>PASSAGE:</t>
    </r>
    <r>
      <rPr>
        <rFont val="Arial"/>
        <sz val="10"/>
      </rPr>
      <t xml:space="preserve"> Скарлетт аздап ұялыс сезініп, Эшлидің хаттарындағы Меланиді осындай мәлімдеме жасауға итермелеген жолдарды еске түсіруге тырысты, ...
</t>
    </r>
    <r>
      <rPr>
        <rFont val="Arial"/>
        <sz val="10"/>
        <b/>
      </rPr>
      <t>TRANS:</t>
    </r>
    <r>
      <rPr>
        <rFont val="Arial"/>
        <sz val="10"/>
      </rPr>
      <t xml:space="preserve"> Skarlett azdap ūialys sezınıp, Eşlidıñ hattaryndağy Melanidı osyndai mälımdeme jasauğa itermelegen joldardy eske tüsıruge tyrysty, ....
</t>
    </r>
    <r>
      <rPr>
        <rFont val="Arial"/>
        <sz val="10"/>
        <b/>
      </rPr>
      <t>TRANSLATION:</t>
    </r>
    <r>
      <rPr>
        <rFont val="Arial"/>
        <sz val="10"/>
      </rPr>
      <t xml:space="preserve"> Feeling a slight twinge of shame, Scarlett tried to recall the lines in Ashley's letters that had pushed Melanie to make such a statement,...</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</si>
  <si>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 Завидуешь мне? — воскликнула Скарлетт, чувствуя легкий укол совести.
</t>
    </r>
    <r>
      <rPr>
        <rFont val="Arial"/>
        <sz val="10"/>
        <b/>
      </rPr>
      <t>TRANS:</t>
    </r>
    <r>
      <rPr>
        <rFont val="Arial"/>
        <sz val="10"/>
      </rPr>
      <t xml:space="preserve"> — Zaviduesh' mne? — voskliknula Skarlett, chuvstvuya legkiy ukol sovesti.
</t>
    </r>
    <r>
      <rPr>
        <rFont val="Arial"/>
        <sz val="10"/>
        <b/>
      </rPr>
      <t>TRANSLATION:</t>
    </r>
    <r>
      <rPr>
        <rFont val="Arial"/>
        <sz val="10"/>
      </rPr>
      <t xml:space="preserve"> "You're jealous of me?" exclaimed Scarlett, feeling a slight prick of conscience.</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</si>
  <si>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 Сен менен қызғанасың ба? - деп айқайлады Скарлетт ар-ұжданы ептеп мазалап.
</t>
    </r>
    <r>
      <rPr>
        <rFont val="Arial"/>
        <sz val="10"/>
        <b/>
      </rPr>
      <t>TRANS:</t>
    </r>
    <r>
      <rPr>
        <rFont val="Arial"/>
        <sz val="10"/>
      </rPr>
      <t xml:space="preserve"> - Sen menen qyzğanasyñ ba? - dep aiqailady Skarlett ar-ūjdany eptep mazalap.
</t>
    </r>
    <r>
      <rPr>
        <rFont val="Arial"/>
        <sz val="10"/>
        <b/>
      </rPr>
      <t>TRANSLATION:</t>
    </r>
    <r>
      <rPr>
        <rFont val="Arial"/>
        <sz val="10"/>
      </rPr>
      <t xml:space="preserve"> "Are you jealous of me?" — Scarlett cried out, her ar-ujdan [conscience] slightly troubling her.</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</si>
  <si>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Казалось, Мамушка без труда читала в ее мыслях, и Скарлетт невольно опустила глаза, впервые почувствовав укол совести из-за своей затеи.
</t>
    </r>
    <r>
      <rPr>
        <rFont val="Arial"/>
        <sz val="10"/>
        <b/>
      </rPr>
      <t>TRANS:</t>
    </r>
    <r>
      <rPr>
        <rFont val="Arial"/>
        <sz val="10"/>
      </rPr>
      <t xml:space="preserve"> Kazalos', Mamushka bez truda chitala v ee myslyakh, i Skarlett nevol'no opustila glaza, vpervye pochuvstvovav ukol sovesti iz-za svoey zatei.
</t>
    </r>
    <r>
      <rPr>
        <rFont val="Arial"/>
        <sz val="10"/>
        <b/>
      </rPr>
      <t>TRANSLATION:</t>
    </r>
    <r>
      <rPr>
        <rFont val="Arial"/>
        <sz val="10"/>
      </rPr>
      <t xml:space="preserve"> It seemed that Mammy could read her thoughts without difficulty, and Scarlett involuntarily lowered her eyes, for the first time feeling a prick of conscience because of her scheme.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</si>
  <si>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Скарлетт ұяттың салмағынан ауыр тартқандай болған кірпіктерін төмен түсіре қойды.
</t>
    </r>
    <r>
      <rPr>
        <rFont val="Arial"/>
        <sz val="10"/>
        <b/>
      </rPr>
      <t>TRANS:</t>
    </r>
    <r>
      <rPr>
        <rFont val="Arial"/>
        <sz val="10"/>
      </rPr>
      <t xml:space="preserve"> Skarlett ūiattyñ salmağynan auyr tartqandai bolğan kırpıkterın tömen tüsıre qoidy.
</t>
    </r>
    <r>
      <rPr>
        <rFont val="Arial"/>
        <sz val="10"/>
        <b/>
      </rPr>
      <t>TRANSLATION:</t>
    </r>
    <r>
      <rPr>
        <rFont val="Arial"/>
        <sz val="10"/>
      </rPr>
      <t xml:space="preserve"> Scarlett, as though her eyelids had grown heavy from the weight of shame, lowered them.</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</si>
  <si>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Когда Скарлетт впервые решилась на такую ложь, ей потом стало стыдно и очень не по себе —
</t>
    </r>
    <r>
      <rPr>
        <rFont val="Arial"/>
        <sz val="10"/>
        <b/>
      </rPr>
      <t>TRANS:</t>
    </r>
    <r>
      <rPr>
        <rFont val="Arial"/>
        <sz val="10"/>
      </rPr>
      <t xml:space="preserve"> Kogda Skarlett vpervye reshilas' na takuyu lozh', ey potom stalo stydno i ochen' ne po sebe —
</t>
    </r>
    <r>
      <rPr>
        <rFont val="Arial"/>
        <sz val="10"/>
        <b/>
      </rPr>
      <t>TRANSLATION:</t>
    </r>
    <r>
      <rPr>
        <rFont val="Arial"/>
        <sz val="10"/>
      </rPr>
      <t xml:space="preserve"> When Scarlett had first decided on such a lie, she afterward felt ashamed and very ill at ease —</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</si>
  <si>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Осы өтірік айтуға ең алғаш бел байлағанында, әрине, қысылған еді.
</t>
    </r>
    <r>
      <rPr>
        <rFont val="Arial"/>
        <sz val="10"/>
        <b/>
      </rPr>
      <t>TRANS:</t>
    </r>
    <r>
      <rPr>
        <rFont val="Arial"/>
        <sz val="10"/>
      </rPr>
      <t xml:space="preserve"> Osy ötırık aituğa eñ alğaş bel bailağanynda, ärine, qysylğan edı.
</t>
    </r>
    <r>
      <rPr>
        <rFont val="Arial"/>
        <sz val="10"/>
        <b/>
      </rPr>
      <t>TRANSLATION:</t>
    </r>
    <r>
      <rPr>
        <rFont val="Arial"/>
        <sz val="10"/>
      </rPr>
      <t xml:space="preserve"> When she first resolved to tell this lie, of course, she had been embarrassed.</t>
    </r>
  </si>
  <si>
    <r>
      <rPr>
        <rFont val="Arial"/>
        <sz val="10"/>
        <b/>
      </rPr>
      <t>TERM:</t>
    </r>
    <r>
      <rPr>
        <rFont val="Arial"/>
        <sz val="10"/>
      </rPr>
      <t xml:space="preserve"> KİNÄLY (КІНӘЛЫ) — guilty; at fault [KED, SZK] (lemma: кінәлі)
</t>
    </r>
    <r>
      <rPr>
        <rFont val="Arial"/>
        <sz val="10"/>
        <b/>
      </rPr>
      <t>PASSAGE:</t>
    </r>
    <r>
      <rPr>
        <rFont val="Arial"/>
        <sz val="10"/>
      </rPr>
      <t xml:space="preserve"> Ашығын айтқанда, оның күреңіткен жүзін көргенде сасқалақтап, өзін кінәлі сезінгендіктен де бүгежектей бастады.
</t>
    </r>
    <r>
      <rPr>
        <rFont val="Arial"/>
        <sz val="10"/>
        <b/>
      </rPr>
      <t>TRANS:</t>
    </r>
    <r>
      <rPr>
        <rFont val="Arial"/>
        <sz val="10"/>
      </rPr>
      <t xml:space="preserve"> Aşyğyn aitqanda, onyñ küreñıtken jüzın körgende sasqalaqtap, özın kınälı sezıngendıkten de bügejektei bastady.
</t>
    </r>
    <r>
      <rPr>
        <rFont val="Arial"/>
        <sz val="10"/>
        <b/>
      </rPr>
      <t>TRANSLATION:</t>
    </r>
    <r>
      <rPr>
        <rFont val="Arial"/>
        <sz val="10"/>
      </rPr>
      <t xml:space="preserve"> To tell the truth, when she saw his darkened face, she became flustered and, feeling guilty, began to cower.</t>
    </r>
  </si>
  <si>
    <r>
      <rPr>
        <rFont val="Arial"/>
        <sz val="10"/>
        <b/>
      </rPr>
      <t>TERM:</t>
    </r>
    <r>
      <rPr>
        <rFont val="Arial"/>
        <sz val="10"/>
      </rPr>
      <t xml:space="preserve"> greshnaya dusha (грешная душа) — a sinful soul [ORD] (lemma: грешный)
</t>
    </r>
    <r>
      <rPr>
        <rFont val="Arial"/>
        <sz val="10"/>
        <b/>
      </rPr>
      <t>PASSAGE:</t>
    </r>
    <r>
      <rPr>
        <rFont val="Arial"/>
        <sz val="10"/>
      </rPr>
      <t xml:space="preserve"> Хотя ей стало бы намного легче, если бы она могла уткнуться головой ему в плечо, расплакаться и облегчить свою грешную душу!
</t>
    </r>
    <r>
      <rPr>
        <rFont val="Arial"/>
        <sz val="10"/>
        <b/>
      </rPr>
      <t>TRANS:</t>
    </r>
    <r>
      <rPr>
        <rFont val="Arial"/>
        <sz val="10"/>
      </rPr>
      <t xml:space="preserve"> Khotya ey stalo by namnogo legche, esli by ona mogla utknut'sya golovoy emu v plecho, rasplakat'sya i oblegchit' svoyu greshnuyu dushu!
</t>
    </r>
    <r>
      <rPr>
        <rFont val="Arial"/>
        <sz val="10"/>
        <b/>
      </rPr>
      <t>TRANSLATION:</t>
    </r>
    <r>
      <rPr>
        <rFont val="Arial"/>
        <sz val="10"/>
      </rPr>
      <t xml:space="preserve"> Although she would feel much better if she could bury her head in his shoulder, weep, and unburden her sinful soul!</t>
    </r>
  </si>
  <si>
    <r>
      <rPr>
        <rFont val="Arial"/>
        <sz val="10"/>
        <b/>
      </rPr>
      <t>TERM:</t>
    </r>
    <r>
      <rPr>
        <rFont val="Arial"/>
        <sz val="10"/>
      </rPr>
      <t xml:space="preserve"> kökiregindegi zapyranyn (көкірегіндегі запыранын) — the bile in his/her chest (set image: deep bitterness/grief) [KED, SZK] (lemma: запыран)
</t>
    </r>
    <r>
      <rPr>
        <rFont val="Arial"/>
        <sz val="10"/>
        <b/>
      </rPr>
      <t>PASSAGE:</t>
    </r>
    <r>
      <rPr>
        <rFont val="Arial"/>
        <sz val="10"/>
      </rPr>
      <t xml:space="preserve"> Әйтсе де соның иығына басын сүйеп қойып, егіліп жыласа, бар ақиқатты, басынан кешкендерін ақтарып, көкірегіндегі запыранын төгіп, мың батпан қасіретінен айрылса, жеңілдеп те қалар еді-ау
</t>
    </r>
    <r>
      <rPr>
        <rFont val="Arial"/>
        <sz val="10"/>
        <b/>
      </rPr>
      <t>TRANS:</t>
    </r>
    <r>
      <rPr>
        <rFont val="Arial"/>
        <sz val="10"/>
      </rPr>
      <t xml:space="preserve"> Äitse de sonyñ iyğyna basyn süiep qoiyp, egılıp jylasa, bar aqiqatty, basynan keşkenderın aqtaryp, kökıregındegı zapyranyn tögıp, myñ batpan qasıretınen airylsa, jeñıldep te qalar edı-au
</t>
    </r>
    <r>
      <rPr>
        <rFont val="Arial"/>
        <sz val="10"/>
        <b/>
      </rPr>
      <t>TRANSLATION:</t>
    </r>
    <r>
      <rPr>
        <rFont val="Arial"/>
        <sz val="10"/>
      </rPr>
      <t xml:space="preserve"> And yet if she could lean her head on his shoulder and weep her heart out, pour out the whole truth, all she had been through, vent the bitterness from her chest, and rid herself of a thousand-pud weight of grief, she might feel relief.</t>
    </r>
  </si>
  <si>
    <r>
      <rPr>
        <rFont val="Arial"/>
        <sz val="10"/>
        <b/>
      </rPr>
      <t>TERM:</t>
    </r>
    <r>
      <rPr>
        <rFont val="Arial"/>
        <sz val="10"/>
      </rPr>
      <t xml:space="preserve"> chuvstvo viny (чувство вины) — feeling of guilt [ORD] (lemma: вина)
</t>
    </r>
    <r>
      <rPr>
        <rFont val="Arial"/>
        <sz val="10"/>
        <b/>
      </rPr>
      <t>PASSAGE:</t>
    </r>
    <r>
      <rPr>
        <rFont val="Arial"/>
        <sz val="10"/>
      </rPr>
      <t xml:space="preserve"> — О! — выдохнула Скарлетт: чувство вины боролось в ней с чувством радости оттого, что Эшли неравнодушен к ней, что она ему по-прежнему мила.
</t>
    </r>
    <r>
      <rPr>
        <rFont val="Arial"/>
        <sz val="10"/>
        <b/>
      </rPr>
      <t>TRANS:</t>
    </r>
    <r>
      <rPr>
        <rFont val="Arial"/>
        <sz val="10"/>
      </rPr>
      <t xml:space="preserve"> — O! — vydokhnula Skarlett: chuvstvo viny borolos' v ney s chuvstvom radosti ottogo, chto Eshli neravnodushen k ney, chto ona emu po-prezhnemu mila.
</t>
    </r>
    <r>
      <rPr>
        <rFont val="Arial"/>
        <sz val="10"/>
        <b/>
      </rPr>
      <t>TRANSLATION:</t>
    </r>
    <r>
      <rPr>
        <rFont val="Arial"/>
        <sz val="10"/>
      </rPr>
      <t xml:space="preserve"> "Oh!" Scarlett exhaled: a feeling of guilt struggled within her with the joy that Ashley was not indifferent to her, that she was still dear to him.</t>
    </r>
  </si>
  <si>
    <r>
      <rPr>
        <rFont val="Arial"/>
        <sz val="10"/>
        <b/>
      </rPr>
      <t>TERM:</t>
    </r>
    <r>
      <rPr>
        <rFont val="Arial"/>
        <sz val="10"/>
      </rPr>
      <t xml:space="preserve"> KİNÄLAU (КІНӘЛАУ) — to blame; to find guilty [KED, SZK]
</t>
    </r>
    <r>
      <rPr>
        <rFont val="Arial"/>
        <sz val="10"/>
        <b/>
      </rPr>
      <t>PASSAGE:</t>
    </r>
    <r>
      <rPr>
        <rFont val="Arial"/>
        <sz val="10"/>
      </rPr>
      <t xml:space="preserve"> Эшлидің өзіне бейжай қарамайтынына көзі жеткеннен көңілі сергексіп, өзін іштей кінәлау сезімін қуанышы жеңе бастағандай.
</t>
    </r>
    <r>
      <rPr>
        <rFont val="Arial"/>
        <sz val="10"/>
        <b/>
      </rPr>
      <t>TRANS:</t>
    </r>
    <r>
      <rPr>
        <rFont val="Arial"/>
        <sz val="10"/>
      </rPr>
      <t xml:space="preserve"> Eşlidıñ özıne beijai qaramaitynyna közı jetkennen köñılı sergeksıp, özın ıştei kınälau sezımın quanyşy jeñe bastağandai.
</t>
    </r>
    <r>
      <rPr>
        <rFont val="Arial"/>
        <sz val="10"/>
        <b/>
      </rPr>
      <t>TRANSLATION:</t>
    </r>
    <r>
      <rPr>
        <rFont val="Arial"/>
        <sz val="10"/>
      </rPr>
      <t xml:space="preserve"> When she became convinced that Ashley was not indifferent toward her, her spirits revived, and joy began to overcome the feeling of guilt within her.</t>
    </r>
  </si>
  <si>
    <r>
      <rPr>
        <rFont val="Arial"/>
        <sz val="10"/>
        <b/>
      </rPr>
      <t>TERM:</t>
    </r>
    <r>
      <rPr>
        <rFont val="Arial"/>
        <sz val="10"/>
      </rPr>
      <t xml:space="preserve"> viny (вины) — guilt; fault (gen.) [ORD] (lemma: вина)
</t>
    </r>
    <r>
      <rPr>
        <rFont val="Arial"/>
        <sz val="10"/>
        <b/>
      </rPr>
      <t>PASSAGE:</t>
    </r>
    <r>
      <rPr>
        <rFont val="Arial"/>
        <sz val="10"/>
      </rPr>
      <t xml:space="preserve"> Слишком она была испугана и подавлена сознанием вины за прошлое, чтобы пытаться это понять.
</t>
    </r>
    <r>
      <rPr>
        <rFont val="Arial"/>
        <sz val="10"/>
        <b/>
      </rPr>
      <t>TRANS:</t>
    </r>
    <r>
      <rPr>
        <rFont val="Arial"/>
        <sz val="10"/>
      </rPr>
      <t xml:space="preserve"> Slishkom ona byla ispugana i podavlena soznaniem viny za proshloe, chtoby pytat'sya eto ponyat'.
</t>
    </r>
    <r>
      <rPr>
        <rFont val="Arial"/>
        <sz val="10"/>
        <b/>
      </rPr>
      <t>TRANSLATION:</t>
    </r>
    <r>
      <rPr>
        <rFont val="Arial"/>
        <sz val="10"/>
      </rPr>
      <t xml:space="preserve"> She was too frightened and overwhelmed by the consciousness of guilt for the past to try to understand it.</t>
    </r>
  </si>
  <si>
    <r>
      <rPr>
        <rFont val="Arial"/>
        <sz val="10"/>
        <b/>
      </rPr>
      <t>TERM:</t>
    </r>
    <r>
      <rPr>
        <rFont val="Arial"/>
        <sz val="10"/>
      </rPr>
      <t xml:space="preserve"> nechistoy sovesti (нечистой совести) — an unclean conscience (gen.) [ORD] (lemma: совесть)
</t>
    </r>
    <r>
      <rPr>
        <rFont val="Arial"/>
        <sz val="10"/>
        <b/>
      </rPr>
      <t>PASSAGE:</t>
    </r>
    <r>
      <rPr>
        <rFont val="Arial"/>
        <sz val="10"/>
      </rPr>
      <t xml:space="preserve"> Или, быть может, так ей казалось из-за нечистой совести?
</t>
    </r>
    <r>
      <rPr>
        <rFont val="Arial"/>
        <sz val="10"/>
        <b/>
      </rPr>
      <t>TRANS:</t>
    </r>
    <r>
      <rPr>
        <rFont val="Arial"/>
        <sz val="10"/>
      </rPr>
      <t xml:space="preserve"> Ili, byt' mozhet, tak ey kazalos' iz-za nechistoy sovesti?
</t>
    </r>
    <r>
      <rPr>
        <rFont val="Arial"/>
        <sz val="10"/>
        <b/>
      </rPr>
      <t>TRANSLATION:</t>
    </r>
    <r>
      <rPr>
        <rFont val="Arial"/>
        <sz val="10"/>
      </rPr>
      <t xml:space="preserve"> Or perhaps it seemed so to her because of her unclean conscience?</t>
    </r>
  </si>
  <si>
    <r>
      <rPr>
        <rFont val="Arial"/>
        <sz val="10"/>
        <b/>
      </rPr>
      <t>TERM:</t>
    </r>
    <r>
      <rPr>
        <rFont val="Arial"/>
        <sz val="10"/>
      </rPr>
      <t xml:space="preserve"> vinovataya (виноватая) — guilty; at fault (fem.) [ORD] (lemma: виноватый)
</t>
    </r>
    <r>
      <rPr>
        <rFont val="Arial"/>
        <sz val="10"/>
        <b/>
      </rPr>
      <t>PASSAGE:</t>
    </r>
    <r>
      <rPr>
        <rFont val="Arial"/>
        <sz val="10"/>
      </rPr>
      <t xml:space="preserve"> А сейчас, когда Мелани стала ее защищать, тогда как сама она, Скарлетт, чувствовала себя глубоко виноватой, — этого она и вовсе не в состоянии была вынести.
</t>
    </r>
    <r>
      <rPr>
        <rFont val="Arial"/>
        <sz val="10"/>
        <b/>
      </rPr>
      <t>TRANS:</t>
    </r>
    <r>
      <rPr>
        <rFont val="Arial"/>
        <sz val="10"/>
      </rPr>
      <t xml:space="preserve"> A seychas, kogda Melani stala ee zashchishchat', togda kak sama ona, Skarlett, chuvstvovala sebya gluboko vinovatoy, — etogo ona i vovse ne v sostoyanii byla vynesti.
</t>
    </r>
    <r>
      <rPr>
        <rFont val="Arial"/>
        <sz val="10"/>
        <b/>
      </rPr>
      <t>TRANSLATION:</t>
    </r>
    <r>
      <rPr>
        <rFont val="Arial"/>
        <sz val="10"/>
      </rPr>
      <t xml:space="preserve"> And now, when Melanie began to defend her, while she herself, Scarlett, felt deeply guilty — this she was simply unable to bear.</t>
    </r>
  </si>
  <si>
    <r>
      <rPr>
        <rFont val="Arial"/>
        <sz val="10"/>
        <b/>
      </rPr>
      <t>TERM:</t>
    </r>
    <r>
      <rPr>
        <rFont val="Arial"/>
        <sz val="10"/>
      </rPr>
      <t xml:space="preserve"> künä (күнә) — sin (religious register; from Persian gunāh) [KED, SZK]
</t>
    </r>
    <r>
      <rPr>
        <rFont val="Arial"/>
        <sz val="10"/>
        <b/>
      </rPr>
      <t>PASSAGE:</t>
    </r>
    <r>
      <rPr>
        <rFont val="Arial"/>
        <sz val="10"/>
      </rPr>
      <t xml:space="preserve"> Өзінің соншалық күнәға батқан қазіргі жағдайында Меланидің өлердей сеніп, шыр-пыр боп, қорғаштағаны жанына тіпті қатты батып тұр
</t>
    </r>
    <r>
      <rPr>
        <rFont val="Arial"/>
        <sz val="10"/>
        <b/>
      </rPr>
      <t>TRANS:</t>
    </r>
    <r>
      <rPr>
        <rFont val="Arial"/>
        <sz val="10"/>
      </rPr>
      <t xml:space="preserve"> Özınıñ sonşalyq künäğa batqan qazırgı jağdaiynda Melanidıñ ölerdei senıp, şyr-pyr bop, qorğaştağany janyna tıptı qatty batyp tūr
</t>
    </r>
    <r>
      <rPr>
        <rFont val="Arial"/>
        <sz val="10"/>
        <b/>
      </rPr>
      <t>TRANSLATION:</t>
    </r>
    <r>
      <rPr>
        <rFont val="Arial"/>
        <sz val="10"/>
      </rPr>
      <t xml:space="preserve"> In her present situation, having sinned so deeply, Melanie's believing in her to the death and bustling about to protect her sat very heavily on her soul.</t>
    </r>
  </si>
  <si>
    <r>
      <rPr>
        <rFont val="Arial"/>
        <sz val="10"/>
        <b/>
      </rPr>
      <t>TERM:</t>
    </r>
    <r>
      <rPr>
        <rFont val="Arial"/>
        <sz val="10"/>
      </rPr>
      <t xml:space="preserve"> pozora (позора) — disgrace (gen.) [ORD] (lemma: позор)
</t>
    </r>
    <r>
      <rPr>
        <rFont val="Arial"/>
        <sz val="10"/>
        <b/>
      </rPr>
      <t>PASSAGE:</t>
    </r>
    <r>
      <rPr>
        <rFont val="Arial"/>
        <sz val="10"/>
      </rPr>
      <t xml:space="preserve"> Черное пятно позора и вины, лежавшее на ней, переползло и на него.
</t>
    </r>
    <r>
      <rPr>
        <rFont val="Arial"/>
        <sz val="10"/>
        <b/>
      </rPr>
      <t>TRANS:</t>
    </r>
    <r>
      <rPr>
        <rFont val="Arial"/>
        <sz val="10"/>
      </rPr>
      <t xml:space="preserve"> Chernoe pyatno pozora i viny, lezhavshee na ney, perepolzlo i na nego.
</t>
    </r>
    <r>
      <rPr>
        <rFont val="Arial"/>
        <sz val="10"/>
        <b/>
      </rPr>
      <t>TRANSLATION:</t>
    </r>
    <r>
      <rPr>
        <rFont val="Arial"/>
        <sz val="10"/>
      </rPr>
      <t xml:space="preserve"> The black stain of disgrace and guilt that lay upon her crept onto him as well.</t>
    </r>
  </si>
  <si>
    <r>
      <rPr>
        <rFont val="Arial"/>
        <sz val="10"/>
        <b/>
      </rPr>
      <t>TERM:</t>
    </r>
    <r>
      <rPr>
        <rFont val="Arial"/>
        <sz val="10"/>
      </rPr>
      <t xml:space="preserve"> kınä men künä (кінә мен күнә) — guilt and sin (set phrase combining secular and religious registers) [KED, SZK] (lemma: кінә)
</t>
    </r>
    <r>
      <rPr>
        <rFont val="Arial"/>
        <sz val="10"/>
        <b/>
      </rPr>
      <t>PASSAGE:</t>
    </r>
    <r>
      <rPr>
        <rFont val="Arial"/>
        <sz val="10"/>
      </rPr>
      <t xml:space="preserve"> Осы уақытқа дейін өз арқасына басқан кінә мен күнәнің қап-қара нүктесі жылыстап, Эшлиге қарай ауып бара жатты.
</t>
    </r>
    <r>
      <rPr>
        <rFont val="Arial"/>
        <sz val="10"/>
        <b/>
      </rPr>
      <t>TRANS:</t>
    </r>
    <r>
      <rPr>
        <rFont val="Arial"/>
        <sz val="10"/>
      </rPr>
      <t xml:space="preserve"> Osy uaqytqa deiın öz arqasyna basqan kınä men künänıñ qap-qara nüktesı jylystap, Eşlige qarai auyp bara jatty.
</t>
    </r>
    <r>
      <rPr>
        <rFont val="Arial"/>
        <sz val="10"/>
        <b/>
      </rPr>
      <t>TRANSLATION:</t>
    </r>
    <r>
      <rPr>
        <rFont val="Arial"/>
        <sz val="10"/>
      </rPr>
      <t xml:space="preserve"> The pitch-black mark of guilt and sin that she had borne on her own back was sliding off and shifting toward Ashley.</t>
    </r>
  </si>
  <si>
    <r>
      <rPr>
        <rFont val="Arial"/>
        <sz val="10"/>
        <b/>
      </rPr>
      <t>TERM:</t>
    </r>
    <r>
      <rPr>
        <rFont val="Arial"/>
        <sz val="10"/>
      </rPr>
      <t xml:space="preserve"> KİNÄLY (КІНӘЛЫ) — guilty; at fault [KED, SZK] (lemma: кінәлі)
</t>
    </r>
    <r>
      <rPr>
        <rFont val="Arial"/>
        <sz val="10"/>
        <b/>
      </rPr>
      <t>PASSAGE:</t>
    </r>
    <r>
      <rPr>
        <rFont val="Arial"/>
        <sz val="10"/>
      </rPr>
      <t xml:space="preserve"> Бері таман жақындап, қасына келген қарияның жанарынан қасірет көрген Скарлеттің жүрегі зырқ ете қалып кінәлі балаша төмен қарай берді.
</t>
    </r>
    <r>
      <rPr>
        <rFont val="Arial"/>
        <sz val="10"/>
        <b/>
      </rPr>
      <t>TRANS:</t>
    </r>
    <r>
      <rPr>
        <rFont val="Arial"/>
        <sz val="10"/>
      </rPr>
      <t xml:space="preserve"> Berı taman jaqyndap, qasyna kelgen qarianyñ janarynan qasıret körgen Skarlettıñ jüregı zyrq ete qalyp kınälı balaşa tömen qarai berdı.
</t>
    </r>
    <r>
      <rPr>
        <rFont val="Arial"/>
        <sz val="10"/>
        <b/>
      </rPr>
      <t>TRANSLATION:</t>
    </r>
    <r>
      <rPr>
        <rFont val="Arial"/>
        <sz val="10"/>
      </rPr>
      <t xml:space="preserve"> When the old man came nearer and approached, seeing the suffering in his gaze Scarlett's heart pounded and she lowered her eyes like a guilty child.</t>
    </r>
  </si>
  <si>
    <r>
      <rPr>
        <rFont val="Arial"/>
        <sz val="10"/>
        <b/>
      </rPr>
      <t>TERM:</t>
    </r>
    <r>
      <rPr>
        <rFont val="Arial"/>
        <sz val="10"/>
      </rPr>
      <t xml:space="preserve"> vinovato (виновато) — guiltily (adv.) [ORD]
</t>
    </r>
    <r>
      <rPr>
        <rFont val="Arial"/>
        <sz val="10"/>
        <b/>
      </rPr>
      <t>PASSAGE:</t>
    </r>
    <r>
      <rPr>
        <rFont val="Arial"/>
        <sz val="10"/>
      </rPr>
      <t xml:space="preserve"> «Ах, какая же я скверная, — виновато подумала Мелани.
</t>
    </r>
    <r>
      <rPr>
        <rFont val="Arial"/>
        <sz val="10"/>
        <b/>
      </rPr>
      <t>TRANS:</t>
    </r>
    <r>
      <rPr>
        <rFont val="Arial"/>
        <sz val="10"/>
      </rPr>
      <t xml:space="preserve"> «Akh, kakaya zhe ya skvernaya, — vinovato podumala Melani.
</t>
    </r>
    <r>
      <rPr>
        <rFont val="Arial"/>
        <sz val="10"/>
        <b/>
      </rPr>
      <t>TRANSLATION:</t>
    </r>
    <r>
      <rPr>
        <rFont val="Arial"/>
        <sz val="10"/>
      </rPr>
      <t xml:space="preserve"> "Oh, what an awful person I am," Melanie thought guiltily.</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</si>
  <si>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О, тәңірім, мен неткен қызғаншақ едім, - деп ойлады тағы өз ішкі тұжырымдарынан қысылып кеткен Мелани.
</t>
    </r>
    <r>
      <rPr>
        <rFont val="Arial"/>
        <sz val="10"/>
        <b/>
      </rPr>
      <t>TRANS:</t>
    </r>
    <r>
      <rPr>
        <rFont val="Arial"/>
        <sz val="10"/>
      </rPr>
      <t xml:space="preserve"> O, täñırım, men netken qyzğanşaq edım, - dep oilady tağy öz ışkı tūjyrymdarynan qysylyp ketken Melani.
</t>
    </r>
    <r>
      <rPr>
        <rFont val="Arial"/>
        <sz val="10"/>
        <b/>
      </rPr>
      <t>TRANSLATION:</t>
    </r>
    <r>
      <rPr>
        <rFont val="Arial"/>
        <sz val="10"/>
      </rPr>
      <t xml:space="preserve"> "O God, how envious I have been!" — thought Melanie, again embarrassed at her own inner conclusions.</t>
    </r>
  </si>
  <si>
    <r>
      <rPr>
        <rFont val="Arial"/>
        <sz val="10"/>
        <b/>
      </rPr>
      <t>TERM:</t>
    </r>
    <r>
      <rPr>
        <rFont val="Arial"/>
        <sz val="10"/>
      </rPr>
      <t xml:space="preserve"> chuvstva viny (чувства вины) — feeling of guilt (gen.) [ORD] (lemma: вина)
</t>
    </r>
    <r>
      <rPr>
        <rFont val="Arial"/>
        <sz val="10"/>
        <b/>
      </rPr>
      <t>PASSAGE:</t>
    </r>
    <r>
      <rPr>
        <rFont val="Arial"/>
        <sz val="10"/>
      </rPr>
      <t xml:space="preserve"> Они с превеликим аппетитом, но и не без чувства вины прикончили этого петуха, ибо все отлично понимали: петуха Порк украл, так же как горох и кукурузу.
</t>
    </r>
    <r>
      <rPr>
        <rFont val="Arial"/>
        <sz val="10"/>
        <b/>
      </rPr>
      <t>TRANS:</t>
    </r>
    <r>
      <rPr>
        <rFont val="Arial"/>
        <sz val="10"/>
      </rPr>
      <t xml:space="preserve"> Oni s prevelikim appetitom, no i ne bez chuvstva viny prikonchili etogo petukha, ibo vse otlichno ponimali: petukha Pork ukral, tak zhe kak gorokh i kukuruzu.
</t>
    </r>
    <r>
      <rPr>
        <rFont val="Arial"/>
        <sz val="10"/>
        <b/>
      </rPr>
      <t>TRANSLATION:</t>
    </r>
    <r>
      <rPr>
        <rFont val="Arial"/>
        <sz val="10"/>
      </rPr>
      <t xml:space="preserve"> They polished off this rooster with great appetite, but not without a feeling of guilt, for everyone understood perfectly well: Pork had stolen the rooster, just as he had the peas and corn.</t>
    </r>
  </si>
  <si>
    <r>
      <rPr>
        <rFont val="Arial"/>
        <sz val="10"/>
        <b/>
      </rPr>
      <t>TERM:</t>
    </r>
    <r>
      <rPr>
        <rFont val="Arial"/>
        <sz val="10"/>
      </rPr>
      <t xml:space="preserve"> AİYPTY (АЙЫПТЫ) — guilty [KED, SZK]
</t>
    </r>
    <r>
      <rPr>
        <rFont val="Arial"/>
        <sz val="10"/>
        <b/>
      </rPr>
      <t>PASSAGE:</t>
    </r>
    <r>
      <rPr>
        <rFont val="Arial"/>
        <sz val="10"/>
      </rPr>
      <t xml:space="preserve"> Олар бұл әтешті тамаша тәбетпен жеп алды, бірақ оған қоса әлденеге айыпты сезім де болды, өйткені Порктің бұршақ пен жүгеріні ұрлап әкелгені сияқты әтешті де үптеп кеткенін бәрінің іштері сезді.
</t>
    </r>
    <r>
      <rPr>
        <rFont val="Arial"/>
        <sz val="10"/>
        <b/>
      </rPr>
      <t>TRANS:</t>
    </r>
    <r>
      <rPr>
        <rFont val="Arial"/>
        <sz val="10"/>
      </rPr>
      <t xml:space="preserve"> Olar būl äteştı tamaşa täbetpen jep aldy, bıraq oğan qosa äldenege aiypty sezım de boldy, öitkenı Porktıñ būrşaq pen jügerını ūrlap äkelgenı siaqty äteştı de üptep ketkenın bärınıñ ışterı sezdı.
</t>
    </r>
    <r>
      <rPr>
        <rFont val="Arial"/>
        <sz val="10"/>
        <b/>
      </rPr>
      <t>TRANSLATION:</t>
    </r>
    <r>
      <rPr>
        <rFont val="Arial"/>
        <sz val="10"/>
      </rPr>
      <t xml:space="preserve"> They ate this rooster with wonderful appetite, but along with that there was also a feeling of guilt, for everyone inwardly sensed that, just as Pork had stolen the peas and corn, he had taken this rooster too.</t>
    </r>
  </si>
  <si>
    <r>
      <rPr>
        <rFont val="Arial"/>
        <sz val="10"/>
        <b/>
      </rPr>
      <t>TERM:</t>
    </r>
    <r>
      <rPr>
        <rFont val="Arial"/>
        <sz val="10"/>
      </rPr>
      <t xml:space="preserve"> provinivshimisya (провинившимися) — those at fault; the guilty ones (instr. pl.) [ORD] (lemma: провиниться)
</t>
    </r>
    <r>
      <rPr>
        <rFont val="Arial"/>
        <sz val="10"/>
        <b/>
      </rPr>
      <t>PASSAGE:</t>
    </r>
    <r>
      <rPr>
        <rFont val="Arial"/>
        <sz val="10"/>
      </rPr>
      <t xml:space="preserve"> Она держится, храни ее господь, — отвечал дядюшка Питер, бросая такой суровый взгляд сначала на Мелани, затем на Скарлетт, что они сразу почувствовали себя провинившимися, хотя еще не отдавали себе отчета — в чем.
</t>
    </r>
    <r>
      <rPr>
        <rFont val="Arial"/>
        <sz val="10"/>
        <b/>
      </rPr>
      <t>TRANS:</t>
    </r>
    <r>
      <rPr>
        <rFont val="Arial"/>
        <sz val="10"/>
      </rPr>
      <t xml:space="preserve"> Ona derzhitsya, khrani ee gospod', — otvechal dyadyushka Piter, brosaya takoy surovyy vzglyad snachala na Melani, zatem na Skarlett, chto oni srazu pochuvstvovali sebya provinivshimisya, khotya eshche ne otdavali sebe otcheta — v chem.
</t>
    </r>
    <r>
      <rPr>
        <rFont val="Arial"/>
        <sz val="10"/>
        <b/>
      </rPr>
      <t>TRANSLATION:</t>
    </r>
    <r>
      <rPr>
        <rFont val="Arial"/>
        <sz val="10"/>
      </rPr>
      <t xml:space="preserve"> She is bearing up, God preserve her, — answered Uncle Peter, casting such a stern look first at Melanie and then at Scarlett that they immediately felt guilty, although they could not yet account to themselves of what.</t>
    </r>
  </si>
  <si>
    <r>
      <rPr>
        <rFont val="Arial"/>
        <sz val="10"/>
        <b/>
      </rPr>
      <t>TERM:</t>
    </r>
    <r>
      <rPr>
        <rFont val="Arial"/>
        <sz val="10"/>
      </rPr>
      <t xml:space="preserve"> KİNÄLY (КІНӘЛЫ) — guilty; at fault [KED, SZK] (lemma: кінәлі)
</t>
    </r>
    <r>
      <rPr>
        <rFont val="Arial"/>
        <sz val="10"/>
        <b/>
      </rPr>
      <t>PASSAGE:</t>
    </r>
    <r>
      <rPr>
        <rFont val="Arial"/>
        <sz val="10"/>
      </rPr>
      <t xml:space="preserve"> осы сәтте олар не үшін екеніне есеп беріп жатпаса да, өздерін кінәлі сезінді.
</t>
    </r>
    <r>
      <rPr>
        <rFont val="Arial"/>
        <sz val="10"/>
        <b/>
      </rPr>
      <t>TRANS:</t>
    </r>
    <r>
      <rPr>
        <rFont val="Arial"/>
        <sz val="10"/>
      </rPr>
      <t xml:space="preserve"> osy sätte olar ne üşın ekenıne esep berıp jatpasa da, özderın kınälı sezındı.
</t>
    </r>
    <r>
      <rPr>
        <rFont val="Arial"/>
        <sz val="10"/>
        <b/>
      </rPr>
      <t>TRANSLATION:</t>
    </r>
    <r>
      <rPr>
        <rFont val="Arial"/>
        <sz val="10"/>
      </rPr>
      <t xml:space="preserve"> at that moment, although they were not yet giving themselves an account of why, they felt guilty.</t>
    </r>
  </si>
  <si>
    <r>
      <rPr>
        <rFont val="Arial"/>
        <sz val="10"/>
        <b/>
      </rPr>
      <t>TERM:</t>
    </r>
    <r>
      <rPr>
        <rFont val="Arial"/>
        <sz val="10"/>
      </rPr>
      <t xml:space="preserve"> stesnyaetes' (стесняетесь) — (you) are shy; feel awkward (2pl.) [ORD] (lemma: стесняться)
</t>
    </r>
    <r>
      <rPr>
        <rFont val="Arial"/>
        <sz val="10"/>
        <b/>
      </rPr>
      <t>PASSAGE:</t>
    </r>
    <r>
      <rPr>
        <rFont val="Arial"/>
        <sz val="10"/>
      </rPr>
      <t xml:space="preserve"> Можно подумать, что вы стесняетесь этого
</t>
    </r>
    <r>
      <rPr>
        <rFont val="Arial"/>
        <sz val="10"/>
        <b/>
      </rPr>
      <t>TRANS:</t>
    </r>
    <r>
      <rPr>
        <rFont val="Arial"/>
        <sz val="10"/>
      </rPr>
      <t xml:space="preserve"> Mozhno podumat', chto vy stesnyaetes' etogo
</t>
    </r>
    <r>
      <rPr>
        <rFont val="Arial"/>
        <sz val="10"/>
        <b/>
      </rPr>
      <t>TRANSLATION:</t>
    </r>
    <r>
      <rPr>
        <rFont val="Arial"/>
        <sz val="10"/>
      </rPr>
      <t xml:space="preserve"> One might think that you are embarrassed by it</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</si>
  <si>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Тіпті сізді сол қызметі үшін ұялады деуге де болатындай.
</t>
    </r>
    <r>
      <rPr>
        <rFont val="Arial"/>
        <sz val="10"/>
        <b/>
      </rPr>
      <t>TRANS:</t>
    </r>
    <r>
      <rPr>
        <rFont val="Arial"/>
        <sz val="10"/>
      </rPr>
      <t xml:space="preserve"> Tıptı sızdı sol qyzmetı üşın ūialady deuge de bolatyndai.
</t>
    </r>
    <r>
      <rPr>
        <rFont val="Arial"/>
        <sz val="10"/>
        <b/>
      </rPr>
      <t>TRANSLATION:</t>
    </r>
    <r>
      <rPr>
        <rFont val="Arial"/>
        <sz val="10"/>
      </rPr>
      <t xml:space="preserve"> One could even say you are ashamed of that service.</t>
    </r>
  </si>
  <si>
    <r>
      <rPr>
        <rFont val="Arial"/>
        <sz val="10"/>
        <b/>
      </rPr>
      <t>TERM:</t>
    </r>
    <r>
      <rPr>
        <rFont val="Arial"/>
        <sz val="10"/>
      </rPr>
      <t xml:space="preserve"> sovest' (совесть) — conscience; the inner moral faculty [ORD]
</t>
    </r>
    <r>
      <rPr>
        <rFont val="Arial"/>
        <sz val="10"/>
        <b/>
      </rPr>
      <t>PASSAGE:</t>
    </r>
    <r>
      <rPr>
        <rFont val="Arial"/>
        <sz val="10"/>
      </rPr>
      <t xml:space="preserve"> Или, быть может, так ей казалось из-за нечистой совести?
</t>
    </r>
    <r>
      <rPr>
        <rFont val="Arial"/>
        <sz val="10"/>
        <b/>
      </rPr>
      <t>TRANS:</t>
    </r>
    <r>
      <rPr>
        <rFont val="Arial"/>
        <sz val="10"/>
      </rPr>
      <t xml:space="preserve"> Ili, byt' mozhet, tak ey kazalos' iz-za nechistoy sovesti?
</t>
    </r>
    <r>
      <rPr>
        <rFont val="Arial"/>
        <sz val="10"/>
        <b/>
      </rPr>
      <t>TRANSLATION:</t>
    </r>
    <r>
      <rPr>
        <rFont val="Arial"/>
        <sz val="10"/>
      </rPr>
      <t xml:space="preserve"> Or perhaps it seemed so to her because of her unclean conscience?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</si>
  <si>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Әлде өзінің ұяты таза болмаған соң да солай көрінді ме екен?
</t>
    </r>
    <r>
      <rPr>
        <rFont val="Arial"/>
        <sz val="10"/>
        <b/>
      </rPr>
      <t>TRANS:</t>
    </r>
    <r>
      <rPr>
        <rFont val="Arial"/>
        <sz val="10"/>
      </rPr>
      <t xml:space="preserve"> Älde özınıñ ūiaty taza bolmağan soñ da solai körındı me eken?
</t>
    </r>
    <r>
      <rPr>
        <rFont val="Arial"/>
        <sz val="10"/>
        <b/>
      </rPr>
      <t>TRANSLATION:</t>
    </r>
    <r>
      <rPr>
        <rFont val="Arial"/>
        <sz val="10"/>
      </rPr>
      <t xml:space="preserve"> Or did it seem so to her because her own shame was not clean?</t>
    </r>
  </si>
  <si>
    <r>
      <rPr>
        <rFont val="Arial"/>
        <sz val="10"/>
        <b/>
      </rPr>
      <t>TERM:</t>
    </r>
    <r>
      <rPr>
        <rFont val="Arial"/>
        <sz val="10"/>
      </rPr>
      <t xml:space="preserve"> vinovaty (виноваты) — (we/they are) at fault (pl.) [ORD] (lemma: виноватый)
</t>
    </r>
    <r>
      <rPr>
        <rFont val="Arial"/>
        <sz val="10"/>
        <b/>
      </rPr>
      <t>PASSAGE:</t>
    </r>
    <r>
      <rPr>
        <rFont val="Arial"/>
        <sz val="10"/>
      </rPr>
      <t xml:space="preserve"> ох, если бы нас застигли в любое другое время, когда мы были в самом деле виноваты, это не было бы так обидно!
</t>
    </r>
    <r>
      <rPr>
        <rFont val="Arial"/>
        <sz val="10"/>
        <b/>
      </rPr>
      <t>TRANS:</t>
    </r>
    <r>
      <rPr>
        <rFont val="Arial"/>
        <sz val="10"/>
      </rPr>
      <t xml:space="preserve"> okh, esli by nas zastigli v lyuboe drugoe vremya, kogda my byli v samom dele vinovaty, eto ne bylo by tak obidno!
</t>
    </r>
    <r>
      <rPr>
        <rFont val="Arial"/>
        <sz val="10"/>
        <b/>
      </rPr>
      <t>TRANSLATION:</t>
    </r>
    <r>
      <rPr>
        <rFont val="Arial"/>
        <sz val="10"/>
      </rPr>
      <t xml:space="preserve"> oh, if we had been caught at any other time, when we really were guilty, it would not have been so distressing!</t>
    </r>
  </si>
  <si>
    <r>
      <rPr>
        <rFont val="Arial"/>
        <sz val="10"/>
        <b/>
      </rPr>
      <t>TERM:</t>
    </r>
    <r>
      <rPr>
        <rFont val="Arial"/>
        <sz val="10"/>
      </rPr>
      <t xml:space="preserve"> KİNÄLY (КІНӘЛЫ) — guilty; at fault [KED, SZK] (lemma: кінәлі)
</t>
    </r>
    <r>
      <rPr>
        <rFont val="Arial"/>
        <sz val="10"/>
        <b/>
      </rPr>
      <t>PASSAGE:</t>
    </r>
    <r>
      <rPr>
        <rFont val="Arial"/>
        <sz val="10"/>
      </rPr>
      <t xml:space="preserve"> Әскерде жүргенде жаңа жылға келіп-кетерінде бетінен сүйгенімді көргенде ғой... Тарада менімен бірге қашуға азғырып тұрғанымда... ой, құдайым-ай, шынымен кінәлі кезімізде көргендерінде бұлай өкінішті болмас еді ғой.
</t>
    </r>
    <r>
      <rPr>
        <rFont val="Arial"/>
        <sz val="10"/>
        <b/>
      </rPr>
      <t>TRANS:</t>
    </r>
    <r>
      <rPr>
        <rFont val="Arial"/>
        <sz val="10"/>
      </rPr>
      <t xml:space="preserve"> Äskerde jürgende jaña jylğa kelıp-keterınde betınen süigenımdı körgende ğoi... Tarada menımen bırge qaşuğa azğyryp tūrğanymda... oi, qūdaiym-ai, şynymen kınälı kezımızde körgenderınde būlai ökınıştı bolmas edı ğoi.
</t>
    </r>
    <r>
      <rPr>
        <rFont val="Arial"/>
        <sz val="10"/>
        <b/>
      </rPr>
      <t>TRANSLATION:</t>
    </r>
    <r>
      <rPr>
        <rFont val="Arial"/>
        <sz val="10"/>
      </rPr>
      <t xml:space="preserve"> When I kissed his face on his return for New Year while he was on military leave... When in Tara he was tempting me to run away with him... oh, my God, if we had been caught when we really were guilty, it would not have been so distressing.</t>
    </r>
  </si>
  <si>
    <r>
      <rPr>
        <rFont val="Arial"/>
        <sz val="10"/>
        <b/>
      </rPr>
      <t>TERM:</t>
    </r>
    <r>
      <rPr>
        <rFont val="Arial"/>
        <sz val="10"/>
      </rPr>
      <t xml:space="preserve"> vina (вина) — guilt; fault; blame [ORD]
</t>
    </r>
    <r>
      <rPr>
        <rFont val="Arial"/>
        <sz val="10"/>
        <b/>
      </rPr>
      <t>PASSAGE:</t>
    </r>
    <r>
      <rPr>
        <rFont val="Arial"/>
        <sz val="10"/>
      </rPr>
      <t xml:space="preserve"> По обыкновению, всю вину свалят на женщину, а по поводу мужчины лишь пожмут плечами.
</t>
    </r>
    <r>
      <rPr>
        <rFont val="Arial"/>
        <sz val="10"/>
        <b/>
      </rPr>
      <t>TRANS:</t>
    </r>
    <r>
      <rPr>
        <rFont val="Arial"/>
        <sz val="10"/>
      </rPr>
      <t xml:space="preserve"> Po obyknoveniyu, vsyu vinu svalyat na zhenshchinu, a po povodu muzhchiny lish' pozhmut plechami.
</t>
    </r>
    <r>
      <rPr>
        <rFont val="Arial"/>
        <sz val="10"/>
        <b/>
      </rPr>
      <t>TRANSLATION:</t>
    </r>
    <r>
      <rPr>
        <rFont val="Arial"/>
        <sz val="10"/>
      </rPr>
      <t xml:space="preserve"> As usual, all the blame will be heaped on the woman, while regarding the man they will only shrug.</t>
    </r>
  </si>
  <si>
    <r>
      <rPr>
        <rFont val="Arial"/>
        <sz val="10"/>
        <b/>
      </rPr>
      <t>TERM:</t>
    </r>
    <r>
      <rPr>
        <rFont val="Arial"/>
        <sz val="10"/>
      </rPr>
      <t xml:space="preserve"> KİNÄ (КІНӘ) — guilt; fault; blame (secular) [KED, SZK]
</t>
    </r>
    <r>
      <rPr>
        <rFont val="Arial"/>
        <sz val="10"/>
        <b/>
      </rPr>
      <t>PASSAGE:</t>
    </r>
    <r>
      <rPr>
        <rFont val="Arial"/>
        <sz val="10"/>
      </rPr>
      <t xml:space="preserve"> Әдеттегіше, бар кінәні әйелге аударады да, еркек туралы айтылғанда тек иықтарын қиқаң еткізер де қояр.
</t>
    </r>
    <r>
      <rPr>
        <rFont val="Arial"/>
        <sz val="10"/>
        <b/>
      </rPr>
      <t>TRANS:</t>
    </r>
    <r>
      <rPr>
        <rFont val="Arial"/>
        <sz val="10"/>
      </rPr>
      <t xml:space="preserve"> Ädettegışe, bar kınänı äielge audarady da, erkek turaly aitylğanda tek iyqtaryn qiqañ etkızer de qoiar.
</t>
    </r>
    <r>
      <rPr>
        <rFont val="Arial"/>
        <sz val="10"/>
        <b/>
      </rPr>
      <t>TRANSLATION:</t>
    </r>
    <r>
      <rPr>
        <rFont val="Arial"/>
        <sz val="10"/>
      </rPr>
      <t xml:space="preserve"> As usual, all the blame is shifted onto the woman, while regarding the man they will only shrug their shoulders.</t>
    </r>
  </si>
  <si>
    <r>
      <rPr>
        <rFont val="Arial"/>
        <sz val="10"/>
        <b/>
      </rPr>
      <t>TERM:</t>
    </r>
    <r>
      <rPr>
        <rFont val="Arial"/>
        <sz val="10"/>
      </rPr>
      <t xml:space="preserve"> sogreshivshuyu (согрешившую) — the one who sinned (active part. fem. acc.) [ORD] (lemma: согрешить)
</t>
    </r>
    <r>
      <rPr>
        <rFont val="Arial"/>
        <sz val="10"/>
        <b/>
      </rPr>
      <t>PASSAGE:</t>
    </r>
    <r>
      <rPr>
        <rFont val="Arial"/>
        <sz val="10"/>
      </rPr>
      <t xml:space="preserve"> Неужели такая женщина, как Мелани, исповедующая столь высокие принципы, станет защищать женщину согрешившую,
</t>
    </r>
    <r>
      <rPr>
        <rFont val="Arial"/>
        <sz val="10"/>
        <b/>
      </rPr>
      <t>TRANS:</t>
    </r>
    <r>
      <rPr>
        <rFont val="Arial"/>
        <sz val="10"/>
      </rPr>
      <t xml:space="preserve"> Neuzheli takaya zhenshchina, kak Melani, ispoveduyushchaya stol' vysokie printsipy, stanet zashchishchat' zhenshchinu sogreshivshuyu,
</t>
    </r>
    <r>
      <rPr>
        <rFont val="Arial"/>
        <sz val="10"/>
        <b/>
      </rPr>
      <t>TRANSLATION:</t>
    </r>
    <r>
      <rPr>
        <rFont val="Arial"/>
        <sz val="10"/>
      </rPr>
      <t xml:space="preserve"> Could it be that a woman like Melanie, who professes such high principles, would defend a sinful woman,</t>
    </r>
  </si>
  <si>
    <r>
      <rPr>
        <rFont val="Arial"/>
        <sz val="10"/>
        <b/>
      </rPr>
      <t>TERM:</t>
    </r>
    <r>
      <rPr>
        <rFont val="Arial"/>
        <sz val="10"/>
      </rPr>
      <t xml:space="preserve"> künähar (күнәһар) — sinful [KED, SZK]
</t>
    </r>
    <r>
      <rPr>
        <rFont val="Arial"/>
        <sz val="10"/>
        <b/>
      </rPr>
      <t>PASSAGE:</t>
    </r>
    <r>
      <rPr>
        <rFont val="Arial"/>
        <sz val="10"/>
      </rPr>
      <t xml:space="preserve"> Таным-түсінігі тым жоғары, адалдықты биік бағалайтын Мелани секілді әйел қалайша Скарлеттей күнәһар әйелді қолдап, қорғаштайды,
</t>
    </r>
    <r>
      <rPr>
        <rFont val="Arial"/>
        <sz val="10"/>
        <b/>
      </rPr>
      <t>TRANS:</t>
    </r>
    <r>
      <rPr>
        <rFont val="Arial"/>
        <sz val="10"/>
      </rPr>
      <t xml:space="preserve"> Tanym-tüsınıgı tym joğary, adaldyqty biık bağalaityn Melani sekıldı äiel qalaişa Skarlettei künähar äieldı qoldap, qorğaştaidy,
</t>
    </r>
    <r>
      <rPr>
        <rFont val="Arial"/>
        <sz val="10"/>
        <b/>
      </rPr>
      <t>TRANSLATION:</t>
    </r>
    <r>
      <rPr>
        <rFont val="Arial"/>
        <sz val="10"/>
      </rPr>
      <t xml:space="preserve"> How is it that a woman like Melanie, of such lofty understanding, who values integrity highly, would support and protect such a sinful woman as Scarlett,</t>
    </r>
  </si>
  <si>
    <r>
      <rPr>
        <rFont val="Arial"/>
        <sz val="10"/>
        <b/>
      </rPr>
      <t>TERM:</t>
    </r>
    <r>
      <rPr>
        <rFont val="Arial"/>
        <sz val="10"/>
      </rPr>
      <t xml:space="preserve"> povinna (повинна) — (she is) guilty; at fault (short form fem.) [ORD] (lemma: повинный)
</t>
    </r>
    <r>
      <rPr>
        <rFont val="Arial"/>
        <sz val="10"/>
        <b/>
      </rPr>
      <t>PASSAGE:</t>
    </r>
    <r>
      <rPr>
        <rFont val="Arial"/>
        <sz val="10"/>
      </rPr>
      <t xml:space="preserve"> Но, спрашивали сторонники Индии, если Скарлетт ни в чем не повинна, где же тогда капитан Батлер?
</t>
    </r>
    <r>
      <rPr>
        <rFont val="Arial"/>
        <sz val="10"/>
        <b/>
      </rPr>
      <t>TRANS:</t>
    </r>
    <r>
      <rPr>
        <rFont val="Arial"/>
        <sz val="10"/>
      </rPr>
      <t xml:space="preserve"> No, sprashivali storonniki Indii, esli Skarlett ni v chem ne povinna, gde zhe togda kapitan Batler?
</t>
    </r>
    <r>
      <rPr>
        <rFont val="Arial"/>
        <sz val="10"/>
        <b/>
      </rPr>
      <t>TRANSLATION:</t>
    </r>
    <r>
      <rPr>
        <rFont val="Arial"/>
        <sz val="10"/>
      </rPr>
      <t xml:space="preserve"> But, asked India's supporters, if Scarlett is guilty of nothing, then where is Captain Butler?</t>
    </r>
  </si>
  <si>
    <r>
      <rPr>
        <rFont val="Arial"/>
        <sz val="10"/>
        <b/>
      </rPr>
      <t>TERM:</t>
    </r>
    <r>
      <rPr>
        <rFont val="Arial"/>
        <sz val="10"/>
      </rPr>
      <t xml:space="preserve"> BEİKÜNÄ (БЕЙКҮНӘ) — innocent; without sin (Persian bey- privative) [KED, SZK]
</t>
    </r>
    <r>
      <rPr>
        <rFont val="Arial"/>
        <sz val="10"/>
        <b/>
      </rPr>
      <t>PASSAGE:</t>
    </r>
    <r>
      <rPr>
        <rFont val="Arial"/>
        <sz val="10"/>
      </rPr>
      <t xml:space="preserve"> Бірақ Индияны жақтаушылардың көкейіне Скарлетт бейкүнә періште болса, неше күннен бері қарасы көрінбей, Батлер капитан қайда кетіп қалған деген сұрақ тұрды. 
</t>
    </r>
    <r>
      <rPr>
        <rFont val="Arial"/>
        <sz val="10"/>
        <b/>
      </rPr>
      <t>TRANS:</t>
    </r>
    <r>
      <rPr>
        <rFont val="Arial"/>
        <sz val="10"/>
      </rPr>
      <t xml:space="preserve"> Bıraq İndiany jaqtauşylardyñ kökeiıne Skarlett beikünä perışte bolsa, neşe künnen berı qarasy körınbei, Batler kapitan qaida ketıp qalğan degen sūraq tūrdy. 
</t>
    </r>
    <r>
      <rPr>
        <rFont val="Arial"/>
        <sz val="10"/>
        <b/>
      </rPr>
      <t>TRANSLATION:</t>
    </r>
    <r>
      <rPr>
        <rFont val="Arial"/>
        <sz val="10"/>
      </rPr>
      <t xml:space="preserve"> But India's supporters were left with the question: if Scarlett is an innocent angel, why has Captain Butler been nowhere in sight for so many days, where has he gone?</t>
    </r>
  </si>
  <si>
    <r>
      <rPr>
        <rFont val="Arial"/>
        <sz val="10"/>
        <b/>
      </rPr>
      <t>TERM:</t>
    </r>
    <r>
      <rPr>
        <rFont val="Arial"/>
        <sz val="10"/>
      </rPr>
      <t xml:space="preserve"> nashkodivshego (нашкодившего) — the naughty/mischievous one (active part. masc. gen.) [ORD] (lemma: нашкодить)
</t>
    </r>
    <r>
      <rPr>
        <rFont val="Arial"/>
        <sz val="10"/>
        <b/>
      </rPr>
      <t>PASSAGE:</t>
    </r>
    <r>
      <rPr>
        <rFont val="Arial"/>
        <sz val="10"/>
      </rPr>
      <t xml:space="preserve"> Скарлетт поспешила к двери, распахнула ее, и Мелани, перепуганная, с пылающими щеками, вбежала в комнату, глядя на Скарлетт молящими глазами нашкодившего ребенка.
</t>
    </r>
    <r>
      <rPr>
        <rFont val="Arial"/>
        <sz val="10"/>
        <b/>
      </rPr>
      <t>TRANS:</t>
    </r>
    <r>
      <rPr>
        <rFont val="Arial"/>
        <sz val="10"/>
      </rPr>
      <t xml:space="preserve"> Skarlett pospeshila k dveri, raspakhnula ee, i Melani, perepugannaya, s pylayushchimi shchekami, vbezhala v komnatu, glyadya na Skarlett molyashchimi glazami nashkodivshego rebenka.
</t>
    </r>
    <r>
      <rPr>
        <rFont val="Arial"/>
        <sz val="10"/>
        <b/>
      </rPr>
      <t>TRANSLATION:</t>
    </r>
    <r>
      <rPr>
        <rFont val="Arial"/>
        <sz val="10"/>
      </rPr>
      <t xml:space="preserve"> Scarlett hurried to the door, flung it open, and Melanie, frightened, with burning cheeks, ran into the room, looking at Scarlett with the imploring eyes of a mischief-doing child.</t>
    </r>
  </si>
  <si>
    <r>
      <rPr>
        <rFont val="Arial"/>
        <sz val="10"/>
        <b/>
      </rPr>
      <t>TERM:</t>
    </r>
    <r>
      <rPr>
        <rFont val="Arial"/>
        <sz val="10"/>
      </rPr>
      <t xml:space="preserve"> būzyq (бұзық) — naughty; mischievous; (of child) ill-behaved [KED, SZK]
</t>
    </r>
    <r>
      <rPr>
        <rFont val="Arial"/>
        <sz val="10"/>
        <b/>
      </rPr>
      <t>PASSAGE:</t>
    </r>
    <r>
      <rPr>
        <rFont val="Arial"/>
        <sz val="10"/>
      </rPr>
      <t xml:space="preserve">бұзық баланың бірдеңе бүлдіргендегі жалынышты көзімен Скарлеттке қарады.
</t>
    </r>
    <r>
      <rPr>
        <rFont val="Arial"/>
        <sz val="10"/>
        <b/>
      </rPr>
      <t>TRANS:</t>
    </r>
    <r>
      <rPr>
        <rFont val="Arial"/>
        <sz val="10"/>
      </rPr>
      <t xml:space="preserve">būzyq balanyñ bırdeñe büldırgendegı jalynyşty közımen Skarlettke qarady.
</t>
    </r>
    <r>
      <rPr>
        <rFont val="Arial"/>
        <sz val="10"/>
        <b/>
      </rPr>
      <t>TRANSLATION:</t>
    </r>
    <r>
      <rPr>
        <rFont val="Arial"/>
        <sz val="10"/>
      </rPr>
      <t xml:space="preserve"> she looked at Scarlett with the imploring eyes of a naughty child who had broken something.</t>
    </r>
  </si>
  <si>
    <r>
      <rPr>
        <rFont val="Arial"/>
        <sz val="10"/>
        <b/>
      </rPr>
      <t>TERM:</t>
    </r>
    <r>
      <rPr>
        <rFont val="Arial"/>
        <sz val="10"/>
      </rPr>
      <t xml:space="preserve"> sovest' (совесть) — conscience; the inner moral faculty [ORD]
</t>
    </r>
    <r>
      <rPr>
        <rFont val="Arial"/>
        <sz val="10"/>
        <b/>
      </rPr>
      <t>PASSAGE:</t>
    </r>
    <r>
      <rPr>
        <rFont val="Arial"/>
        <sz val="10"/>
      </rPr>
      <t xml:space="preserve"> К такому шагу Скарлетт побуждала совесть, которая хоть и долго молчала, но все еще способна была поднять голос, — совесть истинно верующей католички.
</t>
    </r>
    <r>
      <rPr>
        <rFont val="Arial"/>
        <sz val="10"/>
        <b/>
      </rPr>
      <t>TRANS:</t>
    </r>
    <r>
      <rPr>
        <rFont val="Arial"/>
        <sz val="10"/>
      </rPr>
      <t xml:space="preserve"> K takomu shagu Skarlett pobuzhdala sovest', kotoraya khot' i dolgo molchala, no vse eshche sposobna byla podnyat' golos, — sovest' istinno veruyushchey katolichki.
</t>
    </r>
    <r>
      <rPr>
        <rFont val="Arial"/>
        <sz val="10"/>
        <b/>
      </rPr>
      <t>TRANSLATION:</t>
    </r>
    <r>
      <rPr>
        <rFont val="Arial"/>
        <sz val="10"/>
      </rPr>
      <t xml:space="preserve"> Scarlett was urged to such a step by a conscience that, although it had been silent for a long time, was still capable of raising its voice — the conscience of a true believing Catholic.</t>
    </r>
  </si>
  <si>
    <r>
      <rPr>
        <rFont val="Arial"/>
        <sz val="10"/>
        <b/>
      </rPr>
      <t>TERM:</t>
    </r>
    <r>
      <rPr>
        <rFont val="Arial"/>
        <sz val="10"/>
      </rPr>
      <t xml:space="preserve"> AR-ŪİAT(АР-ҰЯТ) — conscience-shame (compound): the active inner moral faculty [KED, SZK]
</t>
    </r>
    <r>
      <rPr>
        <rFont val="Arial"/>
        <sz val="10"/>
        <b/>
      </rPr>
      <t>PASSAGE:</t>
    </r>
    <r>
      <rPr>
        <rFont val="Arial"/>
        <sz val="10"/>
      </rPr>
      <t xml:space="preserve"> Баяғыдан бері бұғып жатқанымен, ақыры өзінің бар екенін, бас көтеретін уақыты келгенін білдерген ар-ұяты Скарлетті осы қадамға жетелейтін. Жүрегінің түкпірінде шынайы католиктік сенімі:
</t>
    </r>
    <r>
      <rPr>
        <rFont val="Arial"/>
        <sz val="10"/>
        <b/>
      </rPr>
      <t>TRANS:</t>
    </r>
    <r>
      <rPr>
        <rFont val="Arial"/>
        <sz val="10"/>
      </rPr>
      <t xml:space="preserve"> Baiağydan berı būğyp jatqanymen, aqyry özınıñ bar ekenın, bas köteretın uaqyty kelgenın bıldergen ar-ūiaty Skarlettı osy qadamğa jeteleitın. Jüregınıñ tükpırınde şynaiy katoliktık senımı:
</t>
    </r>
    <r>
      <rPr>
        <rFont val="Arial"/>
        <sz val="10"/>
        <b/>
      </rPr>
      <t>TRANSLATION:</t>
    </r>
    <r>
      <rPr>
        <rFont val="Arial"/>
        <sz val="10"/>
      </rPr>
      <t xml:space="preserve"> Although it had been hiding for a long time, her conscience — finally signaling its existence and that the time to raise its head had come — was leading Scarlett to this step. In the depths of her heart, her sincere Catholic faith:</t>
    </r>
  </si>
  <si>
    <r>
      <rPr>
        <rFont val="Arial"/>
        <sz val="10"/>
        <b/>
      </rPr>
      <t>TERM:</t>
    </r>
    <r>
      <rPr>
        <rFont val="Arial"/>
        <sz val="10"/>
      </rPr>
      <t xml:space="preserve"> sovest' (совесть) — conscience; the inner moral faculty [ORD]
</t>
    </r>
    <r>
      <rPr>
        <rFont val="Arial"/>
        <sz val="10"/>
        <b/>
      </rPr>
      <t>PASSAGE:</t>
    </r>
    <r>
      <rPr>
        <rFont val="Arial"/>
        <sz val="10"/>
      </rPr>
      <t xml:space="preserve"> Тот факт, что содержимое бумажника являлось собственностью фирмы братьев О'Хара, не слишком обременял совесть Джералда, и каяться в своем грехе завтра перед утренней мессой он не собирался.
</t>
    </r>
    <r>
      <rPr>
        <rFont val="Arial"/>
        <sz val="10"/>
        <b/>
      </rPr>
      <t>TRANS:</t>
    </r>
    <r>
      <rPr>
        <rFont val="Arial"/>
        <sz val="10"/>
      </rPr>
      <t xml:space="preserve"> Tot fakt, chto soderzhimoe bumazhnika yavlyalos' sobstvennost'yu firmy brat'ev O'Khara, ne slishkom obremenyal sovest' Dzheralda, i kayat'sya v svoem grekhe zavtra pered utrenney messoy on ne sobiralsya.
</t>
    </r>
    <r>
      <rPr>
        <rFont val="Arial"/>
        <sz val="10"/>
        <b/>
      </rPr>
      <t>TRANSLATION:</t>
    </r>
    <r>
      <rPr>
        <rFont val="Arial"/>
        <sz val="10"/>
      </rPr>
      <t xml:space="preserve"> The fact that the contents of the wallet were the property of the firm of the O'Hara brothers did not weigh too heavily on Gerald's conscience, and he was not planning to repent of his sin tomorrow before morning Mass.</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</si>
  <si>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 Джералдтың ар-ұятын мазаламады
</t>
    </r>
    <r>
      <rPr>
        <rFont val="Arial"/>
        <sz val="10"/>
        <b/>
      </rPr>
      <t>TRANS:</t>
    </r>
    <r>
      <rPr>
        <rFont val="Arial"/>
        <sz val="10"/>
      </rPr>
      <t xml:space="preserve"> ... Jeraldtyñ ar-ūiatyn mazalamady
</t>
    </r>
    <r>
      <rPr>
        <rFont val="Arial"/>
        <sz val="10"/>
        <b/>
      </rPr>
      <t>TRANSLATION:</t>
    </r>
    <r>
      <rPr>
        <rFont val="Arial"/>
        <sz val="10"/>
      </rPr>
      <t xml:space="preserve"> ... did not trouble Gerald's conscience.</t>
    </r>
  </si>
  <si>
    <r>
      <rPr>
        <rFont val="Arial"/>
        <sz val="10"/>
        <b/>
      </rPr>
      <t>TERM:</t>
    </r>
    <r>
      <rPr>
        <rFont val="Arial"/>
        <sz val="10"/>
      </rPr>
      <t xml:space="preserve"> sovest'yu (совестью) — conscience (instrumental) [ORD] (lemma: совесть)
</t>
    </r>
    <r>
      <rPr>
        <rFont val="Arial"/>
        <sz val="10"/>
        <b/>
      </rPr>
      <t>PASSAGE:</t>
    </r>
    <r>
      <rPr>
        <rFont val="Arial"/>
        <sz val="10"/>
      </rPr>
      <t xml:space="preserve"> «Но ведь это же в самом деле так, — вступила она в спор с собственной совестью.
</t>
    </r>
    <r>
      <rPr>
        <rFont val="Arial"/>
        <sz val="10"/>
        <b/>
      </rPr>
      <t>TRANS:</t>
    </r>
    <r>
      <rPr>
        <rFont val="Arial"/>
        <sz val="10"/>
      </rPr>
      <t xml:space="preserve"> «No ved' eto zhe v samom dele tak, — vstupila ona v spor s sobstvennoy sovest'yu.
</t>
    </r>
    <r>
      <rPr>
        <rFont val="Arial"/>
        <sz val="10"/>
        <b/>
      </rPr>
      <t>TRANSLATION:</t>
    </r>
    <r>
      <rPr>
        <rFont val="Arial"/>
        <sz val="10"/>
      </rPr>
      <t xml:space="preserve"> "But it really is so," she entered into argument with her own conscience.</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</si>
  <si>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"Бірақ бұл шынымен де солай", - деді ол өз ар-ұжданымен дауласып.
</t>
    </r>
    <r>
      <rPr>
        <rFont val="Arial"/>
        <sz val="10"/>
        <b/>
      </rPr>
      <t>TRANS:</t>
    </r>
    <r>
      <rPr>
        <rFont val="Arial"/>
        <sz val="10"/>
      </rPr>
      <t xml:space="preserve"> "Bıraq būl şynymen de solai", - dedı ol öz ar-ūjdanymen daulasyp.
</t>
    </r>
    <r>
      <rPr>
        <rFont val="Arial"/>
        <sz val="10"/>
        <b/>
      </rPr>
      <t>TRANSLATION:</t>
    </r>
    <r>
      <rPr>
        <rFont val="Arial"/>
        <sz val="10"/>
      </rPr>
      <t xml:space="preserve"> "But this really is so," — she said, arguing with her own conscience.</t>
    </r>
  </si>
  <si>
    <r>
      <rPr>
        <rFont val="Arial"/>
        <sz val="10"/>
        <b/>
      </rPr>
      <t>TERM:</t>
    </r>
    <r>
      <rPr>
        <rFont val="Arial"/>
        <sz val="10"/>
      </rPr>
      <t xml:space="preserve"> sovest' (совесть) — conscience; the inner moral faculty [ORD]
</t>
    </r>
    <r>
      <rPr>
        <rFont val="Arial"/>
        <sz val="10"/>
        <b/>
      </rPr>
      <t>PASSAGE:</t>
    </r>
    <r>
      <rPr>
        <rFont val="Arial"/>
        <sz val="10"/>
      </rPr>
      <t xml:space="preserve"> Она ехала по тропе, выходившей на Декейтерскую дорогу, а в душе у нее совесть боролась с жаждой наживы.
</t>
    </r>
    <r>
      <rPr>
        <rFont val="Arial"/>
        <sz val="10"/>
        <b/>
      </rPr>
      <t>TRANS:</t>
    </r>
    <r>
      <rPr>
        <rFont val="Arial"/>
        <sz val="10"/>
      </rPr>
      <t xml:space="preserve"> Ona ekhala po trope, vykhodivshey na Dekeyterskuyu dorogu, a v dushe u nee sovest' borolas' s zhazhdoy nazhivy.
</t>
    </r>
    <r>
      <rPr>
        <rFont val="Arial"/>
        <sz val="10"/>
        <b/>
      </rPr>
      <t>TRANSLATION:</t>
    </r>
    <r>
      <rPr>
        <rFont val="Arial"/>
        <sz val="10"/>
      </rPr>
      <t xml:space="preserve"> She was riding along the path that led out to the Decatur road, and in her soul her conscience was struggling with greed.</t>
    </r>
  </si>
  <si>
    <r>
      <rPr>
        <rFont val="Arial"/>
        <sz val="10"/>
        <b/>
      </rPr>
      <t>TERM:</t>
    </r>
    <r>
      <rPr>
        <rFont val="Arial"/>
        <sz val="10"/>
      </rPr>
      <t xml:space="preserve"> AR-ŪİAT(АР-ҰЯТ) — conscience-shame (compound): the active inner moral faculty [KED, SZK]
</t>
    </r>
    <r>
      <rPr>
        <rFont val="Arial"/>
        <sz val="10"/>
        <b/>
      </rPr>
      <t>PASSAGE:</t>
    </r>
    <r>
      <rPr>
        <rFont val="Arial"/>
        <sz val="10"/>
      </rPr>
      <t xml:space="preserve"> Ол Декейтер жолына шығатын соқпаққа түсіп алып, жүріп келеді, көкірегіндегі табысқа құмарлық мен ар-ұяты өзара алысуда.
</t>
    </r>
    <r>
      <rPr>
        <rFont val="Arial"/>
        <sz val="10"/>
        <b/>
      </rPr>
      <t>TRANS:</t>
    </r>
    <r>
      <rPr>
        <rFont val="Arial"/>
        <sz val="10"/>
      </rPr>
      <t xml:space="preserve"> Ol Dekeiter jolyna şyğatyn soqpaqqa tüsıp alyp, jürıp keledı, kökıregındegı tabysqa qūmarlyq men ar-ūiaty özara alysuda..
</t>
    </r>
    <r>
      <rPr>
        <rFont val="Arial"/>
        <sz val="10"/>
        <b/>
      </rPr>
      <t>TRANSLATION:</t>
    </r>
    <r>
      <rPr>
        <rFont val="Arial"/>
        <sz val="10"/>
      </rPr>
      <t xml:space="preserve"> Heading down the path that comes out onto the Decatur road, she rides along; her thirst for profit and her conscience are wrestling with each other inside her.</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</si>
  <si>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На мгновение Скарлетт подумала было попросить Питтипэт подняться к ней — может, в ее присутствии умолкнет голос совести, — но не решилась.
</t>
    </r>
    <r>
      <rPr>
        <rFont val="Arial"/>
        <sz val="10"/>
        <b/>
      </rPr>
      <t>TRANS:</t>
    </r>
    <r>
      <rPr>
        <rFont val="Arial"/>
        <sz val="10"/>
      </rPr>
      <t xml:space="preserve"> Na mgnovenie Skarlett podumala bylo poprosit' Pittipet podnyat'sya k ney — mozhet, v ee prisutstvii umolknet golos sovesti, — no ne reshilas'.
</t>
    </r>
    <r>
      <rPr>
        <rFont val="Arial"/>
        <sz val="10"/>
        <b/>
      </rPr>
      <t>TRANSLATION:</t>
    </r>
    <r>
      <rPr>
        <rFont val="Arial"/>
        <sz val="10"/>
      </rPr>
      <t xml:space="preserve"> For a moment Scarlett thought to ask Pittypat to come up to her — perhaps in her presence the voice of conscience would fall silent — but she did not dare.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</si>
  <si>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Бір сәтке Питтипэт тәтесін шақырғысы келіп те ойланды, ол мұның көңілін аулап, ойын бөлсе, ұятпен бетпе-бет жалғыз қалудан құтылар ма еді, дегенмен бата алмады.
</t>
    </r>
    <r>
      <rPr>
        <rFont val="Arial"/>
        <sz val="10"/>
        <b/>
      </rPr>
      <t>TRANS:</t>
    </r>
    <r>
      <rPr>
        <rFont val="Arial"/>
        <sz val="10"/>
      </rPr>
      <t xml:space="preserve"> Bır sätke Pittipet tätesın şaqyrğysy kelıp te oilandy, ol mūnyñ köñılın aulap, oiyn bölse, ūiatpen betpe-bet jalğyz qaludan qūtylar ma edı, degenmen bata almady.
</t>
    </r>
    <r>
      <rPr>
        <rFont val="Arial"/>
        <sz val="10"/>
        <b/>
      </rPr>
      <t>TRANSLATION:</t>
    </r>
    <r>
      <rPr>
        <rFont val="Arial"/>
        <sz val="10"/>
      </rPr>
      <t xml:space="preserve"> For a moment she even thought to call Aunt Pittypat — if she could distract her thoughts and entertain her, perhaps she could escape being left alone face-to-face with shame — but she did not dare.</t>
    </r>
  </si>
  <si>
    <r>
      <rPr>
        <rFont val="Arial"/>
        <sz val="10"/>
        <b/>
      </rPr>
      <t>TERM:</t>
    </r>
    <r>
      <rPr>
        <rFont val="Arial"/>
        <sz val="10"/>
      </rPr>
      <t xml:space="preserve"> sovest' (совесть) — conscience; the inner moral faculty [ORD]
</t>
    </r>
    <r>
      <rPr>
        <rFont val="Arial"/>
        <sz val="10"/>
        <b/>
      </rPr>
      <t>PASSAGE:</t>
    </r>
    <r>
      <rPr>
        <rFont val="Arial"/>
        <sz val="10"/>
      </rPr>
      <t xml:space="preserve"> Ваша… м-м… совесть очень вас мучила, когда вы соглашались… скажем, так — расстаться с этим сокровищем, которое вам дороже жизни, за триста долларов?
</t>
    </r>
    <r>
      <rPr>
        <rFont val="Arial"/>
        <sz val="10"/>
        <b/>
      </rPr>
      <t>TRANS:</t>
    </r>
    <r>
      <rPr>
        <rFont val="Arial"/>
        <sz val="10"/>
      </rPr>
      <t xml:space="preserve"> Vasha… m-m… sovest' ochen' vas muchila, kogda vy soglashalis'… skazhem, tak — rasstat'sya s etim sokrovishchem, kotoroe vam dorozhe zhizni, za trista dollarov?
</t>
    </r>
    <r>
      <rPr>
        <rFont val="Arial"/>
        <sz val="10"/>
        <b/>
      </rPr>
      <t>TRANSLATION:</t>
    </r>
    <r>
      <rPr>
        <rFont val="Arial"/>
        <sz val="10"/>
      </rPr>
      <t xml:space="preserve"> Did your... mm... conscience torment you greatly when you agreed... shall we say — to part with this treasure that is dearer to you than life, for three hundred dollars?</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</si>
  <si>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Сіз үш жүз долларға бағалаған әшекейіңізбен қоштасарыңызда да ұятыңыз сізді қинады ма екен.
</t>
    </r>
    <r>
      <rPr>
        <rFont val="Arial"/>
        <sz val="10"/>
        <b/>
      </rPr>
      <t>TRANS:</t>
    </r>
    <r>
      <rPr>
        <rFont val="Arial"/>
        <sz val="10"/>
      </rPr>
      <t xml:space="preserve">Sız üş jüz dollarğa bağalağan äşekeiıñızben qoştasaryñyzda da ūiatyñyz sızdı qinady ma eken.
</t>
    </r>
    <r>
      <rPr>
        <rFont val="Arial"/>
        <sz val="10"/>
        <b/>
      </rPr>
      <t>TRANSLATION:</t>
    </r>
    <r>
      <rPr>
        <rFont val="Arial"/>
        <sz val="10"/>
      </rPr>
      <t xml:space="preserve"> When you bid farewell to your jewel that you priced at three hundred dollars, did your shame trouble you?</t>
    </r>
  </si>
  <si>
    <r>
      <rPr>
        <rFont val="Arial"/>
        <sz val="10"/>
        <b/>
      </rPr>
      <t>TERM:</t>
    </r>
    <r>
      <rPr>
        <rFont val="Arial"/>
        <sz val="10"/>
      </rPr>
      <t xml:space="preserve"> sovest' (совесть) — conscience; the inner moral faculty [ORD]
</t>
    </r>
    <r>
      <rPr>
        <rFont val="Arial"/>
        <sz val="10"/>
        <b/>
      </rPr>
      <t>PASSAGE:</t>
    </r>
    <r>
      <rPr>
        <rFont val="Arial"/>
        <sz val="10"/>
      </rPr>
      <t xml:space="preserve"> Никогда не смогу, даже если совесть убьет меня».
</t>
    </r>
    <r>
      <rPr>
        <rFont val="Arial"/>
        <sz val="10"/>
        <b/>
      </rPr>
      <t>TRANS:</t>
    </r>
    <r>
      <rPr>
        <rFont val="Arial"/>
        <sz val="10"/>
      </rPr>
      <t xml:space="preserve"> Nikogda ne smogu, dazhe esli sovest' ub'et menya».
</t>
    </r>
    <r>
      <rPr>
        <rFont val="Arial"/>
        <sz val="10"/>
        <b/>
      </rPr>
      <t>TRANSLATION:</t>
    </r>
    <r>
      <rPr>
        <rFont val="Arial"/>
        <sz val="10"/>
      </rPr>
      <t xml:space="preserve"> Never, even if my conscience kills me.</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</si>
  <si>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"Мұны айта алмайды екенмін, ар-ұятым тұншықтырып өлтірсе де айта алмаймын" деп тұнжырай ойлады Скарлетт.
</t>
    </r>
    <r>
      <rPr>
        <rFont val="Arial"/>
        <sz val="10"/>
        <b/>
      </rPr>
      <t>TRANS:</t>
    </r>
    <r>
      <rPr>
        <rFont val="Arial"/>
        <sz val="10"/>
      </rPr>
      <t xml:space="preserve"> "Mūny aita almaidy ekenmın, ar-ūiatym tūnşyqtyryp öltırse de aita almaimyn" dep tūnjyrai oilady Skarlett.
</t>
    </r>
    <r>
      <rPr>
        <rFont val="Arial"/>
        <sz val="10"/>
        <b/>
      </rPr>
      <t>TRANSLATION:</t>
    </r>
    <r>
      <rPr>
        <rFont val="Arial"/>
        <sz val="10"/>
      </rPr>
      <t xml:space="preserve"> "I cannot say it; even if my conscience should choke and kill me, I cannot say it," thought Scarlett gloomily.</t>
    </r>
  </si>
  <si>
    <r>
      <rPr>
        <rFont val="Arial"/>
        <sz val="10"/>
        <b/>
      </rPr>
      <t>TERM:</t>
    </r>
    <r>
      <rPr>
        <rFont val="Arial"/>
        <sz val="10"/>
      </rPr>
      <t xml:space="preserve"> somneniya (сомнения) — doubt; doubts [ORD] (lemma: сомнение)
</t>
    </r>
    <r>
      <rPr>
        <rFont val="Arial"/>
        <sz val="10"/>
        <b/>
      </rPr>
      <t>PASSAGE:</t>
    </r>
    <r>
      <rPr>
        <rFont val="Arial"/>
        <sz val="10"/>
      </rPr>
      <t xml:space="preserve"> Когда дядюшка Питер свернул ему шею, деликатную душу тетушки Питтипэт внезапно одолели сомнения: допустимо ли насладиться этой птицей в кругу семьи, в то время как многие из друзей неделями не могут отведать куриного мяса, и она решила пригласить гостей.
</t>
    </r>
    <r>
      <rPr>
        <rFont val="Arial"/>
        <sz val="10"/>
        <b/>
      </rPr>
      <t>TRANS:</t>
    </r>
    <r>
      <rPr>
        <rFont val="Arial"/>
        <sz val="10"/>
      </rPr>
      <t xml:space="preserve"> Kogda dyadyushka Piter svernul emu sheyu, delikatnuyu dushu tetushki Pittipet vnezapno odoleli somneniya: dopustimo li nasladit'sya etoy ptitsey v krugu sem'i, v to vremya kak mnogie iz druzey nedelyami ne mogut otvedat' kurinogo myasa, i ona reshila priglasit' gostey.
</t>
    </r>
    <r>
      <rPr>
        <rFont val="Arial"/>
        <sz val="10"/>
        <b/>
      </rPr>
      <t>TRANSLATION:</t>
    </r>
    <r>
      <rPr>
        <rFont val="Arial"/>
        <sz val="10"/>
      </rPr>
      <t xml:space="preserve"> When Uncle Peter wrung its neck, Aunt Pittypat's delicate soul was suddenly seized by doubts: was it permissible to enjoy this bird in the family circle while many of her friends could not have a taste of chicken meat for weeks, and she decided to invite guests.</t>
    </r>
  </si>
  <si>
    <r>
      <rPr>
        <rFont val="Arial"/>
        <sz val="10"/>
        <b/>
      </rPr>
      <t>TERM:</t>
    </r>
    <r>
      <rPr>
        <rFont val="Arial"/>
        <sz val="10"/>
      </rPr>
      <t xml:space="preserve"> KÜMÄN (КҮМƏН) = doubt; uncertainty
</t>
    </r>
    <r>
      <rPr>
        <rFont val="Arial"/>
        <sz val="10"/>
        <b/>
      </rPr>
      <t>PASSAGE:</t>
    </r>
    <r>
      <rPr>
        <rFont val="Arial"/>
        <sz val="10"/>
      </rPr>
      <t xml:space="preserve"> Питтипэт тәтейдің нәзік жанында: "оның көптеген достары бірнеше апта бойы тауықтың дәмін тата алмай отырғанда, бұл құсты отбасымен бірге жеп рахаттануға бола ма, әлде қонақ шақыруға шешім қабылдауы дұрыс па?" деген күмән пайда болды.
</t>
    </r>
    <r>
      <rPr>
        <rFont val="Arial"/>
        <sz val="10"/>
        <b/>
      </rPr>
      <t>TRANS:</t>
    </r>
    <r>
      <rPr>
        <rFont val="Arial"/>
        <sz val="10"/>
      </rPr>
      <t xml:space="preserve"> Pittipet täteidıñ näzık janynda: "onyñ köptegen dostary bırneşe apta boiy tauyqtyñ dämın tata almai otyrğanda, būl qūsty otbasymen bırge jep rahattanuğa bola ma, älde qonaq şaqyruğa şeşım qabyldauy dūrys pa?" degen kümän paida boldy.
</t>
    </r>
    <r>
      <rPr>
        <rFont val="Arial"/>
        <sz val="10"/>
        <b/>
      </rPr>
      <t>TRANSLATION:</t>
    </r>
    <r>
      <rPr>
        <rFont val="Arial"/>
        <sz val="10"/>
      </rPr>
      <t xml:space="preserve"> In Aunt Pittypat's sensitive soul there arose the doubt: "While many of his friends have not been able to taste chicken for weeks, is it appropriate to enjoy eating this bird with the family — or would it be right to decide on inviting guests?"</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</si>
  <si>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Что-то насчет своей совести.
</t>
    </r>
    <r>
      <rPr>
        <rFont val="Arial"/>
        <sz val="10"/>
        <b/>
      </rPr>
      <t>TRANS:</t>
    </r>
    <r>
      <rPr>
        <rFont val="Arial"/>
        <sz val="10"/>
      </rPr>
      <t xml:space="preserve"> Chto-to naschet svoey sovesti.
</t>
    </r>
    <r>
      <rPr>
        <rFont val="Arial"/>
        <sz val="10"/>
        <b/>
      </rPr>
      <t>TRANSLATION:</t>
    </r>
    <r>
      <rPr>
        <rFont val="Arial"/>
        <sz val="10"/>
      </rPr>
      <t xml:space="preserve"> Something about his conscience.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</si>
  <si>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Өз ұяты туралы ма, бірдеңе.
</t>
    </r>
    <r>
      <rPr>
        <rFont val="Arial"/>
        <sz val="10"/>
        <b/>
      </rPr>
      <t>TRANS:</t>
    </r>
    <r>
      <rPr>
        <rFont val="Arial"/>
        <sz val="10"/>
      </rPr>
      <t xml:space="preserve"> Öz ūiaty turaly ma, bırdeñe.
</t>
    </r>
    <r>
      <rPr>
        <rFont val="Arial"/>
        <sz val="10"/>
        <b/>
      </rPr>
      <t>TRANSLATION:</t>
    </r>
    <r>
      <rPr>
        <rFont val="Arial"/>
        <sz val="10"/>
      </rPr>
      <t xml:space="preserve"> Something about their own shame [conscience], or something like that.</t>
    </r>
  </si>
  <si>
    <r>
      <rPr>
        <rFont val="Arial"/>
        <sz val="10"/>
        <b/>
      </rPr>
      <t>TERM:</t>
    </r>
    <r>
      <rPr>
        <rFont val="Arial"/>
        <sz val="10"/>
      </rPr>
      <t xml:space="preserve"> soznanie (сознание) — consciousness; awareness (here: moral awareness) [ORD]
</t>
    </r>
    <r>
      <rPr>
        <rFont val="Arial"/>
        <sz val="10"/>
        <b/>
      </rPr>
      <t>PASSAGE:</t>
    </r>
    <r>
      <rPr>
        <rFont val="Arial"/>
        <sz val="10"/>
      </rPr>
      <t xml:space="preserve"> не затуманенные слишком развитым сознанием
</t>
    </r>
    <r>
      <rPr>
        <rFont val="Arial"/>
        <sz val="10"/>
        <b/>
      </rPr>
      <t>TRANS:</t>
    </r>
    <r>
      <rPr>
        <rFont val="Arial"/>
        <sz val="10"/>
      </rPr>
      <t xml:space="preserve"> ne zatumanennye slishkom razvitym soznaniem
</t>
    </r>
    <r>
      <rPr>
        <rFont val="Arial"/>
        <sz val="10"/>
        <b/>
      </rPr>
      <t>TRANSLATION:</t>
    </r>
    <r>
      <rPr>
        <rFont val="Arial"/>
        <sz val="10"/>
      </rPr>
      <t xml:space="preserve"> not clouded by an overdeveloped consciousness</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</si>
  <si>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Скарлетт, испытывая легкий укол совести, старалась вспомнить, что же было такого в письмах Эшли, что заставило Мелани сделать подобное заявление, но содержание писем почти мгновенно улетучивалось у нее из головы, как только она кончала читать.
</t>
    </r>
    <r>
      <rPr>
        <rFont val="Arial"/>
        <sz val="10"/>
        <b/>
      </rPr>
      <t>TRANS:</t>
    </r>
    <r>
      <rPr>
        <rFont val="Arial"/>
        <sz val="10"/>
      </rPr>
      <t xml:space="preserve"> Skarlett, ispytyvaya legkiy ukol sovesti, staralas' vspomnit', chto zhe bylo takogo v pis'makh Eshli, chto zastavilo Melani sdelat' podobnoe zayavlenie, no soderzhanie pisem pochti mgnovenno uletuchivalos' u nee iz golovy, kak tol'ko ona konchala chitat'.
</t>
    </r>
    <r>
      <rPr>
        <rFont val="Arial"/>
        <sz val="10"/>
        <b/>
      </rPr>
      <t>TRANSLATION:</t>
    </r>
    <r>
      <rPr>
        <rFont val="Arial"/>
        <sz val="10"/>
      </rPr>
      <t xml:space="preserve"> Scarlett, feeling a slight prick of conscience, tried to recall what was in Ashley's letters that would make Melanie make such a statement, but the contents of the letters almost instantly evaporated from her head as soon as she finished reading.</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</si>
  <si>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Скарлетт аздап ұялыс сезініп, Эшлидің хаттарындағы Меланиді осындай мәлімдеме жасауға итермелеген жолдарды еске түсіруге тырысты, ...
</t>
    </r>
    <r>
      <rPr>
        <rFont val="Arial"/>
        <sz val="10"/>
        <b/>
      </rPr>
      <t>TRANS:</t>
    </r>
    <r>
      <rPr>
        <rFont val="Arial"/>
        <sz val="10"/>
      </rPr>
      <t xml:space="preserve"> Skarlett azdap ūialys sezınıp, Eşlidıñ hattaryndağy Melanidı osyndai mälımdeme jasauğa itermelegen joldardy eske tüsıruge tyrysty, ...
</t>
    </r>
    <r>
      <rPr>
        <rFont val="Arial"/>
        <sz val="10"/>
        <b/>
      </rPr>
      <t>TRANSLATION:</t>
    </r>
    <r>
      <rPr>
        <rFont val="Arial"/>
        <sz val="10"/>
      </rPr>
      <t xml:space="preserve"> Feeling a slight twinge of shame, Scarlett tried to recall the lines in Ashley's letters that had pushed Melanie to make such a statement,...</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</si>
  <si>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Но помимо потрясения от потери мужа, она испытывала еще страх, и раскаяние, и муки внезапно проснувшейся совести.
</t>
    </r>
    <r>
      <rPr>
        <rFont val="Arial"/>
        <sz val="10"/>
        <b/>
      </rPr>
      <t>TRANS:</t>
    </r>
    <r>
      <rPr>
        <rFont val="Arial"/>
        <sz val="10"/>
      </rPr>
      <t xml:space="preserve"> No pomimo potryaseniya ot poteri muzha, ona ispytyvala eshche strakh, i raskayanie, i muki vnezapno prosnuvsheysya sovesti.
</t>
    </r>
    <r>
      <rPr>
        <rFont val="Arial"/>
        <sz val="10"/>
        <b/>
      </rPr>
      <t>TRANSLATION:</t>
    </r>
    <r>
      <rPr>
        <rFont val="Arial"/>
        <sz val="10"/>
      </rPr>
      <t xml:space="preserve"> But besides the shock of losing her husband, she also felt fear, and remorse, and the pangs of suddenly awakened conscience.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</si>
  <si>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Бірақ күйеуінен айырылған қасіреті өз алдында, бойын билеген қорқыныш пен жанын жеген өкініш, бір бүйірден бас көтере қалған ұят қоса қысып барады.
</t>
    </r>
    <r>
      <rPr>
        <rFont val="Arial"/>
        <sz val="10"/>
        <b/>
      </rPr>
      <t>TRANS:</t>
    </r>
    <r>
      <rPr>
        <rFont val="Arial"/>
        <sz val="10"/>
      </rPr>
      <t xml:space="preserve"> Bıraq küieuınen aiyrylğan qasıretı öz aldynda, boiyn bilegen qorqynyş pen janyn jegen ökınış, bır büiırden bas kötere qalğan ūiat qosa qysyp barady.
</t>
    </r>
    <r>
      <rPr>
        <rFont val="Arial"/>
        <sz val="10"/>
        <b/>
      </rPr>
      <t>TRANSLATION:</t>
    </r>
    <r>
      <rPr>
        <rFont val="Arial"/>
        <sz val="10"/>
      </rPr>
      <t xml:space="preserve"> But the grief of losing her husband had its own place; the fear that filled her body, the regret that ate at her soul, and the shame that suddenly raised its head from one side, were all squeezing her along with it.</t>
    </r>
  </si>
  <si>
    <r>
      <rPr>
        <rFont val="Arial"/>
        <sz val="10"/>
        <b/>
      </rPr>
      <t>TERM:</t>
    </r>
    <r>
      <rPr>
        <rFont val="Arial"/>
        <sz val="10"/>
      </rPr>
      <t xml:space="preserve"> sovest' (совесть) — conscience; the inner moral faculty [ORD]
</t>
    </r>
    <r>
      <rPr>
        <rFont val="Arial"/>
        <sz val="10"/>
        <b/>
      </rPr>
      <t>PASSAGE:</t>
    </r>
    <r>
      <rPr>
        <rFont val="Arial"/>
        <sz val="10"/>
      </rPr>
      <t xml:space="preserve"> Вы удивляете меня, Скарлетт, — зачем вам понадобилось сейчас, когда вы уже взрослая, будить в себе совесть.
</t>
    </r>
    <r>
      <rPr>
        <rFont val="Arial"/>
        <sz val="10"/>
        <b/>
      </rPr>
      <t>TRANS:</t>
    </r>
    <r>
      <rPr>
        <rFont val="Arial"/>
        <sz val="10"/>
      </rPr>
      <t xml:space="preserve"> Vy udivlyaete menya, Skarlett, — zachem vam ponadobilos' seychas, kogda vy uzhe vzroslaya, budit' v sebe sovest'.
</t>
    </r>
    <r>
      <rPr>
        <rFont val="Arial"/>
        <sz val="10"/>
        <b/>
      </rPr>
      <t>TRANSLATION:</t>
    </r>
    <r>
      <rPr>
        <rFont val="Arial"/>
        <sz val="10"/>
      </rPr>
      <t xml:space="preserve"> You amaze me, Scarlett — why do you need now, when you are already grown up, to awaken a conscience in yourself?</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</si>
  <si>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Әбден есейген шағыңызда ұятыңызды неге оятып отырсыз?
</t>
    </r>
    <r>
      <rPr>
        <rFont val="Arial"/>
        <sz val="10"/>
        <b/>
      </rPr>
      <t>TRANS:</t>
    </r>
    <r>
      <rPr>
        <rFont val="Arial"/>
        <sz val="10"/>
      </rPr>
      <t xml:space="preserve"> Äbden eseigen şağyñyzda ūiatyñyzdy nege oiatyp otyrsyz?
</t>
    </r>
    <r>
      <rPr>
        <rFont val="Arial"/>
        <sz val="10"/>
        <b/>
      </rPr>
      <t>TRANSLATION:</t>
    </r>
    <r>
      <rPr>
        <rFont val="Arial"/>
        <sz val="10"/>
      </rPr>
      <t xml:space="preserve"> In your fully matured age, why are you waking up your shame?</t>
    </r>
  </si>
  <si>
    <r>
      <rPr>
        <rFont val="Arial"/>
        <sz val="10"/>
        <b/>
      </rPr>
      <t>TERM:</t>
    </r>
    <r>
      <rPr>
        <rFont val="Arial"/>
        <sz val="10"/>
      </rPr>
      <t xml:space="preserve"> sovest' (совесть) — conscience; the inner moral faculty [ORD]
</t>
    </r>
    <r>
      <rPr>
        <rFont val="Arial"/>
        <sz val="10"/>
        <b/>
      </rPr>
      <t>PASSAGE:</t>
    </r>
    <r>
      <rPr>
        <rFont val="Arial"/>
        <sz val="10"/>
      </rPr>
      <t xml:space="preserve"> К такому шагу Скарлетт побуждала совесть, которая хоть и долго молчала, но все еще способна была поднять голос, — совесть истинно верующей католички.
</t>
    </r>
    <r>
      <rPr>
        <rFont val="Arial"/>
        <sz val="10"/>
        <b/>
      </rPr>
      <t>TRANS:</t>
    </r>
    <r>
      <rPr>
        <rFont val="Arial"/>
        <sz val="10"/>
      </rPr>
      <t xml:space="preserve"> K takomu shagu Skarlett pobuzhdala sovest', kotoraya khot' i dolgo molchala, no vse eshche sposobna byla podnyat' golos, — sovest' istinno veruyushchey katolichki.
</t>
    </r>
    <r>
      <rPr>
        <rFont val="Arial"/>
        <sz val="10"/>
        <b/>
      </rPr>
      <t>TRANSLATION:</t>
    </r>
    <r>
      <rPr>
        <rFont val="Arial"/>
        <sz val="10"/>
      </rPr>
      <t xml:space="preserve"> Scarlett was urged to such a step by a conscience that, although it had been silent for a long time, was still capable of raising its voice — the conscience of a true believing Catholic.</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</si>
  <si>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Баяғыдан бері бұғып жатқанымен, ақыры өзінің бар екенін, бас көтеретін уақыты келгенін білдерген ар-ұяты Скарлетті осы қадамға жетелейтін. Жүрегінің түкпірінде шынайы католиктік сенімі:
</t>
    </r>
    <r>
      <rPr>
        <rFont val="Arial"/>
        <sz val="10"/>
        <b/>
      </rPr>
      <t>TRANS:</t>
    </r>
    <r>
      <rPr>
        <rFont val="Arial"/>
        <sz val="10"/>
      </rPr>
      <t xml:space="preserve"> Baiağydan berı būğyp jatqanymen, aqyry özınıñ bar ekenın, bas köteretın uaqyty kelgenın bıldergen ar-ūiaty Skarlettı osy qadamğa jeteleitın. Jüregınıñ tükpırınde şynaiy katoliktık senımı:
</t>
    </r>
    <r>
      <rPr>
        <rFont val="Arial"/>
        <sz val="10"/>
        <b/>
      </rPr>
      <t>TRANSLATION:</t>
    </r>
    <r>
      <rPr>
        <rFont val="Arial"/>
        <sz val="10"/>
      </rPr>
      <t xml:space="preserve"> Although it had been hiding for a long time, conscience — finally signaling its existence and that the time to raise its head had come — was leading Scarlett to this step. In the depths of her heart, her sincere Catholic faith:</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</si>
  <si>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Но вы нравитесь мне безмерно — мне нравится эластичность вашей совести и ваших моральных правил, нравится ваш эгоизм, который вы весьма редко даете себе труд скрывать, нравится ваша крепкая жизненная хватка, унаследованная, боюсь, от какого-то не очень далекого ирландского предка-крестьянина.
</t>
    </r>
    <r>
      <rPr>
        <rFont val="Arial"/>
        <sz val="10"/>
        <b/>
      </rPr>
      <t>TRANS:</t>
    </r>
    <r>
      <rPr>
        <rFont val="Arial"/>
        <sz val="10"/>
      </rPr>
      <t xml:space="preserve"> No vy nravites' mne bezmerno — mne nravitsya elastichnost' vashey sovesti i vashikh moral'nykh pravil, nravitsya vash egoizm, kotoryy vy ves'ma redko daete sebe trud skryvat', nravitsya vasha krepkaya zhiznennaya khvatka, unasledovannaya, boyus', ot kakogo-to ne ochen' dalekogo irlandskogo predka-krest'yanina.
</t>
    </r>
    <r>
      <rPr>
        <rFont val="Arial"/>
        <sz val="10"/>
        <b/>
      </rPr>
      <t>TRANSLATION:</t>
    </r>
    <r>
      <rPr>
        <rFont val="Arial"/>
        <sz val="10"/>
      </rPr>
      <t xml:space="preserve"> But I find you immensely attractive — I like the elasticity of your conscience and your moral rules, I like the egotism that you very rarely take the trouble to conceal, I like your firm grip on life, inherited, I fear, from some not-too-distant Irish peasant ancestor.</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</si>
  <si>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Бірақ сіз маған шексіз ұнайсыз---сіздің ар-ұятыңыз бен адамгершілік ережелеріңіздің икемділігі ұнайды.
</t>
    </r>
    <r>
      <rPr>
        <rFont val="Arial"/>
        <sz val="10"/>
        <b/>
      </rPr>
      <t>TRANS:</t>
    </r>
    <r>
      <rPr>
        <rFont val="Arial"/>
        <sz val="10"/>
      </rPr>
      <t xml:space="preserve"> Bıraq sız mağan şeksız ūnaisyz---sızdıñ ar-ūiatyñyz ben adamgerşılık erejelerıñızdıñ ikemdılıgı ūnaidy.
</t>
    </r>
    <r>
      <rPr>
        <rFont val="Arial"/>
        <sz val="10"/>
        <b/>
      </rPr>
      <t>TRANSLATION:</t>
    </r>
    <r>
      <rPr>
        <rFont val="Arial"/>
        <sz val="10"/>
      </rPr>
      <t xml:space="preserve"> But you appeal to me without measure — I like the elasticity of your conscience and your principles of humanity.</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</si>
  <si>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Хочу дать вам возможность побыть наедине с остатками вашей совести.
</t>
    </r>
    <r>
      <rPr>
        <rFont val="Arial"/>
        <sz val="10"/>
        <b/>
      </rPr>
      <t>TRANS:</t>
    </r>
    <r>
      <rPr>
        <rFont val="Arial"/>
        <sz val="10"/>
      </rPr>
      <t xml:space="preserve"> Khochu dat' vam vozmozhnost' pobyt' naedine s ostatkami vashey sovesti.
</t>
    </r>
    <r>
      <rPr>
        <rFont val="Arial"/>
        <sz val="10"/>
        <b/>
      </rPr>
      <t>TRANSLATION:</t>
    </r>
    <r>
      <rPr>
        <rFont val="Arial"/>
        <sz val="10"/>
      </rPr>
      <t xml:space="preserve"> I want to give you the chance to be alone with what remains of your conscience.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</si>
  <si>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Ұятыңыздан қалғандығымен бірге оңаша болуыңызға мүмкіндік берейін.
</t>
    </r>
    <r>
      <rPr>
        <rFont val="Arial"/>
        <sz val="10"/>
        <b/>
      </rPr>
      <t>TRANS:</t>
    </r>
    <r>
      <rPr>
        <rFont val="Arial"/>
        <sz val="10"/>
      </rPr>
      <t xml:space="preserve"> Ūiatyñyzdan qalğandyğymen bırge oñaşa boluyñyzğa mümkındık bereiın.
</t>
    </r>
    <r>
      <rPr>
        <rFont val="Arial"/>
        <sz val="10"/>
        <b/>
      </rPr>
      <t>TRANSLATION:</t>
    </r>
    <r>
      <rPr>
        <rFont val="Arial"/>
        <sz val="10"/>
      </rPr>
      <t xml:space="preserve"> I will give you the chance to be alone with what is left of your shame.</t>
    </r>
  </si>
  <si>
    <r>
      <rPr>
        <rFont val="Arial"/>
        <sz val="10"/>
        <b/>
      </rPr>
      <t>TERM:</t>
    </r>
    <r>
      <rPr>
        <rFont val="Arial"/>
        <sz val="10"/>
      </rPr>
      <t xml:space="preserve"> sovest' (совесть) — conscience; the inner moral faculty [ORD]
</t>
    </r>
    <r>
      <rPr>
        <rFont val="Arial"/>
        <sz val="10"/>
        <b/>
      </rPr>
      <t>PASSAGE:</t>
    </r>
    <r>
      <rPr>
        <rFont val="Arial"/>
        <sz val="10"/>
      </rPr>
      <t xml:space="preserve"> Под его монотонное, чтение Скарлетт невольно отвлеклась, хотя она знала, что ей сейчас надлежит, как учила ее Эллин, углубиться в себя, допросить свою совесть, вспомнить все проступки, совершенные за день, раскаяться в них и испросить у бога прощения, дабы он даровал ей силы никогда их больше не повторять.
</t>
    </r>
    <r>
      <rPr>
        <rFont val="Arial"/>
        <sz val="10"/>
        <b/>
      </rPr>
      <t>TRANS:</t>
    </r>
    <r>
      <rPr>
        <rFont val="Arial"/>
        <sz val="10"/>
      </rPr>
      <t xml:space="preserve"> Pod ego monotonnoe, chtenie Skarlett nevol'no otvleklas', khotya ona znala, chto ey seychas nadlezhit, kak uchila ee Ellin, uglubit'sya v sebya, doprosit' svoyu sovest', vspomnit' vse prostupki, sovershennye za den', raskayat'sya v nikh i isprosit' u boga proshcheniya, daby on daroval ey sily nikogda ikh bol'she ne povtoryat'.
</t>
    </r>
    <r>
      <rPr>
        <rFont val="Arial"/>
        <sz val="10"/>
        <b/>
      </rPr>
      <t>TRANSLATION:</t>
    </r>
    <r>
      <rPr>
        <rFont val="Arial"/>
        <sz val="10"/>
      </rPr>
      <t xml:space="preserve"> Under his monotonous reading, Scarlett involuntarily became distracted, although she knew that now she ought, as Ellen had taught her, to delve into herself, examine her conscience, recall all the wrongdoings committed during the day, repent of them, and ask God's forgiveness, that He might grant her the strength never to repeat them again.</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</si>
  <si>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Скарлетт Эллин үйреткендей, өз ішіне терең бойлап ар-ұжданын жауапқа тартып, ...
</t>
    </r>
    <r>
      <rPr>
        <rFont val="Arial"/>
        <sz val="10"/>
        <b/>
      </rPr>
      <t>TRANS:</t>
    </r>
    <r>
      <rPr>
        <rFont val="Arial"/>
        <sz val="10"/>
      </rPr>
      <t xml:space="preserve"> Skarlett Elin üiretkendei, öz ışıne tereñ boilap ar-ūjdanyn jauapqa tartyp, ...
</t>
    </r>
    <r>
      <rPr>
        <rFont val="Arial"/>
        <sz val="10"/>
        <b/>
      </rPr>
      <t>TRANSLATION:</t>
    </r>
    <r>
      <rPr>
        <rFont val="Arial"/>
        <sz val="10"/>
      </rPr>
      <t xml:space="preserve"> Scarlett, as Ellen had taught her, plunging deep into herself, putting her conscience to question,...</t>
    </r>
  </si>
  <si>
    <r>
      <rPr>
        <rFont val="Arial"/>
        <sz val="10"/>
        <b/>
      </rPr>
      <t>TERM:</t>
    </r>
    <r>
      <rPr>
        <rFont val="Arial"/>
        <sz val="10"/>
      </rPr>
      <t xml:space="preserve"> sovest' (совесть) — conscience; the inner moral faculty [ORD]
</t>
    </r>
    <r>
      <rPr>
        <rFont val="Arial"/>
        <sz val="10"/>
        <b/>
      </rPr>
      <t>PASSAGE:</t>
    </r>
    <r>
      <rPr>
        <rFont val="Arial"/>
        <sz val="10"/>
      </rPr>
      <t xml:space="preserve"> Никогда не смогу, даже если совесть убьет меня».
</t>
    </r>
    <r>
      <rPr>
        <rFont val="Arial"/>
        <sz val="10"/>
        <b/>
      </rPr>
      <t>TRANS:</t>
    </r>
    <r>
      <rPr>
        <rFont val="Arial"/>
        <sz val="10"/>
      </rPr>
      <t xml:space="preserve"> Nikogda ne smogu, dazhe esli sovest' ub'et menya».
</t>
    </r>
    <r>
      <rPr>
        <rFont val="Arial"/>
        <sz val="10"/>
        <b/>
      </rPr>
      <t>TRANSLATION:</t>
    </r>
    <r>
      <rPr>
        <rFont val="Arial"/>
        <sz val="10"/>
      </rPr>
      <t xml:space="preserve"> Never, even if my conscience kills me.</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</si>
  <si>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"Мұны айта алмайды екенмін, ар-ұятым тұншықтырып өлтірсе де айта алмаймын" деп тұнжырай ойлады Скарлетт.
</t>
    </r>
    <r>
      <rPr>
        <rFont val="Arial"/>
        <sz val="10"/>
        <b/>
      </rPr>
      <t>TRANS:</t>
    </r>
    <r>
      <rPr>
        <rFont val="Arial"/>
        <sz val="10"/>
      </rPr>
      <t xml:space="preserve"> "Mūny aita almaidy ekenmın, ar-ūiatym tūnşyqtyryp öltırse de aita almaimyn" dep tūnjyrai oilady Skarlett.
</t>
    </r>
    <r>
      <rPr>
        <rFont val="Arial"/>
        <sz val="10"/>
        <b/>
      </rPr>
      <t>TRANSLATION:</t>
    </r>
    <r>
      <rPr>
        <rFont val="Arial"/>
        <sz val="10"/>
      </rPr>
      <t xml:space="preserve"> "I cannot say it, even if my conscience should choke and kill me, I cannot say it," thought Scarlett gloomily.</t>
    </r>
  </si>
  <si>
    <r>
      <rPr>
        <rFont val="Arial"/>
        <sz val="10"/>
        <b/>
      </rPr>
      <t>TERM:</t>
    </r>
    <r>
      <rPr>
        <rFont val="Arial"/>
        <sz val="10"/>
      </rPr>
      <t xml:space="preserve"> sovest' (совесть) — conscience; the inner moral faculty [ORD]
</t>
    </r>
    <r>
      <rPr>
        <rFont val="Arial"/>
        <sz val="10"/>
        <b/>
      </rPr>
      <t>PASSAGE:</t>
    </r>
    <r>
      <rPr>
        <rFont val="Arial"/>
        <sz val="10"/>
      </rPr>
      <t xml:space="preserve"> Когда она впервые начала украдкой читать эти письма, ее порядком мучила совесть и охватывал такой страх быть пойманной на месте преступления, что она едва решалась вскрыть дрожащими пальцами конверт.
</t>
    </r>
    <r>
      <rPr>
        <rFont val="Arial"/>
        <sz val="10"/>
        <b/>
      </rPr>
      <t>TRANS:</t>
    </r>
    <r>
      <rPr>
        <rFont val="Arial"/>
        <sz val="10"/>
      </rPr>
      <t xml:space="preserve"> Kogda ona vpervye nachala ukradkoy chitat' eti pis'ma, ee poryadkom muchila sovest' i okhvatyval takoy strakh byt' poymannoy na meste prestupleniya, chto ona edva reshalas' vskryt' drozhashchimi pal'tsami konvert.
</t>
    </r>
    <r>
      <rPr>
        <rFont val="Arial"/>
        <sz val="10"/>
        <b/>
      </rPr>
      <t>TRANSLATION:</t>
    </r>
    <r>
      <rPr>
        <rFont val="Arial"/>
        <sz val="10"/>
      </rPr>
      <t xml:space="preserve"> When she first began secretly to read these letters, her conscience tormented her terribly and such a fear of being caught in the act gripped her that she barely dared open the envelope with trembling fingers.</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</si>
  <si>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Ол бастапқыда ар-ұжданы қинап, өзін қылмыс үстінде ұстап алатындай қорқыныш билеп, саусағы дірілдеп конвертті әрең ашып, хаттарды оқи бастады.
</t>
    </r>
    <r>
      <rPr>
        <rFont val="Arial"/>
        <sz val="10"/>
        <b/>
      </rPr>
      <t>TRANS:</t>
    </r>
    <r>
      <rPr>
        <rFont val="Arial"/>
        <sz val="10"/>
      </rPr>
      <t xml:space="preserve"> Ol bastapqyda ar-ūjdany qinap, özın qylmys üstınde ūstap alatyndai qorqynyş bilep, sausağy dırıldep konverttı äreñ aşyp, hattardy oqi bastady.
</t>
    </r>
    <r>
      <rPr>
        <rFont val="Arial"/>
        <sz val="10"/>
        <b/>
      </rPr>
      <t>TRANSLATION:</t>
    </r>
    <r>
      <rPr>
        <rFont val="Arial"/>
        <sz val="10"/>
      </rPr>
      <t xml:space="preserve"> At first her conscience tormented her, fear gripped her as if she might be caught in the crime, and her fingers trembled as she barely managed to open the envelope and begin reading the letters.</t>
    </r>
  </si>
  <si>
    <r>
      <rPr>
        <rFont val="Arial"/>
        <sz val="10"/>
        <b/>
      </rPr>
      <t>TERM:</t>
    </r>
    <r>
      <rPr>
        <rFont val="Arial"/>
        <sz val="10"/>
      </rPr>
      <t xml:space="preserve"> sovest' (совесть) — conscience; the inner moral faculty [ORD]
</t>
    </r>
    <r>
      <rPr>
        <rFont val="Arial"/>
        <sz val="10"/>
        <b/>
      </rPr>
      <t>PASSAGE:</t>
    </r>
    <r>
      <rPr>
        <rFont val="Arial"/>
        <sz val="10"/>
      </rPr>
      <t xml:space="preserve"> Когда она впервые начала украдкой читать эти письма, ее порядком мучила совесть и охватывал такой страх быть пойманной на месте преступления, что она едва решалась вскрыть дрожащими пальцами конверт.
</t>
    </r>
    <r>
      <rPr>
        <rFont val="Arial"/>
        <sz val="10"/>
        <b/>
      </rPr>
      <t>TRANS:</t>
    </r>
    <r>
      <rPr>
        <rFont val="Arial"/>
        <sz val="10"/>
      </rPr>
      <t xml:space="preserve"> Kogda ona vpervye nachala ukradkoy chitat' eti pis'ma, ee poryadkom muchila sovest' i okhvatyval takoy strakh byt' poymannoy na meste prestupleniya, chto ona edva reshalas' vskryt' drozhashchimi pal'tsami konvert.
</t>
    </r>
    <r>
      <rPr>
        <rFont val="Arial"/>
        <sz val="10"/>
        <b/>
      </rPr>
      <t>TRANSLATION:</t>
    </r>
    <r>
      <rPr>
        <rFont val="Arial"/>
        <sz val="10"/>
      </rPr>
      <t xml:space="preserve"> When she first began secretly to read these letters, her conscience tormented her terribly and such a fear of being caught in the act gripped her that she barely dared open the envelope with trembling fingers.</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</si>
  <si>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Ол бастапқыда ар-ұжданы қинап, өзін қылмыс үстінде ұстап алатындай қорқыныш билеп, саусағы дірілдеп конвертті әрең ашып, хаттарды оқи бастады.
</t>
    </r>
    <r>
      <rPr>
        <rFont val="Arial"/>
        <sz val="10"/>
        <b/>
      </rPr>
      <t>TRANS:</t>
    </r>
    <r>
      <rPr>
        <rFont val="Arial"/>
        <sz val="10"/>
      </rPr>
      <t xml:space="preserve"> Ol bastapqyda ar-ūjdany qinap, özın qylmys üstınde ūstap alatyndai qorqynyş bilep, sausağy dırıldep konverttı äreñ aşyp, hattardy oqi bastady.
</t>
    </r>
    <r>
      <rPr>
        <rFont val="Arial"/>
        <sz val="10"/>
        <b/>
      </rPr>
      <t>TRANSLATION:</t>
    </r>
    <r>
      <rPr>
        <rFont val="Arial"/>
        <sz val="10"/>
      </rPr>
      <t xml:space="preserve"> At first her conscience tormented her, fear gripped her as if she might be caught in the crime, and her fingers trembled as she barely managed to open the envelope and begin reading the letters.</t>
    </r>
  </si>
  <si>
    <r>
      <rPr>
        <rFont val="Arial"/>
        <sz val="10"/>
        <b/>
      </rPr>
      <t>TERM:</t>
    </r>
    <r>
      <rPr>
        <rFont val="Arial"/>
        <sz val="10"/>
      </rPr>
      <t xml:space="preserve"> ugryzeniya sovesti: (угрызения совести:) = pangs of conscience
</t>
    </r>
    <r>
      <rPr>
        <rFont val="Arial"/>
        <sz val="10"/>
        <b/>
      </rPr>
      <t>PASSAGE:</t>
    </r>
    <r>
      <rPr>
        <rFont val="Arial"/>
        <sz val="10"/>
      </rPr>
      <t xml:space="preserve"> Читая эти строки, Скарлетт почувствовала угрызения совести: ведь она уже который месяц не посещала храма.
</t>
    </r>
    <r>
      <rPr>
        <rFont val="Arial"/>
        <sz val="10"/>
        <b/>
      </rPr>
      <t>TRANS:</t>
    </r>
    <r>
      <rPr>
        <rFont val="Arial"/>
        <sz val="10"/>
      </rPr>
      <t xml:space="preserve"> Chitaya eti stroki, Skarlett pochuvstvovala ugryzeniya sovesti: ved' ona uzhe kotoryy mesyats ne poseshchala khrama.
</t>
    </r>
    <r>
      <rPr>
        <rFont val="Arial"/>
        <sz val="10"/>
        <b/>
      </rPr>
      <t>TRANSLATION:</t>
    </r>
    <r>
      <rPr>
        <rFont val="Arial"/>
        <sz val="10"/>
      </rPr>
      <t xml:space="preserve"> Reading these lines, Scarlett felt pangs of conscience: for she had not visited the temple for several months now.</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</si>
  <si>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Бұл жолдарды оқи отырып, Скарлетт ұялып кетті: өйткені ол бірнеше ай бойы ғибадатханаға бармаған болатын.
</t>
    </r>
    <r>
      <rPr>
        <rFont val="Arial"/>
        <sz val="10"/>
        <b/>
      </rPr>
      <t>TRANS:</t>
    </r>
    <r>
      <rPr>
        <rFont val="Arial"/>
        <sz val="10"/>
      </rPr>
      <t xml:space="preserve"> Būl joldardy oqi otyryp, Skarlett ūialyp kettı: öitkenı ol bırneşe ai boiy ğibadathanağa barmağan bolatyn.
</t>
    </r>
    <r>
      <rPr>
        <rFont val="Arial"/>
        <sz val="10"/>
        <b/>
      </rPr>
      <t>TRANSLATION:</t>
    </r>
    <r>
      <rPr>
        <rFont val="Arial"/>
        <sz val="10"/>
      </rPr>
      <t xml:space="preserve"> Reading these lines, Scarlett became ashamed: for she had not gone to the place of worship for several months.</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</si>
  <si>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Когда я сложу голову на алтарь отечества, вам, боюсь, придется испытать легкий укол совести.
</t>
    </r>
    <r>
      <rPr>
        <rFont val="Arial"/>
        <sz val="10"/>
        <b/>
      </rPr>
      <t>TRANS:</t>
    </r>
    <r>
      <rPr>
        <rFont val="Arial"/>
        <sz val="10"/>
      </rPr>
      <t xml:space="preserve"> Kogda ya slozhu golovu na altar' otechestva, vam, boyus', pridetsya ispytat' legkiy ukol sovesti.
</t>
    </r>
    <r>
      <rPr>
        <rFont val="Arial"/>
        <sz val="10"/>
        <b/>
      </rPr>
      <t>TRANSLATION:</t>
    </r>
    <r>
      <rPr>
        <rFont val="Arial"/>
        <sz val="10"/>
      </rPr>
      <t xml:space="preserve"> When I lay my head on the altar of the fatherland, you, I fear, will have to feel a slight prick of conscience.</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</si>
  <si>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Менің басым туған ел үшін құрбан болған кезде, сізді аздап болса да ар-ұжданыңыз мазалайтын шығар деп қорқамын.
</t>
    </r>
    <r>
      <rPr>
        <rFont val="Arial"/>
        <sz val="10"/>
        <b/>
      </rPr>
      <t>TRANS:</t>
    </r>
    <r>
      <rPr>
        <rFont val="Arial"/>
        <sz val="10"/>
      </rPr>
      <t xml:space="preserve"> Menıñ basym tuğan el üşın qūrban bolğan kezde, sızdı azdap bolsa da ar-ūjdanyñyz mazalaityn şyğar dep qorqamyn.
</t>
    </r>
    <r>
      <rPr>
        <rFont val="Arial"/>
        <sz val="10"/>
        <b/>
      </rPr>
      <t>TRANSLATION:</t>
    </r>
    <r>
      <rPr>
        <rFont val="Arial"/>
        <sz val="10"/>
      </rPr>
      <t xml:space="preserve"> When my head is sacrificed for the native land, I fear your conscience may trouble you a little.</t>
    </r>
  </si>
  <si>
    <r>
      <rPr>
        <rFont val="Arial"/>
        <sz val="10"/>
        <b/>
      </rPr>
      <t>TERM:</t>
    </r>
    <r>
      <rPr>
        <rFont val="Arial"/>
        <sz val="10"/>
      </rPr>
      <t xml:space="preserve"> Sovest' (Совесть) — conscience; the inner moral faculty [ORD]
</t>
    </r>
    <r>
      <rPr>
        <rFont val="Arial"/>
        <sz val="10"/>
        <b/>
      </rPr>
      <t>PASSAGE:</t>
    </r>
    <r>
      <rPr>
        <rFont val="Arial"/>
        <sz val="10"/>
      </rPr>
      <t xml:space="preserve"> Совесть заговорила в ней.
</t>
    </r>
    <r>
      <rPr>
        <rFont val="Arial"/>
        <sz val="10"/>
        <b/>
      </rPr>
      <t>TRANS:</t>
    </r>
    <r>
      <rPr>
        <rFont val="Arial"/>
        <sz val="10"/>
      </rPr>
      <t xml:space="preserve"> Sovest' zagovorila v ney.
</t>
    </r>
    <r>
      <rPr>
        <rFont val="Arial"/>
        <sz val="10"/>
        <b/>
      </rPr>
      <t>TRANSLATION:</t>
    </r>
    <r>
      <rPr>
        <rFont val="Arial"/>
        <sz val="10"/>
      </rPr>
      <t xml:space="preserve"> Conscience spoke up in her.</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</si>
  <si>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Ұяты өзімен тілдескендей.
</t>
    </r>
    <r>
      <rPr>
        <rFont val="Arial"/>
        <sz val="10"/>
        <b/>
      </rPr>
      <t>TRANS:</t>
    </r>
    <r>
      <rPr>
        <rFont val="Arial"/>
        <sz val="10"/>
      </rPr>
      <t xml:space="preserve"> Ūiaty özımen tıldeskendei.
</t>
    </r>
    <r>
      <rPr>
        <rFont val="Arial"/>
        <sz val="10"/>
        <b/>
      </rPr>
      <t>TRANSLATION:</t>
    </r>
    <r>
      <rPr>
        <rFont val="Arial"/>
        <sz val="10"/>
      </rPr>
      <t xml:space="preserve"> It was as if her shame began to converse with her.</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</si>
  <si>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Слов Индии Скарлетт не слышала, но то, что она прочла в устремленном на Стюарта взгляде, заставило ее испытать нечто похожее на укол совести.
</t>
    </r>
    <r>
      <rPr>
        <rFont val="Arial"/>
        <sz val="10"/>
        <b/>
      </rPr>
      <t>TRANS:</t>
    </r>
    <r>
      <rPr>
        <rFont val="Arial"/>
        <sz val="10"/>
      </rPr>
      <t xml:space="preserve"> Slov Indii Skarlett ne slyshala, no to, chto ona prochla v ustremlennom na Styuarta vzglyade, zastavilo ee ispytat' nechto pokhozhee na ukol sovesti.
</t>
    </r>
    <r>
      <rPr>
        <rFont val="Arial"/>
        <sz val="10"/>
        <b/>
      </rPr>
      <t>TRANSLATION:</t>
    </r>
    <r>
      <rPr>
        <rFont val="Arial"/>
        <sz val="10"/>
      </rPr>
      <t xml:space="preserve"> Scarlett did not hear India's words, but what she read in the look fixed on Stuart made her experience something like a prick of conscience.</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</si>
  <si>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Скарлетт Индияның не айтқанын естімеді, бірақ оның Стюартқа қадалған көзінен оқыған жазулар мұның ар-ожданына ине сұғып алғандай әсер етті.
</t>
    </r>
    <r>
      <rPr>
        <rFont val="Arial"/>
        <sz val="10"/>
        <b/>
      </rPr>
      <t>TRANS:</t>
    </r>
    <r>
      <rPr>
        <rFont val="Arial"/>
        <sz val="10"/>
      </rPr>
      <t xml:space="preserve"> Skarlett İndianyñ ne aitqanyn estımedı, bıraq onyñ Stüartqa qadalğan közınen oqyğan jazular mūnyñ ar-ojdanyna ine sūğyp alğandai äser ettı.
</t>
    </r>
    <r>
      <rPr>
        <rFont val="Arial"/>
        <sz val="10"/>
        <b/>
      </rPr>
      <t>TRANSLATION:</t>
    </r>
    <r>
      <rPr>
        <rFont val="Arial"/>
        <sz val="10"/>
      </rPr>
      <t xml:space="preserve"> Scarlett did not hear what India said, but the writing she read in her gaze fixed on Stuart had the effect of pricking her conscience with a needle.</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</si>
  <si>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Мысль о том, что она любит чужого мужа и только что тайком прочла его письма, адресованные жене, не потревожила ее совести и не омрачила радости, которую давало ей сознание своей молодости, очарования и окрепшая уверенность в любви Эшли.
</t>
    </r>
    <r>
      <rPr>
        <rFont val="Arial"/>
        <sz val="10"/>
        <b/>
      </rPr>
      <t>TRANS:</t>
    </r>
    <r>
      <rPr>
        <rFont val="Arial"/>
        <sz val="10"/>
      </rPr>
      <t xml:space="preserve"> Mysl' o tom, chto ona lyubit chuzhogo muzha i tol'ko chto taykom prochla ego pis'ma, adresovannye zhene, ne potrevozhila ee sovesti i ne omrachila radosti, kotoruyu davalo ey soznanie svoey molodosti, ocharovaniya i okrepshaya uverennost' v lyubvi Eshli.
</t>
    </r>
    <r>
      <rPr>
        <rFont val="Arial"/>
        <sz val="10"/>
        <b/>
      </rPr>
      <t>TRANSLATION:</t>
    </r>
    <r>
      <rPr>
        <rFont val="Arial"/>
        <sz val="10"/>
      </rPr>
      <t xml:space="preserve"> The thought that she loved another woman's husband and had just secretly read his letters addressed to his wife did not trouble her conscience, nor did it dim the joy that the awareness of her youth, charm, and strengthened conviction in Ashley's love brought her.</t>
    </r>
  </si>
  <si>
    <r>
      <rPr>
        <rFont val="Arial"/>
        <sz val="10"/>
        <b/>
      </rPr>
      <t>TERM:</t>
    </r>
    <r>
      <rPr>
        <rFont val="Arial"/>
        <sz val="10"/>
      </rPr>
      <t xml:space="preserve"> AR (АР) — honour; conscience; inalienable inner moral principle [KED, SZK]
</t>
    </r>
    <r>
      <rPr>
        <rFont val="Arial"/>
        <sz val="10"/>
        <b/>
      </rPr>
      <t>PASSAGE:</t>
    </r>
    <r>
      <rPr>
        <rFont val="Arial"/>
        <sz val="10"/>
      </rPr>
      <t xml:space="preserve"> Өзінің басқа біреудің күйеуін жақсы көріп, жаңа ғана оның әйеліне жазған хаттарын жасырын оқығаны туралы ой оның арын мазаламады және оның жастық санасы, сүйкімділігі мен Эшлидің махаббатына деген сенімін нығайтқан қуаныш өшірмеді.
</t>
    </r>
    <r>
      <rPr>
        <rFont val="Arial"/>
        <sz val="10"/>
        <b/>
      </rPr>
      <t>TRANS:</t>
    </r>
    <r>
      <rPr>
        <rFont val="Arial"/>
        <sz val="10"/>
      </rPr>
      <t xml:space="preserve"> Özınıñ basqa bıreudıñ küieuın jaqsy körıp, jaña ğana onyñ äielıne jazğan hattaryn jasyryn oqyğany turaly oi onyñ aryn mazalamady jäne onyñ jastyq sanasy, süikımdılıgı men Eşlidıñ mahabbatyna degen senımın nyğaitqan quanyş öşırmedı.
</t>
    </r>
    <r>
      <rPr>
        <rFont val="Arial"/>
        <sz val="10"/>
        <b/>
      </rPr>
      <t>TRANSLATION:</t>
    </r>
    <r>
      <rPr>
        <rFont val="Arial"/>
        <sz val="10"/>
      </rPr>
      <t xml:space="preserve"> The thought that she loved someone else's husband and had just secretly read the letters he had written to his wife did not trouble her conscience/honor, nor did it extinguish the joy that her young consciousness, charm, and strengthened belief in Ashley's love had given her.</t>
    </r>
  </si>
  <si>
    <r>
      <rPr>
        <rFont val="Arial"/>
        <sz val="10"/>
        <b/>
      </rPr>
      <t>TERM:</t>
    </r>
    <r>
      <rPr>
        <rFont val="Arial"/>
        <sz val="10"/>
      </rPr>
      <t xml:space="preserve"> KİNÄLY (КІНӘЛЫ) — guilty; at fault [KED, SZK] (lemma: кінәлі)
</t>
    </r>
    <r>
      <rPr>
        <rFont val="Arial"/>
        <sz val="10"/>
        <b/>
      </rPr>
      <t>PASSAGE:</t>
    </r>
    <r>
      <rPr>
        <rFont val="Arial"/>
        <sz val="10"/>
      </rPr>
      <t xml:space="preserve"> Ашығын айтқанда, оның күреңіткен жүзін көргенде сасқалақтап, өзін кінәлі сезінгендіктен де бүгежектей бастады.
</t>
    </r>
    <r>
      <rPr>
        <rFont val="Arial"/>
        <sz val="10"/>
        <b/>
      </rPr>
      <t>TRANS:</t>
    </r>
    <r>
      <rPr>
        <rFont val="Arial"/>
        <sz val="10"/>
      </rPr>
      <t xml:space="preserve"> Aşyğyn aitqanda, onyñ küreñıtken jüzın körgende sasqalaqtap, özın kınälı sezıngendıkten de bügejektei bastady.
</t>
    </r>
    <r>
      <rPr>
        <rFont val="Arial"/>
        <sz val="10"/>
        <b/>
      </rPr>
      <t>TRANSLATION:</t>
    </r>
    <r>
      <rPr>
        <rFont val="Arial"/>
        <sz val="10"/>
      </rPr>
      <t xml:space="preserve"> To tell the truth, when she saw his darkened face, she became flustered and, feeling guilty, began to cower.</t>
    </r>
  </si>
  <si>
    <r>
      <rPr>
        <rFont val="Arial"/>
        <sz val="10"/>
        <b/>
      </rPr>
      <t>TERM:</t>
    </r>
    <r>
      <rPr>
        <rFont val="Arial"/>
        <sz val="10"/>
      </rPr>
      <t xml:space="preserve"> prinizila (принизила) — belittled; disparaged (pf., past fem.) [ORD] (lemma: принизить) Но на совести ее лежал и другой грех — лежал даже более тяжким и страшным грузом, чем его смерть; и этот грех никогда не тревожил ее, пока она не увидела лицо Фрэнка в гробу.
</t>
    </r>
    <r>
      <rPr>
        <rFont val="Arial"/>
        <sz val="10"/>
        <b/>
      </rPr>
      <t>PASSAGE:</t>
    </r>
    <r>
      <rPr>
        <rFont val="Arial"/>
        <sz val="10"/>
      </rPr>
      <t xml:space="preserve"> Но на совести ее лежал и другой грех — лежал даже более тяжким и страшным грузом, чем его смерть; и этот грех никогда не тревожил ее, пока она не увидела лицо Фрэнка в гробу.
</t>
    </r>
    <r>
      <rPr>
        <rFont val="Arial"/>
        <sz val="10"/>
        <b/>
      </rPr>
      <t>TRANS:</t>
    </r>
    <r>
      <rPr>
        <rFont val="Arial"/>
        <sz val="10"/>
      </rPr>
      <t xml:space="preserve"> No na sovesti yeye lezhal i drugoy grekh — lezhal dazhe boleye tyazhkim i strashnym gruzom, chem yego smert'; i etot grekh nikogda ne trevozhil yeye, poka ona ne uvidela litso Frenka v grobu.
</t>
    </r>
    <r>
      <rPr>
        <rFont val="Arial"/>
        <sz val="10"/>
        <b/>
      </rPr>
      <t>TRANSLATION:</t>
    </r>
    <r>
      <rPr>
        <rFont val="Arial"/>
        <sz val="10"/>
      </rPr>
      <t xml:space="preserve"> But upon her conscience there lay also another sin — lay even as a heavier and more terrible burden than his death; and this sin had never troubled her until she saw Frank's face in the coffin.</t>
    </r>
  </si>
  <si>
    <r>
      <rPr>
        <rFont val="Arial"/>
        <sz val="10"/>
        <b/>
      </rPr>
      <t>TERM:</t>
    </r>
    <r>
      <rPr>
        <rFont val="Arial"/>
        <sz val="10"/>
      </rPr>
      <t xml:space="preserve"> ar (ар) — honour; conscience; inalienable inner moral principle [KED, SZK]
</t>
    </r>
    <r>
      <rPr>
        <rFont val="Arial"/>
        <sz val="10"/>
        <b/>
      </rPr>
      <t>PASSAGE:</t>
    </r>
    <r>
      <rPr>
        <rFont val="Arial"/>
        <sz val="10"/>
      </rPr>
      <t xml:space="preserve"> Бірақ оның арына салмақ түсірген бұдан да ауыр қылмысы бар, ауырлығы сондай, күйеуінің өлімінен де сорақы..
</t>
    </r>
    <r>
      <rPr>
        <rFont val="Arial"/>
        <sz val="10"/>
        <b/>
      </rPr>
      <t>TRANS:</t>
    </r>
    <r>
      <rPr>
        <rFont val="Arial"/>
        <sz val="10"/>
      </rPr>
      <t xml:space="preserve"> Bıraq onyñ aryna salmaq tüsırgen būdan da auyr qylmysy bar, auyrlyğy sondai, küieuınıñ ölımınen de soraqy..
</t>
    </r>
    <r>
      <rPr>
        <rFont val="Arial"/>
        <sz val="10"/>
        <b/>
      </rPr>
      <t>TRANSLATION:</t>
    </r>
    <r>
      <rPr>
        <rFont val="Arial"/>
        <sz val="10"/>
      </rPr>
      <t xml:space="preserve"> But upon her conscience there lay an even heavier crime than this; so heavy, more dreadful even than her husband's death...</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</si>
  <si>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Мисс Мелли умрет легко, а вы не облегчите своей совести, если скажете ей про Эшли.
</t>
    </r>
    <r>
      <rPr>
        <rFont val="Arial"/>
        <sz val="10"/>
        <b/>
      </rPr>
      <t>TRANS:</t>
    </r>
    <r>
      <rPr>
        <rFont val="Arial"/>
        <sz val="10"/>
      </rPr>
      <t xml:space="preserve"> Miss Melli umret legko, a vy ne oblegchite svoey sovesti, esli skazhete ey pro Eshli.
</t>
    </r>
    <r>
      <rPr>
        <rFont val="Arial"/>
        <sz val="10"/>
        <b/>
      </rPr>
      <t>TRANSLATION:</t>
    </r>
    <r>
      <rPr>
        <rFont val="Arial"/>
        <sz val="10"/>
      </rPr>
      <t xml:space="preserve"> Miss Melly will die easily, and you will not lighten your conscience if you tell her about Ashley.</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</si>
  <si>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Эшли туралы айтқаннан өз ұятыңыздың жүгін бәрібір жеңілдетпейсіз, Мелли ханым қиналмай кетсін.
</t>
    </r>
    <r>
      <rPr>
        <rFont val="Arial"/>
        <sz val="10"/>
        <b/>
      </rPr>
      <t>TRANS:</t>
    </r>
    <r>
      <rPr>
        <rFont val="Arial"/>
        <sz val="10"/>
      </rPr>
      <t xml:space="preserve"> Eşli turaly aitqannan öz ūiatyñyzdyñ jügın bärıbır jeñıldetpeisız, Melli hanym qinalmai ketsın.
</t>
    </r>
    <r>
      <rPr>
        <rFont val="Arial"/>
        <sz val="10"/>
        <b/>
      </rPr>
      <t>TRANSLATION:</t>
    </r>
    <r>
      <rPr>
        <rFont val="Arial"/>
        <sz val="10"/>
      </rPr>
      <t xml:space="preserve"> You will not lighten the burden on your own shame by telling about Ashley; let Mrs Melly go without suffering.</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</si>
  <si>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А то это лежит у меня на совести.
</t>
    </r>
    <r>
      <rPr>
        <rFont val="Arial"/>
        <sz val="10"/>
        <b/>
      </rPr>
      <t>TRANS:</t>
    </r>
    <r>
      <rPr>
        <rFont val="Arial"/>
        <sz val="10"/>
      </rPr>
      <t xml:space="preserve"> A to eto lezhit u menya na sovesti.
</t>
    </r>
    <r>
      <rPr>
        <rFont val="Arial"/>
        <sz val="10"/>
        <b/>
      </rPr>
      <t>TRANSLATION:</t>
    </r>
    <r>
      <rPr>
        <rFont val="Arial"/>
        <sz val="10"/>
      </rPr>
      <t xml:space="preserve"> Otherwise this lies on my conscience.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</si>
  <si>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Әйтпесе ұятыма салмақ болып жүр еді.
</t>
    </r>
    <r>
      <rPr>
        <rFont val="Arial"/>
        <sz val="10"/>
        <b/>
      </rPr>
      <t>TRANS:</t>
    </r>
    <r>
      <rPr>
        <rFont val="Arial"/>
        <sz val="10"/>
      </rPr>
      <t xml:space="preserve"> Äitpese ūiatyma salmaq bolyp jür edı.
</t>
    </r>
    <r>
      <rPr>
        <rFont val="Arial"/>
        <sz val="10"/>
        <b/>
      </rPr>
      <t>TRANSLATION:</t>
    </r>
    <r>
      <rPr>
        <rFont val="Arial"/>
        <sz val="10"/>
      </rPr>
      <t xml:space="preserve"> Otherwise this is becoming a weight on my conscience.</t>
    </r>
  </si>
  <si>
    <r>
      <rPr>
        <rFont val="Arial"/>
        <sz val="10"/>
        <b/>
      </rPr>
      <t>TERM:</t>
    </r>
    <r>
      <rPr>
        <rFont val="Arial"/>
        <sz val="10"/>
      </rPr>
      <t xml:space="preserve"> ugryzeniy (угрызений) — pangs (gen. pl.) [ORD] (lemma: угрызение)
</t>
    </r>
    <r>
      <rPr>
        <rFont val="Arial"/>
        <sz val="10"/>
        <b/>
      </rPr>
      <t>PASSAGE:</t>
    </r>
    <r>
      <rPr>
        <rFont val="Arial"/>
        <sz val="10"/>
      </rPr>
      <t xml:space="preserve"> Наблюдая за этим, Скарлетт не испытывала угрызений совести — только чувство огромного облегчения оттого, что ей удалось сбежать.
</t>
    </r>
    <r>
      <rPr>
        <rFont val="Arial"/>
        <sz val="10"/>
        <b/>
      </rPr>
      <t>TRANS:</t>
    </r>
    <r>
      <rPr>
        <rFont val="Arial"/>
        <sz val="10"/>
      </rPr>
      <t xml:space="preserve"> Nablyudaya za etim, Skarlett ne ispytyvala ugryzeniy sovesti — tol'ko chuvstvo ogromnogo oblegcheniya ottogo, chto ey udalos' sbezhat'.
</t>
    </r>
    <r>
      <rPr>
        <rFont val="Arial"/>
        <sz val="10"/>
        <b/>
      </rPr>
      <t>TRANSLATION:</t>
    </r>
    <r>
      <rPr>
        <rFont val="Arial"/>
        <sz val="10"/>
      </rPr>
      <t xml:space="preserve"> Watching this, Scarlett felt no pangs of conscience — only a sense of immense relief that she had managed to escape.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</si>
  <si>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Мұны көрген Скарлетт түк те ұялған жоқ
</t>
    </r>
    <r>
      <rPr>
        <rFont val="Arial"/>
        <sz val="10"/>
        <b/>
      </rPr>
      <t>TRANS:</t>
    </r>
    <r>
      <rPr>
        <rFont val="Arial"/>
        <sz val="10"/>
      </rPr>
      <t xml:space="preserve"> Mūny körgen Skarlett tük te ūialğan joq
</t>
    </r>
    <r>
      <rPr>
        <rFont val="Arial"/>
        <sz val="10"/>
        <b/>
      </rPr>
      <t>TRANSLATION:</t>
    </r>
    <r>
      <rPr>
        <rFont val="Arial"/>
        <sz val="10"/>
      </rPr>
      <t xml:space="preserve"> Seeing this, Scarlett felt no shame at all</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</si>
  <si>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То, что Фрэнк — жених Сьюлин, не вызвало у Скарлетт ни малейшего укора совести.
</t>
    </r>
    <r>
      <rPr>
        <rFont val="Arial"/>
        <sz val="10"/>
        <b/>
      </rPr>
      <t>TRANS:</t>
    </r>
    <r>
      <rPr>
        <rFont val="Arial"/>
        <sz val="10"/>
      </rPr>
      <t xml:space="preserve"> To, chto Frenk — zhenikh S'yulin, ne vyzvalo u Skarlett ni maleyshego ukora sovesti.
</t>
    </r>
    <r>
      <rPr>
        <rFont val="Arial"/>
        <sz val="10"/>
        <b/>
      </rPr>
      <t>TRANSLATION:</t>
    </r>
    <r>
      <rPr>
        <rFont val="Arial"/>
        <sz val="10"/>
      </rPr>
      <t xml:space="preserve"> The fact that Frank was Suellen's fiancé did not arouse the slightest reproach of conscience in Scarlett.</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</si>
  <si>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Фрэнк Сьюлиннің күйеу жігіті екені Скарлеттің титімдей де ұятын шақырмады.
</t>
    </r>
    <r>
      <rPr>
        <rFont val="Arial"/>
        <sz val="10"/>
        <b/>
      </rPr>
      <t>TRANS:</t>
    </r>
    <r>
      <rPr>
        <rFont val="Arial"/>
        <sz val="10"/>
      </rPr>
      <t xml:space="preserve"> Frenk Sülinnıñ küieu jıgıtı ekenı Skarlettıñ titımdei de ūiatyn şaqyrmady.
</t>
    </r>
    <r>
      <rPr>
        <rFont val="Arial"/>
        <sz val="10"/>
        <b/>
      </rPr>
      <t>TRANSLATION:</t>
    </r>
    <r>
      <rPr>
        <rFont val="Arial"/>
        <sz val="10"/>
      </rPr>
      <t xml:space="preserve"> That Frank was Suellen's betrothed did not call up the tiniest bit of shame in Scarlett.</t>
    </r>
  </si>
  <si>
    <r>
      <rPr>
        <rFont val="Arial"/>
        <sz val="10"/>
        <b/>
      </rPr>
      <t>TERM:</t>
    </r>
    <r>
      <rPr>
        <rFont val="Arial"/>
        <sz val="10"/>
      </rPr>
      <t xml:space="preserve"> sovest' muchit ne bol'she (совесть мучит не больше) — conscience torments no more [ORD] (lemma: совесть)
</t>
    </r>
    <r>
      <rPr>
        <rFont val="Arial"/>
        <sz val="10"/>
        <b/>
      </rPr>
      <t>PASSAGE:</t>
    </r>
    <r>
      <rPr>
        <rFont val="Arial"/>
        <sz val="10"/>
      </rPr>
      <t xml:space="preserve"> torments her not more) Совесть ведь мучит ее не больше, чем если бы она раздавила таракана.
</t>
    </r>
    <r>
      <rPr>
        <rFont val="Arial"/>
        <sz val="10"/>
        <b/>
      </rPr>
      <t>TRANS:</t>
    </r>
    <r>
      <rPr>
        <rFont val="Arial"/>
        <sz val="10"/>
      </rPr>
      <t xml:space="preserve"> torments her not more) Sovest' ved' muchit ee ne bol'she, chem esli by ona razdavila tarakana.
</t>
    </r>
    <r>
      <rPr>
        <rFont val="Arial"/>
        <sz val="10"/>
        <b/>
      </rPr>
      <t>TRANSLATION:</t>
    </r>
    <r>
      <rPr>
        <rFont val="Arial"/>
        <sz val="10"/>
      </rPr>
      <t xml:space="preserve"> (torments her not more) Her conscience torments her no more than if she had crushed a cockroach.</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</si>
  <si>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Аяғымен байқаусызда жердегі қоңызды басып кету емес қой ол, әрине, ұяты өзін де үнемі қинап жүретін
</t>
    </r>
    <r>
      <rPr>
        <rFont val="Arial"/>
        <sz val="10"/>
        <b/>
      </rPr>
      <t>TRANS:</t>
    </r>
    <r>
      <rPr>
        <rFont val="Arial"/>
        <sz val="10"/>
      </rPr>
      <t xml:space="preserve"> Aiağymen baiqausyzda jerdegı qoñyzdy basyp ketu emes qoi ol, ärine, ūiaty özın de ünemı qinap jüretın
</t>
    </r>
    <r>
      <rPr>
        <rFont val="Arial"/>
        <sz val="10"/>
        <b/>
      </rPr>
      <t>TRANSLATION:</t>
    </r>
    <r>
      <rPr>
        <rFont val="Arial"/>
        <sz val="10"/>
      </rPr>
      <t xml:space="preserve"> Of course, it was not as though she had accidentally stepped on a beetle on the ground — her shame would not constantly torment her either</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</si>
  <si>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Я бы не хотела жить с таким пятном на совести.
</t>
    </r>
    <r>
      <rPr>
        <rFont val="Arial"/>
        <sz val="10"/>
        <b/>
      </rPr>
      <t>TRANS:</t>
    </r>
    <r>
      <rPr>
        <rFont val="Arial"/>
        <sz val="10"/>
      </rPr>
      <t xml:space="preserve"> Ya by ne khotela zhit' s takim pyatnom na sovesti.
</t>
    </r>
    <r>
      <rPr>
        <rFont val="Arial"/>
        <sz val="10"/>
        <b/>
      </rPr>
      <t>TRANSLATION:</t>
    </r>
    <r>
      <rPr>
        <rFont val="Arial"/>
        <sz val="10"/>
      </rPr>
      <t xml:space="preserve"> I would not want to live with such a stain on my conscience.</t>
    </r>
  </si>
  <si>
    <r>
      <rPr>
        <rFont val="Arial"/>
        <sz val="10"/>
        <b/>
      </rPr>
      <t>TERM:</t>
    </r>
    <r>
      <rPr>
        <rFont val="Arial"/>
        <sz val="10"/>
      </rPr>
      <t xml:space="preserve"> AR (АР) — honour; conscience; inalienable inner moral principle [KED, SZK]
</t>
    </r>
    <r>
      <rPr>
        <rFont val="Arial"/>
        <sz val="10"/>
        <b/>
      </rPr>
      <t>PASSAGE:</t>
    </r>
    <r>
      <rPr>
        <rFont val="Arial"/>
        <sz val="10"/>
      </rPr>
      <t xml:space="preserve"> Арыма дақ түсіретін қылмыспен мен еркін өмір сүріп жүре алмас едім.
</t>
    </r>
    <r>
      <rPr>
        <rFont val="Arial"/>
        <sz val="10"/>
        <b/>
      </rPr>
      <t>TRANS:</t>
    </r>
    <r>
      <rPr>
        <rFont val="Arial"/>
        <sz val="10"/>
      </rPr>
      <t xml:space="preserve"> Aryma daq tüsıretın qylmyspen men erkın ömır sürıp jüre almas edım.
</t>
    </r>
    <r>
      <rPr>
        <rFont val="Arial"/>
        <sz val="10"/>
        <b/>
      </rPr>
      <t>TRANSLATION:</t>
    </r>
    <r>
      <rPr>
        <rFont val="Arial"/>
        <sz val="10"/>
      </rPr>
      <t xml:space="preserve"> I could not live freely with a crime that would put a stain on my conscience.</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</si>
  <si>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А кроме того, ложь, которую она сказала Фрэнку, никогда не отягощала ее совести.
</t>
    </r>
    <r>
      <rPr>
        <rFont val="Arial"/>
        <sz val="10"/>
        <b/>
      </rPr>
      <t>TRANS:</t>
    </r>
    <r>
      <rPr>
        <rFont val="Arial"/>
        <sz val="10"/>
      </rPr>
      <t xml:space="preserve"> A krome togo, lozh', kotoruyu ona skazala Frenku, nikogda ne otyagoshchala ee sovesti.
</t>
    </r>
    <r>
      <rPr>
        <rFont val="Arial"/>
        <sz val="10"/>
        <b/>
      </rPr>
      <t>TRANSLATION:</t>
    </r>
    <r>
      <rPr>
        <rFont val="Arial"/>
        <sz val="10"/>
      </rPr>
      <t xml:space="preserve"> Besides, the lie she had told Frank had never weighed on her conscience.</t>
    </r>
  </si>
  <si>
    <r>
      <rPr>
        <rFont val="Arial"/>
        <sz val="10"/>
        <b/>
      </rPr>
      <t>TERM:</t>
    </r>
    <r>
      <rPr>
        <rFont val="Arial"/>
        <sz val="10"/>
      </rPr>
      <t xml:space="preserve"> JÜREK (ЖҮРЕК) — heart (literal and figurative) [KED, SZK]
</t>
    </r>
    <r>
      <rPr>
        <rFont val="Arial"/>
        <sz val="10"/>
        <b/>
      </rPr>
      <t>PASSAGE:</t>
    </r>
    <r>
      <rPr>
        <rFont val="Arial"/>
        <sz val="10"/>
      </rPr>
      <t xml:space="preserve"> Фрэнкке айтқан өтірігі өз жүрегіне ешқашан салмақ салып көрмеген еді.
</t>
    </r>
    <r>
      <rPr>
        <rFont val="Arial"/>
        <sz val="10"/>
        <b/>
      </rPr>
      <t>TRANS:</t>
    </r>
    <r>
      <rPr>
        <rFont val="Arial"/>
        <sz val="10"/>
      </rPr>
      <t xml:space="preserve"> Frenkke aitqan ötırıgı öz jüregıne eşqaşan salmaq salyp körmegen edı.
</t>
    </r>
    <r>
      <rPr>
        <rFont val="Arial"/>
        <sz val="10"/>
        <b/>
      </rPr>
      <t>TRANSLATION:</t>
    </r>
    <r>
      <rPr>
        <rFont val="Arial"/>
        <sz val="10"/>
      </rPr>
      <t xml:space="preserve"> The lie she had told Frank had never weighed on her heart.</t>
    </r>
  </si>
  <si>
    <r>
      <rPr>
        <rFont val="Arial"/>
        <sz val="10"/>
        <b/>
      </rPr>
      <t>TERM:</t>
    </r>
    <r>
      <rPr>
        <rFont val="Arial"/>
        <sz val="10"/>
      </rPr>
      <t xml:space="preserve"> sovest' (совесть) — conscience; the inner moral faculty [ORD]
</t>
    </r>
    <r>
      <rPr>
        <rFont val="Arial"/>
        <sz val="10"/>
        <b/>
      </rPr>
      <t>PASSAGE:</t>
    </r>
    <r>
      <rPr>
        <rFont val="Arial"/>
        <sz val="10"/>
      </rPr>
      <t xml:space="preserve"> Но она уже не раз нарушала принципы Эллин после того далекого дня, когда, стоя в гостиной Тары, решила стать любовницей Ретта, и нельзя сказать, чтобы теперь ее часто мучила из-за этого совесть.
</t>
    </r>
    <r>
      <rPr>
        <rFont val="Arial"/>
        <sz val="10"/>
        <b/>
      </rPr>
      <t>TRANS:</t>
    </r>
    <r>
      <rPr>
        <rFont val="Arial"/>
        <sz val="10"/>
      </rPr>
      <t xml:space="preserve"> No ona uzhe ne raz narushala printsipy Ellin posle togo dalekogo dnya, kogda, stoya v gostinoy Tary, reshila stat' lyubovnitsey Retta, i nel'zya skazat', chtoby teper' ee chasto muchila iz-za etogo sovest'.
</t>
    </r>
    <r>
      <rPr>
        <rFont val="Arial"/>
        <sz val="10"/>
        <b/>
      </rPr>
      <t>TRANSLATION:</t>
    </r>
    <r>
      <rPr>
        <rFont val="Arial"/>
        <sz val="10"/>
      </rPr>
      <t xml:space="preserve"> But she had already broken Ellen's principles more than once since that distant day when, standing in the parlor at Tara, she decided to become Rhett's mistress, and one cannot say that her conscience tormented her much over it any more.</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</si>
  <si>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Бірақ өзі де сол Эллиннің ұстанымдарын Тарадағы қонақ бөлмеде тұрып, Реттің нақсүйері болуға шешім шығарған сәттен бастап, бәлен рет бұзған-ды, содан ба, бұл күндері ар-ұяты ертеректегідей аса көп жанын да қинай бермейді.
</t>
    </r>
    <r>
      <rPr>
        <rFont val="Arial"/>
        <sz val="10"/>
        <b/>
      </rPr>
      <t>TRANS:</t>
    </r>
    <r>
      <rPr>
        <rFont val="Arial"/>
        <sz val="10"/>
      </rPr>
      <t xml:space="preserve"> Bıraq özı de sol Elinnıñ ūstanymdaryn Taradağy qonaq bölmede tūryp, Rettıñ naqsüierı boluğa şeşım şyğarğan sätten bastap, bälen ret būzğan-dy, sodan ba, būl künderı ar-ūiaty erterektegıdei asa köp janyn da qinai bermeidı.
</t>
    </r>
    <r>
      <rPr>
        <rFont val="Arial"/>
        <sz val="10"/>
        <b/>
      </rPr>
      <t>TRANSLATION:</t>
    </r>
    <r>
      <rPr>
        <rFont val="Arial"/>
        <sz val="10"/>
      </rPr>
      <t xml:space="preserve"> But she herself had broken those principles of Ellen's many times since the moment when, standing in the Tara parlor, she resolved to become Rhett's mistress; perhaps because of this, in those days her conscience no longer tormented her soul as much as before.</t>
    </r>
  </si>
  <si>
    <r>
      <rPr>
        <rFont val="Arial"/>
        <sz val="10"/>
        <b/>
      </rPr>
      <t>TERM:</t>
    </r>
    <r>
      <rPr>
        <rFont val="Arial"/>
        <sz val="10"/>
      </rPr>
      <t xml:space="preserve"> sovest' (совесть) — conscience; the inner moral faculty [ORD]
</t>
    </r>
    <r>
      <rPr>
        <rFont val="Arial"/>
        <sz val="10"/>
        <b/>
      </rPr>
      <t>PASSAGE:</t>
    </r>
    <r>
      <rPr>
        <rFont val="Arial"/>
        <sz val="10"/>
      </rPr>
      <t xml:space="preserve"> К великому сожалению, я вынужден признать: совесть не мучила меня при мысли, что я вас бросил.
</t>
    </r>
    <r>
      <rPr>
        <rFont val="Arial"/>
        <sz val="10"/>
        <b/>
      </rPr>
      <t>TRANS:</t>
    </r>
    <r>
      <rPr>
        <rFont val="Arial"/>
        <sz val="10"/>
      </rPr>
      <t xml:space="preserve"> K velikomu sozhaleniyu, ya vynuzhden priznat': sovest' ne muchila menya pri mysli, chto ya vas brosil.
</t>
    </r>
    <r>
      <rPr>
        <rFont val="Arial"/>
        <sz val="10"/>
        <b/>
      </rPr>
      <t>TRANSLATION:</t>
    </r>
    <r>
      <rPr>
        <rFont val="Arial"/>
        <sz val="10"/>
      </rPr>
      <t xml:space="preserve"> To my great regret, I am forced to admit: my conscience did not torment me at the thought that I had abandoned you.</t>
    </r>
  </si>
  <si>
    <r>
      <rPr>
        <rFont val="Arial"/>
        <sz val="10"/>
        <b/>
      </rPr>
      <t>TERM:</t>
    </r>
    <r>
      <rPr>
        <rFont val="Arial"/>
        <sz val="10"/>
      </rPr>
      <t xml:space="preserve"> AR (АР) — honour; conscience; inalienable inner moral principle [KED, SZK]
</t>
    </r>
    <r>
      <rPr>
        <rFont val="Arial"/>
        <sz val="10"/>
        <b/>
      </rPr>
      <t>PASSAGE:</t>
    </r>
    <r>
      <rPr>
        <rFont val="Arial"/>
        <sz val="10"/>
      </rPr>
      <t xml:space="preserve"> Өз арыңыз, ұятыңыз туралы ұмытыңыз, Скарлетт.
</t>
    </r>
    <r>
      <rPr>
        <rFont val="Arial"/>
        <sz val="10"/>
        <b/>
      </rPr>
      <t>TRANS:</t>
    </r>
    <r>
      <rPr>
        <rFont val="Arial"/>
        <sz val="10"/>
      </rPr>
      <t xml:space="preserve"> Öz aryñyz, ūiatyñyz turaly ūmytyñyz, Skarlett.
</t>
    </r>
    <r>
      <rPr>
        <rFont val="Arial"/>
        <sz val="10"/>
        <b/>
      </rPr>
      <t>TRANSLATION:</t>
    </r>
    <r>
      <rPr>
        <rFont val="Arial"/>
        <sz val="10"/>
      </rPr>
      <t xml:space="preserve"> Forget about your ar [conscience] and your shame, Scarlett.</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</si>
  <si>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Забудьте о своей совести, Скарлетт.
</t>
    </r>
    <r>
      <rPr>
        <rFont val="Arial"/>
        <sz val="10"/>
        <b/>
      </rPr>
      <t>TRANS:</t>
    </r>
    <r>
      <rPr>
        <rFont val="Arial"/>
        <sz val="10"/>
      </rPr>
      <t xml:space="preserve"> Zabud'te o svoey sovesti, Skarlett.
</t>
    </r>
    <r>
      <rPr>
        <rFont val="Arial"/>
        <sz val="10"/>
        <b/>
      </rPr>
      <t>TRANSLATION:</t>
    </r>
    <r>
      <rPr>
        <rFont val="Arial"/>
        <sz val="10"/>
      </rPr>
      <t xml:space="preserve"> Forget about your conscience, Scarlett.</t>
    </r>
  </si>
  <si>
    <r>
      <rPr>
        <rFont val="Arial"/>
        <sz val="10"/>
        <b/>
      </rPr>
      <t>TERM:</t>
    </r>
    <r>
      <rPr>
        <rFont val="Arial"/>
        <sz val="10"/>
      </rPr>
      <t xml:space="preserve"> AR (АР) — self-respect; conscience; shame; honor; ŪIAT (ҰЯТ) — conscience; shame; disgrace; sense of shame [KED, SZK]
</t>
    </r>
    <r>
      <rPr>
        <rFont val="Arial"/>
        <sz val="10"/>
        <b/>
      </rPr>
      <t>PASSAGE:</t>
    </r>
    <r>
      <rPr>
        <rFont val="Arial"/>
        <sz val="10"/>
      </rPr>
      <t xml:space="preserve"> Өз арыңыз, ұятыңыз туралы ұмытыңыз, Скарлетт.
</t>
    </r>
    <r>
      <rPr>
        <rFont val="Arial"/>
        <sz val="10"/>
        <b/>
      </rPr>
      <t>TRANS:</t>
    </r>
    <r>
      <rPr>
        <rFont val="Arial"/>
        <sz val="10"/>
      </rPr>
      <t xml:space="preserve"> Öz ar-yñyz, ūiat-yñyz turaly ūmyt-yñyz, Skarlett.
</t>
    </r>
    <r>
      <rPr>
        <rFont val="Arial"/>
        <sz val="10"/>
        <b/>
      </rPr>
      <t>GLOSS:</t>
    </r>
    <r>
      <rPr>
        <rFont val="Arial"/>
        <sz val="10"/>
      </rPr>
      <t xml:space="preserve"> REFL honor/conscience-POSS.2SG.POL shame-POSS.2SG.POL about forget-IMP.2SG.POL Scarlett
</t>
    </r>
    <r>
      <rPr>
        <rFont val="Arial"/>
        <sz val="10"/>
        <b/>
      </rPr>
      <t>TRANSLATION:</t>
    </r>
    <r>
      <rPr>
        <rFont val="Arial"/>
        <sz val="10"/>
      </rPr>
      <t xml:space="preserve"> Forget about your conscience and shame, Scarlett.</t>
    </r>
  </si>
  <si>
    <r>
      <rPr>
        <rFont val="Arial"/>
        <sz val="10"/>
        <b/>
      </rPr>
      <t>TERM:</t>
    </r>
    <r>
      <rPr>
        <rFont val="Arial"/>
        <sz val="10"/>
      </rPr>
      <t xml:space="preserve"> chesti (чести) — honour (gen./dat./prep.) [ORD] (lemma: честь)
</t>
    </r>
    <r>
      <rPr>
        <rFont val="Arial"/>
        <sz val="10"/>
        <b/>
      </rPr>
      <t>PASSAGE:</t>
    </r>
    <r>
      <rPr>
        <rFont val="Arial"/>
        <sz val="10"/>
      </rPr>
      <t xml:space="preserve"> Ничто, — ровным голосом повторил он, — ничто, кроме чести.
</t>
    </r>
    <r>
      <rPr>
        <rFont val="Arial"/>
        <sz val="10"/>
        <b/>
      </rPr>
      <t>TRANS:</t>
    </r>
    <r>
      <rPr>
        <rFont val="Arial"/>
        <sz val="10"/>
      </rPr>
      <t xml:space="preserve"> Nichto, — rovnym golosom povtoril on, — nichto, krome chesti.
</t>
    </r>
    <r>
      <rPr>
        <rFont val="Arial"/>
        <sz val="10"/>
        <b/>
      </rPr>
      <t>TRANSLATION:</t>
    </r>
    <r>
      <rPr>
        <rFont val="Arial"/>
        <sz val="10"/>
      </rPr>
      <t xml:space="preserve"> Nothing, — he repeated in an even voice, — nothing except honor.</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</si>
  <si>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Ештеңе жоқ, - деп қайталады ол да,  - ар-ұяттан басқа ештеңе жоқ.
</t>
    </r>
    <r>
      <rPr>
        <rFont val="Arial"/>
        <sz val="10"/>
        <b/>
      </rPr>
      <t>TRANS:</t>
    </r>
    <r>
      <rPr>
        <rFont val="Arial"/>
        <sz val="10"/>
      </rPr>
      <t xml:space="preserve"> Eşteñe joq, - dep qaitalady ol da,  - ar-ūiattan basqa eşteñe joq.
</t>
    </r>
    <r>
      <rPr>
        <rFont val="Arial"/>
        <sz val="10"/>
        <b/>
      </rPr>
      <t>TRANSLATION:</t>
    </r>
    <r>
      <rPr>
        <rFont val="Arial"/>
        <sz val="10"/>
      </rPr>
      <t xml:space="preserve"> There is nothing, — he repeated, — nothing other than conscience/honor.</t>
    </r>
  </si>
  <si>
    <r>
      <rPr>
        <rFont val="Arial"/>
        <sz val="10"/>
        <b/>
      </rPr>
      <t>TERM:</t>
    </r>
    <r>
      <rPr>
        <rFont val="Arial"/>
        <sz val="10"/>
      </rPr>
      <t xml:space="preserve"> chesti (чести) — honour (gen./dat./prep.) [ORD] (lemma: честь)
</t>
    </r>
    <r>
      <rPr>
        <rFont val="Arial"/>
        <sz val="10"/>
        <b/>
      </rPr>
      <t>PASSAGE:</t>
    </r>
    <r>
      <rPr>
        <rFont val="Arial"/>
        <sz val="10"/>
      </rPr>
      <t xml:space="preserve"> Сознание того, что Эшли, связанный соображениями чести, любит ее на расстоянии за то прекрасное, что глубоко скрыто в ней и что один, только он видит, — это сознание как раз и позволяло ей жить.
</t>
    </r>
    <r>
      <rPr>
        <rFont val="Arial"/>
        <sz val="10"/>
        <b/>
      </rPr>
      <t>TRANS:</t>
    </r>
    <r>
      <rPr>
        <rFont val="Arial"/>
        <sz val="10"/>
      </rPr>
      <t xml:space="preserve"> Soznanie togo, chto Eshli, svyazannyy soobrazheniyami chesti, lyubit ee na rasstoyanii za to prekrasnoe, chto gluboko skryto v ney i chto odin, tol'ko on vidit, — eto soznanie kak raz i pozvolyalo ey zhit'.
</t>
    </r>
    <r>
      <rPr>
        <rFont val="Arial"/>
        <sz val="10"/>
        <b/>
      </rPr>
      <t>TRANSLATION:</t>
    </r>
    <r>
      <rPr>
        <rFont val="Arial"/>
        <sz val="10"/>
      </rPr>
      <t xml:space="preserve"> The awareness that Ashley, bound by considerations of honor, loves her from a distance for the beautiful that is deeply hidden in her, which only he sees — this awareness was precisely what allowed her to live.</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</si>
  <si>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Ар-ождан тазалығын бәрінен биік қойғандықтан да Эшли пәк сезімін ластамас үшін бойын аулақ сала ұстап, мұның тереңге жасырылған асып қасиеттеріне бола жақсы көреді.
</t>
    </r>
    <r>
      <rPr>
        <rFont val="Arial"/>
        <sz val="10"/>
        <b/>
      </rPr>
      <t>TRANS:</t>
    </r>
    <r>
      <rPr>
        <rFont val="Arial"/>
        <sz val="10"/>
      </rPr>
      <t xml:space="preserve"> Ar-ojdan tazalyğyn bärınen biık qoiğandyqtan da Eşli päk sezımın lastamas üşın boiyn aulaq sala ūstap, mūnyñ tereñge jasyrylğan asyp qasietterıne bola jaqsy köredı.
</t>
    </r>
    <r>
      <rPr>
        <rFont val="Arial"/>
        <sz val="10"/>
        <b/>
      </rPr>
      <t>TRANSLATION:</t>
    </r>
    <r>
      <rPr>
        <rFont val="Arial"/>
        <sz val="10"/>
      </rPr>
      <t xml:space="preserve"> Because he placed the purity of his conscience above all, Ashley keeps himself at a distance so as not to soil his pure feeling; he loves her for the noble qualities hidden deep within her.</t>
    </r>
  </si>
  <si>
    <r>
      <rPr>
        <rFont val="Arial"/>
        <sz val="10"/>
        <b/>
      </rPr>
      <t>TERM:</t>
    </r>
    <r>
      <rPr>
        <rFont val="Arial"/>
        <sz val="10"/>
      </rPr>
      <t xml:space="preserve"> chest' (честь) — honour; honor [ORD]
</t>
    </r>
    <r>
      <rPr>
        <rFont val="Arial"/>
        <sz val="10"/>
        <b/>
      </rPr>
      <t>PASSAGE:</t>
    </r>
    <r>
      <rPr>
        <rFont val="Arial"/>
        <sz val="10"/>
      </rPr>
      <t xml:space="preserve"> Зная, что Эшли ставит честь выше жизни, Скарлетт понимала, что он, должно быть, кипит от ярости.
</t>
    </r>
    <r>
      <rPr>
        <rFont val="Arial"/>
        <sz val="10"/>
        <b/>
      </rPr>
      <t>TRANS:</t>
    </r>
    <r>
      <rPr>
        <rFont val="Arial"/>
        <sz val="10"/>
      </rPr>
      <t xml:space="preserve"> Znaya, chto Eshli stavit chest' vyshe zhizni, Skarlett ponimala, chto on, dolzhno byt', kipit ot yarosti.
</t>
    </r>
    <r>
      <rPr>
        <rFont val="Arial"/>
        <sz val="10"/>
        <b/>
      </rPr>
      <t>TRANSLATION:</t>
    </r>
    <r>
      <rPr>
        <rFont val="Arial"/>
        <sz val="10"/>
      </rPr>
      <t xml:space="preserve"> Knowing that Ashley placed honor above life, Scarlett understood that he must be seething with rage.</t>
    </r>
  </si>
  <si>
    <r>
      <rPr>
        <rFont val="Arial"/>
        <sz val="10"/>
        <b/>
      </rPr>
      <t>TERM:</t>
    </r>
    <r>
      <rPr>
        <rFont val="Arial"/>
        <sz val="10"/>
      </rPr>
      <t xml:space="preserve"> AR-NAMYS (АР-НАМЫС) — honour; observable behavioural code (compound) [KED, SZK]
</t>
    </r>
    <r>
      <rPr>
        <rFont val="Arial"/>
        <sz val="10"/>
        <b/>
      </rPr>
      <t>PASSAGE:</t>
    </r>
    <r>
      <rPr>
        <rFont val="Arial"/>
        <sz val="10"/>
      </rPr>
      <t xml:space="preserve"> Эшлидің ар-намысын өмірінен де жоғары қоятынын білген Скарлетт оның ыза мен өкініштен жарылардай боп жүргенін топшылайды.
</t>
    </r>
    <r>
      <rPr>
        <rFont val="Arial"/>
        <sz val="10"/>
        <b/>
      </rPr>
      <t>TRANS:</t>
    </r>
    <r>
      <rPr>
        <rFont val="Arial"/>
        <sz val="10"/>
      </rPr>
      <t xml:space="preserve"> Eşlidıñ ar-namysyn ömırınen de joğary qoiatynyn bılgen Skarlett onyñ yza men ökınışten jarylardai bop jürgenın topşylaidy.
</t>
    </r>
    <r>
      <rPr>
        <rFont val="Arial"/>
        <sz val="10"/>
        <b/>
      </rPr>
      <t>TRANSLATION:</t>
    </r>
    <r>
      <rPr>
        <rFont val="Arial"/>
        <sz val="10"/>
      </rPr>
      <t xml:space="preserve"> Knowing that Ashley places his honor-pride above his very life, Scarlett guesses that he is on the verge of bursting from anger and regret.</t>
    </r>
  </si>
  <si>
    <r>
      <rPr>
        <rFont val="Arial"/>
        <sz val="10"/>
        <b/>
      </rPr>
      <t>TERM:</t>
    </r>
    <r>
      <rPr>
        <rFont val="Arial"/>
        <sz val="10"/>
      </rPr>
      <t xml:space="preserve"> blagorodstvo (благородство) — nobility; nobleness of character [ORD]
</t>
    </r>
    <r>
      <rPr>
        <rFont val="Arial"/>
        <sz val="10"/>
        <b/>
      </rPr>
      <t>PASSAGE:</t>
    </r>
    <r>
      <rPr>
        <rFont val="Arial"/>
        <sz val="10"/>
      </rPr>
      <t xml:space="preserve"> otsutstvie blagorodstva (отсутствие благородства) = nobleness, absence of nobleness Слишком много в ней благородства, чтобы она могла поверить в отсутствие благородства у тех, кого любит.
</t>
    </r>
    <r>
      <rPr>
        <rFont val="Arial"/>
        <sz val="10"/>
        <b/>
      </rPr>
      <t>TRANS:</t>
    </r>
    <r>
      <rPr>
        <rFont val="Arial"/>
        <sz val="10"/>
      </rPr>
      <t xml:space="preserve"> otsutstvie blagorodstva (otsutstvie blagorodstva) = nobleness, absence of nobleness Slishkom mnogo v ney blagorodstva, chtoby ona mogla poverit' v otsutstvie blagorodstva u tekh, kogo lyubit.
</t>
    </r>
    <r>
      <rPr>
        <rFont val="Arial"/>
        <sz val="10"/>
        <b/>
      </rPr>
      <t>TRANSLATION:</t>
    </r>
    <r>
      <rPr>
        <rFont val="Arial"/>
        <sz val="10"/>
      </rPr>
      <t xml:space="preserve"> absence of nobility = There is too much nobility in her for her to be able to believe in the absence of nobility in those whom she loves.</t>
    </r>
  </si>
  <si>
    <r>
      <rPr>
        <rFont val="Arial"/>
        <sz val="10"/>
        <b/>
      </rPr>
      <t>TERM:</t>
    </r>
    <r>
      <rPr>
        <rFont val="Arial"/>
        <sz val="10"/>
      </rPr>
      <t xml:space="preserve"> Janınıñ asıldığı, päktigi (Жанының асылдығы, пәктігі) = the nobility and purity of her soul
</t>
    </r>
    <r>
      <rPr>
        <rFont val="Arial"/>
        <sz val="10"/>
        <b/>
      </rPr>
      <t>PASSAGE:</t>
    </r>
    <r>
      <rPr>
        <rFont val="Arial"/>
        <sz val="10"/>
      </rPr>
      <t xml:space="preserve"> Жанының асылдығы, пәктігі сондай өзі аса қатты жақсы көретін адамының сатқын болуы мүмкін екеніне сене алмайды.
</t>
    </r>
    <r>
      <rPr>
        <rFont val="Arial"/>
        <sz val="10"/>
        <b/>
      </rPr>
      <t>TRANS:</t>
    </r>
    <r>
      <rPr>
        <rFont val="Arial"/>
        <sz val="10"/>
      </rPr>
      <t xml:space="preserve"> Janynyñ asyldyğy, päktıgı sondai özı asa qatty jaqsy köretın adamynyñ satqyn boluy mümkın ekenıne sene almaidy.
</t>
    </r>
    <r>
      <rPr>
        <rFont val="Arial"/>
        <sz val="10"/>
        <b/>
      </rPr>
      <t>TRANSLATION:</t>
    </r>
    <r>
      <rPr>
        <rFont val="Arial"/>
        <sz val="10"/>
      </rPr>
      <t xml:space="preserve"> The nobility, the purity of her soul is such that she cannot believe that the person she loves so very much could be a traitor.</t>
    </r>
  </si>
  <si>
    <r>
      <rPr>
        <rFont val="Arial"/>
        <sz val="10"/>
        <b/>
      </rPr>
      <t>TERM:</t>
    </r>
    <r>
      <rPr>
        <rFont val="Arial"/>
        <sz val="10"/>
      </rPr>
      <t xml:space="preserve"> beschestnyy (бесчестный) — dishonourable; ignoble [ORD]
</t>
    </r>
    <r>
      <rPr>
        <rFont val="Arial"/>
        <sz val="10"/>
        <b/>
      </rPr>
      <t>PASSAGE:</t>
    </r>
    <r>
      <rPr>
        <rFont val="Arial"/>
        <sz val="10"/>
      </rPr>
      <t xml:space="preserve"> Вы бы не допустили, чтобы я совершил бесчестный поступок, а сами продались человеку, которого не любили, и теперь носите под сердцем его ребенка, и все ради того, чтобы я и моя семья не умерли с голоду.
</t>
    </r>
    <r>
      <rPr>
        <rFont val="Arial"/>
        <sz val="10"/>
        <b/>
      </rPr>
      <t>TRANS:</t>
    </r>
    <r>
      <rPr>
        <rFont val="Arial"/>
        <sz val="10"/>
      </rPr>
      <t xml:space="preserve"> Vy by ne dopustili, chtoby ya sovershil beschestnyy postupok, a sami prodalis' cheloveku, kotorogo ne lyubili, i teper' nosite pod serdtsem ego rebenka, i vse radi togo, chtoby ya i moya sem'ya ne umerli s golodu.
</t>
    </r>
    <r>
      <rPr>
        <rFont val="Arial"/>
        <sz val="10"/>
        <b/>
      </rPr>
      <t>TRANSLATION:</t>
    </r>
    <r>
      <rPr>
        <rFont val="Arial"/>
        <sz val="10"/>
      </rPr>
      <t xml:space="preserve"> You would never have allowed me to commit a dishonorable deed, and yet you sold yourself to a man you did not love, and now bear his child beneath your heart, all so that I and my family would not die of starvation.</t>
    </r>
  </si>
  <si>
    <r>
      <rPr>
        <rFont val="Arial"/>
        <sz val="10"/>
        <b/>
      </rPr>
      <t>TERM:</t>
    </r>
    <r>
      <rPr>
        <rFont val="Arial"/>
        <sz val="10"/>
      </rPr>
      <t xml:space="preserve"> ARSYZDYQ (АРСЫЗДЫҚ) - shamelessness
</t>
    </r>
    <r>
      <rPr>
        <rFont val="Arial"/>
        <sz val="10"/>
        <b/>
      </rPr>
      <t>PASSAGE:</t>
    </r>
    <r>
      <rPr>
        <rFont val="Arial"/>
        <sz val="10"/>
      </rPr>
      <t xml:space="preserve"> Мені арсыздыққа қайтсеңіз де жібермес едіңіз, бірақ өзіңізді еш сүймейтін адамға сатып жібердіңіз де, жүрегіңіздің астында соның баласын сақтап жүрсіз.
</t>
    </r>
    <r>
      <rPr>
        <rFont val="Arial"/>
        <sz val="10"/>
        <b/>
      </rPr>
      <t>TRANS:</t>
    </r>
    <r>
      <rPr>
        <rFont val="Arial"/>
        <sz val="10"/>
      </rPr>
      <t xml:space="preserve"> Menı arsyzdyqqa qaitseñız de jıbermes edıñız, bıraq özıñızdı eş süimeitın adamğa satyp jıberdıñız de, jüregıñızdıñ astynda sonyñ balasyn saqtap jürsız.
</t>
    </r>
    <r>
      <rPr>
        <rFont val="Arial"/>
        <sz val="10"/>
        <b/>
      </rPr>
      <t>TRANSLATION:</t>
    </r>
    <r>
      <rPr>
        <rFont val="Arial"/>
        <sz val="10"/>
      </rPr>
      <t xml:space="preserve"> You, no matter what, would not have let me act shamelessly, but you yourself sold yourself off to a man you did not love at all, and now you carry his child beneath your heart.</t>
    </r>
  </si>
  <si>
    <r>
      <rPr>
        <rFont val="Arial"/>
        <sz val="10"/>
        <b/>
      </rPr>
      <t>TERM:</t>
    </r>
    <r>
      <rPr>
        <rFont val="Arial"/>
        <sz val="10"/>
      </rPr>
      <t xml:space="preserve"> poryadochnost' (порядочность) — decency; respectability; integrity [ORD]
</t>
    </r>
    <r>
      <rPr>
        <rFont val="Arial"/>
        <sz val="10"/>
        <b/>
      </rPr>
      <t>PASSAGE:</t>
    </r>
    <r>
      <rPr>
        <rFont val="Arial"/>
        <sz val="10"/>
      </rPr>
      <t xml:space="preserve"> По мало-помалу от частых повторений этой проделки ее не слишком остро развитое чувство порядочности и вовсе притупилось, да и страх сам собой исчез.
</t>
    </r>
    <r>
      <rPr>
        <rFont val="Arial"/>
        <sz val="10"/>
        <b/>
      </rPr>
      <t>TRANS:</t>
    </r>
    <r>
      <rPr>
        <rFont val="Arial"/>
        <sz val="10"/>
      </rPr>
      <t xml:space="preserve"> Po malo-pomalu ot chastykh povtoreniy etoy prodelki ee ne slishkom ostro razvitoe chuvstvo poryadochnosti i vovse pritupilos', da i strakh sam soboy ischez.
</t>
    </r>
    <r>
      <rPr>
        <rFont val="Arial"/>
        <sz val="10"/>
        <b/>
      </rPr>
      <t>TRANSLATION:</t>
    </r>
    <r>
      <rPr>
        <rFont val="Arial"/>
        <sz val="10"/>
      </rPr>
      <t xml:space="preserve"> But little by little, with frequent repetitions of this trick, her not very sharply developed sense of decency was completely dulled, and the fear itself disappeared.</t>
    </r>
  </si>
  <si>
    <r>
      <rPr>
        <rFont val="Arial"/>
        <sz val="10"/>
        <b/>
      </rPr>
      <t>TERM:</t>
    </r>
    <r>
      <rPr>
        <rFont val="Arial"/>
        <sz val="10"/>
      </rPr>
      <t xml:space="preserve">AR-ŪİAT(АР-ҰЯТ) — conscience-shame (compound): the active inner moral faculty [KED, SZK]
</t>
    </r>
    <r>
      <rPr>
        <rFont val="Arial"/>
        <sz val="10"/>
        <b/>
      </rPr>
      <t>PASSAGE:</t>
    </r>
    <r>
      <rPr>
        <rFont val="Arial"/>
        <sz val="10"/>
      </rPr>
      <t xml:space="preserve"> оның ар-ұят, әдептілік сезімі мүлдем өшіп, қорқынышы өзіненөзі жоғалып кетті
</t>
    </r>
    <r>
      <rPr>
        <rFont val="Arial"/>
        <sz val="10"/>
        <b/>
      </rPr>
      <t>TRANS:</t>
    </r>
    <r>
      <rPr>
        <rFont val="Arial"/>
        <sz val="10"/>
      </rPr>
      <t xml:space="preserve"> onyñ ar-ūiat, ädeptılık sezımı müldem öşıp, qorqynyşy özınenözı joğalyp kettı
</t>
    </r>
    <r>
      <rPr>
        <rFont val="Arial"/>
        <sz val="10"/>
        <b/>
      </rPr>
      <t>TRANSLATION:</t>
    </r>
    <r>
      <rPr>
        <rFont val="Arial"/>
        <sz val="10"/>
      </rPr>
      <t xml:space="preserve"> her sense of conscience-shame and propriety was extinguished entirely, and her fear too vanished of itself.</t>
    </r>
  </si>
  <si>
    <r>
      <rPr>
        <rFont val="Arial"/>
        <sz val="10"/>
        <b/>
      </rPr>
      <t>TERM:</t>
    </r>
    <r>
      <rPr>
        <rFont val="Arial"/>
        <sz val="10"/>
      </rPr>
      <t xml:space="preserve"> , chestnoy, pravdivoy (, честной, правдивой) = honest
</t>
    </r>
    <r>
      <rPr>
        <rFont val="Arial"/>
        <sz val="10"/>
        <b/>
      </rPr>
      <t>PASSAGE:</t>
    </r>
    <r>
      <rPr>
        <rFont val="Arial"/>
        <sz val="10"/>
      </rPr>
      <t xml:space="preserve"> уча ее быть доброй, мягкой, уступчивой, честной, правдивой и скромной,
</t>
    </r>
    <r>
      <rPr>
        <rFont val="Arial"/>
        <sz val="10"/>
        <b/>
      </rPr>
      <t>TRANS:</t>
    </r>
    <r>
      <rPr>
        <rFont val="Arial"/>
        <sz val="10"/>
      </rPr>
      <t xml:space="preserve"> ucha ee byt' dobroy, myagkoy, ustupchivoy, chestnoy, pravdivoy i skromnoy,
</t>
    </r>
    <r>
      <rPr>
        <rFont val="Arial"/>
        <sz val="10"/>
        <b/>
      </rPr>
      <t>TRANSLATION:</t>
    </r>
    <r>
      <rPr>
        <rFont val="Arial"/>
        <sz val="10"/>
      </rPr>
      <t xml:space="preserve"> teaching her to be kind, gentle, yielding, honest, truthful, and modest,</t>
    </r>
  </si>
  <si>
    <r>
      <rPr>
        <rFont val="Arial"/>
        <sz val="10"/>
        <b/>
      </rPr>
      <t>TERM:</t>
    </r>
    <r>
      <rPr>
        <rFont val="Arial"/>
        <sz val="10"/>
      </rPr>
      <t xml:space="preserve"> şynşyl, adal, adal (шыншыл, адал) = honest, loyal
</t>
    </r>
    <r>
      <rPr>
        <rFont val="Arial"/>
        <sz val="10"/>
        <b/>
      </rPr>
      <t>PASSAGE:</t>
    </r>
    <r>
      <rPr>
        <rFont val="Arial"/>
        <sz val="10"/>
      </rPr>
      <t xml:space="preserve"> Скарлетт Эллиннің мұны мейірімді, жұмсақ, мойынсұнғыш, шыншыл, адал және қарапайым болуға үйрете отырып, өзінің өлшенген өмірі сияқты алдағы өмірден бейбіт, өзгеріссіз жылдар тізбегін ғана көргенін түсінбеді.
</t>
    </r>
    <r>
      <rPr>
        <rFont val="Arial"/>
        <sz val="10"/>
        <b/>
      </rPr>
      <t>TRANS:</t>
    </r>
    <r>
      <rPr>
        <rFont val="Arial"/>
        <sz val="10"/>
      </rPr>
      <t xml:space="preserve"> Skarlett Elinnıñ mūny meiırımdı, jūmsaq, moiynsūnğyş, şynşyl, adal jäne qarapaiym boluğa üirete otyryp, özınıñ ölşengen ömırı siaqty aldağy ömırden beibıt, özgerıssız jyldar tızbegın ğana körgenın tüsınbedı.
</t>
    </r>
    <r>
      <rPr>
        <rFont val="Arial"/>
        <sz val="10"/>
        <b/>
      </rPr>
      <t>TRANSLATION:</t>
    </r>
    <r>
      <rPr>
        <rFont val="Arial"/>
        <sz val="10"/>
      </rPr>
      <t xml:space="preserve"> Scarlett, while Ellen was teaching her to be kind, gentle, submissive, truthful, honest, and modest, did not understand that, like Ellen's measured life, [Ellen] was seeing only a row of peaceful and unchanging years stretching ahead.</t>
    </r>
  </si>
  <si>
    <r>
      <rPr>
        <rFont val="Arial"/>
        <sz val="10"/>
        <b/>
      </rPr>
      <t>TERM:</t>
    </r>
    <r>
      <rPr>
        <rFont val="Arial"/>
        <sz val="10"/>
      </rPr>
      <t xml:space="preserve"> chesti (чести) — honour (gen./dat./prep.) [ORD] (lemma: честь)
</t>
    </r>
    <r>
      <rPr>
        <rFont val="Arial"/>
        <sz val="10"/>
        <b/>
      </rPr>
      <t>PASSAGE:</t>
    </r>
    <r>
      <rPr>
        <rFont val="Arial"/>
        <sz val="10"/>
      </rPr>
      <t xml:space="preserve"> Она была бы потрясена, она бы ушам своим не поверила и так и сказала бы Скарлетт — мягко, но слова ее жгли бы каленым железом, — сказала бы о чести, и о честности, и о правде, и о долге перед ближними.
</t>
    </r>
    <r>
      <rPr>
        <rFont val="Arial"/>
        <sz val="10"/>
        <b/>
      </rPr>
      <t>TRANS:</t>
    </r>
    <r>
      <rPr>
        <rFont val="Arial"/>
        <sz val="10"/>
      </rPr>
      <t xml:space="preserve"> Ona byla by potryasena, ona by usham svoim ne poverila i tak i skazala by Skarlett — myagko, no slova ee zhgli by kalenym zhelezom, — skazala by o chesti, i o chestnosti, i o pravde, i o dolge pered blizhnimi.
</t>
    </r>
    <r>
      <rPr>
        <rFont val="Arial"/>
        <sz val="10"/>
        <b/>
      </rPr>
      <t>TRANSLATION:</t>
    </r>
    <r>
      <rPr>
        <rFont val="Arial"/>
        <sz val="10"/>
      </rPr>
      <t xml:space="preserve"> She would be shocked, she would not believe her ears and would say so to Scarlett — gently, but her words would burn like a red-hot iron — would speak of honor, and of honesty, and of truth, and of duty toward one's neighbors.</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</si>
  <si>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Алдымен өз құлағына өзі сенбей, көзі шарасынан шыға таңданар еді де, соншалық бәсең, бірақ намысыңа тигенде темірмен етіңді тіліп түскендей үнмен "Скарлетт" дер еді де, ар-ождан туралы, адалдық, шындық, туыс-бауыр алдындағы міндеті туралы айтар еді.
</t>
    </r>
    <r>
      <rPr>
        <rFont val="Arial"/>
        <sz val="10"/>
        <b/>
      </rPr>
      <t>TRANS:</t>
    </r>
    <r>
      <rPr>
        <rFont val="Arial"/>
        <sz val="10"/>
      </rPr>
      <t xml:space="preserve"> Aldymen öz qūlağyna özı senbei, közı şarasynan şyğa tañdanar edı de, sonşalyq bäseñ, bıraq namysyña tigende temırmen etıñdı tılıp tüskendei ünmen "Skarlett" der edı de, ar-ojdan turaly, adaldyq, şyndyq, tuys-bauyr aldyndağy mındetı turaly aitar edı.
</t>
    </r>
    <r>
      <rPr>
        <rFont val="Arial"/>
        <sz val="10"/>
        <b/>
      </rPr>
      <t>TRANSLATION:</t>
    </r>
    <r>
      <rPr>
        <rFont val="Arial"/>
        <sz val="10"/>
      </rPr>
      <t xml:space="preserve"> At first she would hardly believe her own ears and would stare in astonishment with her eyes wide, then say “Scarlett” in a voice so soft yet so cutting it was as if it sliced through your flesh with iron, and then she would speak of conscience, loyalty, truth, and one’s duty to family.</t>
    </r>
  </si>
  <si>
    <r>
      <rPr>
        <rFont val="Arial"/>
        <sz val="10"/>
        <b/>
      </rPr>
      <t>TERM:</t>
    </r>
    <r>
      <rPr>
        <rFont val="Arial"/>
        <sz val="10"/>
      </rPr>
      <t xml:space="preserve"> chestnyy (честный) — honest; honourable [ORD]
</t>
    </r>
    <r>
      <rPr>
        <rFont val="Arial"/>
        <sz val="10"/>
        <b/>
      </rPr>
      <t>PASSAGE:</t>
    </r>
    <r>
      <rPr>
        <rFont val="Arial"/>
        <sz val="10"/>
      </rPr>
      <t xml:space="preserve"> Зная вас, мне, конечно, не следовало ожидать, что вы будете правдивы, порядочны и честны со мной.
</t>
    </r>
    <r>
      <rPr>
        <rFont val="Arial"/>
        <sz val="10"/>
        <b/>
      </rPr>
      <t>TRANS:</t>
    </r>
    <r>
      <rPr>
        <rFont val="Arial"/>
        <sz val="10"/>
      </rPr>
      <t xml:space="preserve"> Znaya vas, mne, konechno, ne sledovalo ozhidat', chto vy budete pravdivy, poryadochny i chestny so mnoy.
</t>
    </r>
    <r>
      <rPr>
        <rFont val="Arial"/>
        <sz val="10"/>
        <b/>
      </rPr>
      <t>TRANSLATION:</t>
    </r>
    <r>
      <rPr>
        <rFont val="Arial"/>
        <sz val="10"/>
      </rPr>
      <t xml:space="preserve"> Knowing you, of course, I should not have expected you to be truthful, decent, and honest with me.</t>
    </r>
  </si>
  <si>
    <r>
      <rPr>
        <rFont val="Arial"/>
        <sz val="10"/>
        <b/>
      </rPr>
      <t>TERM:</t>
    </r>
    <r>
      <rPr>
        <rFont val="Arial"/>
        <sz val="10"/>
      </rPr>
      <t xml:space="preserve"> ADAL (АДАЛ) — honest; faithful; pure; lawful (Arabic ḥalāl) [KED, SZK]
</t>
    </r>
    <r>
      <rPr>
        <rFont val="Arial"/>
        <sz val="10"/>
        <b/>
      </rPr>
      <t>PASSAGE:</t>
    </r>
    <r>
      <rPr>
        <rFont val="Arial"/>
        <sz val="10"/>
      </rPr>
      <t xml:space="preserve"> Сізді бұрыннан танып, біле тұра, менімен барынша адал, бүкпесіз ашық болады деп илануымның өзі қателік екенін білемін.
</t>
    </r>
    <r>
      <rPr>
        <rFont val="Arial"/>
        <sz val="10"/>
        <b/>
      </rPr>
      <t>TRANS:</t>
    </r>
    <r>
      <rPr>
        <rFont val="Arial"/>
        <sz val="10"/>
      </rPr>
      <t xml:space="preserve"> Sızdı būrynnan tanyp, bıle tūra, menımen barynşa adal, bükpesız aşyq bolady dep ilanuymnyñ özı qatelık ekenın bılemın.
</t>
    </r>
    <r>
      <rPr>
        <rFont val="Arial"/>
        <sz val="10"/>
        <b/>
      </rPr>
      <t>TRANSLATION:</t>
    </r>
    <r>
      <rPr>
        <rFont val="Arial"/>
        <sz val="10"/>
      </rPr>
      <t xml:space="preserve"> Knowing you of old, I myself know it was a mistake to believe you would be utterly honest with me, open without concealment.</t>
    </r>
  </si>
  <si>
    <r>
      <rPr>
        <rFont val="Arial"/>
        <sz val="10"/>
        <b/>
      </rPr>
      <t>TERM:</t>
    </r>
    <r>
      <rPr>
        <rFont val="Arial"/>
        <sz val="10"/>
      </rPr>
      <t xml:space="preserve"> chest' (честь) — honour; honor [ORD]
</t>
    </r>
    <r>
      <rPr>
        <rFont val="Arial"/>
        <sz val="10"/>
        <b/>
      </rPr>
      <t>PASSAGE:</t>
    </r>
    <r>
      <rPr>
        <rFont val="Arial"/>
        <sz val="10"/>
      </rPr>
      <t xml:space="preserve"> Гордость, и честь, и правдивость, и целомудрие, и милосердие, — хмуро перечислил он.
</t>
    </r>
    <r>
      <rPr>
        <rFont val="Arial"/>
        <sz val="10"/>
        <b/>
      </rPr>
      <t>TRANS:</t>
    </r>
    <r>
      <rPr>
        <rFont val="Arial"/>
        <sz val="10"/>
      </rPr>
      <t xml:space="preserve"> Gordost', i chest', i pravdivost', i tselomudrie, i miloserdie, — khmuro perechislil on.
</t>
    </r>
    <r>
      <rPr>
        <rFont val="Arial"/>
        <sz val="10"/>
        <b/>
      </rPr>
      <t>TRANSLATION:</t>
    </r>
    <r>
      <rPr>
        <rFont val="Arial"/>
        <sz val="10"/>
      </rPr>
      <t xml:space="preserve"> Pride, and honor, and truthfulness, and chastity, and mercy, — he listed gloomily.</t>
    </r>
  </si>
  <si>
    <r>
      <rPr>
        <rFont val="Arial"/>
        <sz val="10"/>
        <b/>
      </rPr>
      <t>TERM:</t>
    </r>
    <r>
      <rPr>
        <rFont val="Arial"/>
        <sz val="10"/>
      </rPr>
      <t xml:space="preserve"> AR (АР) — honour; conscience; inalienable inner moral principle [KED, SZK]
</t>
    </r>
    <r>
      <rPr>
        <rFont val="Arial"/>
        <sz val="10"/>
        <b/>
      </rPr>
      <t>PASSAGE:</t>
    </r>
    <r>
      <rPr>
        <rFont val="Arial"/>
        <sz val="10"/>
      </rPr>
      <t xml:space="preserve"> Ар, адалдық, шыншылдық, тәкаппарлық, мақсатшылдық, мейірімділік
</t>
    </r>
    <r>
      <rPr>
        <rFont val="Arial"/>
        <sz val="10"/>
        <b/>
      </rPr>
      <t>TRANS:</t>
    </r>
    <r>
      <rPr>
        <rFont val="Arial"/>
        <sz val="10"/>
      </rPr>
      <t xml:space="preserve"> Ar, adaldyq, şynşyldyq, täkapparlyq, maqsatşyldyq, meiırımdılık
</t>
    </r>
    <r>
      <rPr>
        <rFont val="Arial"/>
        <sz val="10"/>
        <b/>
      </rPr>
      <t>TRANSLATION:</t>
    </r>
    <r>
      <rPr>
        <rFont val="Arial"/>
        <sz val="10"/>
      </rPr>
      <t xml:space="preserve"> Conscience, honesty, truthfulness, dignity, purpose, mercy</t>
    </r>
  </si>
  <si>
    <r>
      <rPr>
        <rFont val="Arial"/>
        <sz val="10"/>
        <b/>
      </rPr>
      <t>TERM:</t>
    </r>
    <r>
      <rPr>
        <rFont val="Arial"/>
        <sz val="10"/>
      </rPr>
      <t xml:space="preserve"> chest' (честь) — honour; honor [ORD]
</t>
    </r>
    <r>
      <rPr>
        <rFont val="Arial"/>
        <sz val="10"/>
        <b/>
      </rPr>
      <t>PASSAGE:</t>
    </r>
    <r>
      <rPr>
        <rFont val="Arial"/>
        <sz val="10"/>
      </rPr>
      <t xml:space="preserve"> И боюсь, что когда вы сочтете возможным втянуть обратно в лодку честь, целомудрие и милосердие, которые вышвырнули за борт, вы обнаружите, что они претерпели в воде существенные изменения, причем отнюдь не к лучшему…
</t>
    </r>
    <r>
      <rPr>
        <rFont val="Arial"/>
        <sz val="10"/>
        <b/>
      </rPr>
      <t>TRANS:</t>
    </r>
    <r>
      <rPr>
        <rFont val="Arial"/>
        <sz val="10"/>
      </rPr>
      <t xml:space="preserve"> I boyus', chto kogda vy sochtete vozmozhnym vtyanut' obratno v lodku chest', tselomudrie i miloserdie, kotorye vyshvyrnuli za bort, vy obnaruzhite, chto oni preterpeli v vode sushchestvennye izmeneniya, prichem otnyud' ne k luchshemu…
</t>
    </r>
    <r>
      <rPr>
        <rFont val="Arial"/>
        <sz val="10"/>
        <b/>
      </rPr>
      <t>TRANSLATION:</t>
    </r>
    <r>
      <rPr>
        <rFont val="Arial"/>
        <sz val="10"/>
      </rPr>
      <t xml:space="preserve"> And I fear that when you find it possible to pull back into the boat the honor, chastity, and mercy that you tossed overboard, you will discover that they have undergone substantial changes in the water, and not at all for the better...</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</si>
  <si>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Сіз ар-ұятыңызды, мейірімділік пен адалдығыңызды қайтадан қажетсініп қайыққа тартып алған кезде де, олардың бұрынғы мәнін жойып, суда қалған кездерінде мүлдем танымастай өзгергенін байқайсыз, және жақсы жағына қарай өзгермес...
</t>
    </r>
    <r>
      <rPr>
        <rFont val="Arial"/>
        <sz val="10"/>
        <b/>
      </rPr>
      <t>TRANS:</t>
    </r>
    <r>
      <rPr>
        <rFont val="Arial"/>
        <sz val="10"/>
      </rPr>
      <t xml:space="preserve"> Sız ar-ūiatyñyzdy, meiırımdılık pen adaldyğyñyzdy qaitadan qajetsınıp qaiyqqa tartyp alğan kezde de, olardyñ būrynğy mänın joiyp, suda qalğan kezderınde müldem tanymastai özgergenın baiqaisyz, jäne jaqsy jağyna qarai özgermes...
</t>
    </r>
    <r>
      <rPr>
        <rFont val="Arial"/>
        <sz val="10"/>
        <b/>
      </rPr>
      <t>TRANSLATION:</t>
    </r>
    <r>
      <rPr>
        <rFont val="Arial"/>
        <sz val="10"/>
      </rPr>
      <t xml:space="preserve"> When you again come to need your conscience, your mercy, and your honesty and pull them back into the boat, you will discover that they have lost their original substance and changed beyond recognition while in the water — and not for the better...</t>
    </r>
  </si>
  <si>
    <r>
      <rPr>
        <rFont val="Arial"/>
        <sz val="10"/>
        <b/>
      </rPr>
      <t>TERM:</t>
    </r>
    <r>
      <rPr>
        <rFont val="Arial"/>
        <sz val="10"/>
      </rPr>
      <t xml:space="preserve"> blagorodnyy (благородный) — noble; of noble character [ORD]
</t>
    </r>
    <r>
      <rPr>
        <rFont val="Arial"/>
        <sz val="10"/>
        <b/>
      </rPr>
      <t>PASSAGE:</t>
    </r>
    <r>
      <rPr>
        <rFont val="Arial"/>
        <sz val="10"/>
      </rPr>
      <t xml:space="preserve"> Вам в жизни не понять, какой он благородный, какой гордый!
</t>
    </r>
    <r>
      <rPr>
        <rFont val="Arial"/>
        <sz val="10"/>
        <b/>
      </rPr>
      <t>TRANS:</t>
    </r>
    <r>
      <rPr>
        <rFont val="Arial"/>
        <sz val="10"/>
      </rPr>
      <t xml:space="preserve"> Vam v zhizni ne ponyat', kakoy on blagorodnyy, kakoy gordyy!
</t>
    </r>
    <r>
      <rPr>
        <rFont val="Arial"/>
        <sz val="10"/>
        <b/>
      </rPr>
      <t>TRANSLATION:</t>
    </r>
    <r>
      <rPr>
        <rFont val="Arial"/>
        <sz val="10"/>
      </rPr>
      <t xml:space="preserve"> You will never in your life understand how noble he is, how proud!</t>
    </r>
  </si>
  <si>
    <r>
      <rPr>
        <rFont val="Arial"/>
        <sz val="10"/>
        <b/>
      </rPr>
      <t>TERM:</t>
    </r>
    <r>
      <rPr>
        <rFont val="Arial"/>
        <sz val="10"/>
      </rPr>
      <t xml:space="preserve"> ASYL (АСЫЛ) — noble; precious; intrinsically valuable [KED, SZK]
</t>
    </r>
    <r>
      <rPr>
        <rFont val="Arial"/>
        <sz val="10"/>
        <b/>
      </rPr>
      <t>PASSAGE:</t>
    </r>
    <r>
      <rPr>
        <rFont val="Arial"/>
        <sz val="10"/>
      </rPr>
      <t xml:space="preserve"> Оның қандай жаны асыл, қандай ар-ұятты биік қоятын адам екенін мәңгі түсінбей өтесіз!
</t>
    </r>
    <r>
      <rPr>
        <rFont val="Arial"/>
        <sz val="10"/>
        <b/>
      </rPr>
      <t>TRANS:</t>
    </r>
    <r>
      <rPr>
        <rFont val="Arial"/>
        <sz val="10"/>
      </rPr>
      <t xml:space="preserve"> Onyñ qandai jany asyl, qandai ar-ūiatty biık qoiatyn adam ekenın mäñgı tüsınbei ötesız!
</t>
    </r>
    <r>
      <rPr>
        <rFont val="Arial"/>
        <sz val="10"/>
        <b/>
      </rPr>
      <t>TRANSLATION:</t>
    </r>
    <r>
      <rPr>
        <rFont val="Arial"/>
        <sz val="10"/>
      </rPr>
      <t xml:space="preserve"> You will never understand all your life what kind of soul he is — how nobly elevated, how high he holds his conscience!</t>
    </r>
  </si>
  <si>
    <r>
      <rPr>
        <rFont val="Arial"/>
        <sz val="10"/>
        <b/>
      </rPr>
      <t>TERM:</t>
    </r>
    <r>
      <rPr>
        <rFont val="Arial"/>
        <sz val="10"/>
      </rPr>
      <t xml:space="preserve"> uvazhayushchiy sebya (уважающий себя) — self-respecting (lit. respecting oneself) [ORD] (lemma: уважать)
</t>
    </r>
    <r>
      <rPr>
        <rFont val="Arial"/>
        <sz val="10"/>
        <b/>
      </rPr>
      <t>PASSAGE:</t>
    </r>
    <r>
      <rPr>
        <rFont val="Arial"/>
        <sz val="10"/>
      </rPr>
      <t xml:space="preserve"> Он человек, уважающий себя, совестливый!
</t>
    </r>
    <r>
      <rPr>
        <rFont val="Arial"/>
        <sz val="10"/>
        <b/>
      </rPr>
      <t>TRANS:</t>
    </r>
    <r>
      <rPr>
        <rFont val="Arial"/>
        <sz val="10"/>
      </rPr>
      <t xml:space="preserve"> On chelovek, uvazhayushchiy sebya, sovestlivyy!
</t>
    </r>
    <r>
      <rPr>
        <rFont val="Arial"/>
        <sz val="10"/>
        <b/>
      </rPr>
      <t>TRANSLATION:</t>
    </r>
    <r>
      <rPr>
        <rFont val="Arial"/>
        <sz val="10"/>
      </rPr>
      <t xml:space="preserve"> He is a man who respects himself, conscientious!</t>
    </r>
  </si>
  <si>
    <r>
      <rPr>
        <rFont val="Arial"/>
        <sz val="10"/>
        <b/>
      </rPr>
      <t>TERM:</t>
    </r>
    <r>
      <rPr>
        <rFont val="Arial"/>
        <sz val="10"/>
      </rPr>
      <t xml:space="preserve"> qūrmetti (ҚҰРМЕТTІ) = құрмет respected, honourable
</t>
    </r>
    <r>
      <rPr>
        <rFont val="Arial"/>
        <sz val="10"/>
        <b/>
      </rPr>
      <t>PASSAGE:</t>
    </r>
    <r>
      <rPr>
        <rFont val="Arial"/>
        <sz val="10"/>
      </rPr>
      <t xml:space="preserve"> Ол - өзін құрметтейтін, ұяты бар адам.
</t>
    </r>
    <r>
      <rPr>
        <rFont val="Arial"/>
        <sz val="10"/>
        <b/>
      </rPr>
      <t>TRANS:</t>
    </r>
    <r>
      <rPr>
        <rFont val="Arial"/>
        <sz val="10"/>
      </rPr>
      <t xml:space="preserve"> Ol - özın qūrmetteitın, ūiaty bar adam.
</t>
    </r>
    <r>
      <rPr>
        <rFont val="Arial"/>
        <sz val="10"/>
        <b/>
      </rPr>
      <t>TRANSLATION:</t>
    </r>
    <r>
      <rPr>
        <rFont val="Arial"/>
        <sz val="10"/>
      </rPr>
      <t xml:space="preserve"> He is a man who respects himself, who has conscience.</t>
    </r>
  </si>
  <si>
    <r>
      <rPr>
        <rFont val="Arial"/>
        <sz val="10"/>
        <b/>
      </rPr>
      <t>TERM:</t>
    </r>
    <r>
      <rPr>
        <rFont val="Arial"/>
        <sz val="10"/>
      </rPr>
      <t xml:space="preserve"> uvazhayushchiy sebya (уважающий себя) — self-respecting (lit. respecting oneself) [ORD] (lemma: уважать)
</t>
    </r>
    <r>
      <rPr>
        <rFont val="Arial"/>
        <sz val="10"/>
        <b/>
      </rPr>
      <t>PASSAGE:</t>
    </r>
    <r>
      <rPr>
        <rFont val="Arial"/>
        <sz val="10"/>
      </rPr>
      <t xml:space="preserve"> Но не настолько уважающий себя и не настолько совестливый, чтобы отказаться от помощи и денег женщины.
</t>
    </r>
    <r>
      <rPr>
        <rFont val="Arial"/>
        <sz val="10"/>
        <b/>
      </rPr>
      <t>TRANS:</t>
    </r>
    <r>
      <rPr>
        <rFont val="Arial"/>
        <sz val="10"/>
      </rPr>
      <t xml:space="preserve"> No ne nastol'ko uvazhayushchiy sebya i ne nastol'ko sovestlivyy, chtoby otkazat'sya ot pomoshchi i deneg zhenshchiny.
</t>
    </r>
    <r>
      <rPr>
        <rFont val="Arial"/>
        <sz val="10"/>
        <b/>
      </rPr>
      <t>TRANSLATION:</t>
    </r>
    <r>
      <rPr>
        <rFont val="Arial"/>
        <sz val="10"/>
      </rPr>
      <t xml:space="preserve"> But not so self-respecting and not so conscientious as to refuse a woman's help and money.</t>
    </r>
  </si>
  <si>
    <r>
      <rPr>
        <rFont val="Arial"/>
        <sz val="10"/>
        <b/>
      </rPr>
      <t>TERM:</t>
    </r>
    <r>
      <rPr>
        <rFont val="Arial"/>
        <sz val="10"/>
      </rPr>
      <t xml:space="preserve"> QŪRMETTI (ҚҰРМЕТTІ) = құрмет respected, honourable
</t>
    </r>
    <r>
      <rPr>
        <rFont val="Arial"/>
        <sz val="10"/>
        <b/>
      </rPr>
      <t>PASSAGE:</t>
    </r>
    <r>
      <rPr>
        <rFont val="Arial"/>
        <sz val="10"/>
      </rPr>
      <t xml:space="preserve"> Дегенмен әйелдің ақшасы мен көмегінен бас тартпайтынына қарағанда, соншалық құрметті, соншалық ұятты емес те сияқты ғой.
</t>
    </r>
    <r>
      <rPr>
        <rFont val="Arial"/>
        <sz val="10"/>
        <b/>
      </rPr>
      <t>TRANS:</t>
    </r>
    <r>
      <rPr>
        <rFont val="Arial"/>
        <sz val="10"/>
      </rPr>
      <t xml:space="preserve"> Degenmen äieldıñ aqşasy men kömegınen bas tartpaitynyna qarağanda, sonşalyq qūrmettı, sonşalyq ūiatty emes te siaqty ğoi.
</t>
    </r>
    <r>
      <rPr>
        <rFont val="Arial"/>
        <sz val="10"/>
        <b/>
      </rPr>
      <t>TRANSLATION:</t>
    </r>
    <r>
      <rPr>
        <rFont val="Arial"/>
        <sz val="10"/>
      </rPr>
      <t xml:space="preserve">  And yet, since he did not refuse the woman’s money or assistance, he did not seem quite so honorable—or so shameful after all.</t>
    </r>
  </si>
  <si>
    <r>
      <rPr>
        <rFont val="Arial"/>
        <sz val="10"/>
        <b/>
      </rPr>
      <t>TERM:</t>
    </r>
    <r>
      <rPr>
        <rFont val="Arial"/>
        <sz val="10"/>
      </rPr>
      <t xml:space="preserve"> blagorodnyy (благородный) — noble; of noble character [ORD]
</t>
    </r>
    <r>
      <rPr>
        <rFont val="Arial"/>
        <sz val="10"/>
        <b/>
      </rPr>
      <t>PASSAGE:</t>
    </r>
    <r>
      <rPr>
        <rFont val="Arial"/>
        <sz val="10"/>
      </rPr>
      <t xml:space="preserve"> Эшли ведь такой благородный, такой правдивый, такой добрый, и он видит все так ясно, без прикрас.
</t>
    </r>
    <r>
      <rPr>
        <rFont val="Arial"/>
        <sz val="10"/>
        <b/>
      </rPr>
      <t>TRANS:</t>
    </r>
    <r>
      <rPr>
        <rFont val="Arial"/>
        <sz val="10"/>
      </rPr>
      <t xml:space="preserve"> Eshli ved' takoy blagorodnyy, takoy pravdivyy, takoy dobryy, i on vidit vse tak yasno, bez prikras.
</t>
    </r>
    <r>
      <rPr>
        <rFont val="Arial"/>
        <sz val="10"/>
        <b/>
      </rPr>
      <t>TRANSLATION:</t>
    </r>
    <r>
      <rPr>
        <rFont val="Arial"/>
        <sz val="10"/>
      </rPr>
      <t xml:space="preserve"> Ashley is so noble, so truthful, so kind, and he sees everything so clearly, without embellishment.</t>
    </r>
  </si>
  <si>
    <r>
      <rPr>
        <rFont val="Arial"/>
        <sz val="10"/>
        <b/>
      </rPr>
      <t>TERM:</t>
    </r>
    <r>
      <rPr>
        <rFont val="Arial"/>
        <sz val="10"/>
      </rPr>
      <t xml:space="preserve"> keñpeiıl (кеңпейіл) = ‘broad-souled’ (noble) 
</t>
    </r>
    <r>
      <rPr>
        <rFont val="Arial"/>
        <sz val="10"/>
        <b/>
      </rPr>
      <t>PASSAGE:</t>
    </r>
    <r>
      <rPr>
        <rFont val="Arial"/>
        <sz val="10"/>
      </rPr>
      <t xml:space="preserve"> Ол сондай кеңпейіл, сондай шыншыл, сондай қамқор, мейірімді, бәрін жақсы ашық көңілмен қабылдайды.
</t>
    </r>
    <r>
      <rPr>
        <rFont val="Arial"/>
        <sz val="10"/>
        <b/>
      </rPr>
      <t>TRANS:</t>
    </r>
    <r>
      <rPr>
        <rFont val="Arial"/>
        <sz val="10"/>
      </rPr>
      <t xml:space="preserve"> Ol sondai keñpeiıl, sondai şynşyl, sondai qamqor, meiırımdı, bärın jaqsy aşyq köñılmen qabyldaidy.
</t>
    </r>
    <r>
      <rPr>
        <rFont val="Arial"/>
        <sz val="10"/>
        <b/>
      </rPr>
      <t>TRANSLATION:</t>
    </r>
    <r>
      <rPr>
        <rFont val="Arial"/>
        <sz val="10"/>
      </rPr>
      <t xml:space="preserve"> He is so broad-souled, so truthful, so caring, so merciful — he accepts everything with an open and clear heart.</t>
    </r>
  </si>
  <si>
    <r>
      <rPr>
        <rFont val="Arial"/>
        <sz val="10"/>
        <b/>
      </rPr>
      <t>TERM:</t>
    </r>
    <r>
      <rPr>
        <rFont val="Arial"/>
        <sz val="10"/>
      </rPr>
      <t xml:space="preserve"> poryadochnost' (порядочность) — decency; respectability; integrity [ORD]
</t>
    </r>
    <r>
      <rPr>
        <rFont val="Arial"/>
        <sz val="10"/>
        <b/>
      </rPr>
      <t>PASSAGE:</t>
    </r>
    <r>
      <rPr>
        <rFont val="Arial"/>
        <sz val="10"/>
      </rPr>
      <t xml:space="preserve"> к тому же ей вовсе не хотелось обсуждать Эшли и его порядочность.
</t>
    </r>
    <r>
      <rPr>
        <rFont val="Arial"/>
        <sz val="10"/>
        <b/>
      </rPr>
      <t>TRANS:</t>
    </r>
    <r>
      <rPr>
        <rFont val="Arial"/>
        <sz val="10"/>
      </rPr>
      <t xml:space="preserve"> k tomu zhe ey vovse ne khotelos' obsuzhdat' Eshli i ego poryadochnost'.
</t>
    </r>
    <r>
      <rPr>
        <rFont val="Arial"/>
        <sz val="10"/>
        <b/>
      </rPr>
      <t>TRANSLATION:</t>
    </r>
    <r>
      <rPr>
        <rFont val="Arial"/>
        <sz val="10"/>
      </rPr>
      <t xml:space="preserve"> besides, she did not at all want to discuss Ashley and his decency.</t>
    </r>
  </si>
  <si>
    <r>
      <rPr>
        <rFont val="Arial"/>
        <sz val="10"/>
        <b/>
      </rPr>
      <t>TERM:</t>
    </r>
    <r>
      <rPr>
        <rFont val="Arial"/>
        <sz val="10"/>
      </rPr>
      <t xml:space="preserve"> ÄDEPTILIK (ӘДЕПТІЛІК) — politeness; decency; propriety [KED, SZK]
</t>
    </r>
    <r>
      <rPr>
        <rFont val="Arial"/>
        <sz val="10"/>
        <b/>
      </rPr>
      <t>PASSAGE:</t>
    </r>
    <r>
      <rPr>
        <rFont val="Arial"/>
        <sz val="10"/>
      </rPr>
      <t xml:space="preserve"> Бұрын да өзімшіл екенін бетіне басып, өкпелететін кездеріндей қиналып кетті де, Эшлидің әдептілігі туралы да сөз қозғатқысы келмеді.
</t>
    </r>
    <r>
      <rPr>
        <rFont val="Arial"/>
        <sz val="10"/>
        <b/>
      </rPr>
      <t>TRANS:</t>
    </r>
    <r>
      <rPr>
        <rFont val="Arial"/>
        <sz val="10"/>
      </rPr>
      <t xml:space="preserve"> Būryn da özımşıl ekenın betıne basyp, ökpeletetın kezderındei qinalyp kettı de, Eşlidıñ ädeptılıgı turaly da söz qozğatqysy kelmedı.
</t>
    </r>
    <r>
      <rPr>
        <rFont val="Arial"/>
        <sz val="10"/>
        <b/>
      </rPr>
      <t>TRANSLATION:</t>
    </r>
    <r>
      <rPr>
        <rFont val="Arial"/>
        <sz val="10"/>
      </rPr>
      <t xml:space="preserve"> As before when he had thrown her self-centeredness in her face, she felt distressed, and did not want to bring up Ashley's decency for discussion either.</t>
    </r>
  </si>
  <si>
    <r>
      <rPr>
        <rFont val="Arial"/>
        <sz val="10"/>
        <b/>
      </rPr>
      <t>TERM:</t>
    </r>
    <r>
      <rPr>
        <rFont val="Arial"/>
        <sz val="10"/>
      </rPr>
      <t xml:space="preserve"> chest' (честь) — honour; honor [ORD]
</t>
    </r>
    <r>
      <rPr>
        <rFont val="Arial"/>
        <sz val="10"/>
        <b/>
      </rPr>
      <t>PASSAGE:</t>
    </r>
    <r>
      <rPr>
        <rFont val="Arial"/>
        <sz val="10"/>
      </rPr>
      <t xml:space="preserve"> Мне сорок пять лет, и в этом возрасте человек начинает ценить то, что он так легко отбрасывал в юности: свой клан, свою семью, свою честь и безопасность, корни, уходящие глубоко…
</t>
    </r>
    <r>
      <rPr>
        <rFont val="Arial"/>
        <sz val="10"/>
        <b/>
      </rPr>
      <t>TRANS:</t>
    </r>
    <r>
      <rPr>
        <rFont val="Arial"/>
        <sz val="10"/>
      </rPr>
      <t xml:space="preserve"> Mne sorok pyat' let, i v etom vozraste chelovek nachinaet tsenit' to, chto on tak legko otbrasyval v yunosti: svoy klan, svoyu sem'yu, svoyu chest' i bezopasnost', korni, ukhodyashchie gluboko…
</t>
    </r>
    <r>
      <rPr>
        <rFont val="Arial"/>
        <sz val="10"/>
        <b/>
      </rPr>
      <t>TRANSLATION:</t>
    </r>
    <r>
      <rPr>
        <rFont val="Arial"/>
        <sz val="10"/>
      </rPr>
      <t xml:space="preserve"> I am forty-five years old, and at this age a person begins to value what he so easily cast aside in his youth: his clan, his family, his honor and security, roots that go deep...</t>
    </r>
  </si>
  <si>
    <r>
      <rPr>
        <rFont val="Arial"/>
        <sz val="10"/>
        <b/>
      </rPr>
      <t>TERM:</t>
    </r>
    <r>
      <rPr>
        <rFont val="Arial"/>
        <sz val="10"/>
      </rPr>
      <t xml:space="preserve"> AR-NAMYS (АР-НАМЫС) — honour; observable behavioural code (compound) [KED, SZK]
</t>
    </r>
    <r>
      <rPr>
        <rFont val="Arial"/>
        <sz val="10"/>
        <b/>
      </rPr>
      <t>PASSAGE:</t>
    </r>
    <r>
      <rPr>
        <rFont val="Arial"/>
        <sz val="10"/>
      </rPr>
      <t xml:space="preserve"> Менің жасым қырық беске келіпті, бұл адамның жас кезінде қолын бір сілтеп, керек қылмай кеткен нәрселерін - отбасын, ар-намысын, қауіпсіздігін, түп-тамырын бағалайтын, қадірлейтін тұсы!
</t>
    </r>
    <r>
      <rPr>
        <rFont val="Arial"/>
        <sz val="10"/>
        <b/>
      </rPr>
      <t>TRANS:</t>
    </r>
    <r>
      <rPr>
        <rFont val="Arial"/>
        <sz val="10"/>
      </rPr>
      <t xml:space="preserve"> Menıñ jasym qyryq beske kelıptı, būl adamnyñ jas kezınde qolyn bır sıltep, kerek qylmai ketken närselerın - otbasyn, ar-namysyn, qauıpsızdıgın, tüp-tamyryn bağalaityn, qadırleitın tūsy!
</t>
    </r>
    <r>
      <rPr>
        <rFont val="Arial"/>
        <sz val="10"/>
        <b/>
      </rPr>
      <t>TRANSLATION:</t>
    </r>
    <r>
      <rPr>
        <rFont val="Arial"/>
        <sz val="10"/>
      </rPr>
      <t xml:space="preserve"> I am forty-five years old now — this is the age when a person begins to value and treasure the things he so easily cast aside in his youth: family, honor-pride, security, deep roots!</t>
    </r>
  </si>
  <si>
    <r>
      <rPr>
        <rFont val="Arial"/>
        <sz val="10"/>
        <b/>
      </rPr>
      <t>TERM:</t>
    </r>
    <r>
      <rPr>
        <rFont val="Arial"/>
        <sz val="10"/>
      </rPr>
      <t xml:space="preserve"> beschestnaya (бесчестная) — dishonourable (adj. fem.) [ORD] (lemma: бесчестный)
</t>
    </r>
    <r>
      <rPr>
        <rFont val="Arial"/>
        <sz val="10"/>
        <b/>
      </rPr>
      <t>PASSAGE:</t>
    </r>
    <r>
      <rPr>
        <rFont val="Arial"/>
        <sz val="10"/>
      </rPr>
      <t xml:space="preserve"> Вы бесчестная женщина, и если бы вы не вернули мне долг, я бы с удовольствием востребовал его сейчас, а не заплати вы мне — все ваше добро пошло бы с аукциона.
</t>
    </r>
    <r>
      <rPr>
        <rFont val="Arial"/>
        <sz val="10"/>
        <b/>
      </rPr>
      <t>TRANS:</t>
    </r>
    <r>
      <rPr>
        <rFont val="Arial"/>
        <sz val="10"/>
      </rPr>
      <t xml:space="preserve"> Vy beschestnaya zhenshchina, i esli by vy ne vernuli mne dolg, ya by s udovol'stviem vostreboval ego seychas, a ne zaplati vy mne — vse vashe dobro poshlo by s auktsiona.
</t>
    </r>
    <r>
      <rPr>
        <rFont val="Arial"/>
        <sz val="10"/>
        <b/>
      </rPr>
      <t>TRANSLATION:</t>
    </r>
    <r>
      <rPr>
        <rFont val="Arial"/>
        <sz val="10"/>
      </rPr>
      <t xml:space="preserve"> You are a dishonest woman, and if you had not returned me the debt, I would gladly have demanded it now, and had you not paid me — all your goods would have gone under the hammer.</t>
    </r>
  </si>
  <si>
    <r>
      <rPr>
        <rFont val="Arial"/>
        <sz val="10"/>
        <b/>
      </rPr>
      <t>TERM:</t>
    </r>
    <r>
      <rPr>
        <rFont val="Arial"/>
        <sz val="10"/>
      </rPr>
      <t xml:space="preserve"> ÄDILETSIZ (ӘДІЛЕТСІЗ) = unjust
</t>
    </r>
    <r>
      <rPr>
        <rFont val="Arial"/>
        <sz val="10"/>
        <b/>
      </rPr>
      <t>PASSAGE:</t>
    </r>
    <r>
      <rPr>
        <rFont val="Arial"/>
        <sz val="10"/>
      </rPr>
      <t xml:space="preserve"> Сіз әділетсіз әйел екенсіз, егер қарызды қайтармағаныңызда, мен үстемелеп төлеуге заң арқылы мәжбүрлей алар едім.
</t>
    </r>
    <r>
      <rPr>
        <rFont val="Arial"/>
        <sz val="10"/>
        <b/>
      </rPr>
      <t>TRANS:</t>
    </r>
    <r>
      <rPr>
        <rFont val="Arial"/>
        <sz val="10"/>
      </rPr>
      <t xml:space="preserve"> Sız ädıletsız äiel ekensız, eger qaryzdy qaitarmağanyñyzda, men üstemelep töleuge zañ arqyly mäjbürlei alar edım.
</t>
    </r>
    <r>
      <rPr>
        <rFont val="Arial"/>
        <sz val="10"/>
        <b/>
      </rPr>
      <t>TRANSLATION:</t>
    </r>
    <r>
      <rPr>
        <rFont val="Arial"/>
        <sz val="10"/>
      </rPr>
      <t xml:space="preserve"> You are an unjust woman; had you not returned the debt, I could have made you pay double through the law.</t>
    </r>
  </si>
  <si>
    <r>
      <rPr>
        <rFont val="Arial"/>
        <sz val="10"/>
        <b/>
      </rPr>
      <t>TERM:</t>
    </r>
    <r>
      <rPr>
        <rFont val="Arial"/>
        <sz val="10"/>
      </rPr>
      <t xml:space="preserve"> chest' (честь) — honour; honor [ORD]
</t>
    </r>
    <r>
      <rPr>
        <rFont val="Arial"/>
        <sz val="10"/>
        <b/>
      </rPr>
      <t>PASSAGE:</t>
    </r>
    <r>
      <rPr>
        <rFont val="Arial"/>
        <sz val="10"/>
      </rPr>
      <t xml:space="preserve"> а не затуманенную всякими так называемыми высокими представлениями о чести, самопожертвовании или вере в человеческую натуру.
</t>
    </r>
    <r>
      <rPr>
        <rFont val="Arial"/>
        <sz val="10"/>
        <b/>
      </rPr>
      <t>TRANS:</t>
    </r>
    <r>
      <rPr>
        <rFont val="Arial"/>
        <sz val="10"/>
      </rPr>
      <t xml:space="preserve"> a ne zatumanennuyu vsyakimi tak nazyvaemymi vysokimi predstavleniyami o chesti, samopozhertvovanii ili vere v chelovecheskuyu naturu.
</t>
    </r>
    <r>
      <rPr>
        <rFont val="Arial"/>
        <sz val="10"/>
        <b/>
      </rPr>
      <t>TRANSLATION:</t>
    </r>
    <r>
      <rPr>
        <rFont val="Arial"/>
        <sz val="10"/>
      </rPr>
      <t xml:space="preserve"> and not [a vision] clouded by all sorts of so-called lofty notions of honor, self-sacrifice, or faith in human nature.</t>
    </r>
  </si>
  <si>
    <r>
      <rPr>
        <rFont val="Arial"/>
        <sz val="10"/>
        <b/>
      </rPr>
      <t>TERM:</t>
    </r>
    <r>
      <rPr>
        <rFont val="Arial"/>
        <sz val="10"/>
      </rPr>
      <t xml:space="preserve"> adal AR (адал АР) — honest ar; pure conscience [KED, SZK] (lemma: ар)
Abyroy (абырой) = dignity 
</t>
    </r>
    <r>
      <rPr>
        <rFont val="Arial"/>
        <sz val="10"/>
        <b/>
      </rPr>
      <t>PASSAGE:</t>
    </r>
    <r>
      <rPr>
        <rFont val="Arial"/>
        <sz val="10"/>
      </rPr>
      <t xml:space="preserve"> Өзі де бұл тақылеттес болғандықтан мұны толық түсінетін, ақиқатты сол күйімен қабылдайтын, биік мақсат, адал ар, абырой туралы жұмбақ түсініктермен ештеңені әсірелемейтін, адам келбетінің бар шынайылығын солай көре қоятын жан.
</t>
    </r>
    <r>
      <rPr>
        <rFont val="Arial"/>
        <sz val="10"/>
        <b/>
      </rPr>
      <t>TRANS:</t>
    </r>
    <r>
      <rPr>
        <rFont val="Arial"/>
        <sz val="10"/>
      </rPr>
      <t xml:space="preserve"> Özı de būl taqylettes bolğandyqtan mūny tolyq tüsınetın, aqiqatty sol küiımen qabyldaityn, biık maqsat, adal ar, abyroi turaly jūmbaq tüsınıktermen eşteñenı äsırelemeitın, adam kelbetınıñ bar şynaiylyğyn solai köre qoiatyn jan.
</t>
    </r>
    <r>
      <rPr>
        <rFont val="Arial"/>
        <sz val="10"/>
        <b/>
      </rPr>
      <t>TRANSLATION:</t>
    </r>
    <r>
      <rPr>
        <rFont val="Arial"/>
        <sz val="10"/>
      </rPr>
      <t xml:space="preserve"> He himself, being of this same kind, fully understood her, accepting the truth as it is — a soul who did not exaggerate anything with mysterious notions of lofty aim, true conscience, or dignity, but saw the whole reality of human appearance as it is.</t>
    </r>
  </si>
  <si>
    <r>
      <rPr>
        <rFont val="Arial"/>
        <sz val="10"/>
        <b/>
      </rPr>
      <t>TERM:</t>
    </r>
    <r>
      <rPr>
        <rFont val="Arial"/>
        <sz val="10"/>
      </rPr>
      <t xml:space="preserve"> blagorodnaya vozvyshennaya natura (благородная возвышенная натура) — noble and elevated nature (descriptive phrase) [ORD] (lemma: благородный)
</t>
    </r>
    <r>
      <rPr>
        <rFont val="Arial"/>
        <sz val="10"/>
        <b/>
      </rPr>
      <t>PASSAGE:</t>
    </r>
    <r>
      <rPr>
        <rFont val="Arial"/>
        <sz val="10"/>
      </rPr>
      <t xml:space="preserve"> в той мере, в какой ему позволяет это его благородная возвышенная натура.
</t>
    </r>
    <r>
      <rPr>
        <rFont val="Arial"/>
        <sz val="10"/>
        <b/>
      </rPr>
      <t>TRANS:</t>
    </r>
    <r>
      <rPr>
        <rFont val="Arial"/>
        <sz val="10"/>
      </rPr>
      <t xml:space="preserve"> v toy mere, v kakoy emu pozvolyaet eto ego blagorodnaya vozvyshennaya natura.
</t>
    </r>
    <r>
      <rPr>
        <rFont val="Arial"/>
        <sz val="10"/>
        <b/>
      </rPr>
      <t>TRANSLATION:</t>
    </r>
    <r>
      <rPr>
        <rFont val="Arial"/>
        <sz val="10"/>
      </rPr>
      <t xml:space="preserve"> to the extent that his noble, lofty nature allows him to.</t>
    </r>
  </si>
  <si>
    <r>
      <rPr>
        <rFont val="Arial"/>
        <sz val="10"/>
        <b/>
      </rPr>
      <t>TERM:</t>
    </r>
    <r>
      <rPr>
        <rFont val="Arial"/>
        <sz val="10"/>
      </rPr>
      <t xml:space="preserve"> bekzat bolmysty asqaq tabiğaty (бекзат болмысты асқақ табиғаты) — elevated nature of his noble being (descriptive phrase) [KED, SZK] (lemma: бекзат)
</t>
    </r>
    <r>
      <rPr>
        <rFont val="Arial"/>
        <sz val="10"/>
        <b/>
      </rPr>
      <t>PASSAGE:</t>
    </r>
    <r>
      <rPr>
        <rFont val="Arial"/>
        <sz val="10"/>
      </rPr>
      <t xml:space="preserve"> оның бекзат болмысты асқақ табиғаты оған мүмкіндік беретіндігінен.
</t>
    </r>
    <r>
      <rPr>
        <rFont val="Arial"/>
        <sz val="10"/>
        <b/>
      </rPr>
      <t>TRANS:</t>
    </r>
    <r>
      <rPr>
        <rFont val="Arial"/>
        <sz val="10"/>
      </rPr>
      <t xml:space="preserve"> onyñ bekzat bolmysty asqaq tabiğaty oğan mümkındık beretındıgınen.
</t>
    </r>
    <r>
      <rPr>
        <rFont val="Arial"/>
        <sz val="10"/>
        <b/>
      </rPr>
      <t>TRANSLATION:</t>
    </r>
    <r>
      <rPr>
        <rFont val="Arial"/>
        <sz val="10"/>
      </rPr>
      <t xml:space="preserve"> because of what his aristocratic, exalted nature allows him.</t>
    </r>
  </si>
  <si>
    <r>
      <rPr>
        <rFont val="Arial"/>
        <sz val="10"/>
        <b/>
      </rPr>
      <t>TERM:</t>
    </r>
    <r>
      <rPr>
        <rFont val="Arial"/>
        <sz val="10"/>
      </rPr>
      <t xml:space="preserve"> chesti (чести) — honour (gen./dat./prep.) [ORD] (lemma: честь)
</t>
    </r>
    <r>
      <rPr>
        <rFont val="Arial"/>
        <sz val="10"/>
        <b/>
      </rPr>
      <t>PASSAGE:</t>
    </r>
    <r>
      <rPr>
        <rFont val="Arial"/>
        <sz val="10"/>
      </rPr>
      <t xml:space="preserve"> что только соображения чести удерживают Эшли подле Мелани.
</t>
    </r>
    <r>
      <rPr>
        <rFont val="Arial"/>
        <sz val="10"/>
        <b/>
      </rPr>
      <t>TRANS:</t>
    </r>
    <r>
      <rPr>
        <rFont val="Arial"/>
        <sz val="10"/>
      </rPr>
      <t xml:space="preserve"> chto tol'ko soobrazheniya chesti uderzhivayut Eshli podle Melani.
</t>
    </r>
    <r>
      <rPr>
        <rFont val="Arial"/>
        <sz val="10"/>
        <b/>
      </rPr>
      <t>TRANSLATION:</t>
    </r>
    <r>
      <rPr>
        <rFont val="Arial"/>
        <sz val="10"/>
      </rPr>
      <t xml:space="preserve"> that only considerations of honor were keeping Ashley by Melanie's side.</t>
    </r>
  </si>
  <si>
    <r>
      <rPr>
        <rFont val="Arial"/>
        <sz val="10"/>
        <b/>
      </rPr>
      <t>TERM:</t>
    </r>
    <r>
      <rPr>
        <rFont val="Arial"/>
        <sz val="10"/>
      </rPr>
      <t xml:space="preserve"> ABYROİ (АБЫРОЙ) — dignity; prestige; public standing; reputation (Arabic-Persian loan) [KED, SZK]
</t>
    </r>
    <r>
      <rPr>
        <rFont val="Arial"/>
        <sz val="10"/>
        <b/>
      </rPr>
      <t>PASSAGE:</t>
    </r>
    <r>
      <rPr>
        <rFont val="Arial"/>
        <sz val="10"/>
      </rPr>
      <t xml:space="preserve"> Меланидің есімі аталғанда Скарлеттің көкірегіне ащы запыран жиналғандай, Реттке бар даусымен Меланидің абыройына дақ түсірмеу үшін Эшли соның қасында жүргенін айтып, айқайлағысы келіп тұрды да, аузын аша беріп, қайта жапты.
</t>
    </r>
    <r>
      <rPr>
        <rFont val="Arial"/>
        <sz val="10"/>
        <b/>
      </rPr>
      <t>TRANS:</t>
    </r>
    <r>
      <rPr>
        <rFont val="Arial"/>
        <sz val="10"/>
      </rPr>
      <t xml:space="preserve"> Melanidıñ esımı atalğanda Skarlettıñ kökıregıne aşşy zapyran jinalğandai, Rettke bar dausymen Melanidıñ abyroiyna daq tüsırmeu üşın Eşli sonyñ qasynda jürgenın aityp, aiqailağysy kelıp tūrdy da, auzyn aşa berıp, qaita japty.
</t>
    </r>
    <r>
      <rPr>
        <rFont val="Arial"/>
        <sz val="10"/>
        <b/>
      </rPr>
      <t>TRANSLATION:</t>
    </r>
    <r>
      <rPr>
        <rFont val="Arial"/>
        <sz val="10"/>
      </rPr>
      <t xml:space="preserve"> When Melanie's name was mentioned, bitter bile gathered in Scarlett's chest; she wanted to shout to Rhett at the top of her voice that Ashley remained beside Melanie so as not to stain her dignity, but she opened her mouth and shut it again.</t>
    </r>
  </si>
  <si>
    <r>
      <rPr>
        <rFont val="Arial"/>
        <sz val="10"/>
        <b/>
      </rPr>
      <t>TERM:</t>
    </r>
    <r>
      <rPr>
        <rFont val="Arial"/>
        <sz val="10"/>
      </rPr>
      <t xml:space="preserve"> chesti (чести) — honour (gen./dat./prep.) [ORD] (lemma: честь)
</t>
    </r>
    <r>
      <rPr>
        <rFont val="Arial"/>
        <sz val="10"/>
        <b/>
      </rPr>
      <t>PASSAGE:</t>
    </r>
    <r>
      <rPr>
        <rFont val="Arial"/>
        <sz val="10"/>
      </rPr>
      <t xml:space="preserve"> Но слава богу, меня не волнуют проблемы чести.
</t>
    </r>
    <r>
      <rPr>
        <rFont val="Arial"/>
        <sz val="10"/>
        <b/>
      </rPr>
      <t>TRANS:</t>
    </r>
    <r>
      <rPr>
        <rFont val="Arial"/>
        <sz val="10"/>
      </rPr>
      <t xml:space="preserve"> No slava bogu, menya ne volnuyut problemy chesti.
</t>
    </r>
    <r>
      <rPr>
        <rFont val="Arial"/>
        <sz val="10"/>
        <b/>
      </rPr>
      <t>TRANSLATION:</t>
    </r>
    <r>
      <rPr>
        <rFont val="Arial"/>
        <sz val="10"/>
      </rPr>
      <t xml:space="preserve"> But thank God, I am not troubled by problems of honor.</t>
    </r>
  </si>
  <si>
    <r>
      <rPr>
        <rFont val="Arial"/>
        <sz val="10"/>
        <b/>
      </rPr>
      <t>TERM:</t>
    </r>
    <r>
      <rPr>
        <rFont val="Arial"/>
        <sz val="10"/>
      </rPr>
      <t xml:space="preserve"> AR-ŪİAT(АР-ҰЯТ) — conscience-shame (compound): the active inner moral faculty [KED, SZK]
</t>
    </r>
    <r>
      <rPr>
        <rFont val="Arial"/>
        <sz val="10"/>
        <b/>
      </rPr>
      <t>PASSAGE:</t>
    </r>
    <r>
      <rPr>
        <rFont val="Arial"/>
        <sz val="10"/>
      </rPr>
      <t xml:space="preserve"> Бірақ, құдайға шүкір, мені ар-ұяттың мәселесі мазаламайды.
</t>
    </r>
    <r>
      <rPr>
        <rFont val="Arial"/>
        <sz val="10"/>
        <b/>
      </rPr>
      <t>TRANS:</t>
    </r>
    <r>
      <rPr>
        <rFont val="Arial"/>
        <sz val="10"/>
      </rPr>
      <t xml:space="preserve"> Bıraq, qūdaiğa şükır, menı ar-ūiattyñ mäselesı mazalamaidy.
</t>
    </r>
    <r>
      <rPr>
        <rFont val="Arial"/>
        <sz val="10"/>
        <b/>
      </rPr>
      <t>TRANSLATION:</t>
    </r>
    <r>
      <rPr>
        <rFont val="Arial"/>
        <sz val="10"/>
      </rPr>
      <t xml:space="preserve"> But, thank God, the question of conscience does not trouble me.</t>
    </r>
  </si>
  <si>
    <r>
      <rPr>
        <rFont val="Arial"/>
        <sz val="10"/>
        <b/>
      </rPr>
      <t>TERM:</t>
    </r>
    <r>
      <rPr>
        <rFont val="Arial"/>
        <sz val="10"/>
      </rPr>
      <t xml:space="preserve"> chesti (чести) — honour (gen./dat./prep.) [ORD] (lemma: честь)
</t>
    </r>
    <r>
      <rPr>
        <rFont val="Arial"/>
        <sz val="10"/>
        <b/>
      </rPr>
      <t>PASSAGE:</t>
    </r>
    <r>
      <rPr>
        <rFont val="Arial"/>
        <sz val="10"/>
      </rPr>
      <t xml:space="preserve"> Но он говорил только о чести.
</t>
    </r>
    <r>
      <rPr>
        <rFont val="Arial"/>
        <sz val="10"/>
        <b/>
      </rPr>
      <t>TRANS:</t>
    </r>
    <r>
      <rPr>
        <rFont val="Arial"/>
        <sz val="10"/>
      </rPr>
      <t xml:space="preserve"> No on govoril tol'ko o chesti.
</t>
    </r>
    <r>
      <rPr>
        <rFont val="Arial"/>
        <sz val="10"/>
        <b/>
      </rPr>
      <t>TRANSLATION:</t>
    </r>
    <r>
      <rPr>
        <rFont val="Arial"/>
        <sz val="10"/>
      </rPr>
      <t xml:space="preserve"> But he spoke only of honor.</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</si>
  <si>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Бірақ ол тек ар-ұят туралы ғана айтқан.
</t>
    </r>
    <r>
      <rPr>
        <rFont val="Arial"/>
        <sz val="10"/>
        <b/>
      </rPr>
      <t>TRANS:</t>
    </r>
    <r>
      <rPr>
        <rFont val="Arial"/>
        <sz val="10"/>
      </rPr>
      <t xml:space="preserve"> Bıraq ol tek ar-ūiat turaly ğana aitqan.
</t>
    </r>
    <r>
      <rPr>
        <rFont val="Arial"/>
        <sz val="10"/>
        <b/>
      </rPr>
      <t>TRANSLATION:</t>
    </r>
    <r>
      <rPr>
        <rFont val="Arial"/>
        <sz val="10"/>
      </rPr>
      <t xml:space="preserve"> But he spoke only of conscience.</t>
    </r>
  </si>
  <si>
    <r>
      <rPr>
        <rFont val="Arial"/>
        <sz val="10"/>
        <b/>
      </rPr>
      <t>TERM:</t>
    </r>
    <r>
      <rPr>
        <rFont val="Arial"/>
        <sz val="10"/>
      </rPr>
      <t xml:space="preserve"> chest'yu (честью) — honour (instr.); honourably [ORD] (lemma: честь)
</t>
    </r>
    <r>
      <rPr>
        <rFont val="Arial"/>
        <sz val="10"/>
        <b/>
      </rPr>
      <t>PASSAGE:</t>
    </r>
    <r>
      <rPr>
        <rFont val="Arial"/>
        <sz val="10"/>
      </rPr>
      <t xml:space="preserve"> никогда не будет вынуждать его поступиться этой дурацкой честью, которую он ставит выше любви.
</t>
    </r>
    <r>
      <rPr>
        <rFont val="Arial"/>
        <sz val="10"/>
        <b/>
      </rPr>
      <t>TRANS:</t>
    </r>
    <r>
      <rPr>
        <rFont val="Arial"/>
        <sz val="10"/>
      </rPr>
      <t xml:space="preserve"> nikogda ne budet vynuzhdat' ego postupit'sya etoy duratskoy chest'yu, kotoruyu on stavit vyshe lyubvi.
</t>
    </r>
    <r>
      <rPr>
        <rFont val="Arial"/>
        <sz val="10"/>
        <b/>
      </rPr>
      <t>TRANSLATION:</t>
    </r>
    <r>
      <rPr>
        <rFont val="Arial"/>
        <sz val="10"/>
      </rPr>
      <t xml:space="preserve"> will never force him to compromise that foolish honor that he places above love.</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</si>
  <si>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Ол үшін тірлігінен биік қоятын ар-ожданына дақ түсірмеуге келіседі.
</t>
    </r>
    <r>
      <rPr>
        <rFont val="Arial"/>
        <sz val="10"/>
        <b/>
      </rPr>
      <t>TRANS:</t>
    </r>
    <r>
      <rPr>
        <rFont val="Arial"/>
        <sz val="10"/>
      </rPr>
      <t xml:space="preserve"> Ol üşın tırlıgınen biık qoiatyn ar-ojdanyna daq tüsırmeuge kelısedı.
</t>
    </r>
    <r>
      <rPr>
        <rFont val="Arial"/>
        <sz val="10"/>
        <b/>
      </rPr>
      <t>TRANSLATION:</t>
    </r>
    <r>
      <rPr>
        <rFont val="Arial"/>
        <sz val="10"/>
      </rPr>
      <t xml:space="preserve"> For his sake she agrees not to soil the conscience he places above his life.</t>
    </r>
  </si>
  <si>
    <r>
      <rPr>
        <rFont val="Arial"/>
        <sz val="10"/>
        <b/>
      </rPr>
      <t>TERM:</t>
    </r>
    <r>
      <rPr>
        <rFont val="Arial"/>
        <sz val="10"/>
      </rPr>
      <t xml:space="preserve"> blagorodnyy (благородный) — noble; of noble character [ORD]
</t>
    </r>
    <r>
      <rPr>
        <rFont val="Arial"/>
        <sz val="10"/>
        <b/>
      </rPr>
      <t>PASSAGE:</t>
    </r>
    <r>
      <rPr>
        <rFont val="Arial"/>
        <sz val="10"/>
      </rPr>
      <t xml:space="preserve"> Вы — такой тонкий, такой благородный, а он…
</t>
    </r>
    <r>
      <rPr>
        <rFont val="Arial"/>
        <sz val="10"/>
        <b/>
      </rPr>
      <t>TRANS:</t>
    </r>
    <r>
      <rPr>
        <rFont val="Arial"/>
        <sz val="10"/>
      </rPr>
      <t xml:space="preserve"> Vy — takoy tonkiy, takoy blagorodnyy, a on…
</t>
    </r>
    <r>
      <rPr>
        <rFont val="Arial"/>
        <sz val="10"/>
        <b/>
      </rPr>
      <t>TRANSLATION:</t>
    </r>
    <r>
      <rPr>
        <rFont val="Arial"/>
        <sz val="10"/>
      </rPr>
      <t xml:space="preserve"> You — so refined, so noble, while he...</t>
    </r>
  </si>
  <si>
    <r>
      <rPr>
        <rFont val="Arial"/>
        <sz val="10"/>
        <b/>
      </rPr>
      <t>TERM:</t>
    </r>
    <r>
      <rPr>
        <rFont val="Arial"/>
        <sz val="10"/>
      </rPr>
      <t xml:space="preserve"> BEKZAT adam (БЕКЗАТ адам) — aristocrat; man of noble birth [KED, SZK] (lemma: бекзат)
</t>
    </r>
    <r>
      <rPr>
        <rFont val="Arial"/>
        <sz val="10"/>
        <b/>
      </rPr>
      <t>PASSAGE:</t>
    </r>
    <r>
      <rPr>
        <rFont val="Arial"/>
        <sz val="10"/>
      </rPr>
      <t xml:space="preserve"> Ой, жоқ, ұқсамайсыздар. Ол сондай нәзік сезімді, бекзат адам ғой, және...
</t>
    </r>
    <r>
      <rPr>
        <rFont val="Arial"/>
        <sz val="10"/>
        <b/>
      </rPr>
      <t>TRANS:</t>
    </r>
    <r>
      <rPr>
        <rFont val="Arial"/>
        <sz val="10"/>
      </rPr>
      <t xml:space="preserve"> Oi, joq, ūqsamaisyzdar. Ol sondai näzık sezımdı, bekzat adam ğoi, jäne...
</t>
    </r>
    <r>
      <rPr>
        <rFont val="Arial"/>
        <sz val="10"/>
        <b/>
      </rPr>
      <t>TRANSLATION:</t>
    </r>
    <r>
      <rPr>
        <rFont val="Arial"/>
        <sz val="10"/>
      </rPr>
      <t xml:space="preserve"> Oh, no, you are not alike. He is such a man of refined feeling, a noble man, and...</t>
    </r>
  </si>
  <si>
    <r>
      <rPr>
        <rFont val="Arial"/>
        <sz val="10"/>
        <b/>
      </rPr>
      <t>TERM:</t>
    </r>
    <r>
      <rPr>
        <rFont val="Arial"/>
        <sz val="10"/>
      </rPr>
      <t xml:space="preserve"> blagorodnogo (благородного) — noble (adj. masc. gen.) [ORD] (lemma: благородный)
</t>
    </r>
    <r>
      <rPr>
        <rFont val="Arial"/>
        <sz val="10"/>
        <b/>
      </rPr>
      <t>PASSAGE:</t>
    </r>
    <r>
      <rPr>
        <rFont val="Arial"/>
        <sz val="10"/>
      </rPr>
      <t xml:space="preserve"> Если б я умер и если бы мисс Мелли умерла и вы получили бы своего бесценного благородного возлюбленного, вы думаете, что были бы счастливы с ним?
</t>
    </r>
    <r>
      <rPr>
        <rFont val="Arial"/>
        <sz val="10"/>
        <b/>
      </rPr>
      <t>TRANS:</t>
    </r>
    <r>
      <rPr>
        <rFont val="Arial"/>
        <sz val="10"/>
      </rPr>
      <t xml:space="preserve"> Esli b ya umer i esli by miss Melli umerla i vy poluchili by svoego bestsennogo blagorodnogo vozlyublennogo, vy dumaete, chto byli by schastlivy s nim?
</t>
    </r>
    <r>
      <rPr>
        <rFont val="Arial"/>
        <sz val="10"/>
        <b/>
      </rPr>
      <t>TRANSLATION:</t>
    </r>
    <r>
      <rPr>
        <rFont val="Arial"/>
        <sz val="10"/>
      </rPr>
      <t xml:space="preserve"> If I died and if Miss Melly died, and you got your priceless noble beloved, do you think you would be happy with him?</t>
    </r>
  </si>
  <si>
    <r>
      <rPr>
        <rFont val="Arial"/>
        <sz val="10"/>
        <b/>
      </rPr>
      <t>TERM:</t>
    </r>
    <r>
      <rPr>
        <rFont val="Arial"/>
        <sz val="10"/>
      </rPr>
      <t xml:space="preserve"> chesti (чести) — honour (gen./dat./prep.) [ORD] (lemma: честь)
</t>
    </r>
    <r>
      <rPr>
        <rFont val="Arial"/>
        <sz val="10"/>
        <b/>
      </rPr>
      <t>PASSAGE:</t>
    </r>
    <r>
      <rPr>
        <rFont val="Arial"/>
        <sz val="10"/>
      </rPr>
      <t xml:space="preserve"> Все могло бы быть иначе, а теперь… ах, тебе бы следовало понять и не держать меня на привязи, рассуждая о чести и жертвах!
</t>
    </r>
    <r>
      <rPr>
        <rFont val="Arial"/>
        <sz val="10"/>
        <b/>
      </rPr>
      <t>TRANS:</t>
    </r>
    <r>
      <rPr>
        <rFont val="Arial"/>
        <sz val="10"/>
      </rPr>
      <t xml:space="preserve"> Vse moglo by byt' inache, a teper'… akh, tebe by sledovalo ponyat' i ne derzhat' menya na privyazi, rassuzhdaya o chesti i zhertvakh!
</t>
    </r>
    <r>
      <rPr>
        <rFont val="Arial"/>
        <sz val="10"/>
        <b/>
      </rPr>
      <t>TRANSLATION:</t>
    </r>
    <r>
      <rPr>
        <rFont val="Arial"/>
        <sz val="10"/>
      </rPr>
      <t xml:space="preserve"> Everything could have been different, and now... ah, you should have understood and not kept me on a leash, talking of honor and sacrifices!</t>
    </r>
  </si>
  <si>
    <r>
      <rPr>
        <rFont val="Arial"/>
        <sz val="10"/>
        <b/>
      </rPr>
      <t>TERM:</t>
    </r>
    <r>
      <rPr>
        <rFont val="Arial"/>
        <sz val="10"/>
      </rPr>
      <t xml:space="preserve"> AR-ŪİAT(АР-ҰЯТ) — conscience-shame (compound): the active inner moral faculty [KED, SZK]
</t>
    </r>
    <r>
      <rPr>
        <rFont val="Arial"/>
        <sz val="10"/>
        <b/>
      </rPr>
      <t>PASSAGE:</t>
    </r>
    <r>
      <rPr>
        <rFont val="Arial"/>
        <sz val="10"/>
      </rPr>
      <t xml:space="preserve"> Ой, құдайым-ай, мені де емексітпей, құрбандықтар мен ар-ұят туралы ой толғай бермей, алдымен өз сеніміңді анықтап алуың керек еді ғой!
</t>
    </r>
    <r>
      <rPr>
        <rFont val="Arial"/>
        <sz val="10"/>
        <b/>
      </rPr>
      <t>TRANS:</t>
    </r>
    <r>
      <rPr>
        <rFont val="Arial"/>
        <sz val="10"/>
      </rPr>
      <t xml:space="preserve"> Oi, qūdaiym-ai, menı de emeksıtpei, qūrbandyqtar men ar-ūiat turaly oi tolğai bermei, aldymen öz senımıñdı anyqtap aluyñ kerek edı ğoi!
</t>
    </r>
    <r>
      <rPr>
        <rFont val="Arial"/>
        <sz val="10"/>
        <b/>
      </rPr>
      <t>TRANSLATION:</t>
    </r>
    <r>
      <rPr>
        <rFont val="Arial"/>
        <sz val="10"/>
      </rPr>
      <t xml:space="preserve"> Oh, my God, you should have decided your own conviction first, and not gone on tantalizing me, holding forth about sacrifices and honor!</t>
    </r>
  </si>
  <si>
    <r>
      <rPr>
        <rFont val="Arial"/>
        <sz val="10"/>
        <b/>
      </rPr>
      <t>TERM:</t>
    </r>
    <r>
      <rPr>
        <rFont val="Arial"/>
        <sz val="10"/>
      </rPr>
      <t xml:space="preserve"> proklyatoe ponyatie o chesti (проклятое понятие о чести) — that cursed notion of honour [ORD] (lemma: понятие)
</t>
    </r>
    <r>
      <rPr>
        <rFont val="Arial"/>
        <sz val="10"/>
        <b/>
      </rPr>
      <t>PASSAGE:</t>
    </r>
    <r>
      <rPr>
        <rFont val="Arial"/>
        <sz val="10"/>
      </rPr>
      <t xml:space="preserve"> Его проклятое понятие о чести заставит его спросить меня, не соглашусь ли я развестись с Реттом и выйти за него замуж.
</t>
    </r>
    <r>
      <rPr>
        <rFont val="Arial"/>
        <sz val="10"/>
        <b/>
      </rPr>
      <t>TRANS:</t>
    </r>
    <r>
      <rPr>
        <rFont val="Arial"/>
        <sz val="10"/>
      </rPr>
      <t xml:space="preserve"> Ego proklyatoe ponyatie o chesti zastavit ego sprosit' menya, ne soglashus' li ya razvestis' s Rettom i vyyti za nego zamuzh.
</t>
    </r>
    <r>
      <rPr>
        <rFont val="Arial"/>
        <sz val="10"/>
        <b/>
      </rPr>
      <t>TRANSLATION:</t>
    </r>
    <r>
      <rPr>
        <rFont val="Arial"/>
        <sz val="10"/>
      </rPr>
      <t xml:space="preserve"> His cursed concept of honor will compel him to ask me whether I will agree to divorce Rhett and marry him.</t>
    </r>
  </si>
  <si>
    <r>
      <rPr>
        <rFont val="Arial"/>
        <sz val="10"/>
        <b/>
      </rPr>
      <t>TERM:</t>
    </r>
    <r>
      <rPr>
        <rFont val="Arial"/>
        <sz val="10"/>
      </rPr>
      <t xml:space="preserve"> o pravde, i o chesti, (о правде, и о чести,) = about truth, about honor
</t>
    </r>
    <r>
      <rPr>
        <rFont val="Arial"/>
        <sz val="10"/>
        <b/>
      </rPr>
      <t>PASSAGE:</t>
    </r>
    <r>
      <rPr>
        <rFont val="Arial"/>
        <sz val="10"/>
      </rPr>
      <t xml:space="preserve"> А ведь он такое беспомощное, жалкое существо, несмотря на всю свою болтовню о правде, и о чести, и о…
</t>
    </r>
    <r>
      <rPr>
        <rFont val="Arial"/>
        <sz val="10"/>
        <b/>
      </rPr>
      <t>TRANS:</t>
    </r>
    <r>
      <rPr>
        <rFont val="Arial"/>
        <sz val="10"/>
      </rPr>
      <t xml:space="preserve"> A ved' on takoe bespomoshchnoe, zhalkoe sushchestvo, nesmotrya na vsyu svoyu boltovnyu o pravde, i o chesti, i o…
</t>
    </r>
    <r>
      <rPr>
        <rFont val="Arial"/>
        <sz val="10"/>
        <b/>
      </rPr>
      <t>TRANSLATION:</t>
    </r>
    <r>
      <rPr>
        <rFont val="Arial"/>
        <sz val="10"/>
      </rPr>
      <t xml:space="preserve"> And he is such a helpless, pitiful creature, despite all his prattle of truth, and of honor, and of...</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</si>
  <si>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Өзінің шындық, ар-ұят, намыс туралы әңгімелеріне қарамастан, ол сондай дәрменсіз, аянышты адам.
</t>
    </r>
    <r>
      <rPr>
        <rFont val="Arial"/>
        <sz val="10"/>
        <b/>
      </rPr>
      <t>TRANS:</t>
    </r>
    <r>
      <rPr>
        <rFont val="Arial"/>
        <sz val="10"/>
      </rPr>
      <t xml:space="preserve"> Özınıñ şyndyq, ar-ūiat, namys turaly äñgımelerıne qaramastan, ol sondai därmensız, aianyşty adam.
</t>
    </r>
    <r>
      <rPr>
        <rFont val="Arial"/>
        <sz val="10"/>
        <b/>
      </rPr>
      <t>TRANSLATION:</t>
    </r>
    <r>
      <rPr>
        <rFont val="Arial"/>
        <sz val="10"/>
      </rPr>
      <t xml:space="preserve"> Despite his talk of truth, conscience/honor, and honor, he is such a helpless, pitiful person.</t>
    </r>
  </si>
  <si>
    <r>
      <rPr>
        <rFont val="Arial"/>
        <sz val="10"/>
        <b/>
      </rPr>
      <t>TERM:</t>
    </r>
    <r>
      <rPr>
        <rFont val="Arial"/>
        <sz val="10"/>
      </rPr>
      <t xml:space="preserve"> blagorodnykh (благородных) — noble (adj. pl. gen.) [ORD] (lemma: благородный)
</t>
    </r>
    <r>
      <rPr>
        <rFont val="Arial"/>
        <sz val="10"/>
        <b/>
      </rPr>
      <t>PASSAGE:</t>
    </r>
    <r>
      <rPr>
        <rFont val="Arial"/>
        <sz val="10"/>
      </rPr>
      <t xml:space="preserve"> Он мог вроде бы откровенно и с одобрением рассказывать о мужественных, благородных, добродетельных, подсказанных любовью поступках, коим он был свидетелем в тех странных местах, куда его заносило, и тут же с холодным цинизмом добавлять скабрезнейшие истории.
</t>
    </r>
    <r>
      <rPr>
        <rFont val="Arial"/>
        <sz val="10"/>
        <b/>
      </rPr>
      <t>TRANS:</t>
    </r>
    <r>
      <rPr>
        <rFont val="Arial"/>
        <sz val="10"/>
      </rPr>
      <t xml:space="preserve"> On mog vrode by otkrovenno i s odobreniem rasskazyvat' o muzhestvennykh, blagorodnykh, dobrodetel'nykh, podskazannykh lyubov'yu postupkakh, koim on byl svidetelem v tekh strannykh mestakh, kuda ego zanosilo, i tut zhe s kholodnym tsinizmom dobavlyat' skabrezneyshie istorii.
</t>
    </r>
    <r>
      <rPr>
        <rFont val="Arial"/>
        <sz val="10"/>
        <b/>
      </rPr>
      <t>TRANSLATION:</t>
    </r>
    <r>
      <rPr>
        <rFont val="Arial"/>
        <sz val="10"/>
      </rPr>
      <t xml:space="preserve"> He could, as it were, frankly and with approval tell of brave, noble, virtuous, love-prompted deeds, of which he had been witness in those strange places where he had been carried, and at the same instant with cold cynicism add the most scabrous stories.</t>
    </r>
  </si>
  <si>
    <r>
      <rPr>
        <rFont val="Arial"/>
        <sz val="10"/>
        <b/>
      </rPr>
      <t>TERM:</t>
    </r>
    <r>
      <rPr>
        <rFont val="Arial"/>
        <sz val="10"/>
      </rPr>
      <t xml:space="preserve"> ADAMGERŞILIK (АДАМГЕРШІЛІК) — humanity; civility; humanness (the secularised humanist moral term) [KED, SZK]
</t>
    </r>
    <r>
      <rPr>
        <rFont val="Arial"/>
        <sz val="10"/>
        <b/>
      </rPr>
      <t>PASSAGE:</t>
    </r>
    <r>
      <rPr>
        <rFont val="Arial"/>
        <sz val="10"/>
      </rPr>
      <t xml:space="preserve"> Ер міңезді, кең пейіл, мейірім шапағаты себелеген, жүрек елжіретер оқиғаларды ашық-жарқын әңгімелеп, адамгершілік қағидаларын қоштай отырып, аяқастынан әдепсіз, ерсі, жағымсыз жайттарға көшіп, түсі де суып сала береді.
</t>
    </r>
    <r>
      <rPr>
        <rFont val="Arial"/>
        <sz val="10"/>
        <b/>
      </rPr>
      <t>TRANS:</t>
    </r>
    <r>
      <rPr>
        <rFont val="Arial"/>
        <sz val="10"/>
      </rPr>
      <t xml:space="preserve"> Er mıñezdı, keñ peiıl, meiırım şapağaty sebelegen, jürek eljıreter oqiğalardy aşyq-jarqyn äñgımelep, adamgerşılık qağidalaryn qoştai otyryp, aiaqastynan ädepsız, ersı, jağymsyz jaittarğa köşıp, tüsı de suyp sala beredı.
</t>
    </r>
    <r>
      <rPr>
        <rFont val="Arial"/>
        <sz val="10"/>
        <b/>
      </rPr>
      <t>TRANSLATION:</t>
    </r>
    <r>
      <rPr>
        <rFont val="Arial"/>
        <sz val="10"/>
      </rPr>
      <t xml:space="preserve"> He would tell openly and frankly of manly, broad-souled, mercy-strewn, heart-melting events, supporting the principles of humanity; and then suddenly switch to indecent, unseemly, unpleasant matters, his expression cooling.</t>
    </r>
  </si>
  <si>
    <r>
      <rPr>
        <rFont val="Arial"/>
        <sz val="10"/>
        <b/>
      </rPr>
      <t>TERM:</t>
    </r>
    <r>
      <rPr>
        <rFont val="Arial"/>
        <sz val="10"/>
      </rPr>
      <t xml:space="preserve"> bez maleyshego ushchemleniya svoey gordosti. (без малейшего ущемления своей гордости.) = without harm to their pride
</t>
    </r>
    <r>
      <rPr>
        <rFont val="Arial"/>
        <sz val="10"/>
        <b/>
      </rPr>
      <t>PASSAGE:</t>
    </r>
    <r>
      <rPr>
        <rFont val="Arial"/>
        <sz val="10"/>
      </rPr>
      <t xml:space="preserve"> что менее имущие члены Эскадрона могли получить обмундирование и лошадь без малейшего ущемления своей гордости.
</t>
    </r>
    <r>
      <rPr>
        <rFont val="Arial"/>
        <sz val="10"/>
        <b/>
      </rPr>
      <t>TRANS:</t>
    </r>
    <r>
      <rPr>
        <rFont val="Arial"/>
        <sz val="10"/>
      </rPr>
      <t xml:space="preserve"> chto menee imushchie chleny Eskadrona mogli poluchit' obmundirovanie i loshad' bez maleyshego ushchemleniya svoey gordosti.
</t>
    </r>
    <r>
      <rPr>
        <rFont val="Arial"/>
        <sz val="10"/>
        <b/>
      </rPr>
      <t>TRANSLATION:</t>
    </r>
    <r>
      <rPr>
        <rFont val="Arial"/>
        <sz val="10"/>
      </rPr>
      <t xml:space="preserve"> so that less wealthy members of the Squadron could obtain equipment and a horse without the slightest infringement of their pride.</t>
    </r>
  </si>
  <si>
    <r>
      <rPr>
        <rFont val="Arial"/>
        <sz val="10"/>
        <b/>
      </rPr>
      <t>TERM:</t>
    </r>
    <r>
      <rPr>
        <rFont val="Arial"/>
        <sz val="10"/>
      </rPr>
      <t xml:space="preserve"> chest'yu (честью) — honour (instr.); honourably [ORD] (lemma: честь)
</t>
    </r>
    <r>
      <rPr>
        <rFont val="Arial"/>
        <sz val="10"/>
        <b/>
      </rPr>
      <t>PASSAGE:</t>
    </r>
    <r>
      <rPr>
        <rFont val="Arial"/>
        <sz val="10"/>
      </rPr>
      <t xml:space="preserve"> рискуя даже честью и добрым своим именем,
</t>
    </r>
    <r>
      <rPr>
        <rFont val="Arial"/>
        <sz val="10"/>
        <b/>
      </rPr>
      <t>TRANS:</t>
    </r>
    <r>
      <rPr>
        <rFont val="Arial"/>
        <sz val="10"/>
      </rPr>
      <t xml:space="preserve"> riskuya dazhe chest'yu i dobrym svoim imenem,
</t>
    </r>
    <r>
      <rPr>
        <rFont val="Arial"/>
        <sz val="10"/>
        <b/>
      </rPr>
      <t>TRANSLATION:</t>
    </r>
    <r>
      <rPr>
        <rFont val="Arial"/>
        <sz val="10"/>
      </rPr>
      <t xml:space="preserve"> risking even his honor and his good name,</t>
    </r>
  </si>
  <si>
    <r>
      <rPr>
        <rFont val="Arial"/>
        <sz val="10"/>
        <b/>
      </rPr>
      <t>TERM:</t>
    </r>
    <r>
      <rPr>
        <rFont val="Arial"/>
        <sz val="10"/>
      </rPr>
      <t xml:space="preserve"> AR (АР) — honour; conscience; inalienable inner moral principle [KED, SZK]
</t>
    </r>
    <r>
      <rPr>
        <rFont val="Arial"/>
        <sz val="10"/>
        <b/>
      </rPr>
      <t>PASSAGE:</t>
    </r>
    <r>
      <rPr>
        <rFont val="Arial"/>
        <sz val="10"/>
      </rPr>
      <t xml:space="preserve"> Бәлкім, олардікі дұрыс та, өзінікі бұрыс шығар, бірақ мына менменсігендердің болашаққа тура қарайтын түрлері жоқ сияқты да, бұл бар жүйкесіне салмақ түсіре, ары мен адал атын бәйгеге тігіп, алдырғанының бәрін қайтаруға жанталасып бағуда.
</t>
    </r>
    <r>
      <rPr>
        <rFont val="Arial"/>
        <sz val="10"/>
        <b/>
      </rPr>
      <t>TRANS:</t>
    </r>
    <r>
      <rPr>
        <rFont val="Arial"/>
        <sz val="10"/>
      </rPr>
      <t xml:space="preserve"> Bälkım, olardıkı dūrys ta, özınıkı būrys şyğar, bıraq myna menmensıgenderdıñ bolaşaqqa tura qaraityn türlerı joq siaqty da, būl bar jüikesıne salmaq tüsıre, ary men adal atyn bäigege tıgıp, aldyrğanynyñ bärın qaitaruğa jantalasyp bağuda. 
</t>
    </r>
    <r>
      <rPr>
        <rFont val="Arial"/>
        <sz val="10"/>
        <b/>
      </rPr>
      <t>TRANSLATION:</t>
    </r>
    <r>
      <rPr>
        <rFont val="Arial"/>
        <sz val="10"/>
      </rPr>
      <t xml:space="preserve"> Perhaps they were right and he was wrong, but these arrogant ones do not appear to be facing the future squarely; this places a strain on all his nerves, and he is straining with his honor and good name on the line, struggling to recoup all that he had lost.</t>
    </r>
  </si>
  <si>
    <r>
      <rPr>
        <rFont val="Arial"/>
        <sz val="10"/>
        <b/>
      </rPr>
      <t>TERM:</t>
    </r>
    <r>
      <rPr>
        <rFont val="Arial"/>
        <sz val="10"/>
      </rPr>
      <t xml:space="preserve"> pozor (позор) — disgrace; shame; ignominy [ORD]
</t>
    </r>
    <r>
      <rPr>
        <rFont val="Arial"/>
        <sz val="10"/>
        <b/>
      </rPr>
      <t>PASSAGE:</t>
    </r>
    <r>
      <rPr>
        <rFont val="Arial"/>
        <sz val="10"/>
      </rPr>
      <t xml:space="preserve"> навлекла позор на каждую семью в графстве.
</t>
    </r>
    <r>
      <rPr>
        <rFont val="Arial"/>
        <sz val="10"/>
        <b/>
      </rPr>
      <t>TRANS:</t>
    </r>
    <r>
      <rPr>
        <rFont val="Arial"/>
        <sz val="10"/>
      </rPr>
      <t xml:space="preserve"> navlekla pozor na kazhduyu sem'yu v grafstve.
</t>
    </r>
    <r>
      <rPr>
        <rFont val="Arial"/>
        <sz val="10"/>
        <b/>
      </rPr>
      <t>TRANSLATION:</t>
    </r>
    <r>
      <rPr>
        <rFont val="Arial"/>
        <sz val="10"/>
      </rPr>
      <t xml:space="preserve"> brought disgrace upon every family in the county.</t>
    </r>
  </si>
  <si>
    <r>
      <rPr>
        <rFont val="Arial"/>
        <sz val="10"/>
        <b/>
      </rPr>
      <t>TERM:</t>
    </r>
    <r>
      <rPr>
        <rFont val="Arial"/>
        <sz val="10"/>
      </rPr>
      <t xml:space="preserve"> KÜYE (КҮЙЕ) — soot; grime (used metaphorically: "stain") [KED, SZK]
</t>
    </r>
    <r>
      <rPr>
        <rFont val="Arial"/>
        <sz val="10"/>
        <b/>
      </rPr>
      <t>PASSAGE:</t>
    </r>
    <r>
      <rPr>
        <rFont val="Arial"/>
        <sz val="10"/>
      </rPr>
      <t xml:space="preserve"> Конфедерацияға шын берілген, плантатор отбасында туған әйел қас дұшпанға тек өз басын ғана иген жоқ, күллі графтықтардың бетіне күйе жақты.
</t>
    </r>
    <r>
      <rPr>
        <rFont val="Arial"/>
        <sz val="10"/>
        <b/>
      </rPr>
      <t>TRANS:</t>
    </r>
    <r>
      <rPr>
        <rFont val="Arial"/>
        <sz val="10"/>
      </rPr>
      <t xml:space="preserve"> Konfederasiağa şyn berılgen, plantator otbasynda tuğan äiel qas dūşpanğa tek öz basyn ğana igen joq, küllı graftyqtardyñ betıne küie jaqty.
</t>
    </r>
    <r>
      <rPr>
        <rFont val="Arial"/>
        <sz val="10"/>
        <b/>
      </rPr>
      <t>TRANSLATION:</t>
    </r>
    <r>
      <rPr>
        <rFont val="Arial"/>
        <sz val="10"/>
      </rPr>
      <t xml:space="preserve"> A woman truly devoted to the Confederacy, born in a planter's family — she did not only bow her head to the arch-enemy, she put soot on the faces of all the counties.</t>
    </r>
  </si>
  <si>
    <r>
      <rPr>
        <rFont val="Arial"/>
        <sz val="10"/>
        <b/>
      </rPr>
      <t>TERM:</t>
    </r>
    <r>
      <rPr>
        <rFont val="Arial"/>
        <sz val="10"/>
      </rPr>
      <t xml:space="preserve"> soobrazheniya chesti (соображения чести) — considerations of honour [ORD] (lemma: соображение)
</t>
    </r>
    <r>
      <rPr>
        <rFont val="Arial"/>
        <sz val="10"/>
        <b/>
      </rPr>
      <t>PASSAGE:</t>
    </r>
    <r>
      <rPr>
        <rFont val="Arial"/>
        <sz val="10"/>
      </rPr>
      <t xml:space="preserve"> Правда, когда она разговаривала с Эшли, возникало много такого, чего соображения чести не позволяли ей говорить, и эти невысказанные слова и мысли, естественно, влияли на ход беседы.
</t>
    </r>
    <r>
      <rPr>
        <rFont val="Arial"/>
        <sz val="10"/>
        <b/>
      </rPr>
      <t>TRANS:</t>
    </r>
    <r>
      <rPr>
        <rFont val="Arial"/>
        <sz val="10"/>
      </rPr>
      <t xml:space="preserve"> Pravda, kogda ona razgovarivala s Eshli, voznikalo mnogo takogo, chego soobrazheniya chesti ne pozvolyali ey govorit', i eti nevyskazannye slova i mysli, estestvenno, vliyali na khod besedy.
</t>
    </r>
    <r>
      <rPr>
        <rFont val="Arial"/>
        <sz val="10"/>
        <b/>
      </rPr>
      <t>TRANSLATION:</t>
    </r>
    <r>
      <rPr>
        <rFont val="Arial"/>
        <sz val="10"/>
      </rPr>
      <t xml:space="preserve"> True, when she spoke with Ashley, much arose that considerations of honor did not allow her to say, and these unspoken words and thoughts, naturally, influenced the course of the conversation.</t>
    </r>
  </si>
  <si>
    <r>
      <rPr>
        <rFont val="Arial"/>
        <sz val="10"/>
        <b/>
      </rPr>
      <t>TERM:</t>
    </r>
    <r>
      <rPr>
        <rFont val="Arial"/>
        <sz val="10"/>
      </rPr>
      <t xml:space="preserve"> AR (АР) — honour; conscience; inalienable inner moral principle [KED, SZK]
</t>
    </r>
    <r>
      <rPr>
        <rFont val="Arial"/>
        <sz val="10"/>
        <b/>
      </rPr>
      <t>PASSAGE:</t>
    </r>
    <r>
      <rPr>
        <rFont val="Arial"/>
        <sz val="10"/>
      </rPr>
      <t xml:space="preserve"> Анығында, Эшлимен әңгімелескенде кейбір ары жібермейтін нәрселер, айтылмай қалған ойлар әңгіме өрбуіне тосқауыл болып, кеселін тигізетін.
</t>
    </r>
    <r>
      <rPr>
        <rFont val="Arial"/>
        <sz val="10"/>
        <b/>
      </rPr>
      <t>TRANS:</t>
    </r>
    <r>
      <rPr>
        <rFont val="Arial"/>
        <sz val="10"/>
      </rPr>
      <t xml:space="preserve"> Anyğynda, Eşlimen äñgımeleskende keibır ary jıbermeitın närseler, aitylmai qalğan oilar äñgıme örbuıne tosqauyl bolyp, keselın tigızetın.
</t>
    </r>
    <r>
      <rPr>
        <rFont val="Arial"/>
        <sz val="10"/>
        <b/>
      </rPr>
      <t>TRANSLATION:</t>
    </r>
    <r>
      <rPr>
        <rFont val="Arial"/>
        <sz val="10"/>
      </rPr>
      <t xml:space="preserve"> In truth, when she conversed with Ashley, things that her sense of honor would not let her speak — those unsaid thoughts — became obstacles to the development of conversation and disrupted it.</t>
    </r>
  </si>
  <si>
    <r>
      <rPr>
        <rFont val="Arial"/>
        <sz val="10"/>
        <b/>
      </rPr>
      <t>TERM:</t>
    </r>
    <r>
      <rPr>
        <rFont val="Arial"/>
        <sz val="10"/>
      </rPr>
      <t xml:space="preserve"> vysokochtimogo (высокочтимого) — highly respected; revered (adj. masc. gen., archaic-elevated) [ORD] (lemma: высокочтимый)
</t>
    </r>
    <r>
      <rPr>
        <rFont val="Arial"/>
        <sz val="10"/>
        <b/>
      </rPr>
      <t>PASSAGE:</t>
    </r>
    <r>
      <rPr>
        <rFont val="Arial"/>
        <sz val="10"/>
      </rPr>
      <t xml:space="preserve"> Ну, а теперь пригладьте свои взъерошенные перышки и забудьте о моих грубых высказываниях по адресу гордого и высокочтимого Эшли.
</t>
    </r>
    <r>
      <rPr>
        <rFont val="Arial"/>
        <sz val="10"/>
        <b/>
      </rPr>
      <t>TRANS:</t>
    </r>
    <r>
      <rPr>
        <rFont val="Arial"/>
        <sz val="10"/>
      </rPr>
      <t xml:space="preserve"> Nu, a teper' priglad'te svoi vz"eroshennye peryshki i zabud'te o moikh grubykh vyskazyvaniyakh po adresu gordogo i vysokochtimogo Eshli.
</t>
    </r>
    <r>
      <rPr>
        <rFont val="Arial"/>
        <sz val="10"/>
        <b/>
      </rPr>
      <t>TRANSLATION:</t>
    </r>
    <r>
      <rPr>
        <rFont val="Arial"/>
        <sz val="10"/>
      </rPr>
      <t xml:space="preserve"> Well, now smooth out your ruffled feathers and forget my crude remarks at the address of the proud and highly-revered Ashley.</t>
    </r>
  </si>
  <si>
    <r>
      <rPr>
        <rFont val="Arial"/>
        <sz val="10"/>
        <b/>
      </rPr>
      <t>TERM:</t>
    </r>
    <r>
      <rPr>
        <rFont val="Arial"/>
        <sz val="10"/>
      </rPr>
      <t xml:space="preserve"> QADIRLI (ҚАДІРЛІ) — respected; held in due regard [KED, SZK]
</t>
    </r>
    <r>
      <rPr>
        <rFont val="Arial"/>
        <sz val="10"/>
        <b/>
      </rPr>
      <t>PASSAGE:</t>
    </r>
    <r>
      <rPr>
        <rFont val="Arial"/>
        <sz val="10"/>
      </rPr>
      <t xml:space="preserve"> Ал енді өзіңіздің шашылып, үкі-түкі болған қауырсындарыңызды тегістеп жіберіңіз де, менің мақтаншақ та аса қадірлі Эшлиіңіздің ауласына атқан тасымды жинап ала қойыңыз да, ерсі сөздерімді ұмытып қалыңыз.
</t>
    </r>
    <r>
      <rPr>
        <rFont val="Arial"/>
        <sz val="10"/>
        <b/>
      </rPr>
      <t>TRANS:</t>
    </r>
    <r>
      <rPr>
        <rFont val="Arial"/>
        <sz val="10"/>
      </rPr>
      <t xml:space="preserve"> Al endı özıñızdıñ şaşylyp, ükı-tükı bolğan qauyrsyndaryñyzdy tegıstep jıberıñız de, menıñ maqtanşaq ta asa qadırlı Eşliıñızdıñ aulasyna atqan tasymdy jinap ala qoiyñyz da, ersı sözderımdı ūmytyp qalyñyz.
</t>
    </r>
    <r>
      <rPr>
        <rFont val="Arial"/>
        <sz val="10"/>
        <b/>
      </rPr>
      <t>TRANSLATION:</t>
    </r>
    <r>
      <rPr>
        <rFont val="Arial"/>
        <sz val="10"/>
      </rPr>
      <t xml:space="preserve"> And now smooth out your scattered, downy-fluffed feathers, gather up the stones I have thrown at the courtyard of your boastful and highly esteemed Ashley, and forget my unseemly words.</t>
    </r>
  </si>
  <si>
    <r>
      <rPr>
        <rFont val="Arial"/>
        <sz val="10"/>
        <b/>
      </rPr>
      <t>TERM:</t>
    </r>
    <r>
      <rPr>
        <rFont val="Arial"/>
        <sz val="10"/>
      </rPr>
      <t xml:space="preserve"> blagorodnyy (благородный) — noble; of noble character [ORD]
</t>
    </r>
    <r>
      <rPr>
        <rFont val="Arial"/>
        <sz val="10"/>
        <b/>
      </rPr>
      <t>PASSAGE:</t>
    </r>
    <r>
      <rPr>
        <rFont val="Arial"/>
        <sz val="10"/>
      </rPr>
      <t xml:space="preserve"> Неужели он теперь возненавидит ее — он, ее дорогой благородный Эшли, — за то, что она опозорила его?
</t>
    </r>
    <r>
      <rPr>
        <rFont val="Arial"/>
        <sz val="10"/>
        <b/>
      </rPr>
      <t>TRANS:</t>
    </r>
    <r>
      <rPr>
        <rFont val="Arial"/>
        <sz val="10"/>
      </rPr>
      <t xml:space="preserve"> Neuzheli on teper' voznenavidit ee — on, ee dorogoy blagorodnyy Eshli, — za to, chto ona opozorila ego?
</t>
    </r>
    <r>
      <rPr>
        <rFont val="Arial"/>
        <sz val="10"/>
        <b/>
      </rPr>
      <t>TRANSLATION:</t>
    </r>
    <r>
      <rPr>
        <rFont val="Arial"/>
        <sz val="10"/>
      </rPr>
      <t xml:space="preserve"> Could it be that he will now hate her — he, her dear noble Ashley — because she has disgraced him?</t>
    </r>
  </si>
  <si>
    <r>
      <rPr>
        <rFont val="Arial"/>
        <sz val="10"/>
        <b/>
      </rPr>
      <t>TERM:</t>
    </r>
    <r>
      <rPr>
        <rFont val="Arial"/>
        <sz val="10"/>
      </rPr>
      <t xml:space="preserve"> ASYL (АСЫЛ) — noble; precious; intrinsically valuable [KED, SZK]
</t>
    </r>
    <r>
      <rPr>
        <rFont val="Arial"/>
        <sz val="10"/>
        <b/>
      </rPr>
      <t>PASSAGE:</t>
    </r>
    <r>
      <rPr>
        <rFont val="Arial"/>
        <sz val="10"/>
      </rPr>
      <t xml:space="preserve"> Мұның өзіне тигізген зиянынан кейін асыл текті Эшлиін көре алмас па екен, тіпті бұл туралы білгісі де келмей қалар ма екен, қайтер екен?
</t>
    </r>
    <r>
      <rPr>
        <rFont val="Arial"/>
        <sz val="10"/>
        <b/>
      </rPr>
      <t>TRANS:</t>
    </r>
    <r>
      <rPr>
        <rFont val="Arial"/>
        <sz val="10"/>
      </rPr>
      <t xml:space="preserve"> Mūnyñ özıne tigızgen zianynan keiın asyl tektı Eşliın köre almas pa eken, tıptı būl turaly bılgısı de kelmei qalar ma eken, qaiter eken?
</t>
    </r>
    <r>
      <rPr>
        <rFont val="Arial"/>
        <sz val="10"/>
        <b/>
      </rPr>
      <t>TRANSLATION:</t>
    </r>
    <r>
      <rPr>
        <rFont val="Arial"/>
        <sz val="10"/>
      </rPr>
      <t xml:space="preserve"> After the harm she has caused him, could it be that her noble-blooded Ashley would not be able to bear the sight of her, would no longer want to know about it, what would he do?</t>
    </r>
  </si>
  <si>
    <r>
      <rPr>
        <rFont val="Arial"/>
        <sz val="10"/>
        <b/>
      </rPr>
      <t>TERM:</t>
    </r>
    <r>
      <rPr>
        <rFont val="Arial"/>
        <sz val="10"/>
      </rPr>
      <t xml:space="preserve"> mnogouvazhaemyy (многоуважаемый) — much respected; honoured (epithet) [ORD]
</t>
    </r>
    <r>
      <rPr>
        <rFont val="Arial"/>
        <sz val="10"/>
        <b/>
      </rPr>
      <t>PASSAGE:</t>
    </r>
    <r>
      <rPr>
        <rFont val="Arial"/>
        <sz val="10"/>
      </rPr>
      <t xml:space="preserve"> Кстати, вчера вечером у нас тут был многоуважаемый Эшли.
</t>
    </r>
    <r>
      <rPr>
        <rFont val="Arial"/>
        <sz val="10"/>
        <b/>
      </rPr>
      <t>TRANS:</t>
    </r>
    <r>
      <rPr>
        <rFont val="Arial"/>
        <sz val="10"/>
      </rPr>
      <t xml:space="preserve"> Kstati, vchera vecherom u nas tut byl mnogouvazhaemyy Eshli.
</t>
    </r>
    <r>
      <rPr>
        <rFont val="Arial"/>
        <sz val="10"/>
        <b/>
      </rPr>
      <t>TRANSLATION:</t>
    </r>
    <r>
      <rPr>
        <rFont val="Arial"/>
        <sz val="10"/>
      </rPr>
      <t xml:space="preserve"> By the way, last evening the much-respected Ashley was here.</t>
    </r>
  </si>
  <si>
    <r>
      <rPr>
        <rFont val="Arial"/>
        <sz val="10"/>
        <b/>
      </rPr>
      <t>TERM:</t>
    </r>
    <r>
      <rPr>
        <rFont val="Arial"/>
        <sz val="10"/>
      </rPr>
      <t xml:space="preserve"> QŪRMETTI (ҚҰРМЕТTІ) = құрмет respected, honourable
</t>
    </r>
    <r>
      <rPr>
        <rFont val="Arial"/>
        <sz val="10"/>
        <b/>
      </rPr>
      <t>PASSAGE:</t>
    </r>
    <r>
      <rPr>
        <rFont val="Arial"/>
        <sz val="10"/>
      </rPr>
      <t xml:space="preserve"> Айтпақшы, кеше кешкісін бізге аса құрметті Эшли келіп кетті.
</t>
    </r>
    <r>
      <rPr>
        <rFont val="Arial"/>
        <sz val="10"/>
        <b/>
      </rPr>
      <t>TRANS:</t>
    </r>
    <r>
      <rPr>
        <rFont val="Arial"/>
        <sz val="10"/>
      </rPr>
      <t xml:space="preserve"> Aitpaqşy, keşe keşkısın bızge asa qūrmettı Eşli kelıp kettı.
</t>
    </r>
    <r>
      <rPr>
        <rFont val="Arial"/>
        <sz val="10"/>
        <b/>
      </rPr>
      <t>TRANSLATION:</t>
    </r>
    <r>
      <rPr>
        <rFont val="Arial"/>
        <sz val="10"/>
      </rPr>
      <t xml:space="preserve"> By the way, the highly esteemed Ashley came to us yesterday evening.</t>
    </r>
  </si>
  <si>
    <r>
      <rPr>
        <rFont val="Arial"/>
        <sz val="10"/>
        <b/>
      </rPr>
      <t>TERM:</t>
    </r>
    <r>
      <rPr>
        <rFont val="Arial"/>
        <sz val="10"/>
      </rPr>
      <t xml:space="preserve"> chest' (честь) — honour; honor [ORD]
</t>
    </r>
    <r>
      <rPr>
        <rFont val="Arial"/>
        <sz val="10"/>
        <b/>
      </rPr>
      <t>PASSAGE:</t>
    </r>
    <r>
      <rPr>
        <rFont val="Arial"/>
        <sz val="10"/>
      </rPr>
      <t xml:space="preserve"> Она привыкла считать, что никто с таким жаром не доказывает свою правдивость, как лжец, свою храбрость — как трус, свою учтивость — как дурно воспитанный человек, свою незапятнанную честь — как подонок.
</t>
    </r>
    <r>
      <rPr>
        <rFont val="Arial"/>
        <sz val="10"/>
        <b/>
      </rPr>
      <t>TRANS:</t>
    </r>
    <r>
      <rPr>
        <rFont val="Arial"/>
        <sz val="10"/>
      </rPr>
      <t xml:space="preserve"> Ona privykla schitat', chto nikto s takim zharom ne dokazyvaet svoyu pravdivost', kak lzhets, svoyu khrabrost' — kak trus, svoyu uchtivost' — kak durno vospitannyy chelovek, svoyu nezapyatnannuyu chest' — kak podonok.
</t>
    </r>
    <r>
      <rPr>
        <rFont val="Arial"/>
        <sz val="10"/>
        <b/>
      </rPr>
      <t>TRANSLATION:</t>
    </r>
    <r>
      <rPr>
        <rFont val="Arial"/>
        <sz val="10"/>
      </rPr>
      <t xml:space="preserve"> She had grown used to thinking that no one defends his truthfulness as fervently as a liar, his bravery as a coward, his courtesy as an ill-bred man, his unblemished honor as a scoundrel.</t>
    </r>
  </si>
  <si>
    <r>
      <rPr>
        <rFont val="Arial"/>
        <sz val="10"/>
        <b/>
      </rPr>
      <t>TERM:</t>
    </r>
    <r>
      <rPr>
        <rFont val="Arial"/>
        <sz val="10"/>
      </rPr>
      <t xml:space="preserve"> abyroi (абырой) — dignity; prestige; public standing; reputation (Arabic-Persian loan) [KED, SZK]
</t>
    </r>
    <r>
      <rPr>
        <rFont val="Arial"/>
        <sz val="10"/>
        <b/>
      </rPr>
      <t>PASSAGE:</t>
    </r>
    <r>
      <rPr>
        <rFont val="Arial"/>
        <sz val="10"/>
      </rPr>
      <t xml:space="preserve"> Одан басқа ешбір адамның шыншылдығын өтірікші ретінде, батылдығын қорқақ сияқты, сыпайылығын тәрбиесіз адам сияқты, дақ түспеген абыройын азғын сияқты көрсетпейтіні анық.
</t>
    </r>
    <r>
      <rPr>
        <rFont val="Arial"/>
        <sz val="10"/>
        <b/>
      </rPr>
      <t>TRANS:</t>
    </r>
    <r>
      <rPr>
        <rFont val="Arial"/>
        <sz val="10"/>
      </rPr>
      <t xml:space="preserve"> Odan basqa eşbır adamnyñ şynşyldyğyn ötırıkşı retınde, batyldyğyn qorqaq siaqty, sypaiylyğyn tärbiesız adam siaqty, daq tüspegen abyroiyn azğyn siaqty körsetpeitını anyq.
</t>
    </r>
    <r>
      <rPr>
        <rFont val="Arial"/>
        <sz val="10"/>
        <b/>
      </rPr>
      <t>TRANSLATION:</t>
    </r>
    <r>
      <rPr>
        <rFont val="Arial"/>
        <sz val="10"/>
      </rPr>
      <t xml:space="preserve"> It is clear that no other person defends his truthfulness as a liar does, his courage as a coward does, his politeness as an ill-bred man does, his unstained honor/dignity as a depraved man does.</t>
    </r>
  </si>
  <si>
    <r>
      <rPr>
        <rFont val="Arial"/>
        <sz val="10"/>
        <b/>
      </rPr>
      <t>TERM:</t>
    </r>
    <r>
      <rPr>
        <rFont val="Arial"/>
        <sz val="10"/>
      </rPr>
      <t xml:space="preserve"> chest' (честь) — honour; honor [ORD]
</t>
    </r>
    <r>
      <rPr>
        <rFont val="Arial"/>
        <sz val="10"/>
        <b/>
      </rPr>
      <t>PASSAGE:</t>
    </r>
    <r>
      <rPr>
        <rFont val="Arial"/>
        <sz val="10"/>
      </rPr>
      <t xml:space="preserve"> Он принял оказанную ему честь с достоинством и без излишнего зазнайства — просто как положенное.
</t>
    </r>
    <r>
      <rPr>
        <rFont val="Arial"/>
        <sz val="10"/>
        <b/>
      </rPr>
      <t>TRANS:</t>
    </r>
    <r>
      <rPr>
        <rFont val="Arial"/>
        <sz val="10"/>
      </rPr>
      <t xml:space="preserve"> On prinyal okazannuyu emu chest' s dostoinstvom i bez izlishnego zaznaystva — prosto kak polozhennoe.
</t>
    </r>
    <r>
      <rPr>
        <rFont val="Arial"/>
        <sz val="10"/>
        <b/>
      </rPr>
      <t>TRANSLATION:</t>
    </r>
    <r>
      <rPr>
        <rFont val="Arial"/>
        <sz val="10"/>
      </rPr>
      <t xml:space="preserve"> He accepted the honor bestowed on him with dignity and without excessive vanity — simply as something due.</t>
    </r>
  </si>
  <si>
    <r>
      <rPr>
        <rFont val="Arial"/>
        <sz val="10"/>
        <b/>
      </rPr>
      <t>TERM:</t>
    </r>
    <r>
      <rPr>
        <rFont val="Arial"/>
        <sz val="10"/>
      </rPr>
      <t xml:space="preserve"> QŪRMET (ҚҰРМЕТ) — respect; honouring (the act of paying respect) [KED, SZK]
</t>
    </r>
    <r>
      <rPr>
        <rFont val="Arial"/>
        <sz val="10"/>
        <b/>
      </rPr>
      <t>PASSAGE:</t>
    </r>
    <r>
      <rPr>
        <rFont val="Arial"/>
        <sz val="10"/>
      </rPr>
      <t xml:space="preserve"> Ол өзіне берілген құрметті дандайсымай, абыроймен лайықты түрде қабылдады.
</t>
    </r>
    <r>
      <rPr>
        <rFont val="Arial"/>
        <sz val="10"/>
        <b/>
      </rPr>
      <t>TRANS:</t>
    </r>
    <r>
      <rPr>
        <rFont val="Arial"/>
        <sz val="10"/>
      </rPr>
      <t xml:space="preserve"> Ol özıne berılgen qūrmettı dandaisymai, abyroimen laiyqty türde qabyldady.
</t>
    </r>
    <r>
      <rPr>
        <rFont val="Arial"/>
        <sz val="10"/>
        <b/>
      </rPr>
      <t>TRANSLATION:</t>
    </r>
    <r>
      <rPr>
        <rFont val="Arial"/>
        <sz val="10"/>
      </rPr>
      <t xml:space="preserve"> He accepted the honor given to him with dignity and propriety, without showing off.</t>
    </r>
  </si>
  <si>
    <r>
      <rPr>
        <rFont val="Arial"/>
        <sz val="10"/>
        <b/>
      </rPr>
      <t>TERM:</t>
    </r>
    <r>
      <rPr>
        <rFont val="Arial"/>
        <sz val="10"/>
      </rPr>
      <t xml:space="preserve"> chest' (честь) — honour; honor [ORD]
</t>
    </r>
    <r>
      <rPr>
        <rFont val="Arial"/>
        <sz val="10"/>
        <b/>
      </rPr>
      <t>PASSAGE:</t>
    </r>
    <r>
      <rPr>
        <rFont val="Arial"/>
        <sz val="10"/>
      </rPr>
      <t xml:space="preserve"> Мистер Гамильтон, я, разумеется, высоко ценю честь, которую вы оказали мне, прося стать вашей женой,
</t>
    </r>
    <r>
      <rPr>
        <rFont val="Arial"/>
        <sz val="10"/>
        <b/>
      </rPr>
      <t>TRANS:</t>
    </r>
    <r>
      <rPr>
        <rFont val="Arial"/>
        <sz val="10"/>
      </rPr>
      <t xml:space="preserve"> Mister Gamil'ton, ya, razumeetsya, vysoko tsenyu chest', kotoruyu vy okazali mne, prosya stat' vashey zhenoy,
</t>
    </r>
    <r>
      <rPr>
        <rFont val="Arial"/>
        <sz val="10"/>
        <b/>
      </rPr>
      <t>TRANSLATION:</t>
    </r>
    <r>
      <rPr>
        <rFont val="Arial"/>
        <sz val="10"/>
      </rPr>
      <t xml:space="preserve"> Mr. Hamilton, I, of course, value highly the honor that you have shown me by asking me to be your wife,</t>
    </r>
  </si>
  <si>
    <r>
      <rPr>
        <rFont val="Arial"/>
        <sz val="10"/>
        <b/>
      </rPr>
      <t>TERM:</t>
    </r>
    <r>
      <rPr>
        <rFont val="Arial"/>
        <sz val="10"/>
      </rPr>
      <t xml:space="preserve"> QŪRMET (ҚҰРМЕТ) — respect; honouring (the act of paying respect) [KED, SZK]
</t>
    </r>
    <r>
      <rPr>
        <rFont val="Arial"/>
        <sz val="10"/>
        <b/>
      </rPr>
      <t>PASSAGE:</t>
    </r>
    <r>
      <rPr>
        <rFont val="Arial"/>
        <sz val="10"/>
      </rPr>
      <t xml:space="preserve"> Гамильтон мырза, сіздің әйелім деген өтінішіңізді, көрсеткен құрметіңізді бағалаймын, ...
</t>
    </r>
    <r>
      <rPr>
        <rFont val="Arial"/>
        <sz val="10"/>
        <b/>
      </rPr>
      <t>TRANS:</t>
    </r>
    <r>
      <rPr>
        <rFont val="Arial"/>
        <sz val="10"/>
      </rPr>
      <t xml:space="preserve"> Gamilton myrza, sızdıñ äielım degen ötınışıñızdı, körsetken qūrmetıñızdı bağalaimyn, ...
</t>
    </r>
    <r>
      <rPr>
        <rFont val="Arial"/>
        <sz val="10"/>
        <b/>
      </rPr>
      <t>TRANSLATION:</t>
    </r>
    <r>
      <rPr>
        <rFont val="Arial"/>
        <sz val="10"/>
      </rPr>
      <t xml:space="preserve"> Mr. Hamilton, I value your request that I be your wife and the honor you have shown me,...</t>
    </r>
  </si>
  <si>
    <r>
      <rPr>
        <rFont val="Arial"/>
        <sz val="10"/>
        <b/>
      </rPr>
      <t>TERM:</t>
    </r>
    <r>
      <rPr>
        <rFont val="Arial"/>
        <sz val="10"/>
      </rPr>
      <t xml:space="preserve"> chesti (чести) — honour (gen./dat./prep.) [ORD] (lemma: честь)
</t>
    </r>
    <r>
      <rPr>
        <rFont val="Arial"/>
        <sz val="10"/>
        <b/>
      </rPr>
      <t>PASSAGE:</t>
    </r>
    <r>
      <rPr>
        <rFont val="Arial"/>
        <sz val="10"/>
      </rPr>
      <t xml:space="preserve"> заявляли, что рады выпавшей на долю этих храбрецов чести участвовать в великой битве,
</t>
    </r>
    <r>
      <rPr>
        <rFont val="Arial"/>
        <sz val="10"/>
        <b/>
      </rPr>
      <t>TRANS:</t>
    </r>
    <r>
      <rPr>
        <rFont val="Arial"/>
        <sz val="10"/>
      </rPr>
      <t xml:space="preserve"> zayavlyali, chto rady vypavshey na dolyu etikh khrabretsov chesti uchastvovat' v velikoy bitve,
</t>
    </r>
    <r>
      <rPr>
        <rFont val="Arial"/>
        <sz val="10"/>
        <b/>
      </rPr>
      <t>TRANSLATION:</t>
    </r>
    <r>
      <rPr>
        <rFont val="Arial"/>
        <sz val="10"/>
      </rPr>
      <t xml:space="preserve"> declared that they were glad of the honor that had befallen these brave men of participating in the great battle,</t>
    </r>
  </si>
  <si>
    <r>
      <rPr>
        <rFont val="Arial"/>
        <sz val="10"/>
        <b/>
      </rPr>
      <t>TERM:</t>
    </r>
    <r>
      <rPr>
        <rFont val="Arial"/>
        <sz val="10"/>
      </rPr>
      <t xml:space="preserve"> QŪRMET (ҚҰРМЕТ) — respect; honouring (the act of paying respect) [KED, SZK]
</t>
    </r>
    <r>
      <rPr>
        <rFont val="Arial"/>
        <sz val="10"/>
        <b/>
      </rPr>
      <t>PASSAGE:</t>
    </r>
    <r>
      <rPr>
        <rFont val="Arial"/>
        <sz val="10"/>
      </rPr>
      <t xml:space="preserve"> ұлы шайқасқа қатысу құрметі бұйрығына қуанышты екенін мәлімдеді.
</t>
    </r>
    <r>
      <rPr>
        <rFont val="Arial"/>
        <sz val="10"/>
        <b/>
      </rPr>
      <t>TRANS:</t>
    </r>
    <r>
      <rPr>
        <rFont val="Arial"/>
        <sz val="10"/>
      </rPr>
      <t xml:space="preserve"> ūly şaiqasqa qatysu qūrmetı būiryğyna quanyşty ekenın mälımdedı.
</t>
    </r>
    <r>
      <rPr>
        <rFont val="Arial"/>
        <sz val="10"/>
        <b/>
      </rPr>
      <t>TRANSLATION:</t>
    </r>
    <r>
      <rPr>
        <rFont val="Arial"/>
        <sz val="10"/>
      </rPr>
      <t xml:space="preserve"> declared that they were rejoicing over the honor of being called to participate in the great battle.</t>
    </r>
  </si>
  <si>
    <r>
      <rPr>
        <rFont val="Arial"/>
        <sz val="10"/>
        <b/>
      </rPr>
      <t>TERM:</t>
    </r>
    <r>
      <rPr>
        <rFont val="Arial"/>
        <sz val="10"/>
      </rPr>
      <t xml:space="preserve"> chest' (честь) — honour; honor [ORD]
</t>
    </r>
    <r>
      <rPr>
        <rFont val="Arial"/>
        <sz val="10"/>
        <b/>
      </rPr>
      <t>PASSAGE:</t>
    </r>
    <r>
      <rPr>
        <rFont val="Arial"/>
        <sz val="10"/>
      </rPr>
      <t xml:space="preserve"> Они оказывают мне сомнительную честь, считая за своего, ибо знают мою… назовем это «непопулярность»… среди земляков.
</t>
    </r>
    <r>
      <rPr>
        <rFont val="Arial"/>
        <sz val="10"/>
        <b/>
      </rPr>
      <t>TRANS:</t>
    </r>
    <r>
      <rPr>
        <rFont val="Arial"/>
        <sz val="10"/>
      </rPr>
      <t xml:space="preserve"> Oni okazyvayut mne somnitel'nuyu chest', schitaya za svoego, ibo znayut moyu… nazovem eto «nepopulyarnost'»… sredi zemlyakov.
</t>
    </r>
    <r>
      <rPr>
        <rFont val="Arial"/>
        <sz val="10"/>
        <b/>
      </rPr>
      <t>TRANSLATION:</t>
    </r>
    <r>
      <rPr>
        <rFont val="Arial"/>
        <sz val="10"/>
      </rPr>
      <t xml:space="preserve"> They do me the doubtful honor of considering me one of their own, for they know my... let us call it "unpopularity"... among my fellow countrymen.</t>
    </r>
  </si>
  <si>
    <r>
      <rPr>
        <rFont val="Arial"/>
        <sz val="10"/>
        <b/>
      </rPr>
      <t>TERM:</t>
    </r>
    <r>
      <rPr>
        <rFont val="Arial"/>
        <sz val="10"/>
      </rPr>
      <t xml:space="preserve"> pochestey (почестей) — honours; tokens of esteem (gen. pl.) [ORD] (lemma: почести)
</t>
    </r>
    <r>
      <rPr>
        <rFont val="Arial"/>
        <sz val="10"/>
        <b/>
      </rPr>
      <t>PASSAGE:</t>
    </r>
    <r>
      <rPr>
        <rFont val="Arial"/>
        <sz val="10"/>
      </rPr>
      <t xml:space="preserve"> Не ради почестей и славы, разумеется.
</t>
    </r>
    <r>
      <rPr>
        <rFont val="Arial"/>
        <sz val="10"/>
        <b/>
      </rPr>
      <t>TRANS:</t>
    </r>
    <r>
      <rPr>
        <rFont val="Arial"/>
        <sz val="10"/>
      </rPr>
      <t xml:space="preserve"> Ne radi pochestey i slavy, razumeetsya.
</t>
    </r>
    <r>
      <rPr>
        <rFont val="Arial"/>
        <sz val="10"/>
        <b/>
      </rPr>
      <t>TRANSLATION:</t>
    </r>
    <r>
      <rPr>
        <rFont val="Arial"/>
        <sz val="10"/>
      </rPr>
      <t xml:space="preserve"> Not for the sake of honors and glory, of course.</t>
    </r>
  </si>
  <si>
    <r>
      <rPr>
        <rFont val="Arial"/>
        <sz val="10"/>
        <b/>
      </rPr>
      <t>TERM:</t>
    </r>
    <r>
      <rPr>
        <rFont val="Arial"/>
        <sz val="10"/>
      </rPr>
      <t xml:space="preserve"> ABYROİ (АБЫРОЙ) — dignity; prestige; public standing; reputation (Arabic-Persian loan) [KED, SZK]
</t>
    </r>
    <r>
      <rPr>
        <rFont val="Arial"/>
        <sz val="10"/>
        <b/>
      </rPr>
      <t>PASSAGE:</t>
    </r>
    <r>
      <rPr>
        <rFont val="Arial"/>
        <sz val="10"/>
      </rPr>
      <t xml:space="preserve"> Әрине, абырой мен даңқ үшін емес.
</t>
    </r>
    <r>
      <rPr>
        <rFont val="Arial"/>
        <sz val="10"/>
        <b/>
      </rPr>
      <t>TRANS:</t>
    </r>
    <r>
      <rPr>
        <rFont val="Arial"/>
        <sz val="10"/>
      </rPr>
      <t xml:space="preserve"> Ärine, abyroi men dañq üşın emes.
</t>
    </r>
    <r>
      <rPr>
        <rFont val="Arial"/>
        <sz val="10"/>
        <b/>
      </rPr>
      <t>TRANSLATION:</t>
    </r>
    <r>
      <rPr>
        <rFont val="Arial"/>
        <sz val="10"/>
      </rPr>
      <t xml:space="preserve"> Of course, not for the sake of dignity and glory.</t>
    </r>
  </si>
  <si>
    <r>
      <rPr>
        <rFont val="Arial"/>
        <sz val="10"/>
        <b/>
      </rPr>
      <t>TERM:</t>
    </r>
    <r>
      <rPr>
        <rFont val="Arial"/>
        <sz val="10"/>
      </rPr>
      <t xml:space="preserve"> chest' (честь) — honour; honor [ORD]
</t>
    </r>
    <r>
      <rPr>
        <rFont val="Arial"/>
        <sz val="10"/>
        <b/>
      </rPr>
      <t>PASSAGE:</t>
    </r>
    <r>
      <rPr>
        <rFont val="Arial"/>
        <sz val="10"/>
      </rPr>
      <t xml:space="preserve"> А ему, видимо, трудно примирить честь Уилксов с жаждой обладать вами, которая снедает его.
</t>
    </r>
    <r>
      <rPr>
        <rFont val="Arial"/>
        <sz val="10"/>
        <b/>
      </rPr>
      <t>TRANS:</t>
    </r>
    <r>
      <rPr>
        <rFont val="Arial"/>
        <sz val="10"/>
      </rPr>
      <t xml:space="preserve"> A emu, vidimo, trudno primirit' chest' Uilksov s zhazhdoy obladat' vami, kotoraya snedaet ego.
</t>
    </r>
    <r>
      <rPr>
        <rFont val="Arial"/>
        <sz val="10"/>
        <b/>
      </rPr>
      <t>TRANSLATION:</t>
    </r>
    <r>
      <rPr>
        <rFont val="Arial"/>
        <sz val="10"/>
      </rPr>
      <t xml:space="preserve"> And he, evidently, finds it hard to reconcile the Wilkes honor with the longing to possess you that consumes him.</t>
    </r>
  </si>
  <si>
    <r>
      <rPr>
        <rFont val="Arial"/>
        <sz val="10"/>
        <b/>
      </rPr>
      <t>TERM:</t>
    </r>
    <r>
      <rPr>
        <rFont val="Arial"/>
        <sz val="10"/>
      </rPr>
      <t xml:space="preserve"> qūrmetti (ҚҰРМЕТТI) = respected, honoured
 abyroi (АБЫРОЙ) = dignity; authority 
</t>
    </r>
    <r>
      <rPr>
        <rFont val="Arial"/>
        <sz val="10"/>
        <b/>
      </rPr>
      <t>PASSAGE:</t>
    </r>
    <r>
      <rPr>
        <rFont val="Arial"/>
        <sz val="10"/>
      </rPr>
      <t xml:space="preserve"> Еркек бәріне құрметті қожайын бола тұрып, жұбайына да адал күйінде, сүйген әйелінің ақылы мен жан дүниесіне бас ие де алады, тыныш өмірін де сүру алады. Сізді иемденгісі келген ынтық сезімі мен Уилкстердің абыройы таразыға қатар түскенде, өзін іштен мүжіп жейтін шығар.
</t>
    </r>
    <r>
      <rPr>
        <rFont val="Arial"/>
        <sz val="10"/>
        <b/>
      </rPr>
      <t>TRANS:</t>
    </r>
    <r>
      <rPr>
        <rFont val="Arial"/>
        <sz val="10"/>
      </rPr>
      <t xml:space="preserve"> Erkek bärıne qūrmettı qojaiyn bola tūryp, jūbaiyna da adal küiınde, süigen äielınıñ aqyly men jan düniesıne bas ie de alady, tynyş ömırın de süru alady. Sızdı iemdengısı kelgen yntyq sezımı men Uilksterdıñ abyroiy tarazyğa qatar tüskende, özın ışten müjıp jeitın şyğar.
</t>
    </r>
    <r>
      <rPr>
        <rFont val="Arial"/>
        <sz val="10"/>
        <b/>
      </rPr>
      <t>TRANSLATION:</t>
    </r>
    <r>
      <rPr>
        <rFont val="Arial"/>
        <sz val="10"/>
      </rPr>
      <t xml:space="preserve"> A man can be respected master of all and faithful husband, can be lord of the mind and soul of his beloved woman and live a peaceful life. When the longing-feeling that wants to possess you and the Wilkes' honor are placed on the scales together, he probably eats himself up inwardly.</t>
    </r>
  </si>
  <si>
    <r>
      <rPr>
        <rFont val="Arial"/>
        <sz val="10"/>
        <b/>
      </rPr>
      <t>TERM:</t>
    </r>
    <r>
      <rPr>
        <rFont val="Arial"/>
        <sz val="10"/>
      </rPr>
      <t xml:space="preserve"> chest'yu (честью) — honour (instr.); honourably [ORD] (lemma: честь)
</t>
    </r>
    <r>
      <rPr>
        <rFont val="Arial"/>
        <sz val="10"/>
        <b/>
      </rPr>
      <t>PASSAGE:</t>
    </r>
    <r>
      <rPr>
        <rFont val="Arial"/>
        <sz val="10"/>
      </rPr>
      <t xml:space="preserve"> Но, как большинство людей его породы, он предпочитает самой большой любви то, что в этих краях именуют честью.
</t>
    </r>
    <r>
      <rPr>
        <rFont val="Arial"/>
        <sz val="10"/>
        <b/>
      </rPr>
      <t>TRANS:</t>
    </r>
    <r>
      <rPr>
        <rFont val="Arial"/>
        <sz val="10"/>
      </rPr>
      <t xml:space="preserve"> No, kak bol'shinstvo lyudey ego porody, on predpochitaet samoy bol'shoy lyubvi to, chto v etikh krayakh imenuyut chest'yu.
</t>
    </r>
    <r>
      <rPr>
        <rFont val="Arial"/>
        <sz val="10"/>
        <b/>
      </rPr>
      <t>TRANSLATION:</t>
    </r>
    <r>
      <rPr>
        <rFont val="Arial"/>
        <sz val="10"/>
      </rPr>
      <t xml:space="preserve"> But like most people of his breed, he prefers, to the greatest love, what in these parts they call honor.</t>
    </r>
  </si>
  <si>
    <r>
      <rPr>
        <rFont val="Arial"/>
        <sz val="10"/>
        <b/>
      </rPr>
      <t>TERM:</t>
    </r>
    <r>
      <rPr>
        <rFont val="Arial"/>
        <sz val="10"/>
      </rPr>
      <t xml:space="preserve"> ABYROİ (АБЫРОЙ) — dignity; prestige; public standing; reputation (Arabic-Persian loan) [KED, SZK]
</t>
    </r>
    <r>
      <rPr>
        <rFont val="Arial"/>
        <sz val="10"/>
        <b/>
      </rPr>
      <t>PASSAGE:</t>
    </r>
    <r>
      <rPr>
        <rFont val="Arial"/>
        <sz val="10"/>
      </rPr>
      <t xml:space="preserve"> Бұл өңірдегілер абыройға санайтын үлкен махаббат иесі болуды ол да қалайтын шығар, тегіндегі басқа адамдар секілді.
</t>
    </r>
    <r>
      <rPr>
        <rFont val="Arial"/>
        <sz val="10"/>
        <b/>
      </rPr>
      <t>TRANS:</t>
    </r>
    <r>
      <rPr>
        <rFont val="Arial"/>
        <sz val="10"/>
      </rPr>
      <t xml:space="preserve"> Būl öñırdegıler abyroiğa sanaityn ülken mahabbat iesı boludy ol da qalaityn şyğar, tegındegı basqa adamdar sekıldı.
</t>
    </r>
    <r>
      <rPr>
        <rFont val="Arial"/>
        <sz val="10"/>
        <b/>
      </rPr>
      <t>TRANSLATION:</t>
    </r>
    <r>
      <rPr>
        <rFont val="Arial"/>
        <sz val="10"/>
      </rPr>
      <t xml:space="preserve"> Perhaps he too desires to be the bearer of a great love that the people of this region count as honor, like the others of his sort.</t>
    </r>
  </si>
  <si>
    <r>
      <rPr>
        <rFont val="Arial"/>
        <sz val="10"/>
        <b/>
      </rPr>
      <t>TERM:</t>
    </r>
    <r>
      <rPr>
        <rFont val="Arial"/>
        <sz val="10"/>
      </rPr>
      <t xml:space="preserve"> chtimoe (чтимое) — esteemed; revered [ORD] (lemma: чтимый)
</t>
    </r>
    <r>
      <rPr>
        <rFont val="Arial"/>
        <sz val="10"/>
        <b/>
      </rPr>
      <t>PASSAGE:</t>
    </r>
    <r>
      <rPr>
        <rFont val="Arial"/>
        <sz val="10"/>
      </rPr>
      <t xml:space="preserve"> и Скарлетт оторопела: как сумел он вложить столько циничного презрения в одно короткое, высоко всеми чтимое слово?
</t>
    </r>
    <r>
      <rPr>
        <rFont val="Arial"/>
        <sz val="10"/>
        <b/>
      </rPr>
      <t>TRANS:</t>
    </r>
    <r>
      <rPr>
        <rFont val="Arial"/>
        <sz val="10"/>
      </rPr>
      <t xml:space="preserve"> i Skarlett otoropela: kak sumel on vlozhit' stol'ko tsinichnogo prezreniya v odno korotkoe, vysoko vsemi chtimoe slovo?
</t>
    </r>
    <r>
      <rPr>
        <rFont val="Arial"/>
        <sz val="10"/>
        <b/>
      </rPr>
      <t>TRANSLATION:</t>
    </r>
    <r>
      <rPr>
        <rFont val="Arial"/>
        <sz val="10"/>
      </rPr>
      <t xml:space="preserve"> and Scarlett was taken aback: how had he managed to put so much cynical contempt into one short word that everyone holds in such high esteem?</t>
    </r>
  </si>
  <si>
    <r>
      <rPr>
        <rFont val="Arial"/>
        <sz val="10"/>
        <b/>
      </rPr>
      <t>TERM:</t>
    </r>
    <r>
      <rPr>
        <rFont val="Arial"/>
        <sz val="10"/>
      </rPr>
      <t xml:space="preserve"> ARDAQTAU (АРДАҚТАУ) — to honour; to pay due respect; to cherish (from ардақ "honour, esteem") [KED, SZK]
</t>
    </r>
    <r>
      <rPr>
        <rFont val="Arial"/>
        <sz val="10"/>
        <b/>
      </rPr>
      <t>PASSAGE:</t>
    </r>
    <r>
      <rPr>
        <rFont val="Arial"/>
        <sz val="10"/>
      </rPr>
      <t xml:space="preserve"> Скарлетт бұған аң-таң болды: ол қысқа ғана, барлығы соншалықты ардақтайтын осы бір сөзге соншалықты арсыз жеккөрушілікті қалай сыйғызып жіберді?
</t>
    </r>
    <r>
      <rPr>
        <rFont val="Arial"/>
        <sz val="10"/>
        <b/>
      </rPr>
      <t>TRANS:</t>
    </r>
    <r>
      <rPr>
        <rFont val="Arial"/>
        <sz val="10"/>
      </rPr>
      <t xml:space="preserve"> Skarlett būğan añ-tañ boldy: ol qysqa ğana, barlyğy sonşalyqty ardaqtaityn osy bır sözge sonşalyqty arsyz jekköruşılıktı qalai syiğyzyp jıberdı?
</t>
    </r>
    <r>
      <rPr>
        <rFont val="Arial"/>
        <sz val="10"/>
        <b/>
      </rPr>
      <t>TRANSLATION:</t>
    </r>
    <r>
      <rPr>
        <rFont val="Arial"/>
        <sz val="10"/>
      </rPr>
      <t xml:space="preserve"> Scarlett was astonished by this: how had he packed so much shameless contempt into this single short word that everyone holds in such high regard?</t>
    </r>
  </si>
  <si>
    <r>
      <rPr>
        <rFont val="Arial"/>
        <sz val="10"/>
        <b/>
      </rPr>
      <t>TERM:</t>
    </r>
    <r>
      <rPr>
        <rFont val="Arial"/>
        <sz val="10"/>
      </rPr>
      <t xml:space="preserve"> pochtennyy (почтенный) — venerable; esteemed [ORD]
</t>
    </r>
    <r>
      <rPr>
        <rFont val="Arial"/>
        <sz val="10"/>
        <b/>
      </rPr>
      <t>PASSAGE:</t>
    </r>
    <r>
      <rPr>
        <rFont val="Arial"/>
        <sz val="10"/>
      </rPr>
      <t xml:space="preserve"> Тем не менее я всегда восхищался им и старался подражать ему куда больше, чем отцу, хотя отец у меня — весьма благовоспитанный господин, чрезвычайно почтенный и религиозный, так что видите, как оно бывает.
</t>
    </r>
    <r>
      <rPr>
        <rFont val="Arial"/>
        <sz val="10"/>
        <b/>
      </rPr>
      <t>TRANS:</t>
    </r>
    <r>
      <rPr>
        <rFont val="Arial"/>
        <sz val="10"/>
      </rPr>
      <t xml:space="preserve"> Tem ne menee ya vsegda voskhishchalsya im i staralsya podrazhat' emu kuda bol'she, chem ottsu, khotya otets u menya — ves'ma blagovospitannyy gospodin, chrezvychayno pochtennyy i religioznyy, tak chto vidite, kak ono byvaet.
</t>
    </r>
    <r>
      <rPr>
        <rFont val="Arial"/>
        <sz val="10"/>
        <b/>
      </rPr>
      <t>TRANSLATION:</t>
    </r>
    <r>
      <rPr>
        <rFont val="Arial"/>
        <sz val="10"/>
      </rPr>
      <t xml:space="preserve"> Nevertheless I always admired him and tried to imitate him much more than my father, although my father is a very well-bred gentleman, extremely respectable and religious, so you see how it goes.</t>
    </r>
  </si>
  <si>
    <r>
      <rPr>
        <rFont val="Arial"/>
        <sz val="10"/>
        <b/>
      </rPr>
      <t>TERM:</t>
    </r>
    <r>
      <rPr>
        <rFont val="Arial"/>
        <sz val="10"/>
      </rPr>
      <t xml:space="preserve"> poryadochnost' (порядочность) — decency; respectability; integrity [ORD]
</t>
    </r>
    <r>
      <rPr>
        <rFont val="Arial"/>
        <sz val="10"/>
        <b/>
      </rPr>
      <t>PASSAGE:</t>
    </r>
    <r>
      <rPr>
        <rFont val="Arial"/>
        <sz val="10"/>
      </rPr>
      <t xml:space="preserve"> К сожалению, вы — супруга Фрэнка, и порядочность запрещает мне говорить вам о своих чувствах.
</t>
    </r>
    <r>
      <rPr>
        <rFont val="Arial"/>
        <sz val="10"/>
        <b/>
      </rPr>
      <t>TRANS:</t>
    </r>
    <r>
      <rPr>
        <rFont val="Arial"/>
        <sz val="10"/>
      </rPr>
      <t xml:space="preserve"> K sozhaleniyu, vy — supruga Frenka, i poryadochnost' zapreshchaet mne govorit' vam o svoikh chuvstvakh.
</t>
    </r>
    <r>
      <rPr>
        <rFont val="Arial"/>
        <sz val="10"/>
        <b/>
      </rPr>
      <t>TRANSLATION:</t>
    </r>
    <r>
      <rPr>
        <rFont val="Arial"/>
        <sz val="10"/>
      </rPr>
      <t xml:space="preserve"> Unfortunately, you are Frank's wife, and decency forbids me to speak to you of my feelings.</t>
    </r>
  </si>
  <si>
    <r>
      <rPr>
        <rFont val="Arial"/>
        <sz val="10"/>
        <b/>
      </rPr>
      <t>TERM:</t>
    </r>
    <r>
      <rPr>
        <rFont val="Arial"/>
        <sz val="10"/>
      </rPr>
      <t xml:space="preserve"> ADAMGERŞILIK (АДАМГЕРШІЛІК) — humanity; civility; humanness (the secularised humanist moral term) [KED, SZK]
</t>
    </r>
    <r>
      <rPr>
        <rFont val="Arial"/>
        <sz val="10"/>
        <b/>
      </rPr>
      <t>PASSAGE:</t>
    </r>
    <r>
      <rPr>
        <rFont val="Arial"/>
        <sz val="10"/>
      </rPr>
      <t xml:space="preserve"> Өкініштісі, сіз енді Фрэнктің жұбайысыз, өз сезімдерім туралы баяндағаным да адамгершілікке жатпайды.
</t>
    </r>
    <r>
      <rPr>
        <rFont val="Arial"/>
        <sz val="10"/>
        <b/>
      </rPr>
      <t>TRANS:</t>
    </r>
    <r>
      <rPr>
        <rFont val="Arial"/>
        <sz val="10"/>
      </rPr>
      <t xml:space="preserve"> Ökınıştısı, sız endı Frenktıñ jūbaiysyz, öz sezımderım turaly baiandağanym da adamgerşılıkke jatpaidy.
</t>
    </r>
    <r>
      <rPr>
        <rFont val="Arial"/>
        <sz val="10"/>
        <b/>
      </rPr>
      <t>TRANSLATION:</t>
    </r>
    <r>
      <rPr>
        <rFont val="Arial"/>
        <sz val="10"/>
      </rPr>
      <t xml:space="preserve"> Unfortunately, you are now Frank's wife, and to speak of my own feelings goes against humanity/decency.</t>
    </r>
  </si>
  <si>
    <r>
      <rPr>
        <rFont val="Arial"/>
        <sz val="10"/>
        <b/>
      </rPr>
      <t>TERM:</t>
    </r>
    <r>
      <rPr>
        <rFont val="Arial"/>
        <sz val="10"/>
      </rPr>
      <t xml:space="preserve"> unizitel'no (унизительно) — humiliatingly; demeaningly (adv.) [ORD]
</t>
    </r>
    <r>
      <rPr>
        <rFont val="Arial"/>
        <sz val="10"/>
        <b/>
      </rPr>
      <t>PASSAGE:</t>
    </r>
    <r>
      <rPr>
        <rFont val="Arial"/>
        <sz val="10"/>
      </rPr>
      <t xml:space="preserve"> А часам к десяти, и никак не раньше, Бойду удастся втолковать ей, что было бы унизительно для любого из ее сыновей оставаться в учебном заведении, где ректор позволил себе разговаривать с нами в таком тоне.
</t>
    </r>
    <r>
      <rPr>
        <rFont val="Arial"/>
        <sz val="10"/>
        <b/>
      </rPr>
      <t>TRANS:</t>
    </r>
    <r>
      <rPr>
        <rFont val="Arial"/>
        <sz val="10"/>
      </rPr>
      <t xml:space="preserve"> A chasam k desyati, i nikak ne ran'she, Boydu udastsya vtolkovat' ey, chto bylo by unizitel'no dlya lyubogo iz ee synovey ostavat'sya v uchebnom zavedenii, gde rektor pozvolil sebe razgovarivat' s nami v takom tone.
</t>
    </r>
    <r>
      <rPr>
        <rFont val="Arial"/>
        <sz val="10"/>
        <b/>
      </rPr>
      <t>TRANSLATION:</t>
    </r>
    <r>
      <rPr>
        <rFont val="Arial"/>
        <sz val="10"/>
      </rPr>
      <t xml:space="preserve"> And around ten o'clock — and no earlier — Boyd will manage to convince her that it would be humiliating for any of her sons to remain at an institution where the rector has allowed himself to speak with us in such a tone.</t>
    </r>
  </si>
  <si>
    <r>
      <rPr>
        <rFont val="Arial"/>
        <sz val="10"/>
        <b/>
      </rPr>
      <t>TERM:</t>
    </r>
    <r>
      <rPr>
        <rFont val="Arial"/>
        <sz val="10"/>
      </rPr>
      <t xml:space="preserve"> QORLYQ (ҚОРЛЫҚ) — humiliation; abasement; disgrace [KED, SZK]
MASQARA (МАСҚАРА) — disgrace; scandal; outrage (acute) [KED, SZK]
</t>
    </r>
    <r>
      <rPr>
        <rFont val="Arial"/>
        <sz val="10"/>
        <b/>
      </rPr>
      <t>PASSAGE:</t>
    </r>
    <r>
      <rPr>
        <rFont val="Arial"/>
        <sz val="10"/>
      </rPr>
      <t xml:space="preserve"> Ал сағат түнгі онға қарай (одан бұрын болуы мүмкін емес), ұлдарына ректордың өзі қырын қабақ танытқан оқу орнында қалуы Бойд үшін қорлық, масқара екенін түсіндірудің ыңғайы келеді.
</t>
    </r>
    <r>
      <rPr>
        <rFont val="Arial"/>
        <sz val="10"/>
        <b/>
      </rPr>
      <t>TRANS:</t>
    </r>
    <r>
      <rPr>
        <rFont val="Arial"/>
        <sz val="10"/>
      </rPr>
      <t xml:space="preserve"> Al sağat tüngı onğa qarai (odan būryn boluy mümkın emes), ūldaryna rektordyñ özı qyryn qabaq tanytqan oqu ornynda qaluy Boid üşın qorlyq, masqara ekenın tüsındırudıñ yñğaiy keledı.
</t>
    </r>
    <r>
      <rPr>
        <rFont val="Arial"/>
        <sz val="10"/>
        <b/>
      </rPr>
      <t>TRANSLATION:</t>
    </r>
    <r>
      <rPr>
        <rFont val="Arial"/>
        <sz val="10"/>
      </rPr>
      <t xml:space="preserve"> And by about ten in the evening (no sooner), the moment will come for Boyd to explain that it would be a humiliation, a disgrace for her sons to stay at an institution where the rector himself has shown them a stern face.</t>
    </r>
  </si>
  <si>
    <r>
      <rPr>
        <rFont val="Arial"/>
        <sz val="10"/>
        <b/>
      </rPr>
      <t>TERM:</t>
    </r>
    <r>
      <rPr>
        <rFont val="Arial"/>
        <sz val="10"/>
      </rPr>
      <t xml:space="preserve"> beschestnaya (бесчестная) — dishonourable (adj. fem.) [ORD] (lemma: бесчестный)
</t>
    </r>
    <r>
      <rPr>
        <rFont val="Arial"/>
        <sz val="10"/>
        <b/>
      </rPr>
      <t>PASSAGE:</t>
    </r>
    <r>
      <rPr>
        <rFont val="Arial"/>
        <sz val="10"/>
      </rPr>
      <t xml:space="preserve"> Вы не только бесчестная, но еще и самонадеянная
</t>
    </r>
    <r>
      <rPr>
        <rFont val="Arial"/>
        <sz val="10"/>
        <b/>
      </rPr>
      <t>TRANS:</t>
    </r>
    <r>
      <rPr>
        <rFont val="Arial"/>
        <sz val="10"/>
      </rPr>
      <t xml:space="preserve"> Vy ne tol'ko beschestnaya, no eshche i samonadeyannaya
</t>
    </r>
    <r>
      <rPr>
        <rFont val="Arial"/>
        <sz val="10"/>
        <b/>
      </rPr>
      <t>TRANSLATION:</t>
    </r>
    <r>
      <rPr>
        <rFont val="Arial"/>
        <sz val="10"/>
      </rPr>
      <t xml:space="preserve"> You are not only dishonest, but also conceited</t>
    </r>
  </si>
  <si>
    <r>
      <rPr>
        <rFont val="Arial"/>
        <sz val="10"/>
        <b/>
      </rPr>
      <t>TERM:</t>
    </r>
    <r>
      <rPr>
        <rFont val="Arial"/>
        <sz val="10"/>
      </rPr>
      <t xml:space="preserve"> ÄDILETSIZDIK (ӘДІЛЕТСІЗДІК) = injustice, unfairness, dishonesty, dishonor
</t>
    </r>
    <r>
      <rPr>
        <rFont val="Arial"/>
        <sz val="10"/>
        <b/>
      </rPr>
      <t>PASSAGE:</t>
    </r>
    <r>
      <rPr>
        <rFont val="Arial"/>
        <sz val="10"/>
      </rPr>
      <t xml:space="preserve"> Сіз әділетсіздігіңізбен қоса, өзіңізді тым артық бағалап жібереді екенсіз
</t>
    </r>
    <r>
      <rPr>
        <rFont val="Arial"/>
        <sz val="10"/>
        <b/>
      </rPr>
      <t>TRANS:</t>
    </r>
    <r>
      <rPr>
        <rFont val="Arial"/>
        <sz val="10"/>
      </rPr>
      <t xml:space="preserve"> Sız ädıletsızdıgıñızben qosa, özıñızdı tym artyq bağalap jıberedı ekensız
</t>
    </r>
    <r>
      <rPr>
        <rFont val="Arial"/>
        <sz val="10"/>
        <b/>
      </rPr>
      <t>TRANSLATION:</t>
    </r>
    <r>
      <rPr>
        <rFont val="Arial"/>
        <sz val="10"/>
      </rPr>
      <t xml:space="preserve"> In addition to your unjustness, it turns out you also overrate yourself excessively</t>
    </r>
  </si>
  <si>
    <r>
      <rPr>
        <rFont val="Arial"/>
        <sz val="10"/>
        <b/>
      </rPr>
      <t>TERM:</t>
    </r>
    <r>
      <rPr>
        <rFont val="Arial"/>
        <sz val="10"/>
      </rPr>
      <t xml:space="preserve"> poryadochnyy i blagorodnyy (порядочный и благородный) — decent and noble [ORD] (lemma: порядочный)
</t>
    </r>
    <r>
      <rPr>
        <rFont val="Arial"/>
        <sz val="10"/>
        <b/>
      </rPr>
      <t>PASSAGE:</t>
    </r>
    <r>
      <rPr>
        <rFont val="Arial"/>
        <sz val="10"/>
      </rPr>
      <t xml:space="preserve"> blagorodstvo (благородство) = nobility Знаю, что он человек порядочный и благородный. Мы с вами благородством не отличаемся, и у нас нет понятия чести, верно?
</t>
    </r>
    <r>
      <rPr>
        <rFont val="Arial"/>
        <sz val="10"/>
        <b/>
      </rPr>
      <t>TRANS:</t>
    </r>
    <r>
      <rPr>
        <rFont val="Arial"/>
        <sz val="10"/>
      </rPr>
      <t xml:space="preserve"> blagorodstvo (blagorodstvo) = nobility Znayu, chto on chelovek poryadochnyy i blagorodnyy. My s vami blagorodstvom ne otlichaemsya, i u nas net ponyatiya chesti, verno?
</t>
    </r>
    <r>
      <rPr>
        <rFont val="Arial"/>
        <sz val="10"/>
        <b/>
      </rPr>
      <t>TRANSLATION:</t>
    </r>
    <r>
      <rPr>
        <rFont val="Arial"/>
        <sz val="10"/>
      </rPr>
      <t xml:space="preserve"> blagorodstvo = nobility. I know that he is decent and noble. You and I do not stand out for nobility, and we have no concept of honor, do we?</t>
    </r>
  </si>
  <si>
    <r>
      <rPr>
        <rFont val="Arial"/>
        <sz val="10"/>
        <b/>
      </rPr>
      <t>TERM:</t>
    </r>
    <r>
      <rPr>
        <rFont val="Arial"/>
        <sz val="10"/>
      </rPr>
      <t xml:space="preserve"> ADAL (АДАЛ) — honest; faithful; pure; lawful (Arabic ḥalāl) [KED, SZK]
asyl (АСЫЛ) = noble; precious
</t>
    </r>
    <r>
      <rPr>
        <rFont val="Arial"/>
        <sz val="10"/>
        <b/>
      </rPr>
      <t>PASSAGE:</t>
    </r>
    <r>
      <rPr>
        <rFont val="Arial"/>
        <sz val="10"/>
      </rPr>
      <t xml:space="preserve"> Оның адал һәм абзал жан екенін білемін. Біз асыл тегімізбен, абзал жүрегімізбен ерекшелене алмаймыз, бізде адалдық деген түсінік жоқ қой, солай ма?
</t>
    </r>
    <r>
      <rPr>
        <rFont val="Arial"/>
        <sz val="10"/>
        <b/>
      </rPr>
      <t>TRANS:</t>
    </r>
    <r>
      <rPr>
        <rFont val="Arial"/>
        <sz val="10"/>
      </rPr>
      <t xml:space="preserve">  Onyñ adal häm abzal jan ekenın bılemın. Bız asyl tegımızben, abzal jüregımızben erekşelene almaimyz, bızde adaldyq degen tüsınık joq qoi, solai ma?
</t>
    </r>
    <r>
      <rPr>
        <rFont val="Arial"/>
        <sz val="10"/>
        <b/>
      </rPr>
      <t>TRANSLATION:</t>
    </r>
    <r>
      <rPr>
        <rFont val="Arial"/>
        <sz val="10"/>
      </rPr>
      <t xml:space="preserve"> I know he is honest and noble. You and I cannot stand out by our noble origin, by a noble heart; we have no notion of honesty, isn't that so?</t>
    </r>
  </si>
  <si>
    <r>
      <rPr>
        <rFont val="Arial"/>
        <sz val="10"/>
        <b/>
      </rPr>
      <t>TERM:</t>
    </r>
    <r>
      <rPr>
        <rFont val="Arial"/>
        <sz val="10"/>
      </rPr>
      <t xml:space="preserve"> beschestnyy (бесчестный) — dishonourable; ignoble [ORD]
</t>
    </r>
    <r>
      <rPr>
        <rFont val="Arial"/>
        <sz val="10"/>
        <b/>
      </rPr>
      <t>PASSAGE:</t>
    </r>
    <r>
      <rPr>
        <rFont val="Arial"/>
        <sz val="10"/>
      </rPr>
      <t xml:space="preserve"> А до чего же приятно знать, что существует на свете человек плохой и бесчестный, обманщик и лгун,
</t>
    </r>
    <r>
      <rPr>
        <rFont val="Arial"/>
        <sz val="10"/>
        <b/>
      </rPr>
      <t>TRANS:</t>
    </r>
    <r>
      <rPr>
        <rFont val="Arial"/>
        <sz val="10"/>
      </rPr>
      <t xml:space="preserve"> A do chego zhe priyatno znat', chto sushchestvuet na svete chelovek plokhoy i beschestnyy, obmanshchik i lgun,
</t>
    </r>
    <r>
      <rPr>
        <rFont val="Arial"/>
        <sz val="10"/>
        <b/>
      </rPr>
      <t>TRANSLATION:</t>
    </r>
    <r>
      <rPr>
        <rFont val="Arial"/>
        <sz val="10"/>
      </rPr>
      <t xml:space="preserve"> And how pleasant it is to know that there exists in the world a person bad and dishonorable, a deceiver and liar,</t>
    </r>
  </si>
  <si>
    <r>
      <rPr>
        <rFont val="Arial"/>
        <sz val="10"/>
        <b/>
      </rPr>
      <t>TERM:</t>
    </r>
    <r>
      <rPr>
        <rFont val="Arial"/>
        <sz val="10"/>
      </rPr>
      <t xml:space="preserve"> ŪİATSYZ (ҰЯТСЫЗ) — shameless; without sense of shame [KED, SZK]
</t>
    </r>
    <r>
      <rPr>
        <rFont val="Arial"/>
        <sz val="10"/>
        <b/>
      </rPr>
      <t>PASSAGE:</t>
    </r>
    <r>
      <rPr>
        <rFont val="Arial"/>
        <sz val="10"/>
      </rPr>
      <t xml:space="preserve"> ұятсыз, өтірікші, арсыз осындай адамдар да болатынын білу қандай ғанибет.
</t>
    </r>
    <r>
      <rPr>
        <rFont val="Arial"/>
        <sz val="10"/>
        <b/>
      </rPr>
      <t>TRANS:</t>
    </r>
    <r>
      <rPr>
        <rFont val="Arial"/>
        <sz val="10"/>
      </rPr>
      <t xml:space="preserve"> ūiatsyz, ötırıkşı, arsyz osyndai adamdar da bolatynyn bılu qandai ğanibet.
</t>
    </r>
    <r>
      <rPr>
        <rFont val="Arial"/>
        <sz val="10"/>
        <b/>
      </rPr>
      <t>TRANSLATION:</t>
    </r>
    <r>
      <rPr>
        <rFont val="Arial"/>
        <sz val="10"/>
      </rPr>
      <t xml:space="preserve"> How pleasant it is to know that there exists in the world such people — shameless, lying, dishonorable.</t>
    </r>
  </si>
  <si>
    <r>
      <rPr>
        <rFont val="Arial"/>
        <sz val="10"/>
        <b/>
      </rPr>
      <t>TERM:</t>
    </r>
    <r>
      <rPr>
        <rFont val="Arial"/>
        <sz val="10"/>
      </rPr>
      <t xml:space="preserve"> bez chesti i sovesti (без чести и совести) — without honour or conscience (set phrase) [ORD] (lemma: честь)
</t>
    </r>
    <r>
      <rPr>
        <rFont val="Arial"/>
        <sz val="10"/>
        <b/>
      </rPr>
      <t>PASSAGE:</t>
    </r>
    <r>
      <rPr>
        <rFont val="Arial"/>
        <sz val="10"/>
      </rPr>
      <t xml:space="preserve"> Она любила его — негодяя, мерзавца, человека без чести и совести, во всяком случае в том смысле, в каком Эшли понимал честь.
</t>
    </r>
    <r>
      <rPr>
        <rFont val="Arial"/>
        <sz val="10"/>
        <b/>
      </rPr>
      <t>TRANS:</t>
    </r>
    <r>
      <rPr>
        <rFont val="Arial"/>
        <sz val="10"/>
      </rPr>
      <t xml:space="preserve"> Ona lyubila ego — negodyaya, merzavtsa, cheloveka bez chesti i sovesti, vo vsyakom sluchae v tom smysle, v kakom Eshli ponimal chest'.
</t>
    </r>
    <r>
      <rPr>
        <rFont val="Arial"/>
        <sz val="10"/>
        <b/>
      </rPr>
      <t>TRANSLATION:</t>
    </r>
    <r>
      <rPr>
        <rFont val="Arial"/>
        <sz val="10"/>
      </rPr>
      <t xml:space="preserve"> She loved him — a scoundrel, a villain, a man without honor or conscience, at any rate in the sense in which Ashley understood honor.</t>
    </r>
  </si>
  <si>
    <r>
      <rPr>
        <rFont val="Arial"/>
        <sz val="10"/>
        <b/>
      </rPr>
      <t>TERM:</t>
    </r>
    <r>
      <rPr>
        <rFont val="Arial"/>
        <sz val="10"/>
      </rPr>
      <t xml:space="preserve"> AR (АР) — honour; conscience; inalienable inner moral principle [KED, SZK]
ADALDYQ (АДАЛДЫҚ)
ADAMŞYLYQ (АДАМШЫЛЫҚ)
ŪİAT (ҰЯТ)
</t>
    </r>
    <r>
      <rPr>
        <rFont val="Arial"/>
        <sz val="10"/>
        <b/>
      </rPr>
      <t>PASSAGE:</t>
    </r>
    <r>
      <rPr>
        <rFont val="Arial"/>
        <sz val="10"/>
      </rPr>
      <t xml:space="preserve"> Ол соны - оңбағанды, жексұрынды, ары мен ұяты жоқ адамды, өз пайымдауынша, Эшли қандай адам деп ойлауы мүмкін болса, сондай адамды сүйетін. "Барсыншы әрі сол Эшли, өзінің адалдығымен, адамшылық туралы түсініктерімен мені шатастырып бітті, сатып кетті.
</t>
    </r>
    <r>
      <rPr>
        <rFont val="Arial"/>
        <sz val="10"/>
        <b/>
      </rPr>
      <t>TRANS:</t>
    </r>
    <r>
      <rPr>
        <rFont val="Arial"/>
        <sz val="10"/>
      </rPr>
      <t xml:space="preserve"> Ol sony - oñbağandy, jeksūryndy, ary men ūiaty joq adamdy, öz paiymdauynşa, Eşli qandai adam dep oilauy mümkın bolsa, sondai adamdy süietın. "Barsynşy ärı sol Eşli, özınıñ adaldyğymen, adamşylyq turaly tüsınıkterımen menı şatastyryp bıttı, satyp kettı.
</t>
    </r>
    <r>
      <rPr>
        <rFont val="Arial"/>
        <sz val="10"/>
        <b/>
      </rPr>
      <t>TRANSLATION:</t>
    </r>
    <r>
      <rPr>
        <rFont val="Arial"/>
        <sz val="10"/>
      </rPr>
      <t xml:space="preserve"> She loved such a man—a scoundrel, a vile creature, a person without honor or shame—exactly the kind of man Ashley, in her judgment, might have thought him to be. “Let him go, and that Ashley too—he has completely confused me and betrayed me with his notions of honesty and humanity.”</t>
    </r>
  </si>
  <si>
    <r>
      <rPr>
        <rFont val="Arial"/>
        <sz val="10"/>
        <b/>
      </rPr>
      <t>TERM:</t>
    </r>
    <r>
      <rPr>
        <rFont val="Arial"/>
        <sz val="10"/>
      </rPr>
      <t xml:space="preserve"> ABYROİ (АБЫРОЙ) — dignity; prestige; public standing; reputation (Arabic-Persian loan) [KED, SZK]
ar men iba (ар мен иба) = conscience and modesty 
</t>
    </r>
    <r>
      <rPr>
        <rFont val="Arial"/>
        <sz val="10"/>
        <b/>
      </rPr>
      <t>PASSAGE:</t>
    </r>
    <r>
      <rPr>
        <rFont val="Arial"/>
        <sz val="10"/>
      </rPr>
      <t xml:space="preserve"> "Қонақжайлылық", "абырой", "ар мен иба" дегендерді бұдан биік ұстайды.
</t>
    </r>
    <r>
      <rPr>
        <rFont val="Arial"/>
        <sz val="10"/>
        <b/>
      </rPr>
      <t>TRANS:</t>
    </r>
    <r>
      <rPr>
        <rFont val="Arial"/>
        <sz val="10"/>
      </rPr>
      <t xml:space="preserve"> "Qonaqjailylyq", "abyroi", "ar men iba" degenderdı būdan biık ūstaidy.
</t>
    </r>
    <r>
      <rPr>
        <rFont val="Arial"/>
        <sz val="10"/>
        <b/>
      </rPr>
      <t>TRANSLATION:</t>
    </r>
    <r>
      <rPr>
        <rFont val="Arial"/>
        <sz val="10"/>
      </rPr>
      <t xml:space="preserve"> He values "hospitality", "dignity", and "conscience and modesty" higher than this.</t>
    </r>
  </si>
  <si>
    <r>
      <rPr>
        <rFont val="Arial"/>
        <sz val="10"/>
        <b/>
      </rPr>
      <t>TERM:</t>
    </r>
    <r>
      <rPr>
        <rFont val="Arial"/>
        <sz val="10"/>
      </rPr>
      <t xml:space="preserve"> chestnoe predlozhenie. (честное предложение.) = honest declaration
</t>
    </r>
    <r>
      <rPr>
        <rFont val="Arial"/>
        <sz val="10"/>
        <b/>
      </rPr>
      <t>PASSAGE:</t>
    </r>
    <r>
      <rPr>
        <rFont val="Arial"/>
        <sz val="10"/>
      </rPr>
      <t xml:space="preserve"> Нет, Скарлетт, это bonа fide честное предложение.
</t>
    </r>
    <r>
      <rPr>
        <rFont val="Arial"/>
        <sz val="10"/>
        <b/>
      </rPr>
      <t>TRANS:</t>
    </r>
    <r>
      <rPr>
        <rFont val="Arial"/>
        <sz val="10"/>
      </rPr>
      <t xml:space="preserve"> Net, Skarlett, eto bona fide chestnoe predlozhenie.
</t>
    </r>
    <r>
      <rPr>
        <rFont val="Arial"/>
        <sz val="10"/>
        <b/>
      </rPr>
      <t>TRANSLATION:</t>
    </r>
    <r>
      <rPr>
        <rFont val="Arial"/>
        <sz val="10"/>
      </rPr>
      <t xml:space="preserve"> No, Scarlett, this is bona fide an honest proposal.</t>
    </r>
  </si>
  <si>
    <r>
      <rPr>
        <rFont val="Arial"/>
        <sz val="10"/>
        <b/>
      </rPr>
      <t>TERM:</t>
    </r>
    <r>
      <rPr>
        <rFont val="Arial"/>
        <sz val="10"/>
      </rPr>
      <t xml:space="preserve"> ADAL ŪİAT(АДАЛ ҰЯТ) — honest shame/conscience; pure inner uprightness [KED, SZK] (lemma: ұят)
</t>
    </r>
    <r>
      <rPr>
        <rFont val="Arial"/>
        <sz val="10"/>
        <b/>
      </rPr>
      <t>PASSAGE:</t>
    </r>
    <r>
      <rPr>
        <rFont val="Arial"/>
        <sz val="10"/>
      </rPr>
      <t xml:space="preserve"> Жоқ, Скарлетт, адал ұятымның шын ұсынысы.
</t>
    </r>
    <r>
      <rPr>
        <rFont val="Arial"/>
        <sz val="10"/>
        <b/>
      </rPr>
      <t>TRANS:</t>
    </r>
    <r>
      <rPr>
        <rFont val="Arial"/>
        <sz val="10"/>
      </rPr>
      <t xml:space="preserve"> Joq, Skarlett, adal ūiatymnyñ şyn ūsynysy.
</t>
    </r>
    <r>
      <rPr>
        <rFont val="Arial"/>
        <sz val="10"/>
        <b/>
      </rPr>
      <t>TRANSLATION:</t>
    </r>
    <r>
      <rPr>
        <rFont val="Arial"/>
        <sz val="10"/>
      </rPr>
      <t xml:space="preserve"> No, Scarlett, it is the sincere proposal of my honest conscience.</t>
    </r>
  </si>
</sst>
</file>

<file path=xl/styles.xml><?xml version="1.0" encoding="utf-8"?>
<x:styleSheet xmlns:x="http://schemas.openxmlformats.org/spreadsheetml/2006/main">
  <x:fonts count="17">
    <x:font>
      <x:sz val="11"/>
      <x:color theme="1"/>
      <x:name val="Calibri"/>
    </x:font>
    <x:font>
      <x:b/>
      <x:sz val="10"/>
      <x:color theme="1"/>
      <x:name val="Arial"/>
    </x:font>
    <x:font>
      <x:b/>
      <x:sz val="11"/>
      <x:color theme="1"/>
      <x:name val="Arial"/>
    </x:font>
    <x:font>
      <x:b/>
      <x:i/>
      <x:sz val="10"/>
      <x:color theme="1"/>
      <x:name val="Arial"/>
    </x:font>
    <x:font>
      <x:sz val="11"/>
      <x:color theme="1"/>
      <x:name val="Calibri"/>
    </x:font>
    <x:font>
      <x:sz val="10"/>
      <x:color theme="1"/>
      <x:name val="Arial"/>
    </x:font>
    <x:font>
      <x:sz val="11"/>
      <x:color theme="1"/>
      <x:name val="Arial"/>
    </x:font>
    <x:font>
      <x:b/>
      <x:sz val="13"/>
      <x:color theme="1"/>
      <x:name val="Arial"/>
    </x:font>
    <x:font>
      <x:i/>
      <x:sz val="9"/>
      <x:color rgb="FF666666"/>
      <x:name val="Arial"/>
    </x:font>
    <x:font>
      <x:b/>
      <x:sz val="11"/>
      <x:color rgb="FF305496"/>
      <x:name val="Arial"/>
    </x:font>
    <x:font>
      <x:b/>
      <x:sz val="11"/>
      <x:color rgb="FFFFFFFF"/>
      <x:name val="Arial"/>
    </x:font>
    <x:font>
      <x:b/>
      <x:sz val="11"/>
      <x:color theme="1"/>
      <x:name val="Arial"/>
    </x:font>
    <x:font>
      <x:sz val="11"/>
      <x:color theme="1"/>
      <x:name val="Arial"/>
    </x:font>
    <x:font>
      <x:b/>
      <x:sz val="11"/>
      <x:color theme="1"/>
      <x:name val="Arial"/>
    </x:font>
    <x:font>
      <x:sz val="11"/>
      <x:color theme="1"/>
      <x:name val="Arial"/>
    </x:font>
    <x:font>
      <x:sz val="10"/>
      <x:color theme="1"/>
      <x:name val="Arial"/>
    </x:font>
    <x:font>
      <x:sz val="10"/>
      <x:color theme="1"/>
      <x:name val="Arial"/>
    </x:font>
  </x:fonts>
  <x:fills count="6">
    <x:fill>
      <x:patternFill patternType="none"/>
    </x:fill>
    <x:fill>
      <x:patternFill patternType="gray125"/>
    </x:fill>
    <x:fill>
      <x:patternFill patternType="solid">
        <x:fgColor rgb="FFD9E1F2"/>
      </x:patternFill>
    </x:fill>
    <x:fill>
      <x:patternFill patternType="solid">
        <x:fgColor rgb="FFF2F2F2"/>
      </x:patternFill>
    </x:fill>
    <x:fill>
      <x:patternFill patternType="solid">
        <x:fgColor rgb="FF305496"/>
      </x:patternFill>
    </x:fill>
    <x:fill>
      <x:patternFill patternType="solid">
        <x:fgColor rgb="FFEDF1FA"/>
      </x:patternFill>
    </x:fill>
  </x:fills>
  <x:borders count="4">
    <x:border/>
    <x:border>
      <x:left style="thin">
        <x:color rgb="FF000000"/>
      </x:left>
      <x:right style="thin">
        <x:color rgb="FF000000"/>
      </x:right>
      <x:top style="thin">
        <x:color rgb="FF000000"/>
      </x:top>
      <x:bottom style="thin">
        <x:color rgb="FF000000"/>
      </x:bottom>
    </x:border>
    <x:border/>
    <x:border>
      <x:left style="thin">
        <x:color rgb="FFBFBFBF"/>
      </x:left>
      <x:right style="thin">
        <x:color rgb="FFBFBFBF"/>
      </x:right>
      <x:top style="thin">
        <x:color rgb="FFBFBFBF"/>
      </x:top>
      <x:bottom style="thin">
        <x:color rgb="FFBFBFBF"/>
      </x:bottom>
    </x:border>
  </x:borders>
  <x:cellStyleXfs count="1">
    <x:xf numFmtId="0" fontId="0" fillId="0" borderId="0"/>
  </x:cellStyleXfs>
  <x:cellXfs count="43">
    <x:xf numFmtId="0" fontId="0" fillId="0" borderId="0" xfId="0" applyFont="1" applyAlignment="1"/>
    <x:xf numFmtId="0" fontId="1" fillId="2" borderId="1" xfId="0" applyFont="1" applyFill="1" applyBorder="1" applyAlignment="1">
      <x:alignment horizontal="center" wrapText="1"/>
    </x:xf>
    <x:xf numFmtId="0" fontId="2" fillId="2" borderId="1" xfId="0" applyFont="1" applyFill="1" applyBorder="1" applyAlignment="1">
      <x:alignment horizontal="center" wrapText="1"/>
    </x:xf>
    <x:xf numFmtId="0" fontId="3" fillId="3" borderId="2" xfId="0" applyFont="1" applyFill="1" applyBorder="1"/>
    <x:xf numFmtId="0" fontId="4" fillId="3" borderId="1" xfId="0" applyFont="1" applyFill="1" applyBorder="1"/>
    <x:xf numFmtId="0" fontId="4" fillId="3" borderId="1" xfId="0" applyFont="1" applyFill="1" applyBorder="1" applyAlignment="1"/>
    <x:xf numFmtId="0" fontId="5" fillId="0" borderId="1" xfId="0" applyFont="1" applyBorder="1"/>
    <x:xf numFmtId="0" fontId="5" fillId="0" borderId="1" xfId="0" applyFont="1" applyBorder="1" applyAlignment="1">
      <x:alignment wrapText="1"/>
    </x:xf>
    <x:xf numFmtId="0" fontId="6" fillId="0" borderId="1" xfId="0" applyFont="1" applyBorder="1" applyAlignment="1">
      <x:alignment wrapText="1"/>
    </x:xf>
    <x:xf numFmtId="0" fontId="4" fillId="0" borderId="0" xfId="0" applyFont="1" applyAlignment="1"/>
    <x:xf numFmtId="0" fontId="4" fillId="0" borderId="0" xfId="0" applyFont="1"/>
    <x:xf numFmtId="0" fontId="7" fillId="0" borderId="0" xfId="0" applyFont="1"/>
    <x:xf numFmtId="0" fontId="8" fillId="0" borderId="0" xfId="0" applyFont="1"/>
    <x:xf numFmtId="0" fontId="9" fillId="0" borderId="0" xfId="0" applyFont="1"/>
    <x:xf numFmtId="0" fontId="10" fillId="4" borderId="3" xfId="0" applyFont="1" applyFill="1" applyBorder="1" applyAlignment="1">
      <x:alignment horizontal="center"/>
    </x:xf>
    <x:xf numFmtId="0" fontId="11" fillId="0" borderId="3" xfId="0" applyFont="1" applyBorder="1"/>
    <x:xf numFmtId="0" fontId="12" fillId="0" borderId="3" xfId="0" applyFont="1" applyBorder="1" applyAlignment="1">
      <x:alignment horizontal="center"/>
    </x:xf>
    <x:xf numFmtId="0" fontId="11" fillId="2" borderId="3" xfId="0" applyFont="1" applyFill="1" applyBorder="1"/>
    <x:xf numFmtId="0" fontId="11" fillId="2" borderId="3" xfId="0" applyFont="1" applyFill="1" applyBorder="1" applyAlignment="1">
      <x:alignment horizontal="center"/>
    </x:xf>
    <x:xf numFmtId="0" fontId="12" fillId="0" borderId="3" xfId="0" applyFont="1" applyBorder="1" applyAlignment="1">
      <x:alignment horizontal="left" vertical="center" wrapText="1"/>
    </x:xf>
    <x:xf numFmtId="0" fontId="11" fillId="0" borderId="3" xfId="0" applyFont="1" applyBorder="1" applyAlignment="1">
      <x:alignment horizontal="left" vertical="center"/>
    </x:xf>
    <x:xf numFmtId="0" fontId="11" fillId="2" borderId="3" xfId="0" applyFont="1" applyFill="1" applyBorder="1" applyAlignment="1">
      <x:alignment horizontal="left" vertical="center"/>
    </x:xf>
    <x:xf numFmtId="0" fontId="11" fillId="0" borderId="3" xfId="0" applyFont="1" applyBorder="1" applyAlignment="1">
      <x:alignment horizontal="left" vertical="center" wrapText="1"/>
    </x:xf>
    <x:xf numFmtId="0" fontId="11" fillId="0" borderId="3" xfId="0" applyFont="1" applyBorder="1" applyAlignment="1">
      <x:alignment horizontal="center"/>
    </x:xf>
    <x:xf numFmtId="0" fontId="12" fillId="5" borderId="3" xfId="0" applyFont="1" applyFill="1" applyBorder="1" applyAlignment="1">
      <x:alignment horizontal="left" vertical="center" wrapText="1"/>
    </x:xf>
    <x:xf numFmtId="0" fontId="11" fillId="5" borderId="3" xfId="0" applyFont="1" applyFill="1" applyBorder="1" applyAlignment="1">
      <x:alignment horizontal="center"/>
    </x:xf>
    <x:xf numFmtId="0" fontId="12" fillId="0" borderId="3" xfId="0" applyFont="1" applyBorder="1" applyAlignment="1">
      <x:alignment horizontal="left" vertical="center" wrapText="1"/>
    </x:xf>
    <x:xf numFmtId="0" fontId="12" fillId="5" borderId="3" xfId="0" applyFont="1" applyFill="1" applyBorder="1" applyAlignment="1">
      <x:alignment horizontal="left" vertical="center" wrapText="1"/>
    </x:xf>
    <x:xf numFmtId="0" fontId="6" fillId="0" borderId="0" xfId="0" applyFont="1" applyAlignment="1"/>
    <x:xf numFmtId="0" fontId="6" fillId="0" borderId="0" xfId="0" applyFont="1" applyAlignment="1"/>
    <x:xf numFmtId="0" fontId="8" fillId="0" borderId="0" xfId="0" applyFont="1"/>
    <x:xf numFmtId="0" fontId="0" fillId="0" borderId="0" xfId="0" applyFont="1" applyAlignment="1"/>
    <x:xf numFmtId="0" fontId="14" fillId="0" borderId="1" xfId="0" applyFont="1" applyBorder="1" applyAlignment="1">
      <x:alignment wrapText="1"/>
    </x:xf>
    <x:xf numFmtId="0" fontId="15" fillId="0" borderId="1" xfId="0" applyFont="1" applyBorder="1" applyAlignment="1">
      <x:alignment wrapText="1"/>
    </x:xf>
    <x:xf numFmtId="0" fontId="2" fillId="0" borderId="1" xfId="0" applyFont="1" applyBorder="1" applyAlignment="1">
      <x:alignment wrapText="1"/>
    </x:xf>
    <x:xf numFmtId="0" fontId="4" fillId="0" borderId="0" xfId="0" applyFont="1" applyAlignment="1">
      <x:alignment wrapText="1"/>
    </x:xf>
    <x:xf numFmtId="0" fontId="16" fillId="0" borderId="1" xfId="0" applyNumberFormat="1" applyFont="1" applyFill="1" applyBorder="1" applyAlignment="1">
      <x:alignment wrapText="1"/>
    </x:xf>
    <x:xf numFmtId="0" fontId="16" fillId="3" borderId="1" xfId="0" applyNumberFormat="1" applyFont="1" applyFill="1" applyBorder="1"/>
    <x:xf numFmtId="0" fontId="16" fillId="0" borderId="0" xfId="0" applyNumberFormat="1" applyFont="1" applyFill="1" applyBorder="1" applyAlignment="1">
      <x:alignment wrapText="1"/>
    </x:xf>
    <x:xf numFmtId="0" fontId="16" fillId="3" borderId="1" xfId="0" applyNumberFormat="1" applyFont="1" applyFill="1" applyBorder="1" applyAlignment="1">
      <x:alignment wrapText="1"/>
    </x:xf>
    <x:xf numFmtId="0" fontId="16" fillId="0" borderId="1" xfId="0" applyNumberFormat="1" applyFont="1" applyFill="1" applyBorder="1" applyAlignment="1">
      <x:alignment vertical="top" wrapText="1"/>
    </x:xf>
    <x:xf numFmtId="0" fontId="16" fillId="3" borderId="1" xfId="0" applyNumberFormat="1" applyFont="1" applyFill="1" applyBorder="1" applyAlignment="1">
      <x:alignment vertical="top" wrapText="1"/>
    </x:xf>
    <x:xf numFmtId="0" fontId="16" fillId="0" borderId="0" xfId="0" applyNumberFormat="1" applyFont="1" applyFill="1" applyBorder="1" applyAlignment="1">
      <x:alignment vertical="top" wrapText="1"/>
    </x:xf>
  </x:cellXfs>
  <x:cellStyles count="1">
    <x:cellStyle name="Обычный" xfId="0"/>
  </x:cellStyles>
</x:styleSheet>
</file>

<file path=xl/_rels/workbook.xml.rels>&#65279;<?xml version="1.0" encoding="utf-8"?><Relationships xmlns="http://schemas.openxmlformats.org/package/2006/relationships"><Relationship Type="http://schemas.openxmlformats.org/officeDocument/2006/relationships/styles" Target="/xl/styles.xml" Id="Rb8f67373f17e4cae" /><Relationship Type="http://schemas.openxmlformats.org/officeDocument/2006/relationships/theme" Target="/xl/theme/theme1.xml" Id="Rd6ce99b786ec4404" /><Relationship Type="http://schemas.openxmlformats.org/officeDocument/2006/relationships/sharedStrings" Target="/xl/sharedStrings.xml" Id="R6378e33292254e59" /><Relationship Type="http://schemas.openxmlformats.org/officeDocument/2006/relationships/worksheet" Target="/xl/worksheets/sheet1.xml" Id="Rb3476eae90f240cd" /><Relationship Type="http://schemas.openxmlformats.org/officeDocument/2006/relationships/worksheet" Target="/xl/worksheets/sheet2.xml" Id="R15e3a75f130d429c" /><Relationship Type="http://schemas.openxmlformats.org/officeDocument/2006/relationships/worksheet" Target="/xl/worksheets/sheet3.xml" Id="R28ee6577e1ab4d24" /><Relationship Type="http://schemas.openxmlformats.org/officeDocument/2006/relationships/worksheet" Target="/xl/worksheets/sheet4.xml" Id="R986078d87f3b4dc1" /><Relationship Type="http://schemas.openxmlformats.org/officeDocument/2006/relationships/worksheet" Target="/xl/worksheets/sheet5.xml" Id="Rfc244f6712be4c1d" /><Relationship Type="http://schemas.openxmlformats.org/officeDocument/2006/relationships/worksheet" Target="/xl/worksheets/sheet6.xml" Id="R98eab060399343eb" /><Relationship Type="http://schemas.openxmlformats.org/officeDocument/2006/relationships/worksheet" Target="/xl/worksheets/sheet7.xml" Id="R7f1716874ce045b0" /><Relationship Type="http://schemas.openxmlformats.org/officeDocument/2006/relationships/worksheet" Target="/xl/worksheets/sheet8.xml" Id="Rf30116bb573e4068" /><Relationship Type="http://schemas.openxmlformats.org/officeDocument/2006/relationships/worksheet" Target="/xl/worksheets/sheet9.xml" Id="R3d383c99533346ed" /><Relationship Type="http://schemas.openxmlformats.org/officeDocument/2006/relationships/worksheet" Target="/xl/worksheets/sheet10.xml" Id="Rcf75ddd0e27f4ddd"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FormatPr defaultColWidth="14.453125" defaultRowHeight="15"/>
  <cols>
    <col min="1" max="1" width="5" customWidth="1"/>
    <col min="2" max="2" width="30" customWidth="1"/>
    <col min="3" max="3" width="8" customWidth="1"/>
    <col min="4" max="4" width="30" customWidth="1"/>
    <col min="5" max="5" width="50" customWidth="1"/>
    <col min="6" max="6" width="18" customWidth="1"/>
    <col min="7" max="7" width="25" customWidth="1"/>
    <col min="8" max="8" width="50" customWidth="1"/>
    <col min="9" max="9" width="58.08984375" customWidth="1"/>
    <col min="10" max="25" width="8.54296875" customWidth="1"/>
  </cols>
  <sheetData>
    <row r="1" ht="14.25" customHeight="1">
      <c r="A1" s="1" t="s">
        <v>0</v>
      </c>
      <c r="B1" s="1" t="s">
        <v>1</v>
      </c>
      <c r="C1" s="1" t="s">
        <v>2</v>
      </c>
      <c r="D1" s="1" t="s">
        <v>3</v>
      </c>
      <c r="E1" s="1" t="s">
        <v>4</v>
      </c>
      <c r="F1" s="1" t="s">
        <v>5</v>
      </c>
      <c r="G1" s="1" t="s">
        <v>6</v>
      </c>
      <c r="H1" s="1" t="s">
        <v>7</v>
      </c>
      <c r="I1" s="2" t="s">
        <v>8</v>
      </c>
    </row>
    <row r="2" ht="14.25" customHeight="1">
      <c r="A2" s="3" t="s">
        <v>9</v>
      </c>
      <c r="B2" s="4"/>
      <c r="C2" s="4"/>
      <c r="D2" s="4"/>
      <c r="E2" s="4"/>
      <c r="F2" s="4"/>
      <c r="G2" s="4"/>
      <c r="H2" s="4"/>
      <c r="I2" s="5"/>
    </row>
    <row r="3" ht="150.75" customHeight="1">
      <c r="A3" s="6">
        <v>1</v>
      </c>
      <c r="B3" s="7" t="s">
        <v>10</v>
      </c>
      <c r="C3" s="6" t="s">
        <v>11</v>
      </c>
      <c r="D3" s="7" t="s">
        <v>12</v>
      </c>
      <c r="E3" s="7" t="s">
        <v>13</v>
      </c>
      <c r="F3" s="6" t="s">
        <v>14</v>
      </c>
      <c r="G3" s="7" t="s">
        <v>15</v>
      </c>
      <c r="H3" s="40" t="s">
        <v>1126</v>
      </c>
      <c r="I3" s="40" t="s">
        <v>1127</v>
      </c>
    </row>
    <row r="4" ht="113.25" customHeight="1">
      <c r="A4" s="6">
        <v>2</v>
      </c>
      <c r="B4" s="7" t="s">
        <v>10</v>
      </c>
      <c r="C4" s="6" t="s">
        <v>11</v>
      </c>
      <c r="D4" s="7" t="s">
        <v>18</v>
      </c>
      <c r="E4" s="7" t="s">
        <v>19</v>
      </c>
      <c r="F4" s="6" t="s">
        <v>14</v>
      </c>
      <c r="G4" s="7" t="s">
        <v>15</v>
      </c>
      <c r="H4" s="40" t="s">
        <v>1128</v>
      </c>
      <c r="I4" s="40" t="s">
        <v>1129</v>
      </c>
    </row>
    <row r="5" ht="113.25" customHeight="1">
      <c r="A5" s="6">
        <v>3</v>
      </c>
      <c r="B5" s="7" t="s">
        <v>10</v>
      </c>
      <c r="C5" s="6" t="s">
        <v>22</v>
      </c>
      <c r="D5" s="7" t="s">
        <v>23</v>
      </c>
      <c r="E5" s="7" t="s">
        <v>24</v>
      </c>
      <c r="F5" s="6" t="s">
        <v>14</v>
      </c>
      <c r="G5" s="7" t="s">
        <v>15</v>
      </c>
      <c r="H5" s="40" t="s">
        <v>1130</v>
      </c>
      <c r="I5" s="40" t="s">
        <v>1131</v>
      </c>
    </row>
    <row r="6" ht="100.5" customHeight="1">
      <c r="A6" s="6">
        <v>4</v>
      </c>
      <c r="B6" s="7" t="s">
        <v>10</v>
      </c>
      <c r="C6" s="6" t="s">
        <v>22</v>
      </c>
      <c r="D6" s="7" t="s">
        <v>27</v>
      </c>
      <c r="E6" s="7" t="s">
        <v>28</v>
      </c>
      <c r="F6" s="6" t="s">
        <v>14</v>
      </c>
      <c r="G6" s="7" t="s">
        <v>15</v>
      </c>
      <c r="H6" s="40" t="s">
        <v>1132</v>
      </c>
      <c r="I6" s="40" t="str">
        <v>TERM: ūialyp (ұялып) — feeling ashamed; embarrassed [KED, SZK] (lemma: ūialu / ұялу — to feel ashamed; to feel shy; to be embarrassed)
PASSAGE: Скарлетт өзінің кенеттен тұтанып кеткеніне ұялып, терең күрсінді.
TRANS: Skarlett özınıñ kenetten tūtanyp ketkenıne ūialyp, tereñ kürsındı.
TRANSLATION: Scarlett, ashamed of her sudden outburst, sighed deeply.</v>
      </c>
    </row>
    <row r="7" ht="150.75" customHeight="1">
      <c r="A7" s="6">
        <v>5</v>
      </c>
      <c r="B7" s="7" t="s">
        <v>10</v>
      </c>
      <c r="C7" s="6" t="s">
        <v>22</v>
      </c>
      <c r="D7" s="7" t="s">
        <v>30</v>
      </c>
      <c r="E7" s="7" t="s">
        <v>31</v>
      </c>
      <c r="F7" s="6" t="s">
        <v>14</v>
      </c>
      <c r="G7" s="7" t="s">
        <v>15</v>
      </c>
      <c r="H7" s="40" t="s">
        <v>1133</v>
      </c>
      <c r="I7" s="40" t="s">
        <v>1134</v>
      </c>
    </row>
    <row r="8" ht="225.75" customHeight="1">
      <c r="A8" s="6">
        <v>6</v>
      </c>
      <c r="B8" s="7" t="s">
        <v>10</v>
      </c>
      <c r="C8" s="6" t="s">
        <v>22</v>
      </c>
      <c r="D8" s="7" t="s">
        <v>34</v>
      </c>
      <c r="E8" s="7" t="s">
        <v>35</v>
      </c>
      <c r="F8" s="6" t="s">
        <v>14</v>
      </c>
      <c r="G8" s="7" t="s">
        <v>15</v>
      </c>
      <c r="H8" s="40" t="s">
        <v>1135</v>
      </c>
      <c r="I8" s="40" t="str">
        <v>TERM: ŪIALYS TABŪ (ҰЯЛЫС ТАБУ) — to experience shame or embarrassment [KED, SZK] (lemma: ұялыс)
PASSAGE: Бірақ ол көп ұзамай ұялыс тапты.
TRANS:  Bıraq ol köp ūzamai ūialys tapty.
TRANSLATION: But before long she felt embarrassment / a sense of shame.</v>
      </c>
    </row>
    <row r="9" ht="63" customHeight="1">
      <c r="A9" s="6">
        <v>7</v>
      </c>
      <c r="B9" s="7" t="s">
        <v>10</v>
      </c>
      <c r="C9" s="6" t="s">
        <v>37</v>
      </c>
      <c r="D9" s="7" t="s">
        <v>38</v>
      </c>
      <c r="E9" s="7" t="s">
        <v>39</v>
      </c>
      <c r="F9" s="6" t="s">
        <v>14</v>
      </c>
      <c r="G9" s="7" t="s">
        <v>40</v>
      </c>
      <c r="H9" s="40" t="s">
        <v>1136</v>
      </c>
      <c r="I9" s="40" t="s">
        <v>1137</v>
      </c>
    </row>
    <row r="10" ht="150.75" customHeight="1">
      <c r="A10" s="6">
        <v>8</v>
      </c>
      <c r="B10" s="7" t="s">
        <v>10</v>
      </c>
      <c r="C10" s="6" t="s">
        <v>37</v>
      </c>
      <c r="D10" s="7" t="s">
        <v>43</v>
      </c>
      <c r="E10" s="7" t="s">
        <v>44</v>
      </c>
      <c r="F10" s="6" t="s">
        <v>14</v>
      </c>
      <c r="G10" s="7" t="s">
        <v>15</v>
      </c>
      <c r="H10" s="40" t="s">
        <v>1138</v>
      </c>
      <c r="I10" s="40" t="s">
        <v>1139</v>
      </c>
    </row>
    <row r="11" ht="88.5" customHeight="1">
      <c r="A11" s="6">
        <v>9</v>
      </c>
      <c r="B11" s="7" t="s">
        <v>10</v>
      </c>
      <c r="C11" s="6" t="s">
        <v>37</v>
      </c>
      <c r="D11" s="7" t="s">
        <v>47</v>
      </c>
      <c r="E11" s="7" t="s">
        <v>48</v>
      </c>
      <c r="F11" s="6" t="s">
        <v>14</v>
      </c>
      <c r="G11" s="7" t="s">
        <v>40</v>
      </c>
      <c r="H11" s="40" t="s">
        <v>1140</v>
      </c>
      <c r="I11" s="40" t="s">
        <v>1141</v>
      </c>
    </row>
    <row r="12" ht="150.75" customHeight="1">
      <c r="A12" s="6">
        <v>10</v>
      </c>
      <c r="B12" s="7" t="s">
        <v>10</v>
      </c>
      <c r="C12" s="6" t="s">
        <v>37</v>
      </c>
      <c r="D12" s="7" t="s">
        <v>51</v>
      </c>
      <c r="E12" s="7" t="s">
        <v>52</v>
      </c>
      <c r="F12" s="6" t="s">
        <v>14</v>
      </c>
      <c r="G12" s="7" t="s">
        <v>15</v>
      </c>
      <c r="H12" s="40" t="s">
        <v>1142</v>
      </c>
      <c r="I12" s="40" t="str">
        <v>TERM: Ø — non-lexical somatic rendering; shame is expressed through tears
PASSAGE: Эшлидің үнінде бір наланың белгісі бар секілді, жазылмаған жараның қазір де жанына батып тұрғаны байқалғанда, Скарлеттің көзінен жас тамшылары ытқып шығып, кеудесіне тырс-тырс тамды.
TRANS: Eşlidıñ ünınde bır nalanyñ belgısı bar sekıldı, jazylmağan jaranyñ qazır de janyna batyp tūrğany baiqalğanda, Skarlettıñ közınen jas tamşylary ytqyp şyğyp, keudesıne tyrs-tyrs tamdy.
TRANSLATION: In Ashley's voice there was, as it were, a sign of grievance — it could be felt that the unhealed wound was hurting his soul even now — and tears of shame burst from Scarlett's eyes and dripped onto her chest.</v>
      </c>
    </row>
    <row r="13" ht="113.25" customHeight="1">
      <c r="A13" s="6">
        <v>11</v>
      </c>
      <c r="B13" s="7" t="s">
        <v>10</v>
      </c>
      <c r="C13" s="6" t="s">
        <v>37</v>
      </c>
      <c r="D13" s="7" t="s">
        <v>54</v>
      </c>
      <c r="E13" s="7" t="s">
        <v>55</v>
      </c>
      <c r="F13" s="6" t="s">
        <v>14</v>
      </c>
      <c r="G13" s="7" t="s">
        <v>15</v>
      </c>
      <c r="H13" s="40" t="s">
        <v>1143</v>
      </c>
      <c r="I13" s="40" t="s">
        <v>1144</v>
      </c>
    </row>
    <row r="14" ht="175.5" customHeight="1">
      <c r="A14" s="6">
        <v>12</v>
      </c>
      <c r="B14" s="7" t="s">
        <v>10</v>
      </c>
      <c r="C14" s="6" t="s">
        <v>37</v>
      </c>
      <c r="D14" s="7" t="s">
        <v>58</v>
      </c>
      <c r="E14" s="7" t="s">
        <v>59</v>
      </c>
      <c r="F14" s="6" t="s">
        <v>14</v>
      </c>
      <c r="G14" s="7" t="s">
        <v>15</v>
      </c>
      <c r="H14" s="40" t="s">
        <v>1145</v>
      </c>
      <c r="I14" s="40" t="s">
        <v>1146</v>
      </c>
    </row>
    <row r="15" ht="201" customHeight="1">
      <c r="A15" s="6">
        <v>13</v>
      </c>
      <c r="B15" s="7" t="s">
        <v>10</v>
      </c>
      <c r="C15" s="6" t="s">
        <v>62</v>
      </c>
      <c r="D15" s="7" t="s">
        <v>63</v>
      </c>
      <c r="E15" s="7" t="s">
        <v>64</v>
      </c>
      <c r="F15" s="6" t="s">
        <v>14</v>
      </c>
      <c r="G15" s="7" t="s">
        <v>15</v>
      </c>
      <c r="H15" s="40" t="s">
        <v>1147</v>
      </c>
      <c r="I15" s="40" t="str">
        <v>TERM: Ø — omission; English shamefaced is not lexicalized
PASSAGE: Өзіне деген махаббат пен ықыластың мейірімін шаша, жарқыраған көзіне қарап тұрып, бұдан былайғы өмірінде өзінің жан тыныштығы бола қоймасын анық сезді де, жүрегі мұздап, іші-бауыры аяғының басына түсіп кеткендей болды.
TRANS: Özıne degen mahabbat pen yqylastyñ meiırımın şaşa, jarqyrağan közıne qarap tūryp, būdan bylaiğy ömırınde özınıñ jan tynyştyğy bola qoimasyn anyq sezdı de, jüregı mūzdap, ışı-bauyry aiağynyñ basyna tüsıp ketkendei boldy.
TRANSLATION: Looking into [Melanie's] eyes radiating the warmth of love and graciousness toward her, she clearly sensed that henceforth there would be no peace of soul for her in life, and her heart froze, her insides falling to her feet.</v>
      </c>
    </row>
    <row r="16" ht="225.75" customHeight="1">
      <c r="A16" s="6">
        <v>14</v>
      </c>
      <c r="B16" s="7" t="s">
        <v>10</v>
      </c>
      <c r="C16" s="6" t="s">
        <v>62</v>
      </c>
      <c r="D16" s="7" t="s">
        <v>66</v>
      </c>
      <c r="E16" s="7" t="s">
        <v>67</v>
      </c>
      <c r="F16" s="6" t="s">
        <v>14</v>
      </c>
      <c r="G16" s="7" t="s">
        <v>15</v>
      </c>
      <c r="H16" s="40" t="s">
        <v>1148</v>
      </c>
      <c r="I16" s="40" t="s">
        <v>1149</v>
      </c>
    </row>
    <row r="17" ht="163.5" customHeight="1">
      <c r="A17" s="6">
        <v>15</v>
      </c>
      <c r="B17" s="7" t="s">
        <v>10</v>
      </c>
      <c r="C17" s="6" t="s">
        <v>62</v>
      </c>
      <c r="D17" s="7" t="s">
        <v>70</v>
      </c>
      <c r="E17" s="7" t="s">
        <v>71</v>
      </c>
      <c r="F17" s="6" t="s">
        <v>14</v>
      </c>
      <c r="G17" s="7" t="s">
        <v>15</v>
      </c>
      <c r="H17" s="40" t="s">
        <v>1150</v>
      </c>
      <c r="I17" s="40" t="s">
        <v>1151</v>
      </c>
    </row>
    <row r="18" ht="201" customHeight="1">
      <c r="A18" s="6">
        <v>16</v>
      </c>
      <c r="B18" s="7" t="s">
        <v>10</v>
      </c>
      <c r="C18" s="6" t="s">
        <v>62</v>
      </c>
      <c r="D18" s="7" t="s">
        <v>74</v>
      </c>
      <c r="E18" s="7" t="s">
        <v>75</v>
      </c>
      <c r="F18" s="6" t="s">
        <v>14</v>
      </c>
      <c r="G18" s="7" t="s">
        <v>15</v>
      </c>
      <c r="H18" s="40" t="s">
        <v>1152</v>
      </c>
      <c r="I18" s="40" t="s">
        <v>1153</v>
      </c>
    </row>
    <row r="19" ht="150.75" customHeight="1">
      <c r="A19" s="6">
        <v>17</v>
      </c>
      <c r="B19" s="7" t="s">
        <v>10</v>
      </c>
      <c r="C19" s="6" t="s">
        <v>62</v>
      </c>
      <c r="D19" s="7" t="s">
        <v>78</v>
      </c>
      <c r="E19" s="7" t="s">
        <v>79</v>
      </c>
      <c r="F19" s="6" t="s">
        <v>14</v>
      </c>
      <c r="G19" s="7" t="s">
        <v>15</v>
      </c>
      <c r="H19" s="40" t="s">
        <v>1154</v>
      </c>
      <c r="I19" s="40" t="s">
        <v>1155</v>
      </c>
    </row>
    <row r="20" ht="100.5" customHeight="1">
      <c r="A20" s="6">
        <v>18</v>
      </c>
      <c r="B20" s="7" t="s">
        <v>10</v>
      </c>
      <c r="C20" s="6" t="s">
        <v>37</v>
      </c>
      <c r="D20" s="7" t="s">
        <v>82</v>
      </c>
      <c r="E20" s="7" t="s">
        <v>83</v>
      </c>
      <c r="F20" s="6" t="s">
        <v>84</v>
      </c>
      <c r="G20" s="7" t="s">
        <v>40</v>
      </c>
      <c r="H20" s="40" t="s">
        <v>1156</v>
      </c>
      <c r="I20" s="40" t="s">
        <v>1157</v>
      </c>
    </row>
    <row r="21" ht="225.75" customHeight="1">
      <c r="A21" s="6">
        <v>19</v>
      </c>
      <c r="B21" s="7" t="s">
        <v>10</v>
      </c>
      <c r="C21" s="6" t="s">
        <v>62</v>
      </c>
      <c r="D21" s="7" t="s">
        <v>87</v>
      </c>
      <c r="E21" s="7" t="s">
        <v>88</v>
      </c>
      <c r="F21" s="6" t="s">
        <v>89</v>
      </c>
      <c r="G21" s="7" t="s">
        <v>15</v>
      </c>
      <c r="H21" s="40" t="s">
        <v>1158</v>
      </c>
      <c r="I21" s="40" t="s">
        <v>1159</v>
      </c>
    </row>
    <row r="22" ht="138" customHeight="1">
      <c r="A22" s="6">
        <v>20</v>
      </c>
      <c r="B22" s="7" t="s">
        <v>10</v>
      </c>
      <c r="C22" s="6" t="s">
        <v>92</v>
      </c>
      <c r="D22" s="7" t="s">
        <v>93</v>
      </c>
      <c r="E22" s="7" t="s">
        <v>94</v>
      </c>
      <c r="F22" s="6" t="s">
        <v>95</v>
      </c>
      <c r="G22" s="7" t="s">
        <v>15</v>
      </c>
      <c r="H22" s="40" t="s">
        <v>1160</v>
      </c>
      <c r="I22" s="40" t="s">
        <v>1161</v>
      </c>
    </row>
    <row r="23" ht="88.5" customHeight="1">
      <c r="A23" s="6">
        <v>21</v>
      </c>
      <c r="B23" s="7" t="s">
        <v>10</v>
      </c>
      <c r="C23" s="6" t="s">
        <v>37</v>
      </c>
      <c r="D23" s="7" t="s">
        <v>98</v>
      </c>
      <c r="E23" s="7" t="s">
        <v>48</v>
      </c>
      <c r="F23" s="6" t="s">
        <v>95</v>
      </c>
      <c r="G23" s="7" t="s">
        <v>99</v>
      </c>
      <c r="H23" s="40" t="s">
        <v>1162</v>
      </c>
      <c r="I23" s="40" t="s">
        <v>1163</v>
      </c>
    </row>
    <row r="24" ht="126" customHeight="1">
      <c r="A24" s="6">
        <v>22</v>
      </c>
      <c r="B24" s="7" t="s">
        <v>10</v>
      </c>
      <c r="C24" s="6" t="s">
        <v>37</v>
      </c>
      <c r="D24" s="7" t="s">
        <v>101</v>
      </c>
      <c r="E24" s="7" t="s">
        <v>102</v>
      </c>
      <c r="F24" s="6" t="s">
        <v>95</v>
      </c>
      <c r="G24" s="7" t="s">
        <v>15</v>
      </c>
      <c r="H24" s="40" t="s">
        <v>1164</v>
      </c>
      <c r="I24" s="40" t="s">
        <v>1165</v>
      </c>
    </row>
    <row r="25" ht="150.75" customHeight="1">
      <c r="A25" s="6">
        <v>23</v>
      </c>
      <c r="B25" s="7" t="s">
        <v>10</v>
      </c>
      <c r="C25" s="6" t="s">
        <v>62</v>
      </c>
      <c r="D25" s="7"/>
      <c r="E25" s="7" t="s">
        <v>105</v>
      </c>
      <c r="F25" s="6" t="s">
        <v>106</v>
      </c>
      <c r="G25" s="7" t="s">
        <v>15</v>
      </c>
      <c r="H25" s="40" t="s">
        <v>1166</v>
      </c>
      <c r="I25" s="40" t="s">
        <v>1167</v>
      </c>
    </row>
    <row r="26" ht="100.5" customHeight="1">
      <c r="A26" s="6">
        <v>24</v>
      </c>
      <c r="B26" s="7" t="s">
        <v>10</v>
      </c>
      <c r="C26" s="6" t="s">
        <v>22</v>
      </c>
      <c r="D26" s="7" t="s">
        <v>109</v>
      </c>
      <c r="E26" s="7" t="s">
        <v>110</v>
      </c>
      <c r="F26" s="6" t="s">
        <v>111</v>
      </c>
      <c r="G26" s="7" t="s">
        <v>15</v>
      </c>
      <c r="H26" s="40" t="s">
        <v>1168</v>
      </c>
      <c r="I26" s="40" t="s">
        <v>1169</v>
      </c>
    </row>
    <row r="27" ht="113.25" customHeight="1">
      <c r="A27" s="6">
        <v>25</v>
      </c>
      <c r="B27" s="7" t="s">
        <v>10</v>
      </c>
      <c r="C27" s="6" t="s">
        <v>22</v>
      </c>
      <c r="D27" s="7" t="s">
        <v>114</v>
      </c>
      <c r="E27" s="7" t="s">
        <v>115</v>
      </c>
      <c r="F27" s="6" t="s">
        <v>116</v>
      </c>
      <c r="G27" s="7" t="s">
        <v>15</v>
      </c>
      <c r="H27" s="40" t="s">
        <v>1170</v>
      </c>
      <c r="I27" s="40" t="str">
        <v>TERM: ÖZIN-ÖZI KEŞIRMEU (ӨЗІН-ӨЗІ КЕШІРМЕУ) — not to forgive oneself [KED, SZK]; non-lexical rendering of shame
PASSAGE: Скарлетт берген ақшаны жұмсаса, Порк өзін-өзі кешірмес еді.
TRANS: Skarlett bergen aqşany jūmsasa, Pork özın-özı keşırmes edı.
TRANSLATION: If he had spent the money Scarlett gave him, Pork would not forgive himself.</v>
      </c>
    </row>
    <row r="28" ht="188.25" customHeight="1">
      <c r="A28" s="6">
        <v>26</v>
      </c>
      <c r="B28" s="7" t="s">
        <v>118</v>
      </c>
      <c r="C28" s="6" t="s">
        <v>92</v>
      </c>
      <c r="D28" s="7" t="s">
        <v>119</v>
      </c>
      <c r="E28" s="7" t="s">
        <v>120</v>
      </c>
      <c r="F28" s="6" t="s">
        <v>14</v>
      </c>
      <c r="G28" s="7" t="s">
        <v>15</v>
      </c>
      <c r="H28" s="40" t="s">
        <v>1171</v>
      </c>
      <c r="I28" s="40" t="s">
        <v>1172</v>
      </c>
    </row>
    <row r="29" ht="138" customHeight="1">
      <c r="A29" s="6">
        <v>27</v>
      </c>
      <c r="B29" s="7" t="s">
        <v>118</v>
      </c>
      <c r="C29" s="6" t="s">
        <v>37</v>
      </c>
      <c r="D29" s="7" t="s">
        <v>123</v>
      </c>
      <c r="E29" s="7" t="s">
        <v>124</v>
      </c>
      <c r="F29" s="6" t="s">
        <v>14</v>
      </c>
      <c r="G29" s="7" t="s">
        <v>15</v>
      </c>
      <c r="H29" s="40" t="s">
        <v>1173</v>
      </c>
      <c r="I29" s="40" t="s">
        <v>1174</v>
      </c>
    </row>
    <row r="30" ht="113.25" customHeight="1">
      <c r="A30" s="6">
        <v>28</v>
      </c>
      <c r="B30" s="7" t="s">
        <v>118</v>
      </c>
      <c r="C30" s="6" t="s">
        <v>62</v>
      </c>
      <c r="D30" s="7" t="s">
        <v>127</v>
      </c>
      <c r="E30" s="7" t="s">
        <v>128</v>
      </c>
      <c r="F30" s="6" t="s">
        <v>14</v>
      </c>
      <c r="G30" s="7" t="s">
        <v>15</v>
      </c>
      <c r="H30" s="40" t="s">
        <v>1175</v>
      </c>
      <c r="I30" s="40" t="str">
        <v>TERM: Ø — omission; English shamelessly is not lexicalized
PASSAGE: Мұның бәрін кімге айтқан болса да, кейін қайтарып ала салар еді, айтқанынан қайта танар еді, тек Реттің алдында емес.
TRANS: Mūnyñ bärın kımge aitqan bolsa da, keiın qaitaryp ala salar edı, aitqanynan qaita tanar edı, tek Rettıñ aldynda emes.
TRANSLATION: Whoever she had said all this to, she would have taken it back, would have recanted — except in front of Rhett.</v>
      </c>
    </row>
    <row r="31" ht="138" customHeight="1">
      <c r="A31" s="6">
        <v>29</v>
      </c>
      <c r="B31" s="7" t="s">
        <v>130</v>
      </c>
      <c r="C31" s="6" t="s">
        <v>11</v>
      </c>
      <c r="D31" s="7" t="s">
        <v>131</v>
      </c>
      <c r="E31" s="7" t="s">
        <v>132</v>
      </c>
      <c r="F31" s="6" t="s">
        <v>14</v>
      </c>
      <c r="G31" s="7" t="s">
        <v>15</v>
      </c>
      <c r="H31" s="40" t="s">
        <v>1176</v>
      </c>
      <c r="I31" s="40" t="s">
        <v>1177</v>
      </c>
    </row>
    <row r="32" ht="201" customHeight="1">
      <c r="A32" s="6">
        <v>30</v>
      </c>
      <c r="B32" s="7" t="s">
        <v>130</v>
      </c>
      <c r="C32" s="6" t="s">
        <v>11</v>
      </c>
      <c r="D32" s="7" t="s">
        <v>131</v>
      </c>
      <c r="E32" s="7" t="s">
        <v>135</v>
      </c>
      <c r="F32" s="6" t="s">
        <v>14</v>
      </c>
      <c r="G32" s="7" t="s">
        <v>15</v>
      </c>
      <c r="H32" s="40" t="s">
        <v>1178</v>
      </c>
      <c r="I32" s="40" t="s">
        <v>1179</v>
      </c>
    </row>
    <row r="33" ht="175.5" customHeight="1">
      <c r="A33" s="6">
        <v>31</v>
      </c>
      <c r="B33" s="7" t="s">
        <v>138</v>
      </c>
      <c r="C33" s="6" t="s">
        <v>11</v>
      </c>
      <c r="D33" s="7" t="s">
        <v>139</v>
      </c>
      <c r="E33" s="7" t="s">
        <v>140</v>
      </c>
      <c r="F33" s="6" t="s">
        <v>14</v>
      </c>
      <c r="G33" s="7" t="s">
        <v>15</v>
      </c>
      <c r="H33" s="40" t="s">
        <v>1180</v>
      </c>
      <c r="I33" s="40" t="s">
        <v>1181</v>
      </c>
    </row>
    <row r="34" ht="100.5" customHeight="1">
      <c r="A34" s="6">
        <v>32</v>
      </c>
      <c r="B34" s="7" t="s">
        <v>143</v>
      </c>
      <c r="C34" s="6" t="s">
        <v>92</v>
      </c>
      <c r="D34" s="7" t="s">
        <v>144</v>
      </c>
      <c r="E34" s="7" t="s">
        <v>145</v>
      </c>
      <c r="F34" s="6" t="s">
        <v>14</v>
      </c>
      <c r="G34" s="7" t="s">
        <v>15</v>
      </c>
      <c r="H34" s="40" t="s">
        <v>1182</v>
      </c>
      <c r="I34" s="40" t="s">
        <v>1183</v>
      </c>
    </row>
    <row r="35" ht="138" customHeight="1">
      <c r="A35" s="6">
        <v>33</v>
      </c>
      <c r="B35" s="7" t="s">
        <v>138</v>
      </c>
      <c r="C35" s="6" t="s">
        <v>92</v>
      </c>
      <c r="D35" s="7" t="s">
        <v>148</v>
      </c>
      <c r="E35" s="7" t="s">
        <v>149</v>
      </c>
      <c r="F35" s="6" t="s">
        <v>14</v>
      </c>
      <c r="G35" s="7" t="s">
        <v>15</v>
      </c>
      <c r="H35" s="40" t="s">
        <v>1184</v>
      </c>
      <c r="I35" s="40" t="s">
        <v>1185</v>
      </c>
    </row>
    <row r="36" ht="88.5" customHeight="1">
      <c r="A36" s="6">
        <v>34</v>
      </c>
      <c r="B36" s="7" t="s">
        <v>143</v>
      </c>
      <c r="C36" s="6" t="s">
        <v>22</v>
      </c>
      <c r="D36" s="7" t="s">
        <v>152</v>
      </c>
      <c r="E36" s="7" t="s">
        <v>153</v>
      </c>
      <c r="F36" s="6" t="s">
        <v>14</v>
      </c>
      <c r="G36" s="7" t="s">
        <v>15</v>
      </c>
      <c r="H36" s="40" t="s">
        <v>1186</v>
      </c>
      <c r="I36" s="40" t="s">
        <v>1187</v>
      </c>
    </row>
    <row r="37" ht="150.75" customHeight="1">
      <c r="A37" s="6">
        <v>35</v>
      </c>
      <c r="B37" s="7" t="s">
        <v>138</v>
      </c>
      <c r="C37" s="6" t="s">
        <v>37</v>
      </c>
      <c r="D37" s="7" t="s">
        <v>156</v>
      </c>
      <c r="E37" s="7" t="s">
        <v>157</v>
      </c>
      <c r="F37" s="6" t="s">
        <v>14</v>
      </c>
      <c r="G37" s="7" t="s">
        <v>15</v>
      </c>
      <c r="H37" s="40" t="s">
        <v>1188</v>
      </c>
      <c r="I37" s="40" t="s">
        <v>1189</v>
      </c>
    </row>
    <row r="38" ht="138" customHeight="1">
      <c r="A38" s="6">
        <v>36</v>
      </c>
      <c r="B38" s="7" t="s">
        <v>138</v>
      </c>
      <c r="C38" s="6" t="s">
        <v>37</v>
      </c>
      <c r="D38" s="7" t="s">
        <v>160</v>
      </c>
      <c r="E38" s="7" t="s">
        <v>161</v>
      </c>
      <c r="F38" s="6" t="s">
        <v>14</v>
      </c>
      <c r="G38" s="7" t="s">
        <v>15</v>
      </c>
      <c r="H38" s="40" t="s">
        <v>1190</v>
      </c>
      <c r="I38" s="40" t="s">
        <v>1191</v>
      </c>
    </row>
    <row r="39" ht="100.5" customHeight="1">
      <c r="A39" s="6">
        <v>37</v>
      </c>
      <c r="B39" s="7" t="s">
        <v>143</v>
      </c>
      <c r="C39" s="6" t="s">
        <v>37</v>
      </c>
      <c r="D39" s="7" t="s">
        <v>164</v>
      </c>
      <c r="E39" s="7" t="s">
        <v>165</v>
      </c>
      <c r="F39" s="6" t="s">
        <v>14</v>
      </c>
      <c r="G39" s="7" t="s">
        <v>15</v>
      </c>
      <c r="H39" s="40" t="s">
        <v>1192</v>
      </c>
      <c r="I39" s="40" t="s">
        <v>1193</v>
      </c>
    </row>
    <row r="40" ht="138" customHeight="1">
      <c r="A40" s="6">
        <v>38</v>
      </c>
      <c r="B40" s="7" t="s">
        <v>168</v>
      </c>
      <c r="C40" s="6" t="s">
        <v>37</v>
      </c>
      <c r="D40" s="7" t="s">
        <v>169</v>
      </c>
      <c r="E40" s="7" t="s">
        <v>170</v>
      </c>
      <c r="F40" s="6" t="s">
        <v>14</v>
      </c>
      <c r="G40" s="7" t="s">
        <v>15</v>
      </c>
      <c r="H40" s="40" t="s">
        <v>1194</v>
      </c>
      <c r="I40" s="40" t="s">
        <v>1195</v>
      </c>
    </row>
    <row r="41" ht="188.25" customHeight="1">
      <c r="A41" s="6">
        <v>39</v>
      </c>
      <c r="B41" s="7" t="s">
        <v>143</v>
      </c>
      <c r="C41" s="6" t="s">
        <v>37</v>
      </c>
      <c r="D41" s="7" t="s">
        <v>173</v>
      </c>
      <c r="E41" s="7" t="s">
        <v>174</v>
      </c>
      <c r="F41" s="6" t="s">
        <v>14</v>
      </c>
      <c r="G41" s="7" t="s">
        <v>15</v>
      </c>
      <c r="H41" s="40" t="s">
        <v>1196</v>
      </c>
      <c r="I41" s="40" t="s">
        <v>1197</v>
      </c>
    </row>
    <row r="42" ht="100.5" customHeight="1">
      <c r="A42" s="6">
        <v>40</v>
      </c>
      <c r="B42" s="7" t="s">
        <v>168</v>
      </c>
      <c r="C42" s="6" t="s">
        <v>37</v>
      </c>
      <c r="D42" s="7" t="s">
        <v>177</v>
      </c>
      <c r="E42" s="7" t="s">
        <v>178</v>
      </c>
      <c r="F42" s="6" t="s">
        <v>14</v>
      </c>
      <c r="G42" s="7" t="s">
        <v>15</v>
      </c>
      <c r="H42" s="40" t="s">
        <v>1198</v>
      </c>
      <c r="I42" s="40" t="s">
        <v>1199</v>
      </c>
    </row>
    <row r="43" ht="138" customHeight="1">
      <c r="A43" s="6">
        <v>41</v>
      </c>
      <c r="B43" s="7" t="s">
        <v>168</v>
      </c>
      <c r="C43" s="6" t="s">
        <v>37</v>
      </c>
      <c r="D43" s="7" t="s">
        <v>181</v>
      </c>
      <c r="E43" s="7" t="s">
        <v>182</v>
      </c>
      <c r="F43" s="6" t="s">
        <v>14</v>
      </c>
      <c r="G43" s="7" t="s">
        <v>15</v>
      </c>
      <c r="H43" s="40" t="s">
        <v>1200</v>
      </c>
      <c r="I43" s="40" t="s">
        <v>1201</v>
      </c>
    </row>
    <row r="44" ht="88.5" customHeight="1">
      <c r="A44" s="6">
        <v>42</v>
      </c>
      <c r="B44" s="7" t="s">
        <v>138</v>
      </c>
      <c r="C44" s="6" t="s">
        <v>37</v>
      </c>
      <c r="D44" s="7" t="s">
        <v>185</v>
      </c>
      <c r="E44" s="7" t="s">
        <v>186</v>
      </c>
      <c r="F44" s="6" t="s">
        <v>14</v>
      </c>
      <c r="G44" s="7" t="s">
        <v>99</v>
      </c>
      <c r="H44" s="40" t="s">
        <v>1202</v>
      </c>
      <c r="I44" s="40" t="s">
        <v>1203</v>
      </c>
    </row>
    <row r="45" ht="163.5" customHeight="1">
      <c r="A45" s="6">
        <v>43</v>
      </c>
      <c r="B45" s="7" t="s">
        <v>138</v>
      </c>
      <c r="C45" s="6" t="s">
        <v>37</v>
      </c>
      <c r="D45" s="7" t="s">
        <v>189</v>
      </c>
      <c r="E45" s="7" t="s">
        <v>190</v>
      </c>
      <c r="F45" s="6" t="s">
        <v>14</v>
      </c>
      <c r="G45" s="7" t="s">
        <v>15</v>
      </c>
      <c r="H45" s="40" t="s">
        <v>1204</v>
      </c>
      <c r="I45" s="40" t="s">
        <v>1205</v>
      </c>
    </row>
    <row r="46" ht="188.25" customHeight="1">
      <c r="A46" s="6">
        <v>44</v>
      </c>
      <c r="B46" s="7" t="s">
        <v>138</v>
      </c>
      <c r="C46" s="6" t="s">
        <v>62</v>
      </c>
      <c r="D46" s="7" t="s">
        <v>193</v>
      </c>
      <c r="E46" s="7" t="s">
        <v>194</v>
      </c>
      <c r="F46" s="6" t="s">
        <v>14</v>
      </c>
      <c r="G46" s="7" t="s">
        <v>15</v>
      </c>
      <c r="H46" s="40" t="s">
        <v>1206</v>
      </c>
      <c r="I46" s="40" t="s">
        <v>1207</v>
      </c>
    </row>
    <row r="47" ht="250.5" customHeight="1">
      <c r="A47" s="6">
        <v>45</v>
      </c>
      <c r="B47" s="7" t="s">
        <v>138</v>
      </c>
      <c r="C47" s="6" t="s">
        <v>11</v>
      </c>
      <c r="D47" s="7" t="s">
        <v>197</v>
      </c>
      <c r="E47" s="7" t="s">
        <v>198</v>
      </c>
      <c r="F47" s="6" t="s">
        <v>199</v>
      </c>
      <c r="G47" s="7" t="s">
        <v>15</v>
      </c>
      <c r="H47" s="40" t="s">
        <v>1208</v>
      </c>
      <c r="I47" s="40" t="str">
        <v>TERM: AÑYRAU (АҢЫРАУ) — to be stunned; to be dumbfounded [KED, SZK]
PASSAGE: Чарльз қыздың жүзіне біртүрлі аңырып, абыржи қарады.
TRANS: Charlz qyzdyñ jüzıne bırtürlı añyryp, abyrji qarady.
TRANSLATION: Charles looked at the girl in a strange way — astonished and confused.</v>
      </c>
    </row>
    <row r="48" ht="138" customHeight="1">
      <c r="A48" s="6">
        <v>46</v>
      </c>
      <c r="B48" s="7" t="s">
        <v>138</v>
      </c>
      <c r="C48" s="6" t="s">
        <v>92</v>
      </c>
      <c r="D48" s="7" t="s">
        <v>201</v>
      </c>
      <c r="E48" s="7" t="s">
        <v>202</v>
      </c>
      <c r="F48" s="6" t="s">
        <v>203</v>
      </c>
      <c r="G48" s="7" t="s">
        <v>15</v>
      </c>
      <c r="H48" s="40" t="s">
        <v>1209</v>
      </c>
      <c r="I48" s="40" t="s">
        <v>1210</v>
      </c>
    </row>
    <row r="49" ht="100.5" customHeight="1">
      <c r="A49" s="6">
        <v>47</v>
      </c>
      <c r="B49" s="7" t="s">
        <v>138</v>
      </c>
      <c r="C49" s="6" t="s">
        <v>62</v>
      </c>
      <c r="D49" s="7" t="s">
        <v>206</v>
      </c>
      <c r="E49" s="7" t="s">
        <v>207</v>
      </c>
      <c r="F49" s="6" t="s">
        <v>208</v>
      </c>
      <c r="G49" s="7" t="s">
        <v>40</v>
      </c>
      <c r="H49" s="40" t="s">
        <v>1211</v>
      </c>
      <c r="I49" s="40" t="s">
        <v>1212</v>
      </c>
    </row>
    <row r="50" ht="100.5" customHeight="1">
      <c r="A50" s="6">
        <v>48</v>
      </c>
      <c r="B50" s="7" t="s">
        <v>138</v>
      </c>
      <c r="C50" s="6" t="s">
        <v>62</v>
      </c>
      <c r="D50" s="7" t="s">
        <v>206</v>
      </c>
      <c r="E50" s="7" t="s">
        <v>211</v>
      </c>
      <c r="F50" s="6" t="s">
        <v>212</v>
      </c>
      <c r="G50" s="7" t="s">
        <v>40</v>
      </c>
      <c r="H50" s="40" t="s">
        <v>1213</v>
      </c>
      <c r="I50" s="40" t="s">
        <v>1214</v>
      </c>
    </row>
    <row r="51" ht="113.25" customHeight="1">
      <c r="A51" s="6">
        <v>49</v>
      </c>
      <c r="B51" s="7" t="s">
        <v>138</v>
      </c>
      <c r="C51" s="6" t="s">
        <v>62</v>
      </c>
      <c r="D51" s="7" t="s">
        <v>215</v>
      </c>
      <c r="E51" s="7" t="s">
        <v>216</v>
      </c>
      <c r="F51" s="6" t="s">
        <v>203</v>
      </c>
      <c r="G51" s="7" t="s">
        <v>40</v>
      </c>
      <c r="H51" s="40" t="s">
        <v>1215</v>
      </c>
      <c r="I51" s="40" t="s">
        <v>1216</v>
      </c>
    </row>
    <row r="52" ht="213" customHeight="1">
      <c r="A52" s="6">
        <v>50</v>
      </c>
      <c r="B52" s="7" t="s">
        <v>168</v>
      </c>
      <c r="C52" s="6" t="s">
        <v>22</v>
      </c>
      <c r="D52" s="7" t="s">
        <v>219</v>
      </c>
      <c r="E52" s="7" t="s">
        <v>220</v>
      </c>
      <c r="F52" s="6" t="s">
        <v>89</v>
      </c>
      <c r="G52" s="7" t="s">
        <v>15</v>
      </c>
      <c r="H52" s="40" t="s">
        <v>1217</v>
      </c>
      <c r="I52" s="40" t="s">
        <v>1218</v>
      </c>
    </row>
    <row r="53" ht="88.5" customHeight="1">
      <c r="A53" s="6">
        <v>51</v>
      </c>
      <c r="B53" s="7" t="s">
        <v>138</v>
      </c>
      <c r="C53" s="6" t="s">
        <v>92</v>
      </c>
      <c r="D53" s="7" t="s">
        <v>223</v>
      </c>
      <c r="E53" s="7" t="s">
        <v>224</v>
      </c>
      <c r="F53" s="6" t="s">
        <v>225</v>
      </c>
      <c r="G53" s="7" t="s">
        <v>99</v>
      </c>
      <c r="H53" s="40" t="str">
        <v>TERM: Ø — non-lexical rendering; shame is expressed through reluctance to appear before his mother
PASSAGE: Ну как, разрази меня гром, появлюсь я перед матерью в этих опорках?
TRANS: Nu kak, razrazi menya grom, poyavlyus' ya pered mater'yu v etikh oporkakh?
TRANSLATION: Well, may a thunderbolt strike me, how am I to appear before my mother in these worn-out shoes?</v>
      </c>
      <c r="I53" s="40" t="str">
        <v>TERM: Ø — non-lexical rendering; shame is expressed through reluctance to appear before his mother
PASSAGE: Төбеме жай түссін, мен осы аяқкиіммен анамның көзіне қалай көрінбекпін?
TRANS: Töbeme jai tüssın, men osy aiaqkiımmen anamnyñ közıne qalai körınbekpın?
TRANSLATION: May lightning strike me on the head — how am I to show myself before my mother in these worn-out shoes?</v>
      </c>
    </row>
    <row r="54" ht="88.5" customHeight="1">
      <c r="A54" s="6">
        <v>52</v>
      </c>
      <c r="B54" s="7" t="s">
        <v>138</v>
      </c>
      <c r="C54" s="6" t="s">
        <v>37</v>
      </c>
      <c r="D54" s="7" t="s">
        <v>226</v>
      </c>
      <c r="E54" s="7" t="s">
        <v>186</v>
      </c>
      <c r="F54" s="6" t="s">
        <v>14</v>
      </c>
      <c r="G54" s="7" t="s">
        <v>99</v>
      </c>
      <c r="H54" s="40" t="s">
        <v>1219</v>
      </c>
      <c r="I54" s="40" t="s">
        <v>1220</v>
      </c>
    </row>
    <row r="55" ht="188.25" customHeight="1">
      <c r="A55" s="6">
        <v>53</v>
      </c>
      <c r="B55" s="7" t="s">
        <v>138</v>
      </c>
      <c r="C55" s="6" t="s">
        <v>62</v>
      </c>
      <c r="D55" s="7" t="s">
        <v>228</v>
      </c>
      <c r="E55" s="7" t="s">
        <v>229</v>
      </c>
      <c r="F55" s="6" t="s">
        <v>95</v>
      </c>
      <c r="G55" s="7" t="s">
        <v>40</v>
      </c>
      <c r="H55" s="40" t="s">
        <v>1221</v>
      </c>
      <c r="I55" s="40" t="s">
        <v>1222</v>
      </c>
    </row>
    <row r="56" ht="163.5" customHeight="1">
      <c r="A56" s="6">
        <v>54</v>
      </c>
      <c r="B56" s="7" t="s">
        <v>138</v>
      </c>
      <c r="C56" s="6" t="s">
        <v>62</v>
      </c>
      <c r="D56" s="7" t="s">
        <v>232</v>
      </c>
      <c r="E56" s="7" t="s">
        <v>233</v>
      </c>
      <c r="F56" s="6" t="s">
        <v>95</v>
      </c>
      <c r="G56" s="7" t="s">
        <v>40</v>
      </c>
      <c r="H56" s="40" t="s">
        <v>1223</v>
      </c>
      <c r="I56" s="40" t="str">
        <v>TERM: ABYROI (АБЫРОЙ) — dignity; prestige; public standing; reputation [KED, SZK]
PASSAGE: Ертең ешқандай жазықсыз, тек мұның кесірінен абыройы айрандап төгіліп, сыпсың сөзге қалған Эшлидің бейнесі де осылай көз алдында тұра бермес.
TRANS: Erteñ eşqandai jazyqsyz, tek mūnyñ kesırınen abyroiy airandap tögılıp, sypsyñ sözge qalğan Eşlidıñ beinesı de osylai köz aldynda tūra bermes.
TRANSLATION: Tomorrow the image of Ashley — innocent, but who through her fault had had his honor spilled like spoilt buttermilk and become subject of gossip — would no longer stand before her eyes thus.</v>
      </c>
    </row>
    <row r="57" ht="138" customHeight="1">
      <c r="A57" s="6">
        <v>55</v>
      </c>
      <c r="B57" s="7" t="s">
        <v>138</v>
      </c>
      <c r="C57" s="6" t="s">
        <v>92</v>
      </c>
      <c r="D57" s="7" t="s">
        <v>235</v>
      </c>
      <c r="E57" s="7" t="s">
        <v>236</v>
      </c>
      <c r="F57" s="6" t="s">
        <v>203</v>
      </c>
      <c r="G57" s="7" t="s">
        <v>15</v>
      </c>
      <c r="H57" s="40" t="str">
        <v>TERM: SGORATʹ SO STYDA (СГОРАТЬ СО СТЫДА) — to burn with shame [ORD] (lemma: стыд)
PASSAGE: заставляли всех, кто принимал его когда-то в своих гостиных, сгорать со стыда.
TRANS: zastavlyali vsekh, kto prinimal ego kogda-to v svoikh gostinykh, sgorat' so styda.
TRANSLATION: made all who had once received him in their drawing rooms burn up with shame.</v>
      </c>
      <c r="I57" s="40" t="s">
        <v>1224</v>
      </c>
    </row>
    <row r="58" ht="63" customHeight="1">
      <c r="A58" s="6">
        <v>56</v>
      </c>
      <c r="B58" s="7" t="s">
        <v>138</v>
      </c>
      <c r="C58" s="6" t="s">
        <v>22</v>
      </c>
      <c r="D58" s="7" t="s">
        <v>238</v>
      </c>
      <c r="E58" s="7" t="s">
        <v>239</v>
      </c>
      <c r="F58" s="6" t="s">
        <v>14</v>
      </c>
      <c r="G58" s="7" t="s">
        <v>40</v>
      </c>
      <c r="H58" s="40" t="s">
        <v>1225</v>
      </c>
      <c r="I58" s="40" t="s">
        <v>1226</v>
      </c>
    </row>
    <row r="59" ht="100.5" customHeight="1">
      <c r="A59" s="6">
        <v>57</v>
      </c>
      <c r="B59" s="7" t="s">
        <v>138</v>
      </c>
      <c r="C59" s="6" t="s">
        <v>37</v>
      </c>
      <c r="D59" s="7" t="s">
        <v>242</v>
      </c>
      <c r="E59" s="7" t="s">
        <v>243</v>
      </c>
      <c r="F59" s="6" t="s">
        <v>244</v>
      </c>
      <c r="G59" s="7" t="s">
        <v>99</v>
      </c>
      <c r="H59" s="40" t="s">
        <v>1227</v>
      </c>
      <c r="I59" s="40" t="s">
        <v>1228</v>
      </c>
    </row>
    <row r="60" ht="188.25" customHeight="1">
      <c r="A60" s="6">
        <v>58</v>
      </c>
      <c r="B60" s="7" t="s">
        <v>247</v>
      </c>
      <c r="C60" s="6" t="s">
        <v>37</v>
      </c>
      <c r="D60" s="7" t="s">
        <v>248</v>
      </c>
      <c r="E60" s="7" t="s">
        <v>249</v>
      </c>
      <c r="F60" s="6" t="s">
        <v>250</v>
      </c>
      <c r="G60" s="7" t="s">
        <v>15</v>
      </c>
      <c r="H60" s="40" t="s">
        <v>1229</v>
      </c>
      <c r="I60" s="40" t="s">
        <v>1230</v>
      </c>
    </row>
    <row r="61" ht="138" customHeight="1">
      <c r="A61" s="6">
        <v>59</v>
      </c>
      <c r="B61" s="7" t="s">
        <v>247</v>
      </c>
      <c r="C61" s="6" t="s">
        <v>62</v>
      </c>
      <c r="D61" s="7" t="s">
        <v>253</v>
      </c>
      <c r="E61" s="7" t="s">
        <v>254</v>
      </c>
      <c r="F61" s="6" t="s">
        <v>14</v>
      </c>
      <c r="G61" s="7" t="s">
        <v>15</v>
      </c>
      <c r="H61" s="40" t="s">
        <v>1231</v>
      </c>
      <c r="I61" s="40" t="s">
        <v>1232</v>
      </c>
    </row>
    <row r="62" ht="100.5" customHeight="1">
      <c r="A62" s="6">
        <v>60</v>
      </c>
      <c r="B62" s="7" t="s">
        <v>247</v>
      </c>
      <c r="C62" s="6" t="s">
        <v>22</v>
      </c>
      <c r="D62" s="7" t="s">
        <v>257</v>
      </c>
      <c r="E62" s="7" t="s">
        <v>258</v>
      </c>
      <c r="F62" s="6" t="s">
        <v>89</v>
      </c>
      <c r="G62" s="7" t="s">
        <v>99</v>
      </c>
      <c r="H62" s="40" t="s">
        <v>1233</v>
      </c>
      <c r="I62" s="40" t="s">
        <v>1234</v>
      </c>
    </row>
    <row r="63" ht="201" customHeight="1">
      <c r="A63" s="6">
        <v>61</v>
      </c>
      <c r="B63" s="7" t="s">
        <v>247</v>
      </c>
      <c r="C63" s="6" t="s">
        <v>37</v>
      </c>
      <c r="D63" s="7" t="s">
        <v>261</v>
      </c>
      <c r="E63" s="7" t="s">
        <v>262</v>
      </c>
      <c r="F63" s="6" t="s">
        <v>89</v>
      </c>
      <c r="G63" s="7" t="s">
        <v>15</v>
      </c>
      <c r="H63" s="40" t="s">
        <v>1235</v>
      </c>
      <c r="I63" s="40" t="s">
        <v>1236</v>
      </c>
    </row>
    <row r="64" ht="113.25" customHeight="1">
      <c r="A64" s="6">
        <v>62</v>
      </c>
      <c r="B64" s="7" t="s">
        <v>247</v>
      </c>
      <c r="C64" s="6" t="s">
        <v>22</v>
      </c>
      <c r="D64" s="7" t="s">
        <v>265</v>
      </c>
      <c r="E64" s="7" t="s">
        <v>266</v>
      </c>
      <c r="F64" s="6" t="s">
        <v>203</v>
      </c>
      <c r="G64" s="7" t="s">
        <v>15</v>
      </c>
      <c r="H64" s="40" t="s">
        <v>1237</v>
      </c>
      <c r="I64" s="40" t="s">
        <v>1238</v>
      </c>
    </row>
    <row r="65" ht="88.5" customHeight="1">
      <c r="A65" s="6">
        <v>63</v>
      </c>
      <c r="B65" s="7" t="s">
        <v>247</v>
      </c>
      <c r="C65" s="6" t="s">
        <v>22</v>
      </c>
      <c r="D65" s="7" t="s">
        <v>269</v>
      </c>
      <c r="E65" s="7" t="s">
        <v>270</v>
      </c>
      <c r="F65" s="6" t="s">
        <v>14</v>
      </c>
      <c r="G65" s="7" t="s">
        <v>15</v>
      </c>
      <c r="H65" s="40" t="s">
        <v>1239</v>
      </c>
      <c r="I65" s="40" t="s">
        <v>1240</v>
      </c>
    </row>
    <row r="66" ht="100.5" customHeight="1">
      <c r="A66" s="6">
        <v>64</v>
      </c>
      <c r="B66" s="7" t="s">
        <v>247</v>
      </c>
      <c r="C66" s="6" t="s">
        <v>37</v>
      </c>
      <c r="D66" s="7" t="s">
        <v>273</v>
      </c>
      <c r="E66" s="7" t="s">
        <v>274</v>
      </c>
      <c r="F66" s="6" t="s">
        <v>250</v>
      </c>
      <c r="G66" s="7" t="s">
        <v>99</v>
      </c>
      <c r="H66" s="40" t="s">
        <v>1241</v>
      </c>
      <c r="I66" s="40" t="s">
        <v>1242</v>
      </c>
    </row>
    <row r="67" ht="75.75" customHeight="1">
      <c r="A67" s="6">
        <v>65</v>
      </c>
      <c r="B67" s="7" t="s">
        <v>277</v>
      </c>
      <c r="C67" s="6" t="s">
        <v>37</v>
      </c>
      <c r="D67" s="7" t="s">
        <v>278</v>
      </c>
      <c r="E67" s="7" t="s">
        <v>279</v>
      </c>
      <c r="F67" s="6" t="s">
        <v>14</v>
      </c>
      <c r="G67" s="7" t="s">
        <v>99</v>
      </c>
      <c r="H67" s="40" t="s">
        <v>1243</v>
      </c>
      <c r="I67" s="40" t="s">
        <v>1244</v>
      </c>
    </row>
    <row r="68" ht="113.25" customHeight="1">
      <c r="A68" s="6">
        <v>66</v>
      </c>
      <c r="B68" s="7" t="s">
        <v>277</v>
      </c>
      <c r="C68" s="6" t="s">
        <v>37</v>
      </c>
      <c r="D68" s="7" t="s">
        <v>278</v>
      </c>
      <c r="E68" s="7" t="s">
        <v>282</v>
      </c>
      <c r="F68" s="6" t="s">
        <v>14</v>
      </c>
      <c r="G68" s="7" t="s">
        <v>15</v>
      </c>
      <c r="H68" s="40" t="s">
        <v>1245</v>
      </c>
      <c r="I68" s="40" t="s">
        <v>1246</v>
      </c>
    </row>
    <row r="69" ht="225.75" customHeight="1">
      <c r="A69" s="6">
        <v>67</v>
      </c>
      <c r="B69" s="7" t="s">
        <v>277</v>
      </c>
      <c r="C69" s="6" t="s">
        <v>37</v>
      </c>
      <c r="D69" s="7" t="s">
        <v>285</v>
      </c>
      <c r="E69" s="7" t="s">
        <v>286</v>
      </c>
      <c r="F69" s="6" t="s">
        <v>244</v>
      </c>
      <c r="G69" s="7" t="s">
        <v>15</v>
      </c>
      <c r="H69" s="40" t="s">
        <v>1247</v>
      </c>
      <c r="I69" s="40" t="s">
        <v>1248</v>
      </c>
    </row>
    <row r="70" ht="150.75" customHeight="1">
      <c r="A70" s="6">
        <v>68</v>
      </c>
      <c r="B70" s="7" t="s">
        <v>277</v>
      </c>
      <c r="C70" s="6" t="s">
        <v>62</v>
      </c>
      <c r="D70" s="7" t="s">
        <v>289</v>
      </c>
      <c r="E70" s="7" t="s">
        <v>290</v>
      </c>
      <c r="F70" s="6" t="s">
        <v>14</v>
      </c>
      <c r="G70" s="7" t="s">
        <v>15</v>
      </c>
      <c r="H70" s="40" t="s">
        <v>1249</v>
      </c>
      <c r="I70" s="40" t="s">
        <v>1250</v>
      </c>
    </row>
    <row r="71" ht="188.25" customHeight="1">
      <c r="A71" s="6">
        <v>69</v>
      </c>
      <c r="B71" s="7" t="s">
        <v>277</v>
      </c>
      <c r="C71" s="6" t="s">
        <v>62</v>
      </c>
      <c r="D71" s="7" t="s">
        <v>293</v>
      </c>
      <c r="E71" s="7" t="s">
        <v>294</v>
      </c>
      <c r="F71" s="6" t="s">
        <v>14</v>
      </c>
      <c r="G71" s="7" t="s">
        <v>15</v>
      </c>
      <c r="H71" s="40" t="s">
        <v>1251</v>
      </c>
      <c r="I71" s="40" t="s">
        <v>1252</v>
      </c>
    </row>
    <row r="72" ht="188.25" customHeight="1">
      <c r="A72" s="6">
        <v>70</v>
      </c>
      <c r="B72" s="7" t="s">
        <v>277</v>
      </c>
      <c r="C72" s="6" t="s">
        <v>62</v>
      </c>
      <c r="D72" s="7" t="s">
        <v>278</v>
      </c>
      <c r="E72" s="7" t="s">
        <v>297</v>
      </c>
      <c r="F72" s="6" t="s">
        <v>14</v>
      </c>
      <c r="G72" s="7" t="s">
        <v>15</v>
      </c>
      <c r="H72" s="40" t="s">
        <v>1253</v>
      </c>
      <c r="I72" s="40" t="s">
        <v>1254</v>
      </c>
    </row>
    <row r="73" ht="100.5" customHeight="1">
      <c r="A73" s="6">
        <v>71</v>
      </c>
      <c r="B73" s="7" t="s">
        <v>277</v>
      </c>
      <c r="C73" s="6" t="s">
        <v>92</v>
      </c>
      <c r="D73" s="7" t="s">
        <v>278</v>
      </c>
      <c r="E73" s="7" t="s">
        <v>300</v>
      </c>
      <c r="F73" s="6" t="s">
        <v>14</v>
      </c>
      <c r="G73" s="7" t="s">
        <v>99</v>
      </c>
      <c r="H73" s="40" t="s">
        <v>1255</v>
      </c>
      <c r="I73" s="40" t="s">
        <v>1256</v>
      </c>
    </row>
    <row r="74" ht="100.5" customHeight="1">
      <c r="A74" s="6">
        <v>72</v>
      </c>
      <c r="B74" s="7" t="s">
        <v>277</v>
      </c>
      <c r="C74" s="6" t="s">
        <v>22</v>
      </c>
      <c r="D74" s="7" t="s">
        <v>278</v>
      </c>
      <c r="E74" s="7" t="s">
        <v>303</v>
      </c>
      <c r="F74" s="6" t="s">
        <v>84</v>
      </c>
      <c r="G74" s="7" t="s">
        <v>40</v>
      </c>
      <c r="H74" s="40" t="s">
        <v>1257</v>
      </c>
      <c r="I74" s="40" t="s">
        <v>1258</v>
      </c>
    </row>
    <row r="75" ht="138" customHeight="1">
      <c r="A75" s="6">
        <v>73</v>
      </c>
      <c r="B75" s="7" t="s">
        <v>277</v>
      </c>
      <c r="C75" s="6" t="s">
        <v>92</v>
      </c>
      <c r="D75" s="7" t="s">
        <v>306</v>
      </c>
      <c r="E75" s="7" t="s">
        <v>307</v>
      </c>
      <c r="F75" s="6" t="s">
        <v>89</v>
      </c>
      <c r="G75" s="7" t="s">
        <v>40</v>
      </c>
      <c r="H75" s="40" t="s">
        <v>1259</v>
      </c>
      <c r="I75" s="40" t="s">
        <v>1260</v>
      </c>
    </row>
    <row r="76" ht="38.25" customHeight="1">
      <c r="A76" s="6">
        <v>74</v>
      </c>
      <c r="B76" s="7" t="s">
        <v>277</v>
      </c>
      <c r="C76" s="6" t="s">
        <v>62</v>
      </c>
      <c r="D76" s="7" t="s">
        <v>278</v>
      </c>
      <c r="E76" s="7" t="s">
        <v>310</v>
      </c>
      <c r="F76" s="6" t="s">
        <v>89</v>
      </c>
      <c r="G76" s="7" t="s">
        <v>40</v>
      </c>
      <c r="H76" s="40" t="str">
        <v>TERM: postydilasʹ by (постыдилась бы) — you should be ashamed; you ought to feel shame [ORD] (lemma: postydítʹsja / постыдиться)
PASSAGE: Куда способна завести тебя ревность! Постыдилась бы. Индия побелела, но не опустила головы.
TRANS: Kuda sposobna zavesti tebja revnostʹ! Postydilasʹ by. Indija pobelela, no ne opustila golovy.
TRANSLATION: Where might your jealousy lead you! You should be ashamed. India turned pale but did not lower her head.</v>
      </c>
      <c r="I76" s="40" t="s">
        <v>1261</v>
      </c>
    </row>
    <row r="77" ht="100.5" customHeight="1">
      <c r="A77" s="6">
        <v>75</v>
      </c>
      <c r="B77" s="7" t="s">
        <v>277</v>
      </c>
      <c r="C77" s="6" t="s">
        <v>92</v>
      </c>
      <c r="D77" s="7" t="s">
        <v>312</v>
      </c>
      <c r="E77" s="7" t="s">
        <v>313</v>
      </c>
      <c r="F77" s="6" t="s">
        <v>314</v>
      </c>
      <c r="G77" s="7" t="s">
        <v>40</v>
      </c>
      <c r="H77" s="40" t="s">
        <v>1262</v>
      </c>
      <c r="I77" s="40" t="s">
        <v>1263</v>
      </c>
    </row>
    <row r="78" ht="100.5" customHeight="1">
      <c r="A78" s="6">
        <v>76</v>
      </c>
      <c r="B78" s="7" t="s">
        <v>277</v>
      </c>
      <c r="C78" s="6" t="s">
        <v>22</v>
      </c>
      <c r="D78" s="7" t="s">
        <v>312</v>
      </c>
      <c r="E78" s="7" t="s">
        <v>317</v>
      </c>
      <c r="F78" s="6" t="s">
        <v>314</v>
      </c>
      <c r="G78" s="7" t="s">
        <v>40</v>
      </c>
      <c r="H78" s="40" t="s">
        <v>1264</v>
      </c>
      <c r="I78" s="40" t="s">
        <v>1265</v>
      </c>
    </row>
    <row r="79" ht="175.5" customHeight="1">
      <c r="A79" s="6">
        <v>77</v>
      </c>
      <c r="B79" s="7" t="s">
        <v>277</v>
      </c>
      <c r="C79" s="6" t="s">
        <v>62</v>
      </c>
      <c r="D79" s="7" t="s">
        <v>319</v>
      </c>
      <c r="E79" s="7" t="s">
        <v>320</v>
      </c>
      <c r="F79" s="6" t="s">
        <v>95</v>
      </c>
      <c r="G79" s="7" t="s">
        <v>40</v>
      </c>
      <c r="H79" s="40" t="s">
        <v>1266</v>
      </c>
      <c r="I79" s="40" t="str">
        <v>TERM: Ø — omission; shame is not lexicalized
PASSAGE: Бұдан әрі белгісіздікте, өзіне деген сезімінің бар-жоғын білмей, Мелани салтанатты қабылдау ұйымдастырған сол бір сұмдық кештен кейін махаббаты өшіп қалды ма, жоқ па деген сұрақтың жетегінде жүре алмайды екен.
TRANS: Būdan ärı belgısızdıkte, özıne degen sezımınıñ bar-joğyn bılmei, Melani saltanatty qabyldau ūiymdastyrğan sol bır sūmdyq keşten keiın mahabbaty öşıp qaldy ma, joq pa degen sūraqtyñ jetegınde jüre almaidy eken.
TRANSLATION: She could not go on in uncertainty, not knowing whether his feelings for her existed or not, dragged along by the question of whether his love had been extinguished or not after that horrible evening when Melanie organized the gala reception.</v>
      </c>
    </row>
    <row r="80" ht="126" customHeight="1">
      <c r="A80" s="6">
        <v>78</v>
      </c>
      <c r="B80" s="7" t="s">
        <v>277</v>
      </c>
      <c r="C80" s="6" t="s">
        <v>22</v>
      </c>
      <c r="D80" s="7" t="s">
        <v>278</v>
      </c>
      <c r="E80" s="7" t="s">
        <v>322</v>
      </c>
      <c r="F80" s="6" t="s">
        <v>323</v>
      </c>
      <c r="G80" s="7" t="s">
        <v>40</v>
      </c>
      <c r="H80" s="40" t="str">
        <v>TERM: Ø — omission; the English shaming predicate is not lexicalized
PASSAGE: Послушала бы твоя маменька, Скарлетт, как ты стоишь тут и заявляешь, что честный труд — это не для порядочных людей, а для белой голытьбы!
TRANS: Poslushala by tvoya mamen'ka, Skarlett, kak ty stoish' tut i zayavlyaesh', chto chestnyy trud — eto ne dlya poryadochnykh lyudey, a dlya beloy golyt'by!
TRANSLATION: If your mother could hear, Scarlett, you standing here and declaring that honest work is not for decent people but for white trash!</v>
      </c>
      <c r="I80" s="40" t="str">
        <v>TERM: Ø — omission; the English shaming predicate is not lexicalized
PASSAGE: Скарлетт, сенің анаң осы жерде адал еңбек ету әдепті адамдардың қолы емес, ақ жарлы-жақыбайлардың міндеті деп құр жар салып жатқаныңды естісе ғой!
TRANS: Skarlett, senıñ anañ osy jerde adal eñbek etu ädeptı adamdardyñ qoly emes, aq jarly-jaqybailardyñ mındetı dep qūr jar salyp jatqanyñdy estıse ğoi!
TRANSLATION: Scarlett, if your mother could hear how you are standing here and proclaiming that honest work is not the hand of polite people but the duty of poor white scum!</v>
      </c>
    </row>
    <row r="81" ht="88.5" customHeight="1">
      <c r="A81" s="6">
        <v>79</v>
      </c>
      <c r="B81" s="7" t="s">
        <v>277</v>
      </c>
      <c r="C81" s="6" t="s">
        <v>37</v>
      </c>
      <c r="D81" s="7" t="s">
        <v>324</v>
      </c>
      <c r="E81" s="7" t="s">
        <v>325</v>
      </c>
      <c r="F81" s="6" t="s">
        <v>244</v>
      </c>
      <c r="G81" s="7" t="s">
        <v>40</v>
      </c>
      <c r="H81" s="40" t="s">
        <v>1267</v>
      </c>
      <c r="I81" s="40" t="s">
        <v>1268</v>
      </c>
    </row>
    <row r="82" ht="126" customHeight="1">
      <c r="A82" s="6">
        <v>80</v>
      </c>
      <c r="B82" s="7" t="s">
        <v>277</v>
      </c>
      <c r="C82" s="6" t="s">
        <v>37</v>
      </c>
      <c r="D82" s="7" t="s">
        <v>324</v>
      </c>
      <c r="E82" s="7" t="s">
        <v>328</v>
      </c>
      <c r="F82" s="6" t="s">
        <v>329</v>
      </c>
      <c r="G82" s="7" t="s">
        <v>40</v>
      </c>
      <c r="H82" s="40" t="s">
        <v>1269</v>
      </c>
      <c r="I82" s="40" t="s">
        <v>1270</v>
      </c>
    </row>
    <row r="83" ht="100.5" customHeight="1">
      <c r="A83" s="6">
        <v>81</v>
      </c>
      <c r="B83" s="7" t="s">
        <v>277</v>
      </c>
      <c r="C83" s="6" t="s">
        <v>37</v>
      </c>
      <c r="D83" s="7" t="s">
        <v>332</v>
      </c>
      <c r="E83" s="7" t="s">
        <v>333</v>
      </c>
      <c r="F83" s="6" t="s">
        <v>250</v>
      </c>
      <c r="G83" s="7" t="s">
        <v>40</v>
      </c>
      <c r="H83" s="40" t="s">
        <v>1271</v>
      </c>
      <c r="I83" s="40" t="s">
        <v>1272</v>
      </c>
    </row>
    <row r="84" ht="150.75" customHeight="1">
      <c r="A84" s="6">
        <v>82</v>
      </c>
      <c r="B84" s="7" t="s">
        <v>336</v>
      </c>
      <c r="C84" s="6" t="s">
        <v>37</v>
      </c>
      <c r="D84" s="7" t="s">
        <v>337</v>
      </c>
      <c r="E84" s="7" t="s">
        <v>338</v>
      </c>
      <c r="F84" s="6" t="s">
        <v>339</v>
      </c>
      <c r="G84" s="7" t="s">
        <v>15</v>
      </c>
      <c r="H84" s="40" t="s">
        <v>1273</v>
      </c>
      <c r="I84" s="40" t="s">
        <v>1274</v>
      </c>
    </row>
    <row r="85" ht="113.25" customHeight="1">
      <c r="A85" s="6">
        <v>83</v>
      </c>
      <c r="B85" s="7" t="s">
        <v>336</v>
      </c>
      <c r="C85" s="6" t="s">
        <v>37</v>
      </c>
      <c r="D85" s="7" t="s">
        <v>337</v>
      </c>
      <c r="E85" s="7" t="s">
        <v>342</v>
      </c>
      <c r="F85" s="6" t="s">
        <v>339</v>
      </c>
      <c r="G85" s="7" t="s">
        <v>40</v>
      </c>
      <c r="H85" s="40" t="s">
        <v>1275</v>
      </c>
      <c r="I85" s="40" t="s">
        <v>1276</v>
      </c>
    </row>
    <row r="86" ht="213" customHeight="1">
      <c r="A86" s="6">
        <v>84</v>
      </c>
      <c r="B86" s="7" t="s">
        <v>345</v>
      </c>
      <c r="C86" s="6" t="s">
        <v>62</v>
      </c>
      <c r="D86" s="7" t="s">
        <v>346</v>
      </c>
      <c r="E86" s="7" t="s">
        <v>347</v>
      </c>
      <c r="F86" s="6" t="s">
        <v>14</v>
      </c>
      <c r="G86" s="7" t="s">
        <v>15</v>
      </c>
      <c r="H86" s="40" t="s">
        <v>1277</v>
      </c>
      <c r="I86" s="40" t="s">
        <v>1278</v>
      </c>
    </row>
    <row r="87" ht="126" customHeight="1">
      <c r="A87" s="6">
        <v>85</v>
      </c>
      <c r="B87" s="7" t="s">
        <v>345</v>
      </c>
      <c r="C87" s="6" t="s">
        <v>92</v>
      </c>
      <c r="D87" s="7" t="s">
        <v>350</v>
      </c>
      <c r="E87" s="7" t="s">
        <v>351</v>
      </c>
      <c r="F87" s="6" t="s">
        <v>84</v>
      </c>
      <c r="G87" s="7" t="s">
        <v>15</v>
      </c>
      <c r="H87" s="40" t="str">
        <v>TERM: OTKROVENNO (ОТКРОВЕННО) — openly; frankly [ORD]; non-lexical rendering of unashamed
PASSAGE: Лицо человека, наделенного отменным здоровьем и таким же аппетитом, откровенно жадного до всех жизненных утех.
TRANS: Litso cheloveka, nadelennogo otmennym zdorov'em i takim zhe appetitom, otkrovenno zhadnogo do vsekh zhiznennykh utekh.
TRANSLATION: The face of a man endowed with excellent health and an equally good appetite, frankly greedy for all of life's pleasures.</v>
      </c>
      <c r="I87" s="40" t="str">
        <v>TERM: AŞKÖZDİKPEN (АШКӨЗДІКПЕН) — greedily; with greed [KED, SZK]; unashamed is not lexicalized
PASSAGE: Керемет күш-қуат пен өмірдің барлық ләззаттарына ашкөздікпен қарайтын тәбетке ие адамның бет-әлпеті.
TRANS: Keremet küş-quat pen ömırdıñ barlyq läzzattaryna aşközdıkpen qaraityn täbetke ie adamnyñ bet-älpetı.
TRANSLATION: The face of a man possessed of remarkable strength and energy, with an appetite that eyes all the pleasures of life with greed.</v>
      </c>
    </row>
    <row r="88" ht="113.25" customHeight="1">
      <c r="A88" s="6">
        <v>86</v>
      </c>
      <c r="B88" s="7" t="s">
        <v>345</v>
      </c>
      <c r="C88" s="6" t="s">
        <v>92</v>
      </c>
      <c r="D88" s="7" t="s">
        <v>352</v>
      </c>
      <c r="E88" s="7" t="s">
        <v>353</v>
      </c>
      <c r="F88" s="6" t="s">
        <v>84</v>
      </c>
      <c r="G88" s="7" t="s">
        <v>15</v>
      </c>
      <c r="H88" s="40" t="s">
        <v>1279</v>
      </c>
      <c r="I88" s="40" t="s">
        <v>1280</v>
      </c>
    </row>
    <row r="89" ht="63" customHeight="1">
      <c r="A89" s="6">
        <v>87</v>
      </c>
      <c r="B89" s="7" t="s">
        <v>345</v>
      </c>
      <c r="C89" s="6" t="s">
        <v>22</v>
      </c>
      <c r="D89" s="7" t="s">
        <v>350</v>
      </c>
      <c r="E89" s="7" t="s">
        <v>356</v>
      </c>
      <c r="F89" s="6" t="s">
        <v>84</v>
      </c>
      <c r="G89" s="7" t="s">
        <v>15</v>
      </c>
      <c r="H89" s="40" t="s">
        <v>1281</v>
      </c>
      <c r="I89" s="40" t="s">
        <v>1282</v>
      </c>
    </row>
    <row r="90" ht="175.5" customHeight="1">
      <c r="A90" s="6">
        <v>88</v>
      </c>
      <c r="B90" s="7" t="s">
        <v>345</v>
      </c>
      <c r="C90" s="6" t="s">
        <v>37</v>
      </c>
      <c r="D90" s="7" t="s">
        <v>359</v>
      </c>
      <c r="E90" s="7" t="s">
        <v>360</v>
      </c>
      <c r="F90" s="6" t="s">
        <v>84</v>
      </c>
      <c r="G90" s="7" t="s">
        <v>15</v>
      </c>
      <c r="H90" s="40" t="s">
        <v>1283</v>
      </c>
      <c r="I90" s="40" t="s">
        <v>1284</v>
      </c>
    </row>
    <row r="91" ht="138" customHeight="1">
      <c r="A91" s="6">
        <v>89</v>
      </c>
      <c r="B91" s="7" t="s">
        <v>345</v>
      </c>
      <c r="C91" s="6" t="s">
        <v>37</v>
      </c>
      <c r="D91" s="7" t="s">
        <v>363</v>
      </c>
      <c r="E91" s="7" t="s">
        <v>364</v>
      </c>
      <c r="F91" s="6" t="s">
        <v>84</v>
      </c>
      <c r="G91" s="7" t="s">
        <v>40</v>
      </c>
      <c r="H91" s="40" t="s">
        <v>1285</v>
      </c>
      <c r="I91" s="40" t="s">
        <v>1286</v>
      </c>
    </row>
    <row r="92" ht="100.5" customHeight="1">
      <c r="A92" s="6">
        <v>90</v>
      </c>
      <c r="B92" s="7" t="s">
        <v>345</v>
      </c>
      <c r="C92" s="6" t="s">
        <v>62</v>
      </c>
      <c r="D92" s="7" t="s">
        <v>363</v>
      </c>
      <c r="E92" s="7" t="s">
        <v>367</v>
      </c>
      <c r="F92" s="6" t="s">
        <v>84</v>
      </c>
      <c r="G92" s="7" t="s">
        <v>15</v>
      </c>
      <c r="H92" s="40" t="s">
        <v>1287</v>
      </c>
      <c r="I92" s="40" t="s">
        <v>1288</v>
      </c>
    </row>
    <row r="93" ht="201" customHeight="1">
      <c r="A93" s="6">
        <v>91</v>
      </c>
      <c r="B93" s="7" t="s">
        <v>345</v>
      </c>
      <c r="C93" s="6" t="s">
        <v>62</v>
      </c>
      <c r="D93" s="7" t="s">
        <v>370</v>
      </c>
      <c r="E93" s="7" t="s">
        <v>371</v>
      </c>
      <c r="F93" s="6" t="s">
        <v>84</v>
      </c>
      <c r="G93" s="7" t="s">
        <v>15</v>
      </c>
      <c r="H93" s="40" t="s">
        <v>1289</v>
      </c>
      <c r="I93" s="40" t="s">
        <v>1290</v>
      </c>
    </row>
    <row r="94" ht="163.5" customHeight="1">
      <c r="A94" s="6">
        <v>92</v>
      </c>
      <c r="B94" s="7" t="s">
        <v>345</v>
      </c>
      <c r="C94" s="6" t="s">
        <v>62</v>
      </c>
      <c r="D94" s="7" t="s">
        <v>350</v>
      </c>
      <c r="E94" s="7" t="s">
        <v>374</v>
      </c>
      <c r="F94" s="6" t="s">
        <v>84</v>
      </c>
      <c r="G94" s="7" t="s">
        <v>99</v>
      </c>
      <c r="H94" s="40" t="s">
        <v>1291</v>
      </c>
      <c r="I94" s="40" t="s">
        <v>1292</v>
      </c>
    </row>
    <row r="95" ht="63" customHeight="1">
      <c r="A95" s="6">
        <v>93</v>
      </c>
      <c r="B95" s="7" t="s">
        <v>345</v>
      </c>
      <c r="C95" s="6" t="s">
        <v>62</v>
      </c>
      <c r="D95" s="7" t="s">
        <v>350</v>
      </c>
      <c r="E95" s="7" t="s">
        <v>377</v>
      </c>
      <c r="F95" s="6" t="s">
        <v>84</v>
      </c>
      <c r="G95" s="7" t="s">
        <v>99</v>
      </c>
      <c r="H95" s="40" t="s">
        <v>1293</v>
      </c>
      <c r="I95" s="40" t="s">
        <v>1294</v>
      </c>
    </row>
    <row r="96" ht="100.5" customHeight="1">
      <c r="A96" s="6">
        <v>94</v>
      </c>
      <c r="B96" s="7" t="s">
        <v>345</v>
      </c>
      <c r="C96" s="6" t="s">
        <v>92</v>
      </c>
      <c r="D96" s="7" t="s">
        <v>380</v>
      </c>
      <c r="E96" s="7" t="s">
        <v>381</v>
      </c>
      <c r="F96" s="6" t="s">
        <v>89</v>
      </c>
      <c r="G96" s="7" t="s">
        <v>99</v>
      </c>
      <c r="H96" s="40" t="s">
        <v>1295</v>
      </c>
      <c r="I96" s="40" t="s">
        <v>1296</v>
      </c>
    </row>
    <row r="97" ht="100.5" customHeight="1">
      <c r="A97" s="6">
        <v>95</v>
      </c>
      <c r="B97" s="7" t="s">
        <v>345</v>
      </c>
      <c r="C97" s="6" t="s">
        <v>92</v>
      </c>
      <c r="D97" s="7" t="s">
        <v>384</v>
      </c>
      <c r="E97" s="7" t="s">
        <v>385</v>
      </c>
      <c r="F97" s="6" t="s">
        <v>89</v>
      </c>
      <c r="G97" s="7" t="s">
        <v>15</v>
      </c>
      <c r="H97" s="40" t="s">
        <v>1297</v>
      </c>
      <c r="I97" s="40" t="s">
        <v>1298</v>
      </c>
    </row>
    <row r="98" ht="100.5" customHeight="1">
      <c r="A98" s="6">
        <v>96</v>
      </c>
      <c r="B98" s="7" t="s">
        <v>388</v>
      </c>
      <c r="C98" s="6" t="s">
        <v>22</v>
      </c>
      <c r="D98" s="7" t="s">
        <v>389</v>
      </c>
      <c r="E98" s="7" t="s">
        <v>390</v>
      </c>
      <c r="F98" s="6" t="s">
        <v>84</v>
      </c>
      <c r="G98" s="7" t="s">
        <v>99</v>
      </c>
      <c r="H98" s="40" t="s">
        <v>1299</v>
      </c>
      <c r="I98" s="40" t="s">
        <v>1300</v>
      </c>
    </row>
    <row r="99" ht="63" customHeight="1">
      <c r="A99" s="6">
        <v>97</v>
      </c>
      <c r="B99" s="7" t="s">
        <v>388</v>
      </c>
      <c r="C99" s="6" t="s">
        <v>37</v>
      </c>
      <c r="D99" s="7" t="s">
        <v>393</v>
      </c>
      <c r="E99" s="7" t="s">
        <v>394</v>
      </c>
      <c r="F99" s="6" t="s">
        <v>84</v>
      </c>
      <c r="G99" s="7" t="s">
        <v>99</v>
      </c>
      <c r="H99" s="40" t="s">
        <v>1301</v>
      </c>
      <c r="I99" s="40" t="s">
        <v>1302</v>
      </c>
    </row>
    <row r="100" ht="188.25" customHeight="1">
      <c r="A100" s="6">
        <v>98</v>
      </c>
      <c r="B100" s="7" t="s">
        <v>388</v>
      </c>
      <c r="C100" s="6" t="s">
        <v>37</v>
      </c>
      <c r="D100" s="7" t="s">
        <v>397</v>
      </c>
      <c r="E100" s="7" t="s">
        <v>398</v>
      </c>
      <c r="F100" s="6" t="s">
        <v>84</v>
      </c>
      <c r="G100" s="7" t="s">
        <v>15</v>
      </c>
      <c r="H100" s="40" t="s">
        <v>1303</v>
      </c>
      <c r="I100" s="40" t="s">
        <v>1304</v>
      </c>
    </row>
    <row r="101" ht="138" customHeight="1">
      <c r="A101" s="6">
        <v>99</v>
      </c>
      <c r="B101" s="7" t="s">
        <v>388</v>
      </c>
      <c r="C101" s="6" t="s">
        <v>37</v>
      </c>
      <c r="D101" s="7" t="s">
        <v>401</v>
      </c>
      <c r="E101" s="7" t="s">
        <v>402</v>
      </c>
      <c r="F101" s="6" t="s">
        <v>84</v>
      </c>
      <c r="G101" s="7" t="s">
        <v>99</v>
      </c>
      <c r="H101" s="40" t="s">
        <v>1305</v>
      </c>
      <c r="I101" s="40" t="s">
        <v>1306</v>
      </c>
    </row>
    <row r="102" ht="100.5" customHeight="1">
      <c r="A102" s="6">
        <v>100</v>
      </c>
      <c r="B102" s="7" t="s">
        <v>388</v>
      </c>
      <c r="C102" s="6" t="s">
        <v>62</v>
      </c>
      <c r="D102" s="7" t="s">
        <v>393</v>
      </c>
      <c r="E102" s="7" t="s">
        <v>405</v>
      </c>
      <c r="F102" s="6" t="s">
        <v>84</v>
      </c>
      <c r="G102" s="7" t="s">
        <v>40</v>
      </c>
      <c r="H102" s="40" t="s">
        <v>1307</v>
      </c>
      <c r="I102" s="40" t="s">
        <v>1308</v>
      </c>
    </row>
    <row r="103" ht="100.5" customHeight="1">
      <c r="A103" s="6">
        <v>101</v>
      </c>
      <c r="B103" s="7" t="s">
        <v>388</v>
      </c>
      <c r="C103" s="6" t="s">
        <v>62</v>
      </c>
      <c r="D103" s="7" t="s">
        <v>393</v>
      </c>
      <c r="E103" s="7" t="s">
        <v>408</v>
      </c>
      <c r="F103" s="6" t="s">
        <v>84</v>
      </c>
      <c r="G103" s="7" t="s">
        <v>40</v>
      </c>
      <c r="H103" s="40" t="s">
        <v>1309</v>
      </c>
      <c r="I103" s="40" t="s">
        <v>1310</v>
      </c>
    </row>
    <row r="104" ht="163.5" customHeight="1">
      <c r="A104" s="6">
        <v>102</v>
      </c>
      <c r="B104" s="7" t="s">
        <v>388</v>
      </c>
      <c r="C104" s="6" t="s">
        <v>62</v>
      </c>
      <c r="D104" s="7" t="s">
        <v>411</v>
      </c>
      <c r="E104" s="7" t="s">
        <v>412</v>
      </c>
      <c r="F104" s="6" t="s">
        <v>84</v>
      </c>
      <c r="G104" s="7" t="s">
        <v>99</v>
      </c>
      <c r="H104" s="40" t="s">
        <v>1311</v>
      </c>
      <c r="I104" s="40" t="s">
        <v>1312</v>
      </c>
    </row>
    <row r="105" ht="100.5" customHeight="1">
      <c r="A105" s="6">
        <v>103</v>
      </c>
      <c r="B105" s="7" t="s">
        <v>388</v>
      </c>
      <c r="C105" s="6" t="s">
        <v>62</v>
      </c>
      <c r="D105" s="7" t="s">
        <v>415</v>
      </c>
      <c r="E105" s="7" t="s">
        <v>416</v>
      </c>
      <c r="F105" s="6" t="s">
        <v>84</v>
      </c>
      <c r="G105" s="7" t="s">
        <v>40</v>
      </c>
      <c r="H105" s="40" t="s">
        <v>1313</v>
      </c>
      <c r="I105" s="40" t="s">
        <v>1314</v>
      </c>
    </row>
    <row r="106" ht="138" customHeight="1">
      <c r="A106" s="6">
        <v>104</v>
      </c>
      <c r="B106" s="7" t="s">
        <v>388</v>
      </c>
      <c r="C106" s="6" t="s">
        <v>62</v>
      </c>
      <c r="D106" s="7" t="s">
        <v>419</v>
      </c>
      <c r="E106" s="7" t="s">
        <v>420</v>
      </c>
      <c r="F106" s="6" t="s">
        <v>84</v>
      </c>
      <c r="G106" s="7" t="s">
        <v>40</v>
      </c>
      <c r="H106" s="40" t="s">
        <v>1315</v>
      </c>
      <c r="I106" s="40" t="s">
        <v>1316</v>
      </c>
    </row>
    <row r="107" ht="14.25" customHeight="1">
      <c r="A107" s="3" t="s">
        <v>423</v>
      </c>
      <c r="B107" s="4"/>
      <c r="C107" s="4"/>
      <c r="D107" s="4"/>
      <c r="E107" s="4"/>
      <c r="F107" s="4"/>
      <c r="G107" s="4"/>
      <c r="H107" s="41"/>
      <c r="I107" s="41"/>
    </row>
    <row r="108" ht="100.5" customHeight="1">
      <c r="A108" s="6">
        <v>105</v>
      </c>
      <c r="B108" s="7" t="s">
        <v>424</v>
      </c>
      <c r="C108" s="6" t="s">
        <v>11</v>
      </c>
      <c r="D108" s="7" t="s">
        <v>425</v>
      </c>
      <c r="E108" s="7" t="s">
        <v>426</v>
      </c>
      <c r="F108" s="6" t="s">
        <v>427</v>
      </c>
      <c r="G108" s="7" t="s">
        <v>15</v>
      </c>
      <c r="H108" s="40" t="s">
        <v>1317</v>
      </c>
      <c r="I108" s="40" t="s">
        <v>1318</v>
      </c>
    </row>
    <row r="109" ht="201" customHeight="1">
      <c r="A109" s="6">
        <v>106</v>
      </c>
      <c r="B109" s="7" t="s">
        <v>430</v>
      </c>
      <c r="C109" s="6" t="s">
        <v>11</v>
      </c>
      <c r="D109" s="7" t="s">
        <v>431</v>
      </c>
      <c r="E109" s="7" t="s">
        <v>432</v>
      </c>
      <c r="F109" s="6" t="s">
        <v>433</v>
      </c>
      <c r="G109" s="7" t="s">
        <v>15</v>
      </c>
      <c r="H109" s="40" t="str">
        <v>TERM: Ø — omission; English guilt is not lexicalized
PASSAGE: Он был как бы ее сверстником — даже больше, чем сестры, — ведь Джералд, словно мальчишка, любил втайне от жены скакать по полям напрямик, а Скарлетт — тоже большая охотница до всяких эскапад — была его верной союзницей против Мамушки.
TRANS: On byl kak by ee sverstnikom — dazhe bol'she, chem sestry, — ved' Dzherald, slovno mal'chishka, lyubil vtayne ot zheny skakat' po polyam napryamik, a Skarlett — tozhe bol'shaya okhotnitsa do vsyakikh eskapad — byla ego vernoy soyuznitsey protiv Mamushki.
TRANSLATION: He was, as it were, her contemporary — even more so than her sisters — for Gerald, like a boy, loved to gallop straight across the fields out of his wife's sight, and Scarlett — herself a great enthusiast of escapades — was his loyal ally against Mammy.</v>
      </c>
      <c r="I109" s="40" t="s">
        <v>1319</v>
      </c>
    </row>
    <row r="110" ht="201" customHeight="1">
      <c r="A110" s="6">
        <v>107</v>
      </c>
      <c r="B110" s="7" t="s">
        <v>424</v>
      </c>
      <c r="C110" s="6" t="s">
        <v>11</v>
      </c>
      <c r="D110" s="7" t="s">
        <v>435</v>
      </c>
      <c r="E110" s="7" t="s">
        <v>436</v>
      </c>
      <c r="F110" s="6" t="s">
        <v>433</v>
      </c>
      <c r="G110" s="7" t="s">
        <v>15</v>
      </c>
      <c r="H110" s="40" t="s">
        <v>1320</v>
      </c>
      <c r="I110" s="40" t="s">
        <v>1321</v>
      </c>
    </row>
    <row r="111" ht="201" customHeight="1">
      <c r="A111" s="6">
        <v>108</v>
      </c>
      <c r="B111" s="7" t="s">
        <v>430</v>
      </c>
      <c r="C111" s="6" t="s">
        <v>11</v>
      </c>
      <c r="D111" s="7" t="s">
        <v>439</v>
      </c>
      <c r="E111" s="7" t="s">
        <v>440</v>
      </c>
      <c r="F111" s="6" t="s">
        <v>14</v>
      </c>
      <c r="G111" s="7" t="s">
        <v>15</v>
      </c>
      <c r="H111" s="40" t="s">
        <v>1322</v>
      </c>
      <c r="I111" s="40" t="s">
        <v>1323</v>
      </c>
    </row>
    <row r="112" ht="100.5" customHeight="1">
      <c r="A112" s="6">
        <v>109</v>
      </c>
      <c r="B112" s="7" t="s">
        <v>443</v>
      </c>
      <c r="C112" s="6" t="s">
        <v>92</v>
      </c>
      <c r="D112" s="7" t="s">
        <v>444</v>
      </c>
      <c r="E112" s="7" t="s">
        <v>445</v>
      </c>
      <c r="F112" s="6" t="s">
        <v>14</v>
      </c>
      <c r="G112" s="7" t="s">
        <v>15</v>
      </c>
      <c r="H112" s="40" t="s">
        <v>1324</v>
      </c>
      <c r="I112" s="40" t="s">
        <v>1325</v>
      </c>
    </row>
    <row r="113" ht="150.75" customHeight="1">
      <c r="A113" s="6">
        <v>110</v>
      </c>
      <c r="B113" s="7" t="s">
        <v>424</v>
      </c>
      <c r="C113" s="6" t="s">
        <v>92</v>
      </c>
      <c r="D113" s="7" t="s">
        <v>448</v>
      </c>
      <c r="E113" s="7" t="s">
        <v>449</v>
      </c>
      <c r="F113" s="6" t="s">
        <v>14</v>
      </c>
      <c r="G113" s="7" t="s">
        <v>15</v>
      </c>
      <c r="H113" s="40" t="s">
        <v>1326</v>
      </c>
      <c r="I113" s="40" t="s">
        <v>1327</v>
      </c>
    </row>
    <row r="114" ht="100.5" customHeight="1">
      <c r="A114" s="6">
        <v>111</v>
      </c>
      <c r="B114" s="7" t="s">
        <v>424</v>
      </c>
      <c r="C114" s="6" t="s">
        <v>92</v>
      </c>
      <c r="D114" s="7" t="s">
        <v>452</v>
      </c>
      <c r="E114" s="7" t="s">
        <v>453</v>
      </c>
      <c r="F114" s="6" t="s">
        <v>14</v>
      </c>
      <c r="G114" s="7" t="s">
        <v>15</v>
      </c>
      <c r="H114" s="40" t="s">
        <v>1328</v>
      </c>
      <c r="I114" s="40" t="s">
        <v>1329</v>
      </c>
    </row>
    <row r="115" ht="150.75" customHeight="1">
      <c r="A115" s="6">
        <v>112</v>
      </c>
      <c r="B115" s="7" t="s">
        <v>424</v>
      </c>
      <c r="C115" s="6" t="s">
        <v>92</v>
      </c>
      <c r="D115" s="7" t="s">
        <v>456</v>
      </c>
      <c r="E115" s="7" t="s">
        <v>457</v>
      </c>
      <c r="F115" s="6" t="s">
        <v>14</v>
      </c>
      <c r="G115" s="7" t="s">
        <v>15</v>
      </c>
      <c r="H115" s="40" t="s">
        <v>1330</v>
      </c>
      <c r="I115" s="40" t="s">
        <v>1331</v>
      </c>
    </row>
    <row r="116" ht="225.75" customHeight="1">
      <c r="A116" s="6">
        <v>113</v>
      </c>
      <c r="B116" s="7" t="s">
        <v>460</v>
      </c>
      <c r="C116" s="6" t="s">
        <v>92</v>
      </c>
      <c r="D116" s="7" t="s">
        <v>461</v>
      </c>
      <c r="E116" s="7" t="s">
        <v>462</v>
      </c>
      <c r="F116" s="6" t="s">
        <v>14</v>
      </c>
      <c r="G116" s="7" t="s">
        <v>15</v>
      </c>
      <c r="H116" s="40" t="s">
        <v>1332</v>
      </c>
      <c r="I116" s="40" t="s">
        <v>1333</v>
      </c>
    </row>
    <row r="117" ht="100.5" customHeight="1">
      <c r="A117" s="6">
        <v>114</v>
      </c>
      <c r="B117" s="7" t="s">
        <v>443</v>
      </c>
      <c r="C117" s="6" t="s">
        <v>92</v>
      </c>
      <c r="D117" s="7" t="s">
        <v>465</v>
      </c>
      <c r="E117" s="7" t="s">
        <v>466</v>
      </c>
      <c r="F117" s="6" t="s">
        <v>14</v>
      </c>
      <c r="G117" s="7" t="s">
        <v>15</v>
      </c>
      <c r="H117" s="40" t="s">
        <v>1334</v>
      </c>
      <c r="I117" s="40" t="s">
        <v>1335</v>
      </c>
    </row>
    <row r="118" ht="150.75" customHeight="1">
      <c r="A118" s="6">
        <v>115</v>
      </c>
      <c r="B118" s="7" t="s">
        <v>424</v>
      </c>
      <c r="C118" s="6" t="s">
        <v>37</v>
      </c>
      <c r="D118" s="7" t="s">
        <v>469</v>
      </c>
      <c r="E118" s="7" t="s">
        <v>470</v>
      </c>
      <c r="F118" s="6" t="s">
        <v>14</v>
      </c>
      <c r="G118" s="7" t="s">
        <v>15</v>
      </c>
      <c r="H118" s="40" t="s">
        <v>1336</v>
      </c>
      <c r="I118" s="40" t="s">
        <v>1337</v>
      </c>
    </row>
    <row r="119" ht="100.5" customHeight="1">
      <c r="A119" s="6">
        <v>116</v>
      </c>
      <c r="B119" s="7" t="s">
        <v>424</v>
      </c>
      <c r="C119" s="6" t="s">
        <v>37</v>
      </c>
      <c r="D119" s="7" t="s">
        <v>473</v>
      </c>
      <c r="E119" s="7" t="s">
        <v>474</v>
      </c>
      <c r="F119" s="6" t="s">
        <v>14</v>
      </c>
      <c r="G119" s="7" t="s">
        <v>15</v>
      </c>
      <c r="H119" s="40" t="s">
        <v>1338</v>
      </c>
      <c r="I119" s="40" t="s">
        <v>1339</v>
      </c>
    </row>
    <row r="120" ht="113.25" customHeight="1">
      <c r="A120" s="6">
        <v>117</v>
      </c>
      <c r="B120" s="7" t="s">
        <v>430</v>
      </c>
      <c r="C120" s="6" t="s">
        <v>37</v>
      </c>
      <c r="D120" s="7" t="s">
        <v>477</v>
      </c>
      <c r="E120" s="7" t="s">
        <v>478</v>
      </c>
      <c r="F120" s="6" t="s">
        <v>14</v>
      </c>
      <c r="G120" s="7" t="s">
        <v>15</v>
      </c>
      <c r="H120" s="40" t="str">
        <v>TERM: Ø — omission; English guilty is not lexicalized
PASSAGE: Радовало ее лишь то, что вердикт врачей не допускал близости между Эшли и его женой.
TRANS: Radovalo ee lish' to, chto verdikt vrachey ne dopuskal blizosti mezhdu Eshli i ego zhenoy.
TRANSLATION: The only thing that pleased her was that the doctors' verdict did not allow intimacy between Ashley and his wife.</v>
      </c>
      <c r="I120" s="40" t="str">
        <v>TERM: QUANU (ҚУАНУ) — to rejoice; to be pleased [KED, SZK]; guilty is not lexicalized
PASSAGE: Дәрігерлердің үкімі Эшли мен әйелінің арасындағы жақындасуды болдырмайтынына бұл қуанатын.
TRANS: Därıgerlerdıñ ükımı Eşli men äielınıñ arasyndağy jaqyndasudy boldyrmaitynyna būl quanatyn.
TRANSLATION: She rejoiced that the doctors' verdict prevented intimacy between Ashley and his wife.</v>
      </c>
    </row>
    <row r="121" ht="138" customHeight="1">
      <c r="A121" s="6">
        <v>118</v>
      </c>
      <c r="B121" s="7" t="s">
        <v>424</v>
      </c>
      <c r="C121" s="6" t="s">
        <v>37</v>
      </c>
      <c r="D121" s="7" t="s">
        <v>479</v>
      </c>
      <c r="E121" s="7" t="s">
        <v>480</v>
      </c>
      <c r="F121" s="6" t="s">
        <v>14</v>
      </c>
      <c r="G121" s="7" t="s">
        <v>15</v>
      </c>
      <c r="H121" s="40" t="str">
        <v>TERM: CHUVSTVO VINY (ЧУВСТВО ВИНЫ) — feeling of guilt [ORD] (lemma: вина)
PASSAGE: По правде говоря, при виде его смуглого лица ее охватила паника и чувство вины.
TRANS: Po pravde govorya, pri vide ego smuglogo litsa ee okhvatila panika i chuvstvo viny.
TRANSLATION: To tell the truth, at the sight of his swarthy face she was overcome with panic and a feeling of guilt.</v>
      </c>
      <c r="I121" s="40" t="s">
        <v>1340</v>
      </c>
    </row>
    <row r="122" ht="201" customHeight="1">
      <c r="A122" s="6">
        <v>119</v>
      </c>
      <c r="B122" s="7" t="s">
        <v>482</v>
      </c>
      <c r="C122" s="6" t="s">
        <v>37</v>
      </c>
      <c r="D122" s="7" t="s">
        <v>483</v>
      </c>
      <c r="E122" s="7" t="s">
        <v>484</v>
      </c>
      <c r="F122" s="6" t="s">
        <v>14</v>
      </c>
      <c r="G122" s="7" t="s">
        <v>15</v>
      </c>
      <c r="H122" s="40" t="s">
        <v>1341</v>
      </c>
      <c r="I122" s="40" t="s">
        <v>1342</v>
      </c>
    </row>
    <row r="123" ht="138" customHeight="1">
      <c r="A123" s="6">
        <v>120</v>
      </c>
      <c r="B123" s="7" t="s">
        <v>424</v>
      </c>
      <c r="C123" s="6" t="s">
        <v>62</v>
      </c>
      <c r="D123" s="7" t="s">
        <v>487</v>
      </c>
      <c r="E123" s="7" t="s">
        <v>488</v>
      </c>
      <c r="F123" s="6" t="s">
        <v>14</v>
      </c>
      <c r="G123" s="7" t="s">
        <v>15</v>
      </c>
      <c r="H123" s="40" t="s">
        <v>1343</v>
      </c>
      <c r="I123" s="40" t="s">
        <v>1344</v>
      </c>
    </row>
    <row r="124" ht="113.25" customHeight="1">
      <c r="A124" s="6">
        <v>121</v>
      </c>
      <c r="B124" s="7" t="s">
        <v>424</v>
      </c>
      <c r="C124" s="6" t="s">
        <v>62</v>
      </c>
      <c r="D124" s="7" t="s">
        <v>491</v>
      </c>
      <c r="E124" s="7" t="s">
        <v>492</v>
      </c>
      <c r="F124" s="6" t="s">
        <v>14</v>
      </c>
      <c r="G124" s="7" t="s">
        <v>15</v>
      </c>
      <c r="H124" s="40" t="s">
        <v>1345</v>
      </c>
      <c r="I124" s="40" t="str">
        <v>TERM: NALU (НАЛУ) — to grieve; to be distressed [KED, SZK]; guilt is not lexicalized
PASSAGE: Өткендерді қайта сезінудің машақатынан налып, әрі қатты қорыққандығы сондай, ештеңенің байыбына бара алмады.
TRANS: Ötkenderdı qaita sezınudıñ maşaqatynan nalyp, ärı qatty qoryqqandyğy sondai, eşteñenıñ baiybyna bara almady.
TRANSLATION: Worn out from the labor of feeling the past again, and so frightened was she that she could not get to the bottom of anything.</v>
      </c>
    </row>
    <row r="125" ht="126" customHeight="1">
      <c r="A125" s="6">
        <v>122</v>
      </c>
      <c r="B125" s="7" t="s">
        <v>460</v>
      </c>
      <c r="C125" s="6" t="s">
        <v>62</v>
      </c>
      <c r="D125" s="7" t="s">
        <v>494</v>
      </c>
      <c r="E125" s="7" t="s">
        <v>495</v>
      </c>
      <c r="F125" s="6" t="s">
        <v>14</v>
      </c>
      <c r="G125" s="7" t="s">
        <v>15</v>
      </c>
      <c r="H125" s="40" t="s">
        <v>1346</v>
      </c>
      <c r="I125" s="40" t="str">
        <v>TERM: ŪIATY TAZA EMES (ҰЯТЫ ТАЗА ЕМЕС) — one’s conscience is not clean [KED, SZK] (lemma: ұят)
PASSAGE: Әлде өзінің ұяты таза болмаған соң да солай көрінді ме екен?
TRANS: Älde özınıñ ūiaty taza bolmağan soñ da solai körındı me eken?
TRANSLATION: Or did it seem so to her because her own conscience was not clean?</v>
      </c>
    </row>
    <row r="126" ht="150.75" customHeight="1">
      <c r="A126" s="6">
        <v>123</v>
      </c>
      <c r="B126" s="7" t="s">
        <v>424</v>
      </c>
      <c r="C126" s="6" t="s">
        <v>62</v>
      </c>
      <c r="D126" s="7" t="s">
        <v>497</v>
      </c>
      <c r="E126" s="7" t="s">
        <v>498</v>
      </c>
      <c r="F126" s="6" t="s">
        <v>14</v>
      </c>
      <c r="G126" s="7" t="s">
        <v>15</v>
      </c>
      <c r="H126" s="40" t="s">
        <v>1347</v>
      </c>
      <c r="I126" s="40" t="s">
        <v>1348</v>
      </c>
    </row>
    <row r="127" ht="150.75" customHeight="1">
      <c r="A127" s="6">
        <v>124</v>
      </c>
      <c r="B127" s="7" t="s">
        <v>424</v>
      </c>
      <c r="C127" s="6" t="s">
        <v>62</v>
      </c>
      <c r="D127" s="7" t="s">
        <v>487</v>
      </c>
      <c r="E127" s="7" t="s">
        <v>501</v>
      </c>
      <c r="F127" s="6" t="s">
        <v>14</v>
      </c>
      <c r="G127" s="7" t="s">
        <v>15</v>
      </c>
      <c r="H127" s="40" t="s">
        <v>1349</v>
      </c>
      <c r="I127" s="40" t="s">
        <v>1350</v>
      </c>
    </row>
    <row r="128" ht="138" customHeight="1">
      <c r="A128" s="6">
        <v>125</v>
      </c>
      <c r="B128" s="7" t="s">
        <v>424</v>
      </c>
      <c r="C128" s="6" t="s">
        <v>62</v>
      </c>
      <c r="D128" s="7" t="s">
        <v>504</v>
      </c>
      <c r="E128" s="7" t="s">
        <v>505</v>
      </c>
      <c r="F128" s="6" t="s">
        <v>14</v>
      </c>
      <c r="G128" s="7" t="s">
        <v>15</v>
      </c>
      <c r="H128" s="40" t="str">
        <v>TERM: CHUVSTVO VINY (ЧУВСТВО ВИНЫ) — feeling of guilt [ORD] (lemma: вина)
PASSAGE: Когда он подошел к ней, она прочла в его глазах скорбь, а также неприязнь и презрение, и сердце у нее испуганно заныло от чувства вины.
TRANS: Kogda on podoshel k ney, ona prochla v ego glazakh skorb', a takzhe nepriyazn' i prezrenie, i serdtse u nee ispuganno zanylo ot chuvstva viny.
TRANSLATION: When he came up to her, she read in his eyes sorrow, and also dislike and contempt, and her heart ached fearfully with the feeling of guilt.</v>
      </c>
      <c r="I128" s="40" t="s">
        <v>1351</v>
      </c>
    </row>
    <row r="129" ht="138" customHeight="1">
      <c r="A129" s="6">
        <v>126</v>
      </c>
      <c r="B129" s="7" t="s">
        <v>424</v>
      </c>
      <c r="C129" s="6" t="s">
        <v>62</v>
      </c>
      <c r="D129" s="7" t="s">
        <v>507</v>
      </c>
      <c r="E129" s="7" t="s">
        <v>508</v>
      </c>
      <c r="F129" s="6" t="s">
        <v>89</v>
      </c>
      <c r="G129" s="7" t="s">
        <v>15</v>
      </c>
      <c r="H129" s="40" t="s">
        <v>1352</v>
      </c>
      <c r="I129" s="40" t="s">
        <v>1353</v>
      </c>
    </row>
    <row r="130" ht="188.25" customHeight="1">
      <c r="A130" s="6">
        <v>127</v>
      </c>
      <c r="B130" s="7" t="s">
        <v>424</v>
      </c>
      <c r="C130" s="6" t="s">
        <v>22</v>
      </c>
      <c r="D130" s="7" t="s">
        <v>511</v>
      </c>
      <c r="E130" s="7" t="s">
        <v>512</v>
      </c>
      <c r="F130" s="6" t="s">
        <v>513</v>
      </c>
      <c r="G130" s="7" t="s">
        <v>15</v>
      </c>
      <c r="H130" s="40" t="s">
        <v>1354</v>
      </c>
      <c r="I130" s="40" t="s">
        <v>1355</v>
      </c>
    </row>
    <row r="131" ht="201" customHeight="1">
      <c r="A131" s="6">
        <v>128</v>
      </c>
      <c r="B131" s="7" t="s">
        <v>424</v>
      </c>
      <c r="C131" s="6" t="s">
        <v>22</v>
      </c>
      <c r="D131" s="7" t="s">
        <v>516</v>
      </c>
      <c r="E131" s="7" t="s">
        <v>517</v>
      </c>
      <c r="F131" s="6" t="s">
        <v>518</v>
      </c>
      <c r="G131" s="7" t="s">
        <v>15</v>
      </c>
      <c r="H131" s="40" t="s">
        <v>1356</v>
      </c>
      <c r="I131" s="40" t="s">
        <v>1357</v>
      </c>
    </row>
    <row r="132" ht="100.5" customHeight="1">
      <c r="A132" s="6">
        <v>129</v>
      </c>
      <c r="B132" s="7" t="s">
        <v>424</v>
      </c>
      <c r="C132" s="6" t="s">
        <v>62</v>
      </c>
      <c r="D132" s="7" t="s">
        <v>521</v>
      </c>
      <c r="E132" s="7" t="s">
        <v>408</v>
      </c>
      <c r="F132" s="6" t="s">
        <v>522</v>
      </c>
      <c r="G132" s="7" t="s">
        <v>15</v>
      </c>
      <c r="H132" s="40" t="s">
        <v>1358</v>
      </c>
      <c r="I132" s="40" t="s">
        <v>1359</v>
      </c>
    </row>
    <row r="133" ht="100.5" customHeight="1">
      <c r="A133" s="6">
        <v>130</v>
      </c>
      <c r="B133" s="7" t="s">
        <v>460</v>
      </c>
      <c r="C133" s="6" t="s">
        <v>62</v>
      </c>
      <c r="D133" s="7" t="s">
        <v>525</v>
      </c>
      <c r="E133" s="7" t="s">
        <v>495</v>
      </c>
      <c r="F133" s="6" t="s">
        <v>14</v>
      </c>
      <c r="G133" s="7" t="s">
        <v>15</v>
      </c>
      <c r="H133" s="40" t="s">
        <v>1360</v>
      </c>
      <c r="I133" s="40" t="s">
        <v>1361</v>
      </c>
    </row>
    <row r="134" ht="201" customHeight="1">
      <c r="A134" s="6">
        <v>131</v>
      </c>
      <c r="B134" s="7" t="s">
        <v>528</v>
      </c>
      <c r="C134" s="6" t="s">
        <v>62</v>
      </c>
      <c r="D134" s="7" t="s">
        <v>529</v>
      </c>
      <c r="E134" s="7" t="s">
        <v>530</v>
      </c>
      <c r="F134" s="6" t="s">
        <v>14</v>
      </c>
      <c r="G134" s="7" t="s">
        <v>15</v>
      </c>
      <c r="H134" s="40" t="s">
        <v>1362</v>
      </c>
      <c r="I134" s="40" t="s">
        <v>1363</v>
      </c>
    </row>
    <row r="135" ht="138" customHeight="1">
      <c r="A135" s="6">
        <v>132</v>
      </c>
      <c r="B135" s="7" t="s">
        <v>528</v>
      </c>
      <c r="C135" s="6" t="s">
        <v>62</v>
      </c>
      <c r="D135" s="7" t="s">
        <v>533</v>
      </c>
      <c r="E135" s="7" t="s">
        <v>534</v>
      </c>
      <c r="F135" s="6" t="s">
        <v>14</v>
      </c>
      <c r="G135" s="7" t="s">
        <v>15</v>
      </c>
      <c r="H135" s="40" t="s">
        <v>1364</v>
      </c>
      <c r="I135" s="40" t="s">
        <v>1365</v>
      </c>
    </row>
    <row r="136" ht="138" customHeight="1">
      <c r="A136" s="6">
        <v>133</v>
      </c>
      <c r="B136" s="7" t="s">
        <v>528</v>
      </c>
      <c r="C136" s="6" t="s">
        <v>62</v>
      </c>
      <c r="D136" s="7" t="s">
        <v>533</v>
      </c>
      <c r="E136" s="7" t="s">
        <v>537</v>
      </c>
      <c r="F136" s="6" t="s">
        <v>14</v>
      </c>
      <c r="G136" s="7" t="s">
        <v>40</v>
      </c>
      <c r="H136" s="40" t="s">
        <v>1366</v>
      </c>
      <c r="I136" s="40" t="s">
        <v>1367</v>
      </c>
    </row>
    <row r="137" ht="188.25" customHeight="1">
      <c r="A137" s="6">
        <v>134</v>
      </c>
      <c r="B137" s="7" t="s">
        <v>528</v>
      </c>
      <c r="C137" s="6" t="s">
        <v>62</v>
      </c>
      <c r="D137" s="7" t="s">
        <v>533</v>
      </c>
      <c r="E137" s="7" t="s">
        <v>540</v>
      </c>
      <c r="F137" s="6" t="s">
        <v>14</v>
      </c>
      <c r="G137" s="7" t="s">
        <v>40</v>
      </c>
      <c r="H137" s="40" t="s">
        <v>1368</v>
      </c>
      <c r="I137" s="40" t="s">
        <v>1369</v>
      </c>
    </row>
    <row r="138" ht="188.25" customHeight="1">
      <c r="A138" s="6">
        <v>135</v>
      </c>
      <c r="B138" s="7" t="s">
        <v>528</v>
      </c>
      <c r="C138" s="6" t="s">
        <v>92</v>
      </c>
      <c r="D138" s="7" t="s">
        <v>543</v>
      </c>
      <c r="E138" s="7" t="s">
        <v>544</v>
      </c>
      <c r="F138" s="6" t="s">
        <v>89</v>
      </c>
      <c r="G138" s="7" t="s">
        <v>40</v>
      </c>
      <c r="H138" s="40" t="s">
        <v>1370</v>
      </c>
      <c r="I138" s="40" t="s">
        <v>1371</v>
      </c>
    </row>
    <row r="139" ht="14.25" customHeight="1">
      <c r="A139" s="3" t="s">
        <v>547</v>
      </c>
      <c r="B139" s="4"/>
      <c r="C139" s="4"/>
      <c r="D139" s="4"/>
      <c r="E139" s="4"/>
      <c r="F139" s="4"/>
      <c r="G139" s="4"/>
      <c r="H139" s="41"/>
      <c r="I139" s="41"/>
    </row>
    <row r="140" ht="188.25" customHeight="1">
      <c r="A140" s="6">
        <v>136</v>
      </c>
      <c r="B140" s="7" t="s">
        <v>548</v>
      </c>
      <c r="C140" s="6" t="s">
        <v>62</v>
      </c>
      <c r="D140" s="7" t="s">
        <v>549</v>
      </c>
      <c r="E140" s="7" t="s">
        <v>550</v>
      </c>
      <c r="F140" s="6" t="s">
        <v>14</v>
      </c>
      <c r="G140" s="7" t="s">
        <v>15</v>
      </c>
      <c r="H140" s="40" t="s">
        <v>1372</v>
      </c>
      <c r="I140" s="40" t="s">
        <v>1373</v>
      </c>
    </row>
    <row r="141" ht="188.25" customHeight="1">
      <c r="A141" s="6">
        <v>137</v>
      </c>
      <c r="B141" s="7" t="s">
        <v>548</v>
      </c>
      <c r="C141" s="6" t="s">
        <v>11</v>
      </c>
      <c r="D141" s="7" t="s">
        <v>553</v>
      </c>
      <c r="E141" s="7" t="s">
        <v>554</v>
      </c>
      <c r="F141" s="6" t="s">
        <v>433</v>
      </c>
      <c r="G141" s="7" t="s">
        <v>15</v>
      </c>
      <c r="H141" s="40" t="s">
        <v>1374</v>
      </c>
      <c r="I141" s="40" t="s">
        <v>1375</v>
      </c>
    </row>
    <row r="142" ht="100.5" customHeight="1">
      <c r="A142" s="6">
        <v>138</v>
      </c>
      <c r="B142" s="7" t="s">
        <v>548</v>
      </c>
      <c r="C142" s="6" t="s">
        <v>92</v>
      </c>
      <c r="D142" s="7" t="s">
        <v>557</v>
      </c>
      <c r="E142" s="7" t="s">
        <v>558</v>
      </c>
      <c r="F142" s="6" t="s">
        <v>14</v>
      </c>
      <c r="G142" s="7" t="s">
        <v>15</v>
      </c>
      <c r="H142" s="40" t="s">
        <v>1376</v>
      </c>
      <c r="I142" s="40" t="s">
        <v>1377</v>
      </c>
    </row>
    <row r="143" ht="150.75" customHeight="1">
      <c r="A143" s="6">
        <v>139</v>
      </c>
      <c r="B143" s="7" t="s">
        <v>548</v>
      </c>
      <c r="C143" s="6" t="s">
        <v>37</v>
      </c>
      <c r="D143" s="7" t="s">
        <v>561</v>
      </c>
      <c r="E143" s="7" t="s">
        <v>562</v>
      </c>
      <c r="F143" s="6" t="s">
        <v>14</v>
      </c>
      <c r="G143" s="7" t="s">
        <v>15</v>
      </c>
      <c r="H143" s="40" t="s">
        <v>1378</v>
      </c>
      <c r="I143" s="40" t="s">
        <v>1379</v>
      </c>
    </row>
    <row r="144" ht="163.5" customHeight="1">
      <c r="A144" s="6">
        <v>140</v>
      </c>
      <c r="B144" s="7" t="s">
        <v>548</v>
      </c>
      <c r="C144" s="6" t="s">
        <v>37</v>
      </c>
      <c r="D144" s="7" t="s">
        <v>565</v>
      </c>
      <c r="E144" s="7" t="s">
        <v>566</v>
      </c>
      <c r="F144" s="6" t="s">
        <v>14</v>
      </c>
      <c r="G144" s="7" t="s">
        <v>15</v>
      </c>
      <c r="H144" s="40" t="s">
        <v>1380</v>
      </c>
      <c r="I144" s="40" t="s">
        <v>1381</v>
      </c>
    </row>
    <row r="145" ht="175.5" customHeight="1">
      <c r="A145" s="6">
        <v>141</v>
      </c>
      <c r="B145" s="7" t="s">
        <v>548</v>
      </c>
      <c r="C145" s="6" t="s">
        <v>37</v>
      </c>
      <c r="D145" s="7" t="s">
        <v>569</v>
      </c>
      <c r="E145" s="7" t="s">
        <v>570</v>
      </c>
      <c r="F145" s="6" t="s">
        <v>14</v>
      </c>
      <c r="G145" s="7" t="s">
        <v>99</v>
      </c>
      <c r="H145" s="40" t="s">
        <v>1382</v>
      </c>
      <c r="I145" s="40" t="s">
        <v>1383</v>
      </c>
    </row>
    <row r="146" ht="138" customHeight="1">
      <c r="A146" s="6">
        <v>142</v>
      </c>
      <c r="B146" s="7" t="s">
        <v>548</v>
      </c>
      <c r="C146" s="6" t="s">
        <v>62</v>
      </c>
      <c r="D146" s="7" t="s">
        <v>573</v>
      </c>
      <c r="E146" s="7" t="s">
        <v>574</v>
      </c>
      <c r="F146" s="6" t="s">
        <v>14</v>
      </c>
      <c r="G146" s="7" t="s">
        <v>99</v>
      </c>
      <c r="H146" s="40" t="s">
        <v>1384</v>
      </c>
      <c r="I146" s="40" t="s">
        <v>1385</v>
      </c>
    </row>
    <row r="147" ht="225.75" customHeight="1">
      <c r="A147" s="6">
        <v>143</v>
      </c>
      <c r="B147" s="7" t="s">
        <v>548</v>
      </c>
      <c r="C147" s="6" t="s">
        <v>92</v>
      </c>
      <c r="D147" s="7" t="s">
        <v>577</v>
      </c>
      <c r="E147" s="7" t="s">
        <v>578</v>
      </c>
      <c r="F147" s="6" t="s">
        <v>579</v>
      </c>
      <c r="G147" s="7" t="s">
        <v>15</v>
      </c>
      <c r="H147" s="40" t="s">
        <v>1386</v>
      </c>
      <c r="I147" s="40" t="s">
        <v>1387</v>
      </c>
    </row>
    <row r="148" ht="75.75" customHeight="1">
      <c r="A148" s="6">
        <v>144</v>
      </c>
      <c r="B148" s="7" t="s">
        <v>548</v>
      </c>
      <c r="C148" s="6" t="s">
        <v>37</v>
      </c>
      <c r="D148" s="7" t="s">
        <v>582</v>
      </c>
      <c r="E148" s="7" t="s">
        <v>583</v>
      </c>
      <c r="F148" s="6" t="s">
        <v>244</v>
      </c>
      <c r="G148" s="7" t="s">
        <v>15</v>
      </c>
      <c r="H148" s="40" t="s">
        <v>1388</v>
      </c>
      <c r="I148" s="40" t="s">
        <v>1389</v>
      </c>
    </row>
    <row r="149" ht="188.25" customHeight="1">
      <c r="A149" s="6">
        <v>145</v>
      </c>
      <c r="B149" s="7" t="s">
        <v>586</v>
      </c>
      <c r="C149" s="6" t="s">
        <v>37</v>
      </c>
      <c r="D149" s="7" t="s">
        <v>587</v>
      </c>
      <c r="E149" s="7" t="s">
        <v>588</v>
      </c>
      <c r="F149" s="6" t="s">
        <v>329</v>
      </c>
      <c r="G149" s="7" t="s">
        <v>15</v>
      </c>
      <c r="H149" s="40" t="s">
        <v>1390</v>
      </c>
      <c r="I149" s="40" t="str">
        <v>TERM: Ø — omission; conscience is not lexicalized
PASSAGE: Сүйікті қызының басына қиындық туған кезде, дақ түссе де мейірімді, дана көзі бәрін де қалт жібермей байқап, істің мән-жайына бойлай кірісті. Сәбидің жанарындай жәутеңдеген көзқарасы санасында не болып жатқанын жайып салып тұр.
TRANS: Süiıktı qyzynyñ basyna qiyndyq tuğan kezde, daq tüsse de meiırımdı, dana közı bärın de qalt jıbermei baiqap, ıstıñ män-jaiyna boilai kırıstı. Säbidıñ janaryndai jäuteñdegen közqarasy sanasynda ne bolyp jatqanyn jaiyp salyp tūr.
TRANSLATION: When difficulties came upon her beloved girl, [Mammy's] kind, wise eyes — even with stains — missed nothing and went deep into the heart of the matter. The flickering, baby-like glance laid bare what was happening in her mind.</v>
      </c>
    </row>
    <row r="150" ht="225.75" customHeight="1">
      <c r="A150" s="6">
        <v>146</v>
      </c>
      <c r="B150" s="7" t="s">
        <v>590</v>
      </c>
      <c r="C150" s="6" t="s">
        <v>92</v>
      </c>
      <c r="D150" s="7" t="s">
        <v>591</v>
      </c>
      <c r="E150" s="7" t="s">
        <v>462</v>
      </c>
      <c r="F150" s="6" t="s">
        <v>14</v>
      </c>
      <c r="G150" s="7" t="s">
        <v>15</v>
      </c>
      <c r="H150" s="40" t="s">
        <v>1391</v>
      </c>
      <c r="I150" s="40" t="s">
        <v>1392</v>
      </c>
    </row>
    <row r="151" ht="163.5" customHeight="1">
      <c r="A151" s="6">
        <v>147</v>
      </c>
      <c r="B151" s="7" t="s">
        <v>593</v>
      </c>
      <c r="C151" s="6" t="s">
        <v>37</v>
      </c>
      <c r="D151" s="7" t="s">
        <v>594</v>
      </c>
      <c r="E151" s="7" t="s">
        <v>595</v>
      </c>
      <c r="F151" s="6" t="s">
        <v>14</v>
      </c>
      <c r="G151" s="7" t="s">
        <v>15</v>
      </c>
      <c r="H151" s="40" t="s">
        <v>1393</v>
      </c>
      <c r="I151" s="40" t="s">
        <v>1394</v>
      </c>
    </row>
    <row r="152" ht="138" customHeight="1">
      <c r="A152" s="6">
        <v>148</v>
      </c>
      <c r="B152" s="7" t="s">
        <v>590</v>
      </c>
      <c r="C152" s="6" t="s">
        <v>37</v>
      </c>
      <c r="D152" s="7" t="s">
        <v>598</v>
      </c>
      <c r="E152" s="7" t="s">
        <v>599</v>
      </c>
      <c r="F152" s="6" t="s">
        <v>14</v>
      </c>
      <c r="G152" s="7" t="s">
        <v>40</v>
      </c>
      <c r="H152" s="40" t="s">
        <v>1395</v>
      </c>
      <c r="I152" s="40" t="s">
        <v>1396</v>
      </c>
    </row>
    <row r="153" ht="188.25" customHeight="1">
      <c r="A153" s="6">
        <v>149</v>
      </c>
      <c r="B153" s="7" t="s">
        <v>590</v>
      </c>
      <c r="C153" s="6" t="s">
        <v>62</v>
      </c>
      <c r="D153" s="7" t="s">
        <v>602</v>
      </c>
      <c r="E153" s="7" t="s">
        <v>550</v>
      </c>
      <c r="F153" s="6" t="s">
        <v>14</v>
      </c>
      <c r="G153" s="7" t="s">
        <v>15</v>
      </c>
      <c r="H153" s="40" t="s">
        <v>1397</v>
      </c>
      <c r="I153" s="40" t="s">
        <v>1398</v>
      </c>
    </row>
    <row r="154" ht="250.5" customHeight="1">
      <c r="A154" s="6">
        <v>150</v>
      </c>
      <c r="B154" s="7" t="s">
        <v>604</v>
      </c>
      <c r="C154" s="6" t="s">
        <v>22</v>
      </c>
      <c r="D154" s="7" t="s">
        <v>605</v>
      </c>
      <c r="E154" s="7" t="s">
        <v>606</v>
      </c>
      <c r="F154" s="6" t="s">
        <v>14</v>
      </c>
      <c r="G154" s="7" t="s">
        <v>99</v>
      </c>
      <c r="H154" s="40" t="s">
        <v>1399</v>
      </c>
      <c r="I154" s="40" t="s">
        <v>1400</v>
      </c>
    </row>
    <row r="155" ht="100.5" customHeight="1">
      <c r="A155" s="6">
        <v>151</v>
      </c>
      <c r="B155" s="7" t="s">
        <v>609</v>
      </c>
      <c r="C155" s="6" t="s">
        <v>37</v>
      </c>
      <c r="D155" s="7" t="s">
        <v>610</v>
      </c>
      <c r="E155" s="7" t="s">
        <v>611</v>
      </c>
      <c r="F155" s="6" t="s">
        <v>14</v>
      </c>
      <c r="G155" s="7" t="s">
        <v>40</v>
      </c>
      <c r="H155" s="40" t="s">
        <v>1401</v>
      </c>
      <c r="I155" s="40" t="s">
        <v>1402</v>
      </c>
    </row>
    <row r="156" ht="276" customHeight="1">
      <c r="A156" s="6">
        <v>152</v>
      </c>
      <c r="B156" s="7" t="s">
        <v>614</v>
      </c>
      <c r="C156" s="6" t="s">
        <v>11</v>
      </c>
      <c r="D156" s="7" t="s">
        <v>615</v>
      </c>
      <c r="E156" s="7" t="s">
        <v>616</v>
      </c>
      <c r="F156" s="6" t="s">
        <v>14</v>
      </c>
      <c r="G156" s="7" t="s">
        <v>15</v>
      </c>
      <c r="H156" s="40" t="s">
        <v>1403</v>
      </c>
      <c r="I156" s="40" t="s">
        <v>1404</v>
      </c>
    </row>
    <row r="157" ht="138" customHeight="1">
      <c r="A157" s="6">
        <v>153</v>
      </c>
      <c r="B157" s="7" t="s">
        <v>619</v>
      </c>
      <c r="C157" s="6" t="s">
        <v>62</v>
      </c>
      <c r="D157" s="7" t="s">
        <v>620</v>
      </c>
      <c r="E157" s="7" t="s">
        <v>574</v>
      </c>
      <c r="F157" s="6" t="s">
        <v>14</v>
      </c>
      <c r="G157" s="7" t="s">
        <v>99</v>
      </c>
      <c r="H157" s="40" t="s">
        <v>1405</v>
      </c>
      <c r="I157" s="40" t="s">
        <v>1406</v>
      </c>
    </row>
    <row r="158" ht="188.25" customHeight="1">
      <c r="A158" s="6">
        <v>154</v>
      </c>
      <c r="B158" s="7" t="s">
        <v>619</v>
      </c>
      <c r="C158" s="6" t="s">
        <v>92</v>
      </c>
      <c r="D158" s="7" t="s">
        <v>622</v>
      </c>
      <c r="E158" s="7" t="s">
        <v>623</v>
      </c>
      <c r="F158" s="6" t="s">
        <v>14</v>
      </c>
      <c r="G158" s="7" t="s">
        <v>15</v>
      </c>
      <c r="H158" s="40" t="s">
        <v>1407</v>
      </c>
      <c r="I158" s="40" t="s">
        <v>1408</v>
      </c>
    </row>
    <row r="159" ht="238.5" customHeight="1">
      <c r="A159" s="6">
        <v>155</v>
      </c>
      <c r="B159" s="7" t="s">
        <v>619</v>
      </c>
      <c r="C159" s="6" t="s">
        <v>92</v>
      </c>
      <c r="D159" s="7" t="s">
        <v>626</v>
      </c>
      <c r="E159" s="7" t="s">
        <v>627</v>
      </c>
      <c r="F159" s="6" t="s">
        <v>14</v>
      </c>
      <c r="G159" s="7" t="s">
        <v>15</v>
      </c>
      <c r="H159" s="40" t="s">
        <v>1409</v>
      </c>
      <c r="I159" s="40" t="s">
        <v>1410</v>
      </c>
    </row>
    <row r="160" ht="138" customHeight="1">
      <c r="A160" s="6">
        <v>156</v>
      </c>
      <c r="B160" s="7" t="s">
        <v>619</v>
      </c>
      <c r="C160" s="6" t="s">
        <v>22</v>
      </c>
      <c r="D160" s="7" t="s">
        <v>629</v>
      </c>
      <c r="E160" s="7" t="s">
        <v>630</v>
      </c>
      <c r="F160" s="6" t="s">
        <v>14</v>
      </c>
      <c r="G160" s="7" t="s">
        <v>15</v>
      </c>
      <c r="H160" s="40" t="s">
        <v>1411</v>
      </c>
      <c r="I160" s="40" t="s">
        <v>1412</v>
      </c>
    </row>
    <row r="161" ht="138" customHeight="1">
      <c r="A161" s="6">
        <v>157</v>
      </c>
      <c r="B161" s="7" t="s">
        <v>619</v>
      </c>
      <c r="C161" s="6" t="s">
        <v>22</v>
      </c>
      <c r="D161" s="7" t="s">
        <v>633</v>
      </c>
      <c r="E161" s="7" t="s">
        <v>634</v>
      </c>
      <c r="F161" s="6" t="s">
        <v>14</v>
      </c>
      <c r="G161" s="7" t="s">
        <v>40</v>
      </c>
      <c r="H161" s="40" t="s">
        <v>1413</v>
      </c>
      <c r="I161" s="40" t="s">
        <v>1414</v>
      </c>
    </row>
    <row r="162" ht="126" customHeight="1">
      <c r="A162" s="6">
        <v>158</v>
      </c>
      <c r="B162" s="7" t="s">
        <v>619</v>
      </c>
      <c r="C162" s="6" t="s">
        <v>62</v>
      </c>
      <c r="D162" s="7" t="s">
        <v>637</v>
      </c>
      <c r="E162" s="7" t="s">
        <v>638</v>
      </c>
      <c r="F162" s="6" t="s">
        <v>14</v>
      </c>
      <c r="G162" s="7" t="s">
        <v>15</v>
      </c>
      <c r="H162" s="40" t="s">
        <v>1415</v>
      </c>
      <c r="I162" s="40" t="s">
        <v>1416</v>
      </c>
    </row>
    <row r="163" ht="75.75" customHeight="1">
      <c r="A163" s="6">
        <v>159</v>
      </c>
      <c r="B163" s="7" t="s">
        <v>619</v>
      </c>
      <c r="C163" s="6" t="s">
        <v>62</v>
      </c>
      <c r="D163" s="7" t="s">
        <v>641</v>
      </c>
      <c r="E163" s="7" t="s">
        <v>642</v>
      </c>
      <c r="F163" s="6" t="s">
        <v>89</v>
      </c>
      <c r="G163" s="7" t="s">
        <v>15</v>
      </c>
      <c r="H163" s="40" t="str">
        <v>TERM: zasovestivshis' (засовестившись) — having become conscience-stricken (pf. gerund, colloq.) [ORD] (lemma: засовеститься)
PASSAGE: [no passage given in the corpus row]
TRANS: [not available]
TRANSLATION: [not available]</v>
      </c>
      <c r="I163" s="40" t="str">
        <v>TERM: Ø — omission; English conscience-stricken is not lexicalized
PASSAGE: - Қалай дейсің?! - деп шыдамай айқайлап жіберді Мелли.
TRANS: - Qalai deisıñ?! - dep şydamai aiqailap jıberdı Melli.
TRANSLATION: "What did you say?!" — Melly cried out, unable to bear it.</v>
      </c>
    </row>
    <row r="164" ht="75.75" customHeight="1">
      <c r="A164" s="6">
        <v>160</v>
      </c>
      <c r="B164" s="7" t="s">
        <v>643</v>
      </c>
      <c r="C164" s="6" t="s">
        <v>22</v>
      </c>
      <c r="D164" s="7" t="s">
        <v>644</v>
      </c>
      <c r="E164" s="7" t="s">
        <v>645</v>
      </c>
      <c r="F164" s="6" t="s">
        <v>14</v>
      </c>
      <c r="G164" s="7" t="s">
        <v>15</v>
      </c>
      <c r="H164" s="40" t="str">
        <v>TERM: Ø — omission; English conscience is not lexicalized
PASSAGE: —
TRANS: —
TRANSLATION: —</v>
      </c>
      <c r="I164" s="40" t="str">
        <v>TERM: Ø — omission; English conscience is not lexicalized
PASSAGE: —
TRANS: —
TRANSLATION: —</v>
      </c>
    </row>
    <row r="165" ht="163.5" customHeight="1">
      <c r="A165" s="6">
        <v>161</v>
      </c>
      <c r="B165" s="7" t="s">
        <v>646</v>
      </c>
      <c r="C165" s="6" t="s">
        <v>11</v>
      </c>
      <c r="D165" s="7" t="s">
        <v>647</v>
      </c>
      <c r="E165" s="7" t="s">
        <v>648</v>
      </c>
      <c r="F165" s="6" t="s">
        <v>14</v>
      </c>
      <c r="G165" s="7" t="s">
        <v>15</v>
      </c>
      <c r="H165" s="40" t="s">
        <v>1417</v>
      </c>
      <c r="I165" s="40" t="s">
        <v>1418</v>
      </c>
    </row>
    <row r="166" ht="213" customHeight="1">
      <c r="A166" s="6">
        <v>162</v>
      </c>
      <c r="B166" s="7" t="s">
        <v>646</v>
      </c>
      <c r="C166" s="6" t="s">
        <v>92</v>
      </c>
      <c r="D166" s="7" t="s">
        <v>651</v>
      </c>
      <c r="E166" s="7" t="s">
        <v>652</v>
      </c>
      <c r="F166" s="6" t="s">
        <v>14</v>
      </c>
      <c r="G166" s="7" t="s">
        <v>15</v>
      </c>
      <c r="H166" s="40" t="s">
        <v>1419</v>
      </c>
      <c r="I166" s="40" t="s">
        <v>1420</v>
      </c>
    </row>
    <row r="167" ht="138" customHeight="1">
      <c r="A167" s="6">
        <v>163</v>
      </c>
      <c r="B167" s="7" t="s">
        <v>655</v>
      </c>
      <c r="C167" s="6" t="s">
        <v>37</v>
      </c>
      <c r="D167" s="7" t="s">
        <v>656</v>
      </c>
      <c r="E167" s="7" t="s">
        <v>480</v>
      </c>
      <c r="F167" s="6" t="s">
        <v>14</v>
      </c>
      <c r="G167" s="7" t="s">
        <v>15</v>
      </c>
      <c r="H167" s="40" t="str">
        <v>TERM: CHUVSTVO VINY (ЧУВСТВО ВИНЫ) — feeling of guilt [ORD] (lemma: вина)
PASSAGE: По правде говоря, при виде его смуглого лица ее охватила паника и чувство вины.
TRANS: Po pravde govorya, pri vide ego smuglogo litsa ee okhvatila panika i chuvstvo viny.
TRANSLATION: To tell the truth, at the sight of his swarthy face she was overcome with panic and a feeling of guilt.</v>
      </c>
      <c r="I167" s="40" t="s">
        <v>1421</v>
      </c>
    </row>
    <row r="168" ht="213" customHeight="1">
      <c r="A168" s="6">
        <v>164</v>
      </c>
      <c r="B168" s="7" t="s">
        <v>655</v>
      </c>
      <c r="C168" s="6" t="s">
        <v>37</v>
      </c>
      <c r="D168" s="7" t="s">
        <v>657</v>
      </c>
      <c r="E168" s="7" t="s">
        <v>658</v>
      </c>
      <c r="F168" s="6" t="s">
        <v>14</v>
      </c>
      <c r="G168" s="7" t="s">
        <v>15</v>
      </c>
      <c r="H168" s="40" t="s">
        <v>1422</v>
      </c>
      <c r="I168" s="40" t="s">
        <v>1423</v>
      </c>
    </row>
    <row r="169" ht="113.25" customHeight="1">
      <c r="A169" s="6">
        <v>165</v>
      </c>
      <c r="B169" s="7" t="s">
        <v>655</v>
      </c>
      <c r="C169" s="6" t="s">
        <v>62</v>
      </c>
      <c r="D169" s="7" t="s">
        <v>661</v>
      </c>
      <c r="E169" s="7" t="s">
        <v>662</v>
      </c>
      <c r="F169" s="6" t="s">
        <v>14</v>
      </c>
      <c r="G169" s="7" t="s">
        <v>40</v>
      </c>
      <c r="H169" s="40" t="s">
        <v>1424</v>
      </c>
      <c r="I169" s="40" t="s">
        <v>1425</v>
      </c>
    </row>
    <row r="170" ht="75.75" customHeight="1">
      <c r="A170" s="6">
        <v>166</v>
      </c>
      <c r="B170" s="7" t="s">
        <v>655</v>
      </c>
      <c r="C170" s="6" t="s">
        <v>37</v>
      </c>
      <c r="D170" s="7" t="s">
        <v>665</v>
      </c>
      <c r="E170" s="7" t="s">
        <v>666</v>
      </c>
      <c r="F170" s="6" t="s">
        <v>244</v>
      </c>
      <c r="G170" s="7" t="s">
        <v>99</v>
      </c>
      <c r="H170" s="40" t="s">
        <v>1426</v>
      </c>
      <c r="I170" s="40" t="s">
        <v>1427</v>
      </c>
    </row>
    <row r="171" ht="138" customHeight="1">
      <c r="A171" s="6">
        <v>167</v>
      </c>
      <c r="B171" s="7" t="s">
        <v>586</v>
      </c>
      <c r="C171" s="6" t="s">
        <v>22</v>
      </c>
      <c r="D171" s="7" t="s">
        <v>669</v>
      </c>
      <c r="E171" s="7" t="s">
        <v>670</v>
      </c>
      <c r="F171" s="6" t="s">
        <v>14</v>
      </c>
      <c r="G171" s="7" t="s">
        <v>15</v>
      </c>
      <c r="H171" s="40" t="s">
        <v>1428</v>
      </c>
      <c r="I171" s="40" t="s">
        <v>1429</v>
      </c>
    </row>
    <row r="172" ht="100.5" customHeight="1">
      <c r="A172" s="6">
        <v>168</v>
      </c>
      <c r="B172" s="7" t="s">
        <v>586</v>
      </c>
      <c r="C172" s="6" t="s">
        <v>37</v>
      </c>
      <c r="D172" s="7" t="s">
        <v>673</v>
      </c>
      <c r="E172" s="7" t="s">
        <v>674</v>
      </c>
      <c r="F172" s="6" t="s">
        <v>14</v>
      </c>
      <c r="G172" s="7" t="s">
        <v>15</v>
      </c>
      <c r="H172" s="40" t="s">
        <v>1430</v>
      </c>
      <c r="I172" s="40" t="s">
        <v>1431</v>
      </c>
    </row>
    <row r="173" ht="126" customHeight="1">
      <c r="A173" s="6">
        <v>169</v>
      </c>
      <c r="B173" s="7" t="s">
        <v>586</v>
      </c>
      <c r="C173" s="6" t="s">
        <v>37</v>
      </c>
      <c r="D173" s="7" t="s">
        <v>677</v>
      </c>
      <c r="E173" s="7" t="s">
        <v>678</v>
      </c>
      <c r="F173" s="6" t="s">
        <v>14</v>
      </c>
      <c r="G173" s="7" t="s">
        <v>15</v>
      </c>
      <c r="H173" s="40" t="s">
        <v>1432</v>
      </c>
      <c r="I173" s="40" t="s">
        <v>1433</v>
      </c>
    </row>
    <row r="174" ht="100.5" customHeight="1">
      <c r="A174" s="6">
        <v>170</v>
      </c>
      <c r="B174" s="7" t="s">
        <v>586</v>
      </c>
      <c r="C174" s="6" t="s">
        <v>37</v>
      </c>
      <c r="D174" s="7" t="s">
        <v>681</v>
      </c>
      <c r="E174" s="7" t="s">
        <v>682</v>
      </c>
      <c r="F174" s="6" t="s">
        <v>84</v>
      </c>
      <c r="G174" s="7" t="s">
        <v>99</v>
      </c>
      <c r="H174" s="40" t="s">
        <v>1434</v>
      </c>
      <c r="I174" s="40" t="s">
        <v>1435</v>
      </c>
    </row>
    <row r="175" ht="100.5" customHeight="1">
      <c r="A175" s="6">
        <v>171</v>
      </c>
      <c r="B175" s="7" t="s">
        <v>586</v>
      </c>
      <c r="C175" s="6" t="s">
        <v>37</v>
      </c>
      <c r="D175" s="7" t="s">
        <v>677</v>
      </c>
      <c r="E175" s="7" t="s">
        <v>685</v>
      </c>
      <c r="F175" s="6" t="s">
        <v>14</v>
      </c>
      <c r="G175" s="7" t="s">
        <v>15</v>
      </c>
      <c r="H175" s="40" t="s">
        <v>1436</v>
      </c>
      <c r="I175" s="40" t="s">
        <v>1437</v>
      </c>
    </row>
    <row r="176" ht="225.75" customHeight="1">
      <c r="A176" s="6">
        <v>172</v>
      </c>
      <c r="B176" s="7" t="s">
        <v>586</v>
      </c>
      <c r="C176" s="6" t="s">
        <v>62</v>
      </c>
      <c r="D176" s="7" t="s">
        <v>688</v>
      </c>
      <c r="E176" s="7" t="s">
        <v>689</v>
      </c>
      <c r="F176" s="6" t="s">
        <v>14</v>
      </c>
      <c r="G176" s="7" t="s">
        <v>15</v>
      </c>
      <c r="H176" s="40" t="s">
        <v>1438</v>
      </c>
      <c r="I176" s="40" t="s">
        <v>1439</v>
      </c>
    </row>
    <row r="177" ht="126" customHeight="1">
      <c r="A177" s="6">
        <v>173</v>
      </c>
      <c r="B177" s="7" t="s">
        <v>586</v>
      </c>
      <c r="C177" s="6" t="s">
        <v>37</v>
      </c>
      <c r="D177" s="7" t="s">
        <v>692</v>
      </c>
      <c r="E177" s="7" t="s">
        <v>693</v>
      </c>
      <c r="F177" s="6" t="s">
        <v>84</v>
      </c>
      <c r="G177" s="7" t="s">
        <v>99</v>
      </c>
      <c r="H177" s="40" t="s">
        <v>1440</v>
      </c>
      <c r="I177" s="40" t="s">
        <v>1441</v>
      </c>
    </row>
    <row r="178" ht="88.5" customHeight="1">
      <c r="A178" s="6">
        <v>174</v>
      </c>
      <c r="B178" s="7" t="s">
        <v>593</v>
      </c>
      <c r="C178" s="6" t="s">
        <v>37</v>
      </c>
      <c r="D178" s="7" t="s">
        <v>696</v>
      </c>
      <c r="E178" s="7" t="s">
        <v>697</v>
      </c>
      <c r="F178" s="6" t="s">
        <v>14</v>
      </c>
      <c r="G178" s="7" t="s">
        <v>40</v>
      </c>
      <c r="H178" s="40" t="s">
        <v>1442</v>
      </c>
      <c r="I178" s="42" t="s">
        <v>1443</v>
      </c>
    </row>
    <row r="179" ht="14.25" customHeight="1">
      <c r="A179" s="3" t="s">
        <v>700</v>
      </c>
      <c r="B179" s="4"/>
      <c r="C179" s="4"/>
      <c r="D179" s="4"/>
      <c r="E179" s="4"/>
      <c r="F179" s="4"/>
      <c r="G179" s="4"/>
      <c r="H179" s="41"/>
      <c r="I179" s="41"/>
    </row>
    <row r="180" ht="100.5" customHeight="1">
      <c r="A180" s="6">
        <v>175</v>
      </c>
      <c r="B180" s="7" t="s">
        <v>701</v>
      </c>
      <c r="C180" s="6" t="s">
        <v>37</v>
      </c>
      <c r="D180" s="7" t="s">
        <v>702</v>
      </c>
      <c r="E180" s="7" t="s">
        <v>703</v>
      </c>
      <c r="F180" s="6" t="s">
        <v>95</v>
      </c>
      <c r="G180" s="7" t="s">
        <v>99</v>
      </c>
      <c r="H180" s="40" t="s">
        <v>1444</v>
      </c>
      <c r="I180" s="40" t="s">
        <v>1445</v>
      </c>
    </row>
    <row r="181" ht="175.5" customHeight="1">
      <c r="A181" s="6">
        <v>176</v>
      </c>
      <c r="B181" s="7" t="s">
        <v>701</v>
      </c>
      <c r="C181" s="6" t="s">
        <v>37</v>
      </c>
      <c r="D181" s="7" t="s">
        <v>702</v>
      </c>
      <c r="E181" s="7" t="s">
        <v>706</v>
      </c>
      <c r="F181" s="6" t="s">
        <v>95</v>
      </c>
      <c r="G181" s="7" t="s">
        <v>15</v>
      </c>
      <c r="H181" s="40" t="s">
        <v>1446</v>
      </c>
      <c r="I181" s="40" t="s">
        <v>1447</v>
      </c>
    </row>
    <row r="182" ht="175.5" customHeight="1">
      <c r="A182" s="6">
        <v>177</v>
      </c>
      <c r="B182" s="7" t="s">
        <v>701</v>
      </c>
      <c r="C182" s="6" t="s">
        <v>62</v>
      </c>
      <c r="D182" s="7" t="s">
        <v>702</v>
      </c>
      <c r="E182" s="7" t="s">
        <v>709</v>
      </c>
      <c r="F182" s="6" t="s">
        <v>95</v>
      </c>
      <c r="G182" s="7" t="s">
        <v>15</v>
      </c>
      <c r="H182" s="40" t="s">
        <v>1448</v>
      </c>
      <c r="I182" s="40" t="s">
        <v>1449</v>
      </c>
    </row>
    <row r="183" ht="175.5" customHeight="1">
      <c r="A183" s="6">
        <v>178</v>
      </c>
      <c r="B183" s="7" t="s">
        <v>712</v>
      </c>
      <c r="C183" s="6" t="s">
        <v>62</v>
      </c>
      <c r="D183" s="7" t="s">
        <v>713</v>
      </c>
      <c r="E183" s="7" t="s">
        <v>714</v>
      </c>
      <c r="F183" s="6" t="s">
        <v>89</v>
      </c>
      <c r="G183" s="7" t="s">
        <v>40</v>
      </c>
      <c r="H183" s="40" t="s">
        <v>1450</v>
      </c>
      <c r="I183" s="40" t="s">
        <v>1451</v>
      </c>
    </row>
    <row r="184" ht="188.25" customHeight="1">
      <c r="A184" s="6">
        <v>179</v>
      </c>
      <c r="B184" s="7" t="s">
        <v>701</v>
      </c>
      <c r="C184" s="6" t="s">
        <v>37</v>
      </c>
      <c r="D184" s="7" t="s">
        <v>717</v>
      </c>
      <c r="E184" s="7" t="s">
        <v>718</v>
      </c>
      <c r="F184" s="6" t="s">
        <v>95</v>
      </c>
      <c r="G184" s="7" t="s">
        <v>99</v>
      </c>
      <c r="H184" s="40" t="s">
        <v>1452</v>
      </c>
      <c r="I184" s="40" t="s">
        <v>1453</v>
      </c>
    </row>
    <row r="185" ht="238.5" customHeight="1">
      <c r="A185" s="6">
        <v>180</v>
      </c>
      <c r="B185" s="7" t="s">
        <v>701</v>
      </c>
      <c r="C185" s="6" t="s">
        <v>92</v>
      </c>
      <c r="D185" s="7" t="s">
        <v>721</v>
      </c>
      <c r="E185" s="7" t="s">
        <v>627</v>
      </c>
      <c r="F185" s="6" t="s">
        <v>14</v>
      </c>
      <c r="G185" s="7" t="s">
        <v>15</v>
      </c>
      <c r="H185" s="40" t="s">
        <v>1454</v>
      </c>
      <c r="I185" s="40" t="s">
        <v>1455</v>
      </c>
    </row>
    <row r="186" ht="188.25" customHeight="1">
      <c r="A186" s="6">
        <v>181</v>
      </c>
      <c r="B186" s="7" t="s">
        <v>701</v>
      </c>
      <c r="C186" s="6" t="s">
        <v>22</v>
      </c>
      <c r="D186" s="7" t="s">
        <v>724</v>
      </c>
      <c r="E186" s="7" t="s">
        <v>725</v>
      </c>
      <c r="F186" s="6" t="s">
        <v>14</v>
      </c>
      <c r="G186" s="7" t="s">
        <v>15</v>
      </c>
      <c r="H186" s="40" t="s">
        <v>1456</v>
      </c>
      <c r="I186" s="40" t="s">
        <v>1457</v>
      </c>
    </row>
    <row r="187" ht="238.5" customHeight="1">
      <c r="A187" s="6">
        <v>182</v>
      </c>
      <c r="B187" s="7" t="s">
        <v>701</v>
      </c>
      <c r="C187" s="6" t="s">
        <v>37</v>
      </c>
      <c r="D187" s="7" t="s">
        <v>728</v>
      </c>
      <c r="E187" s="7" t="s">
        <v>729</v>
      </c>
      <c r="F187" s="6" t="s">
        <v>730</v>
      </c>
      <c r="G187" s="7" t="s">
        <v>15</v>
      </c>
      <c r="H187" s="40" t="s">
        <v>1458</v>
      </c>
      <c r="I187" s="40" t="s">
        <v>1459</v>
      </c>
    </row>
    <row r="188" ht="138" customHeight="1">
      <c r="A188" s="6">
        <v>183</v>
      </c>
      <c r="B188" s="7" t="s">
        <v>701</v>
      </c>
      <c r="C188" s="6" t="s">
        <v>37</v>
      </c>
      <c r="D188" s="7" t="s">
        <v>733</v>
      </c>
      <c r="E188" s="7" t="s">
        <v>734</v>
      </c>
      <c r="F188" s="6" t="s">
        <v>14</v>
      </c>
      <c r="G188" s="7" t="s">
        <v>40</v>
      </c>
      <c r="H188" s="40" t="s">
        <v>1460</v>
      </c>
      <c r="I188" s="40" t="s">
        <v>1461</v>
      </c>
    </row>
    <row r="189" ht="100.5" customHeight="1">
      <c r="A189" s="6">
        <v>184</v>
      </c>
      <c r="B189" s="7" t="s">
        <v>701</v>
      </c>
      <c r="C189" s="6" t="s">
        <v>37</v>
      </c>
      <c r="D189" s="7" t="s">
        <v>737</v>
      </c>
      <c r="E189" s="7" t="s">
        <v>738</v>
      </c>
      <c r="F189" s="6" t="s">
        <v>14</v>
      </c>
      <c r="G189" s="7" t="s">
        <v>40</v>
      </c>
      <c r="H189" s="40" t="s">
        <v>1462</v>
      </c>
      <c r="I189" s="40" t="s">
        <v>1463</v>
      </c>
    </row>
    <row r="190" ht="213" customHeight="1">
      <c r="A190" s="6">
        <v>185</v>
      </c>
      <c r="B190" s="7" t="s">
        <v>701</v>
      </c>
      <c r="C190" s="6" t="s">
        <v>37</v>
      </c>
      <c r="D190" s="7" t="s">
        <v>737</v>
      </c>
      <c r="E190" s="7" t="s">
        <v>741</v>
      </c>
      <c r="F190" s="6" t="s">
        <v>14</v>
      </c>
      <c r="G190" s="7" t="s">
        <v>40</v>
      </c>
      <c r="H190" s="40" t="s">
        <v>1464</v>
      </c>
      <c r="I190" s="40" t="s">
        <v>1465</v>
      </c>
    </row>
    <row r="191" ht="113.25" customHeight="1">
      <c r="A191" s="6">
        <v>186</v>
      </c>
      <c r="B191" s="7" t="s">
        <v>701</v>
      </c>
      <c r="C191" s="6" t="s">
        <v>37</v>
      </c>
      <c r="D191" s="7" t="s">
        <v>744</v>
      </c>
      <c r="E191" s="7" t="s">
        <v>745</v>
      </c>
      <c r="F191" s="6" t="s">
        <v>95</v>
      </c>
      <c r="G191" s="7" t="s">
        <v>40</v>
      </c>
      <c r="H191" s="40" t="s">
        <v>1466</v>
      </c>
      <c r="I191" s="40" t="s">
        <v>1467</v>
      </c>
    </row>
    <row r="192" ht="100.5" customHeight="1">
      <c r="A192" s="6">
        <v>187</v>
      </c>
      <c r="B192" s="7" t="s">
        <v>701</v>
      </c>
      <c r="C192" s="6" t="s">
        <v>37</v>
      </c>
      <c r="D192" s="7" t="s">
        <v>748</v>
      </c>
      <c r="E192" s="7" t="s">
        <v>749</v>
      </c>
      <c r="F192" s="6" t="s">
        <v>95</v>
      </c>
      <c r="G192" s="7" t="s">
        <v>40</v>
      </c>
      <c r="H192" s="40" t="s">
        <v>1468</v>
      </c>
      <c r="I192" s="40" t="s">
        <v>1469</v>
      </c>
    </row>
    <row r="193" ht="175.5" customHeight="1">
      <c r="A193" s="6">
        <v>188</v>
      </c>
      <c r="B193" s="7" t="s">
        <v>701</v>
      </c>
      <c r="C193" s="6" t="s">
        <v>37</v>
      </c>
      <c r="D193" s="7" t="s">
        <v>748</v>
      </c>
      <c r="E193" s="7" t="s">
        <v>752</v>
      </c>
      <c r="F193" s="6" t="s">
        <v>95</v>
      </c>
      <c r="G193" s="7" t="s">
        <v>40</v>
      </c>
      <c r="H193" s="40" t="s">
        <v>1470</v>
      </c>
      <c r="I193" s="40" t="s">
        <v>1471</v>
      </c>
    </row>
    <row r="194" ht="201" customHeight="1">
      <c r="A194" s="6">
        <v>189</v>
      </c>
      <c r="B194" s="7" t="s">
        <v>701</v>
      </c>
      <c r="C194" s="6" t="s">
        <v>37</v>
      </c>
      <c r="D194" s="7" t="s">
        <v>755</v>
      </c>
      <c r="E194" s="7" t="s">
        <v>484</v>
      </c>
      <c r="F194" s="6" t="s">
        <v>95</v>
      </c>
      <c r="G194" s="7" t="s">
        <v>15</v>
      </c>
      <c r="H194" s="40" t="s">
        <v>1472</v>
      </c>
      <c r="I194" s="40" t="s">
        <v>1473</v>
      </c>
    </row>
    <row r="195" ht="150.75" customHeight="1">
      <c r="A195" s="6">
        <v>190</v>
      </c>
      <c r="B195" s="7" t="s">
        <v>701</v>
      </c>
      <c r="C195" s="6" t="s">
        <v>37</v>
      </c>
      <c r="D195" s="7" t="s">
        <v>724</v>
      </c>
      <c r="E195" s="7" t="s">
        <v>758</v>
      </c>
      <c r="F195" s="6" t="s">
        <v>95</v>
      </c>
      <c r="G195" s="7" t="s">
        <v>15</v>
      </c>
      <c r="H195" s="40" t="s">
        <v>1474</v>
      </c>
      <c r="I195" s="40" t="s">
        <v>1475</v>
      </c>
    </row>
    <row r="196" ht="175.5" customHeight="1">
      <c r="A196" s="6">
        <v>191</v>
      </c>
      <c r="B196" s="7" t="s">
        <v>701</v>
      </c>
      <c r="C196" s="6" t="s">
        <v>62</v>
      </c>
      <c r="D196" s="7" t="s">
        <v>761</v>
      </c>
      <c r="E196" s="7" t="s">
        <v>762</v>
      </c>
      <c r="F196" s="6" t="s">
        <v>84</v>
      </c>
      <c r="G196" s="7" t="s">
        <v>99</v>
      </c>
      <c r="H196" s="40" t="s">
        <v>1476</v>
      </c>
      <c r="I196" s="40" t="s">
        <v>1477</v>
      </c>
    </row>
    <row r="197" ht="163.5" customHeight="1">
      <c r="A197" s="6">
        <v>192</v>
      </c>
      <c r="B197" s="7" t="s">
        <v>701</v>
      </c>
      <c r="C197" s="6" t="s">
        <v>37</v>
      </c>
      <c r="D197" s="7" t="s">
        <v>765</v>
      </c>
      <c r="E197" s="7" t="s">
        <v>766</v>
      </c>
      <c r="F197" s="6" t="s">
        <v>14</v>
      </c>
      <c r="G197" s="7" t="s">
        <v>99</v>
      </c>
      <c r="H197" s="40" t="s">
        <v>1478</v>
      </c>
      <c r="I197" s="40" t="s">
        <v>1479</v>
      </c>
    </row>
    <row r="198" ht="225.75" customHeight="1">
      <c r="A198" s="6">
        <v>193</v>
      </c>
      <c r="B198" s="7" t="s">
        <v>769</v>
      </c>
      <c r="C198" s="6" t="s">
        <v>62</v>
      </c>
      <c r="D198" s="7" t="s">
        <v>770</v>
      </c>
      <c r="E198" s="7" t="s">
        <v>771</v>
      </c>
      <c r="F198" s="6" t="s">
        <v>14</v>
      </c>
      <c r="G198" s="7" t="s">
        <v>15</v>
      </c>
      <c r="H198" s="40" t="s">
        <v>1480</v>
      </c>
      <c r="I198" s="40" t="s">
        <v>1481</v>
      </c>
    </row>
    <row r="199" ht="138" customHeight="1">
      <c r="A199" s="6">
        <v>194</v>
      </c>
      <c r="B199" s="7" t="s">
        <v>701</v>
      </c>
      <c r="C199" s="6" t="s">
        <v>22</v>
      </c>
      <c r="D199" s="7" t="s">
        <v>774</v>
      </c>
      <c r="E199" s="7" t="s">
        <v>775</v>
      </c>
      <c r="F199" s="6" t="s">
        <v>95</v>
      </c>
      <c r="G199" s="7" t="s">
        <v>40</v>
      </c>
      <c r="H199" s="40" t="s">
        <v>1482</v>
      </c>
      <c r="I199" s="40" t="s">
        <v>1483</v>
      </c>
    </row>
    <row r="200" ht="213" customHeight="1">
      <c r="A200" s="6">
        <v>195</v>
      </c>
      <c r="B200" s="7" t="s">
        <v>701</v>
      </c>
      <c r="C200" s="6" t="s">
        <v>37</v>
      </c>
      <c r="D200" s="7" t="s">
        <v>778</v>
      </c>
      <c r="E200" s="7" t="s">
        <v>779</v>
      </c>
      <c r="F200" s="6" t="s">
        <v>95</v>
      </c>
      <c r="G200" s="7" t="s">
        <v>15</v>
      </c>
      <c r="H200" s="40" t="s">
        <v>1484</v>
      </c>
      <c r="I200" s="40" t="s">
        <v>1485</v>
      </c>
    </row>
    <row r="201" ht="100.5" customHeight="1">
      <c r="A201" s="6">
        <v>196</v>
      </c>
      <c r="B201" s="7" t="s">
        <v>701</v>
      </c>
      <c r="C201" s="6" t="s">
        <v>37</v>
      </c>
      <c r="D201" s="7" t="s">
        <v>782</v>
      </c>
      <c r="E201" s="7" t="s">
        <v>783</v>
      </c>
      <c r="F201" s="6" t="s">
        <v>84</v>
      </c>
      <c r="G201" s="7" t="s">
        <v>99</v>
      </c>
      <c r="H201" s="40" t="s">
        <v>1486</v>
      </c>
      <c r="I201" s="40" t="s">
        <v>1487</v>
      </c>
    </row>
    <row r="202" ht="113.25" customHeight="1">
      <c r="A202" s="6">
        <v>197</v>
      </c>
      <c r="B202" s="7" t="s">
        <v>701</v>
      </c>
      <c r="C202" s="6" t="s">
        <v>37</v>
      </c>
      <c r="D202" s="7" t="s">
        <v>786</v>
      </c>
      <c r="E202" s="7" t="s">
        <v>787</v>
      </c>
      <c r="F202" s="6" t="s">
        <v>95</v>
      </c>
      <c r="G202" s="7" t="s">
        <v>99</v>
      </c>
      <c r="H202" s="40" t="s">
        <v>1488</v>
      </c>
      <c r="I202" s="40" t="s">
        <v>1489</v>
      </c>
    </row>
    <row r="203" ht="100.5" customHeight="1">
      <c r="A203" s="6">
        <v>198</v>
      </c>
      <c r="B203" s="7" t="s">
        <v>701</v>
      </c>
      <c r="C203" s="6" t="s">
        <v>37</v>
      </c>
      <c r="D203" s="7" t="s">
        <v>790</v>
      </c>
      <c r="E203" s="7" t="s">
        <v>791</v>
      </c>
      <c r="F203" s="6" t="s">
        <v>95</v>
      </c>
      <c r="G203" s="7" t="s">
        <v>99</v>
      </c>
      <c r="H203" s="40" t="s">
        <v>1490</v>
      </c>
      <c r="I203" s="40" t="s">
        <v>1491</v>
      </c>
    </row>
    <row r="204" ht="100.5" customHeight="1">
      <c r="A204" s="6">
        <v>199</v>
      </c>
      <c r="B204" s="7" t="s">
        <v>701</v>
      </c>
      <c r="C204" s="6" t="s">
        <v>62</v>
      </c>
      <c r="D204" s="7" t="s">
        <v>786</v>
      </c>
      <c r="E204" s="7" t="s">
        <v>794</v>
      </c>
      <c r="F204" s="6" t="s">
        <v>95</v>
      </c>
      <c r="G204" s="7" t="s">
        <v>40</v>
      </c>
      <c r="H204" s="40" t="s">
        <v>1492</v>
      </c>
      <c r="I204" s="40" t="s">
        <v>1493</v>
      </c>
    </row>
    <row r="205" ht="150.75" customHeight="1">
      <c r="A205" s="6">
        <v>200</v>
      </c>
      <c r="B205" s="7" t="s">
        <v>701</v>
      </c>
      <c r="C205" s="6" t="s">
        <v>62</v>
      </c>
      <c r="D205" s="7" t="s">
        <v>786</v>
      </c>
      <c r="E205" s="7" t="s">
        <v>797</v>
      </c>
      <c r="F205" s="6" t="s">
        <v>95</v>
      </c>
      <c r="G205" s="7" t="s">
        <v>40</v>
      </c>
      <c r="H205" s="40" t="s">
        <v>1494</v>
      </c>
      <c r="I205" s="40" t="str">
        <v>TERM: BAĞA JETPES BAILYQ (БАҒА ЖЕТПЕС БАЙЛЫҚ) — priceless treasure [KED, SZK]; ironic non-lexical rendering of honorable lover
PASSAGE: Егер мен жер бетінен жоғалып кететін болсам, немесе Мелли ханым өліп қалса, баға жетпес байлығыңызға, махаббатыңызбен бас қосамын деп армандайтын да шығарсыз.
TRANS: Eger men jer betınen joğalyp ketetın bolsam, nemese Melli hanym ölıp qalsa, bağa jetpes bailyğyñyzğa, mahabbatyñyzben bas qosamyn dep armandaityn da şyğarsyz.
TRANSLATION: If I were to disappear from the face of the earth, or if Mrs Melly were to die, you may even be dreaming of joining your priceless treasure, your love.</v>
      </c>
    </row>
    <row r="206" ht="138" customHeight="1">
      <c r="A206" s="6">
        <v>201</v>
      </c>
      <c r="B206" s="7" t="s">
        <v>701</v>
      </c>
      <c r="C206" s="6" t="s">
        <v>62</v>
      </c>
      <c r="D206" s="7" t="s">
        <v>786</v>
      </c>
      <c r="E206" s="7" t="s">
        <v>799</v>
      </c>
      <c r="F206" s="6" t="s">
        <v>95</v>
      </c>
      <c r="G206" s="7" t="s">
        <v>40</v>
      </c>
      <c r="H206" s="40" t="s">
        <v>1495</v>
      </c>
      <c r="I206" s="40" t="s">
        <v>1496</v>
      </c>
    </row>
    <row r="207" ht="150.75" customHeight="1">
      <c r="A207" s="6">
        <v>202</v>
      </c>
      <c r="B207" s="7" t="s">
        <v>701</v>
      </c>
      <c r="C207" s="6" t="s">
        <v>62</v>
      </c>
      <c r="D207" s="7" t="s">
        <v>786</v>
      </c>
      <c r="E207" s="7" t="s">
        <v>802</v>
      </c>
      <c r="F207" s="6" t="s">
        <v>95</v>
      </c>
      <c r="G207" s="7" t="s">
        <v>99</v>
      </c>
      <c r="H207" s="40" t="s">
        <v>1497</v>
      </c>
      <c r="I207" s="40" t="str">
        <v>TERM: TŪMANDY SEZIM (ТҰМАНДЫ СЕЗІМ) — clouded feeling; clouded sense [KED, SZK]; honor is not lexicalized
PASSAGE: Оның тұманды сезімі менен Ретті тастап, өзіне күйеуге шығуымды сұратар әлі.
TRANS: Onyñ tūmandy sezımı menen Rettı tastap, özıne küieuge şyğuymdy sūratar älı.
TRANSLATION: His clouded sense will yet make him ask me to leave Rhett and marry him.</v>
      </c>
    </row>
    <row r="208" ht="126" customHeight="1">
      <c r="A208" s="6">
        <v>203</v>
      </c>
      <c r="B208" s="7" t="s">
        <v>701</v>
      </c>
      <c r="C208" s="6" t="s">
        <v>62</v>
      </c>
      <c r="D208" s="7" t="s">
        <v>790</v>
      </c>
      <c r="E208" s="7" t="s">
        <v>804</v>
      </c>
      <c r="F208" s="6" t="s">
        <v>95</v>
      </c>
      <c r="G208" s="7" t="s">
        <v>99</v>
      </c>
      <c r="H208" s="40" t="s">
        <v>1498</v>
      </c>
      <c r="I208" s="40" t="s">
        <v>1499</v>
      </c>
    </row>
    <row r="209" ht="238.5" customHeight="1">
      <c r="A209" s="6">
        <v>204</v>
      </c>
      <c r="B209" s="7" t="s">
        <v>769</v>
      </c>
      <c r="C209" s="6" t="s">
        <v>37</v>
      </c>
      <c r="D209" s="7" t="s">
        <v>770</v>
      </c>
      <c r="E209" s="7" t="s">
        <v>807</v>
      </c>
      <c r="F209" s="6" t="s">
        <v>84</v>
      </c>
      <c r="G209" s="7" t="s">
        <v>15</v>
      </c>
      <c r="H209" s="40" t="s">
        <v>1500</v>
      </c>
      <c r="I209" s="40" t="s">
        <v>1501</v>
      </c>
    </row>
    <row r="210" ht="150.75" customHeight="1">
      <c r="A210" s="6">
        <v>205</v>
      </c>
      <c r="B210" s="7" t="s">
        <v>769</v>
      </c>
      <c r="C210" s="6" t="s">
        <v>11</v>
      </c>
      <c r="D210" s="7" t="s">
        <v>770</v>
      </c>
      <c r="E210" s="7" t="s">
        <v>810</v>
      </c>
      <c r="F210" s="6" t="s">
        <v>203</v>
      </c>
      <c r="G210" s="7" t="s">
        <v>15</v>
      </c>
      <c r="H210" s="40" t="s">
        <v>1502</v>
      </c>
      <c r="I210" s="40" t="str">
        <v>TERM: KEMSITUŞILIK PEN QYSYM (КЕМСІТУШІЛІК ПЕН ҚЫСЫМ) — slighting or discrimination and pressure [KED, SZK]; non-lexical rendering of offense to honor
PASSAGE: ... жылқыларды алғанда ешқандай кемсітушілік пен қысымды сезінбеуі тиіс болды.
TRANS: ... jylqylardy alğanda eşqandai kemsıtuşılık pen qysymdy sezınbeuı tiıs boldy.
TRANSLATION: ...so that they should feel no slighting or pressure when receiving the horses.</v>
      </c>
    </row>
    <row r="211" ht="163.5" customHeight="1">
      <c r="A211" s="6">
        <v>206</v>
      </c>
      <c r="B211" s="7" t="s">
        <v>769</v>
      </c>
      <c r="C211" s="6" t="s">
        <v>11</v>
      </c>
      <c r="D211" s="7" t="s">
        <v>770</v>
      </c>
      <c r="E211" s="7" t="s">
        <v>812</v>
      </c>
      <c r="F211" s="6" t="s">
        <v>203</v>
      </c>
      <c r="G211" s="7" t="s">
        <v>15</v>
      </c>
      <c r="H211" s="40" t="str">
        <v>TERM: KARTOCHNYE DOLGI (КАРТОЧНЫЕ ДОЛГИ) — card debts; gambling debts [ORD]; honor is omitted
PASSAGE: Дочери его приятелей поверяли ему свои сердечные тайны, а сыновья, страшась признаться родителям в карточных долгах, знали, что могут рассчитывать на его дружбу в трудную минуту.
TRANS: Docheri ego priyateley poveryali emu svoi serdechnye tayny, a synov'ya, strashas' priznat'sya roditelyam v kartochnykh dolgakh, znali, chto mogut rasschityvat' na ego druzhbu v trudnuyu minutu.
TRANSLATION: His friends' daughters confided their heart's secrets to him, and their sons, fearing to admit card debts to their parents, knew they could rely on his friendship in difficult moments.</v>
      </c>
      <c r="I211" s="40" t="str">
        <v>TERM: QŪMAR OIYNDAR BOIYNŞA QARYZ (ҚҰМАР ОЙЫНДАР БОЙЫНША ҚАРЫЗ) — gambling debt [KED, SZK]; honor is omitted
PASSAGE: Оның достарының қыздары оған жүректеріндегі құпияларын сеніп айта алады, ал ұлдары өздерінің ата-аналары алдында құмар ойындар бойынша қарыздарын мойындаудан қорқып, қиын сәтте оның достығына сенім артушы еді.
TRANS: Onyñ dostarynyñ qyzdary oğan jürekterındegı qūpialaryn senıp aita alady, al ūldary özderınıñ ata-analary aldynda qūmar oiyndar boiynşa qaryzdaryn moiyndaudan qorqyp, qiyn sätte onyñ dostyğyna senım artuşy edı.
TRANSLATION: His friends' daughters could confide the secrets of their hearts to him, and their sons, fearing to confess gambling debts to their parents, used to rely on his friendship in difficult moments.</v>
      </c>
    </row>
    <row r="212" ht="213" customHeight="1">
      <c r="A212" s="6">
        <v>207</v>
      </c>
      <c r="B212" s="7" t="s">
        <v>769</v>
      </c>
      <c r="C212" s="6" t="s">
        <v>37</v>
      </c>
      <c r="D212" s="7" t="s">
        <v>770</v>
      </c>
      <c r="E212" s="7" t="s">
        <v>813</v>
      </c>
      <c r="F212" s="6" t="s">
        <v>203</v>
      </c>
      <c r="G212" s="7" t="s">
        <v>15</v>
      </c>
      <c r="H212" s="40" t="s">
        <v>1503</v>
      </c>
      <c r="I212" s="40" t="s">
        <v>1504</v>
      </c>
    </row>
    <row r="213" ht="150.75" customHeight="1">
      <c r="A213" s="6">
        <v>208</v>
      </c>
      <c r="B213" s="7" t="s">
        <v>769</v>
      </c>
      <c r="C213" s="6" t="s">
        <v>37</v>
      </c>
      <c r="D213" s="7" t="s">
        <v>816</v>
      </c>
      <c r="E213" s="7" t="s">
        <v>817</v>
      </c>
      <c r="F213" s="6" t="s">
        <v>203</v>
      </c>
      <c r="G213" s="7" t="s">
        <v>15</v>
      </c>
      <c r="H213" s="40" t="s">
        <v>1505</v>
      </c>
      <c r="I213" s="40" t="s">
        <v>1506</v>
      </c>
    </row>
    <row r="214" ht="175.5" customHeight="1">
      <c r="A214" s="6">
        <v>209</v>
      </c>
      <c r="B214" s="7" t="s">
        <v>769</v>
      </c>
      <c r="C214" s="6" t="s">
        <v>37</v>
      </c>
      <c r="D214" s="7" t="s">
        <v>819</v>
      </c>
      <c r="E214" s="7" t="s">
        <v>820</v>
      </c>
      <c r="F214" s="6" t="s">
        <v>14</v>
      </c>
      <c r="G214" s="7" t="s">
        <v>15</v>
      </c>
      <c r="H214" s="40" t="s">
        <v>1507</v>
      </c>
      <c r="I214" s="40" t="s">
        <v>1508</v>
      </c>
    </row>
    <row r="215" ht="188.25" customHeight="1">
      <c r="A215" s="6">
        <v>210</v>
      </c>
      <c r="B215" s="7" t="s">
        <v>769</v>
      </c>
      <c r="C215" s="6" t="s">
        <v>37</v>
      </c>
      <c r="D215" s="7" t="s">
        <v>823</v>
      </c>
      <c r="E215" s="7" t="s">
        <v>824</v>
      </c>
      <c r="F215" s="6" t="s">
        <v>95</v>
      </c>
      <c r="G215" s="7" t="s">
        <v>40</v>
      </c>
      <c r="H215" s="40" t="s">
        <v>1509</v>
      </c>
      <c r="I215" s="40" t="s">
        <v>1510</v>
      </c>
    </row>
    <row r="216" ht="150.75" customHeight="1">
      <c r="A216" s="6">
        <v>211</v>
      </c>
      <c r="B216" s="7" t="s">
        <v>769</v>
      </c>
      <c r="C216" s="6" t="s">
        <v>62</v>
      </c>
      <c r="D216" s="7" t="s">
        <v>770</v>
      </c>
      <c r="E216" s="7" t="s">
        <v>827</v>
      </c>
      <c r="F216" s="6" t="s">
        <v>95</v>
      </c>
      <c r="G216" s="7" t="s">
        <v>15</v>
      </c>
      <c r="H216" s="40" t="s">
        <v>1511</v>
      </c>
      <c r="I216" s="40" t="s">
        <v>1512</v>
      </c>
    </row>
    <row r="217" ht="100.5" customHeight="1">
      <c r="A217" s="6">
        <v>212</v>
      </c>
      <c r="B217" s="7" t="s">
        <v>769</v>
      </c>
      <c r="C217" s="6" t="s">
        <v>62</v>
      </c>
      <c r="D217" s="7" t="s">
        <v>770</v>
      </c>
      <c r="E217" s="7" t="s">
        <v>830</v>
      </c>
      <c r="F217" s="6" t="s">
        <v>95</v>
      </c>
      <c r="G217" s="7" t="s">
        <v>40</v>
      </c>
      <c r="H217" s="40" t="s">
        <v>1513</v>
      </c>
      <c r="I217" s="40" t="s">
        <v>1514</v>
      </c>
    </row>
    <row r="218" ht="175.5" customHeight="1">
      <c r="A218" s="6">
        <v>213</v>
      </c>
      <c r="B218" s="7" t="s">
        <v>769</v>
      </c>
      <c r="C218" s="6" t="s">
        <v>92</v>
      </c>
      <c r="D218" s="7" t="s">
        <v>770</v>
      </c>
      <c r="E218" s="7" t="s">
        <v>833</v>
      </c>
      <c r="F218" s="6" t="s">
        <v>834</v>
      </c>
      <c r="G218" s="7" t="s">
        <v>15</v>
      </c>
      <c r="H218" s="40" t="s">
        <v>1515</v>
      </c>
      <c r="I218" s="40" t="s">
        <v>1516</v>
      </c>
    </row>
    <row r="219" ht="113.25" customHeight="1">
      <c r="A219" s="6">
        <v>214</v>
      </c>
      <c r="B219" s="7" t="s">
        <v>837</v>
      </c>
      <c r="C219" s="6" t="s">
        <v>11</v>
      </c>
      <c r="D219" s="7" t="s">
        <v>770</v>
      </c>
      <c r="E219" s="7" t="s">
        <v>838</v>
      </c>
      <c r="F219" s="6" t="s">
        <v>203</v>
      </c>
      <c r="G219" s="7" t="s">
        <v>15</v>
      </c>
      <c r="H219" s="40" t="s">
        <v>1517</v>
      </c>
      <c r="I219" s="40" t="s">
        <v>1518</v>
      </c>
    </row>
    <row r="220" ht="113.25" customHeight="1">
      <c r="A220" s="6">
        <v>215</v>
      </c>
      <c r="B220" s="7" t="s">
        <v>837</v>
      </c>
      <c r="C220" s="6" t="s">
        <v>11</v>
      </c>
      <c r="D220" s="7" t="s">
        <v>841</v>
      </c>
      <c r="E220" s="7" t="s">
        <v>842</v>
      </c>
      <c r="F220" s="6" t="s">
        <v>203</v>
      </c>
      <c r="G220" s="7" t="s">
        <v>15</v>
      </c>
      <c r="H220" s="40" t="str">
        <v>TERM: VOINSKIE PODVIGI (ВОИНСКИЕ ПОДВИГИ) — military feats; deeds of valor [ORD]; non-lexical rendering of honor and glory
PASSAGE: Судьба обманула незадачливого мальчика, не подарив ему ни любви, которую, как ему казалось, он завоевал, ни воинских подвигов на полях сражений.
TRANS: Sud'ba obmanula nezadachlivogo mal'chika, ne podariv emu ni lyubvi, kotoruyu, kak emu kazalos', on zavoeval, ni voinskikh podvigov na polyakh srazheniy.
TRANSLATION: Fate deceived the unfortunate boy, granting him neither the love that he thought he had won, nor military feats on the fields of battle.</v>
      </c>
      <c r="I220" s="40" t="str">
        <v>TERM: ÄSKERI ERLIKTER (ӘСКЕРИ ЕРЛІКТЕР) — military feats; deeds of valor [KED, SZK]; non-lexical rendering of honor and glory
PASSAGE: Тағдыр аңқау баланы алдап, оған жаулап алдым деп ойлаған махаббатты да, ұрыс даласындағы әскері ерліктерді де бұйыртпады.
TRANS: Tağdyr añqau balany aldap, oğan jaulap aldym dep oilağan mahabbatty da, ūrys dalasyndağy äskerı erlıkterdı de būiyrtpady.
TRANSLATION: Fate deceived the naive boy: it did not grant him the love he thought he had conquered, nor the military feats on the battlefield.</v>
      </c>
    </row>
    <row r="221" ht="113.25" customHeight="1">
      <c r="A221" s="6">
        <v>216</v>
      </c>
      <c r="B221" s="7" t="s">
        <v>837</v>
      </c>
      <c r="C221" s="6" t="s">
        <v>11</v>
      </c>
      <c r="D221" s="7" t="s">
        <v>770</v>
      </c>
      <c r="E221" s="7" t="s">
        <v>843</v>
      </c>
      <c r="F221" s="6" t="s">
        <v>203</v>
      </c>
      <c r="G221" s="7" t="s">
        <v>99</v>
      </c>
      <c r="H221" s="40" t="s">
        <v>1519</v>
      </c>
      <c r="I221" s="40" t="s">
        <v>1520</v>
      </c>
    </row>
    <row r="222" ht="113.25" customHeight="1">
      <c r="A222" s="6">
        <v>217</v>
      </c>
      <c r="B222" s="7" t="s">
        <v>837</v>
      </c>
      <c r="C222" s="6" t="s">
        <v>92</v>
      </c>
      <c r="D222" s="7" t="s">
        <v>770</v>
      </c>
      <c r="E222" s="7" t="s">
        <v>846</v>
      </c>
      <c r="F222" s="6" t="s">
        <v>203</v>
      </c>
      <c r="G222" s="7" t="s">
        <v>15</v>
      </c>
      <c r="H222" s="40" t="s">
        <v>1521</v>
      </c>
      <c r="I222" s="40" t="s">
        <v>1522</v>
      </c>
    </row>
    <row r="223" ht="201" customHeight="1">
      <c r="A223" s="6">
        <v>218</v>
      </c>
      <c r="B223" s="7" t="s">
        <v>837</v>
      </c>
      <c r="C223" s="6" t="s">
        <v>37</v>
      </c>
      <c r="D223" s="7" t="s">
        <v>849</v>
      </c>
      <c r="E223" s="7" t="s">
        <v>850</v>
      </c>
      <c r="F223" s="6" t="s">
        <v>84</v>
      </c>
      <c r="G223" s="7" t="s">
        <v>99</v>
      </c>
      <c r="H223" s="40" t="s">
        <v>1523</v>
      </c>
      <c r="I223" s="40" t="str">
        <v>TERM: ÖZDERINIÑ ADAMY (ӨЗДЕРІНІҢ АДАМЫ) — one of their own [KED, SZK]; non-lexical rendering of dubious honor
PASSAGE: Маған күмәнданса да, өздерінің адамдары ретінде қарайтын кездері де бар. Әлде менің өз жерлестерімнің арасындағы «танымал еместігімді» біле ме.
TRANS: Mağan kümändansa da, özderınıñ adamdary retınde qaraityn kezderı de bar. Älde menıñ öz jerlesterımnıñ arasyndağy «tanymal emestıgımdı» bıle me.
TRANSLATION: There are also times when they look upon me as one of their own, even if they have doubts. Or they may know about my "unpopularity" among my fellow countrymen.</v>
      </c>
    </row>
    <row r="224" ht="75.75" customHeight="1">
      <c r="A224" s="6">
        <v>219</v>
      </c>
      <c r="B224" s="7" t="s">
        <v>837</v>
      </c>
      <c r="C224" s="6" t="s">
        <v>92</v>
      </c>
      <c r="D224" s="7" t="s">
        <v>841</v>
      </c>
      <c r="E224" s="7" t="s">
        <v>852</v>
      </c>
      <c r="F224" s="6" t="s">
        <v>95</v>
      </c>
      <c r="G224" s="7" t="s">
        <v>99</v>
      </c>
      <c r="H224" s="40" t="s">
        <v>1524</v>
      </c>
      <c r="I224" s="40" t="s">
        <v>1525</v>
      </c>
    </row>
    <row r="225" ht="238.5" customHeight="1">
      <c r="A225" s="6">
        <v>220</v>
      </c>
      <c r="B225" s="7" t="s">
        <v>855</v>
      </c>
      <c r="C225" s="6" t="s">
        <v>37</v>
      </c>
      <c r="D225" s="7" t="s">
        <v>770</v>
      </c>
      <c r="E225" s="7" t="s">
        <v>856</v>
      </c>
      <c r="F225" s="6" t="s">
        <v>95</v>
      </c>
      <c r="G225" s="7" t="s">
        <v>40</v>
      </c>
      <c r="H225" s="40" t="s">
        <v>1526</v>
      </c>
      <c r="I225" s="40" t="s">
        <v>1527</v>
      </c>
    </row>
    <row r="226" ht="138" customHeight="1">
      <c r="A226" s="6">
        <v>221</v>
      </c>
      <c r="B226" s="7" t="s">
        <v>855</v>
      </c>
      <c r="C226" s="6" t="s">
        <v>37</v>
      </c>
      <c r="D226" s="7" t="s">
        <v>761</v>
      </c>
      <c r="E226" s="7" t="s">
        <v>859</v>
      </c>
      <c r="F226" s="6" t="s">
        <v>95</v>
      </c>
      <c r="G226" s="7" t="s">
        <v>40</v>
      </c>
      <c r="H226" s="40" t="s">
        <v>1528</v>
      </c>
      <c r="I226" s="40" t="s">
        <v>1529</v>
      </c>
    </row>
    <row r="227" ht="163.5" customHeight="1">
      <c r="A227" s="6">
        <v>222</v>
      </c>
      <c r="B227" s="7" t="s">
        <v>855</v>
      </c>
      <c r="C227" s="6" t="s">
        <v>92</v>
      </c>
      <c r="D227" s="7" t="s">
        <v>761</v>
      </c>
      <c r="E227" s="7" t="s">
        <v>862</v>
      </c>
      <c r="F227" s="6" t="s">
        <v>95</v>
      </c>
      <c r="G227" s="7" t="s">
        <v>40</v>
      </c>
      <c r="H227" s="40" t="s">
        <v>1530</v>
      </c>
      <c r="I227" s="40" t="s">
        <v>1531</v>
      </c>
    </row>
    <row r="228" ht="201" customHeight="1">
      <c r="A228" s="6">
        <v>223</v>
      </c>
      <c r="B228" s="7" t="s">
        <v>855</v>
      </c>
      <c r="C228" s="6" t="s">
        <v>37</v>
      </c>
      <c r="D228" s="7" t="s">
        <v>761</v>
      </c>
      <c r="E228" s="7" t="s">
        <v>865</v>
      </c>
      <c r="F228" s="6" t="s">
        <v>866</v>
      </c>
      <c r="G228" s="7" t="s">
        <v>99</v>
      </c>
      <c r="H228" s="40" t="s">
        <v>1532</v>
      </c>
      <c r="I228" s="40" t="str">
        <v>TERM: SALAUATTY DA TÄRBIELI (САЛАУАТТЫ ДА ТӘРБИЕЛІ) — respectable and well-mannered [KED, SZK]; non-lexical rendering of honorable
PASSAGE: Қалай болғанда да, мен атамның бейнесін қастерлейтінмін, әкем діни наным-сенімі берік, салауатты да тәрбиелі мырза болғанымен, менің атама ұқсағым келетін.
TRANS: Qalai bolğanda da, men atamnyñ beinesın qasterleitınmın, äkem dıni nanym-senımı berık, salauatty da tärbielı myrza bolğanymen, menıñ atama ūqsağym keletın.
TRANSLATION: Whatever the case, I venerated my grandfather's figure, although my father, a sober and well-mannered gentleman of firm religious conviction, was such a man, I wanted to resemble my grandfather.</v>
      </c>
    </row>
    <row r="229" ht="150.75" customHeight="1">
      <c r="A229" s="6">
        <v>224</v>
      </c>
      <c r="B229" s="7" t="s">
        <v>855</v>
      </c>
      <c r="C229" s="6" t="s">
        <v>37</v>
      </c>
      <c r="D229" s="7" t="s">
        <v>868</v>
      </c>
      <c r="E229" s="7" t="s">
        <v>869</v>
      </c>
      <c r="F229" s="6" t="s">
        <v>84</v>
      </c>
      <c r="G229" s="7" t="s">
        <v>99</v>
      </c>
      <c r="H229" s="40" t="s">
        <v>1533</v>
      </c>
      <c r="I229" s="40" t="s">
        <v>1534</v>
      </c>
    </row>
    <row r="230" ht="188.25" customHeight="1">
      <c r="A230" s="6">
        <v>225</v>
      </c>
      <c r="B230" s="7" t="s">
        <v>872</v>
      </c>
      <c r="C230" s="6" t="s">
        <v>11</v>
      </c>
      <c r="D230" s="7" t="s">
        <v>873</v>
      </c>
      <c r="E230" s="7" t="s">
        <v>874</v>
      </c>
      <c r="F230" s="6" t="s">
        <v>203</v>
      </c>
      <c r="G230" s="7" t="s">
        <v>15</v>
      </c>
      <c r="H230" s="40" t="s">
        <v>1535</v>
      </c>
      <c r="I230" s="40" t="s">
        <v>1536</v>
      </c>
    </row>
    <row r="231" ht="100.5" customHeight="1">
      <c r="A231" s="6">
        <v>226</v>
      </c>
      <c r="B231" s="7" t="s">
        <v>872</v>
      </c>
      <c r="C231" s="6" t="s">
        <v>37</v>
      </c>
      <c r="D231" s="7" t="s">
        <v>713</v>
      </c>
      <c r="E231" s="7" t="s">
        <v>877</v>
      </c>
      <c r="F231" s="6" t="s">
        <v>14</v>
      </c>
      <c r="G231" s="7" t="s">
        <v>40</v>
      </c>
      <c r="H231" s="40" t="s">
        <v>1537</v>
      </c>
      <c r="I231" s="40" t="s">
        <v>1538</v>
      </c>
    </row>
    <row r="232" ht="175.5" customHeight="1">
      <c r="A232" s="6">
        <v>227</v>
      </c>
      <c r="B232" s="7" t="s">
        <v>872</v>
      </c>
      <c r="C232" s="6" t="s">
        <v>62</v>
      </c>
      <c r="D232" s="7" t="s">
        <v>880</v>
      </c>
      <c r="E232" s="7" t="s">
        <v>881</v>
      </c>
      <c r="F232" s="6" t="s">
        <v>95</v>
      </c>
      <c r="G232" s="7" t="s">
        <v>40</v>
      </c>
      <c r="H232" s="40" t="s">
        <v>1539</v>
      </c>
      <c r="I232" s="40" t="s">
        <v>1540</v>
      </c>
    </row>
    <row r="233" ht="126" customHeight="1">
      <c r="A233" s="6">
        <v>228</v>
      </c>
      <c r="B233" s="7" t="s">
        <v>872</v>
      </c>
      <c r="C233" s="6" t="s">
        <v>37</v>
      </c>
      <c r="D233" s="7" t="s">
        <v>713</v>
      </c>
      <c r="E233" s="7" t="s">
        <v>884</v>
      </c>
      <c r="F233" s="6" t="s">
        <v>84</v>
      </c>
      <c r="G233" s="7" t="s">
        <v>15</v>
      </c>
      <c r="H233" s="40" t="s">
        <v>1541</v>
      </c>
      <c r="I233" s="40" t="s">
        <v>1542</v>
      </c>
    </row>
    <row r="234" ht="276" customHeight="1">
      <c r="A234" s="6">
        <v>229</v>
      </c>
      <c r="B234" s="7" t="s">
        <v>872</v>
      </c>
      <c r="C234" s="6" t="s">
        <v>62</v>
      </c>
      <c r="D234" s="7" t="s">
        <v>713</v>
      </c>
      <c r="E234" s="7" t="s">
        <v>887</v>
      </c>
      <c r="F234" s="6" t="s">
        <v>888</v>
      </c>
      <c r="G234" s="7" t="s">
        <v>15</v>
      </c>
      <c r="H234" s="40" t="s">
        <v>1543</v>
      </c>
      <c r="I234" s="40" t="s">
        <v>1544</v>
      </c>
    </row>
    <row r="235" ht="138" customHeight="1">
      <c r="A235" s="6">
        <v>230</v>
      </c>
      <c r="B235" s="7" t="s">
        <v>891</v>
      </c>
      <c r="C235" s="6" t="s">
        <v>37</v>
      </c>
      <c r="D235" s="7" t="s">
        <v>892</v>
      </c>
      <c r="E235" s="7" t="s">
        <v>893</v>
      </c>
      <c r="F235" s="6" t="s">
        <v>95</v>
      </c>
      <c r="G235" s="7" t="s">
        <v>15</v>
      </c>
      <c r="H235" s="40" t="str">
        <v>TERM: CHESTʹ (ЧЕСТЬ) — honor [ORD]
PASSAGE: Слова «гостеприимство», «порядочность», «честь» значат для него куда больше, чем она сама.
TRANS: Slova «gostepriimstvo», «poryadochnost'», «chest'» znachat dlya nego kuda bol'she, chem ona sama.
TRANSLATION: The words "hospitality," "decency," "honor" mean far more to him than she does herself.</v>
      </c>
      <c r="I235" s="40" t="s">
        <v>1545</v>
      </c>
    </row>
    <row r="236" ht="100.5" customHeight="1">
      <c r="A236" s="6">
        <v>231</v>
      </c>
      <c r="B236" s="7" t="s">
        <v>891</v>
      </c>
      <c r="C236" s="6" t="s">
        <v>37</v>
      </c>
      <c r="D236" s="7" t="s">
        <v>895</v>
      </c>
      <c r="E236" s="7" t="s">
        <v>896</v>
      </c>
      <c r="F236" s="6" t="s">
        <v>84</v>
      </c>
      <c r="G236" s="7" t="s">
        <v>99</v>
      </c>
      <c r="H236" s="40" t="s">
        <v>1546</v>
      </c>
      <c r="I236" s="40" t="s">
        <v>1547</v>
      </c>
    </row>
    <row r="237" ht="14.25" customHeight="1">
      <c r="A237" s="10"/>
      <c r="B237" s="10"/>
      <c r="C237" s="10"/>
      <c r="D237" s="10"/>
      <c r="E237" s="10"/>
      <c r="F237" s="10"/>
      <c r="G237" s="10"/>
      <c r="H237" s="10"/>
      <c r="I237" s="9"/>
    </row>
    <row r="238" ht="14.25" customHeight="1">
      <c r="A238" s="10"/>
      <c r="B238" s="10"/>
      <c r="C238" s="10"/>
      <c r="D238" s="10"/>
      <c r="E238" s="10"/>
      <c r="F238" s="10"/>
      <c r="G238" s="10"/>
      <c r="H238" s="10"/>
      <c r="I238" s="9"/>
    </row>
    <row r="239" ht="14.25" customHeight="1">
      <c r="A239" s="10"/>
      <c r="B239" s="10"/>
      <c r="C239" s="10"/>
      <c r="D239" s="10"/>
      <c r="E239" s="10"/>
      <c r="F239" s="10"/>
      <c r="G239" s="10"/>
      <c r="H239" s="10"/>
      <c r="I239" s="9"/>
    </row>
    <row r="240" ht="14.25" customHeight="1">
      <c r="A240" s="10"/>
      <c r="B240" s="10"/>
      <c r="C240" s="10"/>
      <c r="D240" s="10"/>
      <c r="E240" s="10"/>
      <c r="F240" s="10"/>
      <c r="G240" s="10"/>
      <c r="H240" s="10"/>
      <c r="I240" s="9"/>
    </row>
    <row r="241" ht="14.25" customHeight="1">
      <c r="A241" s="10"/>
      <c r="B241" s="10"/>
      <c r="C241" s="10"/>
      <c r="D241" s="10"/>
      <c r="E241" s="10"/>
      <c r="F241" s="10"/>
      <c r="G241" s="10"/>
      <c r="H241" s="10"/>
      <c r="I241" s="9"/>
    </row>
    <row r="242" ht="14.25" customHeight="1">
      <c r="A242" s="10"/>
      <c r="B242" s="10"/>
      <c r="C242" s="10"/>
      <c r="D242" s="10"/>
      <c r="E242" s="10"/>
      <c r="F242" s="10"/>
      <c r="G242" s="10"/>
      <c r="H242" s="10"/>
      <c r="I242" s="9"/>
    </row>
    <row r="243" ht="14.25" customHeight="1">
      <c r="A243" s="10"/>
      <c r="B243" s="10"/>
      <c r="C243" s="10"/>
      <c r="D243" s="10"/>
      <c r="E243" s="10"/>
      <c r="F243" s="10"/>
      <c r="G243" s="10"/>
      <c r="H243" s="10"/>
      <c r="I243" s="9"/>
    </row>
    <row r="244" ht="14.25" customHeight="1">
      <c r="A244" s="10"/>
      <c r="B244" s="10"/>
      <c r="C244" s="10"/>
      <c r="D244" s="10"/>
      <c r="E244" s="10"/>
      <c r="F244" s="10"/>
      <c r="G244" s="10"/>
      <c r="H244" s="10"/>
      <c r="I244" s="9"/>
    </row>
    <row r="245" ht="14.25" customHeight="1">
      <c r="A245" s="10"/>
      <c r="B245" s="10"/>
      <c r="C245" s="10"/>
      <c r="D245" s="10"/>
      <c r="E245" s="10"/>
      <c r="F245" s="10"/>
      <c r="G245" s="10"/>
      <c r="H245" s="10"/>
      <c r="I245" s="9"/>
    </row>
    <row r="246" ht="14.25" customHeight="1">
      <c r="A246" s="10"/>
      <c r="B246" s="10"/>
      <c r="C246" s="10"/>
      <c r="D246" s="10"/>
      <c r="E246" s="10"/>
      <c r="F246" s="10"/>
      <c r="G246" s="10"/>
      <c r="H246" s="10"/>
      <c r="I246" s="9"/>
    </row>
    <row r="247" ht="14.25" customHeight="1">
      <c r="A247" s="10"/>
      <c r="B247" s="10"/>
      <c r="C247" s="10"/>
      <c r="D247" s="10"/>
      <c r="E247" s="10"/>
      <c r="F247" s="10"/>
      <c r="G247" s="10"/>
      <c r="H247" s="10"/>
      <c r="I247" s="9"/>
    </row>
    <row r="248" ht="14.25" customHeight="1">
      <c r="A248" s="10"/>
      <c r="B248" s="10"/>
      <c r="C248" s="10"/>
      <c r="D248" s="10"/>
      <c r="E248" s="10"/>
      <c r="F248" s="10"/>
      <c r="G248" s="10"/>
      <c r="H248" s="10"/>
      <c r="I248" s="9"/>
    </row>
    <row r="249" ht="14.25" customHeight="1">
      <c r="A249" s="10"/>
      <c r="B249" s="10"/>
      <c r="C249" s="10"/>
      <c r="D249" s="10"/>
      <c r="E249" s="10"/>
      <c r="F249" s="10"/>
      <c r="G249" s="10"/>
      <c r="H249" s="10"/>
      <c r="I249" s="9"/>
    </row>
    <row r="250" ht="14.25" customHeight="1">
      <c r="A250" s="10"/>
      <c r="B250" s="10"/>
      <c r="C250" s="10"/>
      <c r="D250" s="10"/>
      <c r="E250" s="10"/>
      <c r="F250" s="10"/>
      <c r="G250" s="10"/>
      <c r="H250" s="10"/>
      <c r="I250" s="9"/>
    </row>
    <row r="251" ht="14.25" customHeight="1">
      <c r="A251" s="10"/>
      <c r="B251" s="10"/>
      <c r="C251" s="10"/>
      <c r="D251" s="10"/>
      <c r="E251" s="10"/>
      <c r="F251" s="10"/>
      <c r="G251" s="10"/>
      <c r="H251" s="10"/>
      <c r="I251" s="9"/>
    </row>
    <row r="252" ht="14.25" customHeight="1">
      <c r="A252" s="10"/>
      <c r="B252" s="10"/>
      <c r="C252" s="10"/>
      <c r="D252" s="10"/>
      <c r="E252" s="10"/>
      <c r="F252" s="10"/>
      <c r="G252" s="10"/>
      <c r="H252" s="10"/>
      <c r="I252" s="9"/>
    </row>
    <row r="253" ht="14.25" customHeight="1">
      <c r="A253" s="10"/>
      <c r="B253" s="10"/>
      <c r="C253" s="10"/>
      <c r="D253" s="10"/>
      <c r="E253" s="10"/>
      <c r="F253" s="10"/>
      <c r="G253" s="10"/>
      <c r="H253" s="10"/>
      <c r="I253" s="9"/>
    </row>
    <row r="254" ht="14.25" customHeight="1">
      <c r="A254" s="10"/>
      <c r="B254" s="10"/>
      <c r="C254" s="10"/>
      <c r="D254" s="10"/>
      <c r="E254" s="10"/>
      <c r="F254" s="10"/>
      <c r="G254" s="10"/>
      <c r="H254" s="10"/>
      <c r="I254" s="9"/>
    </row>
    <row r="255" ht="14.25" customHeight="1">
      <c r="A255" s="10"/>
      <c r="B255" s="10"/>
      <c r="C255" s="10"/>
      <c r="D255" s="10"/>
      <c r="E255" s="10"/>
      <c r="F255" s="10"/>
      <c r="G255" s="10"/>
      <c r="H255" s="10"/>
      <c r="I255" s="9"/>
    </row>
    <row r="256" ht="14.25" customHeight="1">
      <c r="A256" s="10"/>
      <c r="B256" s="10"/>
      <c r="C256" s="10"/>
      <c r="D256" s="10"/>
      <c r="E256" s="10"/>
      <c r="F256" s="10"/>
      <c r="G256" s="10"/>
      <c r="H256" s="10"/>
      <c r="I256" s="9"/>
    </row>
    <row r="257" ht="14.25" customHeight="1">
      <c r="A257" s="10"/>
      <c r="B257" s="10"/>
      <c r="C257" s="10"/>
      <c r="D257" s="10"/>
      <c r="E257" s="10"/>
      <c r="F257" s="10"/>
      <c r="G257" s="10"/>
      <c r="H257" s="10"/>
      <c r="I257" s="9"/>
    </row>
    <row r="258" ht="14.25" customHeight="1">
      <c r="A258" s="10"/>
      <c r="B258" s="10"/>
      <c r="C258" s="10"/>
      <c r="D258" s="10"/>
      <c r="E258" s="10"/>
      <c r="F258" s="10"/>
      <c r="G258" s="10"/>
      <c r="H258" s="10"/>
      <c r="I258" s="9"/>
    </row>
    <row r="259" ht="14.25" customHeight="1">
      <c r="A259" s="10"/>
      <c r="B259" s="10"/>
      <c r="C259" s="10"/>
      <c r="D259" s="10"/>
      <c r="E259" s="10"/>
      <c r="F259" s="10"/>
      <c r="G259" s="10"/>
      <c r="H259" s="10"/>
      <c r="I259" s="9"/>
    </row>
    <row r="260" ht="14.25" customHeight="1">
      <c r="A260" s="10"/>
      <c r="B260" s="10"/>
      <c r="C260" s="10"/>
      <c r="D260" s="10"/>
      <c r="E260" s="10"/>
      <c r="F260" s="10"/>
      <c r="G260" s="10"/>
      <c r="H260" s="10"/>
      <c r="I260" s="9"/>
    </row>
    <row r="261" ht="14.25" customHeight="1">
      <c r="A261" s="10"/>
      <c r="B261" s="10"/>
      <c r="C261" s="10"/>
      <c r="D261" s="10"/>
      <c r="E261" s="10"/>
      <c r="F261" s="10"/>
      <c r="G261" s="10"/>
      <c r="H261" s="10"/>
      <c r="I261" s="9"/>
    </row>
    <row r="262" ht="14.25" customHeight="1">
      <c r="A262" s="10"/>
      <c r="B262" s="10"/>
      <c r="C262" s="10"/>
      <c r="D262" s="10"/>
      <c r="E262" s="10"/>
      <c r="F262" s="10"/>
      <c r="G262" s="10"/>
      <c r="H262" s="10"/>
      <c r="I262" s="9"/>
    </row>
    <row r="263" ht="14.25" customHeight="1">
      <c r="A263" s="10"/>
      <c r="B263" s="10"/>
      <c r="C263" s="10"/>
      <c r="D263" s="10"/>
      <c r="E263" s="10"/>
      <c r="F263" s="10"/>
      <c r="G263" s="10"/>
      <c r="H263" s="10"/>
      <c r="I263" s="9"/>
    </row>
    <row r="264" ht="14.25" customHeight="1">
      <c r="A264" s="10"/>
      <c r="B264" s="10"/>
      <c r="C264" s="10"/>
      <c r="D264" s="10"/>
      <c r="E264" s="10"/>
      <c r="F264" s="10"/>
      <c r="G264" s="10"/>
      <c r="H264" s="10"/>
      <c r="I264" s="9"/>
    </row>
    <row r="265" ht="14.25" customHeight="1">
      <c r="A265" s="10"/>
      <c r="B265" s="10"/>
      <c r="C265" s="10"/>
      <c r="D265" s="10"/>
      <c r="E265" s="10"/>
      <c r="F265" s="10"/>
      <c r="G265" s="10"/>
      <c r="H265" s="10"/>
      <c r="I265" s="9"/>
    </row>
    <row r="266" ht="14.25" customHeight="1">
      <c r="A266" s="10"/>
      <c r="B266" s="10"/>
      <c r="C266" s="10"/>
      <c r="D266" s="10"/>
      <c r="E266" s="10"/>
      <c r="F266" s="10"/>
      <c r="G266" s="10"/>
      <c r="H266" s="10"/>
      <c r="I266" s="9"/>
    </row>
    <row r="267" ht="14.25" customHeight="1">
      <c r="A267" s="10"/>
      <c r="B267" s="10"/>
      <c r="C267" s="10"/>
      <c r="D267" s="10"/>
      <c r="E267" s="10"/>
      <c r="F267" s="10"/>
      <c r="G267" s="10"/>
      <c r="H267" s="10"/>
      <c r="I267" s="9"/>
    </row>
    <row r="268" ht="14.25" customHeight="1">
      <c r="A268" s="10"/>
      <c r="B268" s="10"/>
      <c r="C268" s="10"/>
      <c r="D268" s="10"/>
      <c r="E268" s="10"/>
      <c r="F268" s="10"/>
      <c r="G268" s="10"/>
      <c r="H268" s="10"/>
      <c r="I268" s="9"/>
    </row>
    <row r="269" ht="14.25" customHeight="1">
      <c r="A269" s="10"/>
      <c r="B269" s="10"/>
      <c r="C269" s="10"/>
      <c r="D269" s="10"/>
      <c r="E269" s="10"/>
      <c r="F269" s="10"/>
      <c r="G269" s="10"/>
      <c r="H269" s="10"/>
      <c r="I269" s="9"/>
    </row>
    <row r="270" ht="14.25" customHeight="1">
      <c r="A270" s="10"/>
      <c r="B270" s="10"/>
      <c r="C270" s="10"/>
      <c r="D270" s="10"/>
      <c r="E270" s="10"/>
      <c r="F270" s="10"/>
      <c r="G270" s="10"/>
      <c r="H270" s="10"/>
      <c r="I270" s="9"/>
    </row>
    <row r="271" ht="14.25" customHeight="1">
      <c r="A271" s="10"/>
      <c r="B271" s="10"/>
      <c r="C271" s="10"/>
      <c r="D271" s="10"/>
      <c r="E271" s="10"/>
      <c r="F271" s="10"/>
      <c r="G271" s="10"/>
      <c r="H271" s="10"/>
      <c r="I271" s="9"/>
    </row>
    <row r="272" ht="14.25" customHeight="1">
      <c r="A272" s="10"/>
      <c r="B272" s="10"/>
      <c r="C272" s="10"/>
      <c r="D272" s="10"/>
      <c r="E272" s="10"/>
      <c r="F272" s="10"/>
      <c r="G272" s="10"/>
      <c r="H272" s="10"/>
      <c r="I272" s="9"/>
    </row>
    <row r="273" ht="14.25" customHeight="1">
      <c r="A273" s="10"/>
      <c r="B273" s="10"/>
      <c r="C273" s="10"/>
      <c r="D273" s="10"/>
      <c r="E273" s="10"/>
      <c r="F273" s="10"/>
      <c r="G273" s="10"/>
      <c r="H273" s="10"/>
      <c r="I273" s="9"/>
    </row>
    <row r="274" ht="14.25" customHeight="1">
      <c r="A274" s="10"/>
      <c r="B274" s="10"/>
      <c r="C274" s="10"/>
      <c r="D274" s="10"/>
      <c r="E274" s="10"/>
      <c r="F274" s="10"/>
      <c r="G274" s="10"/>
      <c r="H274" s="10"/>
      <c r="I274" s="9"/>
    </row>
    <row r="275" ht="14.25" customHeight="1">
      <c r="A275" s="10"/>
      <c r="B275" s="10"/>
      <c r="C275" s="10"/>
      <c r="D275" s="10"/>
      <c r="E275" s="10"/>
      <c r="F275" s="10"/>
      <c r="G275" s="10"/>
      <c r="H275" s="10"/>
      <c r="I275" s="9"/>
    </row>
    <row r="276" ht="14.25" customHeight="1">
      <c r="A276" s="10"/>
      <c r="B276" s="10"/>
      <c r="C276" s="10"/>
      <c r="D276" s="10"/>
      <c r="E276" s="10"/>
      <c r="F276" s="10"/>
      <c r="G276" s="10"/>
      <c r="H276" s="10"/>
      <c r="I276" s="9"/>
    </row>
    <row r="277" ht="14.25" customHeight="1">
      <c r="A277" s="10"/>
      <c r="B277" s="10"/>
      <c r="C277" s="10"/>
      <c r="D277" s="10"/>
      <c r="E277" s="10"/>
      <c r="F277" s="10"/>
      <c r="G277" s="10"/>
      <c r="H277" s="10"/>
      <c r="I277" s="9"/>
    </row>
    <row r="278" ht="14.25" customHeight="1">
      <c r="A278" s="10"/>
      <c r="B278" s="10"/>
      <c r="C278" s="10"/>
      <c r="D278" s="10"/>
      <c r="E278" s="10"/>
      <c r="F278" s="10"/>
      <c r="G278" s="10"/>
      <c r="H278" s="10"/>
      <c r="I278" s="9"/>
    </row>
    <row r="279" ht="14.25" customHeight="1">
      <c r="A279" s="10"/>
      <c r="B279" s="10"/>
      <c r="C279" s="10"/>
      <c r="D279" s="10"/>
      <c r="E279" s="10"/>
      <c r="F279" s="10"/>
      <c r="G279" s="10"/>
      <c r="H279" s="10"/>
      <c r="I279" s="9"/>
    </row>
    <row r="280" ht="14.25" customHeight="1">
      <c r="A280" s="10"/>
      <c r="B280" s="10"/>
      <c r="C280" s="10"/>
      <c r="D280" s="10"/>
      <c r="E280" s="10"/>
      <c r="F280" s="10"/>
      <c r="G280" s="10"/>
      <c r="H280" s="10"/>
      <c r="I280" s="9"/>
    </row>
    <row r="281" ht="14.25" customHeight="1">
      <c r="A281" s="10"/>
      <c r="B281" s="10"/>
      <c r="C281" s="10"/>
      <c r="D281" s="10"/>
      <c r="E281" s="10"/>
      <c r="F281" s="10"/>
      <c r="G281" s="10"/>
      <c r="H281" s="10"/>
      <c r="I281" s="9"/>
    </row>
    <row r="282" ht="14.25" customHeight="1">
      <c r="A282" s="10"/>
      <c r="B282" s="10"/>
      <c r="C282" s="10"/>
      <c r="D282" s="10"/>
      <c r="E282" s="10"/>
      <c r="F282" s="10"/>
      <c r="G282" s="10"/>
      <c r="H282" s="10"/>
      <c r="I282" s="9"/>
    </row>
    <row r="283" ht="14.25" customHeight="1">
      <c r="A283" s="10"/>
      <c r="B283" s="10"/>
      <c r="C283" s="10"/>
      <c r="D283" s="10"/>
      <c r="E283" s="10"/>
      <c r="F283" s="10"/>
      <c r="G283" s="10"/>
      <c r="H283" s="10"/>
      <c r="I283" s="9"/>
    </row>
    <row r="284" ht="14.25" customHeight="1">
      <c r="A284" s="10"/>
      <c r="B284" s="10"/>
      <c r="C284" s="10"/>
      <c r="D284" s="10"/>
      <c r="E284" s="10"/>
      <c r="F284" s="10"/>
      <c r="G284" s="10"/>
      <c r="H284" s="10"/>
      <c r="I284" s="9"/>
    </row>
    <row r="285" ht="14.25" customHeight="1">
      <c r="A285" s="10"/>
      <c r="B285" s="10"/>
      <c r="C285" s="10"/>
      <c r="D285" s="10"/>
      <c r="E285" s="10"/>
      <c r="F285" s="10"/>
      <c r="G285" s="10"/>
      <c r="H285" s="10"/>
      <c r="I285" s="9"/>
    </row>
    <row r="286" ht="14.25" customHeight="1">
      <c r="A286" s="10"/>
      <c r="B286" s="10"/>
      <c r="C286" s="10"/>
      <c r="D286" s="10"/>
      <c r="E286" s="10"/>
      <c r="F286" s="10"/>
      <c r="G286" s="10"/>
      <c r="H286" s="10"/>
      <c r="I286" s="9"/>
    </row>
    <row r="287" ht="14.25" customHeight="1">
      <c r="A287" s="10"/>
      <c r="B287" s="10"/>
      <c r="C287" s="10"/>
      <c r="D287" s="10"/>
      <c r="E287" s="10"/>
      <c r="F287" s="10"/>
      <c r="G287" s="10"/>
      <c r="H287" s="10"/>
      <c r="I287" s="9"/>
    </row>
    <row r="288" ht="14.25" customHeight="1">
      <c r="A288" s="10"/>
      <c r="B288" s="10"/>
      <c r="C288" s="10"/>
      <c r="D288" s="10"/>
      <c r="E288" s="10"/>
      <c r="F288" s="10"/>
      <c r="G288" s="10"/>
      <c r="H288" s="10"/>
      <c r="I288" s="9"/>
    </row>
    <row r="289" ht="14.25" customHeight="1">
      <c r="A289" s="10"/>
      <c r="B289" s="10"/>
      <c r="C289" s="10"/>
      <c r="D289" s="10"/>
      <c r="E289" s="10"/>
      <c r="F289" s="10"/>
      <c r="G289" s="10"/>
      <c r="H289" s="10"/>
      <c r="I289" s="9"/>
    </row>
    <row r="290" ht="14.25" customHeight="1">
      <c r="A290" s="10"/>
      <c r="B290" s="10"/>
      <c r="C290" s="10"/>
      <c r="D290" s="10"/>
      <c r="E290" s="10"/>
      <c r="F290" s="10"/>
      <c r="G290" s="10"/>
      <c r="H290" s="10"/>
      <c r="I290" s="9"/>
    </row>
    <row r="291" ht="14.25" customHeight="1">
      <c r="A291" s="10"/>
      <c r="B291" s="10"/>
      <c r="C291" s="10"/>
      <c r="D291" s="10"/>
      <c r="E291" s="10"/>
      <c r="F291" s="10"/>
      <c r="G291" s="10"/>
      <c r="H291" s="10"/>
      <c r="I291" s="9"/>
    </row>
    <row r="292" ht="14.25" customHeight="1">
      <c r="A292" s="10"/>
      <c r="B292" s="10"/>
      <c r="C292" s="10"/>
      <c r="D292" s="10"/>
      <c r="E292" s="10"/>
      <c r="F292" s="10"/>
      <c r="G292" s="10"/>
      <c r="H292" s="10"/>
      <c r="I292" s="9"/>
    </row>
    <row r="293" ht="14.25" customHeight="1">
      <c r="A293" s="10"/>
      <c r="B293" s="10"/>
      <c r="C293" s="10"/>
      <c r="D293" s="10"/>
      <c r="E293" s="10"/>
      <c r="F293" s="10"/>
      <c r="G293" s="10"/>
      <c r="H293" s="10"/>
      <c r="I293" s="9"/>
    </row>
    <row r="294" ht="14.25" customHeight="1">
      <c r="A294" s="10"/>
      <c r="B294" s="10"/>
      <c r="C294" s="10"/>
      <c r="D294" s="10"/>
      <c r="E294" s="10"/>
      <c r="F294" s="10"/>
      <c r="G294" s="10"/>
      <c r="H294" s="10"/>
      <c r="I294" s="9"/>
    </row>
    <row r="295" ht="14.25" customHeight="1">
      <c r="A295" s="10"/>
      <c r="B295" s="10"/>
      <c r="C295" s="10"/>
      <c r="D295" s="10"/>
      <c r="E295" s="10"/>
      <c r="F295" s="10"/>
      <c r="G295" s="10"/>
      <c r="H295" s="10"/>
      <c r="I295" s="9"/>
    </row>
    <row r="296" ht="14.25" customHeight="1">
      <c r="A296" s="10"/>
      <c r="B296" s="10"/>
      <c r="C296" s="10"/>
      <c r="D296" s="10"/>
      <c r="E296" s="10"/>
      <c r="F296" s="10"/>
      <c r="G296" s="10"/>
      <c r="H296" s="10"/>
      <c r="I296" s="9"/>
    </row>
    <row r="297" ht="14.25" customHeight="1">
      <c r="A297" s="10"/>
      <c r="B297" s="10"/>
      <c r="C297" s="10"/>
      <c r="D297" s="10"/>
      <c r="E297" s="10"/>
      <c r="F297" s="10"/>
      <c r="G297" s="10"/>
      <c r="H297" s="10"/>
      <c r="I297" s="9"/>
    </row>
    <row r="298" ht="14.25" customHeight="1">
      <c r="A298" s="10"/>
      <c r="B298" s="10"/>
      <c r="C298" s="10"/>
      <c r="D298" s="10"/>
      <c r="E298" s="10"/>
      <c r="F298" s="10"/>
      <c r="G298" s="10"/>
      <c r="H298" s="10"/>
      <c r="I298" s="9"/>
    </row>
    <row r="299" ht="14.25" customHeight="1">
      <c r="A299" s="10"/>
      <c r="B299" s="10"/>
      <c r="C299" s="10"/>
      <c r="D299" s="10"/>
      <c r="E299" s="10"/>
      <c r="F299" s="10"/>
      <c r="G299" s="10"/>
      <c r="H299" s="10"/>
      <c r="I299" s="9"/>
    </row>
    <row r="300" ht="14.25" customHeight="1">
      <c r="A300" s="10"/>
      <c r="B300" s="10"/>
      <c r="C300" s="10"/>
      <c r="D300" s="10"/>
      <c r="E300" s="10"/>
      <c r="F300" s="10"/>
      <c r="G300" s="10"/>
      <c r="H300" s="10"/>
      <c r="I300" s="9"/>
    </row>
    <row r="301" ht="14.25" customHeight="1">
      <c r="A301" s="10"/>
      <c r="B301" s="10"/>
      <c r="C301" s="10"/>
      <c r="D301" s="10"/>
      <c r="E301" s="10"/>
      <c r="F301" s="10"/>
      <c r="G301" s="10"/>
      <c r="H301" s="10"/>
      <c r="I301" s="9"/>
    </row>
    <row r="302" ht="14.25" customHeight="1">
      <c r="A302" s="10"/>
      <c r="B302" s="10"/>
      <c r="C302" s="10"/>
      <c r="D302" s="10"/>
      <c r="E302" s="10"/>
      <c r="F302" s="10"/>
      <c r="G302" s="10"/>
      <c r="H302" s="10"/>
      <c r="I302" s="9"/>
    </row>
    <row r="303" ht="14.25" customHeight="1">
      <c r="A303" s="10"/>
      <c r="B303" s="10"/>
      <c r="C303" s="10"/>
      <c r="D303" s="10"/>
      <c r="E303" s="10"/>
      <c r="F303" s="10"/>
      <c r="G303" s="10"/>
      <c r="H303" s="10"/>
      <c r="I303" s="9"/>
    </row>
    <row r="304" ht="14.25" customHeight="1">
      <c r="A304" s="10"/>
      <c r="B304" s="10"/>
      <c r="C304" s="10"/>
      <c r="D304" s="10"/>
      <c r="E304" s="10"/>
      <c r="F304" s="10"/>
      <c r="G304" s="10"/>
      <c r="H304" s="10"/>
      <c r="I304" s="9"/>
    </row>
    <row r="305" ht="14.25" customHeight="1">
      <c r="A305" s="10"/>
      <c r="B305" s="10"/>
      <c r="C305" s="10"/>
      <c r="D305" s="10"/>
      <c r="E305" s="10"/>
      <c r="F305" s="10"/>
      <c r="G305" s="10"/>
      <c r="H305" s="10"/>
      <c r="I305" s="9"/>
    </row>
    <row r="306" ht="14.25" customHeight="1">
      <c r="A306" s="10"/>
      <c r="B306" s="10"/>
      <c r="C306" s="10"/>
      <c r="D306" s="10"/>
      <c r="E306" s="10"/>
      <c r="F306" s="10"/>
      <c r="G306" s="10"/>
      <c r="H306" s="10"/>
      <c r="I306" s="9"/>
    </row>
    <row r="307" ht="14.25" customHeight="1">
      <c r="A307" s="10"/>
      <c r="B307" s="10"/>
      <c r="C307" s="10"/>
      <c r="D307" s="10"/>
      <c r="E307" s="10"/>
      <c r="F307" s="10"/>
      <c r="G307" s="10"/>
      <c r="H307" s="10"/>
      <c r="I307" s="9"/>
    </row>
    <row r="308" ht="14.25" customHeight="1">
      <c r="A308" s="10"/>
      <c r="B308" s="10"/>
      <c r="C308" s="10"/>
      <c r="D308" s="10"/>
      <c r="E308" s="10"/>
      <c r="F308" s="10"/>
      <c r="G308" s="10"/>
      <c r="H308" s="10"/>
      <c r="I308" s="9"/>
    </row>
    <row r="309" ht="14.25" customHeight="1">
      <c r="A309" s="10"/>
      <c r="B309" s="10"/>
      <c r="C309" s="10"/>
      <c r="D309" s="10"/>
      <c r="E309" s="10"/>
      <c r="F309" s="10"/>
      <c r="G309" s="10"/>
      <c r="H309" s="10"/>
      <c r="I309" s="9"/>
    </row>
    <row r="310" ht="14.25" customHeight="1">
      <c r="A310" s="10"/>
      <c r="B310" s="10"/>
      <c r="C310" s="10"/>
      <c r="D310" s="10"/>
      <c r="E310" s="10"/>
      <c r="F310" s="10"/>
      <c r="G310" s="10"/>
      <c r="H310" s="10"/>
      <c r="I310" s="9"/>
    </row>
    <row r="311" ht="14.25" customHeight="1">
      <c r="A311" s="10"/>
      <c r="B311" s="10"/>
      <c r="C311" s="10"/>
      <c r="D311" s="10"/>
      <c r="E311" s="10"/>
      <c r="F311" s="10"/>
      <c r="G311" s="10"/>
      <c r="H311" s="10"/>
      <c r="I311" s="9"/>
    </row>
    <row r="312" ht="14.25" customHeight="1">
      <c r="A312" s="10"/>
      <c r="B312" s="10"/>
      <c r="C312" s="10"/>
      <c r="D312" s="10"/>
      <c r="E312" s="10"/>
      <c r="F312" s="10"/>
      <c r="G312" s="10"/>
      <c r="H312" s="10"/>
      <c r="I312" s="9"/>
    </row>
    <row r="313" ht="14.25" customHeight="1">
      <c r="A313" s="10"/>
      <c r="B313" s="10"/>
      <c r="C313" s="10"/>
      <c r="D313" s="10"/>
      <c r="E313" s="10"/>
      <c r="F313" s="10"/>
      <c r="G313" s="10"/>
      <c r="H313" s="10"/>
      <c r="I313" s="9"/>
    </row>
    <row r="314" ht="14.25" customHeight="1">
      <c r="A314" s="10"/>
      <c r="B314" s="10"/>
      <c r="C314" s="10"/>
      <c r="D314" s="10"/>
      <c r="E314" s="10"/>
      <c r="F314" s="10"/>
      <c r="G314" s="10"/>
      <c r="H314" s="10"/>
      <c r="I314" s="9"/>
    </row>
    <row r="315" ht="14.25" customHeight="1">
      <c r="A315" s="10"/>
      <c r="B315" s="10"/>
      <c r="C315" s="10"/>
      <c r="D315" s="10"/>
      <c r="E315" s="10"/>
      <c r="F315" s="10"/>
      <c r="G315" s="10"/>
      <c r="H315" s="10"/>
      <c r="I315" s="9"/>
    </row>
    <row r="316" ht="14.25" customHeight="1">
      <c r="A316" s="10"/>
      <c r="B316" s="10"/>
      <c r="C316" s="10"/>
      <c r="D316" s="10"/>
      <c r="E316" s="10"/>
      <c r="F316" s="10"/>
      <c r="G316" s="10"/>
      <c r="H316" s="10"/>
      <c r="I316" s="9"/>
    </row>
    <row r="317" ht="14.25" customHeight="1">
      <c r="A317" s="10"/>
      <c r="B317" s="10"/>
      <c r="C317" s="10"/>
      <c r="D317" s="10"/>
      <c r="E317" s="10"/>
      <c r="F317" s="10"/>
      <c r="G317" s="10"/>
      <c r="H317" s="10"/>
      <c r="I317" s="9"/>
    </row>
    <row r="318" ht="14.25" customHeight="1">
      <c r="A318" s="10"/>
      <c r="B318" s="10"/>
      <c r="C318" s="10"/>
      <c r="D318" s="10"/>
      <c r="E318" s="10"/>
      <c r="F318" s="10"/>
      <c r="G318" s="10"/>
      <c r="H318" s="10"/>
      <c r="I318" s="9"/>
    </row>
    <row r="319" ht="14.25" customHeight="1">
      <c r="A319" s="10"/>
      <c r="B319" s="10"/>
      <c r="C319" s="10"/>
      <c r="D319" s="10"/>
      <c r="E319" s="10"/>
      <c r="F319" s="10"/>
      <c r="G319" s="10"/>
      <c r="H319" s="10"/>
      <c r="I319" s="9"/>
    </row>
    <row r="320" ht="14.25" customHeight="1">
      <c r="A320" s="10"/>
      <c r="B320" s="10"/>
      <c r="C320" s="10"/>
      <c r="D320" s="10"/>
      <c r="E320" s="10"/>
      <c r="F320" s="10"/>
      <c r="G320" s="10"/>
      <c r="H320" s="10"/>
      <c r="I320" s="9"/>
    </row>
    <row r="321" ht="14.25" customHeight="1">
      <c r="A321" s="10"/>
      <c r="B321" s="10"/>
      <c r="C321" s="10"/>
      <c r="D321" s="10"/>
      <c r="E321" s="10"/>
      <c r="F321" s="10"/>
      <c r="G321" s="10"/>
      <c r="H321" s="10"/>
      <c r="I321" s="9"/>
    </row>
    <row r="322" ht="14.25" customHeight="1">
      <c r="A322" s="10"/>
      <c r="B322" s="10"/>
      <c r="C322" s="10"/>
      <c r="D322" s="10"/>
      <c r="E322" s="10"/>
      <c r="F322" s="10"/>
      <c r="G322" s="10"/>
      <c r="H322" s="10"/>
      <c r="I322" s="9"/>
    </row>
    <row r="323" ht="14.25" customHeight="1">
      <c r="A323" s="10"/>
      <c r="B323" s="10"/>
      <c r="C323" s="10"/>
      <c r="D323" s="10"/>
      <c r="E323" s="10"/>
      <c r="F323" s="10"/>
      <c r="G323" s="10"/>
      <c r="H323" s="10"/>
      <c r="I323" s="9"/>
    </row>
    <row r="324" ht="14.25" customHeight="1">
      <c r="A324" s="10"/>
      <c r="B324" s="10"/>
      <c r="C324" s="10"/>
      <c r="D324" s="10"/>
      <c r="E324" s="10"/>
      <c r="F324" s="10"/>
      <c r="G324" s="10"/>
      <c r="H324" s="10"/>
      <c r="I324" s="9"/>
    </row>
    <row r="325" ht="14.25" customHeight="1">
      <c r="A325" s="10"/>
      <c r="B325" s="10"/>
      <c r="C325" s="10"/>
      <c r="D325" s="10"/>
      <c r="E325" s="10"/>
      <c r="F325" s="10"/>
      <c r="G325" s="10"/>
      <c r="H325" s="10"/>
      <c r="I325" s="9"/>
    </row>
    <row r="326" ht="14.25" customHeight="1">
      <c r="A326" s="10"/>
      <c r="B326" s="10"/>
      <c r="C326" s="10"/>
      <c r="D326" s="10"/>
      <c r="E326" s="10"/>
      <c r="F326" s="10"/>
      <c r="G326" s="10"/>
      <c r="H326" s="10"/>
      <c r="I326" s="9"/>
    </row>
    <row r="327" ht="14.25" customHeight="1">
      <c r="A327" s="10"/>
      <c r="B327" s="10"/>
      <c r="C327" s="10"/>
      <c r="D327" s="10"/>
      <c r="E327" s="10"/>
      <c r="F327" s="10"/>
      <c r="G327" s="10"/>
      <c r="H327" s="10"/>
      <c r="I327" s="9"/>
    </row>
    <row r="328" ht="14.25" customHeight="1">
      <c r="A328" s="10"/>
      <c r="B328" s="10"/>
      <c r="C328" s="10"/>
      <c r="D328" s="10"/>
      <c r="E328" s="10"/>
      <c r="F328" s="10"/>
      <c r="G328" s="10"/>
      <c r="H328" s="10"/>
      <c r="I328" s="9"/>
    </row>
    <row r="329" ht="14.25" customHeight="1">
      <c r="A329" s="10"/>
      <c r="B329" s="10"/>
      <c r="C329" s="10"/>
      <c r="D329" s="10"/>
      <c r="E329" s="10"/>
      <c r="F329" s="10"/>
      <c r="G329" s="10"/>
      <c r="H329" s="10"/>
      <c r="I329" s="9"/>
    </row>
    <row r="330" ht="14.25" customHeight="1">
      <c r="A330" s="10"/>
      <c r="B330" s="10"/>
      <c r="C330" s="10"/>
      <c r="D330" s="10"/>
      <c r="E330" s="10"/>
      <c r="F330" s="10"/>
      <c r="G330" s="10"/>
      <c r="H330" s="10"/>
      <c r="I330" s="9"/>
    </row>
    <row r="331" ht="14.25" customHeight="1">
      <c r="A331" s="10"/>
      <c r="B331" s="10"/>
      <c r="C331" s="10"/>
      <c r="D331" s="10"/>
      <c r="E331" s="10"/>
      <c r="F331" s="10"/>
      <c r="G331" s="10"/>
      <c r="H331" s="10"/>
      <c r="I331" s="9"/>
    </row>
    <row r="332" ht="14.25" customHeight="1">
      <c r="A332" s="10"/>
      <c r="B332" s="10"/>
      <c r="C332" s="10"/>
      <c r="D332" s="10"/>
      <c r="E332" s="10"/>
      <c r="F332" s="10"/>
      <c r="G332" s="10"/>
      <c r="H332" s="10"/>
      <c r="I332" s="9"/>
    </row>
    <row r="333" ht="14.25" customHeight="1">
      <c r="A333" s="10"/>
      <c r="B333" s="10"/>
      <c r="C333" s="10"/>
      <c r="D333" s="10"/>
      <c r="E333" s="10"/>
      <c r="F333" s="10"/>
      <c r="G333" s="10"/>
      <c r="H333" s="10"/>
      <c r="I333" s="9"/>
    </row>
    <row r="334" ht="14.25" customHeight="1">
      <c r="A334" s="10"/>
      <c r="B334" s="10"/>
      <c r="C334" s="10"/>
      <c r="D334" s="10"/>
      <c r="E334" s="10"/>
      <c r="F334" s="10"/>
      <c r="G334" s="10"/>
      <c r="H334" s="10"/>
      <c r="I334" s="9"/>
    </row>
    <row r="335" ht="14.25" customHeight="1">
      <c r="A335" s="10"/>
      <c r="B335" s="10"/>
      <c r="C335" s="10"/>
      <c r="D335" s="10"/>
      <c r="E335" s="10"/>
      <c r="F335" s="10"/>
      <c r="G335" s="10"/>
      <c r="H335" s="10"/>
      <c r="I335" s="9"/>
    </row>
    <row r="336" ht="14.25" customHeight="1">
      <c r="A336" s="10"/>
      <c r="B336" s="10"/>
      <c r="C336" s="10"/>
      <c r="D336" s="10"/>
      <c r="E336" s="10"/>
      <c r="F336" s="10"/>
      <c r="G336" s="10"/>
      <c r="H336" s="10"/>
      <c r="I336" s="9"/>
    </row>
    <row r="337" ht="14.25" customHeight="1">
      <c r="A337" s="10"/>
      <c r="B337" s="10"/>
      <c r="C337" s="10"/>
      <c r="D337" s="10"/>
      <c r="E337" s="10"/>
      <c r="F337" s="10"/>
      <c r="G337" s="10"/>
      <c r="H337" s="10"/>
      <c r="I337" s="9"/>
    </row>
    <row r="338" ht="14.25" customHeight="1">
      <c r="A338" s="10"/>
      <c r="B338" s="10"/>
      <c r="C338" s="10"/>
      <c r="D338" s="10"/>
      <c r="E338" s="10"/>
      <c r="F338" s="10"/>
      <c r="G338" s="10"/>
      <c r="H338" s="10"/>
      <c r="I338" s="9"/>
    </row>
    <row r="339" ht="14.25" customHeight="1">
      <c r="A339" s="10"/>
      <c r="B339" s="10"/>
      <c r="C339" s="10"/>
      <c r="D339" s="10"/>
      <c r="E339" s="10"/>
      <c r="F339" s="10"/>
      <c r="G339" s="10"/>
      <c r="H339" s="10"/>
      <c r="I339" s="9"/>
    </row>
    <row r="340" ht="14.25" customHeight="1">
      <c r="A340" s="10"/>
      <c r="B340" s="10"/>
      <c r="C340" s="10"/>
      <c r="D340" s="10"/>
      <c r="E340" s="10"/>
      <c r="F340" s="10"/>
      <c r="G340" s="10"/>
      <c r="H340" s="10"/>
      <c r="I340" s="9"/>
    </row>
    <row r="341" ht="14.25" customHeight="1">
      <c r="A341" s="10"/>
      <c r="B341" s="10"/>
      <c r="C341" s="10"/>
      <c r="D341" s="10"/>
      <c r="E341" s="10"/>
      <c r="F341" s="10"/>
      <c r="G341" s="10"/>
      <c r="H341" s="10"/>
      <c r="I341" s="9"/>
    </row>
    <row r="342" ht="14.25" customHeight="1">
      <c r="A342" s="10"/>
      <c r="B342" s="10"/>
      <c r="C342" s="10"/>
      <c r="D342" s="10"/>
      <c r="E342" s="10"/>
      <c r="F342" s="10"/>
      <c r="G342" s="10"/>
      <c r="H342" s="10"/>
      <c r="I342" s="9"/>
    </row>
    <row r="343" ht="14.25" customHeight="1">
      <c r="A343" s="10"/>
      <c r="B343" s="10"/>
      <c r="C343" s="10"/>
      <c r="D343" s="10"/>
      <c r="E343" s="10"/>
      <c r="F343" s="10"/>
      <c r="G343" s="10"/>
      <c r="H343" s="10"/>
      <c r="I343" s="9"/>
    </row>
    <row r="344" ht="14.25" customHeight="1">
      <c r="A344" s="10"/>
      <c r="B344" s="10"/>
      <c r="C344" s="10"/>
      <c r="D344" s="10"/>
      <c r="E344" s="10"/>
      <c r="F344" s="10"/>
      <c r="G344" s="10"/>
      <c r="H344" s="10"/>
      <c r="I344" s="9"/>
    </row>
    <row r="345" ht="14.25" customHeight="1">
      <c r="A345" s="10"/>
      <c r="B345" s="10"/>
      <c r="C345" s="10"/>
      <c r="D345" s="10"/>
      <c r="E345" s="10"/>
      <c r="F345" s="10"/>
      <c r="G345" s="10"/>
      <c r="H345" s="10"/>
      <c r="I345" s="9"/>
    </row>
    <row r="346" ht="14.25" customHeight="1">
      <c r="A346" s="10"/>
      <c r="B346" s="10"/>
      <c r="C346" s="10"/>
      <c r="D346" s="10"/>
      <c r="E346" s="10"/>
      <c r="F346" s="10"/>
      <c r="G346" s="10"/>
      <c r="H346" s="10"/>
      <c r="I346" s="9"/>
    </row>
    <row r="347" ht="14.25" customHeight="1">
      <c r="A347" s="10"/>
      <c r="B347" s="10"/>
      <c r="C347" s="10"/>
      <c r="D347" s="10"/>
      <c r="E347" s="10"/>
      <c r="F347" s="10"/>
      <c r="G347" s="10"/>
      <c r="H347" s="10"/>
      <c r="I347" s="9"/>
    </row>
    <row r="348" ht="14.25" customHeight="1">
      <c r="A348" s="10"/>
      <c r="B348" s="10"/>
      <c r="C348" s="10"/>
      <c r="D348" s="10"/>
      <c r="E348" s="10"/>
      <c r="F348" s="10"/>
      <c r="G348" s="10"/>
      <c r="H348" s="10"/>
      <c r="I348" s="9"/>
    </row>
    <row r="349" ht="14.25" customHeight="1">
      <c r="A349" s="10"/>
      <c r="B349" s="10"/>
      <c r="C349" s="10"/>
      <c r="D349" s="10"/>
      <c r="E349" s="10"/>
      <c r="F349" s="10"/>
      <c r="G349" s="10"/>
      <c r="H349" s="10"/>
      <c r="I349" s="9"/>
    </row>
    <row r="350" ht="14.25" customHeight="1">
      <c r="A350" s="10"/>
      <c r="B350" s="10"/>
      <c r="C350" s="10"/>
      <c r="D350" s="10"/>
      <c r="E350" s="10"/>
      <c r="F350" s="10"/>
      <c r="G350" s="10"/>
      <c r="H350" s="10"/>
      <c r="I350" s="9"/>
    </row>
    <row r="351" ht="14.25" customHeight="1">
      <c r="A351" s="10"/>
      <c r="B351" s="10"/>
      <c r="C351" s="10"/>
      <c r="D351" s="10"/>
      <c r="E351" s="10"/>
      <c r="F351" s="10"/>
      <c r="G351" s="10"/>
      <c r="H351" s="10"/>
      <c r="I351" s="9"/>
    </row>
    <row r="352" ht="14.25" customHeight="1">
      <c r="A352" s="10"/>
      <c r="B352" s="10"/>
      <c r="C352" s="10"/>
      <c r="D352" s="10"/>
      <c r="E352" s="10"/>
      <c r="F352" s="10"/>
      <c r="G352" s="10"/>
      <c r="H352" s="10"/>
      <c r="I352" s="9"/>
    </row>
    <row r="353" ht="14.25" customHeight="1">
      <c r="A353" s="10"/>
      <c r="B353" s="10"/>
      <c r="C353" s="10"/>
      <c r="D353" s="10"/>
      <c r="E353" s="10"/>
      <c r="F353" s="10"/>
      <c r="G353" s="10"/>
      <c r="H353" s="10"/>
      <c r="I353" s="9"/>
    </row>
    <row r="354" ht="14.25" customHeight="1">
      <c r="A354" s="10"/>
      <c r="B354" s="10"/>
      <c r="C354" s="10"/>
      <c r="D354" s="10"/>
      <c r="E354" s="10"/>
      <c r="F354" s="10"/>
      <c r="G354" s="10"/>
      <c r="H354" s="10"/>
      <c r="I354" s="9"/>
    </row>
    <row r="355" ht="14.25" customHeight="1">
      <c r="A355" s="10"/>
      <c r="B355" s="10"/>
      <c r="C355" s="10"/>
      <c r="D355" s="10"/>
      <c r="E355" s="10"/>
      <c r="F355" s="10"/>
      <c r="G355" s="10"/>
      <c r="H355" s="10"/>
      <c r="I355" s="9"/>
    </row>
    <row r="356" ht="14.25" customHeight="1">
      <c r="A356" s="10"/>
      <c r="B356" s="10"/>
      <c r="C356" s="10"/>
      <c r="D356" s="10"/>
      <c r="E356" s="10"/>
      <c r="F356" s="10"/>
      <c r="G356" s="10"/>
      <c r="H356" s="10"/>
      <c r="I356" s="9"/>
    </row>
    <row r="357" ht="14.25" customHeight="1">
      <c r="A357" s="10"/>
      <c r="B357" s="10"/>
      <c r="C357" s="10"/>
      <c r="D357" s="10"/>
      <c r="E357" s="10"/>
      <c r="F357" s="10"/>
      <c r="G357" s="10"/>
      <c r="H357" s="10"/>
      <c r="I357" s="9"/>
    </row>
    <row r="358" ht="14.25" customHeight="1">
      <c r="A358" s="10"/>
      <c r="B358" s="10"/>
      <c r="C358" s="10"/>
      <c r="D358" s="10"/>
      <c r="E358" s="10"/>
      <c r="F358" s="10"/>
      <c r="G358" s="10"/>
      <c r="H358" s="10"/>
      <c r="I358" s="9"/>
    </row>
    <row r="359" ht="14.25" customHeight="1">
      <c r="A359" s="10"/>
      <c r="B359" s="10"/>
      <c r="C359" s="10"/>
      <c r="D359" s="10"/>
      <c r="E359" s="10"/>
      <c r="F359" s="10"/>
      <c r="G359" s="10"/>
      <c r="H359" s="10"/>
      <c r="I359" s="9"/>
    </row>
    <row r="360" ht="14.25" customHeight="1">
      <c r="A360" s="10"/>
      <c r="B360" s="10"/>
      <c r="C360" s="10"/>
      <c r="D360" s="10"/>
      <c r="E360" s="10"/>
      <c r="F360" s="10"/>
      <c r="G360" s="10"/>
      <c r="H360" s="10"/>
      <c r="I360" s="9"/>
    </row>
    <row r="361" ht="14.25" customHeight="1">
      <c r="A361" s="10"/>
      <c r="B361" s="10"/>
      <c r="C361" s="10"/>
      <c r="D361" s="10"/>
      <c r="E361" s="10"/>
      <c r="F361" s="10"/>
      <c r="G361" s="10"/>
      <c r="H361" s="10"/>
      <c r="I361" s="9"/>
    </row>
    <row r="362" ht="14.25" customHeight="1">
      <c r="A362" s="10"/>
      <c r="B362" s="10"/>
      <c r="C362" s="10"/>
      <c r="D362" s="10"/>
      <c r="E362" s="10"/>
      <c r="F362" s="10"/>
      <c r="G362" s="10"/>
      <c r="H362" s="10"/>
      <c r="I362" s="9"/>
    </row>
    <row r="363" ht="14.25" customHeight="1">
      <c r="A363" s="10"/>
      <c r="B363" s="10"/>
      <c r="C363" s="10"/>
      <c r="D363" s="10"/>
      <c r="E363" s="10"/>
      <c r="F363" s="10"/>
      <c r="G363" s="10"/>
      <c r="H363" s="10"/>
      <c r="I363" s="9"/>
    </row>
    <row r="364" ht="14.25" customHeight="1">
      <c r="A364" s="10"/>
      <c r="B364" s="10"/>
      <c r="C364" s="10"/>
      <c r="D364" s="10"/>
      <c r="E364" s="10"/>
      <c r="F364" s="10"/>
      <c r="G364" s="10"/>
      <c r="H364" s="10"/>
      <c r="I364" s="9"/>
    </row>
    <row r="365" ht="14.25" customHeight="1">
      <c r="A365" s="10"/>
      <c r="B365" s="10"/>
      <c r="C365" s="10"/>
      <c r="D365" s="10"/>
      <c r="E365" s="10"/>
      <c r="F365" s="10"/>
      <c r="G365" s="10"/>
      <c r="H365" s="10"/>
      <c r="I365" s="9"/>
    </row>
    <row r="366" ht="14.25" customHeight="1">
      <c r="A366" s="10"/>
      <c r="B366" s="10"/>
      <c r="C366" s="10"/>
      <c r="D366" s="10"/>
      <c r="E366" s="10"/>
      <c r="F366" s="10"/>
      <c r="G366" s="10"/>
      <c r="H366" s="10"/>
      <c r="I366" s="9"/>
    </row>
    <row r="367" ht="14.25" customHeight="1">
      <c r="A367" s="10"/>
      <c r="B367" s="10"/>
      <c r="C367" s="10"/>
      <c r="D367" s="10"/>
      <c r="E367" s="10"/>
      <c r="F367" s="10"/>
      <c r="G367" s="10"/>
      <c r="H367" s="10"/>
      <c r="I367" s="9"/>
    </row>
    <row r="368" ht="14.25" customHeight="1">
      <c r="A368" s="10"/>
      <c r="B368" s="10"/>
      <c r="C368" s="10"/>
      <c r="D368" s="10"/>
      <c r="E368" s="10"/>
      <c r="F368" s="10"/>
      <c r="G368" s="10"/>
      <c r="H368" s="10"/>
      <c r="I368" s="9"/>
    </row>
    <row r="369" ht="14.25" customHeight="1">
      <c r="A369" s="10"/>
      <c r="B369" s="10"/>
      <c r="C369" s="10"/>
      <c r="D369" s="10"/>
      <c r="E369" s="10"/>
      <c r="F369" s="10"/>
      <c r="G369" s="10"/>
      <c r="H369" s="10"/>
      <c r="I369" s="9"/>
    </row>
    <row r="370" ht="14.25" customHeight="1">
      <c r="A370" s="10"/>
      <c r="B370" s="10"/>
      <c r="C370" s="10"/>
      <c r="D370" s="10"/>
      <c r="E370" s="10"/>
      <c r="F370" s="10"/>
      <c r="G370" s="10"/>
      <c r="H370" s="10"/>
      <c r="I370" s="9"/>
    </row>
    <row r="371" ht="14.25" customHeight="1">
      <c r="A371" s="10"/>
      <c r="B371" s="10"/>
      <c r="C371" s="10"/>
      <c r="D371" s="10"/>
      <c r="E371" s="10"/>
      <c r="F371" s="10"/>
      <c r="G371" s="10"/>
      <c r="H371" s="10"/>
      <c r="I371" s="9"/>
    </row>
    <row r="372" ht="14.25" customHeight="1">
      <c r="A372" s="10"/>
      <c r="B372" s="10"/>
      <c r="C372" s="10"/>
      <c r="D372" s="10"/>
      <c r="E372" s="10"/>
      <c r="F372" s="10"/>
      <c r="G372" s="10"/>
      <c r="H372" s="10"/>
      <c r="I372" s="9"/>
    </row>
    <row r="373" ht="14.25" customHeight="1">
      <c r="A373" s="10"/>
      <c r="B373" s="10"/>
      <c r="C373" s="10"/>
      <c r="D373" s="10"/>
      <c r="E373" s="10"/>
      <c r="F373" s="10"/>
      <c r="G373" s="10"/>
      <c r="H373" s="10"/>
      <c r="I373" s="9"/>
    </row>
    <row r="374" ht="14.25" customHeight="1">
      <c r="A374" s="10"/>
      <c r="B374" s="10"/>
      <c r="C374" s="10"/>
      <c r="D374" s="10"/>
      <c r="E374" s="10"/>
      <c r="F374" s="10"/>
      <c r="G374" s="10"/>
      <c r="H374" s="10"/>
      <c r="I374" s="9"/>
    </row>
    <row r="375" ht="14.25" customHeight="1">
      <c r="A375" s="10"/>
      <c r="B375" s="10"/>
      <c r="C375" s="10"/>
      <c r="D375" s="10"/>
      <c r="E375" s="10"/>
      <c r="F375" s="10"/>
      <c r="G375" s="10"/>
      <c r="H375" s="10"/>
      <c r="I375" s="9"/>
    </row>
    <row r="376" ht="14.25" customHeight="1">
      <c r="A376" s="10"/>
      <c r="B376" s="10"/>
      <c r="C376" s="10"/>
      <c r="D376" s="10"/>
      <c r="E376" s="10"/>
      <c r="F376" s="10"/>
      <c r="G376" s="10"/>
      <c r="H376" s="10"/>
      <c r="I376" s="9"/>
    </row>
    <row r="377" ht="14.25" customHeight="1">
      <c r="A377" s="10"/>
      <c r="B377" s="10"/>
      <c r="C377" s="10"/>
      <c r="D377" s="10"/>
      <c r="E377" s="10"/>
      <c r="F377" s="10"/>
      <c r="G377" s="10"/>
      <c r="H377" s="10"/>
      <c r="I377" s="9"/>
    </row>
    <row r="378" ht="14.25" customHeight="1">
      <c r="A378" s="10"/>
      <c r="B378" s="10"/>
      <c r="C378" s="10"/>
      <c r="D378" s="10"/>
      <c r="E378" s="10"/>
      <c r="F378" s="10"/>
      <c r="G378" s="10"/>
      <c r="H378" s="10"/>
      <c r="I378" s="9"/>
    </row>
    <row r="379" ht="14.25" customHeight="1">
      <c r="A379" s="10"/>
      <c r="B379" s="10"/>
      <c r="C379" s="10"/>
      <c r="D379" s="10"/>
      <c r="E379" s="10"/>
      <c r="F379" s="10"/>
      <c r="G379" s="10"/>
      <c r="H379" s="10"/>
      <c r="I379" s="9"/>
    </row>
    <row r="380" ht="14.25" customHeight="1">
      <c r="A380" s="10"/>
      <c r="B380" s="10"/>
      <c r="C380" s="10"/>
      <c r="D380" s="10"/>
      <c r="E380" s="10"/>
      <c r="F380" s="10"/>
      <c r="G380" s="10"/>
      <c r="H380" s="10"/>
      <c r="I380" s="9"/>
    </row>
    <row r="381" ht="14.25" customHeight="1">
      <c r="A381" s="10"/>
      <c r="B381" s="10"/>
      <c r="C381" s="10"/>
      <c r="D381" s="10"/>
      <c r="E381" s="10"/>
      <c r="F381" s="10"/>
      <c r="G381" s="10"/>
      <c r="H381" s="10"/>
      <c r="I381" s="9"/>
    </row>
    <row r="382" ht="14.25" customHeight="1">
      <c r="A382" s="10"/>
      <c r="B382" s="10"/>
      <c r="C382" s="10"/>
      <c r="D382" s="10"/>
      <c r="E382" s="10"/>
      <c r="F382" s="10"/>
      <c r="G382" s="10"/>
      <c r="H382" s="10"/>
      <c r="I382" s="9"/>
    </row>
    <row r="383" ht="14.25" customHeight="1">
      <c r="A383" s="10"/>
      <c r="B383" s="10"/>
      <c r="C383" s="10"/>
      <c r="D383" s="10"/>
      <c r="E383" s="10"/>
      <c r="F383" s="10"/>
      <c r="G383" s="10"/>
      <c r="H383" s="10"/>
      <c r="I383" s="9"/>
    </row>
    <row r="384" ht="14.25" customHeight="1">
      <c r="A384" s="10"/>
      <c r="B384" s="10"/>
      <c r="C384" s="10"/>
      <c r="D384" s="10"/>
      <c r="E384" s="10"/>
      <c r="F384" s="10"/>
      <c r="G384" s="10"/>
      <c r="H384" s="10"/>
      <c r="I384" s="9"/>
    </row>
    <row r="385" ht="14.25" customHeight="1">
      <c r="A385" s="10"/>
      <c r="B385" s="10"/>
      <c r="C385" s="10"/>
      <c r="D385" s="10"/>
      <c r="E385" s="10"/>
      <c r="F385" s="10"/>
      <c r="G385" s="10"/>
      <c r="H385" s="10"/>
      <c r="I385" s="9"/>
    </row>
    <row r="386" ht="14.25" customHeight="1">
      <c r="A386" s="10"/>
      <c r="B386" s="10"/>
      <c r="C386" s="10"/>
      <c r="D386" s="10"/>
      <c r="E386" s="10"/>
      <c r="F386" s="10"/>
      <c r="G386" s="10"/>
      <c r="H386" s="10"/>
      <c r="I386" s="9"/>
    </row>
    <row r="387" ht="14.25" customHeight="1">
      <c r="A387" s="10"/>
      <c r="B387" s="10"/>
      <c r="C387" s="10"/>
      <c r="D387" s="10"/>
      <c r="E387" s="10"/>
      <c r="F387" s="10"/>
      <c r="G387" s="10"/>
      <c r="H387" s="10"/>
      <c r="I387" s="9"/>
    </row>
    <row r="388" ht="14.25" customHeight="1">
      <c r="A388" s="10"/>
      <c r="B388" s="10"/>
      <c r="C388" s="10"/>
      <c r="D388" s="10"/>
      <c r="E388" s="10"/>
      <c r="F388" s="10"/>
      <c r="G388" s="10"/>
      <c r="H388" s="10"/>
      <c r="I388" s="9"/>
    </row>
    <row r="389" ht="14.25" customHeight="1">
      <c r="A389" s="10"/>
      <c r="B389" s="10"/>
      <c r="C389" s="10"/>
      <c r="D389" s="10"/>
      <c r="E389" s="10"/>
      <c r="F389" s="10"/>
      <c r="G389" s="10"/>
      <c r="H389" s="10"/>
      <c r="I389" s="9"/>
    </row>
    <row r="390" ht="14.25" customHeight="1">
      <c r="A390" s="10"/>
      <c r="B390" s="10"/>
      <c r="C390" s="10"/>
      <c r="D390" s="10"/>
      <c r="E390" s="10"/>
      <c r="F390" s="10"/>
      <c r="G390" s="10"/>
      <c r="H390" s="10"/>
      <c r="I390" s="9"/>
    </row>
    <row r="391" ht="14.25" customHeight="1">
      <c r="A391" s="10"/>
      <c r="B391" s="10"/>
      <c r="C391" s="10"/>
      <c r="D391" s="10"/>
      <c r="E391" s="10"/>
      <c r="F391" s="10"/>
      <c r="G391" s="10"/>
      <c r="H391" s="10"/>
      <c r="I391" s="9"/>
    </row>
    <row r="392" ht="14.25" customHeight="1">
      <c r="A392" s="10"/>
      <c r="B392" s="10"/>
      <c r="C392" s="10"/>
      <c r="D392" s="10"/>
      <c r="E392" s="10"/>
      <c r="F392" s="10"/>
      <c r="G392" s="10"/>
      <c r="H392" s="10"/>
      <c r="I392" s="9"/>
    </row>
    <row r="393" ht="14.25" customHeight="1">
      <c r="A393" s="10"/>
      <c r="B393" s="10"/>
      <c r="C393" s="10"/>
      <c r="D393" s="10"/>
      <c r="E393" s="10"/>
      <c r="F393" s="10"/>
      <c r="G393" s="10"/>
      <c r="H393" s="10"/>
      <c r="I393" s="9"/>
    </row>
    <row r="394" ht="14.25" customHeight="1">
      <c r="A394" s="10"/>
      <c r="B394" s="10"/>
      <c r="C394" s="10"/>
      <c r="D394" s="10"/>
      <c r="E394" s="10"/>
      <c r="F394" s="10"/>
      <c r="G394" s="10"/>
      <c r="H394" s="10"/>
      <c r="I394" s="9"/>
    </row>
    <row r="395" ht="14.25" customHeight="1">
      <c r="A395" s="10"/>
      <c r="B395" s="10"/>
      <c r="C395" s="10"/>
      <c r="D395" s="10"/>
      <c r="E395" s="10"/>
      <c r="F395" s="10"/>
      <c r="G395" s="10"/>
      <c r="H395" s="10"/>
      <c r="I395" s="9"/>
    </row>
    <row r="396" ht="14.25" customHeight="1">
      <c r="A396" s="10"/>
      <c r="B396" s="10"/>
      <c r="C396" s="10"/>
      <c r="D396" s="10"/>
      <c r="E396" s="10"/>
      <c r="F396" s="10"/>
      <c r="G396" s="10"/>
      <c r="H396" s="10"/>
      <c r="I396" s="9"/>
    </row>
    <row r="397" ht="14.25" customHeight="1">
      <c r="A397" s="10"/>
      <c r="B397" s="10"/>
      <c r="C397" s="10"/>
      <c r="D397" s="10"/>
      <c r="E397" s="10"/>
      <c r="F397" s="10"/>
      <c r="G397" s="10"/>
      <c r="H397" s="10"/>
      <c r="I397" s="9"/>
    </row>
    <row r="398" ht="14.25" customHeight="1">
      <c r="A398" s="10"/>
      <c r="B398" s="10"/>
      <c r="C398" s="10"/>
      <c r="D398" s="10"/>
      <c r="E398" s="10"/>
      <c r="F398" s="10"/>
      <c r="G398" s="10"/>
      <c r="H398" s="10"/>
      <c r="I398" s="9"/>
    </row>
    <row r="399" ht="14.25" customHeight="1">
      <c r="A399" s="10"/>
      <c r="B399" s="10"/>
      <c r="C399" s="10"/>
      <c r="D399" s="10"/>
      <c r="E399" s="10"/>
      <c r="F399" s="10"/>
      <c r="G399" s="10"/>
      <c r="H399" s="10"/>
      <c r="I399" s="9"/>
    </row>
    <row r="400" ht="14.25" customHeight="1">
      <c r="A400" s="10"/>
      <c r="B400" s="10"/>
      <c r="C400" s="10"/>
      <c r="D400" s="10"/>
      <c r="E400" s="10"/>
      <c r="F400" s="10"/>
      <c r="G400" s="10"/>
      <c r="H400" s="10"/>
      <c r="I400" s="9"/>
    </row>
    <row r="401" ht="14.25" customHeight="1">
      <c r="A401" s="10"/>
      <c r="B401" s="10"/>
      <c r="C401" s="10"/>
      <c r="D401" s="10"/>
      <c r="E401" s="10"/>
      <c r="F401" s="10"/>
      <c r="G401" s="10"/>
      <c r="H401" s="10"/>
      <c r="I401" s="9"/>
    </row>
    <row r="402" ht="14.25" customHeight="1">
      <c r="A402" s="10"/>
      <c r="B402" s="10"/>
      <c r="C402" s="10"/>
      <c r="D402" s="10"/>
      <c r="E402" s="10"/>
      <c r="F402" s="10"/>
      <c r="G402" s="10"/>
      <c r="H402" s="10"/>
      <c r="I402" s="9"/>
    </row>
    <row r="403" ht="14.25" customHeight="1">
      <c r="A403" s="10"/>
      <c r="B403" s="10"/>
      <c r="C403" s="10"/>
      <c r="D403" s="10"/>
      <c r="E403" s="10"/>
      <c r="F403" s="10"/>
      <c r="G403" s="10"/>
      <c r="H403" s="10"/>
      <c r="I403" s="9"/>
    </row>
    <row r="404" ht="14.25" customHeight="1">
      <c r="A404" s="10"/>
      <c r="B404" s="10"/>
      <c r="C404" s="10"/>
      <c r="D404" s="10"/>
      <c r="E404" s="10"/>
      <c r="F404" s="10"/>
      <c r="G404" s="10"/>
      <c r="H404" s="10"/>
      <c r="I404" s="9"/>
    </row>
    <row r="405" ht="14.25" customHeight="1">
      <c r="A405" s="10"/>
      <c r="B405" s="10"/>
      <c r="C405" s="10"/>
      <c r="D405" s="10"/>
      <c r="E405" s="10"/>
      <c r="F405" s="10"/>
      <c r="G405" s="10"/>
      <c r="H405" s="10"/>
      <c r="I405" s="9"/>
    </row>
    <row r="406" ht="14.25" customHeight="1">
      <c r="A406" s="10"/>
      <c r="B406" s="10"/>
      <c r="C406" s="10"/>
      <c r="D406" s="10"/>
      <c r="E406" s="10"/>
      <c r="F406" s="10"/>
      <c r="G406" s="10"/>
      <c r="H406" s="10"/>
      <c r="I406" s="9"/>
    </row>
    <row r="407" ht="14.25" customHeight="1">
      <c r="A407" s="10"/>
      <c r="B407" s="10"/>
      <c r="C407" s="10"/>
      <c r="D407" s="10"/>
      <c r="E407" s="10"/>
      <c r="F407" s="10"/>
      <c r="G407" s="10"/>
      <c r="H407" s="10"/>
      <c r="I407" s="9"/>
    </row>
    <row r="408" ht="14.25" customHeight="1">
      <c r="A408" s="10"/>
      <c r="B408" s="10"/>
      <c r="C408" s="10"/>
      <c r="D408" s="10"/>
      <c r="E408" s="10"/>
      <c r="F408" s="10"/>
      <c r="G408" s="10"/>
      <c r="H408" s="10"/>
      <c r="I408" s="9"/>
    </row>
    <row r="409" ht="14.25" customHeight="1">
      <c r="A409" s="10"/>
      <c r="B409" s="10"/>
      <c r="C409" s="10"/>
      <c r="D409" s="10"/>
      <c r="E409" s="10"/>
      <c r="F409" s="10"/>
      <c r="G409" s="10"/>
      <c r="H409" s="10"/>
      <c r="I409" s="9"/>
    </row>
    <row r="410" ht="14.25" customHeight="1">
      <c r="A410" s="10"/>
      <c r="B410" s="10"/>
      <c r="C410" s="10"/>
      <c r="D410" s="10"/>
      <c r="E410" s="10"/>
      <c r="F410" s="10"/>
      <c r="G410" s="10"/>
      <c r="H410" s="10"/>
      <c r="I410" s="9"/>
    </row>
    <row r="411" ht="14.25" customHeight="1">
      <c r="A411" s="10"/>
      <c r="B411" s="10"/>
      <c r="C411" s="10"/>
      <c r="D411" s="10"/>
      <c r="E411" s="10"/>
      <c r="F411" s="10"/>
      <c r="G411" s="10"/>
      <c r="H411" s="10"/>
      <c r="I411" s="9"/>
    </row>
    <row r="412" ht="14.25" customHeight="1">
      <c r="A412" s="10"/>
      <c r="B412" s="10"/>
      <c r="C412" s="10"/>
      <c r="D412" s="10"/>
      <c r="E412" s="10"/>
      <c r="F412" s="10"/>
      <c r="G412" s="10"/>
      <c r="H412" s="10"/>
      <c r="I412" s="9"/>
    </row>
    <row r="413" ht="14.25" customHeight="1">
      <c r="A413" s="10"/>
      <c r="B413" s="10"/>
      <c r="C413" s="10"/>
      <c r="D413" s="10"/>
      <c r="E413" s="10"/>
      <c r="F413" s="10"/>
      <c r="G413" s="10"/>
      <c r="H413" s="10"/>
      <c r="I413" s="9"/>
    </row>
    <row r="414" ht="14.25" customHeight="1">
      <c r="A414" s="10"/>
      <c r="B414" s="10"/>
      <c r="C414" s="10"/>
      <c r="D414" s="10"/>
      <c r="E414" s="10"/>
      <c r="F414" s="10"/>
      <c r="G414" s="10"/>
      <c r="H414" s="10"/>
      <c r="I414" s="9"/>
    </row>
    <row r="415" ht="14.25" customHeight="1">
      <c r="A415" s="10"/>
      <c r="B415" s="10"/>
      <c r="C415" s="10"/>
      <c r="D415" s="10"/>
      <c r="E415" s="10"/>
      <c r="F415" s="10"/>
      <c r="G415" s="10"/>
      <c r="H415" s="10"/>
      <c r="I415" s="9"/>
    </row>
    <row r="416" ht="14.25" customHeight="1">
      <c r="A416" s="10"/>
      <c r="B416" s="10"/>
      <c r="C416" s="10"/>
      <c r="D416" s="10"/>
      <c r="E416" s="10"/>
      <c r="F416" s="10"/>
      <c r="G416" s="10"/>
      <c r="H416" s="10"/>
      <c r="I416" s="9"/>
    </row>
    <row r="417" ht="14.25" customHeight="1">
      <c r="A417" s="10"/>
      <c r="B417" s="10"/>
      <c r="C417" s="10"/>
      <c r="D417" s="10"/>
      <c r="E417" s="10"/>
      <c r="F417" s="10"/>
      <c r="G417" s="10"/>
      <c r="H417" s="10"/>
      <c r="I417" s="9"/>
    </row>
    <row r="418" ht="14.25" customHeight="1">
      <c r="A418" s="10"/>
      <c r="B418" s="10"/>
      <c r="C418" s="10"/>
      <c r="D418" s="10"/>
      <c r="E418" s="10"/>
      <c r="F418" s="10"/>
      <c r="G418" s="10"/>
      <c r="H418" s="10"/>
      <c r="I418" s="9"/>
    </row>
    <row r="419" ht="14.25" customHeight="1">
      <c r="A419" s="10"/>
      <c r="B419" s="10"/>
      <c r="C419" s="10"/>
      <c r="D419" s="10"/>
      <c r="E419" s="10"/>
      <c r="F419" s="10"/>
      <c r="G419" s="10"/>
      <c r="H419" s="10"/>
      <c r="I419" s="9"/>
    </row>
    <row r="420" ht="14.25" customHeight="1">
      <c r="A420" s="10"/>
      <c r="B420" s="10"/>
      <c r="C420" s="10"/>
      <c r="D420" s="10"/>
      <c r="E420" s="10"/>
      <c r="F420" s="10"/>
      <c r="G420" s="10"/>
      <c r="H420" s="10"/>
      <c r="I420" s="9"/>
    </row>
    <row r="421" ht="14.25" customHeight="1">
      <c r="A421" s="10"/>
      <c r="B421" s="10"/>
      <c r="C421" s="10"/>
      <c r="D421" s="10"/>
      <c r="E421" s="10"/>
      <c r="F421" s="10"/>
      <c r="G421" s="10"/>
      <c r="H421" s="10"/>
      <c r="I421" s="9"/>
    </row>
    <row r="422" ht="14.25" customHeight="1">
      <c r="A422" s="10"/>
      <c r="B422" s="10"/>
      <c r="C422" s="10"/>
      <c r="D422" s="10"/>
      <c r="E422" s="10"/>
      <c r="F422" s="10"/>
      <c r="G422" s="10"/>
      <c r="H422" s="10"/>
      <c r="I422" s="9"/>
    </row>
    <row r="423" ht="14.25" customHeight="1">
      <c r="A423" s="10"/>
      <c r="B423" s="10"/>
      <c r="C423" s="10"/>
      <c r="D423" s="10"/>
      <c r="E423" s="10"/>
      <c r="F423" s="10"/>
      <c r="G423" s="10"/>
      <c r="H423" s="10"/>
      <c r="I423" s="9"/>
    </row>
    <row r="424" ht="14.25" customHeight="1">
      <c r="A424" s="10"/>
      <c r="B424" s="10"/>
      <c r="C424" s="10"/>
      <c r="D424" s="10"/>
      <c r="E424" s="10"/>
      <c r="F424" s="10"/>
      <c r="G424" s="10"/>
      <c r="H424" s="10"/>
      <c r="I424" s="9"/>
    </row>
    <row r="425" ht="14.25" customHeight="1">
      <c r="A425" s="10"/>
      <c r="B425" s="10"/>
      <c r="C425" s="10"/>
      <c r="D425" s="10"/>
      <c r="E425" s="10"/>
      <c r="F425" s="10"/>
      <c r="G425" s="10"/>
      <c r="H425" s="10"/>
      <c r="I425" s="9"/>
    </row>
    <row r="426" ht="14.25" customHeight="1">
      <c r="A426" s="10"/>
      <c r="B426" s="10"/>
      <c r="C426" s="10"/>
      <c r="D426" s="10"/>
      <c r="E426" s="10"/>
      <c r="F426" s="10"/>
      <c r="G426" s="10"/>
      <c r="H426" s="10"/>
      <c r="I426" s="9"/>
    </row>
    <row r="427" ht="14.25" customHeight="1">
      <c r="A427" s="10"/>
      <c r="B427" s="10"/>
      <c r="C427" s="10"/>
      <c r="D427" s="10"/>
      <c r="E427" s="10"/>
      <c r="F427" s="10"/>
      <c r="G427" s="10"/>
      <c r="H427" s="10"/>
      <c r="I427" s="9"/>
    </row>
    <row r="428" ht="14.25" customHeight="1">
      <c r="A428" s="10"/>
      <c r="B428" s="10"/>
      <c r="C428" s="10"/>
      <c r="D428" s="10"/>
      <c r="E428" s="10"/>
      <c r="F428" s="10"/>
      <c r="G428" s="10"/>
      <c r="H428" s="10"/>
      <c r="I428" s="9"/>
    </row>
    <row r="429" ht="14.25" customHeight="1">
      <c r="A429" s="10"/>
      <c r="B429" s="10"/>
      <c r="C429" s="10"/>
      <c r="D429" s="10"/>
      <c r="E429" s="10"/>
      <c r="F429" s="10"/>
      <c r="G429" s="10"/>
      <c r="H429" s="10"/>
      <c r="I429" s="9"/>
    </row>
    <row r="430" ht="14.25" customHeight="1">
      <c r="A430" s="10"/>
      <c r="B430" s="10"/>
      <c r="C430" s="10"/>
      <c r="D430" s="10"/>
      <c r="E430" s="10"/>
      <c r="F430" s="10"/>
      <c r="G430" s="10"/>
      <c r="H430" s="10"/>
      <c r="I430" s="9"/>
    </row>
    <row r="431" ht="14.25" customHeight="1">
      <c r="A431" s="10"/>
      <c r="B431" s="10"/>
      <c r="C431" s="10"/>
      <c r="D431" s="10"/>
      <c r="E431" s="10"/>
      <c r="F431" s="10"/>
      <c r="G431" s="10"/>
      <c r="H431" s="10"/>
      <c r="I431" s="9"/>
    </row>
    <row r="432" ht="14.25" customHeight="1">
      <c r="A432" s="10"/>
      <c r="B432" s="10"/>
      <c r="C432" s="10"/>
      <c r="D432" s="10"/>
      <c r="E432" s="10"/>
      <c r="F432" s="10"/>
      <c r="G432" s="10"/>
      <c r="H432" s="10"/>
      <c r="I432" s="9"/>
    </row>
    <row r="433" ht="14.25" customHeight="1">
      <c r="A433" s="10"/>
      <c r="B433" s="10"/>
      <c r="C433" s="10"/>
      <c r="D433" s="10"/>
      <c r="E433" s="10"/>
      <c r="F433" s="10"/>
      <c r="G433" s="10"/>
      <c r="H433" s="10"/>
      <c r="I433" s="9"/>
    </row>
    <row r="434" ht="14.25" customHeight="1">
      <c r="A434" s="10"/>
      <c r="B434" s="10"/>
      <c r="C434" s="10"/>
      <c r="D434" s="10"/>
      <c r="E434" s="10"/>
      <c r="F434" s="10"/>
      <c r="G434" s="10"/>
      <c r="H434" s="10"/>
      <c r="I434" s="9"/>
    </row>
    <row r="435" ht="14.25" customHeight="1">
      <c r="A435" s="10"/>
      <c r="B435" s="10"/>
      <c r="C435" s="10"/>
      <c r="D435" s="10"/>
      <c r="E435" s="10"/>
      <c r="F435" s="10"/>
      <c r="G435" s="10"/>
      <c r="H435" s="10"/>
      <c r="I435" s="9"/>
    </row>
    <row r="436" ht="14.25" customHeight="1">
      <c r="A436" s="10"/>
      <c r="B436" s="10"/>
      <c r="C436" s="10"/>
      <c r="D436" s="10"/>
      <c r="E436" s="10"/>
      <c r="F436" s="10"/>
      <c r="G436" s="10"/>
      <c r="H436" s="10"/>
      <c r="I436" s="9"/>
    </row>
    <row r="437" ht="14.25" customHeight="1">
      <c r="A437" s="10"/>
      <c r="B437" s="10"/>
      <c r="C437" s="10"/>
      <c r="D437" s="10"/>
      <c r="E437" s="10"/>
      <c r="F437" s="10"/>
      <c r="G437" s="10"/>
      <c r="H437" s="10"/>
      <c r="I437" s="9"/>
    </row>
    <row r="438" ht="14.25" customHeight="1">
      <c r="A438" s="10"/>
      <c r="B438" s="10"/>
      <c r="C438" s="10"/>
      <c r="D438" s="10"/>
      <c r="E438" s="10"/>
      <c r="F438" s="10"/>
      <c r="G438" s="10"/>
      <c r="H438" s="10"/>
      <c r="I438" s="9"/>
    </row>
    <row r="439" ht="14.25" customHeight="1">
      <c r="A439" s="10"/>
      <c r="B439" s="10"/>
      <c r="C439" s="10"/>
      <c r="D439" s="10"/>
      <c r="E439" s="10"/>
      <c r="F439" s="10"/>
      <c r="G439" s="10"/>
      <c r="H439" s="10"/>
      <c r="I439" s="9"/>
    </row>
    <row r="440" ht="14.25" customHeight="1">
      <c r="A440" s="10"/>
      <c r="B440" s="10"/>
      <c r="C440" s="10"/>
      <c r="D440" s="10"/>
      <c r="E440" s="10"/>
      <c r="F440" s="10"/>
      <c r="G440" s="10"/>
      <c r="H440" s="10"/>
      <c r="I440" s="9"/>
    </row>
    <row r="441" ht="14.25" customHeight="1">
      <c r="A441" s="10"/>
      <c r="B441" s="10"/>
      <c r="C441" s="10"/>
      <c r="D441" s="10"/>
      <c r="E441" s="10"/>
      <c r="F441" s="10"/>
      <c r="G441" s="10"/>
      <c r="H441" s="10"/>
      <c r="I441" s="9"/>
    </row>
    <row r="442" ht="14.25" customHeight="1">
      <c r="A442" s="10"/>
      <c r="B442" s="10"/>
      <c r="C442" s="10"/>
      <c r="D442" s="10"/>
      <c r="E442" s="10"/>
      <c r="F442" s="10"/>
      <c r="G442" s="10"/>
      <c r="H442" s="10"/>
      <c r="I442" s="9"/>
    </row>
    <row r="443" ht="14.25" customHeight="1">
      <c r="A443" s="10"/>
      <c r="B443" s="10"/>
      <c r="C443" s="10"/>
      <c r="D443" s="10"/>
      <c r="E443" s="10"/>
      <c r="F443" s="10"/>
      <c r="G443" s="10"/>
      <c r="H443" s="10"/>
      <c r="I443" s="9"/>
    </row>
    <row r="444" ht="14.25" customHeight="1">
      <c r="A444" s="10"/>
      <c r="B444" s="10"/>
      <c r="C444" s="10"/>
      <c r="D444" s="10"/>
      <c r="E444" s="10"/>
      <c r="F444" s="10"/>
      <c r="G444" s="10"/>
      <c r="H444" s="10"/>
      <c r="I444" s="9"/>
    </row>
    <row r="445" ht="14.25" customHeight="1">
      <c r="A445" s="10"/>
      <c r="B445" s="10"/>
      <c r="C445" s="10"/>
      <c r="D445" s="10"/>
      <c r="E445" s="10"/>
      <c r="F445" s="10"/>
      <c r="G445" s="10"/>
      <c r="H445" s="10"/>
      <c r="I445" s="9"/>
    </row>
    <row r="446" ht="14.25" customHeight="1">
      <c r="A446" s="10"/>
      <c r="B446" s="10"/>
      <c r="C446" s="10"/>
      <c r="D446" s="10"/>
      <c r="E446" s="10"/>
      <c r="F446" s="10"/>
      <c r="G446" s="10"/>
      <c r="H446" s="10"/>
      <c r="I446" s="9"/>
    </row>
    <row r="447" ht="14.25" customHeight="1">
      <c r="A447" s="10"/>
      <c r="B447" s="10"/>
      <c r="C447" s="10"/>
      <c r="D447" s="10"/>
      <c r="E447" s="10"/>
      <c r="F447" s="10"/>
      <c r="G447" s="10"/>
      <c r="H447" s="10"/>
      <c r="I447" s="9"/>
    </row>
    <row r="448" ht="14.25" customHeight="1">
      <c r="A448" s="10"/>
      <c r="B448" s="10"/>
      <c r="C448" s="10"/>
      <c r="D448" s="10"/>
      <c r="E448" s="10"/>
      <c r="F448" s="10"/>
      <c r="G448" s="10"/>
      <c r="H448" s="10"/>
      <c r="I448" s="9"/>
    </row>
    <row r="449" ht="14.25" customHeight="1">
      <c r="A449" s="10"/>
      <c r="B449" s="10"/>
      <c r="C449" s="10"/>
      <c r="D449" s="10"/>
      <c r="E449" s="10"/>
      <c r="F449" s="10"/>
      <c r="G449" s="10"/>
      <c r="H449" s="10"/>
      <c r="I449" s="9"/>
    </row>
    <row r="450" ht="14.25" customHeight="1">
      <c r="A450" s="10"/>
      <c r="B450" s="10"/>
      <c r="C450" s="10"/>
      <c r="D450" s="10"/>
      <c r="E450" s="10"/>
      <c r="F450" s="10"/>
      <c r="G450" s="10"/>
      <c r="H450" s="10"/>
      <c r="I450" s="9"/>
    </row>
    <row r="451" ht="14.25" customHeight="1">
      <c r="A451" s="10"/>
      <c r="B451" s="10"/>
      <c r="C451" s="10"/>
      <c r="D451" s="10"/>
      <c r="E451" s="10"/>
      <c r="F451" s="10"/>
      <c r="G451" s="10"/>
      <c r="H451" s="10"/>
      <c r="I451" s="9"/>
    </row>
    <row r="452" ht="14.25" customHeight="1">
      <c r="A452" s="10"/>
      <c r="B452" s="10"/>
      <c r="C452" s="10"/>
      <c r="D452" s="10"/>
      <c r="E452" s="10"/>
      <c r="F452" s="10"/>
      <c r="G452" s="10"/>
      <c r="H452" s="10"/>
      <c r="I452" s="9"/>
    </row>
    <row r="453" ht="14.25" customHeight="1">
      <c r="A453" s="10"/>
      <c r="B453" s="10"/>
      <c r="C453" s="10"/>
      <c r="D453" s="10"/>
      <c r="E453" s="10"/>
      <c r="F453" s="10"/>
      <c r="G453" s="10"/>
      <c r="H453" s="10"/>
      <c r="I453" s="9"/>
    </row>
    <row r="454" ht="14.25" customHeight="1">
      <c r="A454" s="10"/>
      <c r="B454" s="10"/>
      <c r="C454" s="10"/>
      <c r="D454" s="10"/>
      <c r="E454" s="10"/>
      <c r="F454" s="10"/>
      <c r="G454" s="10"/>
      <c r="H454" s="10"/>
      <c r="I454" s="9"/>
    </row>
    <row r="455" ht="14.25" customHeight="1">
      <c r="A455" s="10"/>
      <c r="B455" s="10"/>
      <c r="C455" s="10"/>
      <c r="D455" s="10"/>
      <c r="E455" s="10"/>
      <c r="F455" s="10"/>
      <c r="G455" s="10"/>
      <c r="H455" s="10"/>
      <c r="I455" s="9"/>
    </row>
    <row r="456" ht="14.25" customHeight="1">
      <c r="A456" s="10"/>
      <c r="B456" s="10"/>
      <c r="C456" s="10"/>
      <c r="D456" s="10"/>
      <c r="E456" s="10"/>
      <c r="F456" s="10"/>
      <c r="G456" s="10"/>
      <c r="H456" s="10"/>
      <c r="I456" s="9"/>
    </row>
    <row r="457" ht="14.25" customHeight="1">
      <c r="A457" s="10"/>
      <c r="B457" s="10"/>
      <c r="C457" s="10"/>
      <c r="D457" s="10"/>
      <c r="E457" s="10"/>
      <c r="F457" s="10"/>
      <c r="G457" s="10"/>
      <c r="H457" s="10"/>
      <c r="I457" s="9"/>
    </row>
    <row r="458" ht="14.25" customHeight="1">
      <c r="A458" s="10"/>
      <c r="B458" s="10"/>
      <c r="C458" s="10"/>
      <c r="D458" s="10"/>
      <c r="E458" s="10"/>
      <c r="F458" s="10"/>
      <c r="G458" s="10"/>
      <c r="H458" s="10"/>
      <c r="I458" s="9"/>
    </row>
    <row r="459" ht="14.25" customHeight="1">
      <c r="A459" s="10"/>
      <c r="B459" s="10"/>
      <c r="C459" s="10"/>
      <c r="D459" s="10"/>
      <c r="E459" s="10"/>
      <c r="F459" s="10"/>
      <c r="G459" s="10"/>
      <c r="H459" s="10"/>
      <c r="I459" s="9"/>
    </row>
    <row r="460" ht="14.25" customHeight="1">
      <c r="A460" s="10"/>
      <c r="B460" s="10"/>
      <c r="C460" s="10"/>
      <c r="D460" s="10"/>
      <c r="E460" s="10"/>
      <c r="F460" s="10"/>
      <c r="G460" s="10"/>
      <c r="H460" s="10"/>
      <c r="I460" s="9"/>
    </row>
    <row r="461" ht="14.25" customHeight="1">
      <c r="A461" s="10"/>
      <c r="B461" s="10"/>
      <c r="C461" s="10"/>
      <c r="D461" s="10"/>
      <c r="E461" s="10"/>
      <c r="F461" s="10"/>
      <c r="G461" s="10"/>
      <c r="H461" s="10"/>
      <c r="I461" s="9"/>
    </row>
    <row r="462" ht="14.25" customHeight="1">
      <c r="A462" s="10"/>
      <c r="B462" s="10"/>
      <c r="C462" s="10"/>
      <c r="D462" s="10"/>
      <c r="E462" s="10"/>
      <c r="F462" s="10"/>
      <c r="G462" s="10"/>
      <c r="H462" s="10"/>
      <c r="I462" s="9"/>
    </row>
    <row r="463" ht="14.25" customHeight="1">
      <c r="A463" s="10"/>
      <c r="B463" s="10"/>
      <c r="C463" s="10"/>
      <c r="D463" s="10"/>
      <c r="E463" s="10"/>
      <c r="F463" s="10"/>
      <c r="G463" s="10"/>
      <c r="H463" s="10"/>
      <c r="I463" s="9"/>
    </row>
    <row r="464" ht="14.25" customHeight="1">
      <c r="A464" s="10"/>
      <c r="B464" s="10"/>
      <c r="C464" s="10"/>
      <c r="D464" s="10"/>
      <c r="E464" s="10"/>
      <c r="F464" s="10"/>
      <c r="G464" s="10"/>
      <c r="H464" s="10"/>
      <c r="I464" s="9"/>
    </row>
    <row r="465" ht="14.25" customHeight="1">
      <c r="A465" s="10"/>
      <c r="B465" s="10"/>
      <c r="C465" s="10"/>
      <c r="D465" s="10"/>
      <c r="E465" s="10"/>
      <c r="F465" s="10"/>
      <c r="G465" s="10"/>
      <c r="H465" s="10"/>
      <c r="I465" s="9"/>
    </row>
    <row r="466" ht="14.25" customHeight="1">
      <c r="A466" s="10"/>
      <c r="B466" s="10"/>
      <c r="C466" s="10"/>
      <c r="D466" s="10"/>
      <c r="E466" s="10"/>
      <c r="F466" s="10"/>
      <c r="G466" s="10"/>
      <c r="H466" s="10"/>
      <c r="I466" s="9"/>
    </row>
    <row r="467" ht="14.25" customHeight="1">
      <c r="A467" s="10"/>
      <c r="B467" s="10"/>
      <c r="C467" s="10"/>
      <c r="D467" s="10"/>
      <c r="E467" s="10"/>
      <c r="F467" s="10"/>
      <c r="G467" s="10"/>
      <c r="H467" s="10"/>
      <c r="I467" s="9"/>
    </row>
    <row r="468" ht="14.25" customHeight="1">
      <c r="A468" s="10"/>
      <c r="B468" s="10"/>
      <c r="C468" s="10"/>
      <c r="D468" s="10"/>
      <c r="E468" s="10"/>
      <c r="F468" s="10"/>
      <c r="G468" s="10"/>
      <c r="H468" s="10"/>
      <c r="I468" s="9"/>
    </row>
    <row r="469" ht="14.25" customHeight="1">
      <c r="A469" s="10"/>
      <c r="B469" s="10"/>
      <c r="C469" s="10"/>
      <c r="D469" s="10"/>
      <c r="E469" s="10"/>
      <c r="F469" s="10"/>
      <c r="G469" s="10"/>
      <c r="H469" s="10"/>
      <c r="I469" s="9"/>
    </row>
    <row r="470" ht="14.25" customHeight="1">
      <c r="A470" s="10"/>
      <c r="B470" s="10"/>
      <c r="C470" s="10"/>
      <c r="D470" s="10"/>
      <c r="E470" s="10"/>
      <c r="F470" s="10"/>
      <c r="G470" s="10"/>
      <c r="H470" s="10"/>
      <c r="I470" s="9"/>
    </row>
    <row r="471" ht="14.25" customHeight="1">
      <c r="A471" s="10"/>
      <c r="B471" s="10"/>
      <c r="C471" s="10"/>
      <c r="D471" s="10"/>
      <c r="E471" s="10"/>
      <c r="F471" s="10"/>
      <c r="G471" s="10"/>
      <c r="H471" s="10"/>
      <c r="I471" s="9"/>
    </row>
    <row r="472" ht="14.25" customHeight="1">
      <c r="A472" s="10"/>
      <c r="B472" s="10"/>
      <c r="C472" s="10"/>
      <c r="D472" s="10"/>
      <c r="E472" s="10"/>
      <c r="F472" s="10"/>
      <c r="G472" s="10"/>
      <c r="H472" s="10"/>
      <c r="I472" s="9"/>
    </row>
    <row r="473" ht="14.25" customHeight="1">
      <c r="A473" s="10"/>
      <c r="B473" s="10"/>
      <c r="C473" s="10"/>
      <c r="D473" s="10"/>
      <c r="E473" s="10"/>
      <c r="F473" s="10"/>
      <c r="G473" s="10"/>
      <c r="H473" s="10"/>
      <c r="I473" s="9"/>
    </row>
    <row r="474" ht="14.25" customHeight="1">
      <c r="A474" s="10"/>
      <c r="B474" s="10"/>
      <c r="C474" s="10"/>
      <c r="D474" s="10"/>
      <c r="E474" s="10"/>
      <c r="F474" s="10"/>
      <c r="G474" s="10"/>
      <c r="H474" s="10"/>
      <c r="I474" s="9"/>
    </row>
    <row r="475" ht="14.25" customHeight="1">
      <c r="A475" s="10"/>
      <c r="B475" s="10"/>
      <c r="C475" s="10"/>
      <c r="D475" s="10"/>
      <c r="E475" s="10"/>
      <c r="F475" s="10"/>
      <c r="G475" s="10"/>
      <c r="H475" s="10"/>
      <c r="I475" s="9"/>
    </row>
    <row r="476" ht="14.25" customHeight="1">
      <c r="A476" s="10"/>
      <c r="B476" s="10"/>
      <c r="C476" s="10"/>
      <c r="D476" s="10"/>
      <c r="E476" s="10"/>
      <c r="F476" s="10"/>
      <c r="G476" s="10"/>
      <c r="H476" s="10"/>
      <c r="I476" s="9"/>
    </row>
    <row r="477" ht="14.25" customHeight="1">
      <c r="A477" s="10"/>
      <c r="B477" s="10"/>
      <c r="C477" s="10"/>
      <c r="D477" s="10"/>
      <c r="E477" s="10"/>
      <c r="F477" s="10"/>
      <c r="G477" s="10"/>
      <c r="H477" s="10"/>
      <c r="I477" s="9"/>
    </row>
    <row r="478" ht="14.25" customHeight="1">
      <c r="A478" s="10"/>
      <c r="B478" s="10"/>
      <c r="C478" s="10"/>
      <c r="D478" s="10"/>
      <c r="E478" s="10"/>
      <c r="F478" s="10"/>
      <c r="G478" s="10"/>
      <c r="H478" s="10"/>
      <c r="I478" s="9"/>
    </row>
    <row r="479" ht="14.25" customHeight="1">
      <c r="A479" s="10"/>
      <c r="B479" s="10"/>
      <c r="C479" s="10"/>
      <c r="D479" s="10"/>
      <c r="E479" s="10"/>
      <c r="F479" s="10"/>
      <c r="G479" s="10"/>
      <c r="H479" s="10"/>
      <c r="I479" s="9"/>
    </row>
    <row r="480" ht="14.25" customHeight="1">
      <c r="A480" s="10"/>
      <c r="B480" s="10"/>
      <c r="C480" s="10"/>
      <c r="D480" s="10"/>
      <c r="E480" s="10"/>
      <c r="F480" s="10"/>
      <c r="G480" s="10"/>
      <c r="H480" s="10"/>
      <c r="I480" s="9"/>
    </row>
    <row r="481" ht="14.25" customHeight="1">
      <c r="A481" s="10"/>
      <c r="B481" s="10"/>
      <c r="C481" s="10"/>
      <c r="D481" s="10"/>
      <c r="E481" s="10"/>
      <c r="F481" s="10"/>
      <c r="G481" s="10"/>
      <c r="H481" s="10"/>
      <c r="I481" s="9"/>
    </row>
    <row r="482" ht="14.25" customHeight="1">
      <c r="A482" s="10"/>
      <c r="B482" s="10"/>
      <c r="C482" s="10"/>
      <c r="D482" s="10"/>
      <c r="E482" s="10"/>
      <c r="F482" s="10"/>
      <c r="G482" s="10"/>
      <c r="H482" s="10"/>
      <c r="I482" s="9"/>
    </row>
    <row r="483" ht="14.25" customHeight="1">
      <c r="A483" s="10"/>
      <c r="B483" s="10"/>
      <c r="C483" s="10"/>
      <c r="D483" s="10"/>
      <c r="E483" s="10"/>
      <c r="F483" s="10"/>
      <c r="G483" s="10"/>
      <c r="H483" s="10"/>
      <c r="I483" s="9"/>
    </row>
    <row r="484" ht="14.25" customHeight="1">
      <c r="A484" s="10"/>
      <c r="B484" s="10"/>
      <c r="C484" s="10"/>
      <c r="D484" s="10"/>
      <c r="E484" s="10"/>
      <c r="F484" s="10"/>
      <c r="G484" s="10"/>
      <c r="H484" s="10"/>
      <c r="I484" s="9"/>
    </row>
    <row r="485" ht="14.25" customHeight="1">
      <c r="A485" s="10"/>
      <c r="B485" s="10"/>
      <c r="C485" s="10"/>
      <c r="D485" s="10"/>
      <c r="E485" s="10"/>
      <c r="F485" s="10"/>
      <c r="G485" s="10"/>
      <c r="H485" s="10"/>
      <c r="I485" s="9"/>
    </row>
    <row r="486" ht="14.25" customHeight="1">
      <c r="A486" s="10"/>
      <c r="B486" s="10"/>
      <c r="C486" s="10"/>
      <c r="D486" s="10"/>
      <c r="E486" s="10"/>
      <c r="F486" s="10"/>
      <c r="G486" s="10"/>
      <c r="H486" s="10"/>
      <c r="I486" s="9"/>
    </row>
    <row r="487" ht="14.25" customHeight="1">
      <c r="A487" s="10"/>
      <c r="B487" s="10"/>
      <c r="C487" s="10"/>
      <c r="D487" s="10"/>
      <c r="E487" s="10"/>
      <c r="F487" s="10"/>
      <c r="G487" s="10"/>
      <c r="H487" s="10"/>
      <c r="I487" s="9"/>
    </row>
    <row r="488" ht="14.25" customHeight="1">
      <c r="A488" s="10"/>
      <c r="B488" s="10"/>
      <c r="C488" s="10"/>
      <c r="D488" s="10"/>
      <c r="E488" s="10"/>
      <c r="F488" s="10"/>
      <c r="G488" s="10"/>
      <c r="H488" s="10"/>
      <c r="I488" s="9"/>
    </row>
    <row r="489" ht="14.25" customHeight="1">
      <c r="A489" s="10"/>
      <c r="B489" s="10"/>
      <c r="C489" s="10"/>
      <c r="D489" s="10"/>
      <c r="E489" s="10"/>
      <c r="F489" s="10"/>
      <c r="G489" s="10"/>
      <c r="H489" s="10"/>
      <c r="I489" s="9"/>
    </row>
    <row r="490" ht="14.25" customHeight="1">
      <c r="A490" s="10"/>
      <c r="B490" s="10"/>
      <c r="C490" s="10"/>
      <c r="D490" s="10"/>
      <c r="E490" s="10"/>
      <c r="F490" s="10"/>
      <c r="G490" s="10"/>
      <c r="H490" s="10"/>
      <c r="I490" s="9"/>
    </row>
    <row r="491" ht="14.25" customHeight="1">
      <c r="A491" s="10"/>
      <c r="B491" s="10"/>
      <c r="C491" s="10"/>
      <c r="D491" s="10"/>
      <c r="E491" s="10"/>
      <c r="F491" s="10"/>
      <c r="G491" s="10"/>
      <c r="H491" s="10"/>
      <c r="I491" s="9"/>
    </row>
    <row r="492" ht="14.25" customHeight="1">
      <c r="A492" s="10"/>
      <c r="B492" s="10"/>
      <c r="C492" s="10"/>
      <c r="D492" s="10"/>
      <c r="E492" s="10"/>
      <c r="F492" s="10"/>
      <c r="G492" s="10"/>
      <c r="H492" s="10"/>
      <c r="I492" s="9"/>
    </row>
    <row r="493" ht="14.25" customHeight="1">
      <c r="A493" s="10"/>
      <c r="B493" s="10"/>
      <c r="C493" s="10"/>
      <c r="D493" s="10"/>
      <c r="E493" s="10"/>
      <c r="F493" s="10"/>
      <c r="G493" s="10"/>
      <c r="H493" s="10"/>
      <c r="I493" s="9"/>
    </row>
    <row r="494" ht="14.25" customHeight="1">
      <c r="A494" s="10"/>
      <c r="B494" s="10"/>
      <c r="C494" s="10"/>
      <c r="D494" s="10"/>
      <c r="E494" s="10"/>
      <c r="F494" s="10"/>
      <c r="G494" s="10"/>
      <c r="H494" s="10"/>
      <c r="I494" s="9"/>
    </row>
    <row r="495" ht="14.25" customHeight="1">
      <c r="A495" s="10"/>
      <c r="B495" s="10"/>
      <c r="C495" s="10"/>
      <c r="D495" s="10"/>
      <c r="E495" s="10"/>
      <c r="F495" s="10"/>
      <c r="G495" s="10"/>
      <c r="H495" s="10"/>
      <c r="I495" s="9"/>
    </row>
    <row r="496" ht="14.25" customHeight="1">
      <c r="A496" s="10"/>
      <c r="B496" s="10"/>
      <c r="C496" s="10"/>
      <c r="D496" s="10"/>
      <c r="E496" s="10"/>
      <c r="F496" s="10"/>
      <c r="G496" s="10"/>
      <c r="H496" s="10"/>
      <c r="I496" s="9"/>
    </row>
    <row r="497" ht="14.25" customHeight="1">
      <c r="A497" s="10"/>
      <c r="B497" s="10"/>
      <c r="C497" s="10"/>
      <c r="D497" s="10"/>
      <c r="E497" s="10"/>
      <c r="F497" s="10"/>
      <c r="G497" s="10"/>
      <c r="H497" s="10"/>
      <c r="I497" s="9"/>
    </row>
    <row r="498" ht="14.25" customHeight="1">
      <c r="A498" s="10"/>
      <c r="B498" s="10"/>
      <c r="C498" s="10"/>
      <c r="D498" s="10"/>
      <c r="E498" s="10"/>
      <c r="F498" s="10"/>
      <c r="G498" s="10"/>
      <c r="H498" s="10"/>
      <c r="I498" s="9"/>
    </row>
    <row r="499" ht="14.25" customHeight="1">
      <c r="A499" s="10"/>
      <c r="B499" s="10"/>
      <c r="C499" s="10"/>
      <c r="D499" s="10"/>
      <c r="E499" s="10"/>
      <c r="F499" s="10"/>
      <c r="G499" s="10"/>
      <c r="H499" s="10"/>
      <c r="I499" s="9"/>
    </row>
    <row r="500" ht="14.25" customHeight="1">
      <c r="A500" s="10"/>
      <c r="B500" s="10"/>
      <c r="C500" s="10"/>
      <c r="D500" s="10"/>
      <c r="E500" s="10"/>
      <c r="F500" s="10"/>
      <c r="G500" s="10"/>
      <c r="H500" s="10"/>
      <c r="I500" s="9"/>
    </row>
    <row r="501" ht="14.25" customHeight="1">
      <c r="A501" s="10"/>
      <c r="B501" s="10"/>
      <c r="C501" s="10"/>
      <c r="D501" s="10"/>
      <c r="E501" s="10"/>
      <c r="F501" s="10"/>
      <c r="G501" s="10"/>
      <c r="H501" s="10"/>
      <c r="I501" s="9"/>
    </row>
    <row r="502" ht="14.25" customHeight="1">
      <c r="A502" s="10"/>
      <c r="B502" s="10"/>
      <c r="C502" s="10"/>
      <c r="D502" s="10"/>
      <c r="E502" s="10"/>
      <c r="F502" s="10"/>
      <c r="G502" s="10"/>
      <c r="H502" s="10"/>
      <c r="I502" s="9"/>
    </row>
    <row r="503" ht="14.25" customHeight="1">
      <c r="A503" s="10"/>
      <c r="B503" s="10"/>
      <c r="C503" s="10"/>
      <c r="D503" s="10"/>
      <c r="E503" s="10"/>
      <c r="F503" s="10"/>
      <c r="G503" s="10"/>
      <c r="H503" s="10"/>
      <c r="I503" s="9"/>
    </row>
    <row r="504" ht="14.25" customHeight="1">
      <c r="A504" s="10"/>
      <c r="B504" s="10"/>
      <c r="C504" s="10"/>
      <c r="D504" s="10"/>
      <c r="E504" s="10"/>
      <c r="F504" s="10"/>
      <c r="G504" s="10"/>
      <c r="H504" s="10"/>
      <c r="I504" s="9"/>
    </row>
    <row r="505" ht="14.25" customHeight="1">
      <c r="A505" s="10"/>
      <c r="B505" s="10"/>
      <c r="C505" s="10"/>
      <c r="D505" s="10"/>
      <c r="E505" s="10"/>
      <c r="F505" s="10"/>
      <c r="G505" s="10"/>
      <c r="H505" s="10"/>
      <c r="I505" s="9"/>
    </row>
    <row r="506" ht="14.25" customHeight="1">
      <c r="A506" s="10"/>
      <c r="B506" s="10"/>
      <c r="C506" s="10"/>
      <c r="D506" s="10"/>
      <c r="E506" s="10"/>
      <c r="F506" s="10"/>
      <c r="G506" s="10"/>
      <c r="H506" s="10"/>
      <c r="I506" s="9"/>
    </row>
    <row r="507" ht="14.25" customHeight="1">
      <c r="A507" s="10"/>
      <c r="B507" s="10"/>
      <c r="C507" s="10"/>
      <c r="D507" s="10"/>
      <c r="E507" s="10"/>
      <c r="F507" s="10"/>
      <c r="G507" s="10"/>
      <c r="H507" s="10"/>
      <c r="I507" s="9"/>
    </row>
    <row r="508" ht="14.25" customHeight="1">
      <c r="A508" s="10"/>
      <c r="B508" s="10"/>
      <c r="C508" s="10"/>
      <c r="D508" s="10"/>
      <c r="E508" s="10"/>
      <c r="F508" s="10"/>
      <c r="G508" s="10"/>
      <c r="H508" s="10"/>
      <c r="I508" s="9"/>
    </row>
    <row r="509" ht="14.25" customHeight="1">
      <c r="A509" s="10"/>
      <c r="B509" s="10"/>
      <c r="C509" s="10"/>
      <c r="D509" s="10"/>
      <c r="E509" s="10"/>
      <c r="F509" s="10"/>
      <c r="G509" s="10"/>
      <c r="H509" s="10"/>
      <c r="I509" s="9"/>
    </row>
    <row r="510" ht="14.25" customHeight="1">
      <c r="A510" s="10"/>
      <c r="B510" s="10"/>
      <c r="C510" s="10"/>
      <c r="D510" s="10"/>
      <c r="E510" s="10"/>
      <c r="F510" s="10"/>
      <c r="G510" s="10"/>
      <c r="H510" s="10"/>
      <c r="I510" s="9"/>
    </row>
    <row r="511" ht="14.25" customHeight="1">
      <c r="A511" s="10"/>
      <c r="B511" s="10"/>
      <c r="C511" s="10"/>
      <c r="D511" s="10"/>
      <c r="E511" s="10"/>
      <c r="F511" s="10"/>
      <c r="G511" s="10"/>
      <c r="H511" s="10"/>
      <c r="I511" s="9"/>
    </row>
    <row r="512" ht="14.25" customHeight="1">
      <c r="A512" s="10"/>
      <c r="B512" s="10"/>
      <c r="C512" s="10"/>
      <c r="D512" s="10"/>
      <c r="E512" s="10"/>
      <c r="F512" s="10"/>
      <c r="G512" s="10"/>
      <c r="H512" s="10"/>
      <c r="I512" s="9"/>
    </row>
    <row r="513" ht="14.25" customHeight="1">
      <c r="A513" s="10"/>
      <c r="B513" s="10"/>
      <c r="C513" s="10"/>
      <c r="D513" s="10"/>
      <c r="E513" s="10"/>
      <c r="F513" s="10"/>
      <c r="G513" s="10"/>
      <c r="H513" s="10"/>
      <c r="I513" s="9"/>
    </row>
    <row r="514" ht="14.25" customHeight="1">
      <c r="A514" s="10"/>
      <c r="B514" s="10"/>
      <c r="C514" s="10"/>
      <c r="D514" s="10"/>
      <c r="E514" s="10"/>
      <c r="F514" s="10"/>
      <c r="G514" s="10"/>
      <c r="H514" s="10"/>
      <c r="I514" s="9"/>
    </row>
    <row r="515" ht="14.25" customHeight="1">
      <c r="A515" s="10"/>
      <c r="B515" s="10"/>
      <c r="C515" s="10"/>
      <c r="D515" s="10"/>
      <c r="E515" s="10"/>
      <c r="F515" s="10"/>
      <c r="G515" s="10"/>
      <c r="H515" s="10"/>
      <c r="I515" s="9"/>
    </row>
    <row r="516" ht="14.25" customHeight="1">
      <c r="A516" s="10"/>
      <c r="B516" s="10"/>
      <c r="C516" s="10"/>
      <c r="D516" s="10"/>
      <c r="E516" s="10"/>
      <c r="F516" s="10"/>
      <c r="G516" s="10"/>
      <c r="H516" s="10"/>
      <c r="I516" s="9"/>
    </row>
    <row r="517" ht="14.25" customHeight="1">
      <c r="A517" s="10"/>
      <c r="B517" s="10"/>
      <c r="C517" s="10"/>
      <c r="D517" s="10"/>
      <c r="E517" s="10"/>
      <c r="F517" s="10"/>
      <c r="G517" s="10"/>
      <c r="H517" s="10"/>
      <c r="I517" s="9"/>
    </row>
    <row r="518" ht="14.25" customHeight="1">
      <c r="A518" s="10"/>
      <c r="B518" s="10"/>
      <c r="C518" s="10"/>
      <c r="D518" s="10"/>
      <c r="E518" s="10"/>
      <c r="F518" s="10"/>
      <c r="G518" s="10"/>
      <c r="H518" s="10"/>
      <c r="I518" s="9"/>
    </row>
    <row r="519" ht="14.25" customHeight="1">
      <c r="A519" s="10"/>
      <c r="B519" s="10"/>
      <c r="C519" s="10"/>
      <c r="D519" s="10"/>
      <c r="E519" s="10"/>
      <c r="F519" s="10"/>
      <c r="G519" s="10"/>
      <c r="H519" s="10"/>
      <c r="I519" s="9"/>
    </row>
    <row r="520" ht="14.25" customHeight="1">
      <c r="A520" s="10"/>
      <c r="B520" s="10"/>
      <c r="C520" s="10"/>
      <c r="D520" s="10"/>
      <c r="E520" s="10"/>
      <c r="F520" s="10"/>
      <c r="G520" s="10"/>
      <c r="H520" s="10"/>
      <c r="I520" s="9"/>
    </row>
    <row r="521" ht="14.25" customHeight="1">
      <c r="A521" s="10"/>
      <c r="B521" s="10"/>
      <c r="C521" s="10"/>
      <c r="D521" s="10"/>
      <c r="E521" s="10"/>
      <c r="F521" s="10"/>
      <c r="G521" s="10"/>
      <c r="H521" s="10"/>
      <c r="I521" s="9"/>
    </row>
    <row r="522" ht="14.25" customHeight="1">
      <c r="A522" s="10"/>
      <c r="B522" s="10"/>
      <c r="C522" s="10"/>
      <c r="D522" s="10"/>
      <c r="E522" s="10"/>
      <c r="F522" s="10"/>
      <c r="G522" s="10"/>
      <c r="H522" s="10"/>
      <c r="I522" s="9"/>
    </row>
    <row r="523" ht="14.25" customHeight="1">
      <c r="A523" s="10"/>
      <c r="B523" s="10"/>
      <c r="C523" s="10"/>
      <c r="D523" s="10"/>
      <c r="E523" s="10"/>
      <c r="F523" s="10"/>
      <c r="G523" s="10"/>
      <c r="H523" s="10"/>
      <c r="I523" s="9"/>
    </row>
    <row r="524" ht="14.25" customHeight="1">
      <c r="A524" s="10"/>
      <c r="B524" s="10"/>
      <c r="C524" s="10"/>
      <c r="D524" s="10"/>
      <c r="E524" s="10"/>
      <c r="F524" s="10"/>
      <c r="G524" s="10"/>
      <c r="H524" s="10"/>
      <c r="I524" s="9"/>
    </row>
    <row r="525" ht="14.25" customHeight="1">
      <c r="A525" s="10"/>
      <c r="B525" s="10"/>
      <c r="C525" s="10"/>
      <c r="D525" s="10"/>
      <c r="E525" s="10"/>
      <c r="F525" s="10"/>
      <c r="G525" s="10"/>
      <c r="H525" s="10"/>
      <c r="I525" s="9"/>
    </row>
    <row r="526" ht="14.25" customHeight="1">
      <c r="A526" s="10"/>
      <c r="B526" s="10"/>
      <c r="C526" s="10"/>
      <c r="D526" s="10"/>
      <c r="E526" s="10"/>
      <c r="F526" s="10"/>
      <c r="G526" s="10"/>
      <c r="H526" s="10"/>
      <c r="I526" s="9"/>
    </row>
    <row r="527" ht="14.25" customHeight="1">
      <c r="A527" s="10"/>
      <c r="B527" s="10"/>
      <c r="C527" s="10"/>
      <c r="D527" s="10"/>
      <c r="E527" s="10"/>
      <c r="F527" s="10"/>
      <c r="G527" s="10"/>
      <c r="H527" s="10"/>
      <c r="I527" s="9"/>
    </row>
    <row r="528" ht="14.25" customHeight="1">
      <c r="A528" s="10"/>
      <c r="B528" s="10"/>
      <c r="C528" s="10"/>
      <c r="D528" s="10"/>
      <c r="E528" s="10"/>
      <c r="F528" s="10"/>
      <c r="G528" s="10"/>
      <c r="H528" s="10"/>
      <c r="I528" s="9"/>
    </row>
    <row r="529" ht="14.25" customHeight="1">
      <c r="A529" s="10"/>
      <c r="B529" s="10"/>
      <c r="C529" s="10"/>
      <c r="D529" s="10"/>
      <c r="E529" s="10"/>
      <c r="F529" s="10"/>
      <c r="G529" s="10"/>
      <c r="H529" s="10"/>
      <c r="I529" s="9"/>
    </row>
    <row r="530" ht="14.25" customHeight="1">
      <c r="A530" s="10"/>
      <c r="B530" s="10"/>
      <c r="C530" s="10"/>
      <c r="D530" s="10"/>
      <c r="E530" s="10"/>
      <c r="F530" s="10"/>
      <c r="G530" s="10"/>
      <c r="H530" s="10"/>
      <c r="I530" s="9"/>
    </row>
    <row r="531" ht="14.25" customHeight="1">
      <c r="A531" s="10"/>
      <c r="B531" s="10"/>
      <c r="C531" s="10"/>
      <c r="D531" s="10"/>
      <c r="E531" s="10"/>
      <c r="F531" s="10"/>
      <c r="G531" s="10"/>
      <c r="H531" s="10"/>
      <c r="I531" s="9"/>
    </row>
    <row r="532" ht="14.25" customHeight="1">
      <c r="A532" s="10"/>
      <c r="B532" s="10"/>
      <c r="C532" s="10"/>
      <c r="D532" s="10"/>
      <c r="E532" s="10"/>
      <c r="F532" s="10"/>
      <c r="G532" s="10"/>
      <c r="H532" s="10"/>
      <c r="I532" s="9"/>
    </row>
    <row r="533" ht="14.25" customHeight="1">
      <c r="A533" s="10"/>
      <c r="B533" s="10"/>
      <c r="C533" s="10"/>
      <c r="D533" s="10"/>
      <c r="E533" s="10"/>
      <c r="F533" s="10"/>
      <c r="G533" s="10"/>
      <c r="H533" s="10"/>
      <c r="I533" s="9"/>
    </row>
    <row r="534" ht="14.25" customHeight="1">
      <c r="A534" s="10"/>
      <c r="B534" s="10"/>
      <c r="C534" s="10"/>
      <c r="D534" s="10"/>
      <c r="E534" s="10"/>
      <c r="F534" s="10"/>
      <c r="G534" s="10"/>
      <c r="H534" s="10"/>
      <c r="I534" s="9"/>
    </row>
    <row r="535" ht="14.25" customHeight="1">
      <c r="A535" s="10"/>
      <c r="B535" s="10"/>
      <c r="C535" s="10"/>
      <c r="D535" s="10"/>
      <c r="E535" s="10"/>
      <c r="F535" s="10"/>
      <c r="G535" s="10"/>
      <c r="H535" s="10"/>
      <c r="I535" s="9"/>
    </row>
    <row r="536" ht="14.25" customHeight="1">
      <c r="A536" s="10"/>
      <c r="B536" s="10"/>
      <c r="C536" s="10"/>
      <c r="D536" s="10"/>
      <c r="E536" s="10"/>
      <c r="F536" s="10"/>
      <c r="G536" s="10"/>
      <c r="H536" s="10"/>
      <c r="I536" s="9"/>
    </row>
    <row r="537" ht="14.25" customHeight="1">
      <c r="A537" s="10"/>
      <c r="B537" s="10"/>
      <c r="C537" s="10"/>
      <c r="D537" s="10"/>
      <c r="E537" s="10"/>
      <c r="F537" s="10"/>
      <c r="G537" s="10"/>
      <c r="H537" s="10"/>
      <c r="I537" s="9"/>
    </row>
    <row r="538" ht="14.25" customHeight="1">
      <c r="A538" s="10"/>
      <c r="B538" s="10"/>
      <c r="C538" s="10"/>
      <c r="D538" s="10"/>
      <c r="E538" s="10"/>
      <c r="F538" s="10"/>
      <c r="G538" s="10"/>
      <c r="H538" s="10"/>
      <c r="I538" s="9"/>
    </row>
    <row r="539" ht="14.25" customHeight="1">
      <c r="A539" s="10"/>
      <c r="B539" s="10"/>
      <c r="C539" s="10"/>
      <c r="D539" s="10"/>
      <c r="E539" s="10"/>
      <c r="F539" s="10"/>
      <c r="G539" s="10"/>
      <c r="H539" s="10"/>
      <c r="I539" s="9"/>
    </row>
    <row r="540" ht="14.25" customHeight="1">
      <c r="A540" s="10"/>
      <c r="B540" s="10"/>
      <c r="C540" s="10"/>
      <c r="D540" s="10"/>
      <c r="E540" s="10"/>
      <c r="F540" s="10"/>
      <c r="G540" s="10"/>
      <c r="H540" s="10"/>
      <c r="I540" s="9"/>
    </row>
    <row r="541" ht="14.25" customHeight="1">
      <c r="A541" s="10"/>
      <c r="B541" s="10"/>
      <c r="C541" s="10"/>
      <c r="D541" s="10"/>
      <c r="E541" s="10"/>
      <c r="F541" s="10"/>
      <c r="G541" s="10"/>
      <c r="H541" s="10"/>
      <c r="I541" s="9"/>
    </row>
    <row r="542" ht="14.25" customHeight="1">
      <c r="A542" s="10"/>
      <c r="B542" s="10"/>
      <c r="C542" s="10"/>
      <c r="D542" s="10"/>
      <c r="E542" s="10"/>
      <c r="F542" s="10"/>
      <c r="G542" s="10"/>
      <c r="H542" s="10"/>
      <c r="I542" s="9"/>
    </row>
    <row r="543" ht="14.25" customHeight="1">
      <c r="A543" s="10"/>
      <c r="B543" s="10"/>
      <c r="C543" s="10"/>
      <c r="D543" s="10"/>
      <c r="E543" s="10"/>
      <c r="F543" s="10"/>
      <c r="G543" s="10"/>
      <c r="H543" s="10"/>
      <c r="I543" s="9"/>
    </row>
    <row r="544" ht="14.25" customHeight="1">
      <c r="A544" s="10"/>
      <c r="B544" s="10"/>
      <c r="C544" s="10"/>
      <c r="D544" s="10"/>
      <c r="E544" s="10"/>
      <c r="F544" s="10"/>
      <c r="G544" s="10"/>
      <c r="H544" s="10"/>
      <c r="I544" s="9"/>
    </row>
    <row r="545" ht="14.25" customHeight="1">
      <c r="A545" s="10"/>
      <c r="B545" s="10"/>
      <c r="C545" s="10"/>
      <c r="D545" s="10"/>
      <c r="E545" s="10"/>
      <c r="F545" s="10"/>
      <c r="G545" s="10"/>
      <c r="H545" s="10"/>
      <c r="I545" s="9"/>
    </row>
    <row r="546" ht="14.25" customHeight="1">
      <c r="A546" s="10"/>
      <c r="B546" s="10"/>
      <c r="C546" s="10"/>
      <c r="D546" s="10"/>
      <c r="E546" s="10"/>
      <c r="F546" s="10"/>
      <c r="G546" s="10"/>
      <c r="H546" s="10"/>
      <c r="I546" s="9"/>
    </row>
    <row r="547" ht="14.25" customHeight="1">
      <c r="A547" s="10"/>
      <c r="B547" s="10"/>
      <c r="C547" s="10"/>
      <c r="D547" s="10"/>
      <c r="E547" s="10"/>
      <c r="F547" s="10"/>
      <c r="G547" s="10"/>
      <c r="H547" s="10"/>
      <c r="I547" s="9"/>
    </row>
    <row r="548" ht="14.25" customHeight="1">
      <c r="A548" s="10"/>
      <c r="B548" s="10"/>
      <c r="C548" s="10"/>
      <c r="D548" s="10"/>
      <c r="E548" s="10"/>
      <c r="F548" s="10"/>
      <c r="G548" s="10"/>
      <c r="H548" s="10"/>
      <c r="I548" s="9"/>
    </row>
    <row r="549" ht="14.25" customHeight="1">
      <c r="A549" s="10"/>
      <c r="B549" s="10"/>
      <c r="C549" s="10"/>
      <c r="D549" s="10"/>
      <c r="E549" s="10"/>
      <c r="F549" s="10"/>
      <c r="G549" s="10"/>
      <c r="H549" s="10"/>
      <c r="I549" s="9"/>
    </row>
    <row r="550" ht="14.25" customHeight="1">
      <c r="A550" s="10"/>
      <c r="B550" s="10"/>
      <c r="C550" s="10"/>
      <c r="D550" s="10"/>
      <c r="E550" s="10"/>
      <c r="F550" s="10"/>
      <c r="G550" s="10"/>
      <c r="H550" s="10"/>
      <c r="I550" s="9"/>
    </row>
    <row r="551" ht="14.25" customHeight="1">
      <c r="A551" s="10"/>
      <c r="B551" s="10"/>
      <c r="C551" s="10"/>
      <c r="D551" s="10"/>
      <c r="E551" s="10"/>
      <c r="F551" s="10"/>
      <c r="G551" s="10"/>
      <c r="H551" s="10"/>
      <c r="I551" s="9"/>
    </row>
    <row r="552" ht="14.25" customHeight="1">
      <c r="A552" s="10"/>
      <c r="B552" s="10"/>
      <c r="C552" s="10"/>
      <c r="D552" s="10"/>
      <c r="E552" s="10"/>
      <c r="F552" s="10"/>
      <c r="G552" s="10"/>
      <c r="H552" s="10"/>
      <c r="I552" s="9"/>
    </row>
    <row r="553" ht="14.25" customHeight="1">
      <c r="A553" s="10"/>
      <c r="B553" s="10"/>
      <c r="C553" s="10"/>
      <c r="D553" s="10"/>
      <c r="E553" s="10"/>
      <c r="F553" s="10"/>
      <c r="G553" s="10"/>
      <c r="H553" s="10"/>
      <c r="I553" s="9"/>
    </row>
    <row r="554" ht="14.25" customHeight="1">
      <c r="A554" s="10"/>
      <c r="B554" s="10"/>
      <c r="C554" s="10"/>
      <c r="D554" s="10"/>
      <c r="E554" s="10"/>
      <c r="F554" s="10"/>
      <c r="G554" s="10"/>
      <c r="H554" s="10"/>
      <c r="I554" s="9"/>
    </row>
    <row r="555" ht="14.25" customHeight="1">
      <c r="A555" s="10"/>
      <c r="B555" s="10"/>
      <c r="C555" s="10"/>
      <c r="D555" s="10"/>
      <c r="E555" s="10"/>
      <c r="F555" s="10"/>
      <c r="G555" s="10"/>
      <c r="H555" s="10"/>
      <c r="I555" s="9"/>
    </row>
    <row r="556" ht="14.25" customHeight="1">
      <c r="A556" s="10"/>
      <c r="B556" s="10"/>
      <c r="C556" s="10"/>
      <c r="D556" s="10"/>
      <c r="E556" s="10"/>
      <c r="F556" s="10"/>
      <c r="G556" s="10"/>
      <c r="H556" s="10"/>
      <c r="I556" s="9"/>
    </row>
    <row r="557" ht="14.25" customHeight="1">
      <c r="A557" s="10"/>
      <c r="B557" s="10"/>
      <c r="C557" s="10"/>
      <c r="D557" s="10"/>
      <c r="E557" s="10"/>
      <c r="F557" s="10"/>
      <c r="G557" s="10"/>
      <c r="H557" s="10"/>
      <c r="I557" s="9"/>
    </row>
    <row r="558" ht="14.25" customHeight="1">
      <c r="A558" s="10"/>
      <c r="B558" s="10"/>
      <c r="C558" s="10"/>
      <c r="D558" s="10"/>
      <c r="E558" s="10"/>
      <c r="F558" s="10"/>
      <c r="G558" s="10"/>
      <c r="H558" s="10"/>
      <c r="I558" s="9"/>
    </row>
    <row r="559" ht="14.25" customHeight="1">
      <c r="A559" s="10"/>
      <c r="B559" s="10"/>
      <c r="C559" s="10"/>
      <c r="D559" s="10"/>
      <c r="E559" s="10"/>
      <c r="F559" s="10"/>
      <c r="G559" s="10"/>
      <c r="H559" s="10"/>
      <c r="I559" s="9"/>
    </row>
    <row r="560" ht="14.25" customHeight="1">
      <c r="A560" s="10"/>
      <c r="B560" s="10"/>
      <c r="C560" s="10"/>
      <c r="D560" s="10"/>
      <c r="E560" s="10"/>
      <c r="F560" s="10"/>
      <c r="G560" s="10"/>
      <c r="H560" s="10"/>
      <c r="I560" s="9"/>
    </row>
    <row r="561" ht="14.25" customHeight="1">
      <c r="A561" s="10"/>
      <c r="B561" s="10"/>
      <c r="C561" s="10"/>
      <c r="D561" s="10"/>
      <c r="E561" s="10"/>
      <c r="F561" s="10"/>
      <c r="G561" s="10"/>
      <c r="H561" s="10"/>
      <c r="I561" s="9"/>
    </row>
    <row r="562" ht="14.25" customHeight="1">
      <c r="A562" s="10"/>
      <c r="B562" s="10"/>
      <c r="C562" s="10"/>
      <c r="D562" s="10"/>
      <c r="E562" s="10"/>
      <c r="F562" s="10"/>
      <c r="G562" s="10"/>
      <c r="H562" s="10"/>
      <c r="I562" s="9"/>
    </row>
    <row r="563" ht="14.25" customHeight="1">
      <c r="A563" s="10"/>
      <c r="B563" s="10"/>
      <c r="C563" s="10"/>
      <c r="D563" s="10"/>
      <c r="E563" s="10"/>
      <c r="F563" s="10"/>
      <c r="G563" s="10"/>
      <c r="H563" s="10"/>
      <c r="I563" s="9"/>
    </row>
    <row r="564" ht="14.25" customHeight="1">
      <c r="A564" s="10"/>
      <c r="B564" s="10"/>
      <c r="C564" s="10"/>
      <c r="D564" s="10"/>
      <c r="E564" s="10"/>
      <c r="F564" s="10"/>
      <c r="G564" s="10"/>
      <c r="H564" s="10"/>
      <c r="I564" s="9"/>
    </row>
    <row r="565" ht="14.25" customHeight="1">
      <c r="A565" s="10"/>
      <c r="B565" s="10"/>
      <c r="C565" s="10"/>
      <c r="D565" s="10"/>
      <c r="E565" s="10"/>
      <c r="F565" s="10"/>
      <c r="G565" s="10"/>
      <c r="H565" s="10"/>
      <c r="I565" s="9"/>
    </row>
    <row r="566" ht="14.25" customHeight="1">
      <c r="A566" s="10"/>
      <c r="B566" s="10"/>
      <c r="C566" s="10"/>
      <c r="D566" s="10"/>
      <c r="E566" s="10"/>
      <c r="F566" s="10"/>
      <c r="G566" s="10"/>
      <c r="H566" s="10"/>
      <c r="I566" s="9"/>
    </row>
    <row r="567" ht="14.25" customHeight="1">
      <c r="A567" s="10"/>
      <c r="B567" s="10"/>
      <c r="C567" s="10"/>
      <c r="D567" s="10"/>
      <c r="E567" s="10"/>
      <c r="F567" s="10"/>
      <c r="G567" s="10"/>
      <c r="H567" s="10"/>
      <c r="I567" s="9"/>
    </row>
    <row r="568" ht="14.25" customHeight="1">
      <c r="A568" s="10"/>
      <c r="B568" s="10"/>
      <c r="C568" s="10"/>
      <c r="D568" s="10"/>
      <c r="E568" s="10"/>
      <c r="F568" s="10"/>
      <c r="G568" s="10"/>
      <c r="H568" s="10"/>
      <c r="I568" s="9"/>
    </row>
    <row r="569" ht="14.25" customHeight="1">
      <c r="A569" s="10"/>
      <c r="B569" s="10"/>
      <c r="C569" s="10"/>
      <c r="D569" s="10"/>
      <c r="E569" s="10"/>
      <c r="F569" s="10"/>
      <c r="G569" s="10"/>
      <c r="H569" s="10"/>
      <c r="I569" s="9"/>
    </row>
    <row r="570" ht="14.25" customHeight="1">
      <c r="A570" s="10"/>
      <c r="B570" s="10"/>
      <c r="C570" s="10"/>
      <c r="D570" s="10"/>
      <c r="E570" s="10"/>
      <c r="F570" s="10"/>
      <c r="G570" s="10"/>
      <c r="H570" s="10"/>
      <c r="I570" s="9"/>
    </row>
    <row r="571" ht="14.25" customHeight="1">
      <c r="A571" s="10"/>
      <c r="B571" s="10"/>
      <c r="C571" s="10"/>
      <c r="D571" s="10"/>
      <c r="E571" s="10"/>
      <c r="F571" s="10"/>
      <c r="G571" s="10"/>
      <c r="H571" s="10"/>
      <c r="I571" s="9"/>
    </row>
    <row r="572" ht="14.25" customHeight="1">
      <c r="A572" s="10"/>
      <c r="B572" s="10"/>
      <c r="C572" s="10"/>
      <c r="D572" s="10"/>
      <c r="E572" s="10"/>
      <c r="F572" s="10"/>
      <c r="G572" s="10"/>
      <c r="H572" s="10"/>
      <c r="I572" s="9"/>
    </row>
    <row r="573" ht="14.25" customHeight="1">
      <c r="A573" s="10"/>
      <c r="B573" s="10"/>
      <c r="C573" s="10"/>
      <c r="D573" s="10"/>
      <c r="E573" s="10"/>
      <c r="F573" s="10"/>
      <c r="G573" s="10"/>
      <c r="H573" s="10"/>
      <c r="I573" s="9"/>
    </row>
    <row r="574" ht="14.25" customHeight="1">
      <c r="A574" s="10"/>
      <c r="B574" s="10"/>
      <c r="C574" s="10"/>
      <c r="D574" s="10"/>
      <c r="E574" s="10"/>
      <c r="F574" s="10"/>
      <c r="G574" s="10"/>
      <c r="H574" s="10"/>
      <c r="I574" s="9"/>
    </row>
    <row r="575" ht="14.25" customHeight="1">
      <c r="A575" s="10"/>
      <c r="B575" s="10"/>
      <c r="C575" s="10"/>
      <c r="D575" s="10"/>
      <c r="E575" s="10"/>
      <c r="F575" s="10"/>
      <c r="G575" s="10"/>
      <c r="H575" s="10"/>
      <c r="I575" s="9"/>
    </row>
    <row r="576" ht="14.25" customHeight="1">
      <c r="A576" s="10"/>
      <c r="B576" s="10"/>
      <c r="C576" s="10"/>
      <c r="D576" s="10"/>
      <c r="E576" s="10"/>
      <c r="F576" s="10"/>
      <c r="G576" s="10"/>
      <c r="H576" s="10"/>
      <c r="I576" s="9"/>
    </row>
    <row r="577" ht="14.25" customHeight="1">
      <c r="A577" s="10"/>
      <c r="B577" s="10"/>
      <c r="C577" s="10"/>
      <c r="D577" s="10"/>
      <c r="E577" s="10"/>
      <c r="F577" s="10"/>
      <c r="G577" s="10"/>
      <c r="H577" s="10"/>
      <c r="I577" s="9"/>
    </row>
    <row r="578" ht="14.25" customHeight="1">
      <c r="A578" s="10"/>
      <c r="B578" s="10"/>
      <c r="C578" s="10"/>
      <c r="D578" s="10"/>
      <c r="E578" s="10"/>
      <c r="F578" s="10"/>
      <c r="G578" s="10"/>
      <c r="H578" s="10"/>
      <c r="I578" s="9"/>
    </row>
    <row r="579" ht="14.25" customHeight="1">
      <c r="A579" s="10"/>
      <c r="B579" s="10"/>
      <c r="C579" s="10"/>
      <c r="D579" s="10"/>
      <c r="E579" s="10"/>
      <c r="F579" s="10"/>
      <c r="G579" s="10"/>
      <c r="H579" s="10"/>
      <c r="I579" s="9"/>
    </row>
    <row r="580" ht="14.25" customHeight="1">
      <c r="A580" s="10"/>
      <c r="B580" s="10"/>
      <c r="C580" s="10"/>
      <c r="D580" s="10"/>
      <c r="E580" s="10"/>
      <c r="F580" s="10"/>
      <c r="G580" s="10"/>
      <c r="H580" s="10"/>
      <c r="I580" s="9"/>
    </row>
    <row r="581" ht="14.25" customHeight="1">
      <c r="A581" s="10"/>
      <c r="B581" s="10"/>
      <c r="C581" s="10"/>
      <c r="D581" s="10"/>
      <c r="E581" s="10"/>
      <c r="F581" s="10"/>
      <c r="G581" s="10"/>
      <c r="H581" s="10"/>
      <c r="I581" s="9"/>
    </row>
    <row r="582" ht="14.25" customHeight="1">
      <c r="A582" s="10"/>
      <c r="B582" s="10"/>
      <c r="C582" s="10"/>
      <c r="D582" s="10"/>
      <c r="E582" s="10"/>
      <c r="F582" s="10"/>
      <c r="G582" s="10"/>
      <c r="H582" s="10"/>
      <c r="I582" s="9"/>
    </row>
    <row r="583" ht="14.25" customHeight="1">
      <c r="A583" s="10"/>
      <c r="B583" s="10"/>
      <c r="C583" s="10"/>
      <c r="D583" s="10"/>
      <c r="E583" s="10"/>
      <c r="F583" s="10"/>
      <c r="G583" s="10"/>
      <c r="H583" s="10"/>
      <c r="I583" s="9"/>
    </row>
    <row r="584" ht="14.25" customHeight="1">
      <c r="A584" s="10"/>
      <c r="B584" s="10"/>
      <c r="C584" s="10"/>
      <c r="D584" s="10"/>
      <c r="E584" s="10"/>
      <c r="F584" s="10"/>
      <c r="G584" s="10"/>
      <c r="H584" s="10"/>
      <c r="I584" s="9"/>
    </row>
    <row r="585" ht="14.25" customHeight="1">
      <c r="A585" s="10"/>
      <c r="B585" s="10"/>
      <c r="C585" s="10"/>
      <c r="D585" s="10"/>
      <c r="E585" s="10"/>
      <c r="F585" s="10"/>
      <c r="G585" s="10"/>
      <c r="H585" s="10"/>
      <c r="I585" s="9"/>
    </row>
    <row r="586" ht="14.25" customHeight="1">
      <c r="A586" s="10"/>
      <c r="B586" s="10"/>
      <c r="C586" s="10"/>
      <c r="D586" s="10"/>
      <c r="E586" s="10"/>
      <c r="F586" s="10"/>
      <c r="G586" s="10"/>
      <c r="H586" s="10"/>
      <c r="I586" s="9"/>
    </row>
    <row r="587" ht="14.25" customHeight="1">
      <c r="A587" s="10"/>
      <c r="B587" s="10"/>
      <c r="C587" s="10"/>
      <c r="D587" s="10"/>
      <c r="E587" s="10"/>
      <c r="F587" s="10"/>
      <c r="G587" s="10"/>
      <c r="H587" s="10"/>
      <c r="I587" s="9"/>
    </row>
    <row r="588" ht="14.25" customHeight="1">
      <c r="A588" s="10"/>
      <c r="B588" s="10"/>
      <c r="C588" s="10"/>
      <c r="D588" s="10"/>
      <c r="E588" s="10"/>
      <c r="F588" s="10"/>
      <c r="G588" s="10"/>
      <c r="H588" s="10"/>
      <c r="I588" s="9"/>
    </row>
    <row r="589" ht="14.25" customHeight="1">
      <c r="A589" s="10"/>
      <c r="B589" s="10"/>
      <c r="C589" s="10"/>
      <c r="D589" s="10"/>
      <c r="E589" s="10"/>
      <c r="F589" s="10"/>
      <c r="G589" s="10"/>
      <c r="H589" s="10"/>
      <c r="I589" s="9"/>
    </row>
    <row r="590" ht="14.25" customHeight="1">
      <c r="A590" s="10"/>
      <c r="B590" s="10"/>
      <c r="C590" s="10"/>
      <c r="D590" s="10"/>
      <c r="E590" s="10"/>
      <c r="F590" s="10"/>
      <c r="G590" s="10"/>
      <c r="H590" s="10"/>
      <c r="I590" s="9"/>
    </row>
    <row r="591" ht="14.25" customHeight="1">
      <c r="A591" s="10"/>
      <c r="B591" s="10"/>
      <c r="C591" s="10"/>
      <c r="D591" s="10"/>
      <c r="E591" s="10"/>
      <c r="F591" s="10"/>
      <c r="G591" s="10"/>
      <c r="H591" s="10"/>
      <c r="I591" s="9"/>
    </row>
    <row r="592" ht="14.25" customHeight="1">
      <c r="A592" s="10"/>
      <c r="B592" s="10"/>
      <c r="C592" s="10"/>
      <c r="D592" s="10"/>
      <c r="E592" s="10"/>
      <c r="F592" s="10"/>
      <c r="G592" s="10"/>
      <c r="H592" s="10"/>
      <c r="I592" s="9"/>
    </row>
    <row r="593" ht="14.25" customHeight="1">
      <c r="A593" s="10"/>
      <c r="B593" s="10"/>
      <c r="C593" s="10"/>
      <c r="D593" s="10"/>
      <c r="E593" s="10"/>
      <c r="F593" s="10"/>
      <c r="G593" s="10"/>
      <c r="H593" s="10"/>
      <c r="I593" s="9"/>
    </row>
    <row r="594" ht="14.25" customHeight="1">
      <c r="A594" s="10"/>
      <c r="B594" s="10"/>
      <c r="C594" s="10"/>
      <c r="D594" s="10"/>
      <c r="E594" s="10"/>
      <c r="F594" s="10"/>
      <c r="G594" s="10"/>
      <c r="H594" s="10"/>
      <c r="I594" s="9"/>
    </row>
    <row r="595" ht="14.25" customHeight="1">
      <c r="A595" s="10"/>
      <c r="B595" s="10"/>
      <c r="C595" s="10"/>
      <c r="D595" s="10"/>
      <c r="E595" s="10"/>
      <c r="F595" s="10"/>
      <c r="G595" s="10"/>
      <c r="H595" s="10"/>
      <c r="I595" s="9"/>
    </row>
    <row r="596" ht="14.25" customHeight="1">
      <c r="A596" s="10"/>
      <c r="B596" s="10"/>
      <c r="C596" s="10"/>
      <c r="D596" s="10"/>
      <c r="E596" s="10"/>
      <c r="F596" s="10"/>
      <c r="G596" s="10"/>
      <c r="H596" s="10"/>
      <c r="I596" s="9"/>
    </row>
    <row r="597" ht="14.25" customHeight="1">
      <c r="A597" s="10"/>
      <c r="B597" s="10"/>
      <c r="C597" s="10"/>
      <c r="D597" s="10"/>
      <c r="E597" s="10"/>
      <c r="F597" s="10"/>
      <c r="G597" s="10"/>
      <c r="H597" s="10"/>
      <c r="I597" s="9"/>
    </row>
    <row r="598" ht="14.25" customHeight="1">
      <c r="A598" s="10"/>
      <c r="B598" s="10"/>
      <c r="C598" s="10"/>
      <c r="D598" s="10"/>
      <c r="E598" s="10"/>
      <c r="F598" s="10"/>
      <c r="G598" s="10"/>
      <c r="H598" s="10"/>
      <c r="I598" s="9"/>
    </row>
    <row r="599" ht="14.25" customHeight="1">
      <c r="A599" s="10"/>
      <c r="B599" s="10"/>
      <c r="C599" s="10"/>
      <c r="D599" s="10"/>
      <c r="E599" s="10"/>
      <c r="F599" s="10"/>
      <c r="G599" s="10"/>
      <c r="H599" s="10"/>
      <c r="I599" s="9"/>
    </row>
    <row r="600" ht="14.25" customHeight="1">
      <c r="A600" s="10"/>
      <c r="B600" s="10"/>
      <c r="C600" s="10"/>
      <c r="D600" s="10"/>
      <c r="E600" s="10"/>
      <c r="F600" s="10"/>
      <c r="G600" s="10"/>
      <c r="H600" s="10"/>
      <c r="I600" s="9"/>
    </row>
    <row r="601" ht="14.25" customHeight="1">
      <c r="A601" s="10"/>
      <c r="B601" s="10"/>
      <c r="C601" s="10"/>
      <c r="D601" s="10"/>
      <c r="E601" s="10"/>
      <c r="F601" s="10"/>
      <c r="G601" s="10"/>
      <c r="H601" s="10"/>
      <c r="I601" s="9"/>
    </row>
    <row r="602" ht="14.25" customHeight="1">
      <c r="A602" s="10"/>
      <c r="B602" s="10"/>
      <c r="C602" s="10"/>
      <c r="D602" s="10"/>
      <c r="E602" s="10"/>
      <c r="F602" s="10"/>
      <c r="G602" s="10"/>
      <c r="H602" s="10"/>
      <c r="I602" s="9"/>
    </row>
    <row r="603" ht="14.25" customHeight="1">
      <c r="A603" s="10"/>
      <c r="B603" s="10"/>
      <c r="C603" s="10"/>
      <c r="D603" s="10"/>
      <c r="E603" s="10"/>
      <c r="F603" s="10"/>
      <c r="G603" s="10"/>
      <c r="H603" s="10"/>
      <c r="I603" s="9"/>
    </row>
    <row r="604" ht="14.25" customHeight="1">
      <c r="A604" s="10"/>
      <c r="B604" s="10"/>
      <c r="C604" s="10"/>
      <c r="D604" s="10"/>
      <c r="E604" s="10"/>
      <c r="F604" s="10"/>
      <c r="G604" s="10"/>
      <c r="H604" s="10"/>
      <c r="I604" s="9"/>
    </row>
    <row r="605" ht="14.25" customHeight="1">
      <c r="A605" s="10"/>
      <c r="B605" s="10"/>
      <c r="C605" s="10"/>
      <c r="D605" s="10"/>
      <c r="E605" s="10"/>
      <c r="F605" s="10"/>
      <c r="G605" s="10"/>
      <c r="H605" s="10"/>
      <c r="I605" s="9"/>
    </row>
    <row r="606" ht="14.25" customHeight="1">
      <c r="A606" s="10"/>
      <c r="B606" s="10"/>
      <c r="C606" s="10"/>
      <c r="D606" s="10"/>
      <c r="E606" s="10"/>
      <c r="F606" s="10"/>
      <c r="G606" s="10"/>
      <c r="H606" s="10"/>
      <c r="I606" s="9"/>
    </row>
    <row r="607" ht="14.25" customHeight="1">
      <c r="A607" s="10"/>
      <c r="B607" s="10"/>
      <c r="C607" s="10"/>
      <c r="D607" s="10"/>
      <c r="E607" s="10"/>
      <c r="F607" s="10"/>
      <c r="G607" s="10"/>
      <c r="H607" s="10"/>
      <c r="I607" s="9"/>
    </row>
    <row r="608" ht="14.25" customHeight="1">
      <c r="A608" s="10"/>
      <c r="B608" s="10"/>
      <c r="C608" s="10"/>
      <c r="D608" s="10"/>
      <c r="E608" s="10"/>
      <c r="F608" s="10"/>
      <c r="G608" s="10"/>
      <c r="H608" s="10"/>
      <c r="I608" s="9"/>
    </row>
    <row r="609" ht="14.25" customHeight="1">
      <c r="A609" s="10"/>
      <c r="B609" s="10"/>
      <c r="C609" s="10"/>
      <c r="D609" s="10"/>
      <c r="E609" s="10"/>
      <c r="F609" s="10"/>
      <c r="G609" s="10"/>
      <c r="H609" s="10"/>
      <c r="I609" s="9"/>
    </row>
    <row r="610" ht="14.25" customHeight="1">
      <c r="A610" s="10"/>
      <c r="B610" s="10"/>
      <c r="C610" s="10"/>
      <c r="D610" s="10"/>
      <c r="E610" s="10"/>
      <c r="F610" s="10"/>
      <c r="G610" s="10"/>
      <c r="H610" s="10"/>
      <c r="I610" s="9"/>
    </row>
    <row r="611" ht="14.25" customHeight="1">
      <c r="A611" s="10"/>
      <c r="B611" s="10"/>
      <c r="C611" s="10"/>
      <c r="D611" s="10"/>
      <c r="E611" s="10"/>
      <c r="F611" s="10"/>
      <c r="G611" s="10"/>
      <c r="H611" s="10"/>
      <c r="I611" s="9"/>
    </row>
    <row r="612" ht="14.25" customHeight="1">
      <c r="A612" s="10"/>
      <c r="B612" s="10"/>
      <c r="C612" s="10"/>
      <c r="D612" s="10"/>
      <c r="E612" s="10"/>
      <c r="F612" s="10"/>
      <c r="G612" s="10"/>
      <c r="H612" s="10"/>
      <c r="I612" s="9"/>
    </row>
    <row r="613" ht="14.25" customHeight="1">
      <c r="A613" s="10"/>
      <c r="B613" s="10"/>
      <c r="C613" s="10"/>
      <c r="D613" s="10"/>
      <c r="E613" s="10"/>
      <c r="F613" s="10"/>
      <c r="G613" s="10"/>
      <c r="H613" s="10"/>
      <c r="I613" s="9"/>
    </row>
    <row r="614" ht="14.25" customHeight="1">
      <c r="A614" s="10"/>
      <c r="B614" s="10"/>
      <c r="C614" s="10"/>
      <c r="D614" s="10"/>
      <c r="E614" s="10"/>
      <c r="F614" s="10"/>
      <c r="G614" s="10"/>
      <c r="H614" s="10"/>
      <c r="I614" s="9"/>
    </row>
    <row r="615" ht="14.25" customHeight="1">
      <c r="A615" s="10"/>
      <c r="B615" s="10"/>
      <c r="C615" s="10"/>
      <c r="D615" s="10"/>
      <c r="E615" s="10"/>
      <c r="F615" s="10"/>
      <c r="G615" s="10"/>
      <c r="H615" s="10"/>
      <c r="I615" s="9"/>
    </row>
    <row r="616" ht="14.25" customHeight="1">
      <c r="A616" s="10"/>
      <c r="B616" s="10"/>
      <c r="C616" s="10"/>
      <c r="D616" s="10"/>
      <c r="E616" s="10"/>
      <c r="F616" s="10"/>
      <c r="G616" s="10"/>
      <c r="H616" s="10"/>
      <c r="I616" s="9"/>
    </row>
    <row r="617" ht="14.25" customHeight="1">
      <c r="A617" s="10"/>
      <c r="B617" s="10"/>
      <c r="C617" s="10"/>
      <c r="D617" s="10"/>
      <c r="E617" s="10"/>
      <c r="F617" s="10"/>
      <c r="G617" s="10"/>
      <c r="H617" s="10"/>
      <c r="I617" s="9"/>
    </row>
    <row r="618" ht="14.25" customHeight="1">
      <c r="A618" s="10"/>
      <c r="B618" s="10"/>
      <c r="C618" s="10"/>
      <c r="D618" s="10"/>
      <c r="E618" s="10"/>
      <c r="F618" s="10"/>
      <c r="G618" s="10"/>
      <c r="H618" s="10"/>
      <c r="I618" s="9"/>
    </row>
    <row r="619" ht="14.25" customHeight="1">
      <c r="A619" s="10"/>
      <c r="B619" s="10"/>
      <c r="C619" s="10"/>
      <c r="D619" s="10"/>
      <c r="E619" s="10"/>
      <c r="F619" s="10"/>
      <c r="G619" s="10"/>
      <c r="H619" s="10"/>
      <c r="I619" s="9"/>
    </row>
    <row r="620" ht="14.25" customHeight="1">
      <c r="A620" s="10"/>
      <c r="B620" s="10"/>
      <c r="C620" s="10"/>
      <c r="D620" s="10"/>
      <c r="E620" s="10"/>
      <c r="F620" s="10"/>
      <c r="G620" s="10"/>
      <c r="H620" s="10"/>
      <c r="I620" s="9"/>
    </row>
    <row r="621" ht="14.25" customHeight="1">
      <c r="A621" s="10"/>
      <c r="B621" s="10"/>
      <c r="C621" s="10"/>
      <c r="D621" s="10"/>
      <c r="E621" s="10"/>
      <c r="F621" s="10"/>
      <c r="G621" s="10"/>
      <c r="H621" s="10"/>
      <c r="I621" s="9"/>
    </row>
    <row r="622" ht="14.25" customHeight="1">
      <c r="A622" s="10"/>
      <c r="B622" s="10"/>
      <c r="C622" s="10"/>
      <c r="D622" s="10"/>
      <c r="E622" s="10"/>
      <c r="F622" s="10"/>
      <c r="G622" s="10"/>
      <c r="H622" s="10"/>
      <c r="I622" s="9"/>
    </row>
    <row r="623" ht="14.25" customHeight="1">
      <c r="A623" s="10"/>
      <c r="B623" s="10"/>
      <c r="C623" s="10"/>
      <c r="D623" s="10"/>
      <c r="E623" s="10"/>
      <c r="F623" s="10"/>
      <c r="G623" s="10"/>
      <c r="H623" s="10"/>
      <c r="I623" s="9"/>
    </row>
    <row r="624" ht="14.25" customHeight="1">
      <c r="A624" s="10"/>
      <c r="B624" s="10"/>
      <c r="C624" s="10"/>
      <c r="D624" s="10"/>
      <c r="E624" s="10"/>
      <c r="F624" s="10"/>
      <c r="G624" s="10"/>
      <c r="H624" s="10"/>
      <c r="I624" s="9"/>
    </row>
    <row r="625" ht="14.25" customHeight="1">
      <c r="A625" s="10"/>
      <c r="B625" s="10"/>
      <c r="C625" s="10"/>
      <c r="D625" s="10"/>
      <c r="E625" s="10"/>
      <c r="F625" s="10"/>
      <c r="G625" s="10"/>
      <c r="H625" s="10"/>
      <c r="I625" s="9"/>
    </row>
    <row r="626" ht="14.25" customHeight="1">
      <c r="A626" s="10"/>
      <c r="B626" s="10"/>
      <c r="C626" s="10"/>
      <c r="D626" s="10"/>
      <c r="E626" s="10"/>
      <c r="F626" s="10"/>
      <c r="G626" s="10"/>
      <c r="H626" s="10"/>
      <c r="I626" s="9"/>
    </row>
    <row r="627" ht="14.25" customHeight="1">
      <c r="A627" s="10"/>
      <c r="B627" s="10"/>
      <c r="C627" s="10"/>
      <c r="D627" s="10"/>
      <c r="E627" s="10"/>
      <c r="F627" s="10"/>
      <c r="G627" s="10"/>
      <c r="H627" s="10"/>
      <c r="I627" s="9"/>
    </row>
    <row r="628" ht="14.25" customHeight="1">
      <c r="A628" s="10"/>
      <c r="B628" s="10"/>
      <c r="C628" s="10"/>
      <c r="D628" s="10"/>
      <c r="E628" s="10"/>
      <c r="F628" s="10"/>
      <c r="G628" s="10"/>
      <c r="H628" s="10"/>
      <c r="I628" s="9"/>
    </row>
    <row r="629" ht="14.25" customHeight="1">
      <c r="A629" s="10"/>
      <c r="B629" s="10"/>
      <c r="C629" s="10"/>
      <c r="D629" s="10"/>
      <c r="E629" s="10"/>
      <c r="F629" s="10"/>
      <c r="G629" s="10"/>
      <c r="H629" s="10"/>
      <c r="I629" s="9"/>
    </row>
    <row r="630" ht="14.25" customHeight="1">
      <c r="A630" s="10"/>
      <c r="B630" s="10"/>
      <c r="C630" s="10"/>
      <c r="D630" s="10"/>
      <c r="E630" s="10"/>
      <c r="F630" s="10"/>
      <c r="G630" s="10"/>
      <c r="H630" s="10"/>
      <c r="I630" s="9"/>
    </row>
    <row r="631" ht="14.25" customHeight="1">
      <c r="A631" s="10"/>
      <c r="B631" s="10"/>
      <c r="C631" s="10"/>
      <c r="D631" s="10"/>
      <c r="E631" s="10"/>
      <c r="F631" s="10"/>
      <c r="G631" s="10"/>
      <c r="H631" s="10"/>
      <c r="I631" s="9"/>
    </row>
    <row r="632" ht="14.25" customHeight="1">
      <c r="A632" s="10"/>
      <c r="B632" s="10"/>
      <c r="C632" s="10"/>
      <c r="D632" s="10"/>
      <c r="E632" s="10"/>
      <c r="F632" s="10"/>
      <c r="G632" s="10"/>
      <c r="H632" s="10"/>
      <c r="I632" s="9"/>
    </row>
    <row r="633" ht="14.25" customHeight="1">
      <c r="A633" s="10"/>
      <c r="B633" s="10"/>
      <c r="C633" s="10"/>
      <c r="D633" s="10"/>
      <c r="E633" s="10"/>
      <c r="F633" s="10"/>
      <c r="G633" s="10"/>
      <c r="H633" s="10"/>
      <c r="I633" s="9"/>
    </row>
    <row r="634" ht="14.25" customHeight="1">
      <c r="A634" s="10"/>
      <c r="B634" s="10"/>
      <c r="C634" s="10"/>
      <c r="D634" s="10"/>
      <c r="E634" s="10"/>
      <c r="F634" s="10"/>
      <c r="G634" s="10"/>
      <c r="H634" s="10"/>
      <c r="I634" s="9"/>
    </row>
    <row r="635" ht="14.25" customHeight="1">
      <c r="A635" s="10"/>
      <c r="B635" s="10"/>
      <c r="C635" s="10"/>
      <c r="D635" s="10"/>
      <c r="E635" s="10"/>
      <c r="F635" s="10"/>
      <c r="G635" s="10"/>
      <c r="H635" s="10"/>
      <c r="I635" s="9"/>
    </row>
    <row r="636" ht="14.25" customHeight="1">
      <c r="A636" s="10"/>
      <c r="B636" s="10"/>
      <c r="C636" s="10"/>
      <c r="D636" s="10"/>
      <c r="E636" s="10"/>
      <c r="F636" s="10"/>
      <c r="G636" s="10"/>
      <c r="H636" s="10"/>
      <c r="I636" s="9"/>
    </row>
    <row r="637" ht="14.25" customHeight="1">
      <c r="A637" s="10"/>
      <c r="B637" s="10"/>
      <c r="C637" s="10"/>
      <c r="D637" s="10"/>
      <c r="E637" s="10"/>
      <c r="F637" s="10"/>
      <c r="G637" s="10"/>
      <c r="H637" s="10"/>
      <c r="I637" s="9"/>
    </row>
    <row r="638" ht="14.25" customHeight="1">
      <c r="A638" s="10"/>
      <c r="B638" s="10"/>
      <c r="C638" s="10"/>
      <c r="D638" s="10"/>
      <c r="E638" s="10"/>
      <c r="F638" s="10"/>
      <c r="G638" s="10"/>
      <c r="H638" s="10"/>
      <c r="I638" s="9"/>
    </row>
    <row r="639" ht="14.25" customHeight="1">
      <c r="A639" s="10"/>
      <c r="B639" s="10"/>
      <c r="C639" s="10"/>
      <c r="D639" s="10"/>
      <c r="E639" s="10"/>
      <c r="F639" s="10"/>
      <c r="G639" s="10"/>
      <c r="H639" s="10"/>
      <c r="I639" s="9"/>
    </row>
    <row r="640" ht="14.25" customHeight="1">
      <c r="A640" s="10"/>
      <c r="B640" s="10"/>
      <c r="C640" s="10"/>
      <c r="D640" s="10"/>
      <c r="E640" s="10"/>
      <c r="F640" s="10"/>
      <c r="G640" s="10"/>
      <c r="H640" s="10"/>
      <c r="I640" s="9"/>
    </row>
    <row r="641" ht="14.25" customHeight="1">
      <c r="A641" s="10"/>
      <c r="B641" s="10"/>
      <c r="C641" s="10"/>
      <c r="D641" s="10"/>
      <c r="E641" s="10"/>
      <c r="F641" s="10"/>
      <c r="G641" s="10"/>
      <c r="H641" s="10"/>
      <c r="I641" s="9"/>
    </row>
    <row r="642" ht="14.25" customHeight="1">
      <c r="A642" s="10"/>
      <c r="B642" s="10"/>
      <c r="C642" s="10"/>
      <c r="D642" s="10"/>
      <c r="E642" s="10"/>
      <c r="F642" s="10"/>
      <c r="G642" s="10"/>
      <c r="H642" s="10"/>
      <c r="I642" s="9"/>
    </row>
    <row r="643" ht="14.25" customHeight="1">
      <c r="A643" s="10"/>
      <c r="B643" s="10"/>
      <c r="C643" s="10"/>
      <c r="D643" s="10"/>
      <c r="E643" s="10"/>
      <c r="F643" s="10"/>
      <c r="G643" s="10"/>
      <c r="H643" s="10"/>
      <c r="I643" s="9"/>
    </row>
    <row r="644" ht="14.25" customHeight="1">
      <c r="A644" s="10"/>
      <c r="B644" s="10"/>
      <c r="C644" s="10"/>
      <c r="D644" s="10"/>
      <c r="E644" s="10"/>
      <c r="F644" s="10"/>
      <c r="G644" s="10"/>
      <c r="H644" s="10"/>
      <c r="I644" s="9"/>
    </row>
    <row r="645" ht="14.25" customHeight="1">
      <c r="A645" s="10"/>
      <c r="B645" s="10"/>
      <c r="C645" s="10"/>
      <c r="D645" s="10"/>
      <c r="E645" s="10"/>
      <c r="F645" s="10"/>
      <c r="G645" s="10"/>
      <c r="H645" s="10"/>
      <c r="I645" s="9"/>
    </row>
    <row r="646" ht="14.25" customHeight="1">
      <c r="A646" s="10"/>
      <c r="B646" s="10"/>
      <c r="C646" s="10"/>
      <c r="D646" s="10"/>
      <c r="E646" s="10"/>
      <c r="F646" s="10"/>
      <c r="G646" s="10"/>
      <c r="H646" s="10"/>
      <c r="I646" s="9"/>
    </row>
    <row r="647" ht="14.25" customHeight="1">
      <c r="A647" s="10"/>
      <c r="B647" s="10"/>
      <c r="C647" s="10"/>
      <c r="D647" s="10"/>
      <c r="E647" s="10"/>
      <c r="F647" s="10"/>
      <c r="G647" s="10"/>
      <c r="H647" s="10"/>
      <c r="I647" s="9"/>
    </row>
    <row r="648" ht="14.25" customHeight="1">
      <c r="A648" s="10"/>
      <c r="B648" s="10"/>
      <c r="C648" s="10"/>
      <c r="D648" s="10"/>
      <c r="E648" s="10"/>
      <c r="F648" s="10"/>
      <c r="G648" s="10"/>
      <c r="H648" s="10"/>
      <c r="I648" s="9"/>
    </row>
    <row r="649" ht="14.25" customHeight="1">
      <c r="A649" s="10"/>
      <c r="B649" s="10"/>
      <c r="C649" s="10"/>
      <c r="D649" s="10"/>
      <c r="E649" s="10"/>
      <c r="F649" s="10"/>
      <c r="G649" s="10"/>
      <c r="H649" s="10"/>
      <c r="I649" s="9"/>
    </row>
    <row r="650" ht="14.25" customHeight="1">
      <c r="A650" s="10"/>
      <c r="B650" s="10"/>
      <c r="C650" s="10"/>
      <c r="D650" s="10"/>
      <c r="E650" s="10"/>
      <c r="F650" s="10"/>
      <c r="G650" s="10"/>
      <c r="H650" s="10"/>
      <c r="I650" s="9"/>
    </row>
    <row r="651" ht="14.25" customHeight="1">
      <c r="A651" s="10"/>
      <c r="B651" s="10"/>
      <c r="C651" s="10"/>
      <c r="D651" s="10"/>
      <c r="E651" s="10"/>
      <c r="F651" s="10"/>
      <c r="G651" s="10"/>
      <c r="H651" s="10"/>
      <c r="I651" s="9"/>
    </row>
    <row r="652" ht="14.25" customHeight="1">
      <c r="A652" s="10"/>
      <c r="B652" s="10"/>
      <c r="C652" s="10"/>
      <c r="D652" s="10"/>
      <c r="E652" s="10"/>
      <c r="F652" s="10"/>
      <c r="G652" s="10"/>
      <c r="H652" s="10"/>
      <c r="I652" s="9"/>
    </row>
    <row r="653" ht="14.25" customHeight="1">
      <c r="A653" s="10"/>
      <c r="B653" s="10"/>
      <c r="C653" s="10"/>
      <c r="D653" s="10"/>
      <c r="E653" s="10"/>
      <c r="F653" s="10"/>
      <c r="G653" s="10"/>
      <c r="H653" s="10"/>
      <c r="I653" s="9"/>
    </row>
    <row r="654" ht="14.25" customHeight="1">
      <c r="A654" s="10"/>
      <c r="B654" s="10"/>
      <c r="C654" s="10"/>
      <c r="D654" s="10"/>
      <c r="E654" s="10"/>
      <c r="F654" s="10"/>
      <c r="G654" s="10"/>
      <c r="H654" s="10"/>
      <c r="I654" s="9"/>
    </row>
    <row r="655" ht="14.25" customHeight="1">
      <c r="A655" s="10"/>
      <c r="B655" s="10"/>
      <c r="C655" s="10"/>
      <c r="D655" s="10"/>
      <c r="E655" s="10"/>
      <c r="F655" s="10"/>
      <c r="G655" s="10"/>
      <c r="H655" s="10"/>
      <c r="I655" s="9"/>
    </row>
    <row r="656" ht="14.25" customHeight="1">
      <c r="A656" s="10"/>
      <c r="B656" s="10"/>
      <c r="C656" s="10"/>
      <c r="D656" s="10"/>
      <c r="E656" s="10"/>
      <c r="F656" s="10"/>
      <c r="G656" s="10"/>
      <c r="H656" s="10"/>
      <c r="I656" s="9"/>
    </row>
    <row r="657" ht="14.25" customHeight="1">
      <c r="A657" s="10"/>
      <c r="B657" s="10"/>
      <c r="C657" s="10"/>
      <c r="D657" s="10"/>
      <c r="E657" s="10"/>
      <c r="F657" s="10"/>
      <c r="G657" s="10"/>
      <c r="H657" s="10"/>
      <c r="I657" s="9"/>
    </row>
    <row r="658" ht="14.25" customHeight="1">
      <c r="A658" s="10"/>
      <c r="B658" s="10"/>
      <c r="C658" s="10"/>
      <c r="D658" s="10"/>
      <c r="E658" s="10"/>
      <c r="F658" s="10"/>
      <c r="G658" s="10"/>
      <c r="H658" s="10"/>
      <c r="I658" s="9"/>
    </row>
    <row r="659" ht="14.25" customHeight="1">
      <c r="A659" s="10"/>
      <c r="B659" s="10"/>
      <c r="C659" s="10"/>
      <c r="D659" s="10"/>
      <c r="E659" s="10"/>
      <c r="F659" s="10"/>
      <c r="G659" s="10"/>
      <c r="H659" s="10"/>
      <c r="I659" s="9"/>
    </row>
    <row r="660" ht="14.25" customHeight="1">
      <c r="A660" s="10"/>
      <c r="B660" s="10"/>
      <c r="C660" s="10"/>
      <c r="D660" s="10"/>
      <c r="E660" s="10"/>
      <c r="F660" s="10"/>
      <c r="G660" s="10"/>
      <c r="H660" s="10"/>
      <c r="I660" s="9"/>
    </row>
    <row r="661" ht="14.25" customHeight="1">
      <c r="A661" s="10"/>
      <c r="B661" s="10"/>
      <c r="C661" s="10"/>
      <c r="D661" s="10"/>
      <c r="E661" s="10"/>
      <c r="F661" s="10"/>
      <c r="G661" s="10"/>
      <c r="H661" s="10"/>
      <c r="I661" s="9"/>
    </row>
    <row r="662" ht="14.25" customHeight="1">
      <c r="A662" s="10"/>
      <c r="B662" s="10"/>
      <c r="C662" s="10"/>
      <c r="D662" s="10"/>
      <c r="E662" s="10"/>
      <c r="F662" s="10"/>
      <c r="G662" s="10"/>
      <c r="H662" s="10"/>
      <c r="I662" s="9"/>
    </row>
    <row r="663" ht="14.25" customHeight="1">
      <c r="A663" s="10"/>
      <c r="B663" s="10"/>
      <c r="C663" s="10"/>
      <c r="D663" s="10"/>
      <c r="E663" s="10"/>
      <c r="F663" s="10"/>
      <c r="G663" s="10"/>
      <c r="H663" s="10"/>
      <c r="I663" s="9"/>
    </row>
    <row r="664" ht="14.25" customHeight="1">
      <c r="A664" s="10"/>
      <c r="B664" s="10"/>
      <c r="C664" s="10"/>
      <c r="D664" s="10"/>
      <c r="E664" s="10"/>
      <c r="F664" s="10"/>
      <c r="G664" s="10"/>
      <c r="H664" s="10"/>
      <c r="I664" s="9"/>
    </row>
    <row r="665" ht="14.25" customHeight="1">
      <c r="A665" s="10"/>
      <c r="B665" s="10"/>
      <c r="C665" s="10"/>
      <c r="D665" s="10"/>
      <c r="E665" s="10"/>
      <c r="F665" s="10"/>
      <c r="G665" s="10"/>
      <c r="H665" s="10"/>
      <c r="I665" s="9"/>
    </row>
    <row r="666" ht="14.25" customHeight="1">
      <c r="A666" s="10"/>
      <c r="B666" s="10"/>
      <c r="C666" s="10"/>
      <c r="D666" s="10"/>
      <c r="E666" s="10"/>
      <c r="F666" s="10"/>
      <c r="G666" s="10"/>
      <c r="H666" s="10"/>
      <c r="I666" s="9"/>
    </row>
    <row r="667" ht="14.25" customHeight="1">
      <c r="A667" s="10"/>
      <c r="B667" s="10"/>
      <c r="C667" s="10"/>
      <c r="D667" s="10"/>
      <c r="E667" s="10"/>
      <c r="F667" s="10"/>
      <c r="G667" s="10"/>
      <c r="H667" s="10"/>
      <c r="I667" s="9"/>
    </row>
    <row r="668" ht="14.25" customHeight="1">
      <c r="A668" s="10"/>
      <c r="B668" s="10"/>
      <c r="C668" s="10"/>
      <c r="D668" s="10"/>
      <c r="E668" s="10"/>
      <c r="F668" s="10"/>
      <c r="G668" s="10"/>
      <c r="H668" s="10"/>
      <c r="I668" s="9"/>
    </row>
    <row r="669" ht="14.25" customHeight="1">
      <c r="A669" s="10"/>
      <c r="B669" s="10"/>
      <c r="C669" s="10"/>
      <c r="D669" s="10"/>
      <c r="E669" s="10"/>
      <c r="F669" s="10"/>
      <c r="G669" s="10"/>
      <c r="H669" s="10"/>
      <c r="I669" s="9"/>
    </row>
    <row r="670" ht="14.25" customHeight="1">
      <c r="A670" s="10"/>
      <c r="B670" s="10"/>
      <c r="C670" s="10"/>
      <c r="D670" s="10"/>
      <c r="E670" s="10"/>
      <c r="F670" s="10"/>
      <c r="G670" s="10"/>
      <c r="H670" s="10"/>
      <c r="I670" s="9"/>
    </row>
    <row r="671" ht="14.25" customHeight="1">
      <c r="A671" s="10"/>
      <c r="B671" s="10"/>
      <c r="C671" s="10"/>
      <c r="D671" s="10"/>
      <c r="E671" s="10"/>
      <c r="F671" s="10"/>
      <c r="G671" s="10"/>
      <c r="H671" s="10"/>
      <c r="I671" s="9"/>
    </row>
    <row r="672" ht="14.25" customHeight="1">
      <c r="A672" s="10"/>
      <c r="B672" s="10"/>
      <c r="C672" s="10"/>
      <c r="D672" s="10"/>
      <c r="E672" s="10"/>
      <c r="F672" s="10"/>
      <c r="G672" s="10"/>
      <c r="H672" s="10"/>
      <c r="I672" s="9"/>
    </row>
    <row r="673" ht="14.25" customHeight="1">
      <c r="A673" s="10"/>
      <c r="B673" s="10"/>
      <c r="C673" s="10"/>
      <c r="D673" s="10"/>
      <c r="E673" s="10"/>
      <c r="F673" s="10"/>
      <c r="G673" s="10"/>
      <c r="H673" s="10"/>
      <c r="I673" s="9"/>
    </row>
    <row r="674" ht="14.25" customHeight="1">
      <c r="A674" s="10"/>
      <c r="B674" s="10"/>
      <c r="C674" s="10"/>
      <c r="D674" s="10"/>
      <c r="E674" s="10"/>
      <c r="F674" s="10"/>
      <c r="G674" s="10"/>
      <c r="H674" s="10"/>
      <c r="I674" s="9"/>
    </row>
    <row r="675" ht="14.25" customHeight="1">
      <c r="A675" s="10"/>
      <c r="B675" s="10"/>
      <c r="C675" s="10"/>
      <c r="D675" s="10"/>
      <c r="E675" s="10"/>
      <c r="F675" s="10"/>
      <c r="G675" s="10"/>
      <c r="H675" s="10"/>
      <c r="I675" s="9"/>
    </row>
    <row r="676" ht="14.25" customHeight="1">
      <c r="A676" s="10"/>
      <c r="B676" s="10"/>
      <c r="C676" s="10"/>
      <c r="D676" s="10"/>
      <c r="E676" s="10"/>
      <c r="F676" s="10"/>
      <c r="G676" s="10"/>
      <c r="H676" s="10"/>
      <c r="I676" s="9"/>
    </row>
    <row r="677" ht="14.25" customHeight="1">
      <c r="A677" s="10"/>
      <c r="B677" s="10"/>
      <c r="C677" s="10"/>
      <c r="D677" s="10"/>
      <c r="E677" s="10"/>
      <c r="F677" s="10"/>
      <c r="G677" s="10"/>
      <c r="H677" s="10"/>
      <c r="I677" s="9"/>
    </row>
    <row r="678" ht="14.25" customHeight="1">
      <c r="A678" s="10"/>
      <c r="B678" s="10"/>
      <c r="C678" s="10"/>
      <c r="D678" s="10"/>
      <c r="E678" s="10"/>
      <c r="F678" s="10"/>
      <c r="G678" s="10"/>
      <c r="H678" s="10"/>
      <c r="I678" s="9"/>
    </row>
    <row r="679" ht="14.25" customHeight="1">
      <c r="A679" s="10"/>
      <c r="B679" s="10"/>
      <c r="C679" s="10"/>
      <c r="D679" s="10"/>
      <c r="E679" s="10"/>
      <c r="F679" s="10"/>
      <c r="G679" s="10"/>
      <c r="H679" s="10"/>
      <c r="I679" s="9"/>
    </row>
    <row r="680" ht="14.25" customHeight="1">
      <c r="A680" s="10"/>
      <c r="B680" s="10"/>
      <c r="C680" s="10"/>
      <c r="D680" s="10"/>
      <c r="E680" s="10"/>
      <c r="F680" s="10"/>
      <c r="G680" s="10"/>
      <c r="H680" s="10"/>
      <c r="I680" s="9"/>
    </row>
    <row r="681" ht="14.25" customHeight="1">
      <c r="A681" s="10"/>
      <c r="B681" s="10"/>
      <c r="C681" s="10"/>
      <c r="D681" s="10"/>
      <c r="E681" s="10"/>
      <c r="F681" s="10"/>
      <c r="G681" s="10"/>
      <c r="H681" s="10"/>
      <c r="I681" s="9"/>
    </row>
    <row r="682" ht="14.25" customHeight="1">
      <c r="A682" s="10"/>
      <c r="B682" s="10"/>
      <c r="C682" s="10"/>
      <c r="D682" s="10"/>
      <c r="E682" s="10"/>
      <c r="F682" s="10"/>
      <c r="G682" s="10"/>
      <c r="H682" s="10"/>
      <c r="I682" s="9"/>
    </row>
    <row r="683" ht="14.25" customHeight="1">
      <c r="A683" s="10"/>
      <c r="B683" s="10"/>
      <c r="C683" s="10"/>
      <c r="D683" s="10"/>
      <c r="E683" s="10"/>
      <c r="F683" s="10"/>
      <c r="G683" s="10"/>
      <c r="H683" s="10"/>
      <c r="I683" s="9"/>
    </row>
    <row r="684" ht="14.25" customHeight="1">
      <c r="A684" s="10"/>
      <c r="B684" s="10"/>
      <c r="C684" s="10"/>
      <c r="D684" s="10"/>
      <c r="E684" s="10"/>
      <c r="F684" s="10"/>
      <c r="G684" s="10"/>
      <c r="H684" s="10"/>
      <c r="I684" s="9"/>
    </row>
    <row r="685" ht="14.25" customHeight="1">
      <c r="A685" s="10"/>
      <c r="B685" s="10"/>
      <c r="C685" s="10"/>
      <c r="D685" s="10"/>
      <c r="E685" s="10"/>
      <c r="F685" s="10"/>
      <c r="G685" s="10"/>
      <c r="H685" s="10"/>
      <c r="I685" s="9"/>
    </row>
    <row r="686" ht="14.25" customHeight="1">
      <c r="A686" s="10"/>
      <c r="B686" s="10"/>
      <c r="C686" s="10"/>
      <c r="D686" s="10"/>
      <c r="E686" s="10"/>
      <c r="F686" s="10"/>
      <c r="G686" s="10"/>
      <c r="H686" s="10"/>
      <c r="I686" s="9"/>
    </row>
    <row r="687" ht="14.25" customHeight="1">
      <c r="A687" s="10"/>
      <c r="B687" s="10"/>
      <c r="C687" s="10"/>
      <c r="D687" s="10"/>
      <c r="E687" s="10"/>
      <c r="F687" s="10"/>
      <c r="G687" s="10"/>
      <c r="H687" s="10"/>
      <c r="I687" s="9"/>
    </row>
    <row r="688" ht="14.25" customHeight="1">
      <c r="A688" s="10"/>
      <c r="B688" s="10"/>
      <c r="C688" s="10"/>
      <c r="D688" s="10"/>
      <c r="E688" s="10"/>
      <c r="F688" s="10"/>
      <c r="G688" s="10"/>
      <c r="H688" s="10"/>
      <c r="I688" s="9"/>
    </row>
    <row r="689" ht="14.25" customHeight="1">
      <c r="A689" s="10"/>
      <c r="B689" s="10"/>
      <c r="C689" s="10"/>
      <c r="D689" s="10"/>
      <c r="E689" s="10"/>
      <c r="F689" s="10"/>
      <c r="G689" s="10"/>
      <c r="H689" s="10"/>
      <c r="I689" s="9"/>
    </row>
    <row r="690" ht="14.25" customHeight="1">
      <c r="A690" s="10"/>
      <c r="B690" s="10"/>
      <c r="C690" s="10"/>
      <c r="D690" s="10"/>
      <c r="E690" s="10"/>
      <c r="F690" s="10"/>
      <c r="G690" s="10"/>
      <c r="H690" s="10"/>
      <c r="I690" s="9"/>
    </row>
    <row r="691" ht="14.25" customHeight="1">
      <c r="A691" s="10"/>
      <c r="B691" s="10"/>
      <c r="C691" s="10"/>
      <c r="D691" s="10"/>
      <c r="E691" s="10"/>
      <c r="F691" s="10"/>
      <c r="G691" s="10"/>
      <c r="H691" s="10"/>
      <c r="I691" s="9"/>
    </row>
    <row r="692" ht="14.25" customHeight="1">
      <c r="A692" s="10"/>
      <c r="B692" s="10"/>
      <c r="C692" s="10"/>
      <c r="D692" s="10"/>
      <c r="E692" s="10"/>
      <c r="F692" s="10"/>
      <c r="G692" s="10"/>
      <c r="H692" s="10"/>
      <c r="I692" s="9"/>
    </row>
    <row r="693" ht="14.25" customHeight="1">
      <c r="A693" s="10"/>
      <c r="B693" s="10"/>
      <c r="C693" s="10"/>
      <c r="D693" s="10"/>
      <c r="E693" s="10"/>
      <c r="F693" s="10"/>
      <c r="G693" s="10"/>
      <c r="H693" s="10"/>
      <c r="I693" s="9"/>
    </row>
    <row r="694" ht="14.25" customHeight="1">
      <c r="A694" s="10"/>
      <c r="B694" s="10"/>
      <c r="C694" s="10"/>
      <c r="D694" s="10"/>
      <c r="E694" s="10"/>
      <c r="F694" s="10"/>
      <c r="G694" s="10"/>
      <c r="H694" s="10"/>
      <c r="I694" s="9"/>
    </row>
    <row r="695" ht="14.25" customHeight="1">
      <c r="A695" s="10"/>
      <c r="B695" s="10"/>
      <c r="C695" s="10"/>
      <c r="D695" s="10"/>
      <c r="E695" s="10"/>
      <c r="F695" s="10"/>
      <c r="G695" s="10"/>
      <c r="H695" s="10"/>
      <c r="I695" s="9"/>
    </row>
    <row r="696" ht="14.25" customHeight="1">
      <c r="A696" s="10"/>
      <c r="B696" s="10"/>
      <c r="C696" s="10"/>
      <c r="D696" s="10"/>
      <c r="E696" s="10"/>
      <c r="F696" s="10"/>
      <c r="G696" s="10"/>
      <c r="H696" s="10"/>
      <c r="I696" s="9"/>
    </row>
    <row r="697" ht="14.25" customHeight="1">
      <c r="A697" s="10"/>
      <c r="B697" s="10"/>
      <c r="C697" s="10"/>
      <c r="D697" s="10"/>
      <c r="E697" s="10"/>
      <c r="F697" s="10"/>
      <c r="G697" s="10"/>
      <c r="H697" s="10"/>
      <c r="I697" s="9"/>
    </row>
    <row r="698" ht="14.25" customHeight="1">
      <c r="A698" s="10"/>
      <c r="B698" s="10"/>
      <c r="C698" s="10"/>
      <c r="D698" s="10"/>
      <c r="E698" s="10"/>
      <c r="F698" s="10"/>
      <c r="G698" s="10"/>
      <c r="H698" s="10"/>
      <c r="I698" s="9"/>
    </row>
    <row r="699" ht="14.25" customHeight="1">
      <c r="A699" s="10"/>
      <c r="B699" s="10"/>
      <c r="C699" s="10"/>
      <c r="D699" s="10"/>
      <c r="E699" s="10"/>
      <c r="F699" s="10"/>
      <c r="G699" s="10"/>
      <c r="H699" s="10"/>
      <c r="I699" s="9"/>
    </row>
    <row r="700" ht="14.25" customHeight="1">
      <c r="A700" s="10"/>
      <c r="B700" s="10"/>
      <c r="C700" s="10"/>
      <c r="D700" s="10"/>
      <c r="E700" s="10"/>
      <c r="F700" s="10"/>
      <c r="G700" s="10"/>
      <c r="H700" s="10"/>
      <c r="I700" s="9"/>
    </row>
    <row r="701" ht="14.25" customHeight="1">
      <c r="A701" s="10"/>
      <c r="B701" s="10"/>
      <c r="C701" s="10"/>
      <c r="D701" s="10"/>
      <c r="E701" s="10"/>
      <c r="F701" s="10"/>
      <c r="G701" s="10"/>
      <c r="H701" s="10"/>
      <c r="I701" s="9"/>
    </row>
    <row r="702" ht="14.25" customHeight="1">
      <c r="A702" s="10"/>
      <c r="B702" s="10"/>
      <c r="C702" s="10"/>
      <c r="D702" s="10"/>
      <c r="E702" s="10"/>
      <c r="F702" s="10"/>
      <c r="G702" s="10"/>
      <c r="H702" s="10"/>
      <c r="I702" s="9"/>
    </row>
    <row r="703" ht="14.25" customHeight="1">
      <c r="A703" s="10"/>
      <c r="B703" s="10"/>
      <c r="C703" s="10"/>
      <c r="D703" s="10"/>
      <c r="E703" s="10"/>
      <c r="F703" s="10"/>
      <c r="G703" s="10"/>
      <c r="H703" s="10"/>
      <c r="I703" s="9"/>
    </row>
    <row r="704" ht="14.25" customHeight="1">
      <c r="A704" s="10"/>
      <c r="B704" s="10"/>
      <c r="C704" s="10"/>
      <c r="D704" s="10"/>
      <c r="E704" s="10"/>
      <c r="F704" s="10"/>
      <c r="G704" s="10"/>
      <c r="H704" s="10"/>
      <c r="I704" s="9"/>
    </row>
    <row r="705" ht="14.25" customHeight="1">
      <c r="A705" s="10"/>
      <c r="B705" s="10"/>
      <c r="C705" s="10"/>
      <c r="D705" s="10"/>
      <c r="E705" s="10"/>
      <c r="F705" s="10"/>
      <c r="G705" s="10"/>
      <c r="H705" s="10"/>
      <c r="I705" s="9"/>
    </row>
    <row r="706" ht="14.25" customHeight="1">
      <c r="A706" s="10"/>
      <c r="B706" s="10"/>
      <c r="C706" s="10"/>
      <c r="D706" s="10"/>
      <c r="E706" s="10"/>
      <c r="F706" s="10"/>
      <c r="G706" s="10"/>
      <c r="H706" s="10"/>
      <c r="I706" s="9"/>
    </row>
    <row r="707" ht="14.25" customHeight="1">
      <c r="A707" s="10"/>
      <c r="B707" s="10"/>
      <c r="C707" s="10"/>
      <c r="D707" s="10"/>
      <c r="E707" s="10"/>
      <c r="F707" s="10"/>
      <c r="G707" s="10"/>
      <c r="H707" s="10"/>
      <c r="I707" s="9"/>
    </row>
    <row r="708" ht="14.25" customHeight="1">
      <c r="A708" s="10"/>
      <c r="B708" s="10"/>
      <c r="C708" s="10"/>
      <c r="D708" s="10"/>
      <c r="E708" s="10"/>
      <c r="F708" s="10"/>
      <c r="G708" s="10"/>
      <c r="H708" s="10"/>
      <c r="I708" s="9"/>
    </row>
    <row r="709" ht="14.25" customHeight="1">
      <c r="A709" s="10"/>
      <c r="B709" s="10"/>
      <c r="C709" s="10"/>
      <c r="D709" s="10"/>
      <c r="E709" s="10"/>
      <c r="F709" s="10"/>
      <c r="G709" s="10"/>
      <c r="H709" s="10"/>
      <c r="I709" s="9"/>
    </row>
    <row r="710" ht="14.25" customHeight="1">
      <c r="A710" s="10"/>
      <c r="B710" s="10"/>
      <c r="C710" s="10"/>
      <c r="D710" s="10"/>
      <c r="E710" s="10"/>
      <c r="F710" s="10"/>
      <c r="G710" s="10"/>
      <c r="H710" s="10"/>
      <c r="I710" s="9"/>
    </row>
    <row r="711" ht="14.25" customHeight="1">
      <c r="A711" s="10"/>
      <c r="B711" s="10"/>
      <c r="C711" s="10"/>
      <c r="D711" s="10"/>
      <c r="E711" s="10"/>
      <c r="F711" s="10"/>
      <c r="G711" s="10"/>
      <c r="H711" s="10"/>
      <c r="I711" s="9"/>
    </row>
    <row r="712" ht="14.25" customHeight="1">
      <c r="A712" s="10"/>
      <c r="B712" s="10"/>
      <c r="C712" s="10"/>
      <c r="D712" s="10"/>
      <c r="E712" s="10"/>
      <c r="F712" s="10"/>
      <c r="G712" s="10"/>
      <c r="H712" s="10"/>
      <c r="I712" s="9"/>
    </row>
    <row r="713" ht="14.25" customHeight="1">
      <c r="A713" s="10"/>
      <c r="B713" s="10"/>
      <c r="C713" s="10"/>
      <c r="D713" s="10"/>
      <c r="E713" s="10"/>
      <c r="F713" s="10"/>
      <c r="G713" s="10"/>
      <c r="H713" s="10"/>
      <c r="I713" s="9"/>
    </row>
    <row r="714" ht="14.25" customHeight="1">
      <c r="A714" s="10"/>
      <c r="B714" s="10"/>
      <c r="C714" s="10"/>
      <c r="D714" s="10"/>
      <c r="E714" s="10"/>
      <c r="F714" s="10"/>
      <c r="G714" s="10"/>
      <c r="H714" s="10"/>
      <c r="I714" s="9"/>
    </row>
    <row r="715" ht="14.25" customHeight="1">
      <c r="A715" s="10"/>
      <c r="B715" s="10"/>
      <c r="C715" s="10"/>
      <c r="D715" s="10"/>
      <c r="E715" s="10"/>
      <c r="F715" s="10"/>
      <c r="G715" s="10"/>
      <c r="H715" s="10"/>
      <c r="I715" s="9"/>
    </row>
    <row r="716" ht="14.25" customHeight="1">
      <c r="A716" s="10"/>
      <c r="B716" s="10"/>
      <c r="C716" s="10"/>
      <c r="D716" s="10"/>
      <c r="E716" s="10"/>
      <c r="F716" s="10"/>
      <c r="G716" s="10"/>
      <c r="H716" s="10"/>
      <c r="I716" s="9"/>
    </row>
    <row r="717" ht="14.25" customHeight="1">
      <c r="A717" s="10"/>
      <c r="B717" s="10"/>
      <c r="C717" s="10"/>
      <c r="D717" s="10"/>
      <c r="E717" s="10"/>
      <c r="F717" s="10"/>
      <c r="G717" s="10"/>
      <c r="H717" s="10"/>
      <c r="I717" s="9"/>
    </row>
    <row r="718" ht="14.25" customHeight="1">
      <c r="A718" s="10"/>
      <c r="B718" s="10"/>
      <c r="C718" s="10"/>
      <c r="D718" s="10"/>
      <c r="E718" s="10"/>
      <c r="F718" s="10"/>
      <c r="G718" s="10"/>
      <c r="H718" s="10"/>
      <c r="I718" s="9"/>
    </row>
    <row r="719" ht="14.25" customHeight="1">
      <c r="A719" s="10"/>
      <c r="B719" s="10"/>
      <c r="C719" s="10"/>
      <c r="D719" s="10"/>
      <c r="E719" s="10"/>
      <c r="F719" s="10"/>
      <c r="G719" s="10"/>
      <c r="H719" s="10"/>
      <c r="I719" s="9"/>
    </row>
    <row r="720" ht="14.25" customHeight="1">
      <c r="A720" s="10"/>
      <c r="B720" s="10"/>
      <c r="C720" s="10"/>
      <c r="D720" s="10"/>
      <c r="E720" s="10"/>
      <c r="F720" s="10"/>
      <c r="G720" s="10"/>
      <c r="H720" s="10"/>
      <c r="I720" s="9"/>
    </row>
    <row r="721" ht="14.25" customHeight="1">
      <c r="A721" s="10"/>
      <c r="B721" s="10"/>
      <c r="C721" s="10"/>
      <c r="D721" s="10"/>
      <c r="E721" s="10"/>
      <c r="F721" s="10"/>
      <c r="G721" s="10"/>
      <c r="H721" s="10"/>
      <c r="I721" s="9"/>
    </row>
    <row r="722" ht="14.25" customHeight="1">
      <c r="A722" s="10"/>
      <c r="B722" s="10"/>
      <c r="C722" s="10"/>
      <c r="D722" s="10"/>
      <c r="E722" s="10"/>
      <c r="F722" s="10"/>
      <c r="G722" s="10"/>
      <c r="H722" s="10"/>
      <c r="I722" s="9"/>
    </row>
    <row r="723" ht="14.25" customHeight="1">
      <c r="A723" s="10"/>
      <c r="B723" s="10"/>
      <c r="C723" s="10"/>
      <c r="D723" s="10"/>
      <c r="E723" s="10"/>
      <c r="F723" s="10"/>
      <c r="G723" s="10"/>
      <c r="H723" s="10"/>
      <c r="I723" s="9"/>
    </row>
    <row r="724" ht="14.25" customHeight="1">
      <c r="A724" s="10"/>
      <c r="B724" s="10"/>
      <c r="C724" s="10"/>
      <c r="D724" s="10"/>
      <c r="E724" s="10"/>
      <c r="F724" s="10"/>
      <c r="G724" s="10"/>
      <c r="H724" s="10"/>
      <c r="I724" s="9"/>
    </row>
    <row r="725" ht="14.25" customHeight="1">
      <c r="A725" s="10"/>
      <c r="B725" s="10"/>
      <c r="C725" s="10"/>
      <c r="D725" s="10"/>
      <c r="E725" s="10"/>
      <c r="F725" s="10"/>
      <c r="G725" s="10"/>
      <c r="H725" s="10"/>
      <c r="I725" s="9"/>
    </row>
    <row r="726" ht="14.25" customHeight="1">
      <c r="A726" s="10"/>
      <c r="B726" s="10"/>
      <c r="C726" s="10"/>
      <c r="D726" s="10"/>
      <c r="E726" s="10"/>
      <c r="F726" s="10"/>
      <c r="G726" s="10"/>
      <c r="H726" s="10"/>
      <c r="I726" s="9"/>
    </row>
    <row r="727" ht="14.25" customHeight="1">
      <c r="A727" s="10"/>
      <c r="B727" s="10"/>
      <c r="C727" s="10"/>
      <c r="D727" s="10"/>
      <c r="E727" s="10"/>
      <c r="F727" s="10"/>
      <c r="G727" s="10"/>
      <c r="H727" s="10"/>
      <c r="I727" s="9"/>
    </row>
    <row r="728" ht="14.25" customHeight="1">
      <c r="A728" s="10"/>
      <c r="B728" s="10"/>
      <c r="C728" s="10"/>
      <c r="D728" s="10"/>
      <c r="E728" s="10"/>
      <c r="F728" s="10"/>
      <c r="G728" s="10"/>
      <c r="H728" s="10"/>
      <c r="I728" s="9"/>
    </row>
    <row r="729" ht="14.25" customHeight="1">
      <c r="A729" s="10"/>
      <c r="B729" s="10"/>
      <c r="C729" s="10"/>
      <c r="D729" s="10"/>
      <c r="E729" s="10"/>
      <c r="F729" s="10"/>
      <c r="G729" s="10"/>
      <c r="H729" s="10"/>
      <c r="I729" s="9"/>
    </row>
    <row r="730" ht="14.25" customHeight="1">
      <c r="A730" s="10"/>
      <c r="B730" s="10"/>
      <c r="C730" s="10"/>
      <c r="D730" s="10"/>
      <c r="E730" s="10"/>
      <c r="F730" s="10"/>
      <c r="G730" s="10"/>
      <c r="H730" s="10"/>
      <c r="I730" s="9"/>
    </row>
    <row r="731" ht="14.25" customHeight="1">
      <c r="A731" s="10"/>
      <c r="B731" s="10"/>
      <c r="C731" s="10"/>
      <c r="D731" s="10"/>
      <c r="E731" s="10"/>
      <c r="F731" s="10"/>
      <c r="G731" s="10"/>
      <c r="H731" s="10"/>
      <c r="I731" s="9"/>
    </row>
    <row r="732" ht="14.25" customHeight="1">
      <c r="A732" s="10"/>
      <c r="B732" s="10"/>
      <c r="C732" s="10"/>
      <c r="D732" s="10"/>
      <c r="E732" s="10"/>
      <c r="F732" s="10"/>
      <c r="G732" s="10"/>
      <c r="H732" s="10"/>
      <c r="I732" s="9"/>
    </row>
    <row r="733" ht="14.25" customHeight="1">
      <c r="A733" s="10"/>
      <c r="B733" s="10"/>
      <c r="C733" s="10"/>
      <c r="D733" s="10"/>
      <c r="E733" s="10"/>
      <c r="F733" s="10"/>
      <c r="G733" s="10"/>
      <c r="H733" s="10"/>
      <c r="I733" s="9"/>
    </row>
    <row r="734" ht="14.25" customHeight="1">
      <c r="A734" s="10"/>
      <c r="B734" s="10"/>
      <c r="C734" s="10"/>
      <c r="D734" s="10"/>
      <c r="E734" s="10"/>
      <c r="F734" s="10"/>
      <c r="G734" s="10"/>
      <c r="H734" s="10"/>
      <c r="I734" s="9"/>
    </row>
    <row r="735" ht="14.25" customHeight="1">
      <c r="A735" s="10"/>
      <c r="B735" s="10"/>
      <c r="C735" s="10"/>
      <c r="D735" s="10"/>
      <c r="E735" s="10"/>
      <c r="F735" s="10"/>
      <c r="G735" s="10"/>
      <c r="H735" s="10"/>
      <c r="I735" s="9"/>
    </row>
    <row r="736" ht="14.25" customHeight="1">
      <c r="A736" s="10"/>
      <c r="B736" s="10"/>
      <c r="C736" s="10"/>
      <c r="D736" s="10"/>
      <c r="E736" s="10"/>
      <c r="F736" s="10"/>
      <c r="G736" s="10"/>
      <c r="H736" s="10"/>
      <c r="I736" s="9"/>
    </row>
    <row r="737" ht="14.25" customHeight="1">
      <c r="A737" s="10"/>
      <c r="B737" s="10"/>
      <c r="C737" s="10"/>
      <c r="D737" s="10"/>
      <c r="E737" s="10"/>
      <c r="F737" s="10"/>
      <c r="G737" s="10"/>
      <c r="H737" s="10"/>
      <c r="I737" s="9"/>
    </row>
    <row r="738" ht="14.25" customHeight="1">
      <c r="A738" s="10"/>
      <c r="B738" s="10"/>
      <c r="C738" s="10"/>
      <c r="D738" s="10"/>
      <c r="E738" s="10"/>
      <c r="F738" s="10"/>
      <c r="G738" s="10"/>
      <c r="H738" s="10"/>
      <c r="I738" s="9"/>
    </row>
    <row r="739" ht="14.25" customHeight="1">
      <c r="A739" s="10"/>
      <c r="B739" s="10"/>
      <c r="C739" s="10"/>
      <c r="D739" s="10"/>
      <c r="E739" s="10"/>
      <c r="F739" s="10"/>
      <c r="G739" s="10"/>
      <c r="H739" s="10"/>
      <c r="I739" s="9"/>
    </row>
    <row r="740" ht="14.25" customHeight="1">
      <c r="A740" s="10"/>
      <c r="B740" s="10"/>
      <c r="C740" s="10"/>
      <c r="D740" s="10"/>
      <c r="E740" s="10"/>
      <c r="F740" s="10"/>
      <c r="G740" s="10"/>
      <c r="H740" s="10"/>
      <c r="I740" s="9"/>
    </row>
    <row r="741" ht="14.25" customHeight="1">
      <c r="A741" s="10"/>
      <c r="B741" s="10"/>
      <c r="C741" s="10"/>
      <c r="D741" s="10"/>
      <c r="E741" s="10"/>
      <c r="F741" s="10"/>
      <c r="G741" s="10"/>
      <c r="H741" s="10"/>
      <c r="I741" s="9"/>
    </row>
    <row r="742" ht="14.25" customHeight="1">
      <c r="A742" s="10"/>
      <c r="B742" s="10"/>
      <c r="C742" s="10"/>
      <c r="D742" s="10"/>
      <c r="E742" s="10"/>
      <c r="F742" s="10"/>
      <c r="G742" s="10"/>
      <c r="H742" s="10"/>
      <c r="I742" s="9"/>
    </row>
    <row r="743" ht="14.25" customHeight="1">
      <c r="A743" s="10"/>
      <c r="B743" s="10"/>
      <c r="C743" s="10"/>
      <c r="D743" s="10"/>
      <c r="E743" s="10"/>
      <c r="F743" s="10"/>
      <c r="G743" s="10"/>
      <c r="H743" s="10"/>
      <c r="I743" s="9"/>
    </row>
    <row r="744" ht="14.25" customHeight="1">
      <c r="A744" s="10"/>
      <c r="B744" s="10"/>
      <c r="C744" s="10"/>
      <c r="D744" s="10"/>
      <c r="E744" s="10"/>
      <c r="F744" s="10"/>
      <c r="G744" s="10"/>
      <c r="H744" s="10"/>
      <c r="I744" s="9"/>
    </row>
    <row r="745" ht="14.25" customHeight="1">
      <c r="A745" s="10"/>
      <c r="B745" s="10"/>
      <c r="C745" s="10"/>
      <c r="D745" s="10"/>
      <c r="E745" s="10"/>
      <c r="F745" s="10"/>
      <c r="G745" s="10"/>
      <c r="H745" s="10"/>
      <c r="I745" s="9"/>
    </row>
    <row r="746" ht="14.25" customHeight="1">
      <c r="A746" s="10"/>
      <c r="B746" s="10"/>
      <c r="C746" s="10"/>
      <c r="D746" s="10"/>
      <c r="E746" s="10"/>
      <c r="F746" s="10"/>
      <c r="G746" s="10"/>
      <c r="H746" s="10"/>
      <c r="I746" s="9"/>
    </row>
    <row r="747" ht="14.25" customHeight="1">
      <c r="A747" s="10"/>
      <c r="B747" s="10"/>
      <c r="C747" s="10"/>
      <c r="D747" s="10"/>
      <c r="E747" s="10"/>
      <c r="F747" s="10"/>
      <c r="G747" s="10"/>
      <c r="H747" s="10"/>
      <c r="I747" s="9"/>
    </row>
    <row r="748" ht="14.25" customHeight="1">
      <c r="A748" s="10"/>
      <c r="B748" s="10"/>
      <c r="C748" s="10"/>
      <c r="D748" s="10"/>
      <c r="E748" s="10"/>
      <c r="F748" s="10"/>
      <c r="G748" s="10"/>
      <c r="H748" s="10"/>
      <c r="I748" s="9"/>
    </row>
    <row r="749" ht="14.25" customHeight="1">
      <c r="A749" s="10"/>
      <c r="B749" s="10"/>
      <c r="C749" s="10"/>
      <c r="D749" s="10"/>
      <c r="E749" s="10"/>
      <c r="F749" s="10"/>
      <c r="G749" s="10"/>
      <c r="H749" s="10"/>
      <c r="I749" s="9"/>
    </row>
    <row r="750" ht="14.25" customHeight="1">
      <c r="A750" s="10"/>
      <c r="B750" s="10"/>
      <c r="C750" s="10"/>
      <c r="D750" s="10"/>
      <c r="E750" s="10"/>
      <c r="F750" s="10"/>
      <c r="G750" s="10"/>
      <c r="H750" s="10"/>
      <c r="I750" s="9"/>
    </row>
    <row r="751" ht="14.25" customHeight="1">
      <c r="A751" s="10"/>
      <c r="B751" s="10"/>
      <c r="C751" s="10"/>
      <c r="D751" s="10"/>
      <c r="E751" s="10"/>
      <c r="F751" s="10"/>
      <c r="G751" s="10"/>
      <c r="H751" s="10"/>
      <c r="I751" s="9"/>
    </row>
    <row r="752" ht="14.25" customHeight="1">
      <c r="A752" s="10"/>
      <c r="B752" s="10"/>
      <c r="C752" s="10"/>
      <c r="D752" s="10"/>
      <c r="E752" s="10"/>
      <c r="F752" s="10"/>
      <c r="G752" s="10"/>
      <c r="H752" s="10"/>
      <c r="I752" s="9"/>
    </row>
    <row r="753" ht="14.25" customHeight="1">
      <c r="A753" s="10"/>
      <c r="B753" s="10"/>
      <c r="C753" s="10"/>
      <c r="D753" s="10"/>
      <c r="E753" s="10"/>
      <c r="F753" s="10"/>
      <c r="G753" s="10"/>
      <c r="H753" s="10"/>
      <c r="I753" s="9"/>
    </row>
    <row r="754" ht="14.25" customHeight="1">
      <c r="A754" s="10"/>
      <c r="B754" s="10"/>
      <c r="C754" s="10"/>
      <c r="D754" s="10"/>
      <c r="E754" s="10"/>
      <c r="F754" s="10"/>
      <c r="G754" s="10"/>
      <c r="H754" s="10"/>
      <c r="I754" s="9"/>
    </row>
    <row r="755" ht="14.25" customHeight="1">
      <c r="A755" s="10"/>
      <c r="B755" s="10"/>
      <c r="C755" s="10"/>
      <c r="D755" s="10"/>
      <c r="E755" s="10"/>
      <c r="F755" s="10"/>
      <c r="G755" s="10"/>
      <c r="H755" s="10"/>
      <c r="I755" s="9"/>
    </row>
    <row r="756" ht="14.25" customHeight="1">
      <c r="A756" s="10"/>
      <c r="B756" s="10"/>
      <c r="C756" s="10"/>
      <c r="D756" s="10"/>
      <c r="E756" s="10"/>
      <c r="F756" s="10"/>
      <c r="G756" s="10"/>
      <c r="H756" s="10"/>
      <c r="I756" s="9"/>
    </row>
    <row r="757" ht="14.25" customHeight="1">
      <c r="A757" s="10"/>
      <c r="B757" s="10"/>
      <c r="C757" s="10"/>
      <c r="D757" s="10"/>
      <c r="E757" s="10"/>
      <c r="F757" s="10"/>
      <c r="G757" s="10"/>
      <c r="H757" s="10"/>
      <c r="I757" s="9"/>
    </row>
    <row r="758" ht="14.25" customHeight="1">
      <c r="A758" s="10"/>
      <c r="B758" s="10"/>
      <c r="C758" s="10"/>
      <c r="D758" s="10"/>
      <c r="E758" s="10"/>
      <c r="F758" s="10"/>
      <c r="G758" s="10"/>
      <c r="H758" s="10"/>
      <c r="I758" s="9"/>
    </row>
    <row r="759" ht="14.25" customHeight="1">
      <c r="A759" s="10"/>
      <c r="B759" s="10"/>
      <c r="C759" s="10"/>
      <c r="D759" s="10"/>
      <c r="E759" s="10"/>
      <c r="F759" s="10"/>
      <c r="G759" s="10"/>
      <c r="H759" s="10"/>
      <c r="I759" s="9"/>
    </row>
    <row r="760" ht="14.25" customHeight="1">
      <c r="A760" s="10"/>
      <c r="B760" s="10"/>
      <c r="C760" s="10"/>
      <c r="D760" s="10"/>
      <c r="E760" s="10"/>
      <c r="F760" s="10"/>
      <c r="G760" s="10"/>
      <c r="H760" s="10"/>
      <c r="I760" s="9"/>
    </row>
    <row r="761" ht="14.25" customHeight="1">
      <c r="A761" s="10"/>
      <c r="B761" s="10"/>
      <c r="C761" s="10"/>
      <c r="D761" s="10"/>
      <c r="E761" s="10"/>
      <c r="F761" s="10"/>
      <c r="G761" s="10"/>
      <c r="H761" s="10"/>
      <c r="I761" s="9"/>
    </row>
    <row r="762" ht="14.25" customHeight="1">
      <c r="A762" s="10"/>
      <c r="B762" s="10"/>
      <c r="C762" s="10"/>
      <c r="D762" s="10"/>
      <c r="E762" s="10"/>
      <c r="F762" s="10"/>
      <c r="G762" s="10"/>
      <c r="H762" s="10"/>
      <c r="I762" s="9"/>
    </row>
    <row r="763" ht="14.25" customHeight="1">
      <c r="A763" s="10"/>
      <c r="B763" s="10"/>
      <c r="C763" s="10"/>
      <c r="D763" s="10"/>
      <c r="E763" s="10"/>
      <c r="F763" s="10"/>
      <c r="G763" s="10"/>
      <c r="H763" s="10"/>
      <c r="I763" s="9"/>
    </row>
    <row r="764" ht="14.25" customHeight="1">
      <c r="A764" s="10"/>
      <c r="B764" s="10"/>
      <c r="C764" s="10"/>
      <c r="D764" s="10"/>
      <c r="E764" s="10"/>
      <c r="F764" s="10"/>
      <c r="G764" s="10"/>
      <c r="H764" s="10"/>
      <c r="I764" s="9"/>
    </row>
    <row r="765" ht="14.25" customHeight="1">
      <c r="A765" s="10"/>
      <c r="B765" s="10"/>
      <c r="C765" s="10"/>
      <c r="D765" s="10"/>
      <c r="E765" s="10"/>
      <c r="F765" s="10"/>
      <c r="G765" s="10"/>
      <c r="H765" s="10"/>
      <c r="I765" s="9"/>
    </row>
    <row r="766" ht="14.25" customHeight="1">
      <c r="A766" s="10"/>
      <c r="B766" s="10"/>
      <c r="C766" s="10"/>
      <c r="D766" s="10"/>
      <c r="E766" s="10"/>
      <c r="F766" s="10"/>
      <c r="G766" s="10"/>
      <c r="H766" s="10"/>
      <c r="I766" s="9"/>
    </row>
    <row r="767" ht="14.25" customHeight="1">
      <c r="A767" s="10"/>
      <c r="B767" s="10"/>
      <c r="C767" s="10"/>
      <c r="D767" s="10"/>
      <c r="E767" s="10"/>
      <c r="F767" s="10"/>
      <c r="G767" s="10"/>
      <c r="H767" s="10"/>
      <c r="I767" s="9"/>
    </row>
    <row r="768" ht="14.25" customHeight="1">
      <c r="A768" s="10"/>
      <c r="B768" s="10"/>
      <c r="C768" s="10"/>
      <c r="D768" s="10"/>
      <c r="E768" s="10"/>
      <c r="F768" s="10"/>
      <c r="G768" s="10"/>
      <c r="H768" s="10"/>
      <c r="I768" s="9"/>
    </row>
    <row r="769" ht="14.25" customHeight="1">
      <c r="A769" s="10"/>
      <c r="B769" s="10"/>
      <c r="C769" s="10"/>
      <c r="D769" s="10"/>
      <c r="E769" s="10"/>
      <c r="F769" s="10"/>
      <c r="G769" s="10"/>
      <c r="H769" s="10"/>
      <c r="I769" s="9"/>
    </row>
    <row r="770" ht="14.25" customHeight="1">
      <c r="A770" s="10"/>
      <c r="B770" s="10"/>
      <c r="C770" s="10"/>
      <c r="D770" s="10"/>
      <c r="E770" s="10"/>
      <c r="F770" s="10"/>
      <c r="G770" s="10"/>
      <c r="H770" s="10"/>
      <c r="I770" s="9"/>
    </row>
    <row r="771" ht="14.25" customHeight="1">
      <c r="A771" s="10"/>
      <c r="B771" s="10"/>
      <c r="C771" s="10"/>
      <c r="D771" s="10"/>
      <c r="E771" s="10"/>
      <c r="F771" s="10"/>
      <c r="G771" s="10"/>
      <c r="H771" s="10"/>
      <c r="I771" s="9"/>
    </row>
    <row r="772" ht="14.25" customHeight="1">
      <c r="A772" s="10"/>
      <c r="B772" s="10"/>
      <c r="C772" s="10"/>
      <c r="D772" s="10"/>
      <c r="E772" s="10"/>
      <c r="F772" s="10"/>
      <c r="G772" s="10"/>
      <c r="H772" s="10"/>
      <c r="I772" s="9"/>
    </row>
    <row r="773" ht="14.25" customHeight="1">
      <c r="A773" s="10"/>
      <c r="B773" s="10"/>
      <c r="C773" s="10"/>
      <c r="D773" s="10"/>
      <c r="E773" s="10"/>
      <c r="F773" s="10"/>
      <c r="G773" s="10"/>
      <c r="H773" s="10"/>
      <c r="I773" s="9"/>
    </row>
    <row r="774" ht="14.25" customHeight="1">
      <c r="A774" s="10"/>
      <c r="B774" s="10"/>
      <c r="C774" s="10"/>
      <c r="D774" s="10"/>
      <c r="E774" s="10"/>
      <c r="F774" s="10"/>
      <c r="G774" s="10"/>
      <c r="H774" s="10"/>
      <c r="I774" s="9"/>
    </row>
    <row r="775" ht="14.25" customHeight="1">
      <c r="A775" s="10"/>
      <c r="B775" s="10"/>
      <c r="C775" s="10"/>
      <c r="D775" s="10"/>
      <c r="E775" s="10"/>
      <c r="F775" s="10"/>
      <c r="G775" s="10"/>
      <c r="H775" s="10"/>
      <c r="I775" s="9"/>
    </row>
    <row r="776" ht="14.25" customHeight="1">
      <c r="A776" s="10"/>
      <c r="B776" s="10"/>
      <c r="C776" s="10"/>
      <c r="D776" s="10"/>
      <c r="E776" s="10"/>
      <c r="F776" s="10"/>
      <c r="G776" s="10"/>
      <c r="H776" s="10"/>
      <c r="I776" s="9"/>
    </row>
    <row r="777" ht="14.25" customHeight="1">
      <c r="A777" s="10"/>
      <c r="B777" s="10"/>
      <c r="C777" s="10"/>
      <c r="D777" s="10"/>
      <c r="E777" s="10"/>
      <c r="F777" s="10"/>
      <c r="G777" s="10"/>
      <c r="H777" s="10"/>
      <c r="I777" s="9"/>
    </row>
    <row r="778" ht="14.25" customHeight="1">
      <c r="A778" s="10"/>
      <c r="B778" s="10"/>
      <c r="C778" s="10"/>
      <c r="D778" s="10"/>
      <c r="E778" s="10"/>
      <c r="F778" s="10"/>
      <c r="G778" s="10"/>
      <c r="H778" s="10"/>
      <c r="I778" s="9"/>
    </row>
    <row r="779" ht="14.25" customHeight="1">
      <c r="A779" s="10"/>
      <c r="B779" s="10"/>
      <c r="C779" s="10"/>
      <c r="D779" s="10"/>
      <c r="E779" s="10"/>
      <c r="F779" s="10"/>
      <c r="G779" s="10"/>
      <c r="H779" s="10"/>
      <c r="I779" s="9"/>
    </row>
    <row r="780" ht="14.25" customHeight="1">
      <c r="A780" s="10"/>
      <c r="B780" s="10"/>
      <c r="C780" s="10"/>
      <c r="D780" s="10"/>
      <c r="E780" s="10"/>
      <c r="F780" s="10"/>
      <c r="G780" s="10"/>
      <c r="H780" s="10"/>
      <c r="I780" s="9"/>
    </row>
    <row r="781" ht="14.25" customHeight="1">
      <c r="A781" s="10"/>
      <c r="B781" s="10"/>
      <c r="C781" s="10"/>
      <c r="D781" s="10"/>
      <c r="E781" s="10"/>
      <c r="F781" s="10"/>
      <c r="G781" s="10"/>
      <c r="H781" s="10"/>
      <c r="I781" s="9"/>
    </row>
    <row r="782" ht="14.25" customHeight="1">
      <c r="A782" s="10"/>
      <c r="B782" s="10"/>
      <c r="C782" s="10"/>
      <c r="D782" s="10"/>
      <c r="E782" s="10"/>
      <c r="F782" s="10"/>
      <c r="G782" s="10"/>
      <c r="H782" s="10"/>
      <c r="I782" s="9"/>
    </row>
    <row r="783" ht="14.25" customHeight="1">
      <c r="A783" s="10"/>
      <c r="B783" s="10"/>
      <c r="C783" s="10"/>
      <c r="D783" s="10"/>
      <c r="E783" s="10"/>
      <c r="F783" s="10"/>
      <c r="G783" s="10"/>
      <c r="H783" s="10"/>
      <c r="I783" s="9"/>
    </row>
    <row r="784" ht="14.25" customHeight="1">
      <c r="A784" s="10"/>
      <c r="B784" s="10"/>
      <c r="C784" s="10"/>
      <c r="D784" s="10"/>
      <c r="E784" s="10"/>
      <c r="F784" s="10"/>
      <c r="G784" s="10"/>
      <c r="H784" s="10"/>
      <c r="I784" s="9"/>
    </row>
    <row r="785" ht="14.25" customHeight="1">
      <c r="A785" s="10"/>
      <c r="B785" s="10"/>
      <c r="C785" s="10"/>
      <c r="D785" s="10"/>
      <c r="E785" s="10"/>
      <c r="F785" s="10"/>
      <c r="G785" s="10"/>
      <c r="H785" s="10"/>
      <c r="I785" s="9"/>
    </row>
    <row r="786" ht="14.25" customHeight="1">
      <c r="A786" s="10"/>
      <c r="B786" s="10"/>
      <c r="C786" s="10"/>
      <c r="D786" s="10"/>
      <c r="E786" s="10"/>
      <c r="F786" s="10"/>
      <c r="G786" s="10"/>
      <c r="H786" s="10"/>
      <c r="I786" s="9"/>
    </row>
    <row r="787" ht="14.25" customHeight="1">
      <c r="A787" s="10"/>
      <c r="B787" s="10"/>
      <c r="C787" s="10"/>
      <c r="D787" s="10"/>
      <c r="E787" s="10"/>
      <c r="F787" s="10"/>
      <c r="G787" s="10"/>
      <c r="H787" s="10"/>
      <c r="I787" s="9"/>
    </row>
    <row r="788" ht="14.25" customHeight="1">
      <c r="A788" s="10"/>
      <c r="B788" s="10"/>
      <c r="C788" s="10"/>
      <c r="D788" s="10"/>
      <c r="E788" s="10"/>
      <c r="F788" s="10"/>
      <c r="G788" s="10"/>
      <c r="H788" s="10"/>
      <c r="I788" s="9"/>
    </row>
    <row r="789" ht="14.25" customHeight="1">
      <c r="A789" s="10"/>
      <c r="B789" s="10"/>
      <c r="C789" s="10"/>
      <c r="D789" s="10"/>
      <c r="E789" s="10"/>
      <c r="F789" s="10"/>
      <c r="G789" s="10"/>
      <c r="H789" s="10"/>
      <c r="I789" s="9"/>
    </row>
    <row r="790" ht="14.25" customHeight="1">
      <c r="A790" s="10"/>
      <c r="B790" s="10"/>
      <c r="C790" s="10"/>
      <c r="D790" s="10"/>
      <c r="E790" s="10"/>
      <c r="F790" s="10"/>
      <c r="G790" s="10"/>
      <c r="H790" s="10"/>
      <c r="I790" s="9"/>
    </row>
    <row r="791" ht="14.25" customHeight="1">
      <c r="A791" s="10"/>
      <c r="B791" s="10"/>
      <c r="C791" s="10"/>
      <c r="D791" s="10"/>
      <c r="E791" s="10"/>
      <c r="F791" s="10"/>
      <c r="G791" s="10"/>
      <c r="H791" s="10"/>
      <c r="I791" s="9"/>
    </row>
    <row r="792" ht="14.25" customHeight="1">
      <c r="A792" s="10"/>
      <c r="B792" s="10"/>
      <c r="C792" s="10"/>
      <c r="D792" s="10"/>
      <c r="E792" s="10"/>
      <c r="F792" s="10"/>
      <c r="G792" s="10"/>
      <c r="H792" s="10"/>
      <c r="I792" s="9"/>
    </row>
    <row r="793" ht="14.25" customHeight="1">
      <c r="A793" s="10"/>
      <c r="B793" s="10"/>
      <c r="C793" s="10"/>
      <c r="D793" s="10"/>
      <c r="E793" s="10"/>
      <c r="F793" s="10"/>
      <c r="G793" s="10"/>
      <c r="H793" s="10"/>
      <c r="I793" s="9"/>
    </row>
    <row r="794" ht="14.25" customHeight="1">
      <c r="A794" s="10"/>
      <c r="B794" s="10"/>
      <c r="C794" s="10"/>
      <c r="D794" s="10"/>
      <c r="E794" s="10"/>
      <c r="F794" s="10"/>
      <c r="G794" s="10"/>
      <c r="H794" s="10"/>
      <c r="I794" s="9"/>
    </row>
    <row r="795" ht="14.25" customHeight="1">
      <c r="A795" s="10"/>
      <c r="B795" s="10"/>
      <c r="C795" s="10"/>
      <c r="D795" s="10"/>
      <c r="E795" s="10"/>
      <c r="F795" s="10"/>
      <c r="G795" s="10"/>
      <c r="H795" s="10"/>
      <c r="I795" s="9"/>
    </row>
    <row r="796" ht="14.25" customHeight="1">
      <c r="A796" s="10"/>
      <c r="B796" s="10"/>
      <c r="C796" s="10"/>
      <c r="D796" s="10"/>
      <c r="E796" s="10"/>
      <c r="F796" s="10"/>
      <c r="G796" s="10"/>
      <c r="H796" s="10"/>
      <c r="I796" s="9"/>
    </row>
    <row r="797" ht="14.25" customHeight="1">
      <c r="A797" s="10"/>
      <c r="B797" s="10"/>
      <c r="C797" s="10"/>
      <c r="D797" s="10"/>
      <c r="E797" s="10"/>
      <c r="F797" s="10"/>
      <c r="G797" s="10"/>
      <c r="H797" s="10"/>
      <c r="I797" s="9"/>
    </row>
    <row r="798" ht="14.25" customHeight="1">
      <c r="A798" s="10"/>
      <c r="B798" s="10"/>
      <c r="C798" s="10"/>
      <c r="D798" s="10"/>
      <c r="E798" s="10"/>
      <c r="F798" s="10"/>
      <c r="G798" s="10"/>
      <c r="H798" s="10"/>
      <c r="I798" s="9"/>
    </row>
    <row r="799" ht="14.25" customHeight="1">
      <c r="A799" s="10"/>
      <c r="B799" s="10"/>
      <c r="C799" s="10"/>
      <c r="D799" s="10"/>
      <c r="E799" s="10"/>
      <c r="F799" s="10"/>
      <c r="G799" s="10"/>
      <c r="H799" s="10"/>
      <c r="I799" s="9"/>
    </row>
    <row r="800" ht="14.25" customHeight="1">
      <c r="A800" s="10"/>
      <c r="B800" s="10"/>
      <c r="C800" s="10"/>
      <c r="D800" s="10"/>
      <c r="E800" s="10"/>
      <c r="F800" s="10"/>
      <c r="G800" s="10"/>
      <c r="H800" s="10"/>
      <c r="I800" s="9"/>
    </row>
    <row r="801" ht="14.25" customHeight="1">
      <c r="A801" s="10"/>
      <c r="B801" s="10"/>
      <c r="C801" s="10"/>
      <c r="D801" s="10"/>
      <c r="E801" s="10"/>
      <c r="F801" s="10"/>
      <c r="G801" s="10"/>
      <c r="H801" s="10"/>
      <c r="I801" s="9"/>
    </row>
    <row r="802" ht="14.25" customHeight="1">
      <c r="A802" s="10"/>
      <c r="B802" s="10"/>
      <c r="C802" s="10"/>
      <c r="D802" s="10"/>
      <c r="E802" s="10"/>
      <c r="F802" s="10"/>
      <c r="G802" s="10"/>
      <c r="H802" s="10"/>
      <c r="I802" s="9"/>
    </row>
    <row r="803" ht="14.25" customHeight="1">
      <c r="A803" s="10"/>
      <c r="B803" s="10"/>
      <c r="C803" s="10"/>
      <c r="D803" s="10"/>
      <c r="E803" s="10"/>
      <c r="F803" s="10"/>
      <c r="G803" s="10"/>
      <c r="H803" s="10"/>
      <c r="I803" s="9"/>
    </row>
    <row r="804" ht="14.25" customHeight="1">
      <c r="A804" s="10"/>
      <c r="B804" s="10"/>
      <c r="C804" s="10"/>
      <c r="D804" s="10"/>
      <c r="E804" s="10"/>
      <c r="F804" s="10"/>
      <c r="G804" s="10"/>
      <c r="H804" s="10"/>
      <c r="I804" s="9"/>
    </row>
    <row r="805" ht="14.25" customHeight="1">
      <c r="A805" s="10"/>
      <c r="B805" s="10"/>
      <c r="C805" s="10"/>
      <c r="D805" s="10"/>
      <c r="E805" s="10"/>
      <c r="F805" s="10"/>
      <c r="G805" s="10"/>
      <c r="H805" s="10"/>
      <c r="I805" s="9"/>
    </row>
    <row r="806" ht="14.25" customHeight="1">
      <c r="A806" s="10"/>
      <c r="B806" s="10"/>
      <c r="C806" s="10"/>
      <c r="D806" s="10"/>
      <c r="E806" s="10"/>
      <c r="F806" s="10"/>
      <c r="G806" s="10"/>
      <c r="H806" s="10"/>
      <c r="I806" s="9"/>
    </row>
    <row r="807" ht="14.25" customHeight="1">
      <c r="A807" s="10"/>
      <c r="B807" s="10"/>
      <c r="C807" s="10"/>
      <c r="D807" s="10"/>
      <c r="E807" s="10"/>
      <c r="F807" s="10"/>
      <c r="G807" s="10"/>
      <c r="H807" s="10"/>
      <c r="I807" s="9"/>
    </row>
    <row r="808" ht="14.25" customHeight="1">
      <c r="A808" s="10"/>
      <c r="B808" s="10"/>
      <c r="C808" s="10"/>
      <c r="D808" s="10"/>
      <c r="E808" s="10"/>
      <c r="F808" s="10"/>
      <c r="G808" s="10"/>
      <c r="H808" s="10"/>
      <c r="I808" s="9"/>
    </row>
    <row r="809" ht="14.25" customHeight="1">
      <c r="A809" s="10"/>
      <c r="B809" s="10"/>
      <c r="C809" s="10"/>
      <c r="D809" s="10"/>
      <c r="E809" s="10"/>
      <c r="F809" s="10"/>
      <c r="G809" s="10"/>
      <c r="H809" s="10"/>
      <c r="I809" s="9"/>
    </row>
    <row r="810" ht="14.25" customHeight="1">
      <c r="A810" s="10"/>
      <c r="B810" s="10"/>
      <c r="C810" s="10"/>
      <c r="D810" s="10"/>
      <c r="E810" s="10"/>
      <c r="F810" s="10"/>
      <c r="G810" s="10"/>
      <c r="H810" s="10"/>
      <c r="I810" s="9"/>
    </row>
    <row r="811" ht="14.25" customHeight="1">
      <c r="A811" s="10"/>
      <c r="B811" s="10"/>
      <c r="C811" s="10"/>
      <c r="D811" s="10"/>
      <c r="E811" s="10"/>
      <c r="F811" s="10"/>
      <c r="G811" s="10"/>
      <c r="H811" s="10"/>
      <c r="I811" s="9"/>
    </row>
    <row r="812" ht="14.25" customHeight="1">
      <c r="A812" s="10"/>
      <c r="B812" s="10"/>
      <c r="C812" s="10"/>
      <c r="D812" s="10"/>
      <c r="E812" s="10"/>
      <c r="F812" s="10"/>
      <c r="G812" s="10"/>
      <c r="H812" s="10"/>
      <c r="I812" s="9"/>
    </row>
    <row r="813" ht="14.25" customHeight="1">
      <c r="A813" s="10"/>
      <c r="B813" s="10"/>
      <c r="C813" s="10"/>
      <c r="D813" s="10"/>
      <c r="E813" s="10"/>
      <c r="F813" s="10"/>
      <c r="G813" s="10"/>
      <c r="H813" s="10"/>
      <c r="I813" s="9"/>
    </row>
    <row r="814" ht="14.25" customHeight="1">
      <c r="A814" s="10"/>
      <c r="B814" s="10"/>
      <c r="C814" s="10"/>
      <c r="D814" s="10"/>
      <c r="E814" s="10"/>
      <c r="F814" s="10"/>
      <c r="G814" s="10"/>
      <c r="H814" s="10"/>
      <c r="I814" s="9"/>
    </row>
    <row r="815" ht="14.25" customHeight="1">
      <c r="A815" s="10"/>
      <c r="B815" s="10"/>
      <c r="C815" s="10"/>
      <c r="D815" s="10"/>
      <c r="E815" s="10"/>
      <c r="F815" s="10"/>
      <c r="G815" s="10"/>
      <c r="H815" s="10"/>
      <c r="I815" s="9"/>
    </row>
    <row r="816" ht="14.25" customHeight="1">
      <c r="A816" s="10"/>
      <c r="B816" s="10"/>
      <c r="C816" s="10"/>
      <c r="D816" s="10"/>
      <c r="E816" s="10"/>
      <c r="F816" s="10"/>
      <c r="G816" s="10"/>
      <c r="H816" s="10"/>
      <c r="I816" s="9"/>
    </row>
    <row r="817" ht="14.25" customHeight="1">
      <c r="A817" s="10"/>
      <c r="B817" s="10"/>
      <c r="C817" s="10"/>
      <c r="D817" s="10"/>
      <c r="E817" s="10"/>
      <c r="F817" s="10"/>
      <c r="G817" s="10"/>
      <c r="H817" s="10"/>
      <c r="I817" s="9"/>
    </row>
    <row r="818" ht="14.25" customHeight="1">
      <c r="A818" s="10"/>
      <c r="B818" s="10"/>
      <c r="C818" s="10"/>
      <c r="D818" s="10"/>
      <c r="E818" s="10"/>
      <c r="F818" s="10"/>
      <c r="G818" s="10"/>
      <c r="H818" s="10"/>
      <c r="I818" s="9"/>
    </row>
    <row r="819" ht="14.25" customHeight="1">
      <c r="A819" s="10"/>
      <c r="B819" s="10"/>
      <c r="C819" s="10"/>
      <c r="D819" s="10"/>
      <c r="E819" s="10"/>
      <c r="F819" s="10"/>
      <c r="G819" s="10"/>
      <c r="H819" s="10"/>
      <c r="I819" s="9"/>
    </row>
    <row r="820" ht="14.25" customHeight="1">
      <c r="A820" s="10"/>
      <c r="B820" s="10"/>
      <c r="C820" s="10"/>
      <c r="D820" s="10"/>
      <c r="E820" s="10"/>
      <c r="F820" s="10"/>
      <c r="G820" s="10"/>
      <c r="H820" s="10"/>
      <c r="I820" s="9"/>
    </row>
    <row r="821" ht="14.25" customHeight="1">
      <c r="A821" s="10"/>
      <c r="B821" s="10"/>
      <c r="C821" s="10"/>
      <c r="D821" s="10"/>
      <c r="E821" s="10"/>
      <c r="F821" s="10"/>
      <c r="G821" s="10"/>
      <c r="H821" s="10"/>
      <c r="I821" s="9"/>
    </row>
    <row r="822" ht="14.25" customHeight="1">
      <c r="A822" s="10"/>
      <c r="B822" s="10"/>
      <c r="C822" s="10"/>
      <c r="D822" s="10"/>
      <c r="E822" s="10"/>
      <c r="F822" s="10"/>
      <c r="G822" s="10"/>
      <c r="H822" s="10"/>
      <c r="I822" s="9"/>
    </row>
    <row r="823" ht="14.25" customHeight="1">
      <c r="A823" s="10"/>
      <c r="B823" s="10"/>
      <c r="C823" s="10"/>
      <c r="D823" s="10"/>
      <c r="E823" s="10"/>
      <c r="F823" s="10"/>
      <c r="G823" s="10"/>
      <c r="H823" s="10"/>
      <c r="I823" s="9"/>
    </row>
    <row r="824" ht="14.25" customHeight="1">
      <c r="A824" s="10"/>
      <c r="B824" s="10"/>
      <c r="C824" s="10"/>
      <c r="D824" s="10"/>
      <c r="E824" s="10"/>
      <c r="F824" s="10"/>
      <c r="G824" s="10"/>
      <c r="H824" s="10"/>
      <c r="I824" s="9"/>
    </row>
    <row r="825" ht="14.25" customHeight="1">
      <c r="A825" s="10"/>
      <c r="B825" s="10"/>
      <c r="C825" s="10"/>
      <c r="D825" s="10"/>
      <c r="E825" s="10"/>
      <c r="F825" s="10"/>
      <c r="G825" s="10"/>
      <c r="H825" s="10"/>
      <c r="I825" s="9"/>
    </row>
    <row r="826" ht="14.25" customHeight="1">
      <c r="A826" s="10"/>
      <c r="B826" s="10"/>
      <c r="C826" s="10"/>
      <c r="D826" s="10"/>
      <c r="E826" s="10"/>
      <c r="F826" s="10"/>
      <c r="G826" s="10"/>
      <c r="H826" s="10"/>
      <c r="I826" s="9"/>
    </row>
    <row r="827" ht="14.25" customHeight="1">
      <c r="A827" s="10"/>
      <c r="B827" s="10"/>
      <c r="C827" s="10"/>
      <c r="D827" s="10"/>
      <c r="E827" s="10"/>
      <c r="F827" s="10"/>
      <c r="G827" s="10"/>
      <c r="H827" s="10"/>
      <c r="I827" s="9"/>
    </row>
    <row r="828" ht="14.25" customHeight="1">
      <c r="A828" s="10"/>
      <c r="B828" s="10"/>
      <c r="C828" s="10"/>
      <c r="D828" s="10"/>
      <c r="E828" s="10"/>
      <c r="F828" s="10"/>
      <c r="G828" s="10"/>
      <c r="H828" s="10"/>
      <c r="I828" s="9"/>
    </row>
    <row r="829" ht="14.25" customHeight="1">
      <c r="A829" s="10"/>
      <c r="B829" s="10"/>
      <c r="C829" s="10"/>
      <c r="D829" s="10"/>
      <c r="E829" s="10"/>
      <c r="F829" s="10"/>
      <c r="G829" s="10"/>
      <c r="H829" s="10"/>
      <c r="I829" s="9"/>
    </row>
    <row r="830" ht="14.25" customHeight="1">
      <c r="A830" s="10"/>
      <c r="B830" s="10"/>
      <c r="C830" s="10"/>
      <c r="D830" s="10"/>
      <c r="E830" s="10"/>
      <c r="F830" s="10"/>
      <c r="G830" s="10"/>
      <c r="H830" s="10"/>
      <c r="I830" s="9"/>
    </row>
    <row r="831" ht="14.25" customHeight="1">
      <c r="A831" s="10"/>
      <c r="B831" s="10"/>
      <c r="C831" s="10"/>
      <c r="D831" s="10"/>
      <c r="E831" s="10"/>
      <c r="F831" s="10"/>
      <c r="G831" s="10"/>
      <c r="H831" s="10"/>
      <c r="I831" s="9"/>
    </row>
    <row r="832" ht="14.25" customHeight="1">
      <c r="A832" s="10"/>
      <c r="B832" s="10"/>
      <c r="C832" s="10"/>
      <c r="D832" s="10"/>
      <c r="E832" s="10"/>
      <c r="F832" s="10"/>
      <c r="G832" s="10"/>
      <c r="H832" s="10"/>
      <c r="I832" s="9"/>
    </row>
    <row r="833" ht="14.25" customHeight="1">
      <c r="A833" s="10"/>
      <c r="B833" s="10"/>
      <c r="C833" s="10"/>
      <c r="D833" s="10"/>
      <c r="E833" s="10"/>
      <c r="F833" s="10"/>
      <c r="G833" s="10"/>
      <c r="H833" s="10"/>
      <c r="I833" s="9"/>
    </row>
    <row r="834" ht="14.25" customHeight="1">
      <c r="A834" s="10"/>
      <c r="B834" s="10"/>
      <c r="C834" s="10"/>
      <c r="D834" s="10"/>
      <c r="E834" s="10"/>
      <c r="F834" s="10"/>
      <c r="G834" s="10"/>
      <c r="H834" s="10"/>
      <c r="I834" s="9"/>
    </row>
    <row r="835" ht="14.25" customHeight="1">
      <c r="A835" s="10"/>
      <c r="B835" s="10"/>
      <c r="C835" s="10"/>
      <c r="D835" s="10"/>
      <c r="E835" s="10"/>
      <c r="F835" s="10"/>
      <c r="G835" s="10"/>
      <c r="H835" s="10"/>
      <c r="I835" s="9"/>
    </row>
    <row r="836" ht="14.25" customHeight="1">
      <c r="A836" s="10"/>
      <c r="B836" s="10"/>
      <c r="C836" s="10"/>
      <c r="D836" s="10"/>
      <c r="E836" s="10"/>
      <c r="F836" s="10"/>
      <c r="G836" s="10"/>
      <c r="H836" s="10"/>
      <c r="I836" s="9"/>
    </row>
    <row r="837" ht="14.25" customHeight="1">
      <c r="A837" s="10"/>
      <c r="B837" s="10"/>
      <c r="C837" s="10"/>
      <c r="D837" s="10"/>
      <c r="E837" s="10"/>
      <c r="F837" s="10"/>
      <c r="G837" s="10"/>
      <c r="H837" s="10"/>
      <c r="I837" s="9"/>
    </row>
    <row r="838" ht="14.25" customHeight="1">
      <c r="A838" s="10"/>
      <c r="B838" s="10"/>
      <c r="C838" s="10"/>
      <c r="D838" s="10"/>
      <c r="E838" s="10"/>
      <c r="F838" s="10"/>
      <c r="G838" s="10"/>
      <c r="H838" s="10"/>
      <c r="I838" s="9"/>
    </row>
    <row r="839" ht="14.25" customHeight="1">
      <c r="A839" s="10"/>
      <c r="B839" s="10"/>
      <c r="C839" s="10"/>
      <c r="D839" s="10"/>
      <c r="E839" s="10"/>
      <c r="F839" s="10"/>
      <c r="G839" s="10"/>
      <c r="H839" s="10"/>
      <c r="I839" s="9"/>
    </row>
    <row r="840" ht="14.25" customHeight="1">
      <c r="A840" s="10"/>
      <c r="B840" s="10"/>
      <c r="C840" s="10"/>
      <c r="D840" s="10"/>
      <c r="E840" s="10"/>
      <c r="F840" s="10"/>
      <c r="G840" s="10"/>
      <c r="H840" s="10"/>
      <c r="I840" s="9"/>
    </row>
    <row r="841" ht="14.25" customHeight="1">
      <c r="A841" s="10"/>
      <c r="B841" s="10"/>
      <c r="C841" s="10"/>
      <c r="D841" s="10"/>
      <c r="E841" s="10"/>
      <c r="F841" s="10"/>
      <c r="G841" s="10"/>
      <c r="H841" s="10"/>
      <c r="I841" s="9"/>
    </row>
    <row r="842" ht="14.25" customHeight="1">
      <c r="A842" s="10"/>
      <c r="B842" s="10"/>
      <c r="C842" s="10"/>
      <c r="D842" s="10"/>
      <c r="E842" s="10"/>
      <c r="F842" s="10"/>
      <c r="G842" s="10"/>
      <c r="H842" s="10"/>
      <c r="I842" s="9"/>
    </row>
    <row r="843" ht="14.25" customHeight="1">
      <c r="A843" s="10"/>
      <c r="B843" s="10"/>
      <c r="C843" s="10"/>
      <c r="D843" s="10"/>
      <c r="E843" s="10"/>
      <c r="F843" s="10"/>
      <c r="G843" s="10"/>
      <c r="H843" s="10"/>
      <c r="I843" s="9"/>
    </row>
    <row r="844" ht="14.25" customHeight="1">
      <c r="A844" s="10"/>
      <c r="B844" s="10"/>
      <c r="C844" s="10"/>
      <c r="D844" s="10"/>
      <c r="E844" s="10"/>
      <c r="F844" s="10"/>
      <c r="G844" s="10"/>
      <c r="H844" s="10"/>
      <c r="I844" s="9"/>
    </row>
    <row r="845" ht="14.25" customHeight="1">
      <c r="A845" s="10"/>
      <c r="B845" s="10"/>
      <c r="C845" s="10"/>
      <c r="D845" s="10"/>
      <c r="E845" s="10"/>
      <c r="F845" s="10"/>
      <c r="G845" s="10"/>
      <c r="H845" s="10"/>
      <c r="I845" s="9"/>
    </row>
    <row r="846" ht="14.25" customHeight="1">
      <c r="A846" s="10"/>
      <c r="B846" s="10"/>
      <c r="C846" s="10"/>
      <c r="D846" s="10"/>
      <c r="E846" s="10"/>
      <c r="F846" s="10"/>
      <c r="G846" s="10"/>
      <c r="H846" s="10"/>
      <c r="I846" s="9"/>
    </row>
    <row r="847" ht="14.25" customHeight="1">
      <c r="A847" s="10"/>
      <c r="B847" s="10"/>
      <c r="C847" s="10"/>
      <c r="D847" s="10"/>
      <c r="E847" s="10"/>
      <c r="F847" s="10"/>
      <c r="G847" s="10"/>
      <c r="H847" s="10"/>
      <c r="I847" s="9"/>
    </row>
    <row r="848" ht="14.25" customHeight="1">
      <c r="A848" s="10"/>
      <c r="B848" s="10"/>
      <c r="C848" s="10"/>
      <c r="D848" s="10"/>
      <c r="E848" s="10"/>
      <c r="F848" s="10"/>
      <c r="G848" s="10"/>
      <c r="H848" s="10"/>
      <c r="I848" s="9"/>
    </row>
    <row r="849" ht="14.25" customHeight="1">
      <c r="A849" s="10"/>
      <c r="B849" s="10"/>
      <c r="C849" s="10"/>
      <c r="D849" s="10"/>
      <c r="E849" s="10"/>
      <c r="F849" s="10"/>
      <c r="G849" s="10"/>
      <c r="H849" s="10"/>
      <c r="I849" s="9"/>
    </row>
    <row r="850" ht="14.25" customHeight="1">
      <c r="A850" s="10"/>
      <c r="B850" s="10"/>
      <c r="C850" s="10"/>
      <c r="D850" s="10"/>
      <c r="E850" s="10"/>
      <c r="F850" s="10"/>
      <c r="G850" s="10"/>
      <c r="H850" s="10"/>
      <c r="I850" s="9"/>
    </row>
    <row r="851" ht="14.25" customHeight="1">
      <c r="A851" s="10"/>
      <c r="B851" s="10"/>
      <c r="C851" s="10"/>
      <c r="D851" s="10"/>
      <c r="E851" s="10"/>
      <c r="F851" s="10"/>
      <c r="G851" s="10"/>
      <c r="H851" s="10"/>
      <c r="I851" s="9"/>
    </row>
    <row r="852" ht="14.25" customHeight="1">
      <c r="A852" s="10"/>
      <c r="B852" s="10"/>
      <c r="C852" s="10"/>
      <c r="D852" s="10"/>
      <c r="E852" s="10"/>
      <c r="F852" s="10"/>
      <c r="G852" s="10"/>
      <c r="H852" s="10"/>
      <c r="I852" s="9"/>
    </row>
    <row r="853" ht="14.25" customHeight="1">
      <c r="A853" s="10"/>
      <c r="B853" s="10"/>
      <c r="C853" s="10"/>
      <c r="D853" s="10"/>
      <c r="E853" s="10"/>
      <c r="F853" s="10"/>
      <c r="G853" s="10"/>
      <c r="H853" s="10"/>
      <c r="I853" s="9"/>
    </row>
    <row r="854" ht="14.25" customHeight="1">
      <c r="A854" s="10"/>
      <c r="B854" s="10"/>
      <c r="C854" s="10"/>
      <c r="D854" s="10"/>
      <c r="E854" s="10"/>
      <c r="F854" s="10"/>
      <c r="G854" s="10"/>
      <c r="H854" s="10"/>
      <c r="I854" s="9"/>
    </row>
    <row r="855" ht="14.25" customHeight="1">
      <c r="A855" s="10"/>
      <c r="B855" s="10"/>
      <c r="C855" s="10"/>
      <c r="D855" s="10"/>
      <c r="E855" s="10"/>
      <c r="F855" s="10"/>
      <c r="G855" s="10"/>
      <c r="H855" s="10"/>
      <c r="I855" s="9"/>
    </row>
    <row r="856" ht="14.25" customHeight="1">
      <c r="A856" s="10"/>
      <c r="B856" s="10"/>
      <c r="C856" s="10"/>
      <c r="D856" s="10"/>
      <c r="E856" s="10"/>
      <c r="F856" s="10"/>
      <c r="G856" s="10"/>
      <c r="H856" s="10"/>
      <c r="I856" s="9"/>
    </row>
    <row r="857" ht="14.25" customHeight="1">
      <c r="A857" s="10"/>
      <c r="B857" s="10"/>
      <c r="C857" s="10"/>
      <c r="D857" s="10"/>
      <c r="E857" s="10"/>
      <c r="F857" s="10"/>
      <c r="G857" s="10"/>
      <c r="H857" s="10"/>
      <c r="I857" s="9"/>
    </row>
    <row r="858" ht="14.25" customHeight="1">
      <c r="A858" s="10"/>
      <c r="B858" s="10"/>
      <c r="C858" s="10"/>
      <c r="D858" s="10"/>
      <c r="E858" s="10"/>
      <c r="F858" s="10"/>
      <c r="G858" s="10"/>
      <c r="H858" s="10"/>
      <c r="I858" s="9"/>
    </row>
    <row r="859" ht="14.25" customHeight="1">
      <c r="A859" s="10"/>
      <c r="B859" s="10"/>
      <c r="C859" s="10"/>
      <c r="D859" s="10"/>
      <c r="E859" s="10"/>
      <c r="F859" s="10"/>
      <c r="G859" s="10"/>
      <c r="H859" s="10"/>
      <c r="I859" s="9"/>
    </row>
    <row r="860" ht="14.25" customHeight="1">
      <c r="A860" s="10"/>
      <c r="B860" s="10"/>
      <c r="C860" s="10"/>
      <c r="D860" s="10"/>
      <c r="E860" s="10"/>
      <c r="F860" s="10"/>
      <c r="G860" s="10"/>
      <c r="H860" s="10"/>
      <c r="I860" s="9"/>
    </row>
    <row r="861" ht="14.25" customHeight="1">
      <c r="A861" s="10"/>
      <c r="B861" s="10"/>
      <c r="C861" s="10"/>
      <c r="D861" s="10"/>
      <c r="E861" s="10"/>
      <c r="F861" s="10"/>
      <c r="G861" s="10"/>
      <c r="H861" s="10"/>
      <c r="I861" s="9"/>
    </row>
    <row r="862" ht="14.25" customHeight="1">
      <c r="A862" s="10"/>
      <c r="B862" s="10"/>
      <c r="C862" s="10"/>
      <c r="D862" s="10"/>
      <c r="E862" s="10"/>
      <c r="F862" s="10"/>
      <c r="G862" s="10"/>
      <c r="H862" s="10"/>
      <c r="I862" s="9"/>
    </row>
    <row r="863" ht="14.25" customHeight="1">
      <c r="A863" s="10"/>
      <c r="B863" s="10"/>
      <c r="C863" s="10"/>
      <c r="D863" s="10"/>
      <c r="E863" s="10"/>
      <c r="F863" s="10"/>
      <c r="G863" s="10"/>
      <c r="H863" s="10"/>
      <c r="I863" s="9"/>
    </row>
    <row r="864" ht="14.25" customHeight="1">
      <c r="A864" s="10"/>
      <c r="B864" s="10"/>
      <c r="C864" s="10"/>
      <c r="D864" s="10"/>
      <c r="E864" s="10"/>
      <c r="F864" s="10"/>
      <c r="G864" s="10"/>
      <c r="H864" s="10"/>
      <c r="I864" s="9"/>
    </row>
    <row r="865" ht="14.25" customHeight="1">
      <c r="A865" s="10"/>
      <c r="B865" s="10"/>
      <c r="C865" s="10"/>
      <c r="D865" s="10"/>
      <c r="E865" s="10"/>
      <c r="F865" s="10"/>
      <c r="G865" s="10"/>
      <c r="H865" s="10"/>
      <c r="I865" s="9"/>
    </row>
    <row r="866" ht="14.25" customHeight="1">
      <c r="A866" s="10"/>
      <c r="B866" s="10"/>
      <c r="C866" s="10"/>
      <c r="D866" s="10"/>
      <c r="E866" s="10"/>
      <c r="F866" s="10"/>
      <c r="G866" s="10"/>
      <c r="H866" s="10"/>
      <c r="I866" s="9"/>
    </row>
    <row r="867" ht="14.25" customHeight="1">
      <c r="A867" s="10"/>
      <c r="B867" s="10"/>
      <c r="C867" s="10"/>
      <c r="D867" s="10"/>
      <c r="E867" s="10"/>
      <c r="F867" s="10"/>
      <c r="G867" s="10"/>
      <c r="H867" s="10"/>
      <c r="I867" s="9"/>
    </row>
    <row r="868" ht="14.25" customHeight="1">
      <c r="A868" s="10"/>
      <c r="B868" s="10"/>
      <c r="C868" s="10"/>
      <c r="D868" s="10"/>
      <c r="E868" s="10"/>
      <c r="F868" s="10"/>
      <c r="G868" s="10"/>
      <c r="H868" s="10"/>
      <c r="I868" s="9"/>
    </row>
    <row r="869" ht="14.25" customHeight="1">
      <c r="A869" s="10"/>
      <c r="B869" s="10"/>
      <c r="C869" s="10"/>
      <c r="D869" s="10"/>
      <c r="E869" s="10"/>
      <c r="F869" s="10"/>
      <c r="G869" s="10"/>
      <c r="H869" s="10"/>
      <c r="I869" s="9"/>
    </row>
    <row r="870" ht="14.25" customHeight="1">
      <c r="A870" s="10"/>
      <c r="B870" s="10"/>
      <c r="C870" s="10"/>
      <c r="D870" s="10"/>
      <c r="E870" s="10"/>
      <c r="F870" s="10"/>
      <c r="G870" s="10"/>
      <c r="H870" s="10"/>
      <c r="I870" s="9"/>
    </row>
    <row r="871" ht="14.25" customHeight="1">
      <c r="A871" s="10"/>
      <c r="B871" s="10"/>
      <c r="C871" s="10"/>
      <c r="D871" s="10"/>
      <c r="E871" s="10"/>
      <c r="F871" s="10"/>
      <c r="G871" s="10"/>
      <c r="H871" s="10"/>
      <c r="I871" s="9"/>
    </row>
    <row r="872" ht="14.25" customHeight="1">
      <c r="A872" s="10"/>
      <c r="B872" s="10"/>
      <c r="C872" s="10"/>
      <c r="D872" s="10"/>
      <c r="E872" s="10"/>
      <c r="F872" s="10"/>
      <c r="G872" s="10"/>
      <c r="H872" s="10"/>
      <c r="I872" s="9"/>
    </row>
    <row r="873" ht="14.25" customHeight="1">
      <c r="A873" s="10"/>
      <c r="B873" s="10"/>
      <c r="C873" s="10"/>
      <c r="D873" s="10"/>
      <c r="E873" s="10"/>
      <c r="F873" s="10"/>
      <c r="G873" s="10"/>
      <c r="H873" s="10"/>
      <c r="I873" s="9"/>
    </row>
    <row r="874" ht="14.25" customHeight="1">
      <c r="A874" s="10"/>
      <c r="B874" s="10"/>
      <c r="C874" s="10"/>
      <c r="D874" s="10"/>
      <c r="E874" s="10"/>
      <c r="F874" s="10"/>
      <c r="G874" s="10"/>
      <c r="H874" s="10"/>
      <c r="I874" s="9"/>
    </row>
    <row r="875" ht="14.25" customHeight="1">
      <c r="A875" s="10"/>
      <c r="B875" s="10"/>
      <c r="C875" s="10"/>
      <c r="D875" s="10"/>
      <c r="E875" s="10"/>
      <c r="F875" s="10"/>
      <c r="G875" s="10"/>
      <c r="H875" s="10"/>
      <c r="I875" s="9"/>
    </row>
    <row r="876" ht="14.25" customHeight="1">
      <c r="A876" s="10"/>
      <c r="B876" s="10"/>
      <c r="C876" s="10"/>
      <c r="D876" s="10"/>
      <c r="E876" s="10"/>
      <c r="F876" s="10"/>
      <c r="G876" s="10"/>
      <c r="H876" s="10"/>
      <c r="I876" s="9"/>
    </row>
    <row r="877" ht="14.25" customHeight="1">
      <c r="A877" s="10"/>
      <c r="B877" s="10"/>
      <c r="C877" s="10"/>
      <c r="D877" s="10"/>
      <c r="E877" s="10"/>
      <c r="F877" s="10"/>
      <c r="G877" s="10"/>
      <c r="H877" s="10"/>
      <c r="I877" s="9"/>
    </row>
    <row r="878" ht="14.25" customHeight="1">
      <c r="A878" s="10"/>
      <c r="B878" s="10"/>
      <c r="C878" s="10"/>
      <c r="D878" s="10"/>
      <c r="E878" s="10"/>
      <c r="F878" s="10"/>
      <c r="G878" s="10"/>
      <c r="H878" s="10"/>
      <c r="I878" s="9"/>
    </row>
    <row r="879" ht="14.25" customHeight="1">
      <c r="A879" s="10"/>
      <c r="B879" s="10"/>
      <c r="C879" s="10"/>
      <c r="D879" s="10"/>
      <c r="E879" s="10"/>
      <c r="F879" s="10"/>
      <c r="G879" s="10"/>
      <c r="H879" s="10"/>
      <c r="I879" s="9"/>
    </row>
    <row r="880" ht="14.25" customHeight="1">
      <c r="A880" s="10"/>
      <c r="B880" s="10"/>
      <c r="C880" s="10"/>
      <c r="D880" s="10"/>
      <c r="E880" s="10"/>
      <c r="F880" s="10"/>
      <c r="G880" s="10"/>
      <c r="H880" s="10"/>
      <c r="I880" s="9"/>
    </row>
    <row r="881" ht="14.25" customHeight="1">
      <c r="A881" s="10"/>
      <c r="B881" s="10"/>
      <c r="C881" s="10"/>
      <c r="D881" s="10"/>
      <c r="E881" s="10"/>
      <c r="F881" s="10"/>
      <c r="G881" s="10"/>
      <c r="H881" s="10"/>
      <c r="I881" s="9"/>
    </row>
    <row r="882" ht="14.25" customHeight="1">
      <c r="A882" s="10"/>
      <c r="B882" s="10"/>
      <c r="C882" s="10"/>
      <c r="D882" s="10"/>
      <c r="E882" s="10"/>
      <c r="F882" s="10"/>
      <c r="G882" s="10"/>
      <c r="H882" s="10"/>
      <c r="I882" s="9"/>
    </row>
    <row r="883" ht="14.25" customHeight="1">
      <c r="A883" s="10"/>
      <c r="B883" s="10"/>
      <c r="C883" s="10"/>
      <c r="D883" s="10"/>
      <c r="E883" s="10"/>
      <c r="F883" s="10"/>
      <c r="G883" s="10"/>
      <c r="H883" s="10"/>
      <c r="I883" s="9"/>
    </row>
    <row r="884" ht="14.25" customHeight="1">
      <c r="A884" s="10"/>
      <c r="B884" s="10"/>
      <c r="C884" s="10"/>
      <c r="D884" s="10"/>
      <c r="E884" s="10"/>
      <c r="F884" s="10"/>
      <c r="G884" s="10"/>
      <c r="H884" s="10"/>
      <c r="I884" s="9"/>
    </row>
    <row r="885" ht="14.25" customHeight="1">
      <c r="A885" s="10"/>
      <c r="B885" s="10"/>
      <c r="C885" s="10"/>
      <c r="D885" s="10"/>
      <c r="E885" s="10"/>
      <c r="F885" s="10"/>
      <c r="G885" s="10"/>
      <c r="H885" s="10"/>
      <c r="I885" s="9"/>
    </row>
    <row r="886" ht="14.25" customHeight="1">
      <c r="A886" s="10"/>
      <c r="B886" s="10"/>
      <c r="C886" s="10"/>
      <c r="D886" s="10"/>
      <c r="E886" s="10"/>
      <c r="F886" s="10"/>
      <c r="G886" s="10"/>
      <c r="H886" s="10"/>
      <c r="I886" s="9"/>
    </row>
    <row r="887" ht="14.25" customHeight="1">
      <c r="A887" s="10"/>
      <c r="B887" s="10"/>
      <c r="C887" s="10"/>
      <c r="D887" s="10"/>
      <c r="E887" s="10"/>
      <c r="F887" s="10"/>
      <c r="G887" s="10"/>
      <c r="H887" s="10"/>
      <c r="I887" s="9"/>
    </row>
    <row r="888" ht="14.25" customHeight="1">
      <c r="A888" s="10"/>
      <c r="B888" s="10"/>
      <c r="C888" s="10"/>
      <c r="D888" s="10"/>
      <c r="E888" s="10"/>
      <c r="F888" s="10"/>
      <c r="G888" s="10"/>
      <c r="H888" s="10"/>
      <c r="I888" s="9"/>
    </row>
    <row r="889" ht="14.25" customHeight="1">
      <c r="A889" s="10"/>
      <c r="B889" s="10"/>
      <c r="C889" s="10"/>
      <c r="D889" s="10"/>
      <c r="E889" s="10"/>
      <c r="F889" s="10"/>
      <c r="G889" s="10"/>
      <c r="H889" s="10"/>
      <c r="I889" s="9"/>
    </row>
    <row r="890" ht="14.25" customHeight="1">
      <c r="A890" s="10"/>
      <c r="B890" s="10"/>
      <c r="C890" s="10"/>
      <c r="D890" s="10"/>
      <c r="E890" s="10"/>
      <c r="F890" s="10"/>
      <c r="G890" s="10"/>
      <c r="H890" s="10"/>
      <c r="I890" s="9"/>
    </row>
    <row r="891" ht="14.25" customHeight="1">
      <c r="A891" s="10"/>
      <c r="B891" s="10"/>
      <c r="C891" s="10"/>
      <c r="D891" s="10"/>
      <c r="E891" s="10"/>
      <c r="F891" s="10"/>
      <c r="G891" s="10"/>
      <c r="H891" s="10"/>
      <c r="I891" s="9"/>
    </row>
    <row r="892" ht="14.25" customHeight="1">
      <c r="A892" s="10"/>
      <c r="B892" s="10"/>
      <c r="C892" s="10"/>
      <c r="D892" s="10"/>
      <c r="E892" s="10"/>
      <c r="F892" s="10"/>
      <c r="G892" s="10"/>
      <c r="H892" s="10"/>
      <c r="I892" s="9"/>
    </row>
    <row r="893" ht="14.25" customHeight="1">
      <c r="A893" s="10"/>
      <c r="B893" s="10"/>
      <c r="C893" s="10"/>
      <c r="D893" s="10"/>
      <c r="E893" s="10"/>
      <c r="F893" s="10"/>
      <c r="G893" s="10"/>
      <c r="H893" s="10"/>
      <c r="I893" s="9"/>
    </row>
    <row r="894" ht="14.25" customHeight="1">
      <c r="A894" s="10"/>
      <c r="B894" s="10"/>
      <c r="C894" s="10"/>
      <c r="D894" s="10"/>
      <c r="E894" s="10"/>
      <c r="F894" s="10"/>
      <c r="G894" s="10"/>
      <c r="H894" s="10"/>
      <c r="I894" s="9"/>
    </row>
    <row r="895" ht="14.25" customHeight="1">
      <c r="A895" s="10"/>
      <c r="B895" s="10"/>
      <c r="C895" s="10"/>
      <c r="D895" s="10"/>
      <c r="E895" s="10"/>
      <c r="F895" s="10"/>
      <c r="G895" s="10"/>
      <c r="H895" s="10"/>
      <c r="I895" s="9"/>
    </row>
    <row r="896" ht="14.25" customHeight="1">
      <c r="A896" s="10"/>
      <c r="B896" s="10"/>
      <c r="C896" s="10"/>
      <c r="D896" s="10"/>
      <c r="E896" s="10"/>
      <c r="F896" s="10"/>
      <c r="G896" s="10"/>
      <c r="H896" s="10"/>
      <c r="I896" s="9"/>
    </row>
    <row r="897" ht="14.25" customHeight="1">
      <c r="A897" s="10"/>
      <c r="B897" s="10"/>
      <c r="C897" s="10"/>
      <c r="D897" s="10"/>
      <c r="E897" s="10"/>
      <c r="F897" s="10"/>
      <c r="G897" s="10"/>
      <c r="H897" s="10"/>
      <c r="I897" s="9"/>
    </row>
    <row r="898" ht="14.25" customHeight="1">
      <c r="A898" s="10"/>
      <c r="B898" s="10"/>
      <c r="C898" s="10"/>
      <c r="D898" s="10"/>
      <c r="E898" s="10"/>
      <c r="F898" s="10"/>
      <c r="G898" s="10"/>
      <c r="H898" s="10"/>
      <c r="I898" s="9"/>
    </row>
    <row r="899" ht="14.25" customHeight="1">
      <c r="A899" s="10"/>
      <c r="B899" s="10"/>
      <c r="C899" s="10"/>
      <c r="D899" s="10"/>
      <c r="E899" s="10"/>
      <c r="F899" s="10"/>
      <c r="G899" s="10"/>
      <c r="H899" s="10"/>
      <c r="I899" s="9"/>
    </row>
    <row r="900" ht="14.25" customHeight="1">
      <c r="A900" s="10"/>
      <c r="B900" s="10"/>
      <c r="C900" s="10"/>
      <c r="D900" s="10"/>
      <c r="E900" s="10"/>
      <c r="F900" s="10"/>
      <c r="G900" s="10"/>
      <c r="H900" s="10"/>
      <c r="I900" s="9"/>
    </row>
    <row r="901" ht="14.25" customHeight="1">
      <c r="A901" s="10"/>
      <c r="B901" s="10"/>
      <c r="C901" s="10"/>
      <c r="D901" s="10"/>
      <c r="E901" s="10"/>
      <c r="F901" s="10"/>
      <c r="G901" s="10"/>
      <c r="H901" s="10"/>
      <c r="I901" s="9"/>
    </row>
    <row r="902" ht="14.25" customHeight="1">
      <c r="A902" s="10"/>
      <c r="B902" s="10"/>
      <c r="C902" s="10"/>
      <c r="D902" s="10"/>
      <c r="E902" s="10"/>
      <c r="F902" s="10"/>
      <c r="G902" s="10"/>
      <c r="H902" s="10"/>
      <c r="I902" s="9"/>
    </row>
    <row r="903" ht="14.25" customHeight="1">
      <c r="A903" s="10"/>
      <c r="B903" s="10"/>
      <c r="C903" s="10"/>
      <c r="D903" s="10"/>
      <c r="E903" s="10"/>
      <c r="F903" s="10"/>
      <c r="G903" s="10"/>
      <c r="H903" s="10"/>
      <c r="I903" s="9"/>
    </row>
    <row r="904" ht="14.25" customHeight="1">
      <c r="A904" s="10"/>
      <c r="B904" s="10"/>
      <c r="C904" s="10"/>
      <c r="D904" s="10"/>
      <c r="E904" s="10"/>
      <c r="F904" s="10"/>
      <c r="G904" s="10"/>
      <c r="H904" s="10"/>
      <c r="I904" s="9"/>
    </row>
    <row r="905" ht="14.25" customHeight="1">
      <c r="A905" s="10"/>
      <c r="B905" s="10"/>
      <c r="C905" s="10"/>
      <c r="D905" s="10"/>
      <c r="E905" s="10"/>
      <c r="F905" s="10"/>
      <c r="G905" s="10"/>
      <c r="H905" s="10"/>
      <c r="I905" s="9"/>
    </row>
    <row r="906" ht="14.25" customHeight="1">
      <c r="A906" s="10"/>
      <c r="B906" s="10"/>
      <c r="C906" s="10"/>
      <c r="D906" s="10"/>
      <c r="E906" s="10"/>
      <c r="F906" s="10"/>
      <c r="G906" s="10"/>
      <c r="H906" s="10"/>
      <c r="I906" s="9"/>
    </row>
    <row r="907" ht="14.25" customHeight="1">
      <c r="A907" s="10"/>
      <c r="B907" s="10"/>
      <c r="C907" s="10"/>
      <c r="D907" s="10"/>
      <c r="E907" s="10"/>
      <c r="F907" s="10"/>
      <c r="G907" s="10"/>
      <c r="H907" s="10"/>
      <c r="I907" s="9"/>
    </row>
    <row r="908" ht="14.25" customHeight="1">
      <c r="A908" s="10"/>
      <c r="B908" s="10"/>
      <c r="C908" s="10"/>
      <c r="D908" s="10"/>
      <c r="E908" s="10"/>
      <c r="F908" s="10"/>
      <c r="G908" s="10"/>
      <c r="H908" s="10"/>
      <c r="I908" s="9"/>
    </row>
    <row r="909" ht="14.25" customHeight="1">
      <c r="A909" s="10"/>
      <c r="B909" s="10"/>
      <c r="C909" s="10"/>
      <c r="D909" s="10"/>
      <c r="E909" s="10"/>
      <c r="F909" s="10"/>
      <c r="G909" s="10"/>
      <c r="H909" s="10"/>
      <c r="I909" s="9"/>
    </row>
    <row r="910" ht="14.25" customHeight="1">
      <c r="A910" s="10"/>
      <c r="B910" s="10"/>
      <c r="C910" s="10"/>
      <c r="D910" s="10"/>
      <c r="E910" s="10"/>
      <c r="F910" s="10"/>
      <c r="G910" s="10"/>
      <c r="H910" s="10"/>
      <c r="I910" s="9"/>
    </row>
    <row r="911" ht="14.25" customHeight="1">
      <c r="A911" s="10"/>
      <c r="B911" s="10"/>
      <c r="C911" s="10"/>
      <c r="D911" s="10"/>
      <c r="E911" s="10"/>
      <c r="F911" s="10"/>
      <c r="G911" s="10"/>
      <c r="H911" s="10"/>
      <c r="I911" s="9"/>
    </row>
    <row r="912" ht="14.25" customHeight="1">
      <c r="A912" s="10"/>
      <c r="B912" s="10"/>
      <c r="C912" s="10"/>
      <c r="D912" s="10"/>
      <c r="E912" s="10"/>
      <c r="F912" s="10"/>
      <c r="G912" s="10"/>
      <c r="H912" s="10"/>
      <c r="I912" s="9"/>
    </row>
    <row r="913" ht="14.25" customHeight="1">
      <c r="A913" s="10"/>
      <c r="B913" s="10"/>
      <c r="C913" s="10"/>
      <c r="D913" s="10"/>
      <c r="E913" s="10"/>
      <c r="F913" s="10"/>
      <c r="G913" s="10"/>
      <c r="H913" s="10"/>
      <c r="I913" s="9"/>
    </row>
    <row r="914" ht="14.25" customHeight="1">
      <c r="A914" s="10"/>
      <c r="B914" s="10"/>
      <c r="C914" s="10"/>
      <c r="D914" s="10"/>
      <c r="E914" s="10"/>
      <c r="F914" s="10"/>
      <c r="G914" s="10"/>
      <c r="H914" s="10"/>
      <c r="I914" s="9"/>
    </row>
    <row r="915" ht="14.25" customHeight="1">
      <c r="A915" s="10"/>
      <c r="B915" s="10"/>
      <c r="C915" s="10"/>
      <c r="D915" s="10"/>
      <c r="E915" s="10"/>
      <c r="F915" s="10"/>
      <c r="G915" s="10"/>
      <c r="H915" s="10"/>
      <c r="I915" s="9"/>
    </row>
    <row r="916" ht="14.25" customHeight="1">
      <c r="A916" s="10"/>
      <c r="B916" s="10"/>
      <c r="C916" s="10"/>
      <c r="D916" s="10"/>
      <c r="E916" s="10"/>
      <c r="F916" s="10"/>
      <c r="G916" s="10"/>
      <c r="H916" s="10"/>
      <c r="I916" s="9"/>
    </row>
    <row r="917" ht="14.25" customHeight="1">
      <c r="A917" s="10"/>
      <c r="B917" s="10"/>
      <c r="C917" s="10"/>
      <c r="D917" s="10"/>
      <c r="E917" s="10"/>
      <c r="F917" s="10"/>
      <c r="G917" s="10"/>
      <c r="H917" s="10"/>
      <c r="I917" s="9"/>
    </row>
    <row r="918" ht="14.25" customHeight="1">
      <c r="A918" s="10"/>
      <c r="B918" s="10"/>
      <c r="C918" s="10"/>
      <c r="D918" s="10"/>
      <c r="E918" s="10"/>
      <c r="F918" s="10"/>
      <c r="G918" s="10"/>
      <c r="H918" s="10"/>
      <c r="I918" s="9"/>
    </row>
    <row r="919" ht="14.25" customHeight="1">
      <c r="A919" s="10"/>
      <c r="B919" s="10"/>
      <c r="C919" s="10"/>
      <c r="D919" s="10"/>
      <c r="E919" s="10"/>
      <c r="F919" s="10"/>
      <c r="G919" s="10"/>
      <c r="H919" s="10"/>
      <c r="I919" s="9"/>
    </row>
    <row r="920" ht="14.25" customHeight="1">
      <c r="A920" s="10"/>
      <c r="B920" s="10"/>
      <c r="C920" s="10"/>
      <c r="D920" s="10"/>
      <c r="E920" s="10"/>
      <c r="F920" s="10"/>
      <c r="G920" s="10"/>
      <c r="H920" s="10"/>
      <c r="I920" s="9"/>
    </row>
    <row r="921" ht="14.25" customHeight="1">
      <c r="A921" s="10"/>
      <c r="B921" s="10"/>
      <c r="C921" s="10"/>
      <c r="D921" s="10"/>
      <c r="E921" s="10"/>
      <c r="F921" s="10"/>
      <c r="G921" s="10"/>
      <c r="H921" s="10"/>
      <c r="I921" s="9"/>
    </row>
    <row r="922" ht="14.25" customHeight="1">
      <c r="A922" s="10"/>
      <c r="B922" s="10"/>
      <c r="C922" s="10"/>
      <c r="D922" s="10"/>
      <c r="E922" s="10"/>
      <c r="F922" s="10"/>
      <c r="G922" s="10"/>
      <c r="H922" s="10"/>
      <c r="I922" s="9"/>
    </row>
    <row r="923" ht="14.25" customHeight="1">
      <c r="A923" s="10"/>
      <c r="B923" s="10"/>
      <c r="C923" s="10"/>
      <c r="D923" s="10"/>
      <c r="E923" s="10"/>
      <c r="F923" s="10"/>
      <c r="G923" s="10"/>
      <c r="H923" s="10"/>
      <c r="I923" s="9"/>
    </row>
    <row r="924" ht="14.25" customHeight="1">
      <c r="A924" s="10"/>
      <c r="B924" s="10"/>
      <c r="C924" s="10"/>
      <c r="D924" s="10"/>
      <c r="E924" s="10"/>
      <c r="F924" s="10"/>
      <c r="G924" s="10"/>
      <c r="H924" s="10"/>
      <c r="I924" s="9"/>
    </row>
    <row r="925" ht="14.25" customHeight="1">
      <c r="A925" s="10"/>
      <c r="B925" s="10"/>
      <c r="C925" s="10"/>
      <c r="D925" s="10"/>
      <c r="E925" s="10"/>
      <c r="F925" s="10"/>
      <c r="G925" s="10"/>
      <c r="H925" s="10"/>
      <c r="I925" s="9"/>
    </row>
    <row r="926" ht="14.25" customHeight="1">
      <c r="A926" s="10"/>
      <c r="B926" s="10"/>
      <c r="C926" s="10"/>
      <c r="D926" s="10"/>
      <c r="E926" s="10"/>
      <c r="F926" s="10"/>
      <c r="G926" s="10"/>
      <c r="H926" s="10"/>
      <c r="I926" s="9"/>
    </row>
    <row r="927" ht="14.25" customHeight="1">
      <c r="A927" s="10"/>
      <c r="B927" s="10"/>
      <c r="C927" s="10"/>
      <c r="D927" s="10"/>
      <c r="E927" s="10"/>
      <c r="F927" s="10"/>
      <c r="G927" s="10"/>
      <c r="H927" s="10"/>
      <c r="I927" s="9"/>
    </row>
    <row r="928" ht="14.25" customHeight="1">
      <c r="A928" s="10"/>
      <c r="B928" s="10"/>
      <c r="C928" s="10"/>
      <c r="D928" s="10"/>
      <c r="E928" s="10"/>
      <c r="F928" s="10"/>
      <c r="G928" s="10"/>
      <c r="H928" s="10"/>
      <c r="I928" s="9"/>
    </row>
    <row r="929" ht="14.25" customHeight="1">
      <c r="A929" s="10"/>
      <c r="B929" s="10"/>
      <c r="C929" s="10"/>
      <c r="D929" s="10"/>
      <c r="E929" s="10"/>
      <c r="F929" s="10"/>
      <c r="G929" s="10"/>
      <c r="H929" s="10"/>
      <c r="I929" s="9"/>
    </row>
    <row r="930" ht="14.25" customHeight="1">
      <c r="A930" s="10"/>
      <c r="B930" s="10"/>
      <c r="C930" s="10"/>
      <c r="D930" s="10"/>
      <c r="E930" s="10"/>
      <c r="F930" s="10"/>
      <c r="G930" s="10"/>
      <c r="H930" s="10"/>
      <c r="I930" s="9"/>
    </row>
    <row r="931" ht="14.25" customHeight="1">
      <c r="A931" s="10"/>
      <c r="B931" s="10"/>
      <c r="C931" s="10"/>
      <c r="D931" s="10"/>
      <c r="E931" s="10"/>
      <c r="F931" s="10"/>
      <c r="G931" s="10"/>
      <c r="H931" s="10"/>
      <c r="I931" s="9"/>
    </row>
    <row r="932" ht="14.25" customHeight="1">
      <c r="A932" s="10"/>
      <c r="B932" s="10"/>
      <c r="C932" s="10"/>
      <c r="D932" s="10"/>
      <c r="E932" s="10"/>
      <c r="F932" s="10"/>
      <c r="G932" s="10"/>
      <c r="H932" s="10"/>
      <c r="I932" s="9"/>
    </row>
    <row r="933" ht="14.25" customHeight="1">
      <c r="A933" s="10"/>
      <c r="B933" s="10"/>
      <c r="C933" s="10"/>
      <c r="D933" s="10"/>
      <c r="E933" s="10"/>
      <c r="F933" s="10"/>
      <c r="G933" s="10"/>
      <c r="H933" s="10"/>
      <c r="I933" s="9"/>
    </row>
    <row r="934" ht="14.25" customHeight="1">
      <c r="A934" s="10"/>
      <c r="B934" s="10"/>
      <c r="C934" s="10"/>
      <c r="D934" s="10"/>
      <c r="E934" s="10"/>
      <c r="F934" s="10"/>
      <c r="G934" s="10"/>
      <c r="H934" s="10"/>
      <c r="I934" s="9"/>
    </row>
    <row r="935" ht="14.25" customHeight="1">
      <c r="A935" s="10"/>
      <c r="B935" s="10"/>
      <c r="C935" s="10"/>
      <c r="D935" s="10"/>
      <c r="E935" s="10"/>
      <c r="F935" s="10"/>
      <c r="G935" s="10"/>
      <c r="H935" s="10"/>
      <c r="I935" s="9"/>
    </row>
    <row r="936" ht="14.25" customHeight="1">
      <c r="A936" s="10"/>
      <c r="B936" s="10"/>
      <c r="C936" s="10"/>
      <c r="D936" s="10"/>
      <c r="E936" s="10"/>
      <c r="F936" s="10"/>
      <c r="G936" s="10"/>
      <c r="H936" s="10"/>
      <c r="I936" s="9"/>
    </row>
    <row r="937" ht="14.25" customHeight="1">
      <c r="A937" s="10"/>
      <c r="B937" s="10"/>
      <c r="C937" s="10"/>
      <c r="D937" s="10"/>
      <c r="E937" s="10"/>
      <c r="F937" s="10"/>
      <c r="G937" s="10"/>
      <c r="H937" s="10"/>
      <c r="I937" s="9"/>
    </row>
    <row r="938" ht="14.25" customHeight="1">
      <c r="A938" s="10"/>
      <c r="B938" s="10"/>
      <c r="C938" s="10"/>
      <c r="D938" s="10"/>
      <c r="E938" s="10"/>
      <c r="F938" s="10"/>
      <c r="G938" s="10"/>
      <c r="H938" s="10"/>
      <c r="I938" s="9"/>
    </row>
    <row r="939" ht="14.25" customHeight="1">
      <c r="A939" s="10"/>
      <c r="B939" s="10"/>
      <c r="C939" s="10"/>
      <c r="D939" s="10"/>
      <c r="E939" s="10"/>
      <c r="F939" s="10"/>
      <c r="G939" s="10"/>
      <c r="H939" s="10"/>
      <c r="I939" s="9"/>
    </row>
    <row r="940" ht="14.25" customHeight="1">
      <c r="A940" s="10"/>
      <c r="B940" s="10"/>
      <c r="C940" s="10"/>
      <c r="D940" s="10"/>
      <c r="E940" s="10"/>
      <c r="F940" s="10"/>
      <c r="G940" s="10"/>
      <c r="H940" s="10"/>
      <c r="I940" s="9"/>
    </row>
    <row r="941" ht="14.25" customHeight="1">
      <c r="A941" s="10"/>
      <c r="B941" s="10"/>
      <c r="C941" s="10"/>
      <c r="D941" s="10"/>
      <c r="E941" s="10"/>
      <c r="F941" s="10"/>
      <c r="G941" s="10"/>
      <c r="H941" s="10"/>
      <c r="I941" s="9"/>
    </row>
    <row r="942" ht="14.25" customHeight="1">
      <c r="A942" s="10"/>
      <c r="B942" s="10"/>
      <c r="C942" s="10"/>
      <c r="D942" s="10"/>
      <c r="E942" s="10"/>
      <c r="F942" s="10"/>
      <c r="G942" s="10"/>
      <c r="H942" s="10"/>
      <c r="I942" s="9"/>
    </row>
    <row r="943" ht="14.25" customHeight="1">
      <c r="A943" s="10"/>
      <c r="B943" s="10"/>
      <c r="C943" s="10"/>
      <c r="D943" s="10"/>
      <c r="E943" s="10"/>
      <c r="F943" s="10"/>
      <c r="G943" s="10"/>
      <c r="H943" s="10"/>
      <c r="I943" s="9"/>
    </row>
    <row r="944" ht="14.25" customHeight="1">
      <c r="A944" s="10"/>
      <c r="B944" s="10"/>
      <c r="C944" s="10"/>
      <c r="D944" s="10"/>
      <c r="E944" s="10"/>
      <c r="F944" s="10"/>
      <c r="G944" s="10"/>
      <c r="H944" s="10"/>
      <c r="I944" s="9"/>
    </row>
    <row r="945" ht="14.25" customHeight="1">
      <c r="A945" s="10"/>
      <c r="B945" s="10"/>
      <c r="C945" s="10"/>
      <c r="D945" s="10"/>
      <c r="E945" s="10"/>
      <c r="F945" s="10"/>
      <c r="G945" s="10"/>
      <c r="H945" s="10"/>
      <c r="I945" s="9"/>
    </row>
    <row r="946" ht="14.25" customHeight="1">
      <c r="A946" s="10"/>
      <c r="B946" s="10"/>
      <c r="C946" s="10"/>
      <c r="D946" s="10"/>
      <c r="E946" s="10"/>
      <c r="F946" s="10"/>
      <c r="G946" s="10"/>
      <c r="H946" s="10"/>
      <c r="I946" s="9"/>
    </row>
    <row r="947" ht="14.25" customHeight="1">
      <c r="A947" s="10"/>
      <c r="B947" s="10"/>
      <c r="C947" s="10"/>
      <c r="D947" s="10"/>
      <c r="E947" s="10"/>
      <c r="F947" s="10"/>
      <c r="G947" s="10"/>
      <c r="H947" s="10"/>
      <c r="I947" s="9"/>
    </row>
    <row r="948" ht="14.25" customHeight="1">
      <c r="A948" s="10"/>
      <c r="B948" s="10"/>
      <c r="C948" s="10"/>
      <c r="D948" s="10"/>
      <c r="E948" s="10"/>
      <c r="F948" s="10"/>
      <c r="G948" s="10"/>
      <c r="H948" s="10"/>
      <c r="I948" s="9"/>
    </row>
    <row r="949" ht="14.25" customHeight="1">
      <c r="A949" s="10"/>
      <c r="B949" s="10"/>
      <c r="C949" s="10"/>
      <c r="D949" s="10"/>
      <c r="E949" s="10"/>
      <c r="F949" s="10"/>
      <c r="G949" s="10"/>
      <c r="H949" s="10"/>
      <c r="I949" s="9"/>
    </row>
    <row r="950" ht="14.25" customHeight="1">
      <c r="A950" s="10"/>
      <c r="B950" s="10"/>
      <c r="C950" s="10"/>
      <c r="D950" s="10"/>
      <c r="E950" s="10"/>
      <c r="F950" s="10"/>
      <c r="G950" s="10"/>
      <c r="H950" s="10"/>
      <c r="I950" s="9"/>
    </row>
    <row r="951" ht="14.25" customHeight="1">
      <c r="A951" s="10"/>
      <c r="B951" s="10"/>
      <c r="C951" s="10"/>
      <c r="D951" s="10"/>
      <c r="E951" s="10"/>
      <c r="F951" s="10"/>
      <c r="G951" s="10"/>
      <c r="H951" s="10"/>
      <c r="I951" s="9"/>
    </row>
    <row r="952" ht="14.25" customHeight="1">
      <c r="A952" s="10"/>
      <c r="B952" s="10"/>
      <c r="C952" s="10"/>
      <c r="D952" s="10"/>
      <c r="E952" s="10"/>
      <c r="F952" s="10"/>
      <c r="G952" s="10"/>
      <c r="H952" s="10"/>
      <c r="I952" s="9"/>
    </row>
    <row r="953" ht="14.25" customHeight="1">
      <c r="A953" s="10"/>
      <c r="B953" s="10"/>
      <c r="C953" s="10"/>
      <c r="D953" s="10"/>
      <c r="E953" s="10"/>
      <c r="F953" s="10"/>
      <c r="G953" s="10"/>
      <c r="H953" s="10"/>
      <c r="I953" s="9"/>
    </row>
    <row r="954" ht="14.25" customHeight="1">
      <c r="A954" s="10"/>
      <c r="B954" s="10"/>
      <c r="C954" s="10"/>
      <c r="D954" s="10"/>
      <c r="E954" s="10"/>
      <c r="F954" s="10"/>
      <c r="G954" s="10"/>
      <c r="H954" s="10"/>
      <c r="I954" s="9"/>
    </row>
    <row r="955" ht="14.25" customHeight="1">
      <c r="A955" s="10"/>
      <c r="B955" s="10"/>
      <c r="C955" s="10"/>
      <c r="D955" s="10"/>
      <c r="E955" s="10"/>
      <c r="F955" s="10"/>
      <c r="G955" s="10"/>
      <c r="H955" s="10"/>
      <c r="I955" s="9"/>
    </row>
    <row r="956" ht="14.25" customHeight="1">
      <c r="A956" s="10"/>
      <c r="B956" s="10"/>
      <c r="C956" s="10"/>
      <c r="D956" s="10"/>
      <c r="E956" s="10"/>
      <c r="F956" s="10"/>
      <c r="G956" s="10"/>
      <c r="H956" s="10"/>
      <c r="I956" s="9"/>
    </row>
    <row r="957" ht="14.25" customHeight="1">
      <c r="A957" s="10"/>
      <c r="B957" s="10"/>
      <c r="C957" s="10"/>
      <c r="D957" s="10"/>
      <c r="E957" s="10"/>
      <c r="F957" s="10"/>
      <c r="G957" s="10"/>
      <c r="H957" s="10"/>
      <c r="I957" s="9"/>
    </row>
    <row r="958" ht="14.25" customHeight="1">
      <c r="A958" s="10"/>
      <c r="B958" s="10"/>
      <c r="C958" s="10"/>
      <c r="D958" s="10"/>
      <c r="E958" s="10"/>
      <c r="F958" s="10"/>
      <c r="G958" s="10"/>
      <c r="H958" s="10"/>
      <c r="I958" s="9"/>
    </row>
    <row r="959" ht="14.25" customHeight="1">
      <c r="A959" s="10"/>
      <c r="B959" s="10"/>
      <c r="C959" s="10"/>
      <c r="D959" s="10"/>
      <c r="E959" s="10"/>
      <c r="F959" s="10"/>
      <c r="G959" s="10"/>
      <c r="H959" s="10"/>
      <c r="I959" s="9"/>
    </row>
    <row r="960" ht="14.25" customHeight="1">
      <c r="A960" s="10"/>
      <c r="B960" s="10"/>
      <c r="C960" s="10"/>
      <c r="D960" s="10"/>
      <c r="E960" s="10"/>
      <c r="F960" s="10"/>
      <c r="G960" s="10"/>
      <c r="H960" s="10"/>
      <c r="I960" s="9"/>
    </row>
    <row r="961" ht="14.25" customHeight="1">
      <c r="A961" s="10"/>
      <c r="B961" s="10"/>
      <c r="C961" s="10"/>
      <c r="D961" s="10"/>
      <c r="E961" s="10"/>
      <c r="F961" s="10"/>
      <c r="G961" s="10"/>
      <c r="H961" s="10"/>
      <c r="I961" s="9"/>
    </row>
    <row r="962" ht="14.25" customHeight="1">
      <c r="A962" s="10"/>
      <c r="B962" s="10"/>
      <c r="C962" s="10"/>
      <c r="D962" s="10"/>
      <c r="E962" s="10"/>
      <c r="F962" s="10"/>
      <c r="G962" s="10"/>
      <c r="H962" s="10"/>
      <c r="I962" s="9"/>
    </row>
    <row r="963" ht="14.25" customHeight="1">
      <c r="A963" s="10"/>
      <c r="B963" s="10"/>
      <c r="C963" s="10"/>
      <c r="D963" s="10"/>
      <c r="E963" s="10"/>
      <c r="F963" s="10"/>
      <c r="G963" s="10"/>
      <c r="H963" s="10"/>
      <c r="I963" s="9"/>
    </row>
    <row r="964" ht="14.25" customHeight="1">
      <c r="A964" s="10"/>
      <c r="B964" s="10"/>
      <c r="C964" s="10"/>
      <c r="D964" s="10"/>
      <c r="E964" s="10"/>
      <c r="F964" s="10"/>
      <c r="G964" s="10"/>
      <c r="H964" s="10"/>
      <c r="I964" s="9"/>
    </row>
    <row r="965" ht="14.25" customHeight="1">
      <c r="A965" s="10"/>
      <c r="B965" s="10"/>
      <c r="C965" s="10"/>
      <c r="D965" s="10"/>
      <c r="E965" s="10"/>
      <c r="F965" s="10"/>
      <c r="G965" s="10"/>
      <c r="H965" s="10"/>
      <c r="I965" s="9"/>
    </row>
    <row r="966" ht="14.25" customHeight="1">
      <c r="A966" s="10"/>
      <c r="B966" s="10"/>
      <c r="C966" s="10"/>
      <c r="D966" s="10"/>
      <c r="E966" s="10"/>
      <c r="F966" s="10"/>
      <c r="G966" s="10"/>
      <c r="H966" s="10"/>
      <c r="I966" s="9"/>
    </row>
    <row r="967" ht="14.25" customHeight="1">
      <c r="A967" s="10"/>
      <c r="B967" s="10"/>
      <c r="C967" s="10"/>
      <c r="D967" s="10"/>
      <c r="E967" s="10"/>
      <c r="F967" s="10"/>
      <c r="G967" s="10"/>
      <c r="H967" s="10"/>
      <c r="I967" s="9"/>
    </row>
    <row r="968" ht="14.25" customHeight="1">
      <c r="A968" s="10"/>
      <c r="B968" s="10"/>
      <c r="C968" s="10"/>
      <c r="D968" s="10"/>
      <c r="E968" s="10"/>
      <c r="F968" s="10"/>
      <c r="G968" s="10"/>
      <c r="H968" s="10"/>
      <c r="I968" s="9"/>
    </row>
    <row r="969" ht="14.25" customHeight="1">
      <c r="A969" s="10"/>
      <c r="B969" s="10"/>
      <c r="C969" s="10"/>
      <c r="D969" s="10"/>
      <c r="E969" s="10"/>
      <c r="F969" s="10"/>
      <c r="G969" s="10"/>
      <c r="H969" s="10"/>
      <c r="I969" s="9"/>
    </row>
    <row r="970" ht="14.25" customHeight="1">
      <c r="A970" s="10"/>
      <c r="B970" s="10"/>
      <c r="C970" s="10"/>
      <c r="D970" s="10"/>
      <c r="E970" s="10"/>
      <c r="F970" s="10"/>
      <c r="G970" s="10"/>
      <c r="H970" s="10"/>
      <c r="I970" s="9"/>
    </row>
    <row r="971" ht="14.25" customHeight="1">
      <c r="A971" s="10"/>
      <c r="B971" s="10"/>
      <c r="C971" s="10"/>
      <c r="D971" s="10"/>
      <c r="E971" s="10"/>
      <c r="F971" s="10"/>
      <c r="G971" s="10"/>
      <c r="H971" s="10"/>
      <c r="I971" s="9"/>
    </row>
    <row r="972" ht="14.25" customHeight="1">
      <c r="A972" s="10"/>
      <c r="B972" s="10"/>
      <c r="C972" s="10"/>
      <c r="D972" s="10"/>
      <c r="E972" s="10"/>
      <c r="F972" s="10"/>
      <c r="G972" s="10"/>
      <c r="H972" s="10"/>
      <c r="I972" s="9"/>
    </row>
    <row r="973" ht="14.25" customHeight="1">
      <c r="A973" s="10"/>
      <c r="B973" s="10"/>
      <c r="C973" s="10"/>
      <c r="D973" s="10"/>
      <c r="E973" s="10"/>
      <c r="F973" s="10"/>
      <c r="G973" s="10"/>
      <c r="H973" s="10"/>
      <c r="I973" s="9"/>
    </row>
    <row r="974" ht="14.25" customHeight="1">
      <c r="A974" s="10"/>
      <c r="B974" s="10"/>
      <c r="C974" s="10"/>
      <c r="D974" s="10"/>
      <c r="E974" s="10"/>
      <c r="F974" s="10"/>
      <c r="G974" s="10"/>
      <c r="H974" s="10"/>
      <c r="I974" s="9"/>
    </row>
    <row r="975" ht="14.25" customHeight="1">
      <c r="A975" s="10"/>
      <c r="B975" s="10"/>
      <c r="C975" s="10"/>
      <c r="D975" s="10"/>
      <c r="E975" s="10"/>
      <c r="F975" s="10"/>
      <c r="G975" s="10"/>
      <c r="H975" s="10"/>
      <c r="I975" s="9"/>
    </row>
    <row r="976" ht="14.25" customHeight="1">
      <c r="A976" s="10"/>
      <c r="B976" s="10"/>
      <c r="C976" s="10"/>
      <c r="D976" s="10"/>
      <c r="E976" s="10"/>
      <c r="F976" s="10"/>
      <c r="G976" s="10"/>
      <c r="H976" s="10"/>
      <c r="I976" s="9"/>
    </row>
    <row r="977" ht="14.25" customHeight="1">
      <c r="A977" s="10"/>
      <c r="B977" s="10"/>
      <c r="C977" s="10"/>
      <c r="D977" s="10"/>
      <c r="E977" s="10"/>
      <c r="F977" s="10"/>
      <c r="G977" s="10"/>
      <c r="H977" s="10"/>
      <c r="I977" s="9"/>
    </row>
    <row r="978" ht="14.25" customHeight="1">
      <c r="A978" s="10"/>
      <c r="B978" s="10"/>
      <c r="C978" s="10"/>
      <c r="D978" s="10"/>
      <c r="E978" s="10"/>
      <c r="F978" s="10"/>
      <c r="G978" s="10"/>
      <c r="H978" s="10"/>
      <c r="I978" s="9"/>
    </row>
    <row r="979" ht="14.25" customHeight="1">
      <c r="A979" s="10"/>
      <c r="B979" s="10"/>
      <c r="C979" s="10"/>
      <c r="D979" s="10"/>
      <c r="E979" s="10"/>
      <c r="F979" s="10"/>
      <c r="G979" s="10"/>
      <c r="H979" s="10"/>
      <c r="I979" s="9"/>
    </row>
    <row r="980" ht="14.25" customHeight="1">
      <c r="A980" s="10"/>
      <c r="B980" s="10"/>
      <c r="C980" s="10"/>
      <c r="D980" s="10"/>
      <c r="E980" s="10"/>
      <c r="F980" s="10"/>
      <c r="G980" s="10"/>
      <c r="H980" s="10"/>
      <c r="I980" s="9"/>
    </row>
    <row r="981" ht="14.25" customHeight="1">
      <c r="A981" s="10"/>
      <c r="B981" s="10"/>
      <c r="C981" s="10"/>
      <c r="D981" s="10"/>
      <c r="E981" s="10"/>
      <c r="F981" s="10"/>
      <c r="G981" s="10"/>
      <c r="H981" s="10"/>
      <c r="I981" s="9"/>
    </row>
    <row r="982" ht="14.25" customHeight="1">
      <c r="A982" s="10"/>
      <c r="B982" s="10"/>
      <c r="C982" s="10"/>
      <c r="D982" s="10"/>
      <c r="E982" s="10"/>
      <c r="F982" s="10"/>
      <c r="G982" s="10"/>
      <c r="H982" s="10"/>
      <c r="I982" s="9"/>
    </row>
    <row r="983" ht="14.25" customHeight="1">
      <c r="A983" s="10"/>
      <c r="B983" s="10"/>
      <c r="C983" s="10"/>
      <c r="D983" s="10"/>
      <c r="E983" s="10"/>
      <c r="F983" s="10"/>
      <c r="G983" s="10"/>
      <c r="H983" s="10"/>
      <c r="I983" s="9"/>
    </row>
    <row r="984" ht="14.25" customHeight="1">
      <c r="A984" s="10"/>
      <c r="B984" s="10"/>
      <c r="C984" s="10"/>
      <c r="D984" s="10"/>
      <c r="E984" s="10"/>
      <c r="F984" s="10"/>
      <c r="G984" s="10"/>
      <c r="H984" s="10"/>
      <c r="I984" s="9"/>
    </row>
    <row r="985" ht="14.25" customHeight="1">
      <c r="A985" s="10"/>
      <c r="B985" s="10"/>
      <c r="C985" s="10"/>
      <c r="D985" s="10"/>
      <c r="E985" s="10"/>
      <c r="F985" s="10"/>
      <c r="G985" s="10"/>
      <c r="H985" s="10"/>
      <c r="I985" s="9"/>
    </row>
    <row r="986" ht="14.25" customHeight="1">
      <c r="A986" s="10"/>
      <c r="B986" s="10"/>
      <c r="C986" s="10"/>
      <c r="D986" s="10"/>
      <c r="E986" s="10"/>
      <c r="F986" s="10"/>
      <c r="G986" s="10"/>
      <c r="H986" s="10"/>
      <c r="I986" s="9"/>
    </row>
    <row r="987" ht="14.25" customHeight="1">
      <c r="A987" s="10"/>
      <c r="B987" s="10"/>
      <c r="C987" s="10"/>
      <c r="D987" s="10"/>
      <c r="E987" s="10"/>
      <c r="F987" s="10"/>
      <c r="G987" s="10"/>
      <c r="H987" s="10"/>
      <c r="I987" s="9"/>
    </row>
    <row r="988" ht="14.25" customHeight="1">
      <c r="A988" s="10"/>
      <c r="B988" s="10"/>
      <c r="C988" s="10"/>
      <c r="D988" s="10"/>
      <c r="E988" s="10"/>
      <c r="F988" s="10"/>
      <c r="G988" s="10"/>
      <c r="H988" s="10"/>
      <c r="I988" s="9"/>
    </row>
    <row r="989" ht="14.25" customHeight="1">
      <c r="A989" s="10"/>
      <c r="B989" s="10"/>
      <c r="C989" s="10"/>
      <c r="D989" s="10"/>
      <c r="E989" s="10"/>
      <c r="F989" s="10"/>
      <c r="G989" s="10"/>
      <c r="H989" s="10"/>
      <c r="I989" s="9"/>
    </row>
    <row r="990" ht="14.25" customHeight="1">
      <c r="A990" s="10"/>
      <c r="B990" s="10"/>
      <c r="C990" s="10"/>
      <c r="D990" s="10"/>
      <c r="E990" s="10"/>
      <c r="F990" s="10"/>
      <c r="G990" s="10"/>
      <c r="H990" s="10"/>
      <c r="I990" s="9"/>
    </row>
    <row r="991" ht="14.25" customHeight="1">
      <c r="A991" s="10"/>
      <c r="B991" s="10"/>
      <c r="C991" s="10"/>
      <c r="D991" s="10"/>
      <c r="E991" s="10"/>
      <c r="F991" s="10"/>
      <c r="G991" s="10"/>
      <c r="H991" s="10"/>
      <c r="I991" s="9"/>
    </row>
    <row r="992" ht="14.25" customHeight="1">
      <c r="A992" s="10"/>
      <c r="B992" s="10"/>
      <c r="C992" s="10"/>
      <c r="D992" s="10"/>
      <c r="E992" s="10"/>
      <c r="F992" s="10"/>
      <c r="G992" s="10"/>
      <c r="H992" s="10"/>
      <c r="I992" s="9"/>
    </row>
    <row r="993" ht="14.25" customHeight="1">
      <c r="A993" s="10"/>
      <c r="B993" s="10"/>
      <c r="C993" s="10"/>
      <c r="D993" s="10"/>
      <c r="E993" s="10"/>
      <c r="F993" s="10"/>
      <c r="G993" s="10"/>
      <c r="H993" s="10"/>
      <c r="I993" s="9"/>
    </row>
    <row r="994" ht="14.25" customHeight="1">
      <c r="A994" s="10"/>
      <c r="B994" s="10"/>
      <c r="C994" s="10"/>
      <c r="D994" s="10"/>
      <c r="E994" s="10"/>
      <c r="F994" s="10"/>
      <c r="G994" s="10"/>
      <c r="H994" s="10"/>
      <c r="I994" s="9"/>
    </row>
    <row r="995" ht="14.25" customHeight="1">
      <c r="A995" s="10"/>
      <c r="B995" s="10"/>
      <c r="C995" s="10"/>
      <c r="D995" s="10"/>
      <c r="E995" s="10"/>
      <c r="F995" s="10"/>
      <c r="G995" s="10"/>
      <c r="H995" s="10"/>
      <c r="I995" s="9"/>
    </row>
    <row r="996" ht="14.25" customHeight="1">
      <c r="A996" s="10"/>
      <c r="B996" s="10"/>
      <c r="C996" s="10"/>
      <c r="D996" s="10"/>
      <c r="E996" s="10"/>
      <c r="F996" s="10"/>
      <c r="G996" s="10"/>
      <c r="H996" s="10"/>
      <c r="I996" s="9"/>
    </row>
    <row r="997" ht="14.25" customHeight="1">
      <c r="A997" s="10"/>
      <c r="B997" s="10"/>
      <c r="C997" s="10"/>
      <c r="D997" s="10"/>
      <c r="E997" s="10"/>
      <c r="F997" s="10"/>
      <c r="G997" s="10"/>
      <c r="H997" s="10"/>
      <c r="I997" s="9"/>
    </row>
    <row r="998" ht="14.25" customHeight="1">
      <c r="A998" s="10"/>
      <c r="B998" s="10"/>
      <c r="C998" s="10"/>
      <c r="D998" s="10"/>
      <c r="E998" s="10"/>
      <c r="F998" s="10"/>
      <c r="G998" s="10"/>
      <c r="H998" s="10"/>
      <c r="I998" s="9"/>
    </row>
    <row r="999" ht="14.25" customHeight="1">
      <c r="A999" s="10"/>
      <c r="B999" s="10"/>
      <c r="C999" s="10"/>
      <c r="D999" s="10"/>
      <c r="E999" s="10"/>
      <c r="F999" s="10"/>
      <c r="G999" s="10"/>
      <c r="H999" s="10"/>
      <c r="I999" s="9"/>
    </row>
    <row r="1000" ht="14.25" customHeight="1">
      <c r="A1000" s="10"/>
      <c r="B1000" s="10"/>
      <c r="C1000" s="10"/>
      <c r="D1000" s="10"/>
      <c r="E1000" s="10"/>
      <c r="F1000" s="10"/>
      <c r="G1000" s="10"/>
      <c r="H1000" s="10"/>
      <c r="I1000" s="9"/>
    </row>
  </sheetData>
  <pageMargins left="0.7" right="0.7" top="0.75" bottom="0.75" header="0.3" footer="0.3"/>
</worksheet>
</file>

<file path=xl/worksheets/sheet2.xml><?xml version="1.0" encoding="utf-8"?>
<x:worksheet xmlns:x="http://schemas.openxmlformats.org/spreadsheetml/2006/main">
  <x:sheetFormatPr defaultColWidth="14.453125" defaultRowHeight="15"/>
  <x:cols>
    <x:col min="1" max="1" width="24" customWidth="1"/>
    <x:col min="2" max="7" width="11" customWidth="1"/>
    <x:col min="8" max="26" width="8.54296875" customWidth="1"/>
  </x:cols>
  <x:sheetData>
    <x:row r="1" ht="15.75" customHeight="1">
      <x:c r="A1" s="11" t="s">
        <x:v>899</x:v>
      </x:c>
      <x:c r="B1" s="10"/>
      <x:c r="C1" s="10"/>
      <x:c r="D1" s="10"/>
      <x:c r="E1" s="10"/>
      <x:c r="F1" s="10"/>
      <x:c r="G1" s="10"/>
    </x:row>
    <x:row r="2" ht="15" customHeight="1">
      <x:c r="A2" s="12" t="s">
        <x:v>900</x:v>
      </x:c>
      <x:c r="B2" s="10"/>
      <x:c r="C2" s="10"/>
      <x:c r="D2" s="10"/>
      <x:c r="E2" s="10"/>
      <x:c r="F2" s="10"/>
      <x:c r="G2" s="10"/>
    </x:row>
    <x:row r="3" ht="14.25" customHeight="1">
      <x:c r="A3" s="10"/>
      <x:c r="B3" s="10"/>
      <x:c r="C3" s="10"/>
      <x:c r="D3" s="10"/>
      <x:c r="E3" s="10"/>
      <x:c r="F3" s="10"/>
      <x:c r="G3" s="10"/>
    </x:row>
    <x:row r="4" ht="15" customHeight="1">
      <x:c r="A4" s="13" t="s">
        <x:v>901</x:v>
      </x:c>
      <x:c r="B4" s="10"/>
      <x:c r="C4" s="10"/>
      <x:c r="D4" s="10"/>
      <x:c r="E4" s="10"/>
      <x:c r="F4" s="10"/>
      <x:c r="G4" s="10"/>
    </x:row>
    <x:row r="5" ht="15" customHeight="1">
      <x:c r="A5" s="14" t="s">
        <x:v>902</x:v>
      </x:c>
      <x:c r="B5" s="14" t="s">
        <x:v>903</x:v>
      </x:c>
      <x:c r="C5" s="10"/>
      <x:c r="D5" s="10"/>
      <x:c r="E5" s="10"/>
      <x:c r="F5" s="10"/>
      <x:c r="G5" s="10"/>
    </x:row>
    <x:row r="6" ht="15" customHeight="1">
      <x:c r="A6" s="15" t="s">
        <x:v>904</x:v>
      </x:c>
      <x:c r="B6" s="16" t="n">
        <x:f>SUMIFS('Data (parsed)'!$I$2:$I$235,'Data (parsed)'!$B$2:$B$235,A6)</x:f>
        <x:v>104</x:v>
      </x:c>
      <x:c r="C6" s="10"/>
      <x:c r="D6" s="10"/>
      <x:c r="E6" s="10"/>
      <x:c r="F6" s="10"/>
      <x:c r="G6" s="10"/>
    </x:row>
    <x:row r="7" ht="15" customHeight="1">
      <x:c r="A7" s="15" t="s">
        <x:v>905</x:v>
      </x:c>
      <x:c r="B7" s="16" t="n">
        <x:f>SUMIFS('Data (parsed)'!$I$2:$I$235,'Data (parsed)'!$B$2:$B$235,A7)</x:f>
        <x:v>31</x:v>
      </x:c>
      <x:c r="C7" s="10"/>
      <x:c r="D7" s="10"/>
      <x:c r="E7" s="10"/>
      <x:c r="F7" s="10"/>
      <x:c r="G7" s="10"/>
    </x:row>
    <x:row r="8" ht="15" customHeight="1">
      <x:c r="A8" s="15" t="s">
        <x:v>906</x:v>
      </x:c>
      <x:c r="B8" s="16" t="n">
        <x:f>SUMIFS('Data (parsed)'!$I$2:$I$235,'Data (parsed)'!$B$2:$B$235,A8)</x:f>
        <x:v>39</x:v>
      </x:c>
      <x:c r="C8" s="10"/>
      <x:c r="D8" s="10"/>
      <x:c r="E8" s="10"/>
      <x:c r="F8" s="10"/>
      <x:c r="G8" s="10"/>
    </x:row>
    <x:row r="9" ht="15" customHeight="1">
      <x:c r="A9" s="15" t="s">
        <x:v>907</x:v>
      </x:c>
      <x:c r="B9" s="16" t="n">
        <x:f>SUMIFS('Data (parsed)'!$I$2:$I$235,'Data (parsed)'!$B$2:$B$235,A9)</x:f>
        <x:v>57</x:v>
      </x:c>
      <x:c r="C9" s="10"/>
      <x:c r="D9" s="10"/>
      <x:c r="E9" s="10"/>
      <x:c r="F9" s="10"/>
      <x:c r="G9" s="10"/>
    </x:row>
    <x:row r="10" ht="15" customHeight="1">
      <x:c r="A10" s="17" t="s">
        <x:v>908</x:v>
      </x:c>
      <x:c r="B10" s="18" t="n">
        <x:f>SUM(B6:B9)</x:f>
        <x:v>231</x:v>
      </x:c>
      <x:c r="C10" s="10"/>
      <x:c r="D10" s="10"/>
      <x:c r="E10" s="10"/>
      <x:c r="F10" s="10"/>
      <x:c r="G10" s="10"/>
    </x:row>
    <x:row r="11" ht="14.25" customHeight="1">
      <x:c r="A11" s="10"/>
      <x:c r="B11" s="10"/>
      <x:c r="C11" s="10"/>
      <x:c r="D11" s="10"/>
      <x:c r="E11" s="10"/>
      <x:c r="F11" s="10"/>
      <x:c r="G11" s="10"/>
    </x:row>
    <x:row r="12" ht="15" customHeight="1">
      <x:c r="A12" s="13" t="s">
        <x:v>909</x:v>
      </x:c>
      <x:c r="B12" s="10"/>
      <x:c r="C12" s="10"/>
      <x:c r="D12" s="10"/>
      <x:c r="E12" s="10"/>
      <x:c r="F12" s="10"/>
      <x:c r="G12" s="10"/>
    </x:row>
    <x:row r="13" ht="15" customHeight="1">
      <x:c r="A13" s="14"/>
      <x:c r="B13" s="14" t="s">
        <x:v>11</x:v>
      </x:c>
      <x:c r="C13" s="14" t="s">
        <x:v>92</x:v>
      </x:c>
      <x:c r="D13" s="14" t="s">
        <x:v>22</x:v>
      </x:c>
      <x:c r="E13" s="14" t="s">
        <x:v>37</x:v>
      </x:c>
      <x:c r="F13" s="14" t="s">
        <x:v>62</x:v>
      </x:c>
      <x:c r="G13" s="14" t="s">
        <x:v>908</x:v>
      </x:c>
    </x:row>
    <x:row r="14" ht="15" customHeight="1">
      <x:c r="A14" s="15" t="s">
        <x:v>904</x:v>
      </x:c>
      <x:c r="B14" s="16" t="n">
        <x:f>SUMIFS('Data (parsed)'!$I$2:$I$235,'Data (parsed)'!$B$2:$B$235,$A14,'Data (parsed)'!$D$2:$D$235,B$13)</x:f>
        <x:v>6</x:v>
      </x:c>
      <x:c r="C14" s="16" t="n">
        <x:f>SUMIFS('Data (parsed)'!$I$2:$I$235,'Data (parsed)'!$B$2:$B$235,$A14,'Data (parsed)'!$D$2:$D$235,C$13)</x:f>
        <x:v>14</x:v>
      </x:c>
      <x:c r="D14" s="16" t="n">
        <x:f>SUMIFS('Data (parsed)'!$I$2:$I$235,'Data (parsed)'!$B$2:$B$235,$A14,'Data (parsed)'!$D$2:$D$235,D$13)</x:f>
        <x:v>17</x:v>
      </x:c>
      <x:c r="E14" s="16" t="n">
        <x:f>SUMIFS('Data (parsed)'!$I$2:$I$235,'Data (parsed)'!$B$2:$B$235,$A14,'Data (parsed)'!$D$2:$D$235,E$13)</x:f>
        <x:v>37</x:v>
      </x:c>
      <x:c r="F14" s="16" t="n">
        <x:f>SUMIFS('Data (parsed)'!$I$2:$I$235,'Data (parsed)'!$B$2:$B$235,$A14,'Data (parsed)'!$D$2:$D$235,F$13)</x:f>
        <x:v>30</x:v>
      </x:c>
      <x:c r="G14" s="18" t="n">
        <x:f t="shared" ref="G14:G17" si="0">SUM(B14:F14)</x:f>
        <x:v>104</x:v>
      </x:c>
    </x:row>
    <x:row r="15" ht="15" customHeight="1">
      <x:c r="A15" s="15" t="s">
        <x:v>905</x:v>
      </x:c>
      <x:c r="B15" s="16" t="n">
        <x:f>SUMIFS('Data (parsed)'!$I$2:$I$235,'Data (parsed)'!$B$2:$B$235,$A15,'Data (parsed)'!$D$2:$D$235,B$13)</x:f>
        <x:v>4</x:v>
      </x:c>
      <x:c r="C15" s="16" t="n">
        <x:f>SUMIFS('Data (parsed)'!$I$2:$I$235,'Data (parsed)'!$B$2:$B$235,$A15,'Data (parsed)'!$D$2:$D$235,C$13)</x:f>
        <x:v>7</x:v>
      </x:c>
      <x:c r="D15" s="16" t="n">
        <x:f>SUMIFS('Data (parsed)'!$I$2:$I$235,'Data (parsed)'!$B$2:$B$235,$A15,'Data (parsed)'!$D$2:$D$235,D$13)</x:f>
        <x:v>2</x:v>
      </x:c>
      <x:c r="E15" s="16" t="n">
        <x:f>SUMIFS('Data (parsed)'!$I$2:$I$235,'Data (parsed)'!$B$2:$B$235,$A15,'Data (parsed)'!$D$2:$D$235,E$13)</x:f>
        <x:v>5</x:v>
      </x:c>
      <x:c r="F15" s="16" t="n">
        <x:f>SUMIFS('Data (parsed)'!$I$2:$I$235,'Data (parsed)'!$B$2:$B$235,$A15,'Data (parsed)'!$D$2:$D$235,F$13)</x:f>
        <x:v>13</x:v>
      </x:c>
      <x:c r="G15" s="18">
        <x:f t="shared" si="0"/>
        <x:v>31</x:v>
      </x:c>
    </x:row>
    <x:row r="16" ht="15" customHeight="1">
      <x:c r="A16" s="15" t="s">
        <x:v>906</x:v>
      </x:c>
      <x:c r="B16" s="16" t="n">
        <x:f>SUMIFS('Data (parsed)'!$I$2:$I$235,'Data (parsed)'!$B$2:$B$235,$A16,'Data (parsed)'!$D$2:$D$235,B$13)</x:f>
        <x:v>3</x:v>
      </x:c>
      <x:c r="C16" s="16" t="n">
        <x:f>SUMIFS('Data (parsed)'!$I$2:$I$235,'Data (parsed)'!$B$2:$B$235,$A16,'Data (parsed)'!$D$2:$D$235,C$13)</x:f>
        <x:v>6</x:v>
      </x:c>
      <x:c r="D16" s="16" t="n">
        <x:f>SUMIFS('Data (parsed)'!$I$2:$I$235,'Data (parsed)'!$B$2:$B$235,$A16,'Data (parsed)'!$D$2:$D$235,D$13)</x:f>
        <x:v>5</x:v>
      </x:c>
      <x:c r="E16" s="16" t="n">
        <x:f>SUMIFS('Data (parsed)'!$I$2:$I$235,'Data (parsed)'!$B$2:$B$235,$A16,'Data (parsed)'!$D$2:$D$235,E$13)</x:f>
        <x:v>17</x:v>
      </x:c>
      <x:c r="F16" s="16" t="n">
        <x:f>SUMIFS('Data (parsed)'!$I$2:$I$235,'Data (parsed)'!$B$2:$B$235,$A16,'Data (parsed)'!$D$2:$D$235,F$13)</x:f>
        <x:v>8</x:v>
      </x:c>
      <x:c r="G16" s="18">
        <x:f t="shared" si="0"/>
        <x:v>39</x:v>
      </x:c>
    </x:row>
    <x:row r="17" ht="15" customHeight="1">
      <x:c r="A17" s="15" t="s">
        <x:v>907</x:v>
      </x:c>
      <x:c r="B17" s="16" t="n">
        <x:f>SUMIFS('Data (parsed)'!$I$2:$I$235,'Data (parsed)'!$B$2:$B$235,$A17,'Data (parsed)'!$D$2:$D$235,B$13)</x:f>
        <x:v>6</x:v>
      </x:c>
      <x:c r="C17" s="16" t="n">
        <x:f>SUMIFS('Data (parsed)'!$I$2:$I$235,'Data (parsed)'!$B$2:$B$235,$A17,'Data (parsed)'!$D$2:$D$235,C$13)</x:f>
        <x:v>5</x:v>
      </x:c>
      <x:c r="D17" s="16" t="n">
        <x:f>SUMIFS('Data (parsed)'!$I$2:$I$235,'Data (parsed)'!$B$2:$B$235,$A17,'Data (parsed)'!$D$2:$D$235,D$13)</x:f>
        <x:v>2</x:v>
      </x:c>
      <x:c r="E17" s="16" t="n">
        <x:f>SUMIFS('Data (parsed)'!$I$2:$I$235,'Data (parsed)'!$B$2:$B$235,$A17,'Data (parsed)'!$D$2:$D$235,E$13)</x:f>
        <x:v>31</x:v>
      </x:c>
      <x:c r="F17" s="16" t="n">
        <x:f>SUMIFS('Data (parsed)'!$I$2:$I$235,'Data (parsed)'!$B$2:$B$235,$A17,'Data (parsed)'!$D$2:$D$235,F$13)</x:f>
        <x:v>13</x:v>
      </x:c>
      <x:c r="G17" s="18">
        <x:f t="shared" si="0"/>
        <x:v>57</x:v>
      </x:c>
    </x:row>
    <x:row r="18" ht="15" customHeight="1">
      <x:c r="A18" s="17" t="s">
        <x:v>908</x:v>
      </x:c>
      <x:c r="B18" s="18" t="n">
        <x:f t="shared" ref="B18:G18" si="1">SUM(B14:B17)</x:f>
        <x:v>19</x:v>
      </x:c>
      <x:c r="C18" s="18">
        <x:f t="shared" si="1"/>
        <x:v>32</x:v>
      </x:c>
      <x:c r="D18" s="18">
        <x:f t="shared" si="1"/>
        <x:v>26</x:v>
      </x:c>
      <x:c r="E18" s="18">
        <x:f t="shared" si="1"/>
        <x:v>90</x:v>
      </x:c>
      <x:c r="F18" s="18">
        <x:f t="shared" si="1"/>
        <x:v>64</x:v>
      </x:c>
      <x:c r="G18" s="18">
        <x:f t="shared" si="1"/>
        <x:v>231</x:v>
      </x:c>
    </x:row>
    <x:row r="19" ht="14.25" customHeight="1">
      <x:c r="A19" s="10"/>
      <x:c r="B19" s="10"/>
      <x:c r="C19" s="10"/>
      <x:c r="D19" s="10"/>
      <x:c r="E19" s="10"/>
      <x:c r="F19" s="10"/>
      <x:c r="G19" s="10"/>
    </x:row>
    <x:row r="20" ht="15" customHeight="1">
      <x:c r="A20" s="13" t="s">
        <x:v>910</x:v>
      </x:c>
      <x:c r="B20" s="10"/>
      <x:c r="C20" s="10"/>
      <x:c r="D20" s="10"/>
      <x:c r="E20" s="10"/>
      <x:c r="F20" s="10"/>
      <x:c r="G20" s="10"/>
    </x:row>
    <x:row r="21" ht="15" customHeight="1">
      <x:c r="A21" s="14" t="s">
        <x:v>5</x:v>
      </x:c>
      <x:c r="B21" s="14" t="s">
        <x:v>904</x:v>
      </x:c>
      <x:c r="C21" s="14" t="s">
        <x:v>905</x:v>
      </x:c>
      <x:c r="D21" s="14" t="s">
        <x:v>906</x:v>
      </x:c>
      <x:c r="E21" s="14" t="s">
        <x:v>907</x:v>
      </x:c>
      <x:c r="F21" s="14" t="s">
        <x:v>908</x:v>
      </x:c>
      <x:c r="G21" s="10"/>
    </x:row>
    <x:row r="22" ht="15" customHeight="1">
      <x:c r="A22" s="19" t="s">
        <x:v>14</x:v>
      </x:c>
      <x:c r="B22" s="16" t="n">
        <x:f>COUNTIFS('Data (parsed)'!$E$2:$E$235,$A22,'Data (parsed)'!$B$2:$B$235,B$21)</x:f>
        <x:v>48</x:v>
      </x:c>
      <x:c r="C22" s="16" t="n">
        <x:f>COUNTIFS('Data (parsed)'!$E$2:$E$235,$A22,'Data (parsed)'!$B$2:$B$235,C$21)</x:f>
        <x:v>24</x:v>
      </x:c>
      <x:c r="D22" s="16" t="n">
        <x:f>COUNTIFS('Data (parsed)'!$E$2:$E$235,$A22,'Data (parsed)'!$B$2:$B$235,D$21)</x:f>
        <x:v>31</x:v>
      </x:c>
      <x:c r="E22" s="16" t="n">
        <x:f>COUNTIFS('Data (parsed)'!$E$2:$E$235,$A22,'Data (parsed)'!$B$2:$B$235,E$21)</x:f>
        <x:v>9</x:v>
      </x:c>
      <x:c r="F22" s="18" t="n">
        <x:f t="shared" ref="F22:F46" si="2">SUM(B22:E22)</x:f>
        <x:v>112</x:v>
      </x:c>
      <x:c r="G22" s="10"/>
    </x:row>
    <x:row r="23" ht="15" customHeight="1">
      <x:c r="A23" s="19" t="s">
        <x:v>95</x:v>
      </x:c>
      <x:c r="B23" s="16" t="n">
        <x:f>COUNTIFS('Data (parsed)'!$E$2:$E$235,$A23,'Data (parsed)'!$B$2:$B$235,B$21)</x:f>
        <x:v>7</x:v>
      </x:c>
      <x:c r="C23" s="16" t="n">
        <x:f>COUNTIFS('Data (parsed)'!$E$2:$E$235,$A23,'Data (parsed)'!$B$2:$B$235,C$21)</x:f>
        <x:v>0</x:v>
      </x:c>
      <x:c r="D23" s="16" t="n">
        <x:f>COUNTIFS('Data (parsed)'!$E$2:$E$235,$A23,'Data (parsed)'!$B$2:$B$235,D$21)</x:f>
        <x:v>0</x:v>
      </x:c>
      <x:c r="E23" s="16" t="n">
        <x:f>COUNTIFS('Data (parsed)'!$E$2:$E$235,$A23,'Data (parsed)'!$B$2:$B$235,E$21)</x:f>
        <x:v>28</x:v>
      </x:c>
      <x:c r="F23" s="18">
        <x:f t="shared" si="2"/>
        <x:v>35</x:v>
      </x:c>
      <x:c r="G23" s="10"/>
    </x:row>
    <x:row r="24" ht="15" customHeight="1">
      <x:c r="A24" s="19" t="s">
        <x:v>84</x:v>
      </x:c>
      <x:c r="B24" s="16" t="n">
        <x:f>COUNTIFS('Data (parsed)'!$E$2:$E$235,$A24,'Data (parsed)'!$B$2:$B$235,B$21)</x:f>
        <x:v>20</x:v>
      </x:c>
      <x:c r="C24" s="16" t="n">
        <x:f>COUNTIFS('Data (parsed)'!$E$2:$E$235,$A24,'Data (parsed)'!$B$2:$B$235,C$21)</x:f>
        <x:v>0</x:v>
      </x:c>
      <x:c r="D24" s="16" t="n">
        <x:f>COUNTIFS('Data (parsed)'!$E$2:$E$235,$A24,'Data (parsed)'!$B$2:$B$235,D$21)</x:f>
        <x:v>2</x:v>
      </x:c>
      <x:c r="E24" s="16" t="n">
        <x:f>COUNTIFS('Data (parsed)'!$E$2:$E$235,$A24,'Data (parsed)'!$B$2:$B$235,E$21)</x:f>
        <x:v>8</x:v>
      </x:c>
      <x:c r="F24" s="18">
        <x:f t="shared" si="2"/>
        <x:v>30</x:v>
      </x:c>
      <x:c r="G24" s="10"/>
    </x:row>
    <x:row r="25" ht="15" customHeight="1">
      <x:c r="A25" s="19" t="s">
        <x:v>89</x:v>
      </x:c>
      <x:c r="B25" s="16" t="n">
        <x:f>COUNTIFS('Data (parsed)'!$E$2:$E$235,$A25,'Data (parsed)'!$B$2:$B$235,B$21)</x:f>
        <x:v>8</x:v>
      </x:c>
      <x:c r="C25" s="16" t="n">
        <x:f>COUNTIFS('Data (parsed)'!$E$2:$E$235,$A25,'Data (parsed)'!$B$2:$B$235,C$21)</x:f>
        <x:v>3</x:v>
      </x:c>
      <x:c r="D25" s="16" t="n">
        <x:f>COUNTIFS('Data (parsed)'!$E$2:$E$235,$A25,'Data (parsed)'!$B$2:$B$235,D$21)</x:f>
        <x:v>1</x:v>
      </x:c>
      <x:c r="E25" s="16" t="n">
        <x:f>COUNTIFS('Data (parsed)'!$E$2:$E$235,$A25,'Data (parsed)'!$B$2:$B$235,E$21)</x:f>
        <x:v>1</x:v>
      </x:c>
      <x:c r="F25" s="18">
        <x:f t="shared" si="2"/>
        <x:v>13</x:v>
      </x:c>
      <x:c r="G25" s="10"/>
    </x:row>
    <x:row r="26" ht="15" customHeight="1">
      <x:c r="A26" s="19" t="s">
        <x:v>203</x:v>
      </x:c>
      <x:c r="B26" s="16" t="n">
        <x:f>COUNTIFS('Data (parsed)'!$E$2:$E$235,$A26,'Data (parsed)'!$B$2:$B$235,B$21)</x:f>
        <x:v>4</x:v>
      </x:c>
      <x:c r="C26" s="16" t="n">
        <x:f>COUNTIFS('Data (parsed)'!$E$2:$E$235,$A26,'Data (parsed)'!$B$2:$B$235,C$21)</x:f>
        <x:v>0</x:v>
      </x:c>
      <x:c r="D26" s="16" t="n">
        <x:f>COUNTIFS('Data (parsed)'!$E$2:$E$235,$A26,'Data (parsed)'!$B$2:$B$235,D$21)</x:f>
        <x:v>0</x:v>
      </x:c>
      <x:c r="E26" s="16" t="n">
        <x:f>COUNTIFS('Data (parsed)'!$E$2:$E$235,$A26,'Data (parsed)'!$B$2:$B$235,E$21)</x:f>
        <x:v>9</x:v>
      </x:c>
      <x:c r="F26" s="18">
        <x:f t="shared" si="2"/>
        <x:v>13</x:v>
      </x:c>
      <x:c r="G26" s="10"/>
    </x:row>
    <x:row r="27" ht="15" customHeight="1">
      <x:c r="A27" s="19" t="s">
        <x:v>244</x:v>
      </x:c>
      <x:c r="B27" s="16" t="n">
        <x:f>COUNTIFS('Data (parsed)'!$E$2:$E$235,$A27,'Data (parsed)'!$B$2:$B$235,B$21)</x:f>
        <x:v>3</x:v>
      </x:c>
      <x:c r="C27" s="16" t="n">
        <x:f>COUNTIFS('Data (parsed)'!$E$2:$E$235,$A27,'Data (parsed)'!$B$2:$B$235,C$21)</x:f>
        <x:v>0</x:v>
      </x:c>
      <x:c r="D27" s="16" t="n">
        <x:f>COUNTIFS('Data (parsed)'!$E$2:$E$235,$A27,'Data (parsed)'!$B$2:$B$235,D$21)</x:f>
        <x:v>2</x:v>
      </x:c>
      <x:c r="E27" s="16" t="n">
        <x:f>COUNTIFS('Data (parsed)'!$E$2:$E$235,$A27,'Data (parsed)'!$B$2:$B$235,E$21)</x:f>
        <x:v>0</x:v>
      </x:c>
      <x:c r="F27" s="18">
        <x:f t="shared" si="2"/>
        <x:v>5</x:v>
      </x:c>
      <x:c r="G27" s="10"/>
    </x:row>
    <x:row r="28" ht="15" customHeight="1">
      <x:c r="A28" s="19" t="s">
        <x:v>250</x:v>
      </x:c>
      <x:c r="B28" s="16" t="n">
        <x:f>COUNTIFS('Data (parsed)'!$E$2:$E$235,$A28,'Data (parsed)'!$B$2:$B$235,B$21)</x:f>
        <x:v>3</x:v>
      </x:c>
      <x:c r="C28" s="16" t="n">
        <x:f>COUNTIFS('Data (parsed)'!$E$2:$E$235,$A28,'Data (parsed)'!$B$2:$B$235,C$21)</x:f>
        <x:v>0</x:v>
      </x:c>
      <x:c r="D28" s="16" t="n">
        <x:f>COUNTIFS('Data (parsed)'!$E$2:$E$235,$A28,'Data (parsed)'!$B$2:$B$235,D$21)</x:f>
        <x:v>0</x:v>
      </x:c>
      <x:c r="E28" s="16" t="n">
        <x:f>COUNTIFS('Data (parsed)'!$E$2:$E$235,$A28,'Data (parsed)'!$B$2:$B$235,E$21)</x:f>
        <x:v>0</x:v>
      </x:c>
      <x:c r="F28" s="18">
        <x:f t="shared" si="2"/>
        <x:v>3</x:v>
      </x:c>
      <x:c r="G28" s="10"/>
    </x:row>
    <x:row r="29" ht="15" customHeight="1">
      <x:c r="A29" s="19" t="s">
        <x:v>433</x:v>
      </x:c>
      <x:c r="B29" s="16" t="n">
        <x:f>COUNTIFS('Data (parsed)'!$E$2:$E$235,$A29,'Data (parsed)'!$B$2:$B$235,B$21)</x:f>
        <x:v>0</x:v>
      </x:c>
      <x:c r="C29" s="16" t="n">
        <x:f>COUNTIFS('Data (parsed)'!$E$2:$E$235,$A29,'Data (parsed)'!$B$2:$B$235,C$21)</x:f>
        <x:v>2</x:v>
      </x:c>
      <x:c r="D29" s="16" t="n">
        <x:f>COUNTIFS('Data (parsed)'!$E$2:$E$235,$A29,'Data (parsed)'!$B$2:$B$235,D$21)</x:f>
        <x:v>1</x:v>
      </x:c>
      <x:c r="E29" s="16" t="n">
        <x:f>COUNTIFS('Data (parsed)'!$E$2:$E$235,$A29,'Data (parsed)'!$B$2:$B$235,E$21)</x:f>
        <x:v>0</x:v>
      </x:c>
      <x:c r="F29" s="18">
        <x:f t="shared" si="2"/>
        <x:v>3</x:v>
      </x:c>
      <x:c r="G29" s="10"/>
    </x:row>
    <x:row r="30" ht="15" customHeight="1">
      <x:c r="A30" s="19" t="s">
        <x:v>314</x:v>
      </x:c>
      <x:c r="B30" s="16" t="n">
        <x:f>COUNTIFS('Data (parsed)'!$E$2:$E$235,$A30,'Data (parsed)'!$B$2:$B$235,B$21)</x:f>
        <x:v>2</x:v>
      </x:c>
      <x:c r="C30" s="16" t="n">
        <x:f>COUNTIFS('Data (parsed)'!$E$2:$E$235,$A30,'Data (parsed)'!$B$2:$B$235,C$21)</x:f>
        <x:v>0</x:v>
      </x:c>
      <x:c r="D30" s="16" t="n">
        <x:f>COUNTIFS('Data (parsed)'!$E$2:$E$235,$A30,'Data (parsed)'!$B$2:$B$235,D$21)</x:f>
        <x:v>0</x:v>
      </x:c>
      <x:c r="E30" s="16" t="n">
        <x:f>COUNTIFS('Data (parsed)'!$E$2:$E$235,$A30,'Data (parsed)'!$B$2:$B$235,E$21)</x:f>
        <x:v>0</x:v>
      </x:c>
      <x:c r="F30" s="18">
        <x:f t="shared" si="2"/>
        <x:v>2</x:v>
      </x:c>
      <x:c r="G30" s="10"/>
    </x:row>
    <x:row r="31" ht="15" customHeight="1">
      <x:c r="A31" s="19" t="s">
        <x:v>329</x:v>
      </x:c>
      <x:c r="B31" s="16" t="n">
        <x:f>COUNTIFS('Data (parsed)'!$E$2:$E$235,$A31,'Data (parsed)'!$B$2:$B$235,B$21)</x:f>
        <x:v>1</x:v>
      </x:c>
      <x:c r="C31" s="16" t="n">
        <x:f>COUNTIFS('Data (parsed)'!$E$2:$E$235,$A31,'Data (parsed)'!$B$2:$B$235,C$21)</x:f>
        <x:v>0</x:v>
      </x:c>
      <x:c r="D31" s="16" t="n">
        <x:f>COUNTIFS('Data (parsed)'!$E$2:$E$235,$A31,'Data (parsed)'!$B$2:$B$235,D$21)</x:f>
        <x:v>1</x:v>
      </x:c>
      <x:c r="E31" s="16" t="n">
        <x:f>COUNTIFS('Data (parsed)'!$E$2:$E$235,$A31,'Data (parsed)'!$B$2:$B$235,E$21)</x:f>
        <x:v>0</x:v>
      </x:c>
      <x:c r="F31" s="18">
        <x:f t="shared" si="2"/>
        <x:v>2</x:v>
      </x:c>
      <x:c r="G31" s="10"/>
    </x:row>
    <x:row r="32" ht="15" customHeight="1">
      <x:c r="A32" s="19" t="s">
        <x:v>339</x:v>
      </x:c>
      <x:c r="B32" s="16" t="n">
        <x:f>COUNTIFS('Data (parsed)'!$E$2:$E$235,$A32,'Data (parsed)'!$B$2:$B$235,B$21)</x:f>
        <x:v>2</x:v>
      </x:c>
      <x:c r="C32" s="16" t="n">
        <x:f>COUNTIFS('Data (parsed)'!$E$2:$E$235,$A32,'Data (parsed)'!$B$2:$B$235,C$21)</x:f>
        <x:v>0</x:v>
      </x:c>
      <x:c r="D32" s="16" t="n">
        <x:f>COUNTIFS('Data (parsed)'!$E$2:$E$235,$A32,'Data (parsed)'!$B$2:$B$235,D$21)</x:f>
        <x:v>0</x:v>
      </x:c>
      <x:c r="E32" s="16" t="n">
        <x:f>COUNTIFS('Data (parsed)'!$E$2:$E$235,$A32,'Data (parsed)'!$B$2:$B$235,E$21)</x:f>
        <x:v>0</x:v>
      </x:c>
      <x:c r="F32" s="18">
        <x:f t="shared" si="2"/>
        <x:v>2</x:v>
      </x:c>
      <x:c r="G32" s="10"/>
    </x:row>
    <x:row r="33" ht="15" customHeight="1">
      <x:c r="A33" s="19" t="s">
        <x:v>111</x:v>
      </x:c>
      <x:c r="B33" s="16" t="n">
        <x:f>COUNTIFS('Data (parsed)'!$E$2:$E$235,$A33,'Data (parsed)'!$B$2:$B$235,B$21)</x:f>
        <x:v>1</x:v>
      </x:c>
      <x:c r="C33" s="16" t="n">
        <x:f>COUNTIFS('Data (parsed)'!$E$2:$E$235,$A33,'Data (parsed)'!$B$2:$B$235,C$21)</x:f>
        <x:v>0</x:v>
      </x:c>
      <x:c r="D33" s="16" t="n">
        <x:f>COUNTIFS('Data (parsed)'!$E$2:$E$235,$A33,'Data (parsed)'!$B$2:$B$235,D$21)</x:f>
        <x:v>0</x:v>
      </x:c>
      <x:c r="E33" s="16" t="n">
        <x:f>COUNTIFS('Data (parsed)'!$E$2:$E$235,$A33,'Data (parsed)'!$B$2:$B$235,E$21)</x:f>
        <x:v>0</x:v>
      </x:c>
      <x:c r="F33" s="18">
        <x:f t="shared" si="2"/>
        <x:v>1</x:v>
      </x:c>
      <x:c r="G33" s="10"/>
    </x:row>
    <x:row r="34" ht="15" customHeight="1">
      <x:c r="A34" s="19" t="s">
        <x:v>116</x:v>
      </x:c>
      <x:c r="B34" s="16" t="n">
        <x:f>COUNTIFS('Data (parsed)'!$E$2:$E$235,$A34,'Data (parsed)'!$B$2:$B$235,B$21)</x:f>
        <x:v>1</x:v>
      </x:c>
      <x:c r="C34" s="16" t="n">
        <x:f>COUNTIFS('Data (parsed)'!$E$2:$E$235,$A34,'Data (parsed)'!$B$2:$B$235,C$21)</x:f>
        <x:v>0</x:v>
      </x:c>
      <x:c r="D34" s="16" t="n">
        <x:f>COUNTIFS('Data (parsed)'!$E$2:$E$235,$A34,'Data (parsed)'!$B$2:$B$235,D$21)</x:f>
        <x:v>0</x:v>
      </x:c>
      <x:c r="E34" s="16" t="n">
        <x:f>COUNTIFS('Data (parsed)'!$E$2:$E$235,$A34,'Data (parsed)'!$B$2:$B$235,E$21)</x:f>
        <x:v>0</x:v>
      </x:c>
      <x:c r="F34" s="18">
        <x:f t="shared" si="2"/>
        <x:v>1</x:v>
      </x:c>
      <x:c r="G34" s="10"/>
    </x:row>
    <x:row r="35" ht="15" customHeight="1">
      <x:c r="A35" s="19" t="s">
        <x:v>199</x:v>
      </x:c>
      <x:c r="B35" s="16" t="n">
        <x:f>COUNTIFS('Data (parsed)'!$E$2:$E$235,$A35,'Data (parsed)'!$B$2:$B$235,B$21)</x:f>
        <x:v>1</x:v>
      </x:c>
      <x:c r="C35" s="16" t="n">
        <x:f>COUNTIFS('Data (parsed)'!$E$2:$E$235,$A35,'Data (parsed)'!$B$2:$B$235,C$21)</x:f>
        <x:v>0</x:v>
      </x:c>
      <x:c r="D35" s="16" t="n">
        <x:f>COUNTIFS('Data (parsed)'!$E$2:$E$235,$A35,'Data (parsed)'!$B$2:$B$235,D$21)</x:f>
        <x:v>0</x:v>
      </x:c>
      <x:c r="E35" s="16" t="n">
        <x:f>COUNTIFS('Data (parsed)'!$E$2:$E$235,$A35,'Data (parsed)'!$B$2:$B$235,E$21)</x:f>
        <x:v>0</x:v>
      </x:c>
      <x:c r="F35" s="18">
        <x:f t="shared" si="2"/>
        <x:v>1</x:v>
      </x:c>
      <x:c r="G35" s="10"/>
    </x:row>
    <x:row r="36" ht="15" customHeight="1">
      <x:c r="A36" s="19" t="s">
        <x:v>208</x:v>
      </x:c>
      <x:c r="B36" s="16" t="n">
        <x:f>COUNTIFS('Data (parsed)'!$E$2:$E$235,$A36,'Data (parsed)'!$B$2:$B$235,B$21)</x:f>
        <x:v>1</x:v>
      </x:c>
      <x:c r="C36" s="16" t="n">
        <x:f>COUNTIFS('Data (parsed)'!$E$2:$E$235,$A36,'Data (parsed)'!$B$2:$B$235,C$21)</x:f>
        <x:v>0</x:v>
      </x:c>
      <x:c r="D36" s="16" t="n">
        <x:f>COUNTIFS('Data (parsed)'!$E$2:$E$235,$A36,'Data (parsed)'!$B$2:$B$235,D$21)</x:f>
        <x:v>0</x:v>
      </x:c>
      <x:c r="E36" s="16" t="n">
        <x:f>COUNTIFS('Data (parsed)'!$E$2:$E$235,$A36,'Data (parsed)'!$B$2:$B$235,E$21)</x:f>
        <x:v>0</x:v>
      </x:c>
      <x:c r="F36" s="18">
        <x:f t="shared" si="2"/>
        <x:v>1</x:v>
      </x:c>
      <x:c r="G36" s="10"/>
    </x:row>
    <x:row r="37" ht="15" customHeight="1">
      <x:c r="A37" s="19" t="s">
        <x:v>212</x:v>
      </x:c>
      <x:c r="B37" s="16" t="n">
        <x:f>COUNTIFS('Data (parsed)'!$E$2:$E$235,$A37,'Data (parsed)'!$B$2:$B$235,B$21)</x:f>
        <x:v>1</x:v>
      </x:c>
      <x:c r="C37" s="16" t="n">
        <x:f>COUNTIFS('Data (parsed)'!$E$2:$E$235,$A37,'Data (parsed)'!$B$2:$B$235,C$21)</x:f>
        <x:v>0</x:v>
      </x:c>
      <x:c r="D37" s="16" t="n">
        <x:f>COUNTIFS('Data (parsed)'!$E$2:$E$235,$A37,'Data (parsed)'!$B$2:$B$235,D$21)</x:f>
        <x:v>0</x:v>
      </x:c>
      <x:c r="E37" s="16" t="n">
        <x:f>COUNTIFS('Data (parsed)'!$E$2:$E$235,$A37,'Data (parsed)'!$B$2:$B$235,E$21)</x:f>
        <x:v>0</x:v>
      </x:c>
      <x:c r="F37" s="18">
        <x:f t="shared" si="2"/>
        <x:v>1</x:v>
      </x:c>
      <x:c r="G37" s="10"/>
    </x:row>
    <x:row r="38" ht="15" customHeight="1">
      <x:c r="A38" s="19" t="s">
        <x:v>225</x:v>
      </x:c>
      <x:c r="B38" s="16" t="n">
        <x:f>COUNTIFS('Data (parsed)'!$E$2:$E$235,$A38,'Data (parsed)'!$B$2:$B$235,B$21)</x:f>
        <x:v>1</x:v>
      </x:c>
      <x:c r="C38" s="16" t="n">
        <x:f>COUNTIFS('Data (parsed)'!$E$2:$E$235,$A38,'Data (parsed)'!$B$2:$B$235,C$21)</x:f>
        <x:v>0</x:v>
      </x:c>
      <x:c r="D38" s="16" t="n">
        <x:f>COUNTIFS('Data (parsed)'!$E$2:$E$235,$A38,'Data (parsed)'!$B$2:$B$235,D$21)</x:f>
        <x:v>0</x:v>
      </x:c>
      <x:c r="E38" s="16" t="n">
        <x:f>COUNTIFS('Data (parsed)'!$E$2:$E$235,$A38,'Data (parsed)'!$B$2:$B$235,E$21)</x:f>
        <x:v>0</x:v>
      </x:c>
      <x:c r="F38" s="18">
        <x:f t="shared" si="2"/>
        <x:v>1</x:v>
      </x:c>
      <x:c r="G38" s="10"/>
    </x:row>
    <x:row r="39" ht="15" customHeight="1">
      <x:c r="A39" s="19" t="s">
        <x:v>323</x:v>
      </x:c>
      <x:c r="B39" s="16" t="n">
        <x:f>COUNTIFS('Data (parsed)'!$E$2:$E$235,$A39,'Data (parsed)'!$B$2:$B$235,B$21)</x:f>
        <x:v>1</x:v>
      </x:c>
      <x:c r="C39" s="16" t="n">
        <x:f>COUNTIFS('Data (parsed)'!$E$2:$E$235,$A39,'Data (parsed)'!$B$2:$B$235,C$21)</x:f>
        <x:v>0</x:v>
      </x:c>
      <x:c r="D39" s="16" t="n">
        <x:f>COUNTIFS('Data (parsed)'!$E$2:$E$235,$A39,'Data (parsed)'!$B$2:$B$235,D$21)</x:f>
        <x:v>0</x:v>
      </x:c>
      <x:c r="E39" s="16" t="n">
        <x:f>COUNTIFS('Data (parsed)'!$E$2:$E$235,$A39,'Data (parsed)'!$B$2:$B$235,E$21)</x:f>
        <x:v>0</x:v>
      </x:c>
      <x:c r="F39" s="18">
        <x:f t="shared" si="2"/>
        <x:v>1</x:v>
      </x:c>
      <x:c r="G39" s="10"/>
    </x:row>
    <x:row r="40" ht="15" customHeight="1">
      <x:c r="A40" s="19" t="s">
        <x:v>427</x:v>
      </x:c>
      <x:c r="B40" s="16" t="n">
        <x:f>COUNTIFS('Data (parsed)'!$E$2:$E$235,$A40,'Data (parsed)'!$B$2:$B$235,B$21)</x:f>
        <x:v>0</x:v>
      </x:c>
      <x:c r="C40" s="16" t="n">
        <x:f>COUNTIFS('Data (parsed)'!$E$2:$E$235,$A40,'Data (parsed)'!$B$2:$B$235,C$21)</x:f>
        <x:v>1</x:v>
      </x:c>
      <x:c r="D40" s="16" t="n">
        <x:f>COUNTIFS('Data (parsed)'!$E$2:$E$235,$A40,'Data (parsed)'!$B$2:$B$235,D$21)</x:f>
        <x:v>0</x:v>
      </x:c>
      <x:c r="E40" s="16" t="n">
        <x:f>COUNTIFS('Data (parsed)'!$E$2:$E$235,$A40,'Data (parsed)'!$B$2:$B$235,E$21)</x:f>
        <x:v>0</x:v>
      </x:c>
      <x:c r="F40" s="18">
        <x:f t="shared" si="2"/>
        <x:v>1</x:v>
      </x:c>
      <x:c r="G40" s="10"/>
    </x:row>
    <x:row r="41" ht="15" customHeight="1">
      <x:c r="A41" s="19" t="s">
        <x:v>513</x:v>
      </x:c>
      <x:c r="B41" s="16" t="n">
        <x:f>COUNTIFS('Data (parsed)'!$E$2:$E$235,$A41,'Data (parsed)'!$B$2:$B$235,B$21)</x:f>
        <x:v>0</x:v>
      </x:c>
      <x:c r="C41" s="16" t="n">
        <x:f>COUNTIFS('Data (parsed)'!$E$2:$E$235,$A41,'Data (parsed)'!$B$2:$B$235,C$21)</x:f>
        <x:v>1</x:v>
      </x:c>
      <x:c r="D41" s="16" t="n">
        <x:f>COUNTIFS('Data (parsed)'!$E$2:$E$235,$A41,'Data (parsed)'!$B$2:$B$235,D$21)</x:f>
        <x:v>0</x:v>
      </x:c>
      <x:c r="E41" s="16" t="n">
        <x:f>COUNTIFS('Data (parsed)'!$E$2:$E$235,$A41,'Data (parsed)'!$B$2:$B$235,E$21)</x:f>
        <x:v>0</x:v>
      </x:c>
      <x:c r="F41" s="18">
        <x:f t="shared" si="2"/>
        <x:v>1</x:v>
      </x:c>
      <x:c r="G41" s="10"/>
    </x:row>
    <x:row r="42" ht="15" customHeight="1">
      <x:c r="A42" s="19" t="s">
        <x:v>522</x:v>
      </x:c>
      <x:c r="B42" s="16" t="n">
        <x:f>COUNTIFS('Data (parsed)'!$E$2:$E$235,$A42,'Data (parsed)'!$B$2:$B$235,B$21)</x:f>
        <x:v>0</x:v>
      </x:c>
      <x:c r="C42" s="16" t="n">
        <x:f>COUNTIFS('Data (parsed)'!$E$2:$E$235,$A42,'Data (parsed)'!$B$2:$B$235,C$21)</x:f>
        <x:v>1</x:v>
      </x:c>
      <x:c r="D42" s="16" t="n">
        <x:f>COUNTIFS('Data (parsed)'!$E$2:$E$235,$A42,'Data (parsed)'!$B$2:$B$235,D$21)</x:f>
        <x:v>0</x:v>
      </x:c>
      <x:c r="E42" s="16" t="n">
        <x:f>COUNTIFS('Data (parsed)'!$E$2:$E$235,$A42,'Data (parsed)'!$B$2:$B$235,E$21)</x:f>
        <x:v>0</x:v>
      </x:c>
      <x:c r="F42" s="18">
        <x:f t="shared" si="2"/>
        <x:v>1</x:v>
      </x:c>
      <x:c r="G42" s="10"/>
    </x:row>
    <x:row r="43" ht="15" customHeight="1">
      <x:c r="A43" s="19" t="s">
        <x:v>579</x:v>
      </x:c>
      <x:c r="B43" s="16" t="n">
        <x:f>COUNTIFS('Data (parsed)'!$E$2:$E$235,$A43,'Data (parsed)'!$B$2:$B$235,B$21)</x:f>
        <x:v>0</x:v>
      </x:c>
      <x:c r="C43" s="16" t="n">
        <x:f>COUNTIFS('Data (parsed)'!$E$2:$E$235,$A43,'Data (parsed)'!$B$2:$B$235,C$21)</x:f>
        <x:v>0</x:v>
      </x:c>
      <x:c r="D43" s="16" t="n">
        <x:f>COUNTIFS('Data (parsed)'!$E$2:$E$235,$A43,'Data (parsed)'!$B$2:$B$235,D$21)</x:f>
        <x:v>1</x:v>
      </x:c>
      <x:c r="E43" s="16" t="n">
        <x:f>COUNTIFS('Data (parsed)'!$E$2:$E$235,$A43,'Data (parsed)'!$B$2:$B$235,E$21)</x:f>
        <x:v>0</x:v>
      </x:c>
      <x:c r="F43" s="18">
        <x:f t="shared" si="2"/>
        <x:v>1</x:v>
      </x:c>
      <x:c r="G43" s="10"/>
    </x:row>
    <x:row r="44" ht="15" customHeight="1">
      <x:c r="A44" s="19" t="s">
        <x:v>730</x:v>
      </x:c>
      <x:c r="B44" s="16" t="n">
        <x:f>COUNTIFS('Data (parsed)'!$E$2:$E$235,$A44,'Data (parsed)'!$B$2:$B$235,B$21)</x:f>
        <x:v>0</x:v>
      </x:c>
      <x:c r="C44" s="16" t="n">
        <x:f>COUNTIFS('Data (parsed)'!$E$2:$E$235,$A44,'Data (parsed)'!$B$2:$B$235,C$21)</x:f>
        <x:v>0</x:v>
      </x:c>
      <x:c r="D44" s="16" t="n">
        <x:f>COUNTIFS('Data (parsed)'!$E$2:$E$235,$A44,'Data (parsed)'!$B$2:$B$235,D$21)</x:f>
        <x:v>0</x:v>
      </x:c>
      <x:c r="E44" s="16" t="n">
        <x:f>COUNTIFS('Data (parsed)'!$E$2:$E$235,$A44,'Data (parsed)'!$B$2:$B$235,E$21)</x:f>
        <x:v>1</x:v>
      </x:c>
      <x:c r="F44" s="18">
        <x:f t="shared" si="2"/>
        <x:v>1</x:v>
      </x:c>
      <x:c r="G44" s="10"/>
    </x:row>
    <x:row r="45" ht="15" customHeight="1">
      <x:c r="A45" s="19" t="s">
        <x:v>834</x:v>
      </x:c>
      <x:c r="B45" s="16" t="n">
        <x:f>COUNTIFS('Data (parsed)'!$E$2:$E$235,$A45,'Data (parsed)'!$B$2:$B$235,B$21)</x:f>
        <x:v>0</x:v>
      </x:c>
      <x:c r="C45" s="16" t="n">
        <x:f>COUNTIFS('Data (parsed)'!$E$2:$E$235,$A45,'Data (parsed)'!$B$2:$B$235,C$21)</x:f>
        <x:v>0</x:v>
      </x:c>
      <x:c r="D45" s="16" t="n">
        <x:f>COUNTIFS('Data (parsed)'!$E$2:$E$235,$A45,'Data (parsed)'!$B$2:$B$235,D$21)</x:f>
        <x:v>0</x:v>
      </x:c>
      <x:c r="E45" s="16" t="n">
        <x:f>COUNTIFS('Data (parsed)'!$E$2:$E$235,$A45,'Data (parsed)'!$B$2:$B$235,E$21)</x:f>
        <x:v>1</x:v>
      </x:c>
      <x:c r="F45" s="18">
        <x:f t="shared" si="2"/>
        <x:v>1</x:v>
      </x:c>
      <x:c r="G45" s="10"/>
    </x:row>
    <x:row r="46" ht="15" customHeight="1">
      <x:c r="A46" s="19" t="s">
        <x:v>866</x:v>
      </x:c>
      <x:c r="B46" s="16" t="n">
        <x:f>COUNTIFS('Data (parsed)'!$E$2:$E$235,$A46,'Data (parsed)'!$B$2:$B$235,B$21)</x:f>
        <x:v>0</x:v>
      </x:c>
      <x:c r="C46" s="16" t="n">
        <x:f>COUNTIFS('Data (parsed)'!$E$2:$E$235,$A46,'Data (parsed)'!$B$2:$B$235,C$21)</x:f>
        <x:v>0</x:v>
      </x:c>
      <x:c r="D46" s="16" t="n">
        <x:f>COUNTIFS('Data (parsed)'!$E$2:$E$235,$A46,'Data (parsed)'!$B$2:$B$235,D$21)</x:f>
        <x:v>0</x:v>
      </x:c>
      <x:c r="E46" s="16" t="n">
        <x:f>COUNTIFS('Data (parsed)'!$E$2:$E$235,$A46,'Data (parsed)'!$B$2:$B$235,E$21)</x:f>
        <x:v>1</x:v>
      </x:c>
      <x:c r="F46" s="18">
        <x:f t="shared" si="2"/>
        <x:v>1</x:v>
      </x:c>
      <x:c r="G46" s="10"/>
    </x:row>
    <x:row r="47" ht="14.25" customHeight="1">
      <x:c r="A47" s="10"/>
      <x:c r="B47" s="10"/>
      <x:c r="C47" s="10"/>
      <x:c r="D47" s="10"/>
      <x:c r="E47" s="10"/>
      <x:c r="F47" s="10"/>
      <x:c r="G47" s="10"/>
    </x:row>
    <x:row r="48" ht="14.25" customHeight="1">
      <x:c r="A48" s="10"/>
      <x:c r="B48" s="10"/>
      <x:c r="C48" s="10"/>
      <x:c r="D48" s="10"/>
      <x:c r="E48" s="10"/>
      <x:c r="F48" s="10"/>
      <x:c r="G48" s="10"/>
    </x:row>
    <x:row r="49" ht="14.25" customHeight="1">
      <x:c r="A49" s="10"/>
      <x:c r="B49" s="10"/>
      <x:c r="C49" s="10"/>
      <x:c r="D49" s="10"/>
      <x:c r="E49" s="10"/>
      <x:c r="F49" s="10"/>
      <x:c r="G49" s="10"/>
    </x:row>
    <x:row r="50" ht="14.25" customHeight="1">
      <x:c r="A50" s="10"/>
      <x:c r="B50" s="10"/>
      <x:c r="C50" s="10"/>
      <x:c r="D50" s="10"/>
      <x:c r="E50" s="10"/>
      <x:c r="F50" s="10"/>
      <x:c r="G50" s="10"/>
    </x:row>
    <x:row r="51" ht="14.25" customHeight="1">
      <x:c r="A51" s="10"/>
      <x:c r="B51" s="10"/>
      <x:c r="C51" s="10"/>
      <x:c r="D51" s="10"/>
      <x:c r="E51" s="10"/>
      <x:c r="F51" s="10"/>
      <x:c r="G51" s="10"/>
    </x:row>
    <x:row r="52" ht="14.25" customHeight="1">
      <x:c r="A52" s="10"/>
      <x:c r="B52" s="10"/>
      <x:c r="C52" s="10"/>
      <x:c r="D52" s="10"/>
      <x:c r="E52" s="10"/>
      <x:c r="F52" s="10"/>
      <x:c r="G52" s="10"/>
    </x:row>
    <x:row r="53" ht="14.25" customHeight="1">
      <x:c r="A53" s="10"/>
      <x:c r="B53" s="10"/>
      <x:c r="C53" s="10"/>
      <x:c r="D53" s="10"/>
      <x:c r="E53" s="10"/>
      <x:c r="F53" s="10"/>
      <x:c r="G53" s="10"/>
    </x:row>
    <x:row r="54" ht="14.25" customHeight="1">
      <x:c r="A54" s="10"/>
      <x:c r="B54" s="10"/>
      <x:c r="C54" s="10"/>
      <x:c r="D54" s="10"/>
      <x:c r="E54" s="10"/>
      <x:c r="F54" s="10"/>
      <x:c r="G54" s="10"/>
    </x:row>
    <x:row r="55" ht="14.25" customHeight="1">
      <x:c r="A55" s="10"/>
      <x:c r="B55" s="10"/>
      <x:c r="C55" s="10"/>
      <x:c r="D55" s="10"/>
      <x:c r="E55" s="10"/>
      <x:c r="F55" s="10"/>
      <x:c r="G55" s="10"/>
    </x:row>
    <x:row r="56" ht="14.25" customHeight="1">
      <x:c r="A56" s="10"/>
      <x:c r="B56" s="10"/>
      <x:c r="C56" s="10"/>
      <x:c r="D56" s="10"/>
      <x:c r="E56" s="10"/>
      <x:c r="F56" s="10"/>
      <x:c r="G56" s="10"/>
    </x:row>
    <x:row r="57" ht="14.25" customHeight="1">
      <x:c r="A57" s="10"/>
      <x:c r="B57" s="10"/>
      <x:c r="C57" s="10"/>
      <x:c r="D57" s="10"/>
      <x:c r="E57" s="10"/>
      <x:c r="F57" s="10"/>
      <x:c r="G57" s="10"/>
    </x:row>
    <x:row r="58" ht="14.25" customHeight="1">
      <x:c r="A58" s="10"/>
      <x:c r="B58" s="10"/>
      <x:c r="C58" s="10"/>
      <x:c r="D58" s="10"/>
      <x:c r="E58" s="10"/>
      <x:c r="F58" s="10"/>
      <x:c r="G58" s="10"/>
    </x:row>
    <x:row r="59" ht="14.25" customHeight="1">
      <x:c r="A59" s="10"/>
      <x:c r="B59" s="10"/>
      <x:c r="C59" s="10"/>
      <x:c r="D59" s="10"/>
      <x:c r="E59" s="10"/>
      <x:c r="F59" s="10"/>
      <x:c r="G59" s="10"/>
    </x:row>
    <x:row r="60" ht="14.25" customHeight="1">
      <x:c r="A60" s="10"/>
      <x:c r="B60" s="10"/>
      <x:c r="C60" s="10"/>
      <x:c r="D60" s="10"/>
      <x:c r="E60" s="10"/>
      <x:c r="F60" s="10"/>
      <x:c r="G60" s="10"/>
    </x:row>
    <x:row r="61" ht="14.25" customHeight="1">
      <x:c r="A61" s="10"/>
      <x:c r="B61" s="10"/>
      <x:c r="C61" s="10"/>
      <x:c r="D61" s="10"/>
      <x:c r="E61" s="10"/>
      <x:c r="F61" s="10"/>
      <x:c r="G61" s="10"/>
    </x:row>
    <x:row r="62" ht="14.25" customHeight="1">
      <x:c r="A62" s="10"/>
      <x:c r="B62" s="10"/>
      <x:c r="C62" s="10"/>
      <x:c r="D62" s="10"/>
      <x:c r="E62" s="10"/>
      <x:c r="F62" s="10"/>
      <x:c r="G62" s="10"/>
    </x:row>
    <x:row r="63" ht="14.25" customHeight="1">
      <x:c r="A63" s="10"/>
      <x:c r="B63" s="10"/>
      <x:c r="C63" s="10"/>
      <x:c r="D63" s="10"/>
      <x:c r="E63" s="10"/>
      <x:c r="F63" s="10"/>
      <x:c r="G63" s="10"/>
    </x:row>
    <x:row r="64" ht="14.25" customHeight="1">
      <x:c r="A64" s="10"/>
      <x:c r="B64" s="10"/>
      <x:c r="C64" s="10"/>
      <x:c r="D64" s="10"/>
      <x:c r="E64" s="10"/>
      <x:c r="F64" s="10"/>
      <x:c r="G64" s="10"/>
    </x:row>
    <x:row r="65" ht="14.25" customHeight="1">
      <x:c r="A65" s="10"/>
      <x:c r="B65" s="10"/>
      <x:c r="C65" s="10"/>
      <x:c r="D65" s="10"/>
      <x:c r="E65" s="10"/>
      <x:c r="F65" s="10"/>
      <x:c r="G65" s="10"/>
    </x:row>
    <x:row r="66" ht="14.25" customHeight="1">
      <x:c r="A66" s="10"/>
      <x:c r="B66" s="10"/>
      <x:c r="C66" s="10"/>
      <x:c r="D66" s="10"/>
      <x:c r="E66" s="10"/>
      <x:c r="F66" s="10"/>
      <x:c r="G66" s="10"/>
    </x:row>
    <x:row r="67" ht="14.25" customHeight="1">
      <x:c r="A67" s="10"/>
      <x:c r="B67" s="10"/>
      <x:c r="C67" s="10"/>
      <x:c r="D67" s="10"/>
      <x:c r="E67" s="10"/>
      <x:c r="F67" s="10"/>
      <x:c r="G67" s="10"/>
    </x:row>
    <x:row r="68" ht="14.25" customHeight="1">
      <x:c r="A68" s="10"/>
      <x:c r="B68" s="10"/>
      <x:c r="C68" s="10"/>
      <x:c r="D68" s="10"/>
      <x:c r="E68" s="10"/>
      <x:c r="F68" s="10"/>
      <x:c r="G68" s="10"/>
    </x:row>
    <x:row r="69" ht="14.25" customHeight="1">
      <x:c r="A69" s="10"/>
      <x:c r="B69" s="10"/>
      <x:c r="C69" s="10"/>
      <x:c r="D69" s="10"/>
      <x:c r="E69" s="10"/>
      <x:c r="F69" s="10"/>
      <x:c r="G69" s="10"/>
    </x:row>
    <x:row r="70" ht="14.25" customHeight="1">
      <x:c r="A70" s="10"/>
      <x:c r="B70" s="10"/>
      <x:c r="C70" s="10"/>
      <x:c r="D70" s="10"/>
      <x:c r="E70" s="10"/>
      <x:c r="F70" s="10"/>
      <x:c r="G70" s="10"/>
    </x:row>
    <x:row r="71" ht="14.25" customHeight="1">
      <x:c r="A71" s="10"/>
      <x:c r="B71" s="10"/>
      <x:c r="C71" s="10"/>
      <x:c r="D71" s="10"/>
      <x:c r="E71" s="10"/>
      <x:c r="F71" s="10"/>
      <x:c r="G71" s="10"/>
    </x:row>
    <x:row r="72" ht="14.25" customHeight="1">
      <x:c r="A72" s="10"/>
      <x:c r="B72" s="10"/>
      <x:c r="C72" s="10"/>
      <x:c r="D72" s="10"/>
      <x:c r="E72" s="10"/>
      <x:c r="F72" s="10"/>
      <x:c r="G72" s="10"/>
    </x:row>
    <x:row r="73" ht="14.25" customHeight="1">
      <x:c r="A73" s="10"/>
      <x:c r="B73" s="10"/>
      <x:c r="C73" s="10"/>
      <x:c r="D73" s="10"/>
      <x:c r="E73" s="10"/>
      <x:c r="F73" s="10"/>
      <x:c r="G73" s="10"/>
    </x:row>
    <x:row r="74" ht="14.25" customHeight="1">
      <x:c r="A74" s="10"/>
      <x:c r="B74" s="10"/>
      <x:c r="C74" s="10"/>
      <x:c r="D74" s="10"/>
      <x:c r="E74" s="10"/>
      <x:c r="F74" s="10"/>
      <x:c r="G74" s="10"/>
    </x:row>
    <x:row r="75" ht="14.25" customHeight="1">
      <x:c r="A75" s="10"/>
      <x:c r="B75" s="10"/>
      <x:c r="C75" s="10"/>
      <x:c r="D75" s="10"/>
      <x:c r="E75" s="10"/>
      <x:c r="F75" s="10"/>
      <x:c r="G75" s="10"/>
    </x:row>
    <x:row r="76" ht="14.25" customHeight="1">
      <x:c r="A76" s="10"/>
      <x:c r="B76" s="10"/>
      <x:c r="C76" s="10"/>
      <x:c r="D76" s="10"/>
      <x:c r="E76" s="10"/>
      <x:c r="F76" s="10"/>
      <x:c r="G76" s="10"/>
    </x:row>
    <x:row r="77" ht="14.25" customHeight="1">
      <x:c r="A77" s="10"/>
      <x:c r="B77" s="10"/>
      <x:c r="C77" s="10"/>
      <x:c r="D77" s="10"/>
      <x:c r="E77" s="10"/>
      <x:c r="F77" s="10"/>
      <x:c r="G77" s="10"/>
    </x:row>
    <x:row r="78" ht="14.25" customHeight="1">
      <x:c r="A78" s="10"/>
      <x:c r="B78" s="10"/>
      <x:c r="C78" s="10"/>
      <x:c r="D78" s="10"/>
      <x:c r="E78" s="10"/>
      <x:c r="F78" s="10"/>
      <x:c r="G78" s="10"/>
    </x:row>
    <x:row r="79" ht="14.25" customHeight="1">
      <x:c r="A79" s="10"/>
      <x:c r="B79" s="10"/>
      <x:c r="C79" s="10"/>
      <x:c r="D79" s="10"/>
      <x:c r="E79" s="10"/>
      <x:c r="F79" s="10"/>
      <x:c r="G79" s="10"/>
    </x:row>
    <x:row r="80" ht="14.25" customHeight="1">
      <x:c r="A80" s="10"/>
      <x:c r="B80" s="10"/>
      <x:c r="C80" s="10"/>
      <x:c r="D80" s="10"/>
      <x:c r="E80" s="10"/>
      <x:c r="F80" s="10"/>
      <x:c r="G80" s="10"/>
    </x:row>
    <x:row r="81" ht="14.25" customHeight="1">
      <x:c r="A81" s="10"/>
      <x:c r="B81" s="10"/>
      <x:c r="C81" s="10"/>
      <x:c r="D81" s="10"/>
      <x:c r="E81" s="10"/>
      <x:c r="F81" s="10"/>
      <x:c r="G81" s="10"/>
    </x:row>
    <x:row r="82" ht="14.25" customHeight="1">
      <x:c r="A82" s="10"/>
      <x:c r="B82" s="10"/>
      <x:c r="C82" s="10"/>
      <x:c r="D82" s="10"/>
      <x:c r="E82" s="10"/>
      <x:c r="F82" s="10"/>
      <x:c r="G82" s="10"/>
    </x:row>
    <x:row r="83" ht="14.25" customHeight="1">
      <x:c r="A83" s="10"/>
      <x:c r="B83" s="10"/>
      <x:c r="C83" s="10"/>
      <x:c r="D83" s="10"/>
      <x:c r="E83" s="10"/>
      <x:c r="F83" s="10"/>
      <x:c r="G83" s="10"/>
    </x:row>
    <x:row r="84" ht="14.25" customHeight="1">
      <x:c r="A84" s="10"/>
      <x:c r="B84" s="10"/>
      <x:c r="C84" s="10"/>
      <x:c r="D84" s="10"/>
      <x:c r="E84" s="10"/>
      <x:c r="F84" s="10"/>
      <x:c r="G84" s="10"/>
    </x:row>
    <x:row r="85" ht="14.25" customHeight="1">
      <x:c r="A85" s="10"/>
      <x:c r="B85" s="10"/>
      <x:c r="C85" s="10"/>
      <x:c r="D85" s="10"/>
      <x:c r="E85" s="10"/>
      <x:c r="F85" s="10"/>
      <x:c r="G85" s="10"/>
    </x:row>
    <x:row r="86" ht="14.25" customHeight="1">
      <x:c r="A86" s="10"/>
      <x:c r="B86" s="10"/>
      <x:c r="C86" s="10"/>
      <x:c r="D86" s="10"/>
      <x:c r="E86" s="10"/>
      <x:c r="F86" s="10"/>
      <x:c r="G86" s="10"/>
    </x:row>
    <x:row r="87" ht="14.25" customHeight="1">
      <x:c r="A87" s="10"/>
      <x:c r="B87" s="10"/>
      <x:c r="C87" s="10"/>
      <x:c r="D87" s="10"/>
      <x:c r="E87" s="10"/>
      <x:c r="F87" s="10"/>
      <x:c r="G87" s="10"/>
    </x:row>
    <x:row r="88" ht="14.25" customHeight="1">
      <x:c r="A88" s="10"/>
      <x:c r="B88" s="10"/>
      <x:c r="C88" s="10"/>
      <x:c r="D88" s="10"/>
      <x:c r="E88" s="10"/>
      <x:c r="F88" s="10"/>
      <x:c r="G88" s="10"/>
    </x:row>
    <x:row r="89" ht="14.25" customHeight="1">
      <x:c r="A89" s="10"/>
      <x:c r="B89" s="10"/>
      <x:c r="C89" s="10"/>
      <x:c r="D89" s="10"/>
      <x:c r="E89" s="10"/>
      <x:c r="F89" s="10"/>
      <x:c r="G89" s="10"/>
    </x:row>
    <x:row r="90" ht="14.25" customHeight="1">
      <x:c r="A90" s="10"/>
      <x:c r="B90" s="10"/>
      <x:c r="C90" s="10"/>
      <x:c r="D90" s="10"/>
      <x:c r="E90" s="10"/>
      <x:c r="F90" s="10"/>
      <x:c r="G90" s="10"/>
    </x:row>
    <x:row r="91" ht="14.25" customHeight="1">
      <x:c r="A91" s="10"/>
      <x:c r="B91" s="10"/>
      <x:c r="C91" s="10"/>
      <x:c r="D91" s="10"/>
      <x:c r="E91" s="10"/>
      <x:c r="F91" s="10"/>
      <x:c r="G91" s="10"/>
    </x:row>
    <x:row r="92" ht="14.25" customHeight="1">
      <x:c r="A92" s="10"/>
      <x:c r="B92" s="10"/>
      <x:c r="C92" s="10"/>
      <x:c r="D92" s="10"/>
      <x:c r="E92" s="10"/>
      <x:c r="F92" s="10"/>
      <x:c r="G92" s="10"/>
    </x:row>
    <x:row r="93" ht="14.25" customHeight="1">
      <x:c r="A93" s="10"/>
      <x:c r="B93" s="10"/>
      <x:c r="C93" s="10"/>
      <x:c r="D93" s="10"/>
      <x:c r="E93" s="10"/>
      <x:c r="F93" s="10"/>
      <x:c r="G93" s="10"/>
    </x:row>
    <x:row r="94" ht="14.25" customHeight="1">
      <x:c r="A94" s="10"/>
      <x:c r="B94" s="10"/>
      <x:c r="C94" s="10"/>
      <x:c r="D94" s="10"/>
      <x:c r="E94" s="10"/>
      <x:c r="F94" s="10"/>
      <x:c r="G94" s="10"/>
    </x:row>
    <x:row r="95" ht="14.25" customHeight="1">
      <x:c r="A95" s="10"/>
      <x:c r="B95" s="10"/>
      <x:c r="C95" s="10"/>
      <x:c r="D95" s="10"/>
      <x:c r="E95" s="10"/>
      <x:c r="F95" s="10"/>
      <x:c r="G95" s="10"/>
    </x:row>
    <x:row r="96" ht="14.25" customHeight="1">
      <x:c r="A96" s="10"/>
      <x:c r="B96" s="10"/>
      <x:c r="C96" s="10"/>
      <x:c r="D96" s="10"/>
      <x:c r="E96" s="10"/>
      <x:c r="F96" s="10"/>
      <x:c r="G96" s="10"/>
    </x:row>
    <x:row r="97" ht="14.25" customHeight="1">
      <x:c r="A97" s="10"/>
      <x:c r="B97" s="10"/>
      <x:c r="C97" s="10"/>
      <x:c r="D97" s="10"/>
      <x:c r="E97" s="10"/>
      <x:c r="F97" s="10"/>
      <x:c r="G97" s="10"/>
    </x:row>
    <x:row r="98" ht="14.25" customHeight="1">
      <x:c r="A98" s="10"/>
      <x:c r="B98" s="10"/>
      <x:c r="C98" s="10"/>
      <x:c r="D98" s="10"/>
      <x:c r="E98" s="10"/>
      <x:c r="F98" s="10"/>
      <x:c r="G98" s="10"/>
    </x:row>
    <x:row r="99" ht="14.25" customHeight="1">
      <x:c r="A99" s="10"/>
      <x:c r="B99" s="10"/>
      <x:c r="C99" s="10"/>
      <x:c r="D99" s="10"/>
      <x:c r="E99" s="10"/>
      <x:c r="F99" s="10"/>
      <x:c r="G99" s="10"/>
    </x:row>
    <x:row r="100" ht="14.25" customHeight="1">
      <x:c r="A100" s="10"/>
      <x:c r="B100" s="10"/>
      <x:c r="C100" s="10"/>
      <x:c r="D100" s="10"/>
      <x:c r="E100" s="10"/>
      <x:c r="F100" s="10"/>
      <x:c r="G100" s="10"/>
    </x:row>
    <x:row r="101" ht="14.25" customHeight="1">
      <x:c r="A101" s="10"/>
      <x:c r="B101" s="10"/>
      <x:c r="C101" s="10"/>
      <x:c r="D101" s="10"/>
      <x:c r="E101" s="10"/>
      <x:c r="F101" s="10"/>
      <x:c r="G101" s="10"/>
    </x:row>
    <x:row r="102" ht="14.25" customHeight="1">
      <x:c r="A102" s="10"/>
      <x:c r="B102" s="10"/>
      <x:c r="C102" s="10"/>
      <x:c r="D102" s="10"/>
      <x:c r="E102" s="10"/>
      <x:c r="F102" s="10"/>
      <x:c r="G102" s="10"/>
    </x:row>
    <x:row r="103" ht="14.25" customHeight="1">
      <x:c r="A103" s="10"/>
      <x:c r="B103" s="10"/>
      <x:c r="C103" s="10"/>
      <x:c r="D103" s="10"/>
      <x:c r="E103" s="10"/>
      <x:c r="F103" s="10"/>
      <x:c r="G103" s="10"/>
    </x:row>
    <x:row r="104" ht="14.25" customHeight="1">
      <x:c r="A104" s="10"/>
      <x:c r="B104" s="10"/>
      <x:c r="C104" s="10"/>
      <x:c r="D104" s="10"/>
      <x:c r="E104" s="10"/>
      <x:c r="F104" s="10"/>
      <x:c r="G104" s="10"/>
    </x:row>
    <x:row r="105" ht="14.25" customHeight="1">
      <x:c r="A105" s="10"/>
      <x:c r="B105" s="10"/>
      <x:c r="C105" s="10"/>
      <x:c r="D105" s="10"/>
      <x:c r="E105" s="10"/>
      <x:c r="F105" s="10"/>
      <x:c r="G105" s="10"/>
    </x:row>
    <x:row r="106" ht="14.25" customHeight="1">
      <x:c r="A106" s="10"/>
      <x:c r="B106" s="10"/>
      <x:c r="C106" s="10"/>
      <x:c r="D106" s="10"/>
      <x:c r="E106" s="10"/>
      <x:c r="F106" s="10"/>
      <x:c r="G106" s="10"/>
    </x:row>
    <x:row r="107" ht="14.25" customHeight="1">
      <x:c r="A107" s="10"/>
      <x:c r="B107" s="10"/>
      <x:c r="C107" s="10"/>
      <x:c r="D107" s="10"/>
      <x:c r="E107" s="10"/>
      <x:c r="F107" s="10"/>
      <x:c r="G107" s="10"/>
    </x:row>
    <x:row r="108" ht="14.25" customHeight="1">
      <x:c r="A108" s="10"/>
      <x:c r="B108" s="10"/>
      <x:c r="C108" s="10"/>
      <x:c r="D108" s="10"/>
      <x:c r="E108" s="10"/>
      <x:c r="F108" s="10"/>
      <x:c r="G108" s="10"/>
    </x:row>
    <x:row r="109" ht="14.25" customHeight="1">
      <x:c r="A109" s="10"/>
      <x:c r="B109" s="10"/>
      <x:c r="C109" s="10"/>
      <x:c r="D109" s="10"/>
      <x:c r="E109" s="10"/>
      <x:c r="F109" s="10"/>
      <x:c r="G109" s="10"/>
    </x:row>
    <x:row r="110" ht="14.25" customHeight="1">
      <x:c r="A110" s="10"/>
      <x:c r="B110" s="10"/>
      <x:c r="C110" s="10"/>
      <x:c r="D110" s="10"/>
      <x:c r="E110" s="10"/>
      <x:c r="F110" s="10"/>
      <x:c r="G110" s="10"/>
    </x:row>
    <x:row r="111" ht="14.25" customHeight="1">
      <x:c r="A111" s="10"/>
      <x:c r="B111" s="10"/>
      <x:c r="C111" s="10"/>
      <x:c r="D111" s="10"/>
      <x:c r="E111" s="10"/>
      <x:c r="F111" s="10"/>
      <x:c r="G111" s="10"/>
    </x:row>
    <x:row r="112" ht="14.25" customHeight="1">
      <x:c r="A112" s="10"/>
      <x:c r="B112" s="10"/>
      <x:c r="C112" s="10"/>
      <x:c r="D112" s="10"/>
      <x:c r="E112" s="10"/>
      <x:c r="F112" s="10"/>
      <x:c r="G112" s="10"/>
    </x:row>
    <x:row r="113" ht="14.25" customHeight="1">
      <x:c r="A113" s="10"/>
      <x:c r="B113" s="10"/>
      <x:c r="C113" s="10"/>
      <x:c r="D113" s="10"/>
      <x:c r="E113" s="10"/>
      <x:c r="F113" s="10"/>
      <x:c r="G113" s="10"/>
    </x:row>
    <x:row r="114" ht="14.25" customHeight="1">
      <x:c r="A114" s="10"/>
      <x:c r="B114" s="10"/>
      <x:c r="C114" s="10"/>
      <x:c r="D114" s="10"/>
      <x:c r="E114" s="10"/>
      <x:c r="F114" s="10"/>
      <x:c r="G114" s="10"/>
    </x:row>
    <x:row r="115" ht="14.25" customHeight="1">
      <x:c r="A115" s="10"/>
      <x:c r="B115" s="10"/>
      <x:c r="C115" s="10"/>
      <x:c r="D115" s="10"/>
      <x:c r="E115" s="10"/>
      <x:c r="F115" s="10"/>
      <x:c r="G115" s="10"/>
    </x:row>
    <x:row r="116" ht="14.25" customHeight="1">
      <x:c r="A116" s="10"/>
      <x:c r="B116" s="10"/>
      <x:c r="C116" s="10"/>
      <x:c r="D116" s="10"/>
      <x:c r="E116" s="10"/>
      <x:c r="F116" s="10"/>
      <x:c r="G116" s="10"/>
    </x:row>
    <x:row r="117" ht="14.25" customHeight="1">
      <x:c r="A117" s="10"/>
      <x:c r="B117" s="10"/>
      <x:c r="C117" s="10"/>
      <x:c r="D117" s="10"/>
      <x:c r="E117" s="10"/>
      <x:c r="F117" s="10"/>
      <x:c r="G117" s="10"/>
    </x:row>
    <x:row r="118" ht="14.25" customHeight="1">
      <x:c r="A118" s="10"/>
      <x:c r="B118" s="10"/>
      <x:c r="C118" s="10"/>
      <x:c r="D118" s="10"/>
      <x:c r="E118" s="10"/>
      <x:c r="F118" s="10"/>
      <x:c r="G118" s="10"/>
    </x:row>
    <x:row r="119" ht="14.25" customHeight="1">
      <x:c r="A119" s="10"/>
      <x:c r="B119" s="10"/>
      <x:c r="C119" s="10"/>
      <x:c r="D119" s="10"/>
      <x:c r="E119" s="10"/>
      <x:c r="F119" s="10"/>
      <x:c r="G119" s="10"/>
    </x:row>
    <x:row r="120" ht="14.25" customHeight="1">
      <x:c r="A120" s="10"/>
      <x:c r="B120" s="10"/>
      <x:c r="C120" s="10"/>
      <x:c r="D120" s="10"/>
      <x:c r="E120" s="10"/>
      <x:c r="F120" s="10"/>
      <x:c r="G120" s="10"/>
    </x:row>
    <x:row r="121" ht="14.25" customHeight="1">
      <x:c r="A121" s="10"/>
      <x:c r="B121" s="10"/>
      <x:c r="C121" s="10"/>
      <x:c r="D121" s="10"/>
      <x:c r="E121" s="10"/>
      <x:c r="F121" s="10"/>
      <x:c r="G121" s="10"/>
    </x:row>
    <x:row r="122" ht="14.25" customHeight="1">
      <x:c r="A122" s="10"/>
      <x:c r="B122" s="10"/>
      <x:c r="C122" s="10"/>
      <x:c r="D122" s="10"/>
      <x:c r="E122" s="10"/>
      <x:c r="F122" s="10"/>
      <x:c r="G122" s="10"/>
    </x:row>
    <x:row r="123" ht="14.25" customHeight="1">
      <x:c r="A123" s="10"/>
      <x:c r="B123" s="10"/>
      <x:c r="C123" s="10"/>
      <x:c r="D123" s="10"/>
      <x:c r="E123" s="10"/>
      <x:c r="F123" s="10"/>
      <x:c r="G123" s="10"/>
    </x:row>
    <x:row r="124" ht="14.25" customHeight="1">
      <x:c r="A124" s="10"/>
      <x:c r="B124" s="10"/>
      <x:c r="C124" s="10"/>
      <x:c r="D124" s="10"/>
      <x:c r="E124" s="10"/>
      <x:c r="F124" s="10"/>
      <x:c r="G124" s="10"/>
    </x:row>
    <x:row r="125" ht="14.25" customHeight="1">
      <x:c r="A125" s="10"/>
      <x:c r="B125" s="10"/>
      <x:c r="C125" s="10"/>
      <x:c r="D125" s="10"/>
      <x:c r="E125" s="10"/>
      <x:c r="F125" s="10"/>
      <x:c r="G125" s="10"/>
    </x:row>
    <x:row r="126" ht="14.25" customHeight="1">
      <x:c r="A126" s="10"/>
      <x:c r="B126" s="10"/>
      <x:c r="C126" s="10"/>
      <x:c r="D126" s="10"/>
      <x:c r="E126" s="10"/>
      <x:c r="F126" s="10"/>
      <x:c r="G126" s="10"/>
    </x:row>
    <x:row r="127" ht="14.25" customHeight="1">
      <x:c r="A127" s="10"/>
      <x:c r="B127" s="10"/>
      <x:c r="C127" s="10"/>
      <x:c r="D127" s="10"/>
      <x:c r="E127" s="10"/>
      <x:c r="F127" s="10"/>
      <x:c r="G127" s="10"/>
    </x:row>
    <x:row r="128" ht="14.25" customHeight="1">
      <x:c r="A128" s="10"/>
      <x:c r="B128" s="10"/>
      <x:c r="C128" s="10"/>
      <x:c r="D128" s="10"/>
      <x:c r="E128" s="10"/>
      <x:c r="F128" s="10"/>
      <x:c r="G128" s="10"/>
    </x:row>
    <x:row r="129" ht="14.25" customHeight="1">
      <x:c r="A129" s="10"/>
      <x:c r="B129" s="10"/>
      <x:c r="C129" s="10"/>
      <x:c r="D129" s="10"/>
      <x:c r="E129" s="10"/>
      <x:c r="F129" s="10"/>
      <x:c r="G129" s="10"/>
    </x:row>
    <x:row r="130" ht="14.25" customHeight="1">
      <x:c r="A130" s="10"/>
      <x:c r="B130" s="10"/>
      <x:c r="C130" s="10"/>
      <x:c r="D130" s="10"/>
      <x:c r="E130" s="10"/>
      <x:c r="F130" s="10"/>
      <x:c r="G130" s="10"/>
    </x:row>
    <x:row r="131" ht="14.25" customHeight="1">
      <x:c r="A131" s="10"/>
      <x:c r="B131" s="10"/>
      <x:c r="C131" s="10"/>
      <x:c r="D131" s="10"/>
      <x:c r="E131" s="10"/>
      <x:c r="F131" s="10"/>
      <x:c r="G131" s="10"/>
    </x:row>
    <x:row r="132" ht="14.25" customHeight="1">
      <x:c r="A132" s="10"/>
      <x:c r="B132" s="10"/>
      <x:c r="C132" s="10"/>
      <x:c r="D132" s="10"/>
      <x:c r="E132" s="10"/>
      <x:c r="F132" s="10"/>
      <x:c r="G132" s="10"/>
    </x:row>
    <x:row r="133" ht="14.25" customHeight="1">
      <x:c r="A133" s="10"/>
      <x:c r="B133" s="10"/>
      <x:c r="C133" s="10"/>
      <x:c r="D133" s="10"/>
      <x:c r="E133" s="10"/>
      <x:c r="F133" s="10"/>
      <x:c r="G133" s="10"/>
    </x:row>
    <x:row r="134" ht="14.25" customHeight="1">
      <x:c r="A134" s="10"/>
      <x:c r="B134" s="10"/>
      <x:c r="C134" s="10"/>
      <x:c r="D134" s="10"/>
      <x:c r="E134" s="10"/>
      <x:c r="F134" s="10"/>
      <x:c r="G134" s="10"/>
    </x:row>
    <x:row r="135" ht="14.25" customHeight="1">
      <x:c r="A135" s="10"/>
      <x:c r="B135" s="10"/>
      <x:c r="C135" s="10"/>
      <x:c r="D135" s="10"/>
      <x:c r="E135" s="10"/>
      <x:c r="F135" s="10"/>
      <x:c r="G135" s="10"/>
    </x:row>
    <x:row r="136" ht="14.25" customHeight="1">
      <x:c r="A136" s="10"/>
      <x:c r="B136" s="10"/>
      <x:c r="C136" s="10"/>
      <x:c r="D136" s="10"/>
      <x:c r="E136" s="10"/>
      <x:c r="F136" s="10"/>
      <x:c r="G136" s="10"/>
    </x:row>
    <x:row r="137" ht="14.25" customHeight="1">
      <x:c r="A137" s="10"/>
      <x:c r="B137" s="10"/>
      <x:c r="C137" s="10"/>
      <x:c r="D137" s="10"/>
      <x:c r="E137" s="10"/>
      <x:c r="F137" s="10"/>
      <x:c r="G137" s="10"/>
    </x:row>
    <x:row r="138" ht="14.25" customHeight="1">
      <x:c r="A138" s="10"/>
      <x:c r="B138" s="10"/>
      <x:c r="C138" s="10"/>
      <x:c r="D138" s="10"/>
      <x:c r="E138" s="10"/>
      <x:c r="F138" s="10"/>
      <x:c r="G138" s="10"/>
    </x:row>
    <x:row r="139" ht="14.25" customHeight="1">
      <x:c r="A139" s="10"/>
      <x:c r="B139" s="10"/>
      <x:c r="C139" s="10"/>
      <x:c r="D139" s="10"/>
      <x:c r="E139" s="10"/>
      <x:c r="F139" s="10"/>
      <x:c r="G139" s="10"/>
    </x:row>
    <x:row r="140" ht="14.25" customHeight="1">
      <x:c r="A140" s="10"/>
      <x:c r="B140" s="10"/>
      <x:c r="C140" s="10"/>
      <x:c r="D140" s="10"/>
      <x:c r="E140" s="10"/>
      <x:c r="F140" s="10"/>
      <x:c r="G140" s="10"/>
    </x:row>
    <x:row r="141" ht="14.25" customHeight="1">
      <x:c r="A141" s="10"/>
      <x:c r="B141" s="10"/>
      <x:c r="C141" s="10"/>
      <x:c r="D141" s="10"/>
      <x:c r="E141" s="10"/>
      <x:c r="F141" s="10"/>
      <x:c r="G141" s="10"/>
    </x:row>
    <x:row r="142" ht="14.25" customHeight="1">
      <x:c r="A142" s="10"/>
      <x:c r="B142" s="10"/>
      <x:c r="C142" s="10"/>
      <x:c r="D142" s="10"/>
      <x:c r="E142" s="10"/>
      <x:c r="F142" s="10"/>
      <x:c r="G142" s="10"/>
    </x:row>
    <x:row r="143" ht="14.25" customHeight="1">
      <x:c r="A143" s="10"/>
      <x:c r="B143" s="10"/>
      <x:c r="C143" s="10"/>
      <x:c r="D143" s="10"/>
      <x:c r="E143" s="10"/>
      <x:c r="F143" s="10"/>
      <x:c r="G143" s="10"/>
    </x:row>
    <x:row r="144" ht="14.25" customHeight="1">
      <x:c r="A144" s="10"/>
      <x:c r="B144" s="10"/>
      <x:c r="C144" s="10"/>
      <x:c r="D144" s="10"/>
      <x:c r="E144" s="10"/>
      <x:c r="F144" s="10"/>
      <x:c r="G144" s="10"/>
    </x:row>
    <x:row r="145" ht="14.25" customHeight="1">
      <x:c r="A145" s="10"/>
      <x:c r="B145" s="10"/>
      <x:c r="C145" s="10"/>
      <x:c r="D145" s="10"/>
      <x:c r="E145" s="10"/>
      <x:c r="F145" s="10"/>
      <x:c r="G145" s="10"/>
    </x:row>
    <x:row r="146" ht="14.25" customHeight="1">
      <x:c r="A146" s="10"/>
      <x:c r="B146" s="10"/>
      <x:c r="C146" s="10"/>
      <x:c r="D146" s="10"/>
      <x:c r="E146" s="10"/>
      <x:c r="F146" s="10"/>
      <x:c r="G146" s="10"/>
    </x:row>
    <x:row r="147" ht="14.25" customHeight="1">
      <x:c r="A147" s="10"/>
      <x:c r="B147" s="10"/>
      <x:c r="C147" s="10"/>
      <x:c r="D147" s="10"/>
      <x:c r="E147" s="10"/>
      <x:c r="F147" s="10"/>
      <x:c r="G147" s="10"/>
    </x:row>
    <x:row r="148" ht="14.25" customHeight="1">
      <x:c r="A148" s="10"/>
      <x:c r="B148" s="10"/>
      <x:c r="C148" s="10"/>
      <x:c r="D148" s="10"/>
      <x:c r="E148" s="10"/>
      <x:c r="F148" s="10"/>
      <x:c r="G148" s="10"/>
    </x:row>
    <x:row r="149" ht="14.25" customHeight="1">
      <x:c r="A149" s="10"/>
      <x:c r="B149" s="10"/>
      <x:c r="C149" s="10"/>
      <x:c r="D149" s="10"/>
      <x:c r="E149" s="10"/>
      <x:c r="F149" s="10"/>
      <x:c r="G149" s="10"/>
    </x:row>
    <x:row r="150" ht="14.25" customHeight="1">
      <x:c r="A150" s="10"/>
      <x:c r="B150" s="10"/>
      <x:c r="C150" s="10"/>
      <x:c r="D150" s="10"/>
      <x:c r="E150" s="10"/>
      <x:c r="F150" s="10"/>
      <x:c r="G150" s="10"/>
    </x:row>
    <x:row r="151" ht="14.25" customHeight="1">
      <x:c r="A151" s="10"/>
      <x:c r="B151" s="10"/>
      <x:c r="C151" s="10"/>
      <x:c r="D151" s="10"/>
      <x:c r="E151" s="10"/>
      <x:c r="F151" s="10"/>
      <x:c r="G151" s="10"/>
    </x:row>
    <x:row r="152" ht="14.25" customHeight="1">
      <x:c r="A152" s="10"/>
      <x:c r="B152" s="10"/>
      <x:c r="C152" s="10"/>
      <x:c r="D152" s="10"/>
      <x:c r="E152" s="10"/>
      <x:c r="F152" s="10"/>
      <x:c r="G152" s="10"/>
    </x:row>
    <x:row r="153" ht="14.25" customHeight="1">
      <x:c r="A153" s="10"/>
      <x:c r="B153" s="10"/>
      <x:c r="C153" s="10"/>
      <x:c r="D153" s="10"/>
      <x:c r="E153" s="10"/>
      <x:c r="F153" s="10"/>
      <x:c r="G153" s="10"/>
    </x:row>
    <x:row r="154" ht="14.25" customHeight="1">
      <x:c r="A154" s="10"/>
      <x:c r="B154" s="10"/>
      <x:c r="C154" s="10"/>
      <x:c r="D154" s="10"/>
      <x:c r="E154" s="10"/>
      <x:c r="F154" s="10"/>
      <x:c r="G154" s="10"/>
    </x:row>
    <x:row r="155" ht="14.25" customHeight="1">
      <x:c r="A155" s="10"/>
      <x:c r="B155" s="10"/>
      <x:c r="C155" s="10"/>
      <x:c r="D155" s="10"/>
      <x:c r="E155" s="10"/>
      <x:c r="F155" s="10"/>
      <x:c r="G155" s="10"/>
    </x:row>
    <x:row r="156" ht="14.25" customHeight="1">
      <x:c r="A156" s="10"/>
      <x:c r="B156" s="10"/>
      <x:c r="C156" s="10"/>
      <x:c r="D156" s="10"/>
      <x:c r="E156" s="10"/>
      <x:c r="F156" s="10"/>
      <x:c r="G156" s="10"/>
    </x:row>
    <x:row r="157" ht="14.25" customHeight="1">
      <x:c r="A157" s="10"/>
      <x:c r="B157" s="10"/>
      <x:c r="C157" s="10"/>
      <x:c r="D157" s="10"/>
      <x:c r="E157" s="10"/>
      <x:c r="F157" s="10"/>
      <x:c r="G157" s="10"/>
    </x:row>
    <x:row r="158" ht="14.25" customHeight="1">
      <x:c r="A158" s="10"/>
      <x:c r="B158" s="10"/>
      <x:c r="C158" s="10"/>
      <x:c r="D158" s="10"/>
      <x:c r="E158" s="10"/>
      <x:c r="F158" s="10"/>
      <x:c r="G158" s="10"/>
    </x:row>
    <x:row r="159" ht="14.25" customHeight="1">
      <x:c r="A159" s="10"/>
      <x:c r="B159" s="10"/>
      <x:c r="C159" s="10"/>
      <x:c r="D159" s="10"/>
      <x:c r="E159" s="10"/>
      <x:c r="F159" s="10"/>
      <x:c r="G159" s="10"/>
    </x:row>
    <x:row r="160" ht="14.25" customHeight="1">
      <x:c r="A160" s="10"/>
      <x:c r="B160" s="10"/>
      <x:c r="C160" s="10"/>
      <x:c r="D160" s="10"/>
      <x:c r="E160" s="10"/>
      <x:c r="F160" s="10"/>
      <x:c r="G160" s="10"/>
    </x:row>
    <x:row r="161" ht="14.25" customHeight="1">
      <x:c r="A161" s="10"/>
      <x:c r="B161" s="10"/>
      <x:c r="C161" s="10"/>
      <x:c r="D161" s="10"/>
      <x:c r="E161" s="10"/>
      <x:c r="F161" s="10"/>
      <x:c r="G161" s="10"/>
    </x:row>
    <x:row r="162" ht="14.25" customHeight="1">
      <x:c r="A162" s="10"/>
      <x:c r="B162" s="10"/>
      <x:c r="C162" s="10"/>
      <x:c r="D162" s="10"/>
      <x:c r="E162" s="10"/>
      <x:c r="F162" s="10"/>
      <x:c r="G162" s="10"/>
    </x:row>
    <x:row r="163" ht="14.25" customHeight="1">
      <x:c r="A163" s="10"/>
      <x:c r="B163" s="10"/>
      <x:c r="C163" s="10"/>
      <x:c r="D163" s="10"/>
      <x:c r="E163" s="10"/>
      <x:c r="F163" s="10"/>
      <x:c r="G163" s="10"/>
    </x:row>
    <x:row r="164" ht="14.25" customHeight="1">
      <x:c r="A164" s="10"/>
      <x:c r="B164" s="10"/>
      <x:c r="C164" s="10"/>
      <x:c r="D164" s="10"/>
      <x:c r="E164" s="10"/>
      <x:c r="F164" s="10"/>
      <x:c r="G164" s="10"/>
    </x:row>
    <x:row r="165" ht="14.25" customHeight="1">
      <x:c r="A165" s="10"/>
      <x:c r="B165" s="10"/>
      <x:c r="C165" s="10"/>
      <x:c r="D165" s="10"/>
      <x:c r="E165" s="10"/>
      <x:c r="F165" s="10"/>
      <x:c r="G165" s="10"/>
    </x:row>
    <x:row r="166" ht="14.25" customHeight="1">
      <x:c r="A166" s="10"/>
      <x:c r="B166" s="10"/>
      <x:c r="C166" s="10"/>
      <x:c r="D166" s="10"/>
      <x:c r="E166" s="10"/>
      <x:c r="F166" s="10"/>
      <x:c r="G166" s="10"/>
    </x:row>
    <x:row r="167" ht="14.25" customHeight="1">
      <x:c r="A167" s="10"/>
      <x:c r="B167" s="10"/>
      <x:c r="C167" s="10"/>
      <x:c r="D167" s="10"/>
      <x:c r="E167" s="10"/>
      <x:c r="F167" s="10"/>
      <x:c r="G167" s="10"/>
    </x:row>
    <x:row r="168" ht="14.25" customHeight="1">
      <x:c r="A168" s="10"/>
      <x:c r="B168" s="10"/>
      <x:c r="C168" s="10"/>
      <x:c r="D168" s="10"/>
      <x:c r="E168" s="10"/>
      <x:c r="F168" s="10"/>
      <x:c r="G168" s="10"/>
    </x:row>
    <x:row r="169" ht="14.25" customHeight="1">
      <x:c r="A169" s="10"/>
      <x:c r="B169" s="10"/>
      <x:c r="C169" s="10"/>
      <x:c r="D169" s="10"/>
      <x:c r="E169" s="10"/>
      <x:c r="F169" s="10"/>
      <x:c r="G169" s="10"/>
    </x:row>
    <x:row r="170" ht="14.25" customHeight="1">
      <x:c r="A170" s="10"/>
      <x:c r="B170" s="10"/>
      <x:c r="C170" s="10"/>
      <x:c r="D170" s="10"/>
      <x:c r="E170" s="10"/>
      <x:c r="F170" s="10"/>
      <x:c r="G170" s="10"/>
    </x:row>
    <x:row r="171" ht="14.25" customHeight="1">
      <x:c r="A171" s="10"/>
      <x:c r="B171" s="10"/>
      <x:c r="C171" s="10"/>
      <x:c r="D171" s="10"/>
      <x:c r="E171" s="10"/>
      <x:c r="F171" s="10"/>
      <x:c r="G171" s="10"/>
    </x:row>
    <x:row r="172" ht="14.25" customHeight="1">
      <x:c r="A172" s="10"/>
      <x:c r="B172" s="10"/>
      <x:c r="C172" s="10"/>
      <x:c r="D172" s="10"/>
      <x:c r="E172" s="10"/>
      <x:c r="F172" s="10"/>
      <x:c r="G172" s="10"/>
    </x:row>
    <x:row r="173" ht="14.25" customHeight="1">
      <x:c r="A173" s="10"/>
      <x:c r="B173" s="10"/>
      <x:c r="C173" s="10"/>
      <x:c r="D173" s="10"/>
      <x:c r="E173" s="10"/>
      <x:c r="F173" s="10"/>
      <x:c r="G173" s="10"/>
    </x:row>
    <x:row r="174" ht="14.25" customHeight="1">
      <x:c r="A174" s="10"/>
      <x:c r="B174" s="10"/>
      <x:c r="C174" s="10"/>
      <x:c r="D174" s="10"/>
      <x:c r="E174" s="10"/>
      <x:c r="F174" s="10"/>
      <x:c r="G174" s="10"/>
    </x:row>
    <x:row r="175" ht="14.25" customHeight="1">
      <x:c r="A175" s="10"/>
      <x:c r="B175" s="10"/>
      <x:c r="C175" s="10"/>
      <x:c r="D175" s="10"/>
      <x:c r="E175" s="10"/>
      <x:c r="F175" s="10"/>
      <x:c r="G175" s="10"/>
    </x:row>
    <x:row r="176" ht="14.25" customHeight="1">
      <x:c r="A176" s="10"/>
      <x:c r="B176" s="10"/>
      <x:c r="C176" s="10"/>
      <x:c r="D176" s="10"/>
      <x:c r="E176" s="10"/>
      <x:c r="F176" s="10"/>
      <x:c r="G176" s="10"/>
    </x:row>
    <x:row r="177" ht="14.25" customHeight="1">
      <x:c r="A177" s="10"/>
      <x:c r="B177" s="10"/>
      <x:c r="C177" s="10"/>
      <x:c r="D177" s="10"/>
      <x:c r="E177" s="10"/>
      <x:c r="F177" s="10"/>
      <x:c r="G177" s="10"/>
    </x:row>
    <x:row r="178" ht="14.25" customHeight="1">
      <x:c r="A178" s="10"/>
      <x:c r="B178" s="10"/>
      <x:c r="C178" s="10"/>
      <x:c r="D178" s="10"/>
      <x:c r="E178" s="10"/>
      <x:c r="F178" s="10"/>
      <x:c r="G178" s="10"/>
    </x:row>
    <x:row r="179" ht="14.25" customHeight="1">
      <x:c r="A179" s="10"/>
      <x:c r="B179" s="10"/>
      <x:c r="C179" s="10"/>
      <x:c r="D179" s="10"/>
      <x:c r="E179" s="10"/>
      <x:c r="F179" s="10"/>
      <x:c r="G179" s="10"/>
    </x:row>
    <x:row r="180" ht="14.25" customHeight="1">
      <x:c r="A180" s="10"/>
      <x:c r="B180" s="10"/>
      <x:c r="C180" s="10"/>
      <x:c r="D180" s="10"/>
      <x:c r="E180" s="10"/>
      <x:c r="F180" s="10"/>
      <x:c r="G180" s="10"/>
    </x:row>
    <x:row r="181" ht="14.25" customHeight="1">
      <x:c r="A181" s="10"/>
      <x:c r="B181" s="10"/>
      <x:c r="C181" s="10"/>
      <x:c r="D181" s="10"/>
      <x:c r="E181" s="10"/>
      <x:c r="F181" s="10"/>
      <x:c r="G181" s="10"/>
    </x:row>
    <x:row r="182" ht="14.25" customHeight="1">
      <x:c r="A182" s="10"/>
      <x:c r="B182" s="10"/>
      <x:c r="C182" s="10"/>
      <x:c r="D182" s="10"/>
      <x:c r="E182" s="10"/>
      <x:c r="F182" s="10"/>
      <x:c r="G182" s="10"/>
    </x:row>
    <x:row r="183" ht="14.25" customHeight="1">
      <x:c r="A183" s="10"/>
      <x:c r="B183" s="10"/>
      <x:c r="C183" s="10"/>
      <x:c r="D183" s="10"/>
      <x:c r="E183" s="10"/>
      <x:c r="F183" s="10"/>
      <x:c r="G183" s="10"/>
    </x:row>
    <x:row r="184" ht="14.25" customHeight="1">
      <x:c r="A184" s="10"/>
      <x:c r="B184" s="10"/>
      <x:c r="C184" s="10"/>
      <x:c r="D184" s="10"/>
      <x:c r="E184" s="10"/>
      <x:c r="F184" s="10"/>
      <x:c r="G184" s="10"/>
    </x:row>
    <x:row r="185" ht="14.25" customHeight="1">
      <x:c r="A185" s="10"/>
      <x:c r="B185" s="10"/>
      <x:c r="C185" s="10"/>
      <x:c r="D185" s="10"/>
      <x:c r="E185" s="10"/>
      <x:c r="F185" s="10"/>
      <x:c r="G185" s="10"/>
    </x:row>
    <x:row r="186" ht="14.25" customHeight="1">
      <x:c r="A186" s="10"/>
      <x:c r="B186" s="10"/>
      <x:c r="C186" s="10"/>
      <x:c r="D186" s="10"/>
      <x:c r="E186" s="10"/>
      <x:c r="F186" s="10"/>
      <x:c r="G186" s="10"/>
    </x:row>
    <x:row r="187" ht="14.25" customHeight="1">
      <x:c r="A187" s="10"/>
      <x:c r="B187" s="10"/>
      <x:c r="C187" s="10"/>
      <x:c r="D187" s="10"/>
      <x:c r="E187" s="10"/>
      <x:c r="F187" s="10"/>
      <x:c r="G187" s="10"/>
    </x:row>
    <x:row r="188" ht="14.25" customHeight="1">
      <x:c r="A188" s="10"/>
      <x:c r="B188" s="10"/>
      <x:c r="C188" s="10"/>
      <x:c r="D188" s="10"/>
      <x:c r="E188" s="10"/>
      <x:c r="F188" s="10"/>
      <x:c r="G188" s="10"/>
    </x:row>
    <x:row r="189" ht="14.25" customHeight="1">
      <x:c r="A189" s="10"/>
      <x:c r="B189" s="10"/>
      <x:c r="C189" s="10"/>
      <x:c r="D189" s="10"/>
      <x:c r="E189" s="10"/>
      <x:c r="F189" s="10"/>
      <x:c r="G189" s="10"/>
    </x:row>
    <x:row r="190" ht="14.25" customHeight="1">
      <x:c r="A190" s="10"/>
      <x:c r="B190" s="10"/>
      <x:c r="C190" s="10"/>
      <x:c r="D190" s="10"/>
      <x:c r="E190" s="10"/>
      <x:c r="F190" s="10"/>
      <x:c r="G190" s="10"/>
    </x:row>
    <x:row r="191" ht="14.25" customHeight="1">
      <x:c r="A191" s="10"/>
      <x:c r="B191" s="10"/>
      <x:c r="C191" s="10"/>
      <x:c r="D191" s="10"/>
      <x:c r="E191" s="10"/>
      <x:c r="F191" s="10"/>
      <x:c r="G191" s="10"/>
    </x:row>
    <x:row r="192" ht="14.25" customHeight="1">
      <x:c r="A192" s="10"/>
      <x:c r="B192" s="10"/>
      <x:c r="C192" s="10"/>
      <x:c r="D192" s="10"/>
      <x:c r="E192" s="10"/>
      <x:c r="F192" s="10"/>
      <x:c r="G192" s="10"/>
    </x:row>
    <x:row r="193" ht="14.25" customHeight="1">
      <x:c r="A193" s="10"/>
      <x:c r="B193" s="10"/>
      <x:c r="C193" s="10"/>
      <x:c r="D193" s="10"/>
      <x:c r="E193" s="10"/>
      <x:c r="F193" s="10"/>
      <x:c r="G193" s="10"/>
    </x:row>
    <x:row r="194" ht="14.25" customHeight="1">
      <x:c r="A194" s="10"/>
      <x:c r="B194" s="10"/>
      <x:c r="C194" s="10"/>
      <x:c r="D194" s="10"/>
      <x:c r="E194" s="10"/>
      <x:c r="F194" s="10"/>
      <x:c r="G194" s="10"/>
    </x:row>
    <x:row r="195" ht="14.25" customHeight="1">
      <x:c r="A195" s="10"/>
      <x:c r="B195" s="10"/>
      <x:c r="C195" s="10"/>
      <x:c r="D195" s="10"/>
      <x:c r="E195" s="10"/>
      <x:c r="F195" s="10"/>
      <x:c r="G195" s="10"/>
    </x:row>
    <x:row r="196" ht="14.25" customHeight="1">
      <x:c r="A196" s="10"/>
      <x:c r="B196" s="10"/>
      <x:c r="C196" s="10"/>
      <x:c r="D196" s="10"/>
      <x:c r="E196" s="10"/>
      <x:c r="F196" s="10"/>
      <x:c r="G196" s="10"/>
    </x:row>
    <x:row r="197" ht="14.25" customHeight="1">
      <x:c r="A197" s="10"/>
      <x:c r="B197" s="10"/>
      <x:c r="C197" s="10"/>
      <x:c r="D197" s="10"/>
      <x:c r="E197" s="10"/>
      <x:c r="F197" s="10"/>
      <x:c r="G197" s="10"/>
    </x:row>
    <x:row r="198" ht="14.25" customHeight="1">
      <x:c r="A198" s="10"/>
      <x:c r="B198" s="10"/>
      <x:c r="C198" s="10"/>
      <x:c r="D198" s="10"/>
      <x:c r="E198" s="10"/>
      <x:c r="F198" s="10"/>
      <x:c r="G198" s="10"/>
    </x:row>
    <x:row r="199" ht="14.25" customHeight="1">
      <x:c r="A199" s="10"/>
      <x:c r="B199" s="10"/>
      <x:c r="C199" s="10"/>
      <x:c r="D199" s="10"/>
      <x:c r="E199" s="10"/>
      <x:c r="F199" s="10"/>
      <x:c r="G199" s="10"/>
    </x:row>
    <x:row r="200" ht="14.25" customHeight="1">
      <x:c r="A200" s="10"/>
      <x:c r="B200" s="10"/>
      <x:c r="C200" s="10"/>
      <x:c r="D200" s="10"/>
      <x:c r="E200" s="10"/>
      <x:c r="F200" s="10"/>
      <x:c r="G200" s="10"/>
    </x:row>
    <x:row r="201" ht="14.25" customHeight="1">
      <x:c r="A201" s="10"/>
      <x:c r="B201" s="10"/>
      <x:c r="C201" s="10"/>
      <x:c r="D201" s="10"/>
      <x:c r="E201" s="10"/>
      <x:c r="F201" s="10"/>
      <x:c r="G201" s="10"/>
    </x:row>
    <x:row r="202" ht="14.25" customHeight="1">
      <x:c r="A202" s="10"/>
      <x:c r="B202" s="10"/>
      <x:c r="C202" s="10"/>
      <x:c r="D202" s="10"/>
      <x:c r="E202" s="10"/>
      <x:c r="F202" s="10"/>
      <x:c r="G202" s="10"/>
    </x:row>
    <x:row r="203" ht="14.25" customHeight="1">
      <x:c r="A203" s="10"/>
      <x:c r="B203" s="10"/>
      <x:c r="C203" s="10"/>
      <x:c r="D203" s="10"/>
      <x:c r="E203" s="10"/>
      <x:c r="F203" s="10"/>
      <x:c r="G203" s="10"/>
    </x:row>
    <x:row r="204" ht="14.25" customHeight="1">
      <x:c r="A204" s="10"/>
      <x:c r="B204" s="10"/>
      <x:c r="C204" s="10"/>
      <x:c r="D204" s="10"/>
      <x:c r="E204" s="10"/>
      <x:c r="F204" s="10"/>
      <x:c r="G204" s="10"/>
    </x:row>
    <x:row r="205" ht="14.25" customHeight="1">
      <x:c r="A205" s="10"/>
      <x:c r="B205" s="10"/>
      <x:c r="C205" s="10"/>
      <x:c r="D205" s="10"/>
      <x:c r="E205" s="10"/>
      <x:c r="F205" s="10"/>
      <x:c r="G205" s="10"/>
    </x:row>
    <x:row r="206" ht="14.25" customHeight="1">
      <x:c r="A206" s="10"/>
      <x:c r="B206" s="10"/>
      <x:c r="C206" s="10"/>
      <x:c r="D206" s="10"/>
      <x:c r="E206" s="10"/>
      <x:c r="F206" s="10"/>
      <x:c r="G206" s="10"/>
    </x:row>
    <x:row r="207" ht="14.25" customHeight="1">
      <x:c r="A207" s="10"/>
      <x:c r="B207" s="10"/>
      <x:c r="C207" s="10"/>
      <x:c r="D207" s="10"/>
      <x:c r="E207" s="10"/>
      <x:c r="F207" s="10"/>
      <x:c r="G207" s="10"/>
    </x:row>
    <x:row r="208" ht="14.25" customHeight="1">
      <x:c r="A208" s="10"/>
      <x:c r="B208" s="10"/>
      <x:c r="C208" s="10"/>
      <x:c r="D208" s="10"/>
      <x:c r="E208" s="10"/>
      <x:c r="F208" s="10"/>
      <x:c r="G208" s="10"/>
    </x:row>
    <x:row r="209" ht="14.25" customHeight="1">
      <x:c r="A209" s="10"/>
      <x:c r="B209" s="10"/>
      <x:c r="C209" s="10"/>
      <x:c r="D209" s="10"/>
      <x:c r="E209" s="10"/>
      <x:c r="F209" s="10"/>
      <x:c r="G209" s="10"/>
    </x:row>
    <x:row r="210" ht="14.25" customHeight="1">
      <x:c r="A210" s="10"/>
      <x:c r="B210" s="10"/>
      <x:c r="C210" s="10"/>
      <x:c r="D210" s="10"/>
      <x:c r="E210" s="10"/>
      <x:c r="F210" s="10"/>
      <x:c r="G210" s="10"/>
    </x:row>
    <x:row r="211" ht="14.25" customHeight="1">
      <x:c r="A211" s="10"/>
      <x:c r="B211" s="10"/>
      <x:c r="C211" s="10"/>
      <x:c r="D211" s="10"/>
      <x:c r="E211" s="10"/>
      <x:c r="F211" s="10"/>
      <x:c r="G211" s="10"/>
    </x:row>
    <x:row r="212" ht="14.25" customHeight="1">
      <x:c r="A212" s="10"/>
      <x:c r="B212" s="10"/>
      <x:c r="C212" s="10"/>
      <x:c r="D212" s="10"/>
      <x:c r="E212" s="10"/>
      <x:c r="F212" s="10"/>
      <x:c r="G212" s="10"/>
    </x:row>
    <x:row r="213" ht="14.25" customHeight="1">
      <x:c r="A213" s="10"/>
      <x:c r="B213" s="10"/>
      <x:c r="C213" s="10"/>
      <x:c r="D213" s="10"/>
      <x:c r="E213" s="10"/>
      <x:c r="F213" s="10"/>
      <x:c r="G213" s="10"/>
    </x:row>
    <x:row r="214" ht="14.25" customHeight="1">
      <x:c r="A214" s="10"/>
      <x:c r="B214" s="10"/>
      <x:c r="C214" s="10"/>
      <x:c r="D214" s="10"/>
      <x:c r="E214" s="10"/>
      <x:c r="F214" s="10"/>
      <x:c r="G214" s="10"/>
    </x:row>
    <x:row r="215" ht="14.25" customHeight="1">
      <x:c r="A215" s="10"/>
      <x:c r="B215" s="10"/>
      <x:c r="C215" s="10"/>
      <x:c r="D215" s="10"/>
      <x:c r="E215" s="10"/>
      <x:c r="F215" s="10"/>
      <x:c r="G215" s="10"/>
    </x:row>
    <x:row r="216" ht="14.25" customHeight="1">
      <x:c r="A216" s="10"/>
      <x:c r="B216" s="10"/>
      <x:c r="C216" s="10"/>
      <x:c r="D216" s="10"/>
      <x:c r="E216" s="10"/>
      <x:c r="F216" s="10"/>
      <x:c r="G216" s="10"/>
    </x:row>
    <x:row r="217" ht="14.25" customHeight="1">
      <x:c r="A217" s="10"/>
      <x:c r="B217" s="10"/>
      <x:c r="C217" s="10"/>
      <x:c r="D217" s="10"/>
      <x:c r="E217" s="10"/>
      <x:c r="F217" s="10"/>
      <x:c r="G217" s="10"/>
    </x:row>
    <x:row r="218" ht="14.25" customHeight="1">
      <x:c r="A218" s="10"/>
      <x:c r="B218" s="10"/>
      <x:c r="C218" s="10"/>
      <x:c r="D218" s="10"/>
      <x:c r="E218" s="10"/>
      <x:c r="F218" s="10"/>
      <x:c r="G218" s="10"/>
    </x:row>
    <x:row r="219" ht="14.25" customHeight="1">
      <x:c r="A219" s="10"/>
      <x:c r="B219" s="10"/>
      <x:c r="C219" s="10"/>
      <x:c r="D219" s="10"/>
      <x:c r="E219" s="10"/>
      <x:c r="F219" s="10"/>
      <x:c r="G219" s="10"/>
    </x:row>
    <x:row r="220" ht="14.25" customHeight="1">
      <x:c r="A220" s="10"/>
      <x:c r="B220" s="10"/>
      <x:c r="C220" s="10"/>
      <x:c r="D220" s="10"/>
      <x:c r="E220" s="10"/>
      <x:c r="F220" s="10"/>
      <x:c r="G220" s="10"/>
    </x:row>
    <x:row r="221" ht="14.25" customHeight="1">
      <x:c r="A221" s="10"/>
      <x:c r="B221" s="10"/>
      <x:c r="C221" s="10"/>
      <x:c r="D221" s="10"/>
      <x:c r="E221" s="10"/>
      <x:c r="F221" s="10"/>
      <x:c r="G221" s="10"/>
    </x:row>
    <x:row r="222" ht="14.25" customHeight="1">
      <x:c r="A222" s="10"/>
      <x:c r="B222" s="10"/>
      <x:c r="C222" s="10"/>
      <x:c r="D222" s="10"/>
      <x:c r="E222" s="10"/>
      <x:c r="F222" s="10"/>
      <x:c r="G222" s="10"/>
    </x:row>
    <x:row r="223" ht="14.25" customHeight="1">
      <x:c r="A223" s="10"/>
      <x:c r="B223" s="10"/>
      <x:c r="C223" s="10"/>
      <x:c r="D223" s="10"/>
      <x:c r="E223" s="10"/>
      <x:c r="F223" s="10"/>
      <x:c r="G223" s="10"/>
    </x:row>
    <x:row r="224" ht="14.25" customHeight="1">
      <x:c r="A224" s="10"/>
      <x:c r="B224" s="10"/>
      <x:c r="C224" s="10"/>
      <x:c r="D224" s="10"/>
      <x:c r="E224" s="10"/>
      <x:c r="F224" s="10"/>
      <x:c r="G224" s="10"/>
    </x:row>
    <x:row r="225" ht="14.25" customHeight="1">
      <x:c r="A225" s="10"/>
      <x:c r="B225" s="10"/>
      <x:c r="C225" s="10"/>
      <x:c r="D225" s="10"/>
      <x:c r="E225" s="10"/>
      <x:c r="F225" s="10"/>
      <x:c r="G225" s="10"/>
    </x:row>
    <x:row r="226" ht="14.25" customHeight="1">
      <x:c r="A226" s="10"/>
      <x:c r="B226" s="10"/>
      <x:c r="C226" s="10"/>
      <x:c r="D226" s="10"/>
      <x:c r="E226" s="10"/>
      <x:c r="F226" s="10"/>
      <x:c r="G226" s="10"/>
    </x:row>
    <x:row r="227" ht="14.25" customHeight="1">
      <x:c r="A227" s="10"/>
      <x:c r="B227" s="10"/>
      <x:c r="C227" s="10"/>
      <x:c r="D227" s="10"/>
      <x:c r="E227" s="10"/>
      <x:c r="F227" s="10"/>
      <x:c r="G227" s="10"/>
    </x:row>
    <x:row r="228" ht="14.25" customHeight="1">
      <x:c r="A228" s="10"/>
      <x:c r="B228" s="10"/>
      <x:c r="C228" s="10"/>
      <x:c r="D228" s="10"/>
      <x:c r="E228" s="10"/>
      <x:c r="F228" s="10"/>
      <x:c r="G228" s="10"/>
    </x:row>
    <x:row r="229" ht="14.25" customHeight="1">
      <x:c r="A229" s="10"/>
      <x:c r="B229" s="10"/>
      <x:c r="C229" s="10"/>
      <x:c r="D229" s="10"/>
      <x:c r="E229" s="10"/>
      <x:c r="F229" s="10"/>
      <x:c r="G229" s="10"/>
    </x:row>
    <x:row r="230" ht="14.25" customHeight="1">
      <x:c r="A230" s="10"/>
      <x:c r="B230" s="10"/>
      <x:c r="C230" s="10"/>
      <x:c r="D230" s="10"/>
      <x:c r="E230" s="10"/>
      <x:c r="F230" s="10"/>
      <x:c r="G230" s="10"/>
    </x:row>
    <x:row r="231" ht="14.25" customHeight="1">
      <x:c r="A231" s="10"/>
      <x:c r="B231" s="10"/>
      <x:c r="C231" s="10"/>
      <x:c r="D231" s="10"/>
      <x:c r="E231" s="10"/>
      <x:c r="F231" s="10"/>
      <x:c r="G231" s="10"/>
    </x:row>
    <x:row r="232" ht="14.25" customHeight="1">
      <x:c r="A232" s="10"/>
      <x:c r="B232" s="10"/>
      <x:c r="C232" s="10"/>
      <x:c r="D232" s="10"/>
      <x:c r="E232" s="10"/>
      <x:c r="F232" s="10"/>
      <x:c r="G232" s="10"/>
    </x:row>
    <x:row r="233" ht="14.25" customHeight="1">
      <x:c r="A233" s="10"/>
      <x:c r="B233" s="10"/>
      <x:c r="C233" s="10"/>
      <x:c r="D233" s="10"/>
      <x:c r="E233" s="10"/>
      <x:c r="F233" s="10"/>
      <x:c r="G233" s="10"/>
    </x:row>
    <x:row r="234" ht="14.25" customHeight="1">
      <x:c r="A234" s="10"/>
      <x:c r="B234" s="10"/>
      <x:c r="C234" s="10"/>
      <x:c r="D234" s="10"/>
      <x:c r="E234" s="10"/>
      <x:c r="F234" s="10"/>
      <x:c r="G234" s="10"/>
    </x:row>
    <x:row r="235" ht="14.25" customHeight="1">
      <x:c r="A235" s="10"/>
      <x:c r="B235" s="10"/>
      <x:c r="C235" s="10"/>
      <x:c r="D235" s="10"/>
      <x:c r="E235" s="10"/>
      <x:c r="F235" s="10"/>
      <x:c r="G235" s="10"/>
    </x:row>
    <x:row r="236" ht="14.25" customHeight="1">
      <x:c r="A236" s="10"/>
      <x:c r="B236" s="10"/>
      <x:c r="C236" s="10"/>
      <x:c r="D236" s="10"/>
      <x:c r="E236" s="10"/>
      <x:c r="F236" s="10"/>
      <x:c r="G236" s="10"/>
    </x:row>
    <x:row r="237" ht="14.25" customHeight="1">
      <x:c r="A237" s="10"/>
      <x:c r="B237" s="10"/>
      <x:c r="C237" s="10"/>
      <x:c r="D237" s="10"/>
      <x:c r="E237" s="10"/>
      <x:c r="F237" s="10"/>
      <x:c r="G237" s="10"/>
    </x:row>
    <x:row r="238" ht="14.25" customHeight="1">
      <x:c r="A238" s="10"/>
      <x:c r="B238" s="10"/>
      <x:c r="C238" s="10"/>
      <x:c r="D238" s="10"/>
      <x:c r="E238" s="10"/>
      <x:c r="F238" s="10"/>
      <x:c r="G238" s="10"/>
    </x:row>
    <x:row r="239" ht="14.25" customHeight="1">
      <x:c r="A239" s="10"/>
      <x:c r="B239" s="10"/>
      <x:c r="C239" s="10"/>
      <x:c r="D239" s="10"/>
      <x:c r="E239" s="10"/>
      <x:c r="F239" s="10"/>
      <x:c r="G239" s="10"/>
    </x:row>
    <x:row r="240" ht="14.25" customHeight="1">
      <x:c r="A240" s="10"/>
      <x:c r="B240" s="10"/>
      <x:c r="C240" s="10"/>
      <x:c r="D240" s="10"/>
      <x:c r="E240" s="10"/>
      <x:c r="F240" s="10"/>
      <x:c r="G240" s="10"/>
    </x:row>
    <x:row r="241" ht="14.25" customHeight="1">
      <x:c r="A241" s="10"/>
      <x:c r="B241" s="10"/>
      <x:c r="C241" s="10"/>
      <x:c r="D241" s="10"/>
      <x:c r="E241" s="10"/>
      <x:c r="F241" s="10"/>
      <x:c r="G241" s="10"/>
    </x:row>
    <x:row r="242" ht="14.25" customHeight="1">
      <x:c r="A242" s="10"/>
      <x:c r="B242" s="10"/>
      <x:c r="C242" s="10"/>
      <x:c r="D242" s="10"/>
      <x:c r="E242" s="10"/>
      <x:c r="F242" s="10"/>
      <x:c r="G242" s="10"/>
    </x:row>
    <x:row r="243" ht="14.25" customHeight="1">
      <x:c r="A243" s="10"/>
      <x:c r="B243" s="10"/>
      <x:c r="C243" s="10"/>
      <x:c r="D243" s="10"/>
      <x:c r="E243" s="10"/>
      <x:c r="F243" s="10"/>
      <x:c r="G243" s="10"/>
    </x:row>
    <x:row r="244" ht="14.25" customHeight="1">
      <x:c r="A244" s="10"/>
      <x:c r="B244" s="10"/>
      <x:c r="C244" s="10"/>
      <x:c r="D244" s="10"/>
      <x:c r="E244" s="10"/>
      <x:c r="F244" s="10"/>
      <x:c r="G244" s="10"/>
    </x:row>
    <x:row r="245" ht="14.25" customHeight="1">
      <x:c r="A245" s="10"/>
      <x:c r="B245" s="10"/>
      <x:c r="C245" s="10"/>
      <x:c r="D245" s="10"/>
      <x:c r="E245" s="10"/>
      <x:c r="F245" s="10"/>
      <x:c r="G245" s="10"/>
    </x:row>
    <x:row r="246" ht="14.25" customHeight="1">
      <x:c r="A246" s="10"/>
      <x:c r="B246" s="10"/>
      <x:c r="C246" s="10"/>
      <x:c r="D246" s="10"/>
      <x:c r="E246" s="10"/>
      <x:c r="F246" s="10"/>
      <x:c r="G246" s="10"/>
    </x:row>
    <x:row r="247" ht="14.25" customHeight="1">
      <x:c r="A247" s="10"/>
      <x:c r="B247" s="10"/>
      <x:c r="C247" s="10"/>
      <x:c r="D247" s="10"/>
      <x:c r="E247" s="10"/>
      <x:c r="F247" s="10"/>
      <x:c r="G247" s="10"/>
    </x:row>
    <x:row r="248" ht="14.25" customHeight="1">
      <x:c r="A248" s="10"/>
      <x:c r="B248" s="10"/>
      <x:c r="C248" s="10"/>
      <x:c r="D248" s="10"/>
      <x:c r="E248" s="10"/>
      <x:c r="F248" s="10"/>
      <x:c r="G248" s="10"/>
    </x:row>
    <x:row r="249" ht="14.25" customHeight="1">
      <x:c r="A249" s="10"/>
      <x:c r="B249" s="10"/>
      <x:c r="C249" s="10"/>
      <x:c r="D249" s="10"/>
      <x:c r="E249" s="10"/>
      <x:c r="F249" s="10"/>
      <x:c r="G249" s="10"/>
    </x:row>
    <x:row r="250" ht="14.25" customHeight="1">
      <x:c r="A250" s="10"/>
      <x:c r="B250" s="10"/>
      <x:c r="C250" s="10"/>
      <x:c r="D250" s="10"/>
      <x:c r="E250" s="10"/>
      <x:c r="F250" s="10"/>
      <x:c r="G250" s="10"/>
    </x:row>
    <x:row r="251" ht="14.25" customHeight="1">
      <x:c r="A251" s="10"/>
      <x:c r="B251" s="10"/>
      <x:c r="C251" s="10"/>
      <x:c r="D251" s="10"/>
      <x:c r="E251" s="10"/>
      <x:c r="F251" s="10"/>
      <x:c r="G251" s="10"/>
    </x:row>
    <x:row r="252" ht="14.25" customHeight="1">
      <x:c r="A252" s="10"/>
      <x:c r="B252" s="10"/>
      <x:c r="C252" s="10"/>
      <x:c r="D252" s="10"/>
      <x:c r="E252" s="10"/>
      <x:c r="F252" s="10"/>
      <x:c r="G252" s="10"/>
    </x:row>
    <x:row r="253" ht="14.25" customHeight="1">
      <x:c r="A253" s="10"/>
      <x:c r="B253" s="10"/>
      <x:c r="C253" s="10"/>
      <x:c r="D253" s="10"/>
      <x:c r="E253" s="10"/>
      <x:c r="F253" s="10"/>
      <x:c r="G253" s="10"/>
    </x:row>
    <x:row r="254" ht="14.25" customHeight="1">
      <x:c r="A254" s="10"/>
      <x:c r="B254" s="10"/>
      <x:c r="C254" s="10"/>
      <x:c r="D254" s="10"/>
      <x:c r="E254" s="10"/>
      <x:c r="F254" s="10"/>
      <x:c r="G254" s="10"/>
    </x:row>
    <x:row r="255" ht="14.25" customHeight="1">
      <x:c r="A255" s="10"/>
      <x:c r="B255" s="10"/>
      <x:c r="C255" s="10"/>
      <x:c r="D255" s="10"/>
      <x:c r="E255" s="10"/>
      <x:c r="F255" s="10"/>
      <x:c r="G255" s="10"/>
    </x:row>
    <x:row r="256" ht="14.25" customHeight="1">
      <x:c r="A256" s="10"/>
      <x:c r="B256" s="10"/>
      <x:c r="C256" s="10"/>
      <x:c r="D256" s="10"/>
      <x:c r="E256" s="10"/>
      <x:c r="F256" s="10"/>
      <x:c r="G256" s="10"/>
    </x:row>
    <x:row r="257" ht="14.25" customHeight="1">
      <x:c r="A257" s="10"/>
      <x:c r="B257" s="10"/>
      <x:c r="C257" s="10"/>
      <x:c r="D257" s="10"/>
      <x:c r="E257" s="10"/>
      <x:c r="F257" s="10"/>
      <x:c r="G257" s="10"/>
    </x:row>
    <x:row r="258" ht="14.25" customHeight="1">
      <x:c r="A258" s="10"/>
      <x:c r="B258" s="10"/>
      <x:c r="C258" s="10"/>
      <x:c r="D258" s="10"/>
      <x:c r="E258" s="10"/>
      <x:c r="F258" s="10"/>
      <x:c r="G258" s="10"/>
    </x:row>
    <x:row r="259" ht="14.25" customHeight="1">
      <x:c r="A259" s="10"/>
      <x:c r="B259" s="10"/>
      <x:c r="C259" s="10"/>
      <x:c r="D259" s="10"/>
      <x:c r="E259" s="10"/>
      <x:c r="F259" s="10"/>
      <x:c r="G259" s="10"/>
    </x:row>
    <x:row r="260" ht="14.25" customHeight="1">
      <x:c r="A260" s="10"/>
      <x:c r="B260" s="10"/>
      <x:c r="C260" s="10"/>
      <x:c r="D260" s="10"/>
      <x:c r="E260" s="10"/>
      <x:c r="F260" s="10"/>
      <x:c r="G260" s="10"/>
    </x:row>
    <x:row r="261" ht="14.25" customHeight="1">
      <x:c r="A261" s="10"/>
      <x:c r="B261" s="10"/>
      <x:c r="C261" s="10"/>
      <x:c r="D261" s="10"/>
      <x:c r="E261" s="10"/>
      <x:c r="F261" s="10"/>
      <x:c r="G261" s="10"/>
    </x:row>
    <x:row r="262" ht="14.25" customHeight="1">
      <x:c r="A262" s="10"/>
      <x:c r="B262" s="10"/>
      <x:c r="C262" s="10"/>
      <x:c r="D262" s="10"/>
      <x:c r="E262" s="10"/>
      <x:c r="F262" s="10"/>
      <x:c r="G262" s="10"/>
    </x:row>
    <x:row r="263" ht="14.25" customHeight="1">
      <x:c r="A263" s="10"/>
      <x:c r="B263" s="10"/>
      <x:c r="C263" s="10"/>
      <x:c r="D263" s="10"/>
      <x:c r="E263" s="10"/>
      <x:c r="F263" s="10"/>
      <x:c r="G263" s="10"/>
    </x:row>
    <x:row r="264" ht="14.25" customHeight="1">
      <x:c r="A264" s="10"/>
      <x:c r="B264" s="10"/>
      <x:c r="C264" s="10"/>
      <x:c r="D264" s="10"/>
      <x:c r="E264" s="10"/>
      <x:c r="F264" s="10"/>
      <x:c r="G264" s="10"/>
    </x:row>
    <x:row r="265" ht="14.25" customHeight="1">
      <x:c r="A265" s="10"/>
      <x:c r="B265" s="10"/>
      <x:c r="C265" s="10"/>
      <x:c r="D265" s="10"/>
      <x:c r="E265" s="10"/>
      <x:c r="F265" s="10"/>
      <x:c r="G265" s="10"/>
    </x:row>
    <x:row r="266" ht="14.25" customHeight="1">
      <x:c r="A266" s="10"/>
      <x:c r="B266" s="10"/>
      <x:c r="C266" s="10"/>
      <x:c r="D266" s="10"/>
      <x:c r="E266" s="10"/>
      <x:c r="F266" s="10"/>
      <x:c r="G266" s="10"/>
    </x:row>
    <x:row r="267" ht="14.25" customHeight="1">
      <x:c r="A267" s="10"/>
      <x:c r="B267" s="10"/>
      <x:c r="C267" s="10"/>
      <x:c r="D267" s="10"/>
      <x:c r="E267" s="10"/>
      <x:c r="F267" s="10"/>
      <x:c r="G267" s="10"/>
    </x:row>
    <x:row r="268" ht="14.25" customHeight="1">
      <x:c r="A268" s="10"/>
      <x:c r="B268" s="10"/>
      <x:c r="C268" s="10"/>
      <x:c r="D268" s="10"/>
      <x:c r="E268" s="10"/>
      <x:c r="F268" s="10"/>
      <x:c r="G268" s="10"/>
    </x:row>
    <x:row r="269" ht="14.25" customHeight="1">
      <x:c r="A269" s="10"/>
      <x:c r="B269" s="10"/>
      <x:c r="C269" s="10"/>
      <x:c r="D269" s="10"/>
      <x:c r="E269" s="10"/>
      <x:c r="F269" s="10"/>
      <x:c r="G269" s="10"/>
    </x:row>
    <x:row r="270" ht="14.25" customHeight="1">
      <x:c r="A270" s="10"/>
      <x:c r="B270" s="10"/>
      <x:c r="C270" s="10"/>
      <x:c r="D270" s="10"/>
      <x:c r="E270" s="10"/>
      <x:c r="F270" s="10"/>
      <x:c r="G270" s="10"/>
    </x:row>
    <x:row r="271" ht="14.25" customHeight="1">
      <x:c r="A271" s="10"/>
      <x:c r="B271" s="10"/>
      <x:c r="C271" s="10"/>
      <x:c r="D271" s="10"/>
      <x:c r="E271" s="10"/>
      <x:c r="F271" s="10"/>
      <x:c r="G271" s="10"/>
    </x:row>
    <x:row r="272" ht="14.25" customHeight="1">
      <x:c r="A272" s="10"/>
      <x:c r="B272" s="10"/>
      <x:c r="C272" s="10"/>
      <x:c r="D272" s="10"/>
      <x:c r="E272" s="10"/>
      <x:c r="F272" s="10"/>
      <x:c r="G272" s="10"/>
    </x:row>
    <x:row r="273" ht="14.25" customHeight="1">
      <x:c r="A273" s="10"/>
      <x:c r="B273" s="10"/>
      <x:c r="C273" s="10"/>
      <x:c r="D273" s="10"/>
      <x:c r="E273" s="10"/>
      <x:c r="F273" s="10"/>
      <x:c r="G273" s="10"/>
    </x:row>
    <x:row r="274" ht="14.25" customHeight="1">
      <x:c r="A274" s="10"/>
      <x:c r="B274" s="10"/>
      <x:c r="C274" s="10"/>
      <x:c r="D274" s="10"/>
      <x:c r="E274" s="10"/>
      <x:c r="F274" s="10"/>
      <x:c r="G274" s="10"/>
    </x:row>
    <x:row r="275" ht="14.25" customHeight="1">
      <x:c r="A275" s="10"/>
      <x:c r="B275" s="10"/>
      <x:c r="C275" s="10"/>
      <x:c r="D275" s="10"/>
      <x:c r="E275" s="10"/>
      <x:c r="F275" s="10"/>
      <x:c r="G275" s="10"/>
    </x:row>
    <x:row r="276" ht="14.25" customHeight="1">
      <x:c r="A276" s="10"/>
      <x:c r="B276" s="10"/>
      <x:c r="C276" s="10"/>
      <x:c r="D276" s="10"/>
      <x:c r="E276" s="10"/>
      <x:c r="F276" s="10"/>
      <x:c r="G276" s="10"/>
    </x:row>
    <x:row r="277" ht="14.25" customHeight="1">
      <x:c r="A277" s="10"/>
      <x:c r="B277" s="10"/>
      <x:c r="C277" s="10"/>
      <x:c r="D277" s="10"/>
      <x:c r="E277" s="10"/>
      <x:c r="F277" s="10"/>
      <x:c r="G277" s="10"/>
    </x:row>
    <x:row r="278" ht="14.25" customHeight="1">
      <x:c r="A278" s="10"/>
      <x:c r="B278" s="10"/>
      <x:c r="C278" s="10"/>
      <x:c r="D278" s="10"/>
      <x:c r="E278" s="10"/>
      <x:c r="F278" s="10"/>
      <x:c r="G278" s="10"/>
    </x:row>
    <x:row r="279" ht="14.25" customHeight="1">
      <x:c r="A279" s="10"/>
      <x:c r="B279" s="10"/>
      <x:c r="C279" s="10"/>
      <x:c r="D279" s="10"/>
      <x:c r="E279" s="10"/>
      <x:c r="F279" s="10"/>
      <x:c r="G279" s="10"/>
    </x:row>
    <x:row r="280" ht="14.25" customHeight="1">
      <x:c r="A280" s="10"/>
      <x:c r="B280" s="10"/>
      <x:c r="C280" s="10"/>
      <x:c r="D280" s="10"/>
      <x:c r="E280" s="10"/>
      <x:c r="F280" s="10"/>
      <x:c r="G280" s="10"/>
    </x:row>
    <x:row r="281" ht="14.25" customHeight="1">
      <x:c r="A281" s="10"/>
      <x:c r="B281" s="10"/>
      <x:c r="C281" s="10"/>
      <x:c r="D281" s="10"/>
      <x:c r="E281" s="10"/>
      <x:c r="F281" s="10"/>
      <x:c r="G281" s="10"/>
    </x:row>
    <x:row r="282" ht="14.25" customHeight="1">
      <x:c r="A282" s="10"/>
      <x:c r="B282" s="10"/>
      <x:c r="C282" s="10"/>
      <x:c r="D282" s="10"/>
      <x:c r="E282" s="10"/>
      <x:c r="F282" s="10"/>
      <x:c r="G282" s="10"/>
    </x:row>
    <x:row r="283" ht="14.25" customHeight="1">
      <x:c r="A283" s="10"/>
      <x:c r="B283" s="10"/>
      <x:c r="C283" s="10"/>
      <x:c r="D283" s="10"/>
      <x:c r="E283" s="10"/>
      <x:c r="F283" s="10"/>
      <x:c r="G283" s="10"/>
    </x:row>
    <x:row r="284" ht="14.25" customHeight="1">
      <x:c r="A284" s="10"/>
      <x:c r="B284" s="10"/>
      <x:c r="C284" s="10"/>
      <x:c r="D284" s="10"/>
      <x:c r="E284" s="10"/>
      <x:c r="F284" s="10"/>
      <x:c r="G284" s="10"/>
    </x:row>
    <x:row r="285" ht="14.25" customHeight="1">
      <x:c r="A285" s="10"/>
      <x:c r="B285" s="10"/>
      <x:c r="C285" s="10"/>
      <x:c r="D285" s="10"/>
      <x:c r="E285" s="10"/>
      <x:c r="F285" s="10"/>
      <x:c r="G285" s="10"/>
    </x:row>
    <x:row r="286" ht="14.25" customHeight="1">
      <x:c r="A286" s="10"/>
      <x:c r="B286" s="10"/>
      <x:c r="C286" s="10"/>
      <x:c r="D286" s="10"/>
      <x:c r="E286" s="10"/>
      <x:c r="F286" s="10"/>
      <x:c r="G286" s="10"/>
    </x:row>
    <x:row r="287" ht="14.25" customHeight="1">
      <x:c r="A287" s="10"/>
      <x:c r="B287" s="10"/>
      <x:c r="C287" s="10"/>
      <x:c r="D287" s="10"/>
      <x:c r="E287" s="10"/>
      <x:c r="F287" s="10"/>
      <x:c r="G287" s="10"/>
    </x:row>
    <x:row r="288" ht="14.25" customHeight="1">
      <x:c r="A288" s="10"/>
      <x:c r="B288" s="10"/>
      <x:c r="C288" s="10"/>
      <x:c r="D288" s="10"/>
      <x:c r="E288" s="10"/>
      <x:c r="F288" s="10"/>
      <x:c r="G288" s="10"/>
    </x:row>
    <x:row r="289" ht="14.25" customHeight="1">
      <x:c r="A289" s="10"/>
      <x:c r="B289" s="10"/>
      <x:c r="C289" s="10"/>
      <x:c r="D289" s="10"/>
      <x:c r="E289" s="10"/>
      <x:c r="F289" s="10"/>
      <x:c r="G289" s="10"/>
    </x:row>
    <x:row r="290" ht="14.25" customHeight="1">
      <x:c r="A290" s="10"/>
      <x:c r="B290" s="10"/>
      <x:c r="C290" s="10"/>
      <x:c r="D290" s="10"/>
      <x:c r="E290" s="10"/>
      <x:c r="F290" s="10"/>
      <x:c r="G290" s="10"/>
    </x:row>
    <x:row r="291" ht="14.25" customHeight="1">
      <x:c r="A291" s="10"/>
      <x:c r="B291" s="10"/>
      <x:c r="C291" s="10"/>
      <x:c r="D291" s="10"/>
      <x:c r="E291" s="10"/>
      <x:c r="F291" s="10"/>
      <x:c r="G291" s="10"/>
    </x:row>
    <x:row r="292" ht="14.25" customHeight="1">
      <x:c r="A292" s="10"/>
      <x:c r="B292" s="10"/>
      <x:c r="C292" s="10"/>
      <x:c r="D292" s="10"/>
      <x:c r="E292" s="10"/>
      <x:c r="F292" s="10"/>
      <x:c r="G292" s="10"/>
    </x:row>
    <x:row r="293" ht="14.25" customHeight="1">
      <x:c r="A293" s="10"/>
      <x:c r="B293" s="10"/>
      <x:c r="C293" s="10"/>
      <x:c r="D293" s="10"/>
      <x:c r="E293" s="10"/>
      <x:c r="F293" s="10"/>
      <x:c r="G293" s="10"/>
    </x:row>
    <x:row r="294" ht="14.25" customHeight="1">
      <x:c r="A294" s="10"/>
      <x:c r="B294" s="10"/>
      <x:c r="C294" s="10"/>
      <x:c r="D294" s="10"/>
      <x:c r="E294" s="10"/>
      <x:c r="F294" s="10"/>
      <x:c r="G294" s="10"/>
    </x:row>
    <x:row r="295" ht="14.25" customHeight="1">
      <x:c r="A295" s="10"/>
      <x:c r="B295" s="10"/>
      <x:c r="C295" s="10"/>
      <x:c r="D295" s="10"/>
      <x:c r="E295" s="10"/>
      <x:c r="F295" s="10"/>
      <x:c r="G295" s="10"/>
    </x:row>
    <x:row r="296" ht="14.25" customHeight="1">
      <x:c r="A296" s="10"/>
      <x:c r="B296" s="10"/>
      <x:c r="C296" s="10"/>
      <x:c r="D296" s="10"/>
      <x:c r="E296" s="10"/>
      <x:c r="F296" s="10"/>
      <x:c r="G296" s="10"/>
    </x:row>
    <x:row r="297" ht="14.25" customHeight="1">
      <x:c r="A297" s="10"/>
      <x:c r="B297" s="10"/>
      <x:c r="C297" s="10"/>
      <x:c r="D297" s="10"/>
      <x:c r="E297" s="10"/>
      <x:c r="F297" s="10"/>
      <x:c r="G297" s="10"/>
    </x:row>
    <x:row r="298" ht="14.25" customHeight="1">
      <x:c r="A298" s="10"/>
      <x:c r="B298" s="10"/>
      <x:c r="C298" s="10"/>
      <x:c r="D298" s="10"/>
      <x:c r="E298" s="10"/>
      <x:c r="F298" s="10"/>
      <x:c r="G298" s="10"/>
    </x:row>
    <x:row r="299" ht="14.25" customHeight="1">
      <x:c r="A299" s="10"/>
      <x:c r="B299" s="10"/>
      <x:c r="C299" s="10"/>
      <x:c r="D299" s="10"/>
      <x:c r="E299" s="10"/>
      <x:c r="F299" s="10"/>
      <x:c r="G299" s="10"/>
    </x:row>
    <x:row r="300" ht="14.25" customHeight="1">
      <x:c r="A300" s="10"/>
      <x:c r="B300" s="10"/>
      <x:c r="C300" s="10"/>
      <x:c r="D300" s="10"/>
      <x:c r="E300" s="10"/>
      <x:c r="F300" s="10"/>
      <x:c r="G300" s="10"/>
    </x:row>
    <x:row r="301" ht="14.25" customHeight="1">
      <x:c r="A301" s="10"/>
      <x:c r="B301" s="10"/>
      <x:c r="C301" s="10"/>
      <x:c r="D301" s="10"/>
      <x:c r="E301" s="10"/>
      <x:c r="F301" s="10"/>
      <x:c r="G301" s="10"/>
    </x:row>
    <x:row r="302" ht="14.25" customHeight="1">
      <x:c r="A302" s="10"/>
      <x:c r="B302" s="10"/>
      <x:c r="C302" s="10"/>
      <x:c r="D302" s="10"/>
      <x:c r="E302" s="10"/>
      <x:c r="F302" s="10"/>
      <x:c r="G302" s="10"/>
    </x:row>
    <x:row r="303" ht="14.25" customHeight="1">
      <x:c r="A303" s="10"/>
      <x:c r="B303" s="10"/>
      <x:c r="C303" s="10"/>
      <x:c r="D303" s="10"/>
      <x:c r="E303" s="10"/>
      <x:c r="F303" s="10"/>
      <x:c r="G303" s="10"/>
    </x:row>
    <x:row r="304" ht="14.25" customHeight="1">
      <x:c r="A304" s="10"/>
      <x:c r="B304" s="10"/>
      <x:c r="C304" s="10"/>
      <x:c r="D304" s="10"/>
      <x:c r="E304" s="10"/>
      <x:c r="F304" s="10"/>
      <x:c r="G304" s="10"/>
    </x:row>
    <x:row r="305" ht="14.25" customHeight="1">
      <x:c r="A305" s="10"/>
      <x:c r="B305" s="10"/>
      <x:c r="C305" s="10"/>
      <x:c r="D305" s="10"/>
      <x:c r="E305" s="10"/>
      <x:c r="F305" s="10"/>
      <x:c r="G305" s="10"/>
    </x:row>
    <x:row r="306" ht="14.25" customHeight="1">
      <x:c r="A306" s="10"/>
      <x:c r="B306" s="10"/>
      <x:c r="C306" s="10"/>
      <x:c r="D306" s="10"/>
      <x:c r="E306" s="10"/>
      <x:c r="F306" s="10"/>
      <x:c r="G306" s="10"/>
    </x:row>
    <x:row r="307" ht="14.25" customHeight="1">
      <x:c r="A307" s="10"/>
      <x:c r="B307" s="10"/>
      <x:c r="C307" s="10"/>
      <x:c r="D307" s="10"/>
      <x:c r="E307" s="10"/>
      <x:c r="F307" s="10"/>
      <x:c r="G307" s="10"/>
    </x:row>
    <x:row r="308" ht="14.25" customHeight="1">
      <x:c r="A308" s="10"/>
      <x:c r="B308" s="10"/>
      <x:c r="C308" s="10"/>
      <x:c r="D308" s="10"/>
      <x:c r="E308" s="10"/>
      <x:c r="F308" s="10"/>
      <x:c r="G308" s="10"/>
    </x:row>
    <x:row r="309" ht="14.25" customHeight="1">
      <x:c r="A309" s="10"/>
      <x:c r="B309" s="10"/>
      <x:c r="C309" s="10"/>
      <x:c r="D309" s="10"/>
      <x:c r="E309" s="10"/>
      <x:c r="F309" s="10"/>
      <x:c r="G309" s="10"/>
    </x:row>
    <x:row r="310" ht="14.25" customHeight="1">
      <x:c r="A310" s="10"/>
      <x:c r="B310" s="10"/>
      <x:c r="C310" s="10"/>
      <x:c r="D310" s="10"/>
      <x:c r="E310" s="10"/>
      <x:c r="F310" s="10"/>
      <x:c r="G310" s="10"/>
    </x:row>
    <x:row r="311" ht="14.25" customHeight="1">
      <x:c r="A311" s="10"/>
      <x:c r="B311" s="10"/>
      <x:c r="C311" s="10"/>
      <x:c r="D311" s="10"/>
      <x:c r="E311" s="10"/>
      <x:c r="F311" s="10"/>
      <x:c r="G311" s="10"/>
    </x:row>
    <x:row r="312" ht="14.25" customHeight="1">
      <x:c r="A312" s="10"/>
      <x:c r="B312" s="10"/>
      <x:c r="C312" s="10"/>
      <x:c r="D312" s="10"/>
      <x:c r="E312" s="10"/>
      <x:c r="F312" s="10"/>
      <x:c r="G312" s="10"/>
    </x:row>
    <x:row r="313" ht="14.25" customHeight="1">
      <x:c r="A313" s="10"/>
      <x:c r="B313" s="10"/>
      <x:c r="C313" s="10"/>
      <x:c r="D313" s="10"/>
      <x:c r="E313" s="10"/>
      <x:c r="F313" s="10"/>
      <x:c r="G313" s="10"/>
    </x:row>
    <x:row r="314" ht="14.25" customHeight="1">
      <x:c r="A314" s="10"/>
      <x:c r="B314" s="10"/>
      <x:c r="C314" s="10"/>
      <x:c r="D314" s="10"/>
      <x:c r="E314" s="10"/>
      <x:c r="F314" s="10"/>
      <x:c r="G314" s="10"/>
    </x:row>
    <x:row r="315" ht="14.25" customHeight="1">
      <x:c r="A315" s="10"/>
      <x:c r="B315" s="10"/>
      <x:c r="C315" s="10"/>
      <x:c r="D315" s="10"/>
      <x:c r="E315" s="10"/>
      <x:c r="F315" s="10"/>
      <x:c r="G315" s="10"/>
    </x:row>
    <x:row r="316" ht="14.25" customHeight="1">
      <x:c r="A316" s="10"/>
      <x:c r="B316" s="10"/>
      <x:c r="C316" s="10"/>
      <x:c r="D316" s="10"/>
      <x:c r="E316" s="10"/>
      <x:c r="F316" s="10"/>
      <x:c r="G316" s="10"/>
    </x:row>
    <x:row r="317" ht="14.25" customHeight="1">
      <x:c r="A317" s="10"/>
      <x:c r="B317" s="10"/>
      <x:c r="C317" s="10"/>
      <x:c r="D317" s="10"/>
      <x:c r="E317" s="10"/>
      <x:c r="F317" s="10"/>
      <x:c r="G317" s="10"/>
    </x:row>
    <x:row r="318" ht="14.25" customHeight="1">
      <x:c r="A318" s="10"/>
      <x:c r="B318" s="10"/>
      <x:c r="C318" s="10"/>
      <x:c r="D318" s="10"/>
      <x:c r="E318" s="10"/>
      <x:c r="F318" s="10"/>
      <x:c r="G318" s="10"/>
    </x:row>
    <x:row r="319" ht="14.25" customHeight="1">
      <x:c r="A319" s="10"/>
      <x:c r="B319" s="10"/>
      <x:c r="C319" s="10"/>
      <x:c r="D319" s="10"/>
      <x:c r="E319" s="10"/>
      <x:c r="F319" s="10"/>
      <x:c r="G319" s="10"/>
    </x:row>
    <x:row r="320" ht="14.25" customHeight="1">
      <x:c r="A320" s="10"/>
      <x:c r="B320" s="10"/>
      <x:c r="C320" s="10"/>
      <x:c r="D320" s="10"/>
      <x:c r="E320" s="10"/>
      <x:c r="F320" s="10"/>
      <x:c r="G320" s="10"/>
    </x:row>
    <x:row r="321" ht="14.25" customHeight="1">
      <x:c r="A321" s="10"/>
      <x:c r="B321" s="10"/>
      <x:c r="C321" s="10"/>
      <x:c r="D321" s="10"/>
      <x:c r="E321" s="10"/>
      <x:c r="F321" s="10"/>
      <x:c r="G321" s="10"/>
    </x:row>
    <x:row r="322" ht="14.25" customHeight="1">
      <x:c r="A322" s="10"/>
      <x:c r="B322" s="10"/>
      <x:c r="C322" s="10"/>
      <x:c r="D322" s="10"/>
      <x:c r="E322" s="10"/>
      <x:c r="F322" s="10"/>
      <x:c r="G322" s="10"/>
    </x:row>
    <x:row r="323" ht="14.25" customHeight="1">
      <x:c r="A323" s="10"/>
      <x:c r="B323" s="10"/>
      <x:c r="C323" s="10"/>
      <x:c r="D323" s="10"/>
      <x:c r="E323" s="10"/>
      <x:c r="F323" s="10"/>
      <x:c r="G323" s="10"/>
    </x:row>
    <x:row r="324" ht="14.25" customHeight="1">
      <x:c r="A324" s="10"/>
      <x:c r="B324" s="10"/>
      <x:c r="C324" s="10"/>
      <x:c r="D324" s="10"/>
      <x:c r="E324" s="10"/>
      <x:c r="F324" s="10"/>
      <x:c r="G324" s="10"/>
    </x:row>
    <x:row r="325" ht="14.25" customHeight="1">
      <x:c r="A325" s="10"/>
      <x:c r="B325" s="10"/>
      <x:c r="C325" s="10"/>
      <x:c r="D325" s="10"/>
      <x:c r="E325" s="10"/>
      <x:c r="F325" s="10"/>
      <x:c r="G325" s="10"/>
    </x:row>
    <x:row r="326" ht="14.25" customHeight="1">
      <x:c r="A326" s="10"/>
      <x:c r="B326" s="10"/>
      <x:c r="C326" s="10"/>
      <x:c r="D326" s="10"/>
      <x:c r="E326" s="10"/>
      <x:c r="F326" s="10"/>
      <x:c r="G326" s="10"/>
    </x:row>
    <x:row r="327" ht="14.25" customHeight="1">
      <x:c r="A327" s="10"/>
      <x:c r="B327" s="10"/>
      <x:c r="C327" s="10"/>
      <x:c r="D327" s="10"/>
      <x:c r="E327" s="10"/>
      <x:c r="F327" s="10"/>
      <x:c r="G327" s="10"/>
    </x:row>
    <x:row r="328" ht="14.25" customHeight="1">
      <x:c r="A328" s="10"/>
      <x:c r="B328" s="10"/>
      <x:c r="C328" s="10"/>
      <x:c r="D328" s="10"/>
      <x:c r="E328" s="10"/>
      <x:c r="F328" s="10"/>
      <x:c r="G328" s="10"/>
    </x:row>
    <x:row r="329" ht="14.25" customHeight="1">
      <x:c r="A329" s="10"/>
      <x:c r="B329" s="10"/>
      <x:c r="C329" s="10"/>
      <x:c r="D329" s="10"/>
      <x:c r="E329" s="10"/>
      <x:c r="F329" s="10"/>
      <x:c r="G329" s="10"/>
    </x:row>
    <x:row r="330" ht="14.25" customHeight="1">
      <x:c r="A330" s="10"/>
      <x:c r="B330" s="10"/>
      <x:c r="C330" s="10"/>
      <x:c r="D330" s="10"/>
      <x:c r="E330" s="10"/>
      <x:c r="F330" s="10"/>
      <x:c r="G330" s="10"/>
    </x:row>
    <x:row r="331" ht="14.25" customHeight="1">
      <x:c r="A331" s="10"/>
      <x:c r="B331" s="10"/>
      <x:c r="C331" s="10"/>
      <x:c r="D331" s="10"/>
      <x:c r="E331" s="10"/>
      <x:c r="F331" s="10"/>
      <x:c r="G331" s="10"/>
    </x:row>
    <x:row r="332" ht="14.25" customHeight="1">
      <x:c r="A332" s="10"/>
      <x:c r="B332" s="10"/>
      <x:c r="C332" s="10"/>
      <x:c r="D332" s="10"/>
      <x:c r="E332" s="10"/>
      <x:c r="F332" s="10"/>
      <x:c r="G332" s="10"/>
    </x:row>
    <x:row r="333" ht="14.25" customHeight="1">
      <x:c r="A333" s="10"/>
      <x:c r="B333" s="10"/>
      <x:c r="C333" s="10"/>
      <x:c r="D333" s="10"/>
      <x:c r="E333" s="10"/>
      <x:c r="F333" s="10"/>
      <x:c r="G333" s="10"/>
    </x:row>
    <x:row r="334" ht="14.25" customHeight="1">
      <x:c r="A334" s="10"/>
      <x:c r="B334" s="10"/>
      <x:c r="C334" s="10"/>
      <x:c r="D334" s="10"/>
      <x:c r="E334" s="10"/>
      <x:c r="F334" s="10"/>
      <x:c r="G334" s="10"/>
    </x:row>
    <x:row r="335" ht="14.25" customHeight="1">
      <x:c r="A335" s="10"/>
      <x:c r="B335" s="10"/>
      <x:c r="C335" s="10"/>
      <x:c r="D335" s="10"/>
      <x:c r="E335" s="10"/>
      <x:c r="F335" s="10"/>
      <x:c r="G335" s="10"/>
    </x:row>
    <x:row r="336" ht="14.25" customHeight="1">
      <x:c r="A336" s="10"/>
      <x:c r="B336" s="10"/>
      <x:c r="C336" s="10"/>
      <x:c r="D336" s="10"/>
      <x:c r="E336" s="10"/>
      <x:c r="F336" s="10"/>
      <x:c r="G336" s="10"/>
    </x:row>
    <x:row r="337" ht="14.25" customHeight="1">
      <x:c r="A337" s="10"/>
      <x:c r="B337" s="10"/>
      <x:c r="C337" s="10"/>
      <x:c r="D337" s="10"/>
      <x:c r="E337" s="10"/>
      <x:c r="F337" s="10"/>
      <x:c r="G337" s="10"/>
    </x:row>
    <x:row r="338" ht="14.25" customHeight="1">
      <x:c r="A338" s="10"/>
      <x:c r="B338" s="10"/>
      <x:c r="C338" s="10"/>
      <x:c r="D338" s="10"/>
      <x:c r="E338" s="10"/>
      <x:c r="F338" s="10"/>
      <x:c r="G338" s="10"/>
    </x:row>
    <x:row r="339" ht="14.25" customHeight="1">
      <x:c r="A339" s="10"/>
      <x:c r="B339" s="10"/>
      <x:c r="C339" s="10"/>
      <x:c r="D339" s="10"/>
      <x:c r="E339" s="10"/>
      <x:c r="F339" s="10"/>
      <x:c r="G339" s="10"/>
    </x:row>
    <x:row r="340" ht="14.25" customHeight="1">
      <x:c r="A340" s="10"/>
      <x:c r="B340" s="10"/>
      <x:c r="C340" s="10"/>
      <x:c r="D340" s="10"/>
      <x:c r="E340" s="10"/>
      <x:c r="F340" s="10"/>
      <x:c r="G340" s="10"/>
    </x:row>
    <x:row r="341" ht="14.25" customHeight="1">
      <x:c r="A341" s="10"/>
      <x:c r="B341" s="10"/>
      <x:c r="C341" s="10"/>
      <x:c r="D341" s="10"/>
      <x:c r="E341" s="10"/>
      <x:c r="F341" s="10"/>
      <x:c r="G341" s="10"/>
    </x:row>
    <x:row r="342" ht="14.25" customHeight="1">
      <x:c r="A342" s="10"/>
      <x:c r="B342" s="10"/>
      <x:c r="C342" s="10"/>
      <x:c r="D342" s="10"/>
      <x:c r="E342" s="10"/>
      <x:c r="F342" s="10"/>
      <x:c r="G342" s="10"/>
    </x:row>
    <x:row r="343" ht="14.25" customHeight="1">
      <x:c r="A343" s="10"/>
      <x:c r="B343" s="10"/>
      <x:c r="C343" s="10"/>
      <x:c r="D343" s="10"/>
      <x:c r="E343" s="10"/>
      <x:c r="F343" s="10"/>
      <x:c r="G343" s="10"/>
    </x:row>
    <x:row r="344" ht="14.25" customHeight="1">
      <x:c r="A344" s="10"/>
      <x:c r="B344" s="10"/>
      <x:c r="C344" s="10"/>
      <x:c r="D344" s="10"/>
      <x:c r="E344" s="10"/>
      <x:c r="F344" s="10"/>
      <x:c r="G344" s="10"/>
    </x:row>
    <x:row r="345" ht="14.25" customHeight="1">
      <x:c r="A345" s="10"/>
      <x:c r="B345" s="10"/>
      <x:c r="C345" s="10"/>
      <x:c r="D345" s="10"/>
      <x:c r="E345" s="10"/>
      <x:c r="F345" s="10"/>
      <x:c r="G345" s="10"/>
    </x:row>
    <x:row r="346" ht="14.25" customHeight="1">
      <x:c r="A346" s="10"/>
      <x:c r="B346" s="10"/>
      <x:c r="C346" s="10"/>
      <x:c r="D346" s="10"/>
      <x:c r="E346" s="10"/>
      <x:c r="F346" s="10"/>
      <x:c r="G346" s="10"/>
    </x:row>
    <x:row r="347" ht="14.25" customHeight="1">
      <x:c r="A347" s="10"/>
      <x:c r="B347" s="10"/>
      <x:c r="C347" s="10"/>
      <x:c r="D347" s="10"/>
      <x:c r="E347" s="10"/>
      <x:c r="F347" s="10"/>
      <x:c r="G347" s="10"/>
    </x:row>
    <x:row r="348" ht="14.25" customHeight="1">
      <x:c r="A348" s="10"/>
      <x:c r="B348" s="10"/>
      <x:c r="C348" s="10"/>
      <x:c r="D348" s="10"/>
      <x:c r="E348" s="10"/>
      <x:c r="F348" s="10"/>
      <x:c r="G348" s="10"/>
    </x:row>
    <x:row r="349" ht="14.25" customHeight="1">
      <x:c r="A349" s="10"/>
      <x:c r="B349" s="10"/>
      <x:c r="C349" s="10"/>
      <x:c r="D349" s="10"/>
      <x:c r="E349" s="10"/>
      <x:c r="F349" s="10"/>
      <x:c r="G349" s="10"/>
    </x:row>
    <x:row r="350" ht="14.25" customHeight="1">
      <x:c r="A350" s="10"/>
      <x:c r="B350" s="10"/>
      <x:c r="C350" s="10"/>
      <x:c r="D350" s="10"/>
      <x:c r="E350" s="10"/>
      <x:c r="F350" s="10"/>
      <x:c r="G350" s="10"/>
    </x:row>
    <x:row r="351" ht="14.25" customHeight="1">
      <x:c r="A351" s="10"/>
      <x:c r="B351" s="10"/>
      <x:c r="C351" s="10"/>
      <x:c r="D351" s="10"/>
      <x:c r="E351" s="10"/>
      <x:c r="F351" s="10"/>
      <x:c r="G351" s="10"/>
    </x:row>
    <x:row r="352" ht="14.25" customHeight="1">
      <x:c r="A352" s="10"/>
      <x:c r="B352" s="10"/>
      <x:c r="C352" s="10"/>
      <x:c r="D352" s="10"/>
      <x:c r="E352" s="10"/>
      <x:c r="F352" s="10"/>
      <x:c r="G352" s="10"/>
    </x:row>
    <x:row r="353" ht="14.25" customHeight="1">
      <x:c r="A353" s="10"/>
      <x:c r="B353" s="10"/>
      <x:c r="C353" s="10"/>
      <x:c r="D353" s="10"/>
      <x:c r="E353" s="10"/>
      <x:c r="F353" s="10"/>
      <x:c r="G353" s="10"/>
    </x:row>
    <x:row r="354" ht="14.25" customHeight="1">
      <x:c r="A354" s="10"/>
      <x:c r="B354" s="10"/>
      <x:c r="C354" s="10"/>
      <x:c r="D354" s="10"/>
      <x:c r="E354" s="10"/>
      <x:c r="F354" s="10"/>
      <x:c r="G354" s="10"/>
    </x:row>
    <x:row r="355" ht="14.25" customHeight="1">
      <x:c r="A355" s="10"/>
      <x:c r="B355" s="10"/>
      <x:c r="C355" s="10"/>
      <x:c r="D355" s="10"/>
      <x:c r="E355" s="10"/>
      <x:c r="F355" s="10"/>
      <x:c r="G355" s="10"/>
    </x:row>
    <x:row r="356" ht="14.25" customHeight="1">
      <x:c r="A356" s="10"/>
      <x:c r="B356" s="10"/>
      <x:c r="C356" s="10"/>
      <x:c r="D356" s="10"/>
      <x:c r="E356" s="10"/>
      <x:c r="F356" s="10"/>
      <x:c r="G356" s="10"/>
    </x:row>
    <x:row r="357" ht="14.25" customHeight="1">
      <x:c r="A357" s="10"/>
      <x:c r="B357" s="10"/>
      <x:c r="C357" s="10"/>
      <x:c r="D357" s="10"/>
      <x:c r="E357" s="10"/>
      <x:c r="F357" s="10"/>
      <x:c r="G357" s="10"/>
    </x:row>
    <x:row r="358" ht="14.25" customHeight="1">
      <x:c r="A358" s="10"/>
      <x:c r="B358" s="10"/>
      <x:c r="C358" s="10"/>
      <x:c r="D358" s="10"/>
      <x:c r="E358" s="10"/>
      <x:c r="F358" s="10"/>
      <x:c r="G358" s="10"/>
    </x:row>
    <x:row r="359" ht="14.25" customHeight="1">
      <x:c r="A359" s="10"/>
      <x:c r="B359" s="10"/>
      <x:c r="C359" s="10"/>
      <x:c r="D359" s="10"/>
      <x:c r="E359" s="10"/>
      <x:c r="F359" s="10"/>
      <x:c r="G359" s="10"/>
    </x:row>
    <x:row r="360" ht="14.25" customHeight="1">
      <x:c r="A360" s="10"/>
      <x:c r="B360" s="10"/>
      <x:c r="C360" s="10"/>
      <x:c r="D360" s="10"/>
      <x:c r="E360" s="10"/>
      <x:c r="F360" s="10"/>
      <x:c r="G360" s="10"/>
    </x:row>
    <x:row r="361" ht="14.25" customHeight="1">
      <x:c r="A361" s="10"/>
      <x:c r="B361" s="10"/>
      <x:c r="C361" s="10"/>
      <x:c r="D361" s="10"/>
      <x:c r="E361" s="10"/>
      <x:c r="F361" s="10"/>
      <x:c r="G361" s="10"/>
    </x:row>
    <x:row r="362" ht="14.25" customHeight="1">
      <x:c r="A362" s="10"/>
      <x:c r="B362" s="10"/>
      <x:c r="C362" s="10"/>
      <x:c r="D362" s="10"/>
      <x:c r="E362" s="10"/>
      <x:c r="F362" s="10"/>
      <x:c r="G362" s="10"/>
    </x:row>
    <x:row r="363" ht="14.25" customHeight="1">
      <x:c r="A363" s="10"/>
      <x:c r="B363" s="10"/>
      <x:c r="C363" s="10"/>
      <x:c r="D363" s="10"/>
      <x:c r="E363" s="10"/>
      <x:c r="F363" s="10"/>
      <x:c r="G363" s="10"/>
    </x:row>
    <x:row r="364" ht="14.25" customHeight="1">
      <x:c r="A364" s="10"/>
      <x:c r="B364" s="10"/>
      <x:c r="C364" s="10"/>
      <x:c r="D364" s="10"/>
      <x:c r="E364" s="10"/>
      <x:c r="F364" s="10"/>
      <x:c r="G364" s="10"/>
    </x:row>
    <x:row r="365" ht="14.25" customHeight="1">
      <x:c r="A365" s="10"/>
      <x:c r="B365" s="10"/>
      <x:c r="C365" s="10"/>
      <x:c r="D365" s="10"/>
      <x:c r="E365" s="10"/>
      <x:c r="F365" s="10"/>
      <x:c r="G365" s="10"/>
    </x:row>
    <x:row r="366" ht="14.25" customHeight="1">
      <x:c r="A366" s="10"/>
      <x:c r="B366" s="10"/>
      <x:c r="C366" s="10"/>
      <x:c r="D366" s="10"/>
      <x:c r="E366" s="10"/>
      <x:c r="F366" s="10"/>
      <x:c r="G366" s="10"/>
    </x:row>
    <x:row r="367" ht="14.25" customHeight="1">
      <x:c r="A367" s="10"/>
      <x:c r="B367" s="10"/>
      <x:c r="C367" s="10"/>
      <x:c r="D367" s="10"/>
      <x:c r="E367" s="10"/>
      <x:c r="F367" s="10"/>
      <x:c r="G367" s="10"/>
    </x:row>
    <x:row r="368" ht="14.25" customHeight="1">
      <x:c r="A368" s="10"/>
      <x:c r="B368" s="10"/>
      <x:c r="C368" s="10"/>
      <x:c r="D368" s="10"/>
      <x:c r="E368" s="10"/>
      <x:c r="F368" s="10"/>
      <x:c r="G368" s="10"/>
    </x:row>
    <x:row r="369" ht="14.25" customHeight="1">
      <x:c r="A369" s="10"/>
      <x:c r="B369" s="10"/>
      <x:c r="C369" s="10"/>
      <x:c r="D369" s="10"/>
      <x:c r="E369" s="10"/>
      <x:c r="F369" s="10"/>
      <x:c r="G369" s="10"/>
    </x:row>
    <x:row r="370" ht="14.25" customHeight="1">
      <x:c r="A370" s="10"/>
      <x:c r="B370" s="10"/>
      <x:c r="C370" s="10"/>
      <x:c r="D370" s="10"/>
      <x:c r="E370" s="10"/>
      <x:c r="F370" s="10"/>
      <x:c r="G370" s="10"/>
    </x:row>
    <x:row r="371" ht="14.25" customHeight="1">
      <x:c r="A371" s="10"/>
      <x:c r="B371" s="10"/>
      <x:c r="C371" s="10"/>
      <x:c r="D371" s="10"/>
      <x:c r="E371" s="10"/>
      <x:c r="F371" s="10"/>
      <x:c r="G371" s="10"/>
    </x:row>
    <x:row r="372" ht="14.25" customHeight="1">
      <x:c r="A372" s="10"/>
      <x:c r="B372" s="10"/>
      <x:c r="C372" s="10"/>
      <x:c r="D372" s="10"/>
      <x:c r="E372" s="10"/>
      <x:c r="F372" s="10"/>
      <x:c r="G372" s="10"/>
    </x:row>
    <x:row r="373" ht="14.25" customHeight="1">
      <x:c r="A373" s="10"/>
      <x:c r="B373" s="10"/>
      <x:c r="C373" s="10"/>
      <x:c r="D373" s="10"/>
      <x:c r="E373" s="10"/>
      <x:c r="F373" s="10"/>
      <x:c r="G373" s="10"/>
    </x:row>
    <x:row r="374" ht="14.25" customHeight="1">
      <x:c r="A374" s="10"/>
      <x:c r="B374" s="10"/>
      <x:c r="C374" s="10"/>
      <x:c r="D374" s="10"/>
      <x:c r="E374" s="10"/>
      <x:c r="F374" s="10"/>
      <x:c r="G374" s="10"/>
    </x:row>
    <x:row r="375" ht="14.25" customHeight="1">
      <x:c r="A375" s="10"/>
      <x:c r="B375" s="10"/>
      <x:c r="C375" s="10"/>
      <x:c r="D375" s="10"/>
      <x:c r="E375" s="10"/>
      <x:c r="F375" s="10"/>
      <x:c r="G375" s="10"/>
    </x:row>
    <x:row r="376" ht="14.25" customHeight="1">
      <x:c r="A376" s="10"/>
      <x:c r="B376" s="10"/>
      <x:c r="C376" s="10"/>
      <x:c r="D376" s="10"/>
      <x:c r="E376" s="10"/>
      <x:c r="F376" s="10"/>
      <x:c r="G376" s="10"/>
    </x:row>
    <x:row r="377" ht="14.25" customHeight="1">
      <x:c r="A377" s="10"/>
      <x:c r="B377" s="10"/>
      <x:c r="C377" s="10"/>
      <x:c r="D377" s="10"/>
      <x:c r="E377" s="10"/>
      <x:c r="F377" s="10"/>
      <x:c r="G377" s="10"/>
    </x:row>
    <x:row r="378" ht="14.25" customHeight="1">
      <x:c r="A378" s="10"/>
      <x:c r="B378" s="10"/>
      <x:c r="C378" s="10"/>
      <x:c r="D378" s="10"/>
      <x:c r="E378" s="10"/>
      <x:c r="F378" s="10"/>
      <x:c r="G378" s="10"/>
    </x:row>
    <x:row r="379" ht="14.25" customHeight="1">
      <x:c r="A379" s="10"/>
      <x:c r="B379" s="10"/>
      <x:c r="C379" s="10"/>
      <x:c r="D379" s="10"/>
      <x:c r="E379" s="10"/>
      <x:c r="F379" s="10"/>
      <x:c r="G379" s="10"/>
    </x:row>
    <x:row r="380" ht="14.25" customHeight="1">
      <x:c r="A380" s="10"/>
      <x:c r="B380" s="10"/>
      <x:c r="C380" s="10"/>
      <x:c r="D380" s="10"/>
      <x:c r="E380" s="10"/>
      <x:c r="F380" s="10"/>
      <x:c r="G380" s="10"/>
    </x:row>
    <x:row r="381" ht="14.25" customHeight="1">
      <x:c r="A381" s="10"/>
      <x:c r="B381" s="10"/>
      <x:c r="C381" s="10"/>
      <x:c r="D381" s="10"/>
      <x:c r="E381" s="10"/>
      <x:c r="F381" s="10"/>
      <x:c r="G381" s="10"/>
    </x:row>
    <x:row r="382" ht="14.25" customHeight="1">
      <x:c r="A382" s="10"/>
      <x:c r="B382" s="10"/>
      <x:c r="C382" s="10"/>
      <x:c r="D382" s="10"/>
      <x:c r="E382" s="10"/>
      <x:c r="F382" s="10"/>
      <x:c r="G382" s="10"/>
    </x:row>
    <x:row r="383" ht="14.25" customHeight="1">
      <x:c r="A383" s="10"/>
      <x:c r="B383" s="10"/>
      <x:c r="C383" s="10"/>
      <x:c r="D383" s="10"/>
      <x:c r="E383" s="10"/>
      <x:c r="F383" s="10"/>
      <x:c r="G383" s="10"/>
    </x:row>
    <x:row r="384" ht="14.25" customHeight="1">
      <x:c r="A384" s="10"/>
      <x:c r="B384" s="10"/>
      <x:c r="C384" s="10"/>
      <x:c r="D384" s="10"/>
      <x:c r="E384" s="10"/>
      <x:c r="F384" s="10"/>
      <x:c r="G384" s="10"/>
    </x:row>
    <x:row r="385" ht="14.25" customHeight="1">
      <x:c r="A385" s="10"/>
      <x:c r="B385" s="10"/>
      <x:c r="C385" s="10"/>
      <x:c r="D385" s="10"/>
      <x:c r="E385" s="10"/>
      <x:c r="F385" s="10"/>
      <x:c r="G385" s="10"/>
    </x:row>
    <x:row r="386" ht="14.25" customHeight="1">
      <x:c r="A386" s="10"/>
      <x:c r="B386" s="10"/>
      <x:c r="C386" s="10"/>
      <x:c r="D386" s="10"/>
      <x:c r="E386" s="10"/>
      <x:c r="F386" s="10"/>
      <x:c r="G386" s="10"/>
    </x:row>
    <x:row r="387" ht="14.25" customHeight="1">
      <x:c r="A387" s="10"/>
      <x:c r="B387" s="10"/>
      <x:c r="C387" s="10"/>
      <x:c r="D387" s="10"/>
      <x:c r="E387" s="10"/>
      <x:c r="F387" s="10"/>
      <x:c r="G387" s="10"/>
    </x:row>
    <x:row r="388" ht="14.25" customHeight="1">
      <x:c r="A388" s="10"/>
      <x:c r="B388" s="10"/>
      <x:c r="C388" s="10"/>
      <x:c r="D388" s="10"/>
      <x:c r="E388" s="10"/>
      <x:c r="F388" s="10"/>
      <x:c r="G388" s="10"/>
    </x:row>
    <x:row r="389" ht="14.25" customHeight="1">
      <x:c r="A389" s="10"/>
      <x:c r="B389" s="10"/>
      <x:c r="C389" s="10"/>
      <x:c r="D389" s="10"/>
      <x:c r="E389" s="10"/>
      <x:c r="F389" s="10"/>
      <x:c r="G389" s="10"/>
    </x:row>
    <x:row r="390" ht="14.25" customHeight="1">
      <x:c r="A390" s="10"/>
      <x:c r="B390" s="10"/>
      <x:c r="C390" s="10"/>
      <x:c r="D390" s="10"/>
      <x:c r="E390" s="10"/>
      <x:c r="F390" s="10"/>
      <x:c r="G390" s="10"/>
    </x:row>
    <x:row r="391" ht="14.25" customHeight="1">
      <x:c r="A391" s="10"/>
      <x:c r="B391" s="10"/>
      <x:c r="C391" s="10"/>
      <x:c r="D391" s="10"/>
      <x:c r="E391" s="10"/>
      <x:c r="F391" s="10"/>
      <x:c r="G391" s="10"/>
    </x:row>
    <x:row r="392" ht="14.25" customHeight="1">
      <x:c r="A392" s="10"/>
      <x:c r="B392" s="10"/>
      <x:c r="C392" s="10"/>
      <x:c r="D392" s="10"/>
      <x:c r="E392" s="10"/>
      <x:c r="F392" s="10"/>
      <x:c r="G392" s="10"/>
    </x:row>
    <x:row r="393" ht="14.25" customHeight="1">
      <x:c r="A393" s="10"/>
      <x:c r="B393" s="10"/>
      <x:c r="C393" s="10"/>
      <x:c r="D393" s="10"/>
      <x:c r="E393" s="10"/>
      <x:c r="F393" s="10"/>
      <x:c r="G393" s="10"/>
    </x:row>
    <x:row r="394" ht="14.25" customHeight="1">
      <x:c r="A394" s="10"/>
      <x:c r="B394" s="10"/>
      <x:c r="C394" s="10"/>
      <x:c r="D394" s="10"/>
      <x:c r="E394" s="10"/>
      <x:c r="F394" s="10"/>
      <x:c r="G394" s="10"/>
    </x:row>
    <x:row r="395" ht="14.25" customHeight="1">
      <x:c r="A395" s="10"/>
      <x:c r="B395" s="10"/>
      <x:c r="C395" s="10"/>
      <x:c r="D395" s="10"/>
      <x:c r="E395" s="10"/>
      <x:c r="F395" s="10"/>
      <x:c r="G395" s="10"/>
    </x:row>
    <x:row r="396" ht="14.25" customHeight="1">
      <x:c r="A396" s="10"/>
      <x:c r="B396" s="10"/>
      <x:c r="C396" s="10"/>
      <x:c r="D396" s="10"/>
      <x:c r="E396" s="10"/>
      <x:c r="F396" s="10"/>
      <x:c r="G396" s="10"/>
    </x:row>
    <x:row r="397" ht="14.25" customHeight="1">
      <x:c r="A397" s="10"/>
      <x:c r="B397" s="10"/>
      <x:c r="C397" s="10"/>
      <x:c r="D397" s="10"/>
      <x:c r="E397" s="10"/>
      <x:c r="F397" s="10"/>
      <x:c r="G397" s="10"/>
    </x:row>
    <x:row r="398" ht="14.25" customHeight="1">
      <x:c r="A398" s="10"/>
      <x:c r="B398" s="10"/>
      <x:c r="C398" s="10"/>
      <x:c r="D398" s="10"/>
      <x:c r="E398" s="10"/>
      <x:c r="F398" s="10"/>
      <x:c r="G398" s="10"/>
    </x:row>
    <x:row r="399" ht="14.25" customHeight="1">
      <x:c r="A399" s="10"/>
      <x:c r="B399" s="10"/>
      <x:c r="C399" s="10"/>
      <x:c r="D399" s="10"/>
      <x:c r="E399" s="10"/>
      <x:c r="F399" s="10"/>
      <x:c r="G399" s="10"/>
    </x:row>
    <x:row r="400" ht="14.25" customHeight="1">
      <x:c r="A400" s="10"/>
      <x:c r="B400" s="10"/>
      <x:c r="C400" s="10"/>
      <x:c r="D400" s="10"/>
      <x:c r="E400" s="10"/>
      <x:c r="F400" s="10"/>
      <x:c r="G400" s="10"/>
    </x:row>
    <x:row r="401" ht="14.25" customHeight="1">
      <x:c r="A401" s="10"/>
      <x:c r="B401" s="10"/>
      <x:c r="C401" s="10"/>
      <x:c r="D401" s="10"/>
      <x:c r="E401" s="10"/>
      <x:c r="F401" s="10"/>
      <x:c r="G401" s="10"/>
    </x:row>
    <x:row r="402" ht="14.25" customHeight="1">
      <x:c r="A402" s="10"/>
      <x:c r="B402" s="10"/>
      <x:c r="C402" s="10"/>
      <x:c r="D402" s="10"/>
      <x:c r="E402" s="10"/>
      <x:c r="F402" s="10"/>
      <x:c r="G402" s="10"/>
    </x:row>
    <x:row r="403" ht="14.25" customHeight="1">
      <x:c r="A403" s="10"/>
      <x:c r="B403" s="10"/>
      <x:c r="C403" s="10"/>
      <x:c r="D403" s="10"/>
      <x:c r="E403" s="10"/>
      <x:c r="F403" s="10"/>
      <x:c r="G403" s="10"/>
    </x:row>
    <x:row r="404" ht="14.25" customHeight="1">
      <x:c r="A404" s="10"/>
      <x:c r="B404" s="10"/>
      <x:c r="C404" s="10"/>
      <x:c r="D404" s="10"/>
      <x:c r="E404" s="10"/>
      <x:c r="F404" s="10"/>
      <x:c r="G404" s="10"/>
    </x:row>
    <x:row r="405" ht="14.25" customHeight="1">
      <x:c r="A405" s="10"/>
      <x:c r="B405" s="10"/>
      <x:c r="C405" s="10"/>
      <x:c r="D405" s="10"/>
      <x:c r="E405" s="10"/>
      <x:c r="F405" s="10"/>
      <x:c r="G405" s="10"/>
    </x:row>
    <x:row r="406" ht="14.25" customHeight="1">
      <x:c r="A406" s="10"/>
      <x:c r="B406" s="10"/>
      <x:c r="C406" s="10"/>
      <x:c r="D406" s="10"/>
      <x:c r="E406" s="10"/>
      <x:c r="F406" s="10"/>
      <x:c r="G406" s="10"/>
    </x:row>
    <x:row r="407" ht="14.25" customHeight="1">
      <x:c r="A407" s="10"/>
      <x:c r="B407" s="10"/>
      <x:c r="C407" s="10"/>
      <x:c r="D407" s="10"/>
      <x:c r="E407" s="10"/>
      <x:c r="F407" s="10"/>
      <x:c r="G407" s="10"/>
    </x:row>
    <x:row r="408" ht="14.25" customHeight="1">
      <x:c r="A408" s="10"/>
      <x:c r="B408" s="10"/>
      <x:c r="C408" s="10"/>
      <x:c r="D408" s="10"/>
      <x:c r="E408" s="10"/>
      <x:c r="F408" s="10"/>
      <x:c r="G408" s="10"/>
    </x:row>
    <x:row r="409" ht="14.25" customHeight="1">
      <x:c r="A409" s="10"/>
      <x:c r="B409" s="10"/>
      <x:c r="C409" s="10"/>
      <x:c r="D409" s="10"/>
      <x:c r="E409" s="10"/>
      <x:c r="F409" s="10"/>
      <x:c r="G409" s="10"/>
    </x:row>
    <x:row r="410" ht="14.25" customHeight="1">
      <x:c r="A410" s="10"/>
      <x:c r="B410" s="10"/>
      <x:c r="C410" s="10"/>
      <x:c r="D410" s="10"/>
      <x:c r="E410" s="10"/>
      <x:c r="F410" s="10"/>
      <x:c r="G410" s="10"/>
    </x:row>
    <x:row r="411" ht="14.25" customHeight="1">
      <x:c r="A411" s="10"/>
      <x:c r="B411" s="10"/>
      <x:c r="C411" s="10"/>
      <x:c r="D411" s="10"/>
      <x:c r="E411" s="10"/>
      <x:c r="F411" s="10"/>
      <x:c r="G411" s="10"/>
    </x:row>
    <x:row r="412" ht="14.25" customHeight="1">
      <x:c r="A412" s="10"/>
      <x:c r="B412" s="10"/>
      <x:c r="C412" s="10"/>
      <x:c r="D412" s="10"/>
      <x:c r="E412" s="10"/>
      <x:c r="F412" s="10"/>
      <x:c r="G412" s="10"/>
    </x:row>
    <x:row r="413" ht="14.25" customHeight="1">
      <x:c r="A413" s="10"/>
      <x:c r="B413" s="10"/>
      <x:c r="C413" s="10"/>
      <x:c r="D413" s="10"/>
      <x:c r="E413" s="10"/>
      <x:c r="F413" s="10"/>
      <x:c r="G413" s="10"/>
    </x:row>
    <x:row r="414" ht="14.25" customHeight="1">
      <x:c r="A414" s="10"/>
      <x:c r="B414" s="10"/>
      <x:c r="C414" s="10"/>
      <x:c r="D414" s="10"/>
      <x:c r="E414" s="10"/>
      <x:c r="F414" s="10"/>
      <x:c r="G414" s="10"/>
    </x:row>
    <x:row r="415" ht="14.25" customHeight="1">
      <x:c r="A415" s="10"/>
      <x:c r="B415" s="10"/>
      <x:c r="C415" s="10"/>
      <x:c r="D415" s="10"/>
      <x:c r="E415" s="10"/>
      <x:c r="F415" s="10"/>
      <x:c r="G415" s="10"/>
    </x:row>
    <x:row r="416" ht="14.25" customHeight="1">
      <x:c r="A416" s="10"/>
      <x:c r="B416" s="10"/>
      <x:c r="C416" s="10"/>
      <x:c r="D416" s="10"/>
      <x:c r="E416" s="10"/>
      <x:c r="F416" s="10"/>
      <x:c r="G416" s="10"/>
    </x:row>
    <x:row r="417" ht="14.25" customHeight="1">
      <x:c r="A417" s="10"/>
      <x:c r="B417" s="10"/>
      <x:c r="C417" s="10"/>
      <x:c r="D417" s="10"/>
      <x:c r="E417" s="10"/>
      <x:c r="F417" s="10"/>
      <x:c r="G417" s="10"/>
    </x:row>
    <x:row r="418" ht="14.25" customHeight="1">
      <x:c r="A418" s="10"/>
      <x:c r="B418" s="10"/>
      <x:c r="C418" s="10"/>
      <x:c r="D418" s="10"/>
      <x:c r="E418" s="10"/>
      <x:c r="F418" s="10"/>
      <x:c r="G418" s="10"/>
    </x:row>
    <x:row r="419" ht="14.25" customHeight="1">
      <x:c r="A419" s="10"/>
      <x:c r="B419" s="10"/>
      <x:c r="C419" s="10"/>
      <x:c r="D419" s="10"/>
      <x:c r="E419" s="10"/>
      <x:c r="F419" s="10"/>
      <x:c r="G419" s="10"/>
    </x:row>
    <x:row r="420" ht="14.25" customHeight="1">
      <x:c r="A420" s="10"/>
      <x:c r="B420" s="10"/>
      <x:c r="C420" s="10"/>
      <x:c r="D420" s="10"/>
      <x:c r="E420" s="10"/>
      <x:c r="F420" s="10"/>
      <x:c r="G420" s="10"/>
    </x:row>
    <x:row r="421" ht="14.25" customHeight="1">
      <x:c r="A421" s="10"/>
      <x:c r="B421" s="10"/>
      <x:c r="C421" s="10"/>
      <x:c r="D421" s="10"/>
      <x:c r="E421" s="10"/>
      <x:c r="F421" s="10"/>
      <x:c r="G421" s="10"/>
    </x:row>
    <x:row r="422" ht="14.25" customHeight="1">
      <x:c r="A422" s="10"/>
      <x:c r="B422" s="10"/>
      <x:c r="C422" s="10"/>
      <x:c r="D422" s="10"/>
      <x:c r="E422" s="10"/>
      <x:c r="F422" s="10"/>
      <x:c r="G422" s="10"/>
    </x:row>
    <x:row r="423" ht="14.25" customHeight="1">
      <x:c r="A423" s="10"/>
      <x:c r="B423" s="10"/>
      <x:c r="C423" s="10"/>
      <x:c r="D423" s="10"/>
      <x:c r="E423" s="10"/>
      <x:c r="F423" s="10"/>
      <x:c r="G423" s="10"/>
    </x:row>
    <x:row r="424" ht="14.25" customHeight="1">
      <x:c r="A424" s="10"/>
      <x:c r="B424" s="10"/>
      <x:c r="C424" s="10"/>
      <x:c r="D424" s="10"/>
      <x:c r="E424" s="10"/>
      <x:c r="F424" s="10"/>
      <x:c r="G424" s="10"/>
    </x:row>
    <x:row r="425" ht="14.25" customHeight="1">
      <x:c r="A425" s="10"/>
      <x:c r="B425" s="10"/>
      <x:c r="C425" s="10"/>
      <x:c r="D425" s="10"/>
      <x:c r="E425" s="10"/>
      <x:c r="F425" s="10"/>
      <x:c r="G425" s="10"/>
    </x:row>
    <x:row r="426" ht="14.25" customHeight="1">
      <x:c r="A426" s="10"/>
      <x:c r="B426" s="10"/>
      <x:c r="C426" s="10"/>
      <x:c r="D426" s="10"/>
      <x:c r="E426" s="10"/>
      <x:c r="F426" s="10"/>
      <x:c r="G426" s="10"/>
    </x:row>
    <x:row r="427" ht="14.25" customHeight="1">
      <x:c r="A427" s="10"/>
      <x:c r="B427" s="10"/>
      <x:c r="C427" s="10"/>
      <x:c r="D427" s="10"/>
      <x:c r="E427" s="10"/>
      <x:c r="F427" s="10"/>
      <x:c r="G427" s="10"/>
    </x:row>
    <x:row r="428" ht="14.25" customHeight="1">
      <x:c r="A428" s="10"/>
      <x:c r="B428" s="10"/>
      <x:c r="C428" s="10"/>
      <x:c r="D428" s="10"/>
      <x:c r="E428" s="10"/>
      <x:c r="F428" s="10"/>
      <x:c r="G428" s="10"/>
    </x:row>
    <x:row r="429" ht="14.25" customHeight="1">
      <x:c r="A429" s="10"/>
      <x:c r="B429" s="10"/>
      <x:c r="C429" s="10"/>
      <x:c r="D429" s="10"/>
      <x:c r="E429" s="10"/>
      <x:c r="F429" s="10"/>
      <x:c r="G429" s="10"/>
    </x:row>
    <x:row r="430" ht="14.25" customHeight="1">
      <x:c r="A430" s="10"/>
      <x:c r="B430" s="10"/>
      <x:c r="C430" s="10"/>
      <x:c r="D430" s="10"/>
      <x:c r="E430" s="10"/>
      <x:c r="F430" s="10"/>
      <x:c r="G430" s="10"/>
    </x:row>
    <x:row r="431" ht="14.25" customHeight="1">
      <x:c r="A431" s="10"/>
      <x:c r="B431" s="10"/>
      <x:c r="C431" s="10"/>
      <x:c r="D431" s="10"/>
      <x:c r="E431" s="10"/>
      <x:c r="F431" s="10"/>
      <x:c r="G431" s="10"/>
    </x:row>
    <x:row r="432" ht="14.25" customHeight="1">
      <x:c r="A432" s="10"/>
      <x:c r="B432" s="10"/>
      <x:c r="C432" s="10"/>
      <x:c r="D432" s="10"/>
      <x:c r="E432" s="10"/>
      <x:c r="F432" s="10"/>
      <x:c r="G432" s="10"/>
    </x:row>
    <x:row r="433" ht="14.25" customHeight="1">
      <x:c r="A433" s="10"/>
      <x:c r="B433" s="10"/>
      <x:c r="C433" s="10"/>
      <x:c r="D433" s="10"/>
      <x:c r="E433" s="10"/>
      <x:c r="F433" s="10"/>
      <x:c r="G433" s="10"/>
    </x:row>
    <x:row r="434" ht="14.25" customHeight="1">
      <x:c r="A434" s="10"/>
      <x:c r="B434" s="10"/>
      <x:c r="C434" s="10"/>
      <x:c r="D434" s="10"/>
      <x:c r="E434" s="10"/>
      <x:c r="F434" s="10"/>
      <x:c r="G434" s="10"/>
    </x:row>
    <x:row r="435" ht="14.25" customHeight="1">
      <x:c r="A435" s="10"/>
      <x:c r="B435" s="10"/>
      <x:c r="C435" s="10"/>
      <x:c r="D435" s="10"/>
      <x:c r="E435" s="10"/>
      <x:c r="F435" s="10"/>
      <x:c r="G435" s="10"/>
    </x:row>
    <x:row r="436" ht="14.25" customHeight="1">
      <x:c r="A436" s="10"/>
      <x:c r="B436" s="10"/>
      <x:c r="C436" s="10"/>
      <x:c r="D436" s="10"/>
      <x:c r="E436" s="10"/>
      <x:c r="F436" s="10"/>
      <x:c r="G436" s="10"/>
    </x:row>
    <x:row r="437" ht="14.25" customHeight="1">
      <x:c r="A437" s="10"/>
      <x:c r="B437" s="10"/>
      <x:c r="C437" s="10"/>
      <x:c r="D437" s="10"/>
      <x:c r="E437" s="10"/>
      <x:c r="F437" s="10"/>
      <x:c r="G437" s="10"/>
    </x:row>
    <x:row r="438" ht="14.25" customHeight="1">
      <x:c r="A438" s="10"/>
      <x:c r="B438" s="10"/>
      <x:c r="C438" s="10"/>
      <x:c r="D438" s="10"/>
      <x:c r="E438" s="10"/>
      <x:c r="F438" s="10"/>
      <x:c r="G438" s="10"/>
    </x:row>
    <x:row r="439" ht="14.25" customHeight="1">
      <x:c r="A439" s="10"/>
      <x:c r="B439" s="10"/>
      <x:c r="C439" s="10"/>
      <x:c r="D439" s="10"/>
      <x:c r="E439" s="10"/>
      <x:c r="F439" s="10"/>
      <x:c r="G439" s="10"/>
    </x:row>
    <x:row r="440" ht="14.25" customHeight="1">
      <x:c r="A440" s="10"/>
      <x:c r="B440" s="10"/>
      <x:c r="C440" s="10"/>
      <x:c r="D440" s="10"/>
      <x:c r="E440" s="10"/>
      <x:c r="F440" s="10"/>
      <x:c r="G440" s="10"/>
    </x:row>
    <x:row r="441" ht="14.25" customHeight="1">
      <x:c r="A441" s="10"/>
      <x:c r="B441" s="10"/>
      <x:c r="C441" s="10"/>
      <x:c r="D441" s="10"/>
      <x:c r="E441" s="10"/>
      <x:c r="F441" s="10"/>
      <x:c r="G441" s="10"/>
    </x:row>
    <x:row r="442" ht="14.25" customHeight="1">
      <x:c r="A442" s="10"/>
      <x:c r="B442" s="10"/>
      <x:c r="C442" s="10"/>
      <x:c r="D442" s="10"/>
      <x:c r="E442" s="10"/>
      <x:c r="F442" s="10"/>
      <x:c r="G442" s="10"/>
    </x:row>
    <x:row r="443" ht="14.25" customHeight="1">
      <x:c r="A443" s="10"/>
      <x:c r="B443" s="10"/>
      <x:c r="C443" s="10"/>
      <x:c r="D443" s="10"/>
      <x:c r="E443" s="10"/>
      <x:c r="F443" s="10"/>
      <x:c r="G443" s="10"/>
    </x:row>
    <x:row r="444" ht="14.25" customHeight="1">
      <x:c r="A444" s="10"/>
      <x:c r="B444" s="10"/>
      <x:c r="C444" s="10"/>
      <x:c r="D444" s="10"/>
      <x:c r="E444" s="10"/>
      <x:c r="F444" s="10"/>
      <x:c r="G444" s="10"/>
    </x:row>
    <x:row r="445" ht="14.25" customHeight="1">
      <x:c r="A445" s="10"/>
      <x:c r="B445" s="10"/>
      <x:c r="C445" s="10"/>
      <x:c r="D445" s="10"/>
      <x:c r="E445" s="10"/>
      <x:c r="F445" s="10"/>
      <x:c r="G445" s="10"/>
    </x:row>
    <x:row r="446" ht="14.25" customHeight="1">
      <x:c r="A446" s="10"/>
      <x:c r="B446" s="10"/>
      <x:c r="C446" s="10"/>
      <x:c r="D446" s="10"/>
      <x:c r="E446" s="10"/>
      <x:c r="F446" s="10"/>
      <x:c r="G446" s="10"/>
    </x:row>
    <x:row r="447" ht="14.25" customHeight="1">
      <x:c r="A447" s="10"/>
      <x:c r="B447" s="10"/>
      <x:c r="C447" s="10"/>
      <x:c r="D447" s="10"/>
      <x:c r="E447" s="10"/>
      <x:c r="F447" s="10"/>
      <x:c r="G447" s="10"/>
    </x:row>
    <x:row r="448" ht="14.25" customHeight="1">
      <x:c r="A448" s="10"/>
      <x:c r="B448" s="10"/>
      <x:c r="C448" s="10"/>
      <x:c r="D448" s="10"/>
      <x:c r="E448" s="10"/>
      <x:c r="F448" s="10"/>
      <x:c r="G448" s="10"/>
    </x:row>
    <x:row r="449" ht="14.25" customHeight="1">
      <x:c r="A449" s="10"/>
      <x:c r="B449" s="10"/>
      <x:c r="C449" s="10"/>
      <x:c r="D449" s="10"/>
      <x:c r="E449" s="10"/>
      <x:c r="F449" s="10"/>
      <x:c r="G449" s="10"/>
    </x:row>
    <x:row r="450" ht="14.25" customHeight="1">
      <x:c r="A450" s="10"/>
      <x:c r="B450" s="10"/>
      <x:c r="C450" s="10"/>
      <x:c r="D450" s="10"/>
      <x:c r="E450" s="10"/>
      <x:c r="F450" s="10"/>
      <x:c r="G450" s="10"/>
    </x:row>
    <x:row r="451" ht="14.25" customHeight="1">
      <x:c r="A451" s="10"/>
      <x:c r="B451" s="10"/>
      <x:c r="C451" s="10"/>
      <x:c r="D451" s="10"/>
      <x:c r="E451" s="10"/>
      <x:c r="F451" s="10"/>
      <x:c r="G451" s="10"/>
    </x:row>
    <x:row r="452" ht="14.25" customHeight="1">
      <x:c r="A452" s="10"/>
      <x:c r="B452" s="10"/>
      <x:c r="C452" s="10"/>
      <x:c r="D452" s="10"/>
      <x:c r="E452" s="10"/>
      <x:c r="F452" s="10"/>
      <x:c r="G452" s="10"/>
    </x:row>
    <x:row r="453" ht="14.25" customHeight="1">
      <x:c r="A453" s="10"/>
      <x:c r="B453" s="10"/>
      <x:c r="C453" s="10"/>
      <x:c r="D453" s="10"/>
      <x:c r="E453" s="10"/>
      <x:c r="F453" s="10"/>
      <x:c r="G453" s="10"/>
    </x:row>
    <x:row r="454" ht="14.25" customHeight="1">
      <x:c r="A454" s="10"/>
      <x:c r="B454" s="10"/>
      <x:c r="C454" s="10"/>
      <x:c r="D454" s="10"/>
      <x:c r="E454" s="10"/>
      <x:c r="F454" s="10"/>
      <x:c r="G454" s="10"/>
    </x:row>
    <x:row r="455" ht="14.25" customHeight="1">
      <x:c r="A455" s="10"/>
      <x:c r="B455" s="10"/>
      <x:c r="C455" s="10"/>
      <x:c r="D455" s="10"/>
      <x:c r="E455" s="10"/>
      <x:c r="F455" s="10"/>
      <x:c r="G455" s="10"/>
    </x:row>
    <x:row r="456" ht="14.25" customHeight="1">
      <x:c r="A456" s="10"/>
      <x:c r="B456" s="10"/>
      <x:c r="C456" s="10"/>
      <x:c r="D456" s="10"/>
      <x:c r="E456" s="10"/>
      <x:c r="F456" s="10"/>
      <x:c r="G456" s="10"/>
    </x:row>
    <x:row r="457" ht="14.25" customHeight="1">
      <x:c r="A457" s="10"/>
      <x:c r="B457" s="10"/>
      <x:c r="C457" s="10"/>
      <x:c r="D457" s="10"/>
      <x:c r="E457" s="10"/>
      <x:c r="F457" s="10"/>
      <x:c r="G457" s="10"/>
    </x:row>
    <x:row r="458" ht="14.25" customHeight="1">
      <x:c r="A458" s="10"/>
      <x:c r="B458" s="10"/>
      <x:c r="C458" s="10"/>
      <x:c r="D458" s="10"/>
      <x:c r="E458" s="10"/>
      <x:c r="F458" s="10"/>
      <x:c r="G458" s="10"/>
    </x:row>
    <x:row r="459" ht="14.25" customHeight="1">
      <x:c r="A459" s="10"/>
      <x:c r="B459" s="10"/>
      <x:c r="C459" s="10"/>
      <x:c r="D459" s="10"/>
      <x:c r="E459" s="10"/>
      <x:c r="F459" s="10"/>
      <x:c r="G459" s="10"/>
    </x:row>
    <x:row r="460" ht="14.25" customHeight="1">
      <x:c r="A460" s="10"/>
      <x:c r="B460" s="10"/>
      <x:c r="C460" s="10"/>
      <x:c r="D460" s="10"/>
      <x:c r="E460" s="10"/>
      <x:c r="F460" s="10"/>
      <x:c r="G460" s="10"/>
    </x:row>
    <x:row r="461" ht="14.25" customHeight="1">
      <x:c r="A461" s="10"/>
      <x:c r="B461" s="10"/>
      <x:c r="C461" s="10"/>
      <x:c r="D461" s="10"/>
      <x:c r="E461" s="10"/>
      <x:c r="F461" s="10"/>
      <x:c r="G461" s="10"/>
    </x:row>
    <x:row r="462" ht="14.25" customHeight="1">
      <x:c r="A462" s="10"/>
      <x:c r="B462" s="10"/>
      <x:c r="C462" s="10"/>
      <x:c r="D462" s="10"/>
      <x:c r="E462" s="10"/>
      <x:c r="F462" s="10"/>
      <x:c r="G462" s="10"/>
    </x:row>
    <x:row r="463" ht="14.25" customHeight="1">
      <x:c r="A463" s="10"/>
      <x:c r="B463" s="10"/>
      <x:c r="C463" s="10"/>
      <x:c r="D463" s="10"/>
      <x:c r="E463" s="10"/>
      <x:c r="F463" s="10"/>
      <x:c r="G463" s="10"/>
    </x:row>
    <x:row r="464" ht="14.25" customHeight="1">
      <x:c r="A464" s="10"/>
      <x:c r="B464" s="10"/>
      <x:c r="C464" s="10"/>
      <x:c r="D464" s="10"/>
      <x:c r="E464" s="10"/>
      <x:c r="F464" s="10"/>
      <x:c r="G464" s="10"/>
    </x:row>
    <x:row r="465" ht="14.25" customHeight="1">
      <x:c r="A465" s="10"/>
      <x:c r="B465" s="10"/>
      <x:c r="C465" s="10"/>
      <x:c r="D465" s="10"/>
      <x:c r="E465" s="10"/>
      <x:c r="F465" s="10"/>
      <x:c r="G465" s="10"/>
    </x:row>
    <x:row r="466" ht="14.25" customHeight="1">
      <x:c r="A466" s="10"/>
      <x:c r="B466" s="10"/>
      <x:c r="C466" s="10"/>
      <x:c r="D466" s="10"/>
      <x:c r="E466" s="10"/>
      <x:c r="F466" s="10"/>
      <x:c r="G466" s="10"/>
    </x:row>
    <x:row r="467" ht="14.25" customHeight="1">
      <x:c r="A467" s="10"/>
      <x:c r="B467" s="10"/>
      <x:c r="C467" s="10"/>
      <x:c r="D467" s="10"/>
      <x:c r="E467" s="10"/>
      <x:c r="F467" s="10"/>
      <x:c r="G467" s="10"/>
    </x:row>
    <x:row r="468" ht="14.25" customHeight="1">
      <x:c r="A468" s="10"/>
      <x:c r="B468" s="10"/>
      <x:c r="C468" s="10"/>
      <x:c r="D468" s="10"/>
      <x:c r="E468" s="10"/>
      <x:c r="F468" s="10"/>
      <x:c r="G468" s="10"/>
    </x:row>
    <x:row r="469" ht="14.25" customHeight="1">
      <x:c r="A469" s="10"/>
      <x:c r="B469" s="10"/>
      <x:c r="C469" s="10"/>
      <x:c r="D469" s="10"/>
      <x:c r="E469" s="10"/>
      <x:c r="F469" s="10"/>
      <x:c r="G469" s="10"/>
    </x:row>
    <x:row r="470" ht="14.25" customHeight="1">
      <x:c r="A470" s="10"/>
      <x:c r="B470" s="10"/>
      <x:c r="C470" s="10"/>
      <x:c r="D470" s="10"/>
      <x:c r="E470" s="10"/>
      <x:c r="F470" s="10"/>
      <x:c r="G470" s="10"/>
    </x:row>
    <x:row r="471" ht="14.25" customHeight="1">
      <x:c r="A471" s="10"/>
      <x:c r="B471" s="10"/>
      <x:c r="C471" s="10"/>
      <x:c r="D471" s="10"/>
      <x:c r="E471" s="10"/>
      <x:c r="F471" s="10"/>
      <x:c r="G471" s="10"/>
    </x:row>
    <x:row r="472" ht="14.25" customHeight="1">
      <x:c r="A472" s="10"/>
      <x:c r="B472" s="10"/>
      <x:c r="C472" s="10"/>
      <x:c r="D472" s="10"/>
      <x:c r="E472" s="10"/>
      <x:c r="F472" s="10"/>
      <x:c r="G472" s="10"/>
    </x:row>
    <x:row r="473" ht="14.25" customHeight="1">
      <x:c r="A473" s="10"/>
      <x:c r="B473" s="10"/>
      <x:c r="C473" s="10"/>
      <x:c r="D473" s="10"/>
      <x:c r="E473" s="10"/>
      <x:c r="F473" s="10"/>
      <x:c r="G473" s="10"/>
    </x:row>
    <x:row r="474" ht="14.25" customHeight="1">
      <x:c r="A474" s="10"/>
      <x:c r="B474" s="10"/>
      <x:c r="C474" s="10"/>
      <x:c r="D474" s="10"/>
      <x:c r="E474" s="10"/>
      <x:c r="F474" s="10"/>
      <x:c r="G474" s="10"/>
    </x:row>
    <x:row r="475" ht="14.25" customHeight="1">
      <x:c r="A475" s="10"/>
      <x:c r="B475" s="10"/>
      <x:c r="C475" s="10"/>
      <x:c r="D475" s="10"/>
      <x:c r="E475" s="10"/>
      <x:c r="F475" s="10"/>
      <x:c r="G475" s="10"/>
    </x:row>
    <x:row r="476" ht="14.25" customHeight="1">
      <x:c r="A476" s="10"/>
      <x:c r="B476" s="10"/>
      <x:c r="C476" s="10"/>
      <x:c r="D476" s="10"/>
      <x:c r="E476" s="10"/>
      <x:c r="F476" s="10"/>
      <x:c r="G476" s="10"/>
    </x:row>
    <x:row r="477" ht="14.25" customHeight="1">
      <x:c r="A477" s="10"/>
      <x:c r="B477" s="10"/>
      <x:c r="C477" s="10"/>
      <x:c r="D477" s="10"/>
      <x:c r="E477" s="10"/>
      <x:c r="F477" s="10"/>
      <x:c r="G477" s="10"/>
    </x:row>
    <x:row r="478" ht="14.25" customHeight="1">
      <x:c r="A478" s="10"/>
      <x:c r="B478" s="10"/>
      <x:c r="C478" s="10"/>
      <x:c r="D478" s="10"/>
      <x:c r="E478" s="10"/>
      <x:c r="F478" s="10"/>
      <x:c r="G478" s="10"/>
    </x:row>
    <x:row r="479" ht="14.25" customHeight="1">
      <x:c r="A479" s="10"/>
      <x:c r="B479" s="10"/>
      <x:c r="C479" s="10"/>
      <x:c r="D479" s="10"/>
      <x:c r="E479" s="10"/>
      <x:c r="F479" s="10"/>
      <x:c r="G479" s="10"/>
    </x:row>
    <x:row r="480" ht="14.25" customHeight="1">
      <x:c r="A480" s="10"/>
      <x:c r="B480" s="10"/>
      <x:c r="C480" s="10"/>
      <x:c r="D480" s="10"/>
      <x:c r="E480" s="10"/>
      <x:c r="F480" s="10"/>
      <x:c r="G480" s="10"/>
    </x:row>
    <x:row r="481" ht="14.25" customHeight="1">
      <x:c r="A481" s="10"/>
      <x:c r="B481" s="10"/>
      <x:c r="C481" s="10"/>
      <x:c r="D481" s="10"/>
      <x:c r="E481" s="10"/>
      <x:c r="F481" s="10"/>
      <x:c r="G481" s="10"/>
    </x:row>
    <x:row r="482" ht="14.25" customHeight="1">
      <x:c r="A482" s="10"/>
      <x:c r="B482" s="10"/>
      <x:c r="C482" s="10"/>
      <x:c r="D482" s="10"/>
      <x:c r="E482" s="10"/>
      <x:c r="F482" s="10"/>
      <x:c r="G482" s="10"/>
    </x:row>
    <x:row r="483" ht="14.25" customHeight="1">
      <x:c r="A483" s="10"/>
      <x:c r="B483" s="10"/>
      <x:c r="C483" s="10"/>
      <x:c r="D483" s="10"/>
      <x:c r="E483" s="10"/>
      <x:c r="F483" s="10"/>
      <x:c r="G483" s="10"/>
    </x:row>
    <x:row r="484" ht="14.25" customHeight="1">
      <x:c r="A484" s="10"/>
      <x:c r="B484" s="10"/>
      <x:c r="C484" s="10"/>
      <x:c r="D484" s="10"/>
      <x:c r="E484" s="10"/>
      <x:c r="F484" s="10"/>
      <x:c r="G484" s="10"/>
    </x:row>
    <x:row r="485" ht="14.25" customHeight="1">
      <x:c r="A485" s="10"/>
      <x:c r="B485" s="10"/>
      <x:c r="C485" s="10"/>
      <x:c r="D485" s="10"/>
      <x:c r="E485" s="10"/>
      <x:c r="F485" s="10"/>
      <x:c r="G485" s="10"/>
    </x:row>
    <x:row r="486" ht="14.25" customHeight="1">
      <x:c r="A486" s="10"/>
      <x:c r="B486" s="10"/>
      <x:c r="C486" s="10"/>
      <x:c r="D486" s="10"/>
      <x:c r="E486" s="10"/>
      <x:c r="F486" s="10"/>
      <x:c r="G486" s="10"/>
    </x:row>
    <x:row r="487" ht="14.25" customHeight="1">
      <x:c r="A487" s="10"/>
      <x:c r="B487" s="10"/>
      <x:c r="C487" s="10"/>
      <x:c r="D487" s="10"/>
      <x:c r="E487" s="10"/>
      <x:c r="F487" s="10"/>
      <x:c r="G487" s="10"/>
    </x:row>
    <x:row r="488" ht="14.25" customHeight="1">
      <x:c r="A488" s="10"/>
      <x:c r="B488" s="10"/>
      <x:c r="C488" s="10"/>
      <x:c r="D488" s="10"/>
      <x:c r="E488" s="10"/>
      <x:c r="F488" s="10"/>
      <x:c r="G488" s="10"/>
    </x:row>
    <x:row r="489" ht="14.25" customHeight="1">
      <x:c r="A489" s="10"/>
      <x:c r="B489" s="10"/>
      <x:c r="C489" s="10"/>
      <x:c r="D489" s="10"/>
      <x:c r="E489" s="10"/>
      <x:c r="F489" s="10"/>
      <x:c r="G489" s="10"/>
    </x:row>
    <x:row r="490" ht="14.25" customHeight="1">
      <x:c r="A490" s="10"/>
      <x:c r="B490" s="10"/>
      <x:c r="C490" s="10"/>
      <x:c r="D490" s="10"/>
      <x:c r="E490" s="10"/>
      <x:c r="F490" s="10"/>
      <x:c r="G490" s="10"/>
    </x:row>
    <x:row r="491" ht="14.25" customHeight="1">
      <x:c r="A491" s="10"/>
      <x:c r="B491" s="10"/>
      <x:c r="C491" s="10"/>
      <x:c r="D491" s="10"/>
      <x:c r="E491" s="10"/>
      <x:c r="F491" s="10"/>
      <x:c r="G491" s="10"/>
    </x:row>
    <x:row r="492" ht="14.25" customHeight="1">
      <x:c r="A492" s="10"/>
      <x:c r="B492" s="10"/>
      <x:c r="C492" s="10"/>
      <x:c r="D492" s="10"/>
      <x:c r="E492" s="10"/>
      <x:c r="F492" s="10"/>
      <x:c r="G492" s="10"/>
    </x:row>
    <x:row r="493" ht="14.25" customHeight="1">
      <x:c r="A493" s="10"/>
      <x:c r="B493" s="10"/>
      <x:c r="C493" s="10"/>
      <x:c r="D493" s="10"/>
      <x:c r="E493" s="10"/>
      <x:c r="F493" s="10"/>
      <x:c r="G493" s="10"/>
    </x:row>
    <x:row r="494" ht="14.25" customHeight="1">
      <x:c r="A494" s="10"/>
      <x:c r="B494" s="10"/>
      <x:c r="C494" s="10"/>
      <x:c r="D494" s="10"/>
      <x:c r="E494" s="10"/>
      <x:c r="F494" s="10"/>
      <x:c r="G494" s="10"/>
    </x:row>
    <x:row r="495" ht="14.25" customHeight="1">
      <x:c r="A495" s="10"/>
      <x:c r="B495" s="10"/>
      <x:c r="C495" s="10"/>
      <x:c r="D495" s="10"/>
      <x:c r="E495" s="10"/>
      <x:c r="F495" s="10"/>
      <x:c r="G495" s="10"/>
    </x:row>
    <x:row r="496" ht="14.25" customHeight="1">
      <x:c r="A496" s="10"/>
      <x:c r="B496" s="10"/>
      <x:c r="C496" s="10"/>
      <x:c r="D496" s="10"/>
      <x:c r="E496" s="10"/>
      <x:c r="F496" s="10"/>
      <x:c r="G496" s="10"/>
    </x:row>
    <x:row r="497" ht="14.25" customHeight="1">
      <x:c r="A497" s="10"/>
      <x:c r="B497" s="10"/>
      <x:c r="C497" s="10"/>
      <x:c r="D497" s="10"/>
      <x:c r="E497" s="10"/>
      <x:c r="F497" s="10"/>
      <x:c r="G497" s="10"/>
    </x:row>
    <x:row r="498" ht="14.25" customHeight="1">
      <x:c r="A498" s="10"/>
      <x:c r="B498" s="10"/>
      <x:c r="C498" s="10"/>
      <x:c r="D498" s="10"/>
      <x:c r="E498" s="10"/>
      <x:c r="F498" s="10"/>
      <x:c r="G498" s="10"/>
    </x:row>
    <x:row r="499" ht="14.25" customHeight="1">
      <x:c r="A499" s="10"/>
      <x:c r="B499" s="10"/>
      <x:c r="C499" s="10"/>
      <x:c r="D499" s="10"/>
      <x:c r="E499" s="10"/>
      <x:c r="F499" s="10"/>
      <x:c r="G499" s="10"/>
    </x:row>
    <x:row r="500" ht="14.25" customHeight="1">
      <x:c r="A500" s="10"/>
      <x:c r="B500" s="10"/>
      <x:c r="C500" s="10"/>
      <x:c r="D500" s="10"/>
      <x:c r="E500" s="10"/>
      <x:c r="F500" s="10"/>
      <x:c r="G500" s="10"/>
    </x:row>
    <x:row r="501" ht="14.25" customHeight="1">
      <x:c r="A501" s="10"/>
      <x:c r="B501" s="10"/>
      <x:c r="C501" s="10"/>
      <x:c r="D501" s="10"/>
      <x:c r="E501" s="10"/>
      <x:c r="F501" s="10"/>
      <x:c r="G501" s="10"/>
    </x:row>
    <x:row r="502" ht="14.25" customHeight="1">
      <x:c r="A502" s="10"/>
      <x:c r="B502" s="10"/>
      <x:c r="C502" s="10"/>
      <x:c r="D502" s="10"/>
      <x:c r="E502" s="10"/>
      <x:c r="F502" s="10"/>
      <x:c r="G502" s="10"/>
    </x:row>
    <x:row r="503" ht="14.25" customHeight="1">
      <x:c r="A503" s="10"/>
      <x:c r="B503" s="10"/>
      <x:c r="C503" s="10"/>
      <x:c r="D503" s="10"/>
      <x:c r="E503" s="10"/>
      <x:c r="F503" s="10"/>
      <x:c r="G503" s="10"/>
    </x:row>
    <x:row r="504" ht="14.25" customHeight="1">
      <x:c r="A504" s="10"/>
      <x:c r="B504" s="10"/>
      <x:c r="C504" s="10"/>
      <x:c r="D504" s="10"/>
      <x:c r="E504" s="10"/>
      <x:c r="F504" s="10"/>
      <x:c r="G504" s="10"/>
    </x:row>
    <x:row r="505" ht="14.25" customHeight="1">
      <x:c r="A505" s="10"/>
      <x:c r="B505" s="10"/>
      <x:c r="C505" s="10"/>
      <x:c r="D505" s="10"/>
      <x:c r="E505" s="10"/>
      <x:c r="F505" s="10"/>
      <x:c r="G505" s="10"/>
    </x:row>
    <x:row r="506" ht="14.25" customHeight="1">
      <x:c r="A506" s="10"/>
      <x:c r="B506" s="10"/>
      <x:c r="C506" s="10"/>
      <x:c r="D506" s="10"/>
      <x:c r="E506" s="10"/>
      <x:c r="F506" s="10"/>
      <x:c r="G506" s="10"/>
    </x:row>
    <x:row r="507" ht="14.25" customHeight="1">
      <x:c r="A507" s="10"/>
      <x:c r="B507" s="10"/>
      <x:c r="C507" s="10"/>
      <x:c r="D507" s="10"/>
      <x:c r="E507" s="10"/>
      <x:c r="F507" s="10"/>
      <x:c r="G507" s="10"/>
    </x:row>
    <x:row r="508" ht="14.25" customHeight="1">
      <x:c r="A508" s="10"/>
      <x:c r="B508" s="10"/>
      <x:c r="C508" s="10"/>
      <x:c r="D508" s="10"/>
      <x:c r="E508" s="10"/>
      <x:c r="F508" s="10"/>
      <x:c r="G508" s="10"/>
    </x:row>
    <x:row r="509" ht="14.25" customHeight="1">
      <x:c r="A509" s="10"/>
      <x:c r="B509" s="10"/>
      <x:c r="C509" s="10"/>
      <x:c r="D509" s="10"/>
      <x:c r="E509" s="10"/>
      <x:c r="F509" s="10"/>
      <x:c r="G509" s="10"/>
    </x:row>
    <x:row r="510" ht="14.25" customHeight="1">
      <x:c r="A510" s="10"/>
      <x:c r="B510" s="10"/>
      <x:c r="C510" s="10"/>
      <x:c r="D510" s="10"/>
      <x:c r="E510" s="10"/>
      <x:c r="F510" s="10"/>
      <x:c r="G510" s="10"/>
    </x:row>
    <x:row r="511" ht="14.25" customHeight="1">
      <x:c r="A511" s="10"/>
      <x:c r="B511" s="10"/>
      <x:c r="C511" s="10"/>
      <x:c r="D511" s="10"/>
      <x:c r="E511" s="10"/>
      <x:c r="F511" s="10"/>
      <x:c r="G511" s="10"/>
    </x:row>
    <x:row r="512" ht="14.25" customHeight="1">
      <x:c r="A512" s="10"/>
      <x:c r="B512" s="10"/>
      <x:c r="C512" s="10"/>
      <x:c r="D512" s="10"/>
      <x:c r="E512" s="10"/>
      <x:c r="F512" s="10"/>
      <x:c r="G512" s="10"/>
    </x:row>
    <x:row r="513" ht="14.25" customHeight="1">
      <x:c r="A513" s="10"/>
      <x:c r="B513" s="10"/>
      <x:c r="C513" s="10"/>
      <x:c r="D513" s="10"/>
      <x:c r="E513" s="10"/>
      <x:c r="F513" s="10"/>
      <x:c r="G513" s="10"/>
    </x:row>
    <x:row r="514" ht="14.25" customHeight="1">
      <x:c r="A514" s="10"/>
      <x:c r="B514" s="10"/>
      <x:c r="C514" s="10"/>
      <x:c r="D514" s="10"/>
      <x:c r="E514" s="10"/>
      <x:c r="F514" s="10"/>
      <x:c r="G514" s="10"/>
    </x:row>
    <x:row r="515" ht="14.25" customHeight="1">
      <x:c r="A515" s="10"/>
      <x:c r="B515" s="10"/>
      <x:c r="C515" s="10"/>
      <x:c r="D515" s="10"/>
      <x:c r="E515" s="10"/>
      <x:c r="F515" s="10"/>
      <x:c r="G515" s="10"/>
    </x:row>
    <x:row r="516" ht="14.25" customHeight="1">
      <x:c r="A516" s="10"/>
      <x:c r="B516" s="10"/>
      <x:c r="C516" s="10"/>
      <x:c r="D516" s="10"/>
      <x:c r="E516" s="10"/>
      <x:c r="F516" s="10"/>
      <x:c r="G516" s="10"/>
    </x:row>
    <x:row r="517" ht="14.25" customHeight="1">
      <x:c r="A517" s="10"/>
      <x:c r="B517" s="10"/>
      <x:c r="C517" s="10"/>
      <x:c r="D517" s="10"/>
      <x:c r="E517" s="10"/>
      <x:c r="F517" s="10"/>
      <x:c r="G517" s="10"/>
    </x:row>
    <x:row r="518" ht="14.25" customHeight="1">
      <x:c r="A518" s="10"/>
      <x:c r="B518" s="10"/>
      <x:c r="C518" s="10"/>
      <x:c r="D518" s="10"/>
      <x:c r="E518" s="10"/>
      <x:c r="F518" s="10"/>
      <x:c r="G518" s="10"/>
    </x:row>
    <x:row r="519" ht="14.25" customHeight="1">
      <x:c r="A519" s="10"/>
      <x:c r="B519" s="10"/>
      <x:c r="C519" s="10"/>
      <x:c r="D519" s="10"/>
      <x:c r="E519" s="10"/>
      <x:c r="F519" s="10"/>
      <x:c r="G519" s="10"/>
    </x:row>
    <x:row r="520" ht="14.25" customHeight="1">
      <x:c r="A520" s="10"/>
      <x:c r="B520" s="10"/>
      <x:c r="C520" s="10"/>
      <x:c r="D520" s="10"/>
      <x:c r="E520" s="10"/>
      <x:c r="F520" s="10"/>
      <x:c r="G520" s="10"/>
    </x:row>
    <x:row r="521" ht="14.25" customHeight="1">
      <x:c r="A521" s="10"/>
      <x:c r="B521" s="10"/>
      <x:c r="C521" s="10"/>
      <x:c r="D521" s="10"/>
      <x:c r="E521" s="10"/>
      <x:c r="F521" s="10"/>
      <x:c r="G521" s="10"/>
    </x:row>
    <x:row r="522" ht="14.25" customHeight="1">
      <x:c r="A522" s="10"/>
      <x:c r="B522" s="10"/>
      <x:c r="C522" s="10"/>
      <x:c r="D522" s="10"/>
      <x:c r="E522" s="10"/>
      <x:c r="F522" s="10"/>
      <x:c r="G522" s="10"/>
    </x:row>
    <x:row r="523" ht="14.25" customHeight="1">
      <x:c r="A523" s="10"/>
      <x:c r="B523" s="10"/>
      <x:c r="C523" s="10"/>
      <x:c r="D523" s="10"/>
      <x:c r="E523" s="10"/>
      <x:c r="F523" s="10"/>
      <x:c r="G523" s="10"/>
    </x:row>
    <x:row r="524" ht="14.25" customHeight="1">
      <x:c r="A524" s="10"/>
      <x:c r="B524" s="10"/>
      <x:c r="C524" s="10"/>
      <x:c r="D524" s="10"/>
      <x:c r="E524" s="10"/>
      <x:c r="F524" s="10"/>
      <x:c r="G524" s="10"/>
    </x:row>
    <x:row r="525" ht="14.25" customHeight="1">
      <x:c r="A525" s="10"/>
      <x:c r="B525" s="10"/>
      <x:c r="C525" s="10"/>
      <x:c r="D525" s="10"/>
      <x:c r="E525" s="10"/>
      <x:c r="F525" s="10"/>
      <x:c r="G525" s="10"/>
    </x:row>
    <x:row r="526" ht="14.25" customHeight="1">
      <x:c r="A526" s="10"/>
      <x:c r="B526" s="10"/>
      <x:c r="C526" s="10"/>
      <x:c r="D526" s="10"/>
      <x:c r="E526" s="10"/>
      <x:c r="F526" s="10"/>
      <x:c r="G526" s="10"/>
    </x:row>
    <x:row r="527" ht="14.25" customHeight="1">
      <x:c r="A527" s="10"/>
      <x:c r="B527" s="10"/>
      <x:c r="C527" s="10"/>
      <x:c r="D527" s="10"/>
      <x:c r="E527" s="10"/>
      <x:c r="F527" s="10"/>
      <x:c r="G527" s="10"/>
    </x:row>
    <x:row r="528" ht="14.25" customHeight="1">
      <x:c r="A528" s="10"/>
      <x:c r="B528" s="10"/>
      <x:c r="C528" s="10"/>
      <x:c r="D528" s="10"/>
      <x:c r="E528" s="10"/>
      <x:c r="F528" s="10"/>
      <x:c r="G528" s="10"/>
    </x:row>
    <x:row r="529" ht="14.25" customHeight="1">
      <x:c r="A529" s="10"/>
      <x:c r="B529" s="10"/>
      <x:c r="C529" s="10"/>
      <x:c r="D529" s="10"/>
      <x:c r="E529" s="10"/>
      <x:c r="F529" s="10"/>
      <x:c r="G529" s="10"/>
    </x:row>
    <x:row r="530" ht="14.25" customHeight="1">
      <x:c r="A530" s="10"/>
      <x:c r="B530" s="10"/>
      <x:c r="C530" s="10"/>
      <x:c r="D530" s="10"/>
      <x:c r="E530" s="10"/>
      <x:c r="F530" s="10"/>
      <x:c r="G530" s="10"/>
    </x:row>
    <x:row r="531" ht="14.25" customHeight="1">
      <x:c r="A531" s="10"/>
      <x:c r="B531" s="10"/>
      <x:c r="C531" s="10"/>
      <x:c r="D531" s="10"/>
      <x:c r="E531" s="10"/>
      <x:c r="F531" s="10"/>
      <x:c r="G531" s="10"/>
    </x:row>
    <x:row r="532" ht="14.25" customHeight="1">
      <x:c r="A532" s="10"/>
      <x:c r="B532" s="10"/>
      <x:c r="C532" s="10"/>
      <x:c r="D532" s="10"/>
      <x:c r="E532" s="10"/>
      <x:c r="F532" s="10"/>
      <x:c r="G532" s="10"/>
    </x:row>
    <x:row r="533" ht="14.25" customHeight="1">
      <x:c r="A533" s="10"/>
      <x:c r="B533" s="10"/>
      <x:c r="C533" s="10"/>
      <x:c r="D533" s="10"/>
      <x:c r="E533" s="10"/>
      <x:c r="F533" s="10"/>
      <x:c r="G533" s="10"/>
    </x:row>
    <x:row r="534" ht="14.25" customHeight="1">
      <x:c r="A534" s="10"/>
      <x:c r="B534" s="10"/>
      <x:c r="C534" s="10"/>
      <x:c r="D534" s="10"/>
      <x:c r="E534" s="10"/>
      <x:c r="F534" s="10"/>
      <x:c r="G534" s="10"/>
    </x:row>
    <x:row r="535" ht="14.25" customHeight="1">
      <x:c r="A535" s="10"/>
      <x:c r="B535" s="10"/>
      <x:c r="C535" s="10"/>
      <x:c r="D535" s="10"/>
      <x:c r="E535" s="10"/>
      <x:c r="F535" s="10"/>
      <x:c r="G535" s="10"/>
    </x:row>
    <x:row r="536" ht="14.25" customHeight="1">
      <x:c r="A536" s="10"/>
      <x:c r="B536" s="10"/>
      <x:c r="C536" s="10"/>
      <x:c r="D536" s="10"/>
      <x:c r="E536" s="10"/>
      <x:c r="F536" s="10"/>
      <x:c r="G536" s="10"/>
    </x:row>
    <x:row r="537" ht="14.25" customHeight="1">
      <x:c r="A537" s="10"/>
      <x:c r="B537" s="10"/>
      <x:c r="C537" s="10"/>
      <x:c r="D537" s="10"/>
      <x:c r="E537" s="10"/>
      <x:c r="F537" s="10"/>
      <x:c r="G537" s="10"/>
    </x:row>
    <x:row r="538" ht="14.25" customHeight="1">
      <x:c r="A538" s="10"/>
      <x:c r="B538" s="10"/>
      <x:c r="C538" s="10"/>
      <x:c r="D538" s="10"/>
      <x:c r="E538" s="10"/>
      <x:c r="F538" s="10"/>
      <x:c r="G538" s="10"/>
    </x:row>
    <x:row r="539" ht="14.25" customHeight="1">
      <x:c r="A539" s="10"/>
      <x:c r="B539" s="10"/>
      <x:c r="C539" s="10"/>
      <x:c r="D539" s="10"/>
      <x:c r="E539" s="10"/>
      <x:c r="F539" s="10"/>
      <x:c r="G539" s="10"/>
    </x:row>
    <x:row r="540" ht="14.25" customHeight="1">
      <x:c r="A540" s="10"/>
      <x:c r="B540" s="10"/>
      <x:c r="C540" s="10"/>
      <x:c r="D540" s="10"/>
      <x:c r="E540" s="10"/>
      <x:c r="F540" s="10"/>
      <x:c r="G540" s="10"/>
    </x:row>
    <x:row r="541" ht="14.25" customHeight="1">
      <x:c r="A541" s="10"/>
      <x:c r="B541" s="10"/>
      <x:c r="C541" s="10"/>
      <x:c r="D541" s="10"/>
      <x:c r="E541" s="10"/>
      <x:c r="F541" s="10"/>
      <x:c r="G541" s="10"/>
    </x:row>
    <x:row r="542" ht="14.25" customHeight="1">
      <x:c r="A542" s="10"/>
      <x:c r="B542" s="10"/>
      <x:c r="C542" s="10"/>
      <x:c r="D542" s="10"/>
      <x:c r="E542" s="10"/>
      <x:c r="F542" s="10"/>
      <x:c r="G542" s="10"/>
    </x:row>
    <x:row r="543" ht="14.25" customHeight="1">
      <x:c r="A543" s="10"/>
      <x:c r="B543" s="10"/>
      <x:c r="C543" s="10"/>
      <x:c r="D543" s="10"/>
      <x:c r="E543" s="10"/>
      <x:c r="F543" s="10"/>
      <x:c r="G543" s="10"/>
    </x:row>
    <x:row r="544" ht="14.25" customHeight="1">
      <x:c r="A544" s="10"/>
      <x:c r="B544" s="10"/>
      <x:c r="C544" s="10"/>
      <x:c r="D544" s="10"/>
      <x:c r="E544" s="10"/>
      <x:c r="F544" s="10"/>
      <x:c r="G544" s="10"/>
    </x:row>
    <x:row r="545" ht="14.25" customHeight="1">
      <x:c r="A545" s="10"/>
      <x:c r="B545" s="10"/>
      <x:c r="C545" s="10"/>
      <x:c r="D545" s="10"/>
      <x:c r="E545" s="10"/>
      <x:c r="F545" s="10"/>
      <x:c r="G545" s="10"/>
    </x:row>
    <x:row r="546" ht="14.25" customHeight="1">
      <x:c r="A546" s="10"/>
      <x:c r="B546" s="10"/>
      <x:c r="C546" s="10"/>
      <x:c r="D546" s="10"/>
      <x:c r="E546" s="10"/>
      <x:c r="F546" s="10"/>
      <x:c r="G546" s="10"/>
    </x:row>
    <x:row r="547" ht="14.25" customHeight="1">
      <x:c r="A547" s="10"/>
      <x:c r="B547" s="10"/>
      <x:c r="C547" s="10"/>
      <x:c r="D547" s="10"/>
      <x:c r="E547" s="10"/>
      <x:c r="F547" s="10"/>
      <x:c r="G547" s="10"/>
    </x:row>
    <x:row r="548" ht="14.25" customHeight="1">
      <x:c r="A548" s="10"/>
      <x:c r="B548" s="10"/>
      <x:c r="C548" s="10"/>
      <x:c r="D548" s="10"/>
      <x:c r="E548" s="10"/>
      <x:c r="F548" s="10"/>
      <x:c r="G548" s="10"/>
    </x:row>
    <x:row r="549" ht="14.25" customHeight="1">
      <x:c r="A549" s="10"/>
      <x:c r="B549" s="10"/>
      <x:c r="C549" s="10"/>
      <x:c r="D549" s="10"/>
      <x:c r="E549" s="10"/>
      <x:c r="F549" s="10"/>
      <x:c r="G549" s="10"/>
    </x:row>
    <x:row r="550" ht="14.25" customHeight="1">
      <x:c r="A550" s="10"/>
      <x:c r="B550" s="10"/>
      <x:c r="C550" s="10"/>
      <x:c r="D550" s="10"/>
      <x:c r="E550" s="10"/>
      <x:c r="F550" s="10"/>
      <x:c r="G550" s="10"/>
    </x:row>
    <x:row r="551" ht="14.25" customHeight="1">
      <x:c r="A551" s="10"/>
      <x:c r="B551" s="10"/>
      <x:c r="C551" s="10"/>
      <x:c r="D551" s="10"/>
      <x:c r="E551" s="10"/>
      <x:c r="F551" s="10"/>
      <x:c r="G551" s="10"/>
    </x:row>
    <x:row r="552" ht="14.25" customHeight="1">
      <x:c r="A552" s="10"/>
      <x:c r="B552" s="10"/>
      <x:c r="C552" s="10"/>
      <x:c r="D552" s="10"/>
      <x:c r="E552" s="10"/>
      <x:c r="F552" s="10"/>
      <x:c r="G552" s="10"/>
    </x:row>
    <x:row r="553" ht="14.25" customHeight="1">
      <x:c r="A553" s="10"/>
      <x:c r="B553" s="10"/>
      <x:c r="C553" s="10"/>
      <x:c r="D553" s="10"/>
      <x:c r="E553" s="10"/>
      <x:c r="F553" s="10"/>
      <x:c r="G553" s="10"/>
    </x:row>
    <x:row r="554" ht="14.25" customHeight="1">
      <x:c r="A554" s="10"/>
      <x:c r="B554" s="10"/>
      <x:c r="C554" s="10"/>
      <x:c r="D554" s="10"/>
      <x:c r="E554" s="10"/>
      <x:c r="F554" s="10"/>
      <x:c r="G554" s="10"/>
    </x:row>
    <x:row r="555" ht="14.25" customHeight="1">
      <x:c r="A555" s="10"/>
      <x:c r="B555" s="10"/>
      <x:c r="C555" s="10"/>
      <x:c r="D555" s="10"/>
      <x:c r="E555" s="10"/>
      <x:c r="F555" s="10"/>
      <x:c r="G555" s="10"/>
    </x:row>
    <x:row r="556" ht="14.25" customHeight="1">
      <x:c r="A556" s="10"/>
      <x:c r="B556" s="10"/>
      <x:c r="C556" s="10"/>
      <x:c r="D556" s="10"/>
      <x:c r="E556" s="10"/>
      <x:c r="F556" s="10"/>
      <x:c r="G556" s="10"/>
    </x:row>
    <x:row r="557" ht="14.25" customHeight="1">
      <x:c r="A557" s="10"/>
      <x:c r="B557" s="10"/>
      <x:c r="C557" s="10"/>
      <x:c r="D557" s="10"/>
      <x:c r="E557" s="10"/>
      <x:c r="F557" s="10"/>
      <x:c r="G557" s="10"/>
    </x:row>
    <x:row r="558" ht="14.25" customHeight="1">
      <x:c r="A558" s="10"/>
      <x:c r="B558" s="10"/>
      <x:c r="C558" s="10"/>
      <x:c r="D558" s="10"/>
      <x:c r="E558" s="10"/>
      <x:c r="F558" s="10"/>
      <x:c r="G558" s="10"/>
    </x:row>
    <x:row r="559" ht="14.25" customHeight="1">
      <x:c r="A559" s="10"/>
      <x:c r="B559" s="10"/>
      <x:c r="C559" s="10"/>
      <x:c r="D559" s="10"/>
      <x:c r="E559" s="10"/>
      <x:c r="F559" s="10"/>
      <x:c r="G559" s="10"/>
    </x:row>
    <x:row r="560" ht="14.25" customHeight="1">
      <x:c r="A560" s="10"/>
      <x:c r="B560" s="10"/>
      <x:c r="C560" s="10"/>
      <x:c r="D560" s="10"/>
      <x:c r="E560" s="10"/>
      <x:c r="F560" s="10"/>
      <x:c r="G560" s="10"/>
    </x:row>
    <x:row r="561" ht="14.25" customHeight="1">
      <x:c r="A561" s="10"/>
      <x:c r="B561" s="10"/>
      <x:c r="C561" s="10"/>
      <x:c r="D561" s="10"/>
      <x:c r="E561" s="10"/>
      <x:c r="F561" s="10"/>
      <x:c r="G561" s="10"/>
    </x:row>
    <x:row r="562" ht="14.25" customHeight="1">
      <x:c r="A562" s="10"/>
      <x:c r="B562" s="10"/>
      <x:c r="C562" s="10"/>
      <x:c r="D562" s="10"/>
      <x:c r="E562" s="10"/>
      <x:c r="F562" s="10"/>
      <x:c r="G562" s="10"/>
    </x:row>
    <x:row r="563" ht="14.25" customHeight="1">
      <x:c r="A563" s="10"/>
      <x:c r="B563" s="10"/>
      <x:c r="C563" s="10"/>
      <x:c r="D563" s="10"/>
      <x:c r="E563" s="10"/>
      <x:c r="F563" s="10"/>
      <x:c r="G563" s="10"/>
    </x:row>
    <x:row r="564" ht="14.25" customHeight="1">
      <x:c r="A564" s="10"/>
      <x:c r="B564" s="10"/>
      <x:c r="C564" s="10"/>
      <x:c r="D564" s="10"/>
      <x:c r="E564" s="10"/>
      <x:c r="F564" s="10"/>
      <x:c r="G564" s="10"/>
    </x:row>
    <x:row r="565" ht="14.25" customHeight="1">
      <x:c r="A565" s="10"/>
      <x:c r="B565" s="10"/>
      <x:c r="C565" s="10"/>
      <x:c r="D565" s="10"/>
      <x:c r="E565" s="10"/>
      <x:c r="F565" s="10"/>
      <x:c r="G565" s="10"/>
    </x:row>
    <x:row r="566" ht="14.25" customHeight="1">
      <x:c r="A566" s="10"/>
      <x:c r="B566" s="10"/>
      <x:c r="C566" s="10"/>
      <x:c r="D566" s="10"/>
      <x:c r="E566" s="10"/>
      <x:c r="F566" s="10"/>
      <x:c r="G566" s="10"/>
    </x:row>
    <x:row r="567" ht="14.25" customHeight="1">
      <x:c r="A567" s="10"/>
      <x:c r="B567" s="10"/>
      <x:c r="C567" s="10"/>
      <x:c r="D567" s="10"/>
      <x:c r="E567" s="10"/>
      <x:c r="F567" s="10"/>
      <x:c r="G567" s="10"/>
    </x:row>
    <x:row r="568" ht="14.25" customHeight="1">
      <x:c r="A568" s="10"/>
      <x:c r="B568" s="10"/>
      <x:c r="C568" s="10"/>
      <x:c r="D568" s="10"/>
      <x:c r="E568" s="10"/>
      <x:c r="F568" s="10"/>
      <x:c r="G568" s="10"/>
    </x:row>
    <x:row r="569" ht="14.25" customHeight="1">
      <x:c r="A569" s="10"/>
      <x:c r="B569" s="10"/>
      <x:c r="C569" s="10"/>
      <x:c r="D569" s="10"/>
      <x:c r="E569" s="10"/>
      <x:c r="F569" s="10"/>
      <x:c r="G569" s="10"/>
    </x:row>
    <x:row r="570" ht="14.25" customHeight="1">
      <x:c r="A570" s="10"/>
      <x:c r="B570" s="10"/>
      <x:c r="C570" s="10"/>
      <x:c r="D570" s="10"/>
      <x:c r="E570" s="10"/>
      <x:c r="F570" s="10"/>
      <x:c r="G570" s="10"/>
    </x:row>
    <x:row r="571" ht="14.25" customHeight="1">
      <x:c r="A571" s="10"/>
      <x:c r="B571" s="10"/>
      <x:c r="C571" s="10"/>
      <x:c r="D571" s="10"/>
      <x:c r="E571" s="10"/>
      <x:c r="F571" s="10"/>
      <x:c r="G571" s="10"/>
    </x:row>
    <x:row r="572" ht="14.25" customHeight="1">
      <x:c r="A572" s="10"/>
      <x:c r="B572" s="10"/>
      <x:c r="C572" s="10"/>
      <x:c r="D572" s="10"/>
      <x:c r="E572" s="10"/>
      <x:c r="F572" s="10"/>
      <x:c r="G572" s="10"/>
    </x:row>
    <x:row r="573" ht="14.25" customHeight="1">
      <x:c r="A573" s="10"/>
      <x:c r="B573" s="10"/>
      <x:c r="C573" s="10"/>
      <x:c r="D573" s="10"/>
      <x:c r="E573" s="10"/>
      <x:c r="F573" s="10"/>
      <x:c r="G573" s="10"/>
    </x:row>
    <x:row r="574" ht="14.25" customHeight="1">
      <x:c r="A574" s="10"/>
      <x:c r="B574" s="10"/>
      <x:c r="C574" s="10"/>
      <x:c r="D574" s="10"/>
      <x:c r="E574" s="10"/>
      <x:c r="F574" s="10"/>
      <x:c r="G574" s="10"/>
    </x:row>
    <x:row r="575" ht="14.25" customHeight="1">
      <x:c r="A575" s="10"/>
      <x:c r="B575" s="10"/>
      <x:c r="C575" s="10"/>
      <x:c r="D575" s="10"/>
      <x:c r="E575" s="10"/>
      <x:c r="F575" s="10"/>
      <x:c r="G575" s="10"/>
    </x:row>
    <x:row r="576" ht="14.25" customHeight="1">
      <x:c r="A576" s="10"/>
      <x:c r="B576" s="10"/>
      <x:c r="C576" s="10"/>
      <x:c r="D576" s="10"/>
      <x:c r="E576" s="10"/>
      <x:c r="F576" s="10"/>
      <x:c r="G576" s="10"/>
    </x:row>
    <x:row r="577" ht="14.25" customHeight="1">
      <x:c r="A577" s="10"/>
      <x:c r="B577" s="10"/>
      <x:c r="C577" s="10"/>
      <x:c r="D577" s="10"/>
      <x:c r="E577" s="10"/>
      <x:c r="F577" s="10"/>
      <x:c r="G577" s="10"/>
    </x:row>
    <x:row r="578" ht="14.25" customHeight="1">
      <x:c r="A578" s="10"/>
      <x:c r="B578" s="10"/>
      <x:c r="C578" s="10"/>
      <x:c r="D578" s="10"/>
      <x:c r="E578" s="10"/>
      <x:c r="F578" s="10"/>
      <x:c r="G578" s="10"/>
    </x:row>
    <x:row r="579" ht="14.25" customHeight="1">
      <x:c r="A579" s="10"/>
      <x:c r="B579" s="10"/>
      <x:c r="C579" s="10"/>
      <x:c r="D579" s="10"/>
      <x:c r="E579" s="10"/>
      <x:c r="F579" s="10"/>
      <x:c r="G579" s="10"/>
    </x:row>
    <x:row r="580" ht="14.25" customHeight="1">
      <x:c r="A580" s="10"/>
      <x:c r="B580" s="10"/>
      <x:c r="C580" s="10"/>
      <x:c r="D580" s="10"/>
      <x:c r="E580" s="10"/>
      <x:c r="F580" s="10"/>
      <x:c r="G580" s="10"/>
    </x:row>
    <x:row r="581" ht="14.25" customHeight="1">
      <x:c r="A581" s="10"/>
      <x:c r="B581" s="10"/>
      <x:c r="C581" s="10"/>
      <x:c r="D581" s="10"/>
      <x:c r="E581" s="10"/>
      <x:c r="F581" s="10"/>
      <x:c r="G581" s="10"/>
    </x:row>
    <x:row r="582" ht="14.25" customHeight="1">
      <x:c r="A582" s="10"/>
      <x:c r="B582" s="10"/>
      <x:c r="C582" s="10"/>
      <x:c r="D582" s="10"/>
      <x:c r="E582" s="10"/>
      <x:c r="F582" s="10"/>
      <x:c r="G582" s="10"/>
    </x:row>
    <x:row r="583" ht="14.25" customHeight="1">
      <x:c r="A583" s="10"/>
      <x:c r="B583" s="10"/>
      <x:c r="C583" s="10"/>
      <x:c r="D583" s="10"/>
      <x:c r="E583" s="10"/>
      <x:c r="F583" s="10"/>
      <x:c r="G583" s="10"/>
    </x:row>
    <x:row r="584" ht="14.25" customHeight="1">
      <x:c r="A584" s="10"/>
      <x:c r="B584" s="10"/>
      <x:c r="C584" s="10"/>
      <x:c r="D584" s="10"/>
      <x:c r="E584" s="10"/>
      <x:c r="F584" s="10"/>
      <x:c r="G584" s="10"/>
    </x:row>
    <x:row r="585" ht="14.25" customHeight="1">
      <x:c r="A585" s="10"/>
      <x:c r="B585" s="10"/>
      <x:c r="C585" s="10"/>
      <x:c r="D585" s="10"/>
      <x:c r="E585" s="10"/>
      <x:c r="F585" s="10"/>
      <x:c r="G585" s="10"/>
    </x:row>
    <x:row r="586" ht="14.25" customHeight="1">
      <x:c r="A586" s="10"/>
      <x:c r="B586" s="10"/>
      <x:c r="C586" s="10"/>
      <x:c r="D586" s="10"/>
      <x:c r="E586" s="10"/>
      <x:c r="F586" s="10"/>
      <x:c r="G586" s="10"/>
    </x:row>
    <x:row r="587" ht="14.25" customHeight="1">
      <x:c r="A587" s="10"/>
      <x:c r="B587" s="10"/>
      <x:c r="C587" s="10"/>
      <x:c r="D587" s="10"/>
      <x:c r="E587" s="10"/>
      <x:c r="F587" s="10"/>
      <x:c r="G587" s="10"/>
    </x:row>
    <x:row r="588" ht="14.25" customHeight="1">
      <x:c r="A588" s="10"/>
      <x:c r="B588" s="10"/>
      <x:c r="C588" s="10"/>
      <x:c r="D588" s="10"/>
      <x:c r="E588" s="10"/>
      <x:c r="F588" s="10"/>
      <x:c r="G588" s="10"/>
    </x:row>
    <x:row r="589" ht="14.25" customHeight="1">
      <x:c r="A589" s="10"/>
      <x:c r="B589" s="10"/>
      <x:c r="C589" s="10"/>
      <x:c r="D589" s="10"/>
      <x:c r="E589" s="10"/>
      <x:c r="F589" s="10"/>
      <x:c r="G589" s="10"/>
    </x:row>
    <x:row r="590" ht="14.25" customHeight="1">
      <x:c r="A590" s="10"/>
      <x:c r="B590" s="10"/>
      <x:c r="C590" s="10"/>
      <x:c r="D590" s="10"/>
      <x:c r="E590" s="10"/>
      <x:c r="F590" s="10"/>
      <x:c r="G590" s="10"/>
    </x:row>
    <x:row r="591" ht="14.25" customHeight="1">
      <x:c r="A591" s="10"/>
      <x:c r="B591" s="10"/>
      <x:c r="C591" s="10"/>
      <x:c r="D591" s="10"/>
      <x:c r="E591" s="10"/>
      <x:c r="F591" s="10"/>
      <x:c r="G591" s="10"/>
    </x:row>
    <x:row r="592" ht="14.25" customHeight="1">
      <x:c r="A592" s="10"/>
      <x:c r="B592" s="10"/>
      <x:c r="C592" s="10"/>
      <x:c r="D592" s="10"/>
      <x:c r="E592" s="10"/>
      <x:c r="F592" s="10"/>
      <x:c r="G592" s="10"/>
    </x:row>
    <x:row r="593" ht="14.25" customHeight="1">
      <x:c r="A593" s="10"/>
      <x:c r="B593" s="10"/>
      <x:c r="C593" s="10"/>
      <x:c r="D593" s="10"/>
      <x:c r="E593" s="10"/>
      <x:c r="F593" s="10"/>
      <x:c r="G593" s="10"/>
    </x:row>
    <x:row r="594" ht="14.25" customHeight="1">
      <x:c r="A594" s="10"/>
      <x:c r="B594" s="10"/>
      <x:c r="C594" s="10"/>
      <x:c r="D594" s="10"/>
      <x:c r="E594" s="10"/>
      <x:c r="F594" s="10"/>
      <x:c r="G594" s="10"/>
    </x:row>
    <x:row r="595" ht="14.25" customHeight="1">
      <x:c r="A595" s="10"/>
      <x:c r="B595" s="10"/>
      <x:c r="C595" s="10"/>
      <x:c r="D595" s="10"/>
      <x:c r="E595" s="10"/>
      <x:c r="F595" s="10"/>
      <x:c r="G595" s="10"/>
    </x:row>
    <x:row r="596" ht="14.25" customHeight="1">
      <x:c r="A596" s="10"/>
      <x:c r="B596" s="10"/>
      <x:c r="C596" s="10"/>
      <x:c r="D596" s="10"/>
      <x:c r="E596" s="10"/>
      <x:c r="F596" s="10"/>
      <x:c r="G596" s="10"/>
    </x:row>
    <x:row r="597" ht="14.25" customHeight="1">
      <x:c r="A597" s="10"/>
      <x:c r="B597" s="10"/>
      <x:c r="C597" s="10"/>
      <x:c r="D597" s="10"/>
      <x:c r="E597" s="10"/>
      <x:c r="F597" s="10"/>
      <x:c r="G597" s="10"/>
    </x:row>
    <x:row r="598" ht="14.25" customHeight="1">
      <x:c r="A598" s="10"/>
      <x:c r="B598" s="10"/>
      <x:c r="C598" s="10"/>
      <x:c r="D598" s="10"/>
      <x:c r="E598" s="10"/>
      <x:c r="F598" s="10"/>
      <x:c r="G598" s="10"/>
    </x:row>
    <x:row r="599" ht="14.25" customHeight="1">
      <x:c r="A599" s="10"/>
      <x:c r="B599" s="10"/>
      <x:c r="C599" s="10"/>
      <x:c r="D599" s="10"/>
      <x:c r="E599" s="10"/>
      <x:c r="F599" s="10"/>
      <x:c r="G599" s="10"/>
    </x:row>
    <x:row r="600" ht="14.25" customHeight="1">
      <x:c r="A600" s="10"/>
      <x:c r="B600" s="10"/>
      <x:c r="C600" s="10"/>
      <x:c r="D600" s="10"/>
      <x:c r="E600" s="10"/>
      <x:c r="F600" s="10"/>
      <x:c r="G600" s="10"/>
    </x:row>
    <x:row r="601" ht="14.25" customHeight="1">
      <x:c r="A601" s="10"/>
      <x:c r="B601" s="10"/>
      <x:c r="C601" s="10"/>
      <x:c r="D601" s="10"/>
      <x:c r="E601" s="10"/>
      <x:c r="F601" s="10"/>
      <x:c r="G601" s="10"/>
    </x:row>
    <x:row r="602" ht="14.25" customHeight="1">
      <x:c r="A602" s="10"/>
      <x:c r="B602" s="10"/>
      <x:c r="C602" s="10"/>
      <x:c r="D602" s="10"/>
      <x:c r="E602" s="10"/>
      <x:c r="F602" s="10"/>
      <x:c r="G602" s="10"/>
    </x:row>
    <x:row r="603" ht="14.25" customHeight="1">
      <x:c r="A603" s="10"/>
      <x:c r="B603" s="10"/>
      <x:c r="C603" s="10"/>
      <x:c r="D603" s="10"/>
      <x:c r="E603" s="10"/>
      <x:c r="F603" s="10"/>
      <x:c r="G603" s="10"/>
    </x:row>
    <x:row r="604" ht="14.25" customHeight="1">
      <x:c r="A604" s="10"/>
      <x:c r="B604" s="10"/>
      <x:c r="C604" s="10"/>
      <x:c r="D604" s="10"/>
      <x:c r="E604" s="10"/>
      <x:c r="F604" s="10"/>
      <x:c r="G604" s="10"/>
    </x:row>
    <x:row r="605" ht="14.25" customHeight="1">
      <x:c r="A605" s="10"/>
      <x:c r="B605" s="10"/>
      <x:c r="C605" s="10"/>
      <x:c r="D605" s="10"/>
      <x:c r="E605" s="10"/>
      <x:c r="F605" s="10"/>
      <x:c r="G605" s="10"/>
    </x:row>
    <x:row r="606" ht="14.25" customHeight="1">
      <x:c r="A606" s="10"/>
      <x:c r="B606" s="10"/>
      <x:c r="C606" s="10"/>
      <x:c r="D606" s="10"/>
      <x:c r="E606" s="10"/>
      <x:c r="F606" s="10"/>
      <x:c r="G606" s="10"/>
    </x:row>
    <x:row r="607" ht="14.25" customHeight="1">
      <x:c r="A607" s="10"/>
      <x:c r="B607" s="10"/>
      <x:c r="C607" s="10"/>
      <x:c r="D607" s="10"/>
      <x:c r="E607" s="10"/>
      <x:c r="F607" s="10"/>
      <x:c r="G607" s="10"/>
    </x:row>
    <x:row r="608" ht="14.25" customHeight="1">
      <x:c r="A608" s="10"/>
      <x:c r="B608" s="10"/>
      <x:c r="C608" s="10"/>
      <x:c r="D608" s="10"/>
      <x:c r="E608" s="10"/>
      <x:c r="F608" s="10"/>
      <x:c r="G608" s="10"/>
    </x:row>
    <x:row r="609" ht="14.25" customHeight="1">
      <x:c r="A609" s="10"/>
      <x:c r="B609" s="10"/>
      <x:c r="C609" s="10"/>
      <x:c r="D609" s="10"/>
      <x:c r="E609" s="10"/>
      <x:c r="F609" s="10"/>
      <x:c r="G609" s="10"/>
    </x:row>
    <x:row r="610" ht="14.25" customHeight="1">
      <x:c r="A610" s="10"/>
      <x:c r="B610" s="10"/>
      <x:c r="C610" s="10"/>
      <x:c r="D610" s="10"/>
      <x:c r="E610" s="10"/>
      <x:c r="F610" s="10"/>
      <x:c r="G610" s="10"/>
    </x:row>
    <x:row r="611" ht="14.25" customHeight="1">
      <x:c r="A611" s="10"/>
      <x:c r="B611" s="10"/>
      <x:c r="C611" s="10"/>
      <x:c r="D611" s="10"/>
      <x:c r="E611" s="10"/>
      <x:c r="F611" s="10"/>
      <x:c r="G611" s="10"/>
    </x:row>
    <x:row r="612" ht="14.25" customHeight="1">
      <x:c r="A612" s="10"/>
      <x:c r="B612" s="10"/>
      <x:c r="C612" s="10"/>
      <x:c r="D612" s="10"/>
      <x:c r="E612" s="10"/>
      <x:c r="F612" s="10"/>
      <x:c r="G612" s="10"/>
    </x:row>
    <x:row r="613" ht="14.25" customHeight="1">
      <x:c r="A613" s="10"/>
      <x:c r="B613" s="10"/>
      <x:c r="C613" s="10"/>
      <x:c r="D613" s="10"/>
      <x:c r="E613" s="10"/>
      <x:c r="F613" s="10"/>
      <x:c r="G613" s="10"/>
    </x:row>
    <x:row r="614" ht="14.25" customHeight="1">
      <x:c r="A614" s="10"/>
      <x:c r="B614" s="10"/>
      <x:c r="C614" s="10"/>
      <x:c r="D614" s="10"/>
      <x:c r="E614" s="10"/>
      <x:c r="F614" s="10"/>
      <x:c r="G614" s="10"/>
    </x:row>
    <x:row r="615" ht="14.25" customHeight="1">
      <x:c r="A615" s="10"/>
      <x:c r="B615" s="10"/>
      <x:c r="C615" s="10"/>
      <x:c r="D615" s="10"/>
      <x:c r="E615" s="10"/>
      <x:c r="F615" s="10"/>
      <x:c r="G615" s="10"/>
    </x:row>
    <x:row r="616" ht="14.25" customHeight="1">
      <x:c r="A616" s="10"/>
      <x:c r="B616" s="10"/>
      <x:c r="C616" s="10"/>
      <x:c r="D616" s="10"/>
      <x:c r="E616" s="10"/>
      <x:c r="F616" s="10"/>
      <x:c r="G616" s="10"/>
    </x:row>
    <x:row r="617" ht="14.25" customHeight="1">
      <x:c r="A617" s="10"/>
      <x:c r="B617" s="10"/>
      <x:c r="C617" s="10"/>
      <x:c r="D617" s="10"/>
      <x:c r="E617" s="10"/>
      <x:c r="F617" s="10"/>
      <x:c r="G617" s="10"/>
    </x:row>
    <x:row r="618" ht="14.25" customHeight="1">
      <x:c r="A618" s="10"/>
      <x:c r="B618" s="10"/>
      <x:c r="C618" s="10"/>
      <x:c r="D618" s="10"/>
      <x:c r="E618" s="10"/>
      <x:c r="F618" s="10"/>
      <x:c r="G618" s="10"/>
    </x:row>
    <x:row r="619" ht="14.25" customHeight="1">
      <x:c r="A619" s="10"/>
      <x:c r="B619" s="10"/>
      <x:c r="C619" s="10"/>
      <x:c r="D619" s="10"/>
      <x:c r="E619" s="10"/>
      <x:c r="F619" s="10"/>
      <x:c r="G619" s="10"/>
    </x:row>
    <x:row r="620" ht="14.25" customHeight="1">
      <x:c r="A620" s="10"/>
      <x:c r="B620" s="10"/>
      <x:c r="C620" s="10"/>
      <x:c r="D620" s="10"/>
      <x:c r="E620" s="10"/>
      <x:c r="F620" s="10"/>
      <x:c r="G620" s="10"/>
    </x:row>
    <x:row r="621" ht="14.25" customHeight="1">
      <x:c r="A621" s="10"/>
      <x:c r="B621" s="10"/>
      <x:c r="C621" s="10"/>
      <x:c r="D621" s="10"/>
      <x:c r="E621" s="10"/>
      <x:c r="F621" s="10"/>
      <x:c r="G621" s="10"/>
    </x:row>
    <x:row r="622" ht="14.25" customHeight="1">
      <x:c r="A622" s="10"/>
      <x:c r="B622" s="10"/>
      <x:c r="C622" s="10"/>
      <x:c r="D622" s="10"/>
      <x:c r="E622" s="10"/>
      <x:c r="F622" s="10"/>
      <x:c r="G622" s="10"/>
    </x:row>
    <x:row r="623" ht="14.25" customHeight="1">
      <x:c r="A623" s="10"/>
      <x:c r="B623" s="10"/>
      <x:c r="C623" s="10"/>
      <x:c r="D623" s="10"/>
      <x:c r="E623" s="10"/>
      <x:c r="F623" s="10"/>
      <x:c r="G623" s="10"/>
    </x:row>
    <x:row r="624" ht="14.25" customHeight="1">
      <x:c r="A624" s="10"/>
      <x:c r="B624" s="10"/>
      <x:c r="C624" s="10"/>
      <x:c r="D624" s="10"/>
      <x:c r="E624" s="10"/>
      <x:c r="F624" s="10"/>
      <x:c r="G624" s="10"/>
    </x:row>
    <x:row r="625" ht="14.25" customHeight="1">
      <x:c r="A625" s="10"/>
      <x:c r="B625" s="10"/>
      <x:c r="C625" s="10"/>
      <x:c r="D625" s="10"/>
      <x:c r="E625" s="10"/>
      <x:c r="F625" s="10"/>
      <x:c r="G625" s="10"/>
    </x:row>
    <x:row r="626" ht="14.25" customHeight="1">
      <x:c r="A626" s="10"/>
      <x:c r="B626" s="10"/>
      <x:c r="C626" s="10"/>
      <x:c r="D626" s="10"/>
      <x:c r="E626" s="10"/>
      <x:c r="F626" s="10"/>
      <x:c r="G626" s="10"/>
    </x:row>
    <x:row r="627" ht="14.25" customHeight="1">
      <x:c r="A627" s="10"/>
      <x:c r="B627" s="10"/>
      <x:c r="C627" s="10"/>
      <x:c r="D627" s="10"/>
      <x:c r="E627" s="10"/>
      <x:c r="F627" s="10"/>
      <x:c r="G627" s="10"/>
    </x:row>
    <x:row r="628" ht="14.25" customHeight="1">
      <x:c r="A628" s="10"/>
      <x:c r="B628" s="10"/>
      <x:c r="C628" s="10"/>
      <x:c r="D628" s="10"/>
      <x:c r="E628" s="10"/>
      <x:c r="F628" s="10"/>
      <x:c r="G628" s="10"/>
    </x:row>
    <x:row r="629" ht="14.25" customHeight="1">
      <x:c r="A629" s="10"/>
      <x:c r="B629" s="10"/>
      <x:c r="C629" s="10"/>
      <x:c r="D629" s="10"/>
      <x:c r="E629" s="10"/>
      <x:c r="F629" s="10"/>
      <x:c r="G629" s="10"/>
    </x:row>
    <x:row r="630" ht="14.25" customHeight="1">
      <x:c r="A630" s="10"/>
      <x:c r="B630" s="10"/>
      <x:c r="C630" s="10"/>
      <x:c r="D630" s="10"/>
      <x:c r="E630" s="10"/>
      <x:c r="F630" s="10"/>
      <x:c r="G630" s="10"/>
    </x:row>
    <x:row r="631" ht="14.25" customHeight="1">
      <x:c r="A631" s="10"/>
      <x:c r="B631" s="10"/>
      <x:c r="C631" s="10"/>
      <x:c r="D631" s="10"/>
      <x:c r="E631" s="10"/>
      <x:c r="F631" s="10"/>
      <x:c r="G631" s="10"/>
    </x:row>
    <x:row r="632" ht="14.25" customHeight="1">
      <x:c r="A632" s="10"/>
      <x:c r="B632" s="10"/>
      <x:c r="C632" s="10"/>
      <x:c r="D632" s="10"/>
      <x:c r="E632" s="10"/>
      <x:c r="F632" s="10"/>
      <x:c r="G632" s="10"/>
    </x:row>
    <x:row r="633" ht="14.25" customHeight="1">
      <x:c r="A633" s="10"/>
      <x:c r="B633" s="10"/>
      <x:c r="C633" s="10"/>
      <x:c r="D633" s="10"/>
      <x:c r="E633" s="10"/>
      <x:c r="F633" s="10"/>
      <x:c r="G633" s="10"/>
    </x:row>
    <x:row r="634" ht="14.25" customHeight="1">
      <x:c r="A634" s="10"/>
      <x:c r="B634" s="10"/>
      <x:c r="C634" s="10"/>
      <x:c r="D634" s="10"/>
      <x:c r="E634" s="10"/>
      <x:c r="F634" s="10"/>
      <x:c r="G634" s="10"/>
    </x:row>
    <x:row r="635" ht="14.25" customHeight="1">
      <x:c r="A635" s="10"/>
      <x:c r="B635" s="10"/>
      <x:c r="C635" s="10"/>
      <x:c r="D635" s="10"/>
      <x:c r="E635" s="10"/>
      <x:c r="F635" s="10"/>
      <x:c r="G635" s="10"/>
    </x:row>
    <x:row r="636" ht="14.25" customHeight="1">
      <x:c r="A636" s="10"/>
      <x:c r="B636" s="10"/>
      <x:c r="C636" s="10"/>
      <x:c r="D636" s="10"/>
      <x:c r="E636" s="10"/>
      <x:c r="F636" s="10"/>
      <x:c r="G636" s="10"/>
    </x:row>
    <x:row r="637" ht="14.25" customHeight="1">
      <x:c r="A637" s="10"/>
      <x:c r="B637" s="10"/>
      <x:c r="C637" s="10"/>
      <x:c r="D637" s="10"/>
      <x:c r="E637" s="10"/>
      <x:c r="F637" s="10"/>
      <x:c r="G637" s="10"/>
    </x:row>
    <x:row r="638" ht="14.25" customHeight="1">
      <x:c r="A638" s="10"/>
      <x:c r="B638" s="10"/>
      <x:c r="C638" s="10"/>
      <x:c r="D638" s="10"/>
      <x:c r="E638" s="10"/>
      <x:c r="F638" s="10"/>
      <x:c r="G638" s="10"/>
    </x:row>
    <x:row r="639" ht="14.25" customHeight="1">
      <x:c r="A639" s="10"/>
      <x:c r="B639" s="10"/>
      <x:c r="C639" s="10"/>
      <x:c r="D639" s="10"/>
      <x:c r="E639" s="10"/>
      <x:c r="F639" s="10"/>
      <x:c r="G639" s="10"/>
    </x:row>
    <x:row r="640" ht="14.25" customHeight="1">
      <x:c r="A640" s="10"/>
      <x:c r="B640" s="10"/>
      <x:c r="C640" s="10"/>
      <x:c r="D640" s="10"/>
      <x:c r="E640" s="10"/>
      <x:c r="F640" s="10"/>
      <x:c r="G640" s="10"/>
    </x:row>
    <x:row r="641" ht="14.25" customHeight="1">
      <x:c r="A641" s="10"/>
      <x:c r="B641" s="10"/>
      <x:c r="C641" s="10"/>
      <x:c r="D641" s="10"/>
      <x:c r="E641" s="10"/>
      <x:c r="F641" s="10"/>
      <x:c r="G641" s="10"/>
    </x:row>
    <x:row r="642" ht="14.25" customHeight="1">
      <x:c r="A642" s="10"/>
      <x:c r="B642" s="10"/>
      <x:c r="C642" s="10"/>
      <x:c r="D642" s="10"/>
      <x:c r="E642" s="10"/>
      <x:c r="F642" s="10"/>
      <x:c r="G642" s="10"/>
    </x:row>
    <x:row r="643" ht="14.25" customHeight="1">
      <x:c r="A643" s="10"/>
      <x:c r="B643" s="10"/>
      <x:c r="C643" s="10"/>
      <x:c r="D643" s="10"/>
      <x:c r="E643" s="10"/>
      <x:c r="F643" s="10"/>
      <x:c r="G643" s="10"/>
    </x:row>
    <x:row r="644" ht="14.25" customHeight="1">
      <x:c r="A644" s="10"/>
      <x:c r="B644" s="10"/>
      <x:c r="C644" s="10"/>
      <x:c r="D644" s="10"/>
      <x:c r="E644" s="10"/>
      <x:c r="F644" s="10"/>
      <x:c r="G644" s="10"/>
    </x:row>
    <x:row r="645" ht="14.25" customHeight="1">
      <x:c r="A645" s="10"/>
      <x:c r="B645" s="10"/>
      <x:c r="C645" s="10"/>
      <x:c r="D645" s="10"/>
      <x:c r="E645" s="10"/>
      <x:c r="F645" s="10"/>
      <x:c r="G645" s="10"/>
    </x:row>
    <x:row r="646" ht="14.25" customHeight="1">
      <x:c r="A646" s="10"/>
      <x:c r="B646" s="10"/>
      <x:c r="C646" s="10"/>
      <x:c r="D646" s="10"/>
      <x:c r="E646" s="10"/>
      <x:c r="F646" s="10"/>
      <x:c r="G646" s="10"/>
    </x:row>
    <x:row r="647" ht="14.25" customHeight="1">
      <x:c r="A647" s="10"/>
      <x:c r="B647" s="10"/>
      <x:c r="C647" s="10"/>
      <x:c r="D647" s="10"/>
      <x:c r="E647" s="10"/>
      <x:c r="F647" s="10"/>
      <x:c r="G647" s="10"/>
    </x:row>
    <x:row r="648" ht="14.25" customHeight="1">
      <x:c r="A648" s="10"/>
      <x:c r="B648" s="10"/>
      <x:c r="C648" s="10"/>
      <x:c r="D648" s="10"/>
      <x:c r="E648" s="10"/>
      <x:c r="F648" s="10"/>
      <x:c r="G648" s="10"/>
    </x:row>
    <x:row r="649" ht="14.25" customHeight="1">
      <x:c r="A649" s="10"/>
      <x:c r="B649" s="10"/>
      <x:c r="C649" s="10"/>
      <x:c r="D649" s="10"/>
      <x:c r="E649" s="10"/>
      <x:c r="F649" s="10"/>
      <x:c r="G649" s="10"/>
    </x:row>
    <x:row r="650" ht="14.25" customHeight="1">
      <x:c r="A650" s="10"/>
      <x:c r="B650" s="10"/>
      <x:c r="C650" s="10"/>
      <x:c r="D650" s="10"/>
      <x:c r="E650" s="10"/>
      <x:c r="F650" s="10"/>
      <x:c r="G650" s="10"/>
    </x:row>
    <x:row r="651" ht="14.25" customHeight="1">
      <x:c r="A651" s="10"/>
      <x:c r="B651" s="10"/>
      <x:c r="C651" s="10"/>
      <x:c r="D651" s="10"/>
      <x:c r="E651" s="10"/>
      <x:c r="F651" s="10"/>
      <x:c r="G651" s="10"/>
    </x:row>
    <x:row r="652" ht="14.25" customHeight="1">
      <x:c r="A652" s="10"/>
      <x:c r="B652" s="10"/>
      <x:c r="C652" s="10"/>
      <x:c r="D652" s="10"/>
      <x:c r="E652" s="10"/>
      <x:c r="F652" s="10"/>
      <x:c r="G652" s="10"/>
    </x:row>
    <x:row r="653" ht="14.25" customHeight="1">
      <x:c r="A653" s="10"/>
      <x:c r="B653" s="10"/>
      <x:c r="C653" s="10"/>
      <x:c r="D653" s="10"/>
      <x:c r="E653" s="10"/>
      <x:c r="F653" s="10"/>
      <x:c r="G653" s="10"/>
    </x:row>
    <x:row r="654" ht="14.25" customHeight="1">
      <x:c r="A654" s="10"/>
      <x:c r="B654" s="10"/>
      <x:c r="C654" s="10"/>
      <x:c r="D654" s="10"/>
      <x:c r="E654" s="10"/>
      <x:c r="F654" s="10"/>
      <x:c r="G654" s="10"/>
    </x:row>
    <x:row r="655" ht="14.25" customHeight="1">
      <x:c r="A655" s="10"/>
      <x:c r="B655" s="10"/>
      <x:c r="C655" s="10"/>
      <x:c r="D655" s="10"/>
      <x:c r="E655" s="10"/>
      <x:c r="F655" s="10"/>
      <x:c r="G655" s="10"/>
    </x:row>
    <x:row r="656" ht="14.25" customHeight="1">
      <x:c r="A656" s="10"/>
      <x:c r="B656" s="10"/>
      <x:c r="C656" s="10"/>
      <x:c r="D656" s="10"/>
      <x:c r="E656" s="10"/>
      <x:c r="F656" s="10"/>
      <x:c r="G656" s="10"/>
    </x:row>
    <x:row r="657" ht="14.25" customHeight="1">
      <x:c r="A657" s="10"/>
      <x:c r="B657" s="10"/>
      <x:c r="C657" s="10"/>
      <x:c r="D657" s="10"/>
      <x:c r="E657" s="10"/>
      <x:c r="F657" s="10"/>
      <x:c r="G657" s="10"/>
    </x:row>
    <x:row r="658" ht="14.25" customHeight="1">
      <x:c r="A658" s="10"/>
      <x:c r="B658" s="10"/>
      <x:c r="C658" s="10"/>
      <x:c r="D658" s="10"/>
      <x:c r="E658" s="10"/>
      <x:c r="F658" s="10"/>
      <x:c r="G658" s="10"/>
    </x:row>
    <x:row r="659" ht="14.25" customHeight="1">
      <x:c r="A659" s="10"/>
      <x:c r="B659" s="10"/>
      <x:c r="C659" s="10"/>
      <x:c r="D659" s="10"/>
      <x:c r="E659" s="10"/>
      <x:c r="F659" s="10"/>
      <x:c r="G659" s="10"/>
    </x:row>
    <x:row r="660" ht="14.25" customHeight="1">
      <x:c r="A660" s="10"/>
      <x:c r="B660" s="10"/>
      <x:c r="C660" s="10"/>
      <x:c r="D660" s="10"/>
      <x:c r="E660" s="10"/>
      <x:c r="F660" s="10"/>
      <x:c r="G660" s="10"/>
    </x:row>
    <x:row r="661" ht="14.25" customHeight="1">
      <x:c r="A661" s="10"/>
      <x:c r="B661" s="10"/>
      <x:c r="C661" s="10"/>
      <x:c r="D661" s="10"/>
      <x:c r="E661" s="10"/>
      <x:c r="F661" s="10"/>
      <x:c r="G661" s="10"/>
    </x:row>
    <x:row r="662" ht="14.25" customHeight="1">
      <x:c r="A662" s="10"/>
      <x:c r="B662" s="10"/>
      <x:c r="C662" s="10"/>
      <x:c r="D662" s="10"/>
      <x:c r="E662" s="10"/>
      <x:c r="F662" s="10"/>
      <x:c r="G662" s="10"/>
    </x:row>
    <x:row r="663" ht="14.25" customHeight="1">
      <x:c r="A663" s="10"/>
      <x:c r="B663" s="10"/>
      <x:c r="C663" s="10"/>
      <x:c r="D663" s="10"/>
      <x:c r="E663" s="10"/>
      <x:c r="F663" s="10"/>
      <x:c r="G663" s="10"/>
    </x:row>
    <x:row r="664" ht="14.25" customHeight="1">
      <x:c r="A664" s="10"/>
      <x:c r="B664" s="10"/>
      <x:c r="C664" s="10"/>
      <x:c r="D664" s="10"/>
      <x:c r="E664" s="10"/>
      <x:c r="F664" s="10"/>
      <x:c r="G664" s="10"/>
    </x:row>
    <x:row r="665" ht="14.25" customHeight="1">
      <x:c r="A665" s="10"/>
      <x:c r="B665" s="10"/>
      <x:c r="C665" s="10"/>
      <x:c r="D665" s="10"/>
      <x:c r="E665" s="10"/>
      <x:c r="F665" s="10"/>
      <x:c r="G665" s="10"/>
    </x:row>
    <x:row r="666" ht="14.25" customHeight="1">
      <x:c r="A666" s="10"/>
      <x:c r="B666" s="10"/>
      <x:c r="C666" s="10"/>
      <x:c r="D666" s="10"/>
      <x:c r="E666" s="10"/>
      <x:c r="F666" s="10"/>
      <x:c r="G666" s="10"/>
    </x:row>
    <x:row r="667" ht="14.25" customHeight="1">
      <x:c r="A667" s="10"/>
      <x:c r="B667" s="10"/>
      <x:c r="C667" s="10"/>
      <x:c r="D667" s="10"/>
      <x:c r="E667" s="10"/>
      <x:c r="F667" s="10"/>
      <x:c r="G667" s="10"/>
    </x:row>
    <x:row r="668" ht="14.25" customHeight="1">
      <x:c r="A668" s="10"/>
      <x:c r="B668" s="10"/>
      <x:c r="C668" s="10"/>
      <x:c r="D668" s="10"/>
      <x:c r="E668" s="10"/>
      <x:c r="F668" s="10"/>
      <x:c r="G668" s="10"/>
    </x:row>
    <x:row r="669" ht="14.25" customHeight="1">
      <x:c r="A669" s="10"/>
      <x:c r="B669" s="10"/>
      <x:c r="C669" s="10"/>
      <x:c r="D669" s="10"/>
      <x:c r="E669" s="10"/>
      <x:c r="F669" s="10"/>
      <x:c r="G669" s="10"/>
    </x:row>
    <x:row r="670" ht="14.25" customHeight="1">
      <x:c r="A670" s="10"/>
      <x:c r="B670" s="10"/>
      <x:c r="C670" s="10"/>
      <x:c r="D670" s="10"/>
      <x:c r="E670" s="10"/>
      <x:c r="F670" s="10"/>
      <x:c r="G670" s="10"/>
    </x:row>
    <x:row r="671" ht="14.25" customHeight="1">
      <x:c r="A671" s="10"/>
      <x:c r="B671" s="10"/>
      <x:c r="C671" s="10"/>
      <x:c r="D671" s="10"/>
      <x:c r="E671" s="10"/>
      <x:c r="F671" s="10"/>
      <x:c r="G671" s="10"/>
    </x:row>
    <x:row r="672" ht="14.25" customHeight="1">
      <x:c r="A672" s="10"/>
      <x:c r="B672" s="10"/>
      <x:c r="C672" s="10"/>
      <x:c r="D672" s="10"/>
      <x:c r="E672" s="10"/>
      <x:c r="F672" s="10"/>
      <x:c r="G672" s="10"/>
    </x:row>
    <x:row r="673" ht="14.25" customHeight="1">
      <x:c r="A673" s="10"/>
      <x:c r="B673" s="10"/>
      <x:c r="C673" s="10"/>
      <x:c r="D673" s="10"/>
      <x:c r="E673" s="10"/>
      <x:c r="F673" s="10"/>
      <x:c r="G673" s="10"/>
    </x:row>
    <x:row r="674" ht="14.25" customHeight="1">
      <x:c r="A674" s="10"/>
      <x:c r="B674" s="10"/>
      <x:c r="C674" s="10"/>
      <x:c r="D674" s="10"/>
      <x:c r="E674" s="10"/>
      <x:c r="F674" s="10"/>
      <x:c r="G674" s="10"/>
    </x:row>
    <x:row r="675" ht="14.25" customHeight="1">
      <x:c r="A675" s="10"/>
      <x:c r="B675" s="10"/>
      <x:c r="C675" s="10"/>
      <x:c r="D675" s="10"/>
      <x:c r="E675" s="10"/>
      <x:c r="F675" s="10"/>
      <x:c r="G675" s="10"/>
    </x:row>
    <x:row r="676" ht="14.25" customHeight="1">
      <x:c r="A676" s="10"/>
      <x:c r="B676" s="10"/>
      <x:c r="C676" s="10"/>
      <x:c r="D676" s="10"/>
      <x:c r="E676" s="10"/>
      <x:c r="F676" s="10"/>
      <x:c r="G676" s="10"/>
    </x:row>
    <x:row r="677" ht="14.25" customHeight="1">
      <x:c r="A677" s="10"/>
      <x:c r="B677" s="10"/>
      <x:c r="C677" s="10"/>
      <x:c r="D677" s="10"/>
      <x:c r="E677" s="10"/>
      <x:c r="F677" s="10"/>
      <x:c r="G677" s="10"/>
    </x:row>
    <x:row r="678" ht="14.25" customHeight="1">
      <x:c r="A678" s="10"/>
      <x:c r="B678" s="10"/>
      <x:c r="C678" s="10"/>
      <x:c r="D678" s="10"/>
      <x:c r="E678" s="10"/>
      <x:c r="F678" s="10"/>
      <x:c r="G678" s="10"/>
    </x:row>
    <x:row r="679" ht="14.25" customHeight="1">
      <x:c r="A679" s="10"/>
      <x:c r="B679" s="10"/>
      <x:c r="C679" s="10"/>
      <x:c r="D679" s="10"/>
      <x:c r="E679" s="10"/>
      <x:c r="F679" s="10"/>
      <x:c r="G679" s="10"/>
    </x:row>
    <x:row r="680" ht="14.25" customHeight="1">
      <x:c r="A680" s="10"/>
      <x:c r="B680" s="10"/>
      <x:c r="C680" s="10"/>
      <x:c r="D680" s="10"/>
      <x:c r="E680" s="10"/>
      <x:c r="F680" s="10"/>
      <x:c r="G680" s="10"/>
    </x:row>
    <x:row r="681" ht="14.25" customHeight="1">
      <x:c r="A681" s="10"/>
      <x:c r="B681" s="10"/>
      <x:c r="C681" s="10"/>
      <x:c r="D681" s="10"/>
      <x:c r="E681" s="10"/>
      <x:c r="F681" s="10"/>
      <x:c r="G681" s="10"/>
    </x:row>
    <x:row r="682" ht="14.25" customHeight="1">
      <x:c r="A682" s="10"/>
      <x:c r="B682" s="10"/>
      <x:c r="C682" s="10"/>
      <x:c r="D682" s="10"/>
      <x:c r="E682" s="10"/>
      <x:c r="F682" s="10"/>
      <x:c r="G682" s="10"/>
    </x:row>
    <x:row r="683" ht="14.25" customHeight="1">
      <x:c r="A683" s="10"/>
      <x:c r="B683" s="10"/>
      <x:c r="C683" s="10"/>
      <x:c r="D683" s="10"/>
      <x:c r="E683" s="10"/>
      <x:c r="F683" s="10"/>
      <x:c r="G683" s="10"/>
    </x:row>
    <x:row r="684" ht="14.25" customHeight="1">
      <x:c r="A684" s="10"/>
      <x:c r="B684" s="10"/>
      <x:c r="C684" s="10"/>
      <x:c r="D684" s="10"/>
      <x:c r="E684" s="10"/>
      <x:c r="F684" s="10"/>
      <x:c r="G684" s="10"/>
    </x:row>
    <x:row r="685" ht="14.25" customHeight="1">
      <x:c r="A685" s="10"/>
      <x:c r="B685" s="10"/>
      <x:c r="C685" s="10"/>
      <x:c r="D685" s="10"/>
      <x:c r="E685" s="10"/>
      <x:c r="F685" s="10"/>
      <x:c r="G685" s="10"/>
    </x:row>
    <x:row r="686" ht="14.25" customHeight="1">
      <x:c r="A686" s="10"/>
      <x:c r="B686" s="10"/>
      <x:c r="C686" s="10"/>
      <x:c r="D686" s="10"/>
      <x:c r="E686" s="10"/>
      <x:c r="F686" s="10"/>
      <x:c r="G686" s="10"/>
    </x:row>
    <x:row r="687" ht="14.25" customHeight="1">
      <x:c r="A687" s="10"/>
      <x:c r="B687" s="10"/>
      <x:c r="C687" s="10"/>
      <x:c r="D687" s="10"/>
      <x:c r="E687" s="10"/>
      <x:c r="F687" s="10"/>
      <x:c r="G687" s="10"/>
    </x:row>
    <x:row r="688" ht="14.25" customHeight="1">
      <x:c r="A688" s="10"/>
      <x:c r="B688" s="10"/>
      <x:c r="C688" s="10"/>
      <x:c r="D688" s="10"/>
      <x:c r="E688" s="10"/>
      <x:c r="F688" s="10"/>
      <x:c r="G688" s="10"/>
    </x:row>
    <x:row r="689" ht="14.25" customHeight="1">
      <x:c r="A689" s="10"/>
      <x:c r="B689" s="10"/>
      <x:c r="C689" s="10"/>
      <x:c r="D689" s="10"/>
      <x:c r="E689" s="10"/>
      <x:c r="F689" s="10"/>
      <x:c r="G689" s="10"/>
    </x:row>
    <x:row r="690" ht="14.25" customHeight="1">
      <x:c r="A690" s="10"/>
      <x:c r="B690" s="10"/>
      <x:c r="C690" s="10"/>
      <x:c r="D690" s="10"/>
      <x:c r="E690" s="10"/>
      <x:c r="F690" s="10"/>
      <x:c r="G690" s="10"/>
    </x:row>
    <x:row r="691" ht="14.25" customHeight="1">
      <x:c r="A691" s="10"/>
      <x:c r="B691" s="10"/>
      <x:c r="C691" s="10"/>
      <x:c r="D691" s="10"/>
      <x:c r="E691" s="10"/>
      <x:c r="F691" s="10"/>
      <x:c r="G691" s="10"/>
    </x:row>
    <x:row r="692" ht="14.25" customHeight="1">
      <x:c r="A692" s="10"/>
      <x:c r="B692" s="10"/>
      <x:c r="C692" s="10"/>
      <x:c r="D692" s="10"/>
      <x:c r="E692" s="10"/>
      <x:c r="F692" s="10"/>
      <x:c r="G692" s="10"/>
    </x:row>
    <x:row r="693" ht="14.25" customHeight="1">
      <x:c r="A693" s="10"/>
      <x:c r="B693" s="10"/>
      <x:c r="C693" s="10"/>
      <x:c r="D693" s="10"/>
      <x:c r="E693" s="10"/>
      <x:c r="F693" s="10"/>
      <x:c r="G693" s="10"/>
    </x:row>
    <x:row r="694" ht="14.25" customHeight="1">
      <x:c r="A694" s="10"/>
      <x:c r="B694" s="10"/>
      <x:c r="C694" s="10"/>
      <x:c r="D694" s="10"/>
      <x:c r="E694" s="10"/>
      <x:c r="F694" s="10"/>
      <x:c r="G694" s="10"/>
    </x:row>
    <x:row r="695" ht="14.25" customHeight="1">
      <x:c r="A695" s="10"/>
      <x:c r="B695" s="10"/>
      <x:c r="C695" s="10"/>
      <x:c r="D695" s="10"/>
      <x:c r="E695" s="10"/>
      <x:c r="F695" s="10"/>
      <x:c r="G695" s="10"/>
    </x:row>
    <x:row r="696" ht="14.25" customHeight="1">
      <x:c r="A696" s="10"/>
      <x:c r="B696" s="10"/>
      <x:c r="C696" s="10"/>
      <x:c r="D696" s="10"/>
      <x:c r="E696" s="10"/>
      <x:c r="F696" s="10"/>
      <x:c r="G696" s="10"/>
    </x:row>
    <x:row r="697" ht="14.25" customHeight="1">
      <x:c r="A697" s="10"/>
      <x:c r="B697" s="10"/>
      <x:c r="C697" s="10"/>
      <x:c r="D697" s="10"/>
      <x:c r="E697" s="10"/>
      <x:c r="F697" s="10"/>
      <x:c r="G697" s="10"/>
    </x:row>
    <x:row r="698" ht="14.25" customHeight="1">
      <x:c r="A698" s="10"/>
      <x:c r="B698" s="10"/>
      <x:c r="C698" s="10"/>
      <x:c r="D698" s="10"/>
      <x:c r="E698" s="10"/>
      <x:c r="F698" s="10"/>
      <x:c r="G698" s="10"/>
    </x:row>
    <x:row r="699" ht="14.25" customHeight="1">
      <x:c r="A699" s="10"/>
      <x:c r="B699" s="10"/>
      <x:c r="C699" s="10"/>
      <x:c r="D699" s="10"/>
      <x:c r="E699" s="10"/>
      <x:c r="F699" s="10"/>
      <x:c r="G699" s="10"/>
    </x:row>
    <x:row r="700" ht="14.25" customHeight="1">
      <x:c r="A700" s="10"/>
      <x:c r="B700" s="10"/>
      <x:c r="C700" s="10"/>
      <x:c r="D700" s="10"/>
      <x:c r="E700" s="10"/>
      <x:c r="F700" s="10"/>
      <x:c r="G700" s="10"/>
    </x:row>
    <x:row r="701" ht="14.25" customHeight="1">
      <x:c r="A701" s="10"/>
      <x:c r="B701" s="10"/>
      <x:c r="C701" s="10"/>
      <x:c r="D701" s="10"/>
      <x:c r="E701" s="10"/>
      <x:c r="F701" s="10"/>
      <x:c r="G701" s="10"/>
    </x:row>
    <x:row r="702" ht="14.25" customHeight="1">
      <x:c r="A702" s="10"/>
      <x:c r="B702" s="10"/>
      <x:c r="C702" s="10"/>
      <x:c r="D702" s="10"/>
      <x:c r="E702" s="10"/>
      <x:c r="F702" s="10"/>
      <x:c r="G702" s="10"/>
    </x:row>
    <x:row r="703" ht="14.25" customHeight="1">
      <x:c r="A703" s="10"/>
      <x:c r="B703" s="10"/>
      <x:c r="C703" s="10"/>
      <x:c r="D703" s="10"/>
      <x:c r="E703" s="10"/>
      <x:c r="F703" s="10"/>
      <x:c r="G703" s="10"/>
    </x:row>
    <x:row r="704" ht="14.25" customHeight="1">
      <x:c r="A704" s="10"/>
      <x:c r="B704" s="10"/>
      <x:c r="C704" s="10"/>
      <x:c r="D704" s="10"/>
      <x:c r="E704" s="10"/>
      <x:c r="F704" s="10"/>
      <x:c r="G704" s="10"/>
    </x:row>
    <x:row r="705" ht="14.25" customHeight="1">
      <x:c r="A705" s="10"/>
      <x:c r="B705" s="10"/>
      <x:c r="C705" s="10"/>
      <x:c r="D705" s="10"/>
      <x:c r="E705" s="10"/>
      <x:c r="F705" s="10"/>
      <x:c r="G705" s="10"/>
    </x:row>
    <x:row r="706" ht="14.25" customHeight="1">
      <x:c r="A706" s="10"/>
      <x:c r="B706" s="10"/>
      <x:c r="C706" s="10"/>
      <x:c r="D706" s="10"/>
      <x:c r="E706" s="10"/>
      <x:c r="F706" s="10"/>
      <x:c r="G706" s="10"/>
    </x:row>
    <x:row r="707" ht="14.25" customHeight="1">
      <x:c r="A707" s="10"/>
      <x:c r="B707" s="10"/>
      <x:c r="C707" s="10"/>
      <x:c r="D707" s="10"/>
      <x:c r="E707" s="10"/>
      <x:c r="F707" s="10"/>
      <x:c r="G707" s="10"/>
    </x:row>
    <x:row r="708" ht="14.25" customHeight="1">
      <x:c r="A708" s="10"/>
      <x:c r="B708" s="10"/>
      <x:c r="C708" s="10"/>
      <x:c r="D708" s="10"/>
      <x:c r="E708" s="10"/>
      <x:c r="F708" s="10"/>
      <x:c r="G708" s="10"/>
    </x:row>
    <x:row r="709" ht="14.25" customHeight="1">
      <x:c r="A709" s="10"/>
      <x:c r="B709" s="10"/>
      <x:c r="C709" s="10"/>
      <x:c r="D709" s="10"/>
      <x:c r="E709" s="10"/>
      <x:c r="F709" s="10"/>
      <x:c r="G709" s="10"/>
    </x:row>
    <x:row r="710" ht="14.25" customHeight="1">
      <x:c r="A710" s="10"/>
      <x:c r="B710" s="10"/>
      <x:c r="C710" s="10"/>
      <x:c r="D710" s="10"/>
      <x:c r="E710" s="10"/>
      <x:c r="F710" s="10"/>
      <x:c r="G710" s="10"/>
    </x:row>
    <x:row r="711" ht="14.25" customHeight="1">
      <x:c r="A711" s="10"/>
      <x:c r="B711" s="10"/>
      <x:c r="C711" s="10"/>
      <x:c r="D711" s="10"/>
      <x:c r="E711" s="10"/>
      <x:c r="F711" s="10"/>
      <x:c r="G711" s="10"/>
    </x:row>
    <x:row r="712" ht="14.25" customHeight="1">
      <x:c r="A712" s="10"/>
      <x:c r="B712" s="10"/>
      <x:c r="C712" s="10"/>
      <x:c r="D712" s="10"/>
      <x:c r="E712" s="10"/>
      <x:c r="F712" s="10"/>
      <x:c r="G712" s="10"/>
    </x:row>
    <x:row r="713" ht="14.25" customHeight="1">
      <x:c r="A713" s="10"/>
      <x:c r="B713" s="10"/>
      <x:c r="C713" s="10"/>
      <x:c r="D713" s="10"/>
      <x:c r="E713" s="10"/>
      <x:c r="F713" s="10"/>
      <x:c r="G713" s="10"/>
    </x:row>
    <x:row r="714" ht="14.25" customHeight="1">
      <x:c r="A714" s="10"/>
      <x:c r="B714" s="10"/>
      <x:c r="C714" s="10"/>
      <x:c r="D714" s="10"/>
      <x:c r="E714" s="10"/>
      <x:c r="F714" s="10"/>
      <x:c r="G714" s="10"/>
    </x:row>
    <x:row r="715" ht="14.25" customHeight="1">
      <x:c r="A715" s="10"/>
      <x:c r="B715" s="10"/>
      <x:c r="C715" s="10"/>
      <x:c r="D715" s="10"/>
      <x:c r="E715" s="10"/>
      <x:c r="F715" s="10"/>
      <x:c r="G715" s="10"/>
    </x:row>
    <x:row r="716" ht="14.25" customHeight="1">
      <x:c r="A716" s="10"/>
      <x:c r="B716" s="10"/>
      <x:c r="C716" s="10"/>
      <x:c r="D716" s="10"/>
      <x:c r="E716" s="10"/>
      <x:c r="F716" s="10"/>
      <x:c r="G716" s="10"/>
    </x:row>
    <x:row r="717" ht="14.25" customHeight="1">
      <x:c r="A717" s="10"/>
      <x:c r="B717" s="10"/>
      <x:c r="C717" s="10"/>
      <x:c r="D717" s="10"/>
      <x:c r="E717" s="10"/>
      <x:c r="F717" s="10"/>
      <x:c r="G717" s="10"/>
    </x:row>
    <x:row r="718" ht="14.25" customHeight="1">
      <x:c r="A718" s="10"/>
      <x:c r="B718" s="10"/>
      <x:c r="C718" s="10"/>
      <x:c r="D718" s="10"/>
      <x:c r="E718" s="10"/>
      <x:c r="F718" s="10"/>
      <x:c r="G718" s="10"/>
    </x:row>
    <x:row r="719" ht="14.25" customHeight="1">
      <x:c r="A719" s="10"/>
      <x:c r="B719" s="10"/>
      <x:c r="C719" s="10"/>
      <x:c r="D719" s="10"/>
      <x:c r="E719" s="10"/>
      <x:c r="F719" s="10"/>
      <x:c r="G719" s="10"/>
    </x:row>
    <x:row r="720" ht="14.25" customHeight="1">
      <x:c r="A720" s="10"/>
      <x:c r="B720" s="10"/>
      <x:c r="C720" s="10"/>
      <x:c r="D720" s="10"/>
      <x:c r="E720" s="10"/>
      <x:c r="F720" s="10"/>
      <x:c r="G720" s="10"/>
    </x:row>
    <x:row r="721" ht="14.25" customHeight="1">
      <x:c r="A721" s="10"/>
      <x:c r="B721" s="10"/>
      <x:c r="C721" s="10"/>
      <x:c r="D721" s="10"/>
      <x:c r="E721" s="10"/>
      <x:c r="F721" s="10"/>
      <x:c r="G721" s="10"/>
    </x:row>
    <x:row r="722" ht="14.25" customHeight="1">
      <x:c r="A722" s="10"/>
      <x:c r="B722" s="10"/>
      <x:c r="C722" s="10"/>
      <x:c r="D722" s="10"/>
      <x:c r="E722" s="10"/>
      <x:c r="F722" s="10"/>
      <x:c r="G722" s="10"/>
    </x:row>
    <x:row r="723" ht="14.25" customHeight="1">
      <x:c r="A723" s="10"/>
      <x:c r="B723" s="10"/>
      <x:c r="C723" s="10"/>
      <x:c r="D723" s="10"/>
      <x:c r="E723" s="10"/>
      <x:c r="F723" s="10"/>
      <x:c r="G723" s="10"/>
    </x:row>
    <x:row r="724" ht="14.25" customHeight="1">
      <x:c r="A724" s="10"/>
      <x:c r="B724" s="10"/>
      <x:c r="C724" s="10"/>
      <x:c r="D724" s="10"/>
      <x:c r="E724" s="10"/>
      <x:c r="F724" s="10"/>
      <x:c r="G724" s="10"/>
    </x:row>
    <x:row r="725" ht="14.25" customHeight="1">
      <x:c r="A725" s="10"/>
      <x:c r="B725" s="10"/>
      <x:c r="C725" s="10"/>
      <x:c r="D725" s="10"/>
      <x:c r="E725" s="10"/>
      <x:c r="F725" s="10"/>
      <x:c r="G725" s="10"/>
    </x:row>
    <x:row r="726" ht="14.25" customHeight="1">
      <x:c r="A726" s="10"/>
      <x:c r="B726" s="10"/>
      <x:c r="C726" s="10"/>
      <x:c r="D726" s="10"/>
      <x:c r="E726" s="10"/>
      <x:c r="F726" s="10"/>
      <x:c r="G726" s="10"/>
    </x:row>
    <x:row r="727" ht="14.25" customHeight="1">
      <x:c r="A727" s="10"/>
      <x:c r="B727" s="10"/>
      <x:c r="C727" s="10"/>
      <x:c r="D727" s="10"/>
      <x:c r="E727" s="10"/>
      <x:c r="F727" s="10"/>
      <x:c r="G727" s="10"/>
    </x:row>
    <x:row r="728" ht="14.25" customHeight="1">
      <x:c r="A728" s="10"/>
      <x:c r="B728" s="10"/>
      <x:c r="C728" s="10"/>
      <x:c r="D728" s="10"/>
      <x:c r="E728" s="10"/>
      <x:c r="F728" s="10"/>
      <x:c r="G728" s="10"/>
    </x:row>
    <x:row r="729" ht="14.25" customHeight="1">
      <x:c r="A729" s="10"/>
      <x:c r="B729" s="10"/>
      <x:c r="C729" s="10"/>
      <x:c r="D729" s="10"/>
      <x:c r="E729" s="10"/>
      <x:c r="F729" s="10"/>
      <x:c r="G729" s="10"/>
    </x:row>
    <x:row r="730" ht="14.25" customHeight="1">
      <x:c r="A730" s="10"/>
      <x:c r="B730" s="10"/>
      <x:c r="C730" s="10"/>
      <x:c r="D730" s="10"/>
      <x:c r="E730" s="10"/>
      <x:c r="F730" s="10"/>
      <x:c r="G730" s="10"/>
    </x:row>
    <x:row r="731" ht="14.25" customHeight="1">
      <x:c r="A731" s="10"/>
      <x:c r="B731" s="10"/>
      <x:c r="C731" s="10"/>
      <x:c r="D731" s="10"/>
      <x:c r="E731" s="10"/>
      <x:c r="F731" s="10"/>
      <x:c r="G731" s="10"/>
    </x:row>
    <x:row r="732" ht="14.25" customHeight="1">
      <x:c r="A732" s="10"/>
      <x:c r="B732" s="10"/>
      <x:c r="C732" s="10"/>
      <x:c r="D732" s="10"/>
      <x:c r="E732" s="10"/>
      <x:c r="F732" s="10"/>
      <x:c r="G732" s="10"/>
    </x:row>
    <x:row r="733" ht="14.25" customHeight="1">
      <x:c r="A733" s="10"/>
      <x:c r="B733" s="10"/>
      <x:c r="C733" s="10"/>
      <x:c r="D733" s="10"/>
      <x:c r="E733" s="10"/>
      <x:c r="F733" s="10"/>
      <x:c r="G733" s="10"/>
    </x:row>
    <x:row r="734" ht="14.25" customHeight="1">
      <x:c r="A734" s="10"/>
      <x:c r="B734" s="10"/>
      <x:c r="C734" s="10"/>
      <x:c r="D734" s="10"/>
      <x:c r="E734" s="10"/>
      <x:c r="F734" s="10"/>
      <x:c r="G734" s="10"/>
    </x:row>
    <x:row r="735" ht="14.25" customHeight="1">
      <x:c r="A735" s="10"/>
      <x:c r="B735" s="10"/>
      <x:c r="C735" s="10"/>
      <x:c r="D735" s="10"/>
      <x:c r="E735" s="10"/>
      <x:c r="F735" s="10"/>
      <x:c r="G735" s="10"/>
    </x:row>
    <x:row r="736" ht="14.25" customHeight="1">
      <x:c r="A736" s="10"/>
      <x:c r="B736" s="10"/>
      <x:c r="C736" s="10"/>
      <x:c r="D736" s="10"/>
      <x:c r="E736" s="10"/>
      <x:c r="F736" s="10"/>
      <x:c r="G736" s="10"/>
    </x:row>
    <x:row r="737" ht="14.25" customHeight="1">
      <x:c r="A737" s="10"/>
      <x:c r="B737" s="10"/>
      <x:c r="C737" s="10"/>
      <x:c r="D737" s="10"/>
      <x:c r="E737" s="10"/>
      <x:c r="F737" s="10"/>
      <x:c r="G737" s="10"/>
    </x:row>
    <x:row r="738" ht="14.25" customHeight="1">
      <x:c r="A738" s="10"/>
      <x:c r="B738" s="10"/>
      <x:c r="C738" s="10"/>
      <x:c r="D738" s="10"/>
      <x:c r="E738" s="10"/>
      <x:c r="F738" s="10"/>
      <x:c r="G738" s="10"/>
    </x:row>
    <x:row r="739" ht="14.25" customHeight="1">
      <x:c r="A739" s="10"/>
      <x:c r="B739" s="10"/>
      <x:c r="C739" s="10"/>
      <x:c r="D739" s="10"/>
      <x:c r="E739" s="10"/>
      <x:c r="F739" s="10"/>
      <x:c r="G739" s="10"/>
    </x:row>
    <x:row r="740" ht="14.25" customHeight="1">
      <x:c r="A740" s="10"/>
      <x:c r="B740" s="10"/>
      <x:c r="C740" s="10"/>
      <x:c r="D740" s="10"/>
      <x:c r="E740" s="10"/>
      <x:c r="F740" s="10"/>
      <x:c r="G740" s="10"/>
    </x:row>
    <x:row r="741" ht="14.25" customHeight="1">
      <x:c r="A741" s="10"/>
      <x:c r="B741" s="10"/>
      <x:c r="C741" s="10"/>
      <x:c r="D741" s="10"/>
      <x:c r="E741" s="10"/>
      <x:c r="F741" s="10"/>
      <x:c r="G741" s="10"/>
    </x:row>
    <x:row r="742" ht="14.25" customHeight="1">
      <x:c r="A742" s="10"/>
      <x:c r="B742" s="10"/>
      <x:c r="C742" s="10"/>
      <x:c r="D742" s="10"/>
      <x:c r="E742" s="10"/>
      <x:c r="F742" s="10"/>
      <x:c r="G742" s="10"/>
    </x:row>
    <x:row r="743" ht="14.25" customHeight="1">
      <x:c r="A743" s="10"/>
      <x:c r="B743" s="10"/>
      <x:c r="C743" s="10"/>
      <x:c r="D743" s="10"/>
      <x:c r="E743" s="10"/>
      <x:c r="F743" s="10"/>
      <x:c r="G743" s="10"/>
    </x:row>
    <x:row r="744" ht="14.25" customHeight="1">
      <x:c r="A744" s="10"/>
      <x:c r="B744" s="10"/>
      <x:c r="C744" s="10"/>
      <x:c r="D744" s="10"/>
      <x:c r="E744" s="10"/>
      <x:c r="F744" s="10"/>
      <x:c r="G744" s="10"/>
    </x:row>
    <x:row r="745" ht="14.25" customHeight="1">
      <x:c r="A745" s="10"/>
      <x:c r="B745" s="10"/>
      <x:c r="C745" s="10"/>
      <x:c r="D745" s="10"/>
      <x:c r="E745" s="10"/>
      <x:c r="F745" s="10"/>
      <x:c r="G745" s="10"/>
    </x:row>
    <x:row r="746" ht="14.25" customHeight="1">
      <x:c r="A746" s="10"/>
      <x:c r="B746" s="10"/>
      <x:c r="C746" s="10"/>
      <x:c r="D746" s="10"/>
      <x:c r="E746" s="10"/>
      <x:c r="F746" s="10"/>
      <x:c r="G746" s="10"/>
    </x:row>
    <x:row r="747" ht="14.25" customHeight="1">
      <x:c r="A747" s="10"/>
      <x:c r="B747" s="10"/>
      <x:c r="C747" s="10"/>
      <x:c r="D747" s="10"/>
      <x:c r="E747" s="10"/>
      <x:c r="F747" s="10"/>
      <x:c r="G747" s="10"/>
    </x:row>
    <x:row r="748" ht="14.25" customHeight="1">
      <x:c r="A748" s="10"/>
      <x:c r="B748" s="10"/>
      <x:c r="C748" s="10"/>
      <x:c r="D748" s="10"/>
      <x:c r="E748" s="10"/>
      <x:c r="F748" s="10"/>
      <x:c r="G748" s="10"/>
    </x:row>
    <x:row r="749" ht="14.25" customHeight="1">
      <x:c r="A749" s="10"/>
      <x:c r="B749" s="10"/>
      <x:c r="C749" s="10"/>
      <x:c r="D749" s="10"/>
      <x:c r="E749" s="10"/>
      <x:c r="F749" s="10"/>
      <x:c r="G749" s="10"/>
    </x:row>
    <x:row r="750" ht="14.25" customHeight="1">
      <x:c r="A750" s="10"/>
      <x:c r="B750" s="10"/>
      <x:c r="C750" s="10"/>
      <x:c r="D750" s="10"/>
      <x:c r="E750" s="10"/>
      <x:c r="F750" s="10"/>
      <x:c r="G750" s="10"/>
    </x:row>
    <x:row r="751" ht="14.25" customHeight="1">
      <x:c r="A751" s="10"/>
      <x:c r="B751" s="10"/>
      <x:c r="C751" s="10"/>
      <x:c r="D751" s="10"/>
      <x:c r="E751" s="10"/>
      <x:c r="F751" s="10"/>
      <x:c r="G751" s="10"/>
    </x:row>
    <x:row r="752" ht="14.25" customHeight="1">
      <x:c r="A752" s="10"/>
      <x:c r="B752" s="10"/>
      <x:c r="C752" s="10"/>
      <x:c r="D752" s="10"/>
      <x:c r="E752" s="10"/>
      <x:c r="F752" s="10"/>
      <x:c r="G752" s="10"/>
    </x:row>
    <x:row r="753" ht="14.25" customHeight="1">
      <x:c r="A753" s="10"/>
      <x:c r="B753" s="10"/>
      <x:c r="C753" s="10"/>
      <x:c r="D753" s="10"/>
      <x:c r="E753" s="10"/>
      <x:c r="F753" s="10"/>
      <x:c r="G753" s="10"/>
    </x:row>
    <x:row r="754" ht="14.25" customHeight="1">
      <x:c r="A754" s="10"/>
      <x:c r="B754" s="10"/>
      <x:c r="C754" s="10"/>
      <x:c r="D754" s="10"/>
      <x:c r="E754" s="10"/>
      <x:c r="F754" s="10"/>
      <x:c r="G754" s="10"/>
    </x:row>
    <x:row r="755" ht="14.25" customHeight="1">
      <x:c r="A755" s="10"/>
      <x:c r="B755" s="10"/>
      <x:c r="C755" s="10"/>
      <x:c r="D755" s="10"/>
      <x:c r="E755" s="10"/>
      <x:c r="F755" s="10"/>
      <x:c r="G755" s="10"/>
    </x:row>
    <x:row r="756" ht="14.25" customHeight="1">
      <x:c r="A756" s="10"/>
      <x:c r="B756" s="10"/>
      <x:c r="C756" s="10"/>
      <x:c r="D756" s="10"/>
      <x:c r="E756" s="10"/>
      <x:c r="F756" s="10"/>
      <x:c r="G756" s="10"/>
    </x:row>
    <x:row r="757" ht="14.25" customHeight="1">
      <x:c r="A757" s="10"/>
      <x:c r="B757" s="10"/>
      <x:c r="C757" s="10"/>
      <x:c r="D757" s="10"/>
      <x:c r="E757" s="10"/>
      <x:c r="F757" s="10"/>
      <x:c r="G757" s="10"/>
    </x:row>
    <x:row r="758" ht="14.25" customHeight="1">
      <x:c r="A758" s="10"/>
      <x:c r="B758" s="10"/>
      <x:c r="C758" s="10"/>
      <x:c r="D758" s="10"/>
      <x:c r="E758" s="10"/>
      <x:c r="F758" s="10"/>
      <x:c r="G758" s="10"/>
    </x:row>
    <x:row r="759" ht="14.25" customHeight="1">
      <x:c r="A759" s="10"/>
      <x:c r="B759" s="10"/>
      <x:c r="C759" s="10"/>
      <x:c r="D759" s="10"/>
      <x:c r="E759" s="10"/>
      <x:c r="F759" s="10"/>
      <x:c r="G759" s="10"/>
    </x:row>
    <x:row r="760" ht="14.25" customHeight="1">
      <x:c r="A760" s="10"/>
      <x:c r="B760" s="10"/>
      <x:c r="C760" s="10"/>
      <x:c r="D760" s="10"/>
      <x:c r="E760" s="10"/>
      <x:c r="F760" s="10"/>
      <x:c r="G760" s="10"/>
    </x:row>
    <x:row r="761" ht="14.25" customHeight="1">
      <x:c r="A761" s="10"/>
      <x:c r="B761" s="10"/>
      <x:c r="C761" s="10"/>
      <x:c r="D761" s="10"/>
      <x:c r="E761" s="10"/>
      <x:c r="F761" s="10"/>
      <x:c r="G761" s="10"/>
    </x:row>
    <x:row r="762" ht="14.25" customHeight="1">
      <x:c r="A762" s="10"/>
      <x:c r="B762" s="10"/>
      <x:c r="C762" s="10"/>
      <x:c r="D762" s="10"/>
      <x:c r="E762" s="10"/>
      <x:c r="F762" s="10"/>
      <x:c r="G762" s="10"/>
    </x:row>
    <x:row r="763" ht="14.25" customHeight="1">
      <x:c r="A763" s="10"/>
      <x:c r="B763" s="10"/>
      <x:c r="C763" s="10"/>
      <x:c r="D763" s="10"/>
      <x:c r="E763" s="10"/>
      <x:c r="F763" s="10"/>
      <x:c r="G763" s="10"/>
    </x:row>
    <x:row r="764" ht="14.25" customHeight="1">
      <x:c r="A764" s="10"/>
      <x:c r="B764" s="10"/>
      <x:c r="C764" s="10"/>
      <x:c r="D764" s="10"/>
      <x:c r="E764" s="10"/>
      <x:c r="F764" s="10"/>
      <x:c r="G764" s="10"/>
    </x:row>
    <x:row r="765" ht="14.25" customHeight="1">
      <x:c r="A765" s="10"/>
      <x:c r="B765" s="10"/>
      <x:c r="C765" s="10"/>
      <x:c r="D765" s="10"/>
      <x:c r="E765" s="10"/>
      <x:c r="F765" s="10"/>
      <x:c r="G765" s="10"/>
    </x:row>
    <x:row r="766" ht="14.25" customHeight="1">
      <x:c r="A766" s="10"/>
      <x:c r="B766" s="10"/>
      <x:c r="C766" s="10"/>
      <x:c r="D766" s="10"/>
      <x:c r="E766" s="10"/>
      <x:c r="F766" s="10"/>
      <x:c r="G766" s="10"/>
    </x:row>
    <x:row r="767" ht="14.25" customHeight="1">
      <x:c r="A767" s="10"/>
      <x:c r="B767" s="10"/>
      <x:c r="C767" s="10"/>
      <x:c r="D767" s="10"/>
      <x:c r="E767" s="10"/>
      <x:c r="F767" s="10"/>
      <x:c r="G767" s="10"/>
    </x:row>
    <x:row r="768" ht="14.25" customHeight="1">
      <x:c r="A768" s="10"/>
      <x:c r="B768" s="10"/>
      <x:c r="C768" s="10"/>
      <x:c r="D768" s="10"/>
      <x:c r="E768" s="10"/>
      <x:c r="F768" s="10"/>
      <x:c r="G768" s="10"/>
    </x:row>
    <x:row r="769" ht="14.25" customHeight="1">
      <x:c r="A769" s="10"/>
      <x:c r="B769" s="10"/>
      <x:c r="C769" s="10"/>
      <x:c r="D769" s="10"/>
      <x:c r="E769" s="10"/>
      <x:c r="F769" s="10"/>
      <x:c r="G769" s="10"/>
    </x:row>
    <x:row r="770" ht="14.25" customHeight="1">
      <x:c r="A770" s="10"/>
      <x:c r="B770" s="10"/>
      <x:c r="C770" s="10"/>
      <x:c r="D770" s="10"/>
      <x:c r="E770" s="10"/>
      <x:c r="F770" s="10"/>
      <x:c r="G770" s="10"/>
    </x:row>
    <x:row r="771" ht="14.25" customHeight="1">
      <x:c r="A771" s="10"/>
      <x:c r="B771" s="10"/>
      <x:c r="C771" s="10"/>
      <x:c r="D771" s="10"/>
      <x:c r="E771" s="10"/>
      <x:c r="F771" s="10"/>
      <x:c r="G771" s="10"/>
    </x:row>
    <x:row r="772" ht="14.25" customHeight="1">
      <x:c r="A772" s="10"/>
      <x:c r="B772" s="10"/>
      <x:c r="C772" s="10"/>
      <x:c r="D772" s="10"/>
      <x:c r="E772" s="10"/>
      <x:c r="F772" s="10"/>
      <x:c r="G772" s="10"/>
    </x:row>
    <x:row r="773" ht="14.25" customHeight="1">
      <x:c r="A773" s="10"/>
      <x:c r="B773" s="10"/>
      <x:c r="C773" s="10"/>
      <x:c r="D773" s="10"/>
      <x:c r="E773" s="10"/>
      <x:c r="F773" s="10"/>
      <x:c r="G773" s="10"/>
    </x:row>
    <x:row r="774" ht="14.25" customHeight="1">
      <x:c r="A774" s="10"/>
      <x:c r="B774" s="10"/>
      <x:c r="C774" s="10"/>
      <x:c r="D774" s="10"/>
      <x:c r="E774" s="10"/>
      <x:c r="F774" s="10"/>
      <x:c r="G774" s="10"/>
    </x:row>
    <x:row r="775" ht="14.25" customHeight="1">
      <x:c r="A775" s="10"/>
      <x:c r="B775" s="10"/>
      <x:c r="C775" s="10"/>
      <x:c r="D775" s="10"/>
      <x:c r="E775" s="10"/>
      <x:c r="F775" s="10"/>
      <x:c r="G775" s="10"/>
    </x:row>
    <x:row r="776" ht="14.25" customHeight="1">
      <x:c r="A776" s="10"/>
      <x:c r="B776" s="10"/>
      <x:c r="C776" s="10"/>
      <x:c r="D776" s="10"/>
      <x:c r="E776" s="10"/>
      <x:c r="F776" s="10"/>
      <x:c r="G776" s="10"/>
    </x:row>
    <x:row r="777" ht="14.25" customHeight="1">
      <x:c r="A777" s="10"/>
      <x:c r="B777" s="10"/>
      <x:c r="C777" s="10"/>
      <x:c r="D777" s="10"/>
      <x:c r="E777" s="10"/>
      <x:c r="F777" s="10"/>
      <x:c r="G777" s="10"/>
    </x:row>
    <x:row r="778" ht="14.25" customHeight="1">
      <x:c r="A778" s="10"/>
      <x:c r="B778" s="10"/>
      <x:c r="C778" s="10"/>
      <x:c r="D778" s="10"/>
      <x:c r="E778" s="10"/>
      <x:c r="F778" s="10"/>
      <x:c r="G778" s="10"/>
    </x:row>
    <x:row r="779" ht="14.25" customHeight="1">
      <x:c r="A779" s="10"/>
      <x:c r="B779" s="10"/>
      <x:c r="C779" s="10"/>
      <x:c r="D779" s="10"/>
      <x:c r="E779" s="10"/>
      <x:c r="F779" s="10"/>
      <x:c r="G779" s="10"/>
    </x:row>
    <x:row r="780" ht="14.25" customHeight="1">
      <x:c r="A780" s="10"/>
      <x:c r="B780" s="10"/>
      <x:c r="C780" s="10"/>
      <x:c r="D780" s="10"/>
      <x:c r="E780" s="10"/>
      <x:c r="F780" s="10"/>
      <x:c r="G780" s="10"/>
    </x:row>
    <x:row r="781" ht="14.25" customHeight="1">
      <x:c r="A781" s="10"/>
      <x:c r="B781" s="10"/>
      <x:c r="C781" s="10"/>
      <x:c r="D781" s="10"/>
      <x:c r="E781" s="10"/>
      <x:c r="F781" s="10"/>
      <x:c r="G781" s="10"/>
    </x:row>
    <x:row r="782" ht="14.25" customHeight="1">
      <x:c r="A782" s="10"/>
      <x:c r="B782" s="10"/>
      <x:c r="C782" s="10"/>
      <x:c r="D782" s="10"/>
      <x:c r="E782" s="10"/>
      <x:c r="F782" s="10"/>
      <x:c r="G782" s="10"/>
    </x:row>
    <x:row r="783" ht="14.25" customHeight="1">
      <x:c r="A783" s="10"/>
      <x:c r="B783" s="10"/>
      <x:c r="C783" s="10"/>
      <x:c r="D783" s="10"/>
      <x:c r="E783" s="10"/>
      <x:c r="F783" s="10"/>
      <x:c r="G783" s="10"/>
    </x:row>
    <x:row r="784" ht="14.25" customHeight="1">
      <x:c r="A784" s="10"/>
      <x:c r="B784" s="10"/>
      <x:c r="C784" s="10"/>
      <x:c r="D784" s="10"/>
      <x:c r="E784" s="10"/>
      <x:c r="F784" s="10"/>
      <x:c r="G784" s="10"/>
    </x:row>
    <x:row r="785" ht="14.25" customHeight="1">
      <x:c r="A785" s="10"/>
      <x:c r="B785" s="10"/>
      <x:c r="C785" s="10"/>
      <x:c r="D785" s="10"/>
      <x:c r="E785" s="10"/>
      <x:c r="F785" s="10"/>
      <x:c r="G785" s="10"/>
    </x:row>
    <x:row r="786" ht="14.25" customHeight="1">
      <x:c r="A786" s="10"/>
      <x:c r="B786" s="10"/>
      <x:c r="C786" s="10"/>
      <x:c r="D786" s="10"/>
      <x:c r="E786" s="10"/>
      <x:c r="F786" s="10"/>
      <x:c r="G786" s="10"/>
    </x:row>
    <x:row r="787" ht="14.25" customHeight="1">
      <x:c r="A787" s="10"/>
      <x:c r="B787" s="10"/>
      <x:c r="C787" s="10"/>
      <x:c r="D787" s="10"/>
      <x:c r="E787" s="10"/>
      <x:c r="F787" s="10"/>
      <x:c r="G787" s="10"/>
    </x:row>
    <x:row r="788" ht="14.25" customHeight="1">
      <x:c r="A788" s="10"/>
      <x:c r="B788" s="10"/>
      <x:c r="C788" s="10"/>
      <x:c r="D788" s="10"/>
      <x:c r="E788" s="10"/>
      <x:c r="F788" s="10"/>
      <x:c r="G788" s="10"/>
    </x:row>
    <x:row r="789" ht="14.25" customHeight="1">
      <x:c r="A789" s="10"/>
      <x:c r="B789" s="10"/>
      <x:c r="C789" s="10"/>
      <x:c r="D789" s="10"/>
      <x:c r="E789" s="10"/>
      <x:c r="F789" s="10"/>
      <x:c r="G789" s="10"/>
    </x:row>
    <x:row r="790" ht="14.25" customHeight="1">
      <x:c r="A790" s="10"/>
      <x:c r="B790" s="10"/>
      <x:c r="C790" s="10"/>
      <x:c r="D790" s="10"/>
      <x:c r="E790" s="10"/>
      <x:c r="F790" s="10"/>
      <x:c r="G790" s="10"/>
    </x:row>
    <x:row r="791" ht="14.25" customHeight="1">
      <x:c r="A791" s="10"/>
      <x:c r="B791" s="10"/>
      <x:c r="C791" s="10"/>
      <x:c r="D791" s="10"/>
      <x:c r="E791" s="10"/>
      <x:c r="F791" s="10"/>
      <x:c r="G791" s="10"/>
    </x:row>
    <x:row r="792" ht="14.25" customHeight="1">
      <x:c r="A792" s="10"/>
      <x:c r="B792" s="10"/>
      <x:c r="C792" s="10"/>
      <x:c r="D792" s="10"/>
      <x:c r="E792" s="10"/>
      <x:c r="F792" s="10"/>
      <x:c r="G792" s="10"/>
    </x:row>
    <x:row r="793" ht="14.25" customHeight="1">
      <x:c r="A793" s="10"/>
      <x:c r="B793" s="10"/>
      <x:c r="C793" s="10"/>
      <x:c r="D793" s="10"/>
      <x:c r="E793" s="10"/>
      <x:c r="F793" s="10"/>
      <x:c r="G793" s="10"/>
    </x:row>
    <x:row r="794" ht="14.25" customHeight="1">
      <x:c r="A794" s="10"/>
      <x:c r="B794" s="10"/>
      <x:c r="C794" s="10"/>
      <x:c r="D794" s="10"/>
      <x:c r="E794" s="10"/>
      <x:c r="F794" s="10"/>
      <x:c r="G794" s="10"/>
    </x:row>
    <x:row r="795" ht="14.25" customHeight="1">
      <x:c r="A795" s="10"/>
      <x:c r="B795" s="10"/>
      <x:c r="C795" s="10"/>
      <x:c r="D795" s="10"/>
      <x:c r="E795" s="10"/>
      <x:c r="F795" s="10"/>
      <x:c r="G795" s="10"/>
    </x:row>
    <x:row r="796" ht="14.25" customHeight="1">
      <x:c r="A796" s="10"/>
      <x:c r="B796" s="10"/>
      <x:c r="C796" s="10"/>
      <x:c r="D796" s="10"/>
      <x:c r="E796" s="10"/>
      <x:c r="F796" s="10"/>
      <x:c r="G796" s="10"/>
    </x:row>
    <x:row r="797" ht="14.25" customHeight="1">
      <x:c r="A797" s="10"/>
      <x:c r="B797" s="10"/>
      <x:c r="C797" s="10"/>
      <x:c r="D797" s="10"/>
      <x:c r="E797" s="10"/>
      <x:c r="F797" s="10"/>
      <x:c r="G797" s="10"/>
    </x:row>
    <x:row r="798" ht="14.25" customHeight="1">
      <x:c r="A798" s="10"/>
      <x:c r="B798" s="10"/>
      <x:c r="C798" s="10"/>
      <x:c r="D798" s="10"/>
      <x:c r="E798" s="10"/>
      <x:c r="F798" s="10"/>
      <x:c r="G798" s="10"/>
    </x:row>
    <x:row r="799" ht="14.25" customHeight="1">
      <x:c r="A799" s="10"/>
      <x:c r="B799" s="10"/>
      <x:c r="C799" s="10"/>
      <x:c r="D799" s="10"/>
      <x:c r="E799" s="10"/>
      <x:c r="F799" s="10"/>
      <x:c r="G799" s="10"/>
    </x:row>
    <x:row r="800" ht="14.25" customHeight="1">
      <x:c r="A800" s="10"/>
      <x:c r="B800" s="10"/>
      <x:c r="C800" s="10"/>
      <x:c r="D800" s="10"/>
      <x:c r="E800" s="10"/>
      <x:c r="F800" s="10"/>
      <x:c r="G800" s="10"/>
    </x:row>
    <x:row r="801" ht="14.25" customHeight="1">
      <x:c r="A801" s="10"/>
      <x:c r="B801" s="10"/>
      <x:c r="C801" s="10"/>
      <x:c r="D801" s="10"/>
      <x:c r="E801" s="10"/>
      <x:c r="F801" s="10"/>
      <x:c r="G801" s="10"/>
    </x:row>
    <x:row r="802" ht="14.25" customHeight="1">
      <x:c r="A802" s="10"/>
      <x:c r="B802" s="10"/>
      <x:c r="C802" s="10"/>
      <x:c r="D802" s="10"/>
      <x:c r="E802" s="10"/>
      <x:c r="F802" s="10"/>
      <x:c r="G802" s="10"/>
    </x:row>
    <x:row r="803" ht="14.25" customHeight="1">
      <x:c r="A803" s="10"/>
      <x:c r="B803" s="10"/>
      <x:c r="C803" s="10"/>
      <x:c r="D803" s="10"/>
      <x:c r="E803" s="10"/>
      <x:c r="F803" s="10"/>
      <x:c r="G803" s="10"/>
    </x:row>
    <x:row r="804" ht="14.25" customHeight="1">
      <x:c r="A804" s="10"/>
      <x:c r="B804" s="10"/>
      <x:c r="C804" s="10"/>
      <x:c r="D804" s="10"/>
      <x:c r="E804" s="10"/>
      <x:c r="F804" s="10"/>
      <x:c r="G804" s="10"/>
    </x:row>
    <x:row r="805" ht="14.25" customHeight="1">
      <x:c r="A805" s="10"/>
      <x:c r="B805" s="10"/>
      <x:c r="C805" s="10"/>
      <x:c r="D805" s="10"/>
      <x:c r="E805" s="10"/>
      <x:c r="F805" s="10"/>
      <x:c r="G805" s="10"/>
    </x:row>
    <x:row r="806" ht="14.25" customHeight="1">
      <x:c r="A806" s="10"/>
      <x:c r="B806" s="10"/>
      <x:c r="C806" s="10"/>
      <x:c r="D806" s="10"/>
      <x:c r="E806" s="10"/>
      <x:c r="F806" s="10"/>
      <x:c r="G806" s="10"/>
    </x:row>
    <x:row r="807" ht="14.25" customHeight="1">
      <x:c r="A807" s="10"/>
      <x:c r="B807" s="10"/>
      <x:c r="C807" s="10"/>
      <x:c r="D807" s="10"/>
      <x:c r="E807" s="10"/>
      <x:c r="F807" s="10"/>
      <x:c r="G807" s="10"/>
    </x:row>
    <x:row r="808" ht="14.25" customHeight="1">
      <x:c r="A808" s="10"/>
      <x:c r="B808" s="10"/>
      <x:c r="C808" s="10"/>
      <x:c r="D808" s="10"/>
      <x:c r="E808" s="10"/>
      <x:c r="F808" s="10"/>
      <x:c r="G808" s="10"/>
    </x:row>
    <x:row r="809" ht="14.25" customHeight="1">
      <x:c r="A809" s="10"/>
      <x:c r="B809" s="10"/>
      <x:c r="C809" s="10"/>
      <x:c r="D809" s="10"/>
      <x:c r="E809" s="10"/>
      <x:c r="F809" s="10"/>
      <x:c r="G809" s="10"/>
    </x:row>
    <x:row r="810" ht="14.25" customHeight="1">
      <x:c r="A810" s="10"/>
      <x:c r="B810" s="10"/>
      <x:c r="C810" s="10"/>
      <x:c r="D810" s="10"/>
      <x:c r="E810" s="10"/>
      <x:c r="F810" s="10"/>
      <x:c r="G810" s="10"/>
    </x:row>
    <x:row r="811" ht="14.25" customHeight="1">
      <x:c r="A811" s="10"/>
      <x:c r="B811" s="10"/>
      <x:c r="C811" s="10"/>
      <x:c r="D811" s="10"/>
      <x:c r="E811" s="10"/>
      <x:c r="F811" s="10"/>
      <x:c r="G811" s="10"/>
    </x:row>
    <x:row r="812" ht="14.25" customHeight="1">
      <x:c r="A812" s="10"/>
      <x:c r="B812" s="10"/>
      <x:c r="C812" s="10"/>
      <x:c r="D812" s="10"/>
      <x:c r="E812" s="10"/>
      <x:c r="F812" s="10"/>
      <x:c r="G812" s="10"/>
    </x:row>
    <x:row r="813" ht="14.25" customHeight="1">
      <x:c r="A813" s="10"/>
      <x:c r="B813" s="10"/>
      <x:c r="C813" s="10"/>
      <x:c r="D813" s="10"/>
      <x:c r="E813" s="10"/>
      <x:c r="F813" s="10"/>
      <x:c r="G813" s="10"/>
    </x:row>
    <x:row r="814" ht="14.25" customHeight="1">
      <x:c r="A814" s="10"/>
      <x:c r="B814" s="10"/>
      <x:c r="C814" s="10"/>
      <x:c r="D814" s="10"/>
      <x:c r="E814" s="10"/>
      <x:c r="F814" s="10"/>
      <x:c r="G814" s="10"/>
    </x:row>
    <x:row r="815" ht="14.25" customHeight="1">
      <x:c r="A815" s="10"/>
      <x:c r="B815" s="10"/>
      <x:c r="C815" s="10"/>
      <x:c r="D815" s="10"/>
      <x:c r="E815" s="10"/>
      <x:c r="F815" s="10"/>
      <x:c r="G815" s="10"/>
    </x:row>
    <x:row r="816" ht="14.25" customHeight="1">
      <x:c r="A816" s="10"/>
      <x:c r="B816" s="10"/>
      <x:c r="C816" s="10"/>
      <x:c r="D816" s="10"/>
      <x:c r="E816" s="10"/>
      <x:c r="F816" s="10"/>
      <x:c r="G816" s="10"/>
    </x:row>
    <x:row r="817" ht="14.25" customHeight="1">
      <x:c r="A817" s="10"/>
      <x:c r="B817" s="10"/>
      <x:c r="C817" s="10"/>
      <x:c r="D817" s="10"/>
      <x:c r="E817" s="10"/>
      <x:c r="F817" s="10"/>
      <x:c r="G817" s="10"/>
    </x:row>
    <x:row r="818" ht="14.25" customHeight="1">
      <x:c r="A818" s="10"/>
      <x:c r="B818" s="10"/>
      <x:c r="C818" s="10"/>
      <x:c r="D818" s="10"/>
      <x:c r="E818" s="10"/>
      <x:c r="F818" s="10"/>
      <x:c r="G818" s="10"/>
    </x:row>
    <x:row r="819" ht="14.25" customHeight="1">
      <x:c r="A819" s="10"/>
      <x:c r="B819" s="10"/>
      <x:c r="C819" s="10"/>
      <x:c r="D819" s="10"/>
      <x:c r="E819" s="10"/>
      <x:c r="F819" s="10"/>
      <x:c r="G819" s="10"/>
    </x:row>
    <x:row r="820" ht="14.25" customHeight="1">
      <x:c r="A820" s="10"/>
      <x:c r="B820" s="10"/>
      <x:c r="C820" s="10"/>
      <x:c r="D820" s="10"/>
      <x:c r="E820" s="10"/>
      <x:c r="F820" s="10"/>
      <x:c r="G820" s="10"/>
    </x:row>
    <x:row r="821" ht="14.25" customHeight="1">
      <x:c r="A821" s="10"/>
      <x:c r="B821" s="10"/>
      <x:c r="C821" s="10"/>
      <x:c r="D821" s="10"/>
      <x:c r="E821" s="10"/>
      <x:c r="F821" s="10"/>
      <x:c r="G821" s="10"/>
    </x:row>
    <x:row r="822" ht="14.25" customHeight="1">
      <x:c r="A822" s="10"/>
      <x:c r="B822" s="10"/>
      <x:c r="C822" s="10"/>
      <x:c r="D822" s="10"/>
      <x:c r="E822" s="10"/>
      <x:c r="F822" s="10"/>
      <x:c r="G822" s="10"/>
    </x:row>
    <x:row r="823" ht="14.25" customHeight="1">
      <x:c r="A823" s="10"/>
      <x:c r="B823" s="10"/>
      <x:c r="C823" s="10"/>
      <x:c r="D823" s="10"/>
      <x:c r="E823" s="10"/>
      <x:c r="F823" s="10"/>
      <x:c r="G823" s="10"/>
    </x:row>
    <x:row r="824" ht="14.25" customHeight="1">
      <x:c r="A824" s="10"/>
      <x:c r="B824" s="10"/>
      <x:c r="C824" s="10"/>
      <x:c r="D824" s="10"/>
      <x:c r="E824" s="10"/>
      <x:c r="F824" s="10"/>
      <x:c r="G824" s="10"/>
    </x:row>
    <x:row r="825" ht="14.25" customHeight="1">
      <x:c r="A825" s="10"/>
      <x:c r="B825" s="10"/>
      <x:c r="C825" s="10"/>
      <x:c r="D825" s="10"/>
      <x:c r="E825" s="10"/>
      <x:c r="F825" s="10"/>
      <x:c r="G825" s="10"/>
    </x:row>
    <x:row r="826" ht="14.25" customHeight="1">
      <x:c r="A826" s="10"/>
      <x:c r="B826" s="10"/>
      <x:c r="C826" s="10"/>
      <x:c r="D826" s="10"/>
      <x:c r="E826" s="10"/>
      <x:c r="F826" s="10"/>
      <x:c r="G826" s="10"/>
    </x:row>
    <x:row r="827" ht="14.25" customHeight="1">
      <x:c r="A827" s="10"/>
      <x:c r="B827" s="10"/>
      <x:c r="C827" s="10"/>
      <x:c r="D827" s="10"/>
      <x:c r="E827" s="10"/>
      <x:c r="F827" s="10"/>
      <x:c r="G827" s="10"/>
    </x:row>
    <x:row r="828" ht="14.25" customHeight="1">
      <x:c r="A828" s="10"/>
      <x:c r="B828" s="10"/>
      <x:c r="C828" s="10"/>
      <x:c r="D828" s="10"/>
      <x:c r="E828" s="10"/>
      <x:c r="F828" s="10"/>
      <x:c r="G828" s="10"/>
    </x:row>
    <x:row r="829" ht="14.25" customHeight="1">
      <x:c r="A829" s="10"/>
      <x:c r="B829" s="10"/>
      <x:c r="C829" s="10"/>
      <x:c r="D829" s="10"/>
      <x:c r="E829" s="10"/>
      <x:c r="F829" s="10"/>
      <x:c r="G829" s="10"/>
    </x:row>
    <x:row r="830" ht="14.25" customHeight="1">
      <x:c r="A830" s="10"/>
      <x:c r="B830" s="10"/>
      <x:c r="C830" s="10"/>
      <x:c r="D830" s="10"/>
      <x:c r="E830" s="10"/>
      <x:c r="F830" s="10"/>
      <x:c r="G830" s="10"/>
    </x:row>
    <x:row r="831" ht="14.25" customHeight="1">
      <x:c r="A831" s="10"/>
      <x:c r="B831" s="10"/>
      <x:c r="C831" s="10"/>
      <x:c r="D831" s="10"/>
      <x:c r="E831" s="10"/>
      <x:c r="F831" s="10"/>
      <x:c r="G831" s="10"/>
    </x:row>
    <x:row r="832" ht="14.25" customHeight="1">
      <x:c r="A832" s="10"/>
      <x:c r="B832" s="10"/>
      <x:c r="C832" s="10"/>
      <x:c r="D832" s="10"/>
      <x:c r="E832" s="10"/>
      <x:c r="F832" s="10"/>
      <x:c r="G832" s="10"/>
    </x:row>
    <x:row r="833" ht="14.25" customHeight="1">
      <x:c r="A833" s="10"/>
      <x:c r="B833" s="10"/>
      <x:c r="C833" s="10"/>
      <x:c r="D833" s="10"/>
      <x:c r="E833" s="10"/>
      <x:c r="F833" s="10"/>
      <x:c r="G833" s="10"/>
    </x:row>
    <x:row r="834" ht="14.25" customHeight="1">
      <x:c r="A834" s="10"/>
      <x:c r="B834" s="10"/>
      <x:c r="C834" s="10"/>
      <x:c r="D834" s="10"/>
      <x:c r="E834" s="10"/>
      <x:c r="F834" s="10"/>
      <x:c r="G834" s="10"/>
    </x:row>
    <x:row r="835" ht="14.25" customHeight="1">
      <x:c r="A835" s="10"/>
      <x:c r="B835" s="10"/>
      <x:c r="C835" s="10"/>
      <x:c r="D835" s="10"/>
      <x:c r="E835" s="10"/>
      <x:c r="F835" s="10"/>
      <x:c r="G835" s="10"/>
    </x:row>
    <x:row r="836" ht="14.25" customHeight="1">
      <x:c r="A836" s="10"/>
      <x:c r="B836" s="10"/>
      <x:c r="C836" s="10"/>
      <x:c r="D836" s="10"/>
      <x:c r="E836" s="10"/>
      <x:c r="F836" s="10"/>
      <x:c r="G836" s="10"/>
    </x:row>
    <x:row r="837" ht="14.25" customHeight="1">
      <x:c r="A837" s="10"/>
      <x:c r="B837" s="10"/>
      <x:c r="C837" s="10"/>
      <x:c r="D837" s="10"/>
      <x:c r="E837" s="10"/>
      <x:c r="F837" s="10"/>
      <x:c r="G837" s="10"/>
    </x:row>
    <x:row r="838" ht="14.25" customHeight="1">
      <x:c r="A838" s="10"/>
      <x:c r="B838" s="10"/>
      <x:c r="C838" s="10"/>
      <x:c r="D838" s="10"/>
      <x:c r="E838" s="10"/>
      <x:c r="F838" s="10"/>
      <x:c r="G838" s="10"/>
    </x:row>
    <x:row r="839" ht="14.25" customHeight="1">
      <x:c r="A839" s="10"/>
      <x:c r="B839" s="10"/>
      <x:c r="C839" s="10"/>
      <x:c r="D839" s="10"/>
      <x:c r="E839" s="10"/>
      <x:c r="F839" s="10"/>
      <x:c r="G839" s="10"/>
    </x:row>
    <x:row r="840" ht="14.25" customHeight="1">
      <x:c r="A840" s="10"/>
      <x:c r="B840" s="10"/>
      <x:c r="C840" s="10"/>
      <x:c r="D840" s="10"/>
      <x:c r="E840" s="10"/>
      <x:c r="F840" s="10"/>
      <x:c r="G840" s="10"/>
    </x:row>
    <x:row r="841" ht="14.25" customHeight="1">
      <x:c r="A841" s="10"/>
      <x:c r="B841" s="10"/>
      <x:c r="C841" s="10"/>
      <x:c r="D841" s="10"/>
      <x:c r="E841" s="10"/>
      <x:c r="F841" s="10"/>
      <x:c r="G841" s="10"/>
    </x:row>
    <x:row r="842" ht="14.25" customHeight="1">
      <x:c r="A842" s="10"/>
      <x:c r="B842" s="10"/>
      <x:c r="C842" s="10"/>
      <x:c r="D842" s="10"/>
      <x:c r="E842" s="10"/>
      <x:c r="F842" s="10"/>
      <x:c r="G842" s="10"/>
    </x:row>
    <x:row r="843" ht="14.25" customHeight="1">
      <x:c r="A843" s="10"/>
      <x:c r="B843" s="10"/>
      <x:c r="C843" s="10"/>
      <x:c r="D843" s="10"/>
      <x:c r="E843" s="10"/>
      <x:c r="F843" s="10"/>
      <x:c r="G843" s="10"/>
    </x:row>
    <x:row r="844" ht="14.25" customHeight="1">
      <x:c r="A844" s="10"/>
      <x:c r="B844" s="10"/>
      <x:c r="C844" s="10"/>
      <x:c r="D844" s="10"/>
      <x:c r="E844" s="10"/>
      <x:c r="F844" s="10"/>
      <x:c r="G844" s="10"/>
    </x:row>
    <x:row r="845" ht="14.25" customHeight="1">
      <x:c r="A845" s="10"/>
      <x:c r="B845" s="10"/>
      <x:c r="C845" s="10"/>
      <x:c r="D845" s="10"/>
      <x:c r="E845" s="10"/>
      <x:c r="F845" s="10"/>
      <x:c r="G845" s="10"/>
    </x:row>
    <x:row r="846" ht="14.25" customHeight="1">
      <x:c r="A846" s="10"/>
      <x:c r="B846" s="10"/>
      <x:c r="C846" s="10"/>
      <x:c r="D846" s="10"/>
      <x:c r="E846" s="10"/>
      <x:c r="F846" s="10"/>
      <x:c r="G846" s="10"/>
    </x:row>
    <x:row r="847" ht="14.25" customHeight="1">
      <x:c r="A847" s="10"/>
      <x:c r="B847" s="10"/>
      <x:c r="C847" s="10"/>
      <x:c r="D847" s="10"/>
      <x:c r="E847" s="10"/>
      <x:c r="F847" s="10"/>
      <x:c r="G847" s="10"/>
    </x:row>
    <x:row r="848" ht="14.25" customHeight="1">
      <x:c r="A848" s="10"/>
      <x:c r="B848" s="10"/>
      <x:c r="C848" s="10"/>
      <x:c r="D848" s="10"/>
      <x:c r="E848" s="10"/>
      <x:c r="F848" s="10"/>
      <x:c r="G848" s="10"/>
    </x:row>
    <x:row r="849" ht="14.25" customHeight="1">
      <x:c r="A849" s="10"/>
      <x:c r="B849" s="10"/>
      <x:c r="C849" s="10"/>
      <x:c r="D849" s="10"/>
      <x:c r="E849" s="10"/>
      <x:c r="F849" s="10"/>
      <x:c r="G849" s="10"/>
    </x:row>
    <x:row r="850" ht="14.25" customHeight="1">
      <x:c r="A850" s="10"/>
      <x:c r="B850" s="10"/>
      <x:c r="C850" s="10"/>
      <x:c r="D850" s="10"/>
      <x:c r="E850" s="10"/>
      <x:c r="F850" s="10"/>
      <x:c r="G850" s="10"/>
    </x:row>
    <x:row r="851" ht="14.25" customHeight="1">
      <x:c r="A851" s="10"/>
      <x:c r="B851" s="10"/>
      <x:c r="C851" s="10"/>
      <x:c r="D851" s="10"/>
      <x:c r="E851" s="10"/>
      <x:c r="F851" s="10"/>
      <x:c r="G851" s="10"/>
    </x:row>
    <x:row r="852" ht="14.25" customHeight="1">
      <x:c r="A852" s="10"/>
      <x:c r="B852" s="10"/>
      <x:c r="C852" s="10"/>
      <x:c r="D852" s="10"/>
      <x:c r="E852" s="10"/>
      <x:c r="F852" s="10"/>
      <x:c r="G852" s="10"/>
    </x:row>
    <x:row r="853" ht="14.25" customHeight="1">
      <x:c r="A853" s="10"/>
      <x:c r="B853" s="10"/>
      <x:c r="C853" s="10"/>
      <x:c r="D853" s="10"/>
      <x:c r="E853" s="10"/>
      <x:c r="F853" s="10"/>
      <x:c r="G853" s="10"/>
    </x:row>
    <x:row r="854" ht="14.25" customHeight="1">
      <x:c r="A854" s="10"/>
      <x:c r="B854" s="10"/>
      <x:c r="C854" s="10"/>
      <x:c r="D854" s="10"/>
      <x:c r="E854" s="10"/>
      <x:c r="F854" s="10"/>
      <x:c r="G854" s="10"/>
    </x:row>
    <x:row r="855" ht="14.25" customHeight="1">
      <x:c r="A855" s="10"/>
      <x:c r="B855" s="10"/>
      <x:c r="C855" s="10"/>
      <x:c r="D855" s="10"/>
      <x:c r="E855" s="10"/>
      <x:c r="F855" s="10"/>
      <x:c r="G855" s="10"/>
    </x:row>
    <x:row r="856" ht="14.25" customHeight="1">
      <x:c r="A856" s="10"/>
      <x:c r="B856" s="10"/>
      <x:c r="C856" s="10"/>
      <x:c r="D856" s="10"/>
      <x:c r="E856" s="10"/>
      <x:c r="F856" s="10"/>
      <x:c r="G856" s="10"/>
    </x:row>
    <x:row r="857" ht="14.25" customHeight="1">
      <x:c r="A857" s="10"/>
      <x:c r="B857" s="10"/>
      <x:c r="C857" s="10"/>
      <x:c r="D857" s="10"/>
      <x:c r="E857" s="10"/>
      <x:c r="F857" s="10"/>
      <x:c r="G857" s="10"/>
    </x:row>
    <x:row r="858" ht="14.25" customHeight="1">
      <x:c r="A858" s="10"/>
      <x:c r="B858" s="10"/>
      <x:c r="C858" s="10"/>
      <x:c r="D858" s="10"/>
      <x:c r="E858" s="10"/>
      <x:c r="F858" s="10"/>
      <x:c r="G858" s="10"/>
    </x:row>
    <x:row r="859" ht="14.25" customHeight="1">
      <x:c r="A859" s="10"/>
      <x:c r="B859" s="10"/>
      <x:c r="C859" s="10"/>
      <x:c r="D859" s="10"/>
      <x:c r="E859" s="10"/>
      <x:c r="F859" s="10"/>
      <x:c r="G859" s="10"/>
    </x:row>
    <x:row r="860" ht="14.25" customHeight="1">
      <x:c r="A860" s="10"/>
      <x:c r="B860" s="10"/>
      <x:c r="C860" s="10"/>
      <x:c r="D860" s="10"/>
      <x:c r="E860" s="10"/>
      <x:c r="F860" s="10"/>
      <x:c r="G860" s="10"/>
    </x:row>
    <x:row r="861" ht="14.25" customHeight="1">
      <x:c r="A861" s="10"/>
      <x:c r="B861" s="10"/>
      <x:c r="C861" s="10"/>
      <x:c r="D861" s="10"/>
      <x:c r="E861" s="10"/>
      <x:c r="F861" s="10"/>
      <x:c r="G861" s="10"/>
    </x:row>
    <x:row r="862" ht="14.25" customHeight="1">
      <x:c r="A862" s="10"/>
      <x:c r="B862" s="10"/>
      <x:c r="C862" s="10"/>
      <x:c r="D862" s="10"/>
      <x:c r="E862" s="10"/>
      <x:c r="F862" s="10"/>
      <x:c r="G862" s="10"/>
    </x:row>
    <x:row r="863" ht="14.25" customHeight="1">
      <x:c r="A863" s="10"/>
      <x:c r="B863" s="10"/>
      <x:c r="C863" s="10"/>
      <x:c r="D863" s="10"/>
      <x:c r="E863" s="10"/>
      <x:c r="F863" s="10"/>
      <x:c r="G863" s="10"/>
    </x:row>
    <x:row r="864" ht="14.25" customHeight="1">
      <x:c r="A864" s="10"/>
      <x:c r="B864" s="10"/>
      <x:c r="C864" s="10"/>
      <x:c r="D864" s="10"/>
      <x:c r="E864" s="10"/>
      <x:c r="F864" s="10"/>
      <x:c r="G864" s="10"/>
    </x:row>
    <x:row r="865" ht="14.25" customHeight="1">
      <x:c r="A865" s="10"/>
      <x:c r="B865" s="10"/>
      <x:c r="C865" s="10"/>
      <x:c r="D865" s="10"/>
      <x:c r="E865" s="10"/>
      <x:c r="F865" s="10"/>
      <x:c r="G865" s="10"/>
    </x:row>
    <x:row r="866" ht="14.25" customHeight="1">
      <x:c r="A866" s="10"/>
      <x:c r="B866" s="10"/>
      <x:c r="C866" s="10"/>
      <x:c r="D866" s="10"/>
      <x:c r="E866" s="10"/>
      <x:c r="F866" s="10"/>
      <x:c r="G866" s="10"/>
    </x:row>
    <x:row r="867" ht="14.25" customHeight="1">
      <x:c r="A867" s="10"/>
      <x:c r="B867" s="10"/>
      <x:c r="C867" s="10"/>
      <x:c r="D867" s="10"/>
      <x:c r="E867" s="10"/>
      <x:c r="F867" s="10"/>
      <x:c r="G867" s="10"/>
    </x:row>
    <x:row r="868" ht="14.25" customHeight="1">
      <x:c r="A868" s="10"/>
      <x:c r="B868" s="10"/>
      <x:c r="C868" s="10"/>
      <x:c r="D868" s="10"/>
      <x:c r="E868" s="10"/>
      <x:c r="F868" s="10"/>
      <x:c r="G868" s="10"/>
    </x:row>
    <x:row r="869" ht="14.25" customHeight="1">
      <x:c r="A869" s="10"/>
      <x:c r="B869" s="10"/>
      <x:c r="C869" s="10"/>
      <x:c r="D869" s="10"/>
      <x:c r="E869" s="10"/>
      <x:c r="F869" s="10"/>
      <x:c r="G869" s="10"/>
    </x:row>
    <x:row r="870" ht="14.25" customHeight="1">
      <x:c r="A870" s="10"/>
      <x:c r="B870" s="10"/>
      <x:c r="C870" s="10"/>
      <x:c r="D870" s="10"/>
      <x:c r="E870" s="10"/>
      <x:c r="F870" s="10"/>
      <x:c r="G870" s="10"/>
    </x:row>
    <x:row r="871" ht="14.25" customHeight="1">
      <x:c r="A871" s="10"/>
      <x:c r="B871" s="10"/>
      <x:c r="C871" s="10"/>
      <x:c r="D871" s="10"/>
      <x:c r="E871" s="10"/>
      <x:c r="F871" s="10"/>
      <x:c r="G871" s="10"/>
    </x:row>
    <x:row r="872" ht="14.25" customHeight="1">
      <x:c r="A872" s="10"/>
      <x:c r="B872" s="10"/>
      <x:c r="C872" s="10"/>
      <x:c r="D872" s="10"/>
      <x:c r="E872" s="10"/>
      <x:c r="F872" s="10"/>
      <x:c r="G872" s="10"/>
    </x:row>
    <x:row r="873" ht="14.25" customHeight="1">
      <x:c r="A873" s="10"/>
      <x:c r="B873" s="10"/>
      <x:c r="C873" s="10"/>
      <x:c r="D873" s="10"/>
      <x:c r="E873" s="10"/>
      <x:c r="F873" s="10"/>
      <x:c r="G873" s="10"/>
    </x:row>
    <x:row r="874" ht="14.25" customHeight="1">
      <x:c r="A874" s="10"/>
      <x:c r="B874" s="10"/>
      <x:c r="C874" s="10"/>
      <x:c r="D874" s="10"/>
      <x:c r="E874" s="10"/>
      <x:c r="F874" s="10"/>
      <x:c r="G874" s="10"/>
    </x:row>
    <x:row r="875" ht="14.25" customHeight="1">
      <x:c r="A875" s="10"/>
      <x:c r="B875" s="10"/>
      <x:c r="C875" s="10"/>
      <x:c r="D875" s="10"/>
      <x:c r="E875" s="10"/>
      <x:c r="F875" s="10"/>
      <x:c r="G875" s="10"/>
    </x:row>
    <x:row r="876" ht="14.25" customHeight="1">
      <x:c r="A876" s="10"/>
      <x:c r="B876" s="10"/>
      <x:c r="C876" s="10"/>
      <x:c r="D876" s="10"/>
      <x:c r="E876" s="10"/>
      <x:c r="F876" s="10"/>
      <x:c r="G876" s="10"/>
    </x:row>
    <x:row r="877" ht="14.25" customHeight="1">
      <x:c r="A877" s="10"/>
      <x:c r="B877" s="10"/>
      <x:c r="C877" s="10"/>
      <x:c r="D877" s="10"/>
      <x:c r="E877" s="10"/>
      <x:c r="F877" s="10"/>
      <x:c r="G877" s="10"/>
    </x:row>
    <x:row r="878" ht="14.25" customHeight="1">
      <x:c r="A878" s="10"/>
      <x:c r="B878" s="10"/>
      <x:c r="C878" s="10"/>
      <x:c r="D878" s="10"/>
      <x:c r="E878" s="10"/>
      <x:c r="F878" s="10"/>
      <x:c r="G878" s="10"/>
    </x:row>
    <x:row r="879" ht="14.25" customHeight="1">
      <x:c r="A879" s="10"/>
      <x:c r="B879" s="10"/>
      <x:c r="C879" s="10"/>
      <x:c r="D879" s="10"/>
      <x:c r="E879" s="10"/>
      <x:c r="F879" s="10"/>
      <x:c r="G879" s="10"/>
    </x:row>
    <x:row r="880" ht="14.25" customHeight="1">
      <x:c r="A880" s="10"/>
      <x:c r="B880" s="10"/>
      <x:c r="C880" s="10"/>
      <x:c r="D880" s="10"/>
      <x:c r="E880" s="10"/>
      <x:c r="F880" s="10"/>
      <x:c r="G880" s="10"/>
    </x:row>
    <x:row r="881" ht="14.25" customHeight="1">
      <x:c r="A881" s="10"/>
      <x:c r="B881" s="10"/>
      <x:c r="C881" s="10"/>
      <x:c r="D881" s="10"/>
      <x:c r="E881" s="10"/>
      <x:c r="F881" s="10"/>
      <x:c r="G881" s="10"/>
    </x:row>
    <x:row r="882" ht="14.25" customHeight="1">
      <x:c r="A882" s="10"/>
      <x:c r="B882" s="10"/>
      <x:c r="C882" s="10"/>
      <x:c r="D882" s="10"/>
      <x:c r="E882" s="10"/>
      <x:c r="F882" s="10"/>
      <x:c r="G882" s="10"/>
    </x:row>
    <x:row r="883" ht="14.25" customHeight="1">
      <x:c r="A883" s="10"/>
      <x:c r="B883" s="10"/>
      <x:c r="C883" s="10"/>
      <x:c r="D883" s="10"/>
      <x:c r="E883" s="10"/>
      <x:c r="F883" s="10"/>
      <x:c r="G883" s="10"/>
    </x:row>
    <x:row r="884" ht="14.25" customHeight="1">
      <x:c r="A884" s="10"/>
      <x:c r="B884" s="10"/>
      <x:c r="C884" s="10"/>
      <x:c r="D884" s="10"/>
      <x:c r="E884" s="10"/>
      <x:c r="F884" s="10"/>
      <x:c r="G884" s="10"/>
    </x:row>
    <x:row r="885" ht="14.25" customHeight="1">
      <x:c r="A885" s="10"/>
      <x:c r="B885" s="10"/>
      <x:c r="C885" s="10"/>
      <x:c r="D885" s="10"/>
      <x:c r="E885" s="10"/>
      <x:c r="F885" s="10"/>
      <x:c r="G885" s="10"/>
    </x:row>
    <x:row r="886" ht="14.25" customHeight="1">
      <x:c r="A886" s="10"/>
      <x:c r="B886" s="10"/>
      <x:c r="C886" s="10"/>
      <x:c r="D886" s="10"/>
      <x:c r="E886" s="10"/>
      <x:c r="F886" s="10"/>
      <x:c r="G886" s="10"/>
    </x:row>
    <x:row r="887" ht="14.25" customHeight="1">
      <x:c r="A887" s="10"/>
      <x:c r="B887" s="10"/>
      <x:c r="C887" s="10"/>
      <x:c r="D887" s="10"/>
      <x:c r="E887" s="10"/>
      <x:c r="F887" s="10"/>
      <x:c r="G887" s="10"/>
    </x:row>
    <x:row r="888" ht="14.25" customHeight="1">
      <x:c r="A888" s="10"/>
      <x:c r="B888" s="10"/>
      <x:c r="C888" s="10"/>
      <x:c r="D888" s="10"/>
      <x:c r="E888" s="10"/>
      <x:c r="F888" s="10"/>
      <x:c r="G888" s="10"/>
    </x:row>
    <x:row r="889" ht="14.25" customHeight="1">
      <x:c r="A889" s="10"/>
      <x:c r="B889" s="10"/>
      <x:c r="C889" s="10"/>
      <x:c r="D889" s="10"/>
      <x:c r="E889" s="10"/>
      <x:c r="F889" s="10"/>
      <x:c r="G889" s="10"/>
    </x:row>
    <x:row r="890" ht="14.25" customHeight="1">
      <x:c r="A890" s="10"/>
      <x:c r="B890" s="10"/>
      <x:c r="C890" s="10"/>
      <x:c r="D890" s="10"/>
      <x:c r="E890" s="10"/>
      <x:c r="F890" s="10"/>
      <x:c r="G890" s="10"/>
    </x:row>
    <x:row r="891" ht="14.25" customHeight="1">
      <x:c r="A891" s="10"/>
      <x:c r="B891" s="10"/>
      <x:c r="C891" s="10"/>
      <x:c r="D891" s="10"/>
      <x:c r="E891" s="10"/>
      <x:c r="F891" s="10"/>
      <x:c r="G891" s="10"/>
    </x:row>
    <x:row r="892" ht="14.25" customHeight="1">
      <x:c r="A892" s="10"/>
      <x:c r="B892" s="10"/>
      <x:c r="C892" s="10"/>
      <x:c r="D892" s="10"/>
      <x:c r="E892" s="10"/>
      <x:c r="F892" s="10"/>
      <x:c r="G892" s="10"/>
    </x:row>
    <x:row r="893" ht="14.25" customHeight="1">
      <x:c r="A893" s="10"/>
      <x:c r="B893" s="10"/>
      <x:c r="C893" s="10"/>
      <x:c r="D893" s="10"/>
      <x:c r="E893" s="10"/>
      <x:c r="F893" s="10"/>
      <x:c r="G893" s="10"/>
    </x:row>
    <x:row r="894" ht="14.25" customHeight="1">
      <x:c r="A894" s="10"/>
      <x:c r="B894" s="10"/>
      <x:c r="C894" s="10"/>
      <x:c r="D894" s="10"/>
      <x:c r="E894" s="10"/>
      <x:c r="F894" s="10"/>
      <x:c r="G894" s="10"/>
    </x:row>
    <x:row r="895" ht="14.25" customHeight="1">
      <x:c r="A895" s="10"/>
      <x:c r="B895" s="10"/>
      <x:c r="C895" s="10"/>
      <x:c r="D895" s="10"/>
      <x:c r="E895" s="10"/>
      <x:c r="F895" s="10"/>
      <x:c r="G895" s="10"/>
    </x:row>
    <x:row r="896" ht="14.25" customHeight="1">
      <x:c r="A896" s="10"/>
      <x:c r="B896" s="10"/>
      <x:c r="C896" s="10"/>
      <x:c r="D896" s="10"/>
      <x:c r="E896" s="10"/>
      <x:c r="F896" s="10"/>
      <x:c r="G896" s="10"/>
    </x:row>
    <x:row r="897" ht="14.25" customHeight="1">
      <x:c r="A897" s="10"/>
      <x:c r="B897" s="10"/>
      <x:c r="C897" s="10"/>
      <x:c r="D897" s="10"/>
      <x:c r="E897" s="10"/>
      <x:c r="F897" s="10"/>
      <x:c r="G897" s="10"/>
    </x:row>
    <x:row r="898" ht="14.25" customHeight="1">
      <x:c r="A898" s="10"/>
      <x:c r="B898" s="10"/>
      <x:c r="C898" s="10"/>
      <x:c r="D898" s="10"/>
      <x:c r="E898" s="10"/>
      <x:c r="F898" s="10"/>
      <x:c r="G898" s="10"/>
    </x:row>
    <x:row r="899" ht="14.25" customHeight="1">
      <x:c r="A899" s="10"/>
      <x:c r="B899" s="10"/>
      <x:c r="C899" s="10"/>
      <x:c r="D899" s="10"/>
      <x:c r="E899" s="10"/>
      <x:c r="F899" s="10"/>
      <x:c r="G899" s="10"/>
    </x:row>
    <x:row r="900" ht="14.25" customHeight="1">
      <x:c r="A900" s="10"/>
      <x:c r="B900" s="10"/>
      <x:c r="C900" s="10"/>
      <x:c r="D900" s="10"/>
      <x:c r="E900" s="10"/>
      <x:c r="F900" s="10"/>
      <x:c r="G900" s="10"/>
    </x:row>
    <x:row r="901" ht="14.25" customHeight="1">
      <x:c r="A901" s="10"/>
      <x:c r="B901" s="10"/>
      <x:c r="C901" s="10"/>
      <x:c r="D901" s="10"/>
      <x:c r="E901" s="10"/>
      <x:c r="F901" s="10"/>
      <x:c r="G901" s="10"/>
    </x:row>
    <x:row r="902" ht="14.25" customHeight="1">
      <x:c r="A902" s="10"/>
      <x:c r="B902" s="10"/>
      <x:c r="C902" s="10"/>
      <x:c r="D902" s="10"/>
      <x:c r="E902" s="10"/>
      <x:c r="F902" s="10"/>
      <x:c r="G902" s="10"/>
    </x:row>
    <x:row r="903" ht="14.25" customHeight="1">
      <x:c r="A903" s="10"/>
      <x:c r="B903" s="10"/>
      <x:c r="C903" s="10"/>
      <x:c r="D903" s="10"/>
      <x:c r="E903" s="10"/>
      <x:c r="F903" s="10"/>
      <x:c r="G903" s="10"/>
    </x:row>
    <x:row r="904" ht="14.25" customHeight="1">
      <x:c r="A904" s="10"/>
      <x:c r="B904" s="10"/>
      <x:c r="C904" s="10"/>
      <x:c r="D904" s="10"/>
      <x:c r="E904" s="10"/>
      <x:c r="F904" s="10"/>
      <x:c r="G904" s="10"/>
    </x:row>
    <x:row r="905" ht="14.25" customHeight="1">
      <x:c r="A905" s="10"/>
      <x:c r="B905" s="10"/>
      <x:c r="C905" s="10"/>
      <x:c r="D905" s="10"/>
      <x:c r="E905" s="10"/>
      <x:c r="F905" s="10"/>
      <x:c r="G905" s="10"/>
    </x:row>
    <x:row r="906" ht="14.25" customHeight="1">
      <x:c r="A906" s="10"/>
      <x:c r="B906" s="10"/>
      <x:c r="C906" s="10"/>
      <x:c r="D906" s="10"/>
      <x:c r="E906" s="10"/>
      <x:c r="F906" s="10"/>
      <x:c r="G906" s="10"/>
    </x:row>
    <x:row r="907" ht="14.25" customHeight="1">
      <x:c r="A907" s="10"/>
      <x:c r="B907" s="10"/>
      <x:c r="C907" s="10"/>
      <x:c r="D907" s="10"/>
      <x:c r="E907" s="10"/>
      <x:c r="F907" s="10"/>
      <x:c r="G907" s="10"/>
    </x:row>
    <x:row r="908" ht="14.25" customHeight="1">
      <x:c r="A908" s="10"/>
      <x:c r="B908" s="10"/>
      <x:c r="C908" s="10"/>
      <x:c r="D908" s="10"/>
      <x:c r="E908" s="10"/>
      <x:c r="F908" s="10"/>
      <x:c r="G908" s="10"/>
    </x:row>
    <x:row r="909" ht="14.25" customHeight="1">
      <x:c r="A909" s="10"/>
      <x:c r="B909" s="10"/>
      <x:c r="C909" s="10"/>
      <x:c r="D909" s="10"/>
      <x:c r="E909" s="10"/>
      <x:c r="F909" s="10"/>
      <x:c r="G909" s="10"/>
    </x:row>
    <x:row r="910" ht="14.25" customHeight="1">
      <x:c r="A910" s="10"/>
      <x:c r="B910" s="10"/>
      <x:c r="C910" s="10"/>
      <x:c r="D910" s="10"/>
      <x:c r="E910" s="10"/>
      <x:c r="F910" s="10"/>
      <x:c r="G910" s="10"/>
    </x:row>
    <x:row r="911" ht="14.25" customHeight="1">
      <x:c r="A911" s="10"/>
      <x:c r="B911" s="10"/>
      <x:c r="C911" s="10"/>
      <x:c r="D911" s="10"/>
      <x:c r="E911" s="10"/>
      <x:c r="F911" s="10"/>
      <x:c r="G911" s="10"/>
    </x:row>
    <x:row r="912" ht="14.25" customHeight="1">
      <x:c r="A912" s="10"/>
      <x:c r="B912" s="10"/>
      <x:c r="C912" s="10"/>
      <x:c r="D912" s="10"/>
      <x:c r="E912" s="10"/>
      <x:c r="F912" s="10"/>
      <x:c r="G912" s="10"/>
    </x:row>
    <x:row r="913" ht="14.25" customHeight="1">
      <x:c r="A913" s="10"/>
      <x:c r="B913" s="10"/>
      <x:c r="C913" s="10"/>
      <x:c r="D913" s="10"/>
      <x:c r="E913" s="10"/>
      <x:c r="F913" s="10"/>
      <x:c r="G913" s="10"/>
    </x:row>
    <x:row r="914" ht="14.25" customHeight="1">
      <x:c r="A914" s="10"/>
      <x:c r="B914" s="10"/>
      <x:c r="C914" s="10"/>
      <x:c r="D914" s="10"/>
      <x:c r="E914" s="10"/>
      <x:c r="F914" s="10"/>
      <x:c r="G914" s="10"/>
    </x:row>
    <x:row r="915" ht="14.25" customHeight="1">
      <x:c r="A915" s="10"/>
      <x:c r="B915" s="10"/>
      <x:c r="C915" s="10"/>
      <x:c r="D915" s="10"/>
      <x:c r="E915" s="10"/>
      <x:c r="F915" s="10"/>
      <x:c r="G915" s="10"/>
    </x:row>
    <x:row r="916" ht="14.25" customHeight="1">
      <x:c r="A916" s="10"/>
      <x:c r="B916" s="10"/>
      <x:c r="C916" s="10"/>
      <x:c r="D916" s="10"/>
      <x:c r="E916" s="10"/>
      <x:c r="F916" s="10"/>
      <x:c r="G916" s="10"/>
    </x:row>
    <x:row r="917" ht="14.25" customHeight="1">
      <x:c r="A917" s="10"/>
      <x:c r="B917" s="10"/>
      <x:c r="C917" s="10"/>
      <x:c r="D917" s="10"/>
      <x:c r="E917" s="10"/>
      <x:c r="F917" s="10"/>
      <x:c r="G917" s="10"/>
    </x:row>
    <x:row r="918" ht="14.25" customHeight="1">
      <x:c r="A918" s="10"/>
      <x:c r="B918" s="10"/>
      <x:c r="C918" s="10"/>
      <x:c r="D918" s="10"/>
      <x:c r="E918" s="10"/>
      <x:c r="F918" s="10"/>
      <x:c r="G918" s="10"/>
    </x:row>
    <x:row r="919" ht="14.25" customHeight="1">
      <x:c r="A919" s="10"/>
      <x:c r="B919" s="10"/>
      <x:c r="C919" s="10"/>
      <x:c r="D919" s="10"/>
      <x:c r="E919" s="10"/>
      <x:c r="F919" s="10"/>
      <x:c r="G919" s="10"/>
    </x:row>
    <x:row r="920" ht="14.25" customHeight="1">
      <x:c r="A920" s="10"/>
      <x:c r="B920" s="10"/>
      <x:c r="C920" s="10"/>
      <x:c r="D920" s="10"/>
      <x:c r="E920" s="10"/>
      <x:c r="F920" s="10"/>
      <x:c r="G920" s="10"/>
    </x:row>
    <x:row r="921" ht="14.25" customHeight="1">
      <x:c r="A921" s="10"/>
      <x:c r="B921" s="10"/>
      <x:c r="C921" s="10"/>
      <x:c r="D921" s="10"/>
      <x:c r="E921" s="10"/>
      <x:c r="F921" s="10"/>
      <x:c r="G921" s="10"/>
    </x:row>
    <x:row r="922" ht="14.25" customHeight="1">
      <x:c r="A922" s="10"/>
      <x:c r="B922" s="10"/>
      <x:c r="C922" s="10"/>
      <x:c r="D922" s="10"/>
      <x:c r="E922" s="10"/>
      <x:c r="F922" s="10"/>
      <x:c r="G922" s="10"/>
    </x:row>
    <x:row r="923" ht="14.25" customHeight="1">
      <x:c r="A923" s="10"/>
      <x:c r="B923" s="10"/>
      <x:c r="C923" s="10"/>
      <x:c r="D923" s="10"/>
      <x:c r="E923" s="10"/>
      <x:c r="F923" s="10"/>
      <x:c r="G923" s="10"/>
    </x:row>
    <x:row r="924" ht="14.25" customHeight="1">
      <x:c r="A924" s="10"/>
      <x:c r="B924" s="10"/>
      <x:c r="C924" s="10"/>
      <x:c r="D924" s="10"/>
      <x:c r="E924" s="10"/>
      <x:c r="F924" s="10"/>
      <x:c r="G924" s="10"/>
    </x:row>
    <x:row r="925" ht="14.25" customHeight="1">
      <x:c r="A925" s="10"/>
      <x:c r="B925" s="10"/>
      <x:c r="C925" s="10"/>
      <x:c r="D925" s="10"/>
      <x:c r="E925" s="10"/>
      <x:c r="F925" s="10"/>
      <x:c r="G925" s="10"/>
    </x:row>
    <x:row r="926" ht="14.25" customHeight="1">
      <x:c r="A926" s="10"/>
      <x:c r="B926" s="10"/>
      <x:c r="C926" s="10"/>
      <x:c r="D926" s="10"/>
      <x:c r="E926" s="10"/>
      <x:c r="F926" s="10"/>
      <x:c r="G926" s="10"/>
    </x:row>
    <x:row r="927" ht="14.25" customHeight="1">
      <x:c r="A927" s="10"/>
      <x:c r="B927" s="10"/>
      <x:c r="C927" s="10"/>
      <x:c r="D927" s="10"/>
      <x:c r="E927" s="10"/>
      <x:c r="F927" s="10"/>
      <x:c r="G927" s="10"/>
    </x:row>
    <x:row r="928" ht="14.25" customHeight="1">
      <x:c r="A928" s="10"/>
      <x:c r="B928" s="10"/>
      <x:c r="C928" s="10"/>
      <x:c r="D928" s="10"/>
      <x:c r="E928" s="10"/>
      <x:c r="F928" s="10"/>
      <x:c r="G928" s="10"/>
    </x:row>
    <x:row r="929" ht="14.25" customHeight="1">
      <x:c r="A929" s="10"/>
      <x:c r="B929" s="10"/>
      <x:c r="C929" s="10"/>
      <x:c r="D929" s="10"/>
      <x:c r="E929" s="10"/>
      <x:c r="F929" s="10"/>
      <x:c r="G929" s="10"/>
    </x:row>
    <x:row r="930" ht="14.25" customHeight="1">
      <x:c r="A930" s="10"/>
      <x:c r="B930" s="10"/>
      <x:c r="C930" s="10"/>
      <x:c r="D930" s="10"/>
      <x:c r="E930" s="10"/>
      <x:c r="F930" s="10"/>
      <x:c r="G930" s="10"/>
    </x:row>
    <x:row r="931" ht="14.25" customHeight="1">
      <x:c r="A931" s="10"/>
      <x:c r="B931" s="10"/>
      <x:c r="C931" s="10"/>
      <x:c r="D931" s="10"/>
      <x:c r="E931" s="10"/>
      <x:c r="F931" s="10"/>
      <x:c r="G931" s="10"/>
    </x:row>
    <x:row r="932" ht="14.25" customHeight="1">
      <x:c r="A932" s="10"/>
      <x:c r="B932" s="10"/>
      <x:c r="C932" s="10"/>
      <x:c r="D932" s="10"/>
      <x:c r="E932" s="10"/>
      <x:c r="F932" s="10"/>
      <x:c r="G932" s="10"/>
    </x:row>
    <x:row r="933" ht="14.25" customHeight="1">
      <x:c r="A933" s="10"/>
      <x:c r="B933" s="10"/>
      <x:c r="C933" s="10"/>
      <x:c r="D933" s="10"/>
      <x:c r="E933" s="10"/>
      <x:c r="F933" s="10"/>
      <x:c r="G933" s="10"/>
    </x:row>
    <x:row r="934" ht="14.25" customHeight="1">
      <x:c r="A934" s="10"/>
      <x:c r="B934" s="10"/>
      <x:c r="C934" s="10"/>
      <x:c r="D934" s="10"/>
      <x:c r="E934" s="10"/>
      <x:c r="F934" s="10"/>
      <x:c r="G934" s="10"/>
    </x:row>
    <x:row r="935" ht="14.25" customHeight="1">
      <x:c r="A935" s="10"/>
      <x:c r="B935" s="10"/>
      <x:c r="C935" s="10"/>
      <x:c r="D935" s="10"/>
      <x:c r="E935" s="10"/>
      <x:c r="F935" s="10"/>
      <x:c r="G935" s="10"/>
    </x:row>
    <x:row r="936" ht="14.25" customHeight="1">
      <x:c r="A936" s="10"/>
      <x:c r="B936" s="10"/>
      <x:c r="C936" s="10"/>
      <x:c r="D936" s="10"/>
      <x:c r="E936" s="10"/>
      <x:c r="F936" s="10"/>
      <x:c r="G936" s="10"/>
    </x:row>
    <x:row r="937" ht="14.25" customHeight="1">
      <x:c r="A937" s="10"/>
      <x:c r="B937" s="10"/>
      <x:c r="C937" s="10"/>
      <x:c r="D937" s="10"/>
      <x:c r="E937" s="10"/>
      <x:c r="F937" s="10"/>
      <x:c r="G937" s="10"/>
    </x:row>
    <x:row r="938" ht="14.25" customHeight="1">
      <x:c r="A938" s="10"/>
      <x:c r="B938" s="10"/>
      <x:c r="C938" s="10"/>
      <x:c r="D938" s="10"/>
      <x:c r="E938" s="10"/>
      <x:c r="F938" s="10"/>
      <x:c r="G938" s="10"/>
    </x:row>
    <x:row r="939" ht="14.25" customHeight="1">
      <x:c r="A939" s="10"/>
      <x:c r="B939" s="10"/>
      <x:c r="C939" s="10"/>
      <x:c r="D939" s="10"/>
      <x:c r="E939" s="10"/>
      <x:c r="F939" s="10"/>
      <x:c r="G939" s="10"/>
    </x:row>
    <x:row r="940" ht="14.25" customHeight="1">
      <x:c r="A940" s="10"/>
      <x:c r="B940" s="10"/>
      <x:c r="C940" s="10"/>
      <x:c r="D940" s="10"/>
      <x:c r="E940" s="10"/>
      <x:c r="F940" s="10"/>
      <x:c r="G940" s="10"/>
    </x:row>
    <x:row r="941" ht="14.25" customHeight="1">
      <x:c r="A941" s="10"/>
      <x:c r="B941" s="10"/>
      <x:c r="C941" s="10"/>
      <x:c r="D941" s="10"/>
      <x:c r="E941" s="10"/>
      <x:c r="F941" s="10"/>
      <x:c r="G941" s="10"/>
    </x:row>
    <x:row r="942" ht="14.25" customHeight="1">
      <x:c r="A942" s="10"/>
      <x:c r="B942" s="10"/>
      <x:c r="C942" s="10"/>
      <x:c r="D942" s="10"/>
      <x:c r="E942" s="10"/>
      <x:c r="F942" s="10"/>
      <x:c r="G942" s="10"/>
    </x:row>
    <x:row r="943" ht="14.25" customHeight="1">
      <x:c r="A943" s="10"/>
      <x:c r="B943" s="10"/>
      <x:c r="C943" s="10"/>
      <x:c r="D943" s="10"/>
      <x:c r="E943" s="10"/>
      <x:c r="F943" s="10"/>
      <x:c r="G943" s="10"/>
    </x:row>
    <x:row r="944" ht="14.25" customHeight="1">
      <x:c r="A944" s="10"/>
      <x:c r="B944" s="10"/>
      <x:c r="C944" s="10"/>
      <x:c r="D944" s="10"/>
      <x:c r="E944" s="10"/>
      <x:c r="F944" s="10"/>
      <x:c r="G944" s="10"/>
    </x:row>
    <x:row r="945" ht="14.25" customHeight="1">
      <x:c r="A945" s="10"/>
      <x:c r="B945" s="10"/>
      <x:c r="C945" s="10"/>
      <x:c r="D945" s="10"/>
      <x:c r="E945" s="10"/>
      <x:c r="F945" s="10"/>
      <x:c r="G945" s="10"/>
    </x:row>
    <x:row r="946" ht="14.25" customHeight="1">
      <x:c r="A946" s="10"/>
      <x:c r="B946" s="10"/>
      <x:c r="C946" s="10"/>
      <x:c r="D946" s="10"/>
      <x:c r="E946" s="10"/>
      <x:c r="F946" s="10"/>
      <x:c r="G946" s="10"/>
    </x:row>
    <x:row r="947" ht="14.25" customHeight="1">
      <x:c r="A947" s="10"/>
      <x:c r="B947" s="10"/>
      <x:c r="C947" s="10"/>
      <x:c r="D947" s="10"/>
      <x:c r="E947" s="10"/>
      <x:c r="F947" s="10"/>
      <x:c r="G947" s="10"/>
    </x:row>
    <x:row r="948" ht="14.25" customHeight="1">
      <x:c r="A948" s="10"/>
      <x:c r="B948" s="10"/>
      <x:c r="C948" s="10"/>
      <x:c r="D948" s="10"/>
      <x:c r="E948" s="10"/>
      <x:c r="F948" s="10"/>
      <x:c r="G948" s="10"/>
    </x:row>
    <x:row r="949" ht="14.25" customHeight="1">
      <x:c r="A949" s="10"/>
      <x:c r="B949" s="10"/>
      <x:c r="C949" s="10"/>
      <x:c r="D949" s="10"/>
      <x:c r="E949" s="10"/>
      <x:c r="F949" s="10"/>
      <x:c r="G949" s="10"/>
    </x:row>
    <x:row r="950" ht="14.25" customHeight="1">
      <x:c r="A950" s="10"/>
      <x:c r="B950" s="10"/>
      <x:c r="C950" s="10"/>
      <x:c r="D950" s="10"/>
      <x:c r="E950" s="10"/>
      <x:c r="F950" s="10"/>
      <x:c r="G950" s="10"/>
    </x:row>
    <x:row r="951" ht="14.25" customHeight="1">
      <x:c r="A951" s="10"/>
      <x:c r="B951" s="10"/>
      <x:c r="C951" s="10"/>
      <x:c r="D951" s="10"/>
      <x:c r="E951" s="10"/>
      <x:c r="F951" s="10"/>
      <x:c r="G951" s="10"/>
    </x:row>
    <x:row r="952" ht="14.25" customHeight="1">
      <x:c r="A952" s="10"/>
      <x:c r="B952" s="10"/>
      <x:c r="C952" s="10"/>
      <x:c r="D952" s="10"/>
      <x:c r="E952" s="10"/>
      <x:c r="F952" s="10"/>
      <x:c r="G952" s="10"/>
    </x:row>
    <x:row r="953" ht="14.25" customHeight="1">
      <x:c r="A953" s="10"/>
      <x:c r="B953" s="10"/>
      <x:c r="C953" s="10"/>
      <x:c r="D953" s="10"/>
      <x:c r="E953" s="10"/>
      <x:c r="F953" s="10"/>
      <x:c r="G953" s="10"/>
    </x:row>
    <x:row r="954" ht="14.25" customHeight="1">
      <x:c r="A954" s="10"/>
      <x:c r="B954" s="10"/>
      <x:c r="C954" s="10"/>
      <x:c r="D954" s="10"/>
      <x:c r="E954" s="10"/>
      <x:c r="F954" s="10"/>
      <x:c r="G954" s="10"/>
    </x:row>
    <x:row r="955" ht="14.25" customHeight="1">
      <x:c r="A955" s="10"/>
      <x:c r="B955" s="10"/>
      <x:c r="C955" s="10"/>
      <x:c r="D955" s="10"/>
      <x:c r="E955" s="10"/>
      <x:c r="F955" s="10"/>
      <x:c r="G955" s="10"/>
    </x:row>
    <x:row r="956" ht="14.25" customHeight="1">
      <x:c r="A956" s="10"/>
      <x:c r="B956" s="10"/>
      <x:c r="C956" s="10"/>
      <x:c r="D956" s="10"/>
      <x:c r="E956" s="10"/>
      <x:c r="F956" s="10"/>
      <x:c r="G956" s="10"/>
    </x:row>
    <x:row r="957" ht="14.25" customHeight="1">
      <x:c r="A957" s="10"/>
      <x:c r="B957" s="10"/>
      <x:c r="C957" s="10"/>
      <x:c r="D957" s="10"/>
      <x:c r="E957" s="10"/>
      <x:c r="F957" s="10"/>
      <x:c r="G957" s="10"/>
    </x:row>
    <x:row r="958" ht="14.25" customHeight="1">
      <x:c r="A958" s="10"/>
      <x:c r="B958" s="10"/>
      <x:c r="C958" s="10"/>
      <x:c r="D958" s="10"/>
      <x:c r="E958" s="10"/>
      <x:c r="F958" s="10"/>
      <x:c r="G958" s="10"/>
    </x:row>
    <x:row r="959" ht="14.25" customHeight="1">
      <x:c r="A959" s="10"/>
      <x:c r="B959" s="10"/>
      <x:c r="C959" s="10"/>
      <x:c r="D959" s="10"/>
      <x:c r="E959" s="10"/>
      <x:c r="F959" s="10"/>
      <x:c r="G959" s="10"/>
    </x:row>
    <x:row r="960" ht="14.25" customHeight="1">
      <x:c r="A960" s="10"/>
      <x:c r="B960" s="10"/>
      <x:c r="C960" s="10"/>
      <x:c r="D960" s="10"/>
      <x:c r="E960" s="10"/>
      <x:c r="F960" s="10"/>
      <x:c r="G960" s="10"/>
    </x:row>
    <x:row r="961" ht="14.25" customHeight="1">
      <x:c r="A961" s="10"/>
      <x:c r="B961" s="10"/>
      <x:c r="C961" s="10"/>
      <x:c r="D961" s="10"/>
      <x:c r="E961" s="10"/>
      <x:c r="F961" s="10"/>
      <x:c r="G961" s="10"/>
    </x:row>
    <x:row r="962" ht="14.25" customHeight="1">
      <x:c r="A962" s="10"/>
      <x:c r="B962" s="10"/>
      <x:c r="C962" s="10"/>
      <x:c r="D962" s="10"/>
      <x:c r="E962" s="10"/>
      <x:c r="F962" s="10"/>
      <x:c r="G962" s="10"/>
    </x:row>
    <x:row r="963" ht="14.25" customHeight="1">
      <x:c r="A963" s="10"/>
      <x:c r="B963" s="10"/>
      <x:c r="C963" s="10"/>
      <x:c r="D963" s="10"/>
      <x:c r="E963" s="10"/>
      <x:c r="F963" s="10"/>
      <x:c r="G963" s="10"/>
    </x:row>
    <x:row r="964" ht="14.25" customHeight="1">
      <x:c r="A964" s="10"/>
      <x:c r="B964" s="10"/>
      <x:c r="C964" s="10"/>
      <x:c r="D964" s="10"/>
      <x:c r="E964" s="10"/>
      <x:c r="F964" s="10"/>
      <x:c r="G964" s="10"/>
    </x:row>
    <x:row r="965" ht="14.25" customHeight="1">
      <x:c r="A965" s="10"/>
      <x:c r="B965" s="10"/>
      <x:c r="C965" s="10"/>
      <x:c r="D965" s="10"/>
      <x:c r="E965" s="10"/>
      <x:c r="F965" s="10"/>
      <x:c r="G965" s="10"/>
    </x:row>
    <x:row r="966" ht="14.25" customHeight="1">
      <x:c r="A966" s="10"/>
      <x:c r="B966" s="10"/>
      <x:c r="C966" s="10"/>
      <x:c r="D966" s="10"/>
      <x:c r="E966" s="10"/>
      <x:c r="F966" s="10"/>
      <x:c r="G966" s="10"/>
    </x:row>
    <x:row r="967" ht="14.25" customHeight="1">
      <x:c r="A967" s="10"/>
      <x:c r="B967" s="10"/>
      <x:c r="C967" s="10"/>
      <x:c r="D967" s="10"/>
      <x:c r="E967" s="10"/>
      <x:c r="F967" s="10"/>
      <x:c r="G967" s="10"/>
    </x:row>
    <x:row r="968" ht="14.25" customHeight="1">
      <x:c r="A968" s="10"/>
      <x:c r="B968" s="10"/>
      <x:c r="C968" s="10"/>
      <x:c r="D968" s="10"/>
      <x:c r="E968" s="10"/>
      <x:c r="F968" s="10"/>
      <x:c r="G968" s="10"/>
    </x:row>
    <x:row r="969" ht="14.25" customHeight="1">
      <x:c r="A969" s="10"/>
      <x:c r="B969" s="10"/>
      <x:c r="C969" s="10"/>
      <x:c r="D969" s="10"/>
      <x:c r="E969" s="10"/>
      <x:c r="F969" s="10"/>
      <x:c r="G969" s="10"/>
    </x:row>
    <x:row r="970" ht="14.25" customHeight="1">
      <x:c r="A970" s="10"/>
      <x:c r="B970" s="10"/>
      <x:c r="C970" s="10"/>
      <x:c r="D970" s="10"/>
      <x:c r="E970" s="10"/>
      <x:c r="F970" s="10"/>
      <x:c r="G970" s="10"/>
    </x:row>
    <x:row r="971" ht="14.25" customHeight="1">
      <x:c r="A971" s="10"/>
      <x:c r="B971" s="10"/>
      <x:c r="C971" s="10"/>
      <x:c r="D971" s="10"/>
      <x:c r="E971" s="10"/>
      <x:c r="F971" s="10"/>
      <x:c r="G971" s="10"/>
    </x:row>
    <x:row r="972" ht="14.25" customHeight="1">
      <x:c r="A972" s="10"/>
      <x:c r="B972" s="10"/>
      <x:c r="C972" s="10"/>
      <x:c r="D972" s="10"/>
      <x:c r="E972" s="10"/>
      <x:c r="F972" s="10"/>
      <x:c r="G972" s="10"/>
    </x:row>
    <x:row r="973" ht="14.25" customHeight="1">
      <x:c r="A973" s="10"/>
      <x:c r="B973" s="10"/>
      <x:c r="C973" s="10"/>
      <x:c r="D973" s="10"/>
      <x:c r="E973" s="10"/>
      <x:c r="F973" s="10"/>
      <x:c r="G973" s="10"/>
    </x:row>
    <x:row r="974" ht="14.25" customHeight="1">
      <x:c r="A974" s="10"/>
      <x:c r="B974" s="10"/>
      <x:c r="C974" s="10"/>
      <x:c r="D974" s="10"/>
      <x:c r="E974" s="10"/>
      <x:c r="F974" s="10"/>
      <x:c r="G974" s="10"/>
    </x:row>
    <x:row r="975" ht="14.25" customHeight="1">
      <x:c r="A975" s="10"/>
      <x:c r="B975" s="10"/>
      <x:c r="C975" s="10"/>
      <x:c r="D975" s="10"/>
      <x:c r="E975" s="10"/>
      <x:c r="F975" s="10"/>
      <x:c r="G975" s="10"/>
    </x:row>
    <x:row r="976" ht="14.25" customHeight="1">
      <x:c r="A976" s="10"/>
      <x:c r="B976" s="10"/>
      <x:c r="C976" s="10"/>
      <x:c r="D976" s="10"/>
      <x:c r="E976" s="10"/>
      <x:c r="F976" s="10"/>
      <x:c r="G976" s="10"/>
    </x:row>
    <x:row r="977" ht="14.25" customHeight="1">
      <x:c r="A977" s="10"/>
      <x:c r="B977" s="10"/>
      <x:c r="C977" s="10"/>
      <x:c r="D977" s="10"/>
      <x:c r="E977" s="10"/>
      <x:c r="F977" s="10"/>
      <x:c r="G977" s="10"/>
    </x:row>
    <x:row r="978" ht="14.25" customHeight="1">
      <x:c r="A978" s="10"/>
      <x:c r="B978" s="10"/>
      <x:c r="C978" s="10"/>
      <x:c r="D978" s="10"/>
      <x:c r="E978" s="10"/>
      <x:c r="F978" s="10"/>
      <x:c r="G978" s="10"/>
    </x:row>
    <x:row r="979" ht="14.25" customHeight="1">
      <x:c r="A979" s="10"/>
      <x:c r="B979" s="10"/>
      <x:c r="C979" s="10"/>
      <x:c r="D979" s="10"/>
      <x:c r="E979" s="10"/>
      <x:c r="F979" s="10"/>
      <x:c r="G979" s="10"/>
    </x:row>
    <x:row r="980" ht="14.25" customHeight="1">
      <x:c r="A980" s="10"/>
      <x:c r="B980" s="10"/>
      <x:c r="C980" s="10"/>
      <x:c r="D980" s="10"/>
      <x:c r="E980" s="10"/>
      <x:c r="F980" s="10"/>
      <x:c r="G980" s="10"/>
    </x:row>
    <x:row r="981" ht="14.25" customHeight="1">
      <x:c r="A981" s="10"/>
      <x:c r="B981" s="10"/>
      <x:c r="C981" s="10"/>
      <x:c r="D981" s="10"/>
      <x:c r="E981" s="10"/>
      <x:c r="F981" s="10"/>
      <x:c r="G981" s="10"/>
    </x:row>
    <x:row r="982" ht="14.25" customHeight="1">
      <x:c r="A982" s="10"/>
      <x:c r="B982" s="10"/>
      <x:c r="C982" s="10"/>
      <x:c r="D982" s="10"/>
      <x:c r="E982" s="10"/>
      <x:c r="F982" s="10"/>
      <x:c r="G982" s="10"/>
    </x:row>
    <x:row r="983" ht="14.25" customHeight="1">
      <x:c r="A983" s="10"/>
      <x:c r="B983" s="10"/>
      <x:c r="C983" s="10"/>
      <x:c r="D983" s="10"/>
      <x:c r="E983" s="10"/>
      <x:c r="F983" s="10"/>
      <x:c r="G983" s="10"/>
    </x:row>
    <x:row r="984" ht="14.25" customHeight="1">
      <x:c r="A984" s="10"/>
      <x:c r="B984" s="10"/>
      <x:c r="C984" s="10"/>
      <x:c r="D984" s="10"/>
      <x:c r="E984" s="10"/>
      <x:c r="F984" s="10"/>
      <x:c r="G984" s="10"/>
    </x:row>
    <x:row r="985" ht="14.25" customHeight="1">
      <x:c r="A985" s="10"/>
      <x:c r="B985" s="10"/>
      <x:c r="C985" s="10"/>
      <x:c r="D985" s="10"/>
      <x:c r="E985" s="10"/>
      <x:c r="F985" s="10"/>
      <x:c r="G985" s="10"/>
    </x:row>
    <x:row r="986" ht="14.25" customHeight="1">
      <x:c r="A986" s="10"/>
      <x:c r="B986" s="10"/>
      <x:c r="C986" s="10"/>
      <x:c r="D986" s="10"/>
      <x:c r="E986" s="10"/>
      <x:c r="F986" s="10"/>
      <x:c r="G986" s="10"/>
    </x:row>
    <x:row r="987" ht="14.25" customHeight="1">
      <x:c r="A987" s="10"/>
      <x:c r="B987" s="10"/>
      <x:c r="C987" s="10"/>
      <x:c r="D987" s="10"/>
      <x:c r="E987" s="10"/>
      <x:c r="F987" s="10"/>
      <x:c r="G987" s="10"/>
    </x:row>
    <x:row r="988" ht="14.25" customHeight="1">
      <x:c r="A988" s="10"/>
      <x:c r="B988" s="10"/>
      <x:c r="C988" s="10"/>
      <x:c r="D988" s="10"/>
      <x:c r="E988" s="10"/>
      <x:c r="F988" s="10"/>
      <x:c r="G988" s="10"/>
    </x:row>
    <x:row r="989" ht="14.25" customHeight="1">
      <x:c r="A989" s="10"/>
      <x:c r="B989" s="10"/>
      <x:c r="C989" s="10"/>
      <x:c r="D989" s="10"/>
      <x:c r="E989" s="10"/>
      <x:c r="F989" s="10"/>
      <x:c r="G989" s="10"/>
    </x:row>
    <x:row r="990" ht="14.25" customHeight="1">
      <x:c r="A990" s="10"/>
      <x:c r="B990" s="10"/>
      <x:c r="C990" s="10"/>
      <x:c r="D990" s="10"/>
      <x:c r="E990" s="10"/>
      <x:c r="F990" s="10"/>
      <x:c r="G990" s="10"/>
    </x:row>
    <x:row r="991" ht="14.25" customHeight="1">
      <x:c r="A991" s="10"/>
      <x:c r="B991" s="10"/>
      <x:c r="C991" s="10"/>
      <x:c r="D991" s="10"/>
      <x:c r="E991" s="10"/>
      <x:c r="F991" s="10"/>
      <x:c r="G991" s="10"/>
    </x:row>
    <x:row r="992" ht="14.25" customHeight="1">
      <x:c r="A992" s="10"/>
      <x:c r="B992" s="10"/>
      <x:c r="C992" s="10"/>
      <x:c r="D992" s="10"/>
      <x:c r="E992" s="10"/>
      <x:c r="F992" s="10"/>
      <x:c r="G992" s="10"/>
    </x:row>
    <x:row r="993" ht="14.25" customHeight="1">
      <x:c r="A993" s="10"/>
      <x:c r="B993" s="10"/>
      <x:c r="C993" s="10"/>
      <x:c r="D993" s="10"/>
      <x:c r="E993" s="10"/>
      <x:c r="F993" s="10"/>
      <x:c r="G993" s="10"/>
    </x:row>
    <x:row r="994" ht="14.25" customHeight="1">
      <x:c r="A994" s="10"/>
      <x:c r="B994" s="10"/>
      <x:c r="C994" s="10"/>
      <x:c r="D994" s="10"/>
      <x:c r="E994" s="10"/>
      <x:c r="F994" s="10"/>
      <x:c r="G994" s="10"/>
    </x:row>
    <x:row r="995" ht="14.25" customHeight="1">
      <x:c r="A995" s="10"/>
      <x:c r="B995" s="10"/>
      <x:c r="C995" s="10"/>
      <x:c r="D995" s="10"/>
      <x:c r="E995" s="10"/>
      <x:c r="F995" s="10"/>
      <x:c r="G995" s="10"/>
    </x:row>
    <x:row r="996" ht="14.25" customHeight="1">
      <x:c r="A996" s="10"/>
      <x:c r="B996" s="10"/>
      <x:c r="C996" s="10"/>
      <x:c r="D996" s="10"/>
      <x:c r="E996" s="10"/>
      <x:c r="F996" s="10"/>
      <x:c r="G996" s="10"/>
    </x:row>
    <x:row r="997" ht="14.25" customHeight="1">
      <x:c r="A997" s="10"/>
      <x:c r="B997" s="10"/>
      <x:c r="C997" s="10"/>
      <x:c r="D997" s="10"/>
      <x:c r="E997" s="10"/>
      <x:c r="F997" s="10"/>
      <x:c r="G997" s="10"/>
    </x:row>
    <x:row r="998" ht="14.25" customHeight="1">
      <x:c r="A998" s="10"/>
      <x:c r="B998" s="10"/>
      <x:c r="C998" s="10"/>
      <x:c r="D998" s="10"/>
      <x:c r="E998" s="10"/>
      <x:c r="F998" s="10"/>
      <x:c r="G998" s="10"/>
    </x:row>
    <x:row r="999" ht="14.25" customHeight="1">
      <x:c r="A999" s="10"/>
      <x:c r="B999" s="10"/>
      <x:c r="C999" s="10"/>
      <x:c r="D999" s="10"/>
      <x:c r="E999" s="10"/>
      <x:c r="F999" s="10"/>
      <x:c r="G999" s="10"/>
    </x:row>
    <x:row r="1000" ht="14.25" customHeight="1">
      <x:c r="A1000" s="10"/>
      <x:c r="B1000" s="10"/>
      <x:c r="C1000" s="10"/>
      <x:c r="D1000" s="10"/>
      <x:c r="E1000" s="10"/>
      <x:c r="F1000" s="10"/>
      <x:c r="G1000" s="10"/>
    </x:row>
  </x:sheetData>
  <x:pageMargins left="0.7" right="0.7" top="0.75" bottom="0.75" header="0.3" footer="0.3"/>
</x:worksheet>
</file>

<file path=xl/worksheets/sheet3.xml><?xml version="1.0" encoding="utf-8"?>
<x:worksheet xmlns:x="http://schemas.openxmlformats.org/spreadsheetml/2006/main">
  <x:sheetFormatPr defaultColWidth="14.453125" defaultRowHeight="15"/>
  <x:cols>
    <x:col min="1" max="1" width="18" customWidth="1"/>
    <x:col min="2" max="7" width="11" customWidth="1"/>
    <x:col min="8" max="26" width="8.54296875" customWidth="1"/>
  </x:cols>
  <x:sheetData>
    <x:row r="1" ht="14.25" customHeight="1">
      <x:c r="A1" s="11" t="s">
        <x:v>911</x:v>
      </x:c>
    </x:row>
    <x:row r="2" ht="27.75" customHeight="1">
      <x:c r="A2" s="30" t="s">
        <x:v>912</x:v>
      </x:c>
      <x:c r="B2" s="31"/>
      <x:c r="C2" s="31"/>
      <x:c r="D2" s="31"/>
      <x:c r="E2" s="31"/>
      <x:c r="F2" s="31"/>
    </x:row>
    <x:row r="3" ht="14.25" customHeight="1"/>
    <x:row r="4" ht="14.25" customHeight="1">
      <x:c r="A4" s="13" t="s">
        <x:v>913</x:v>
      </x:c>
    </x:row>
    <x:row r="5" ht="14.25" customHeight="1">
      <x:c r="A5" s="14" t="s">
        <x:v>5</x:v>
      </x:c>
      <x:c r="B5" s="14" t="s">
        <x:v>904</x:v>
      </x:c>
      <x:c r="C5" s="14" t="s">
        <x:v>905</x:v>
      </x:c>
      <x:c r="D5" s="14" t="s">
        <x:v>906</x:v>
      </x:c>
      <x:c r="E5" s="14" t="s">
        <x:v>907</x:v>
      </x:c>
      <x:c r="F5" s="14" t="s">
        <x:v>908</x:v>
      </x:c>
    </x:row>
    <x:row r="6" ht="14.25" customHeight="1">
      <x:c r="A6" s="20" t="s">
        <x:v>14</x:v>
      </x:c>
      <x:c r="B6" s="16" t="n">
        <x:f>COUNTIFS('Data (parsed)'!$E$2:$E$235,$A6,'Data (parsed)'!$B$2:$B$235,B$5)</x:f>
        <x:v>48</x:v>
      </x:c>
      <x:c r="C6" s="16" t="n">
        <x:f>COUNTIFS('Data (parsed)'!$E$2:$E$235,$A6,'Data (parsed)'!$B$2:$B$235,C$5)</x:f>
        <x:v>24</x:v>
      </x:c>
      <x:c r="D6" s="16" t="n">
        <x:f>COUNTIFS('Data (parsed)'!$E$2:$E$235,$A6,'Data (parsed)'!$B$2:$B$235,D$5)</x:f>
        <x:v>31</x:v>
      </x:c>
      <x:c r="E6" s="16" t="n">
        <x:f>COUNTIFS('Data (parsed)'!$E$2:$E$235,$A6,'Data (parsed)'!$B$2:$B$235,E$5)</x:f>
        <x:v>9</x:v>
      </x:c>
      <x:c r="F6" s="18" t="n">
        <x:f t="shared" ref="F6:F10" si="0">SUM(B6:E6)</x:f>
        <x:v>112</x:v>
      </x:c>
    </x:row>
    <x:row r="7" ht="14.25" customHeight="1">
      <x:c r="A7" s="20" t="s">
        <x:v>95</x:v>
      </x:c>
      <x:c r="B7" s="16" t="n">
        <x:f>COUNTIFS('Data (parsed)'!$E$2:$E$235,$A7,'Data (parsed)'!$B$2:$B$235,B$5)</x:f>
        <x:v>7</x:v>
      </x:c>
      <x:c r="C7" s="16" t="n">
        <x:f>COUNTIFS('Data (parsed)'!$E$2:$E$235,$A7,'Data (parsed)'!$B$2:$B$235,C$5)</x:f>
        <x:v>0</x:v>
      </x:c>
      <x:c r="D7" s="16" t="n">
        <x:f>COUNTIFS('Data (parsed)'!$E$2:$E$235,$A7,'Data (parsed)'!$B$2:$B$235,D$5)</x:f>
        <x:v>0</x:v>
      </x:c>
      <x:c r="E7" s="16" t="n">
        <x:f>COUNTIFS('Data (parsed)'!$E$2:$E$235,$A7,'Data (parsed)'!$B$2:$B$235,E$5)</x:f>
        <x:v>28</x:v>
      </x:c>
      <x:c r="F7" s="18">
        <x:f t="shared" si="0"/>
        <x:v>35</x:v>
      </x:c>
    </x:row>
    <x:row r="8" ht="14.25" customHeight="1">
      <x:c r="A8" s="20" t="s">
        <x:v>84</x:v>
      </x:c>
      <x:c r="B8" s="16" t="n">
        <x:f>COUNTIFS('Data (parsed)'!$E$2:$E$235,$A8,'Data (parsed)'!$B$2:$B$235,B$5)</x:f>
        <x:v>20</x:v>
      </x:c>
      <x:c r="C8" s="16" t="n">
        <x:f>COUNTIFS('Data (parsed)'!$E$2:$E$235,$A8,'Data (parsed)'!$B$2:$B$235,C$5)</x:f>
        <x:v>0</x:v>
      </x:c>
      <x:c r="D8" s="16" t="n">
        <x:f>COUNTIFS('Data (parsed)'!$E$2:$E$235,$A8,'Data (parsed)'!$B$2:$B$235,D$5)</x:f>
        <x:v>2</x:v>
      </x:c>
      <x:c r="E8" s="16" t="n">
        <x:f>COUNTIFS('Data (parsed)'!$E$2:$E$235,$A8,'Data (parsed)'!$B$2:$B$235,E$5)</x:f>
        <x:v>8</x:v>
      </x:c>
      <x:c r="F8" s="18">
        <x:f t="shared" si="0"/>
        <x:v>30</x:v>
      </x:c>
    </x:row>
    <x:row r="9" ht="14.25" customHeight="1">
      <x:c r="A9" s="20" t="s">
        <x:v>89</x:v>
      </x:c>
      <x:c r="B9" s="16" t="n">
        <x:f>COUNTIFS('Data (parsed)'!$E$2:$E$235,$A9,'Data (parsed)'!$B$2:$B$235,B$5)</x:f>
        <x:v>8</x:v>
      </x:c>
      <x:c r="C9" s="16" t="n">
        <x:f>COUNTIFS('Data (parsed)'!$E$2:$E$235,$A9,'Data (parsed)'!$B$2:$B$235,C$5)</x:f>
        <x:v>3</x:v>
      </x:c>
      <x:c r="D9" s="16" t="n">
        <x:f>COUNTIFS('Data (parsed)'!$E$2:$E$235,$A9,'Data (parsed)'!$B$2:$B$235,D$5)</x:f>
        <x:v>1</x:v>
      </x:c>
      <x:c r="E9" s="16" t="n">
        <x:f>COUNTIFS('Data (parsed)'!$E$2:$E$235,$A9,'Data (parsed)'!$B$2:$B$235,E$5)</x:f>
        <x:v>1</x:v>
      </x:c>
      <x:c r="F9" s="18">
        <x:f t="shared" si="0"/>
        <x:v>13</x:v>
      </x:c>
    </x:row>
    <x:row r="10" ht="14.25" customHeight="1">
      <x:c r="A10" s="21" t="s">
        <x:v>914</x:v>
      </x:c>
      <x:c r="B10" s="18" t="n">
        <x:f>SUMIFS('Data (parsed)'!$I$2:$I$235,'Data (parsed)'!$J$2:$J$235,1,'Data (parsed)'!$B$2:$B$235,B$5)</x:f>
        <x:v>82</x:v>
      </x:c>
      <x:c r="C10" s="18" t="n">
        <x:f>SUMIFS('Data (parsed)'!$I$2:$I$235,'Data (parsed)'!$J$2:$J$235,1,'Data (parsed)'!$B$2:$B$235,C$5)</x:f>
        <x:v>26</x:v>
      </x:c>
      <x:c r="D10" s="18" t="n">
        <x:f>SUMIFS('Data (parsed)'!$I$2:$I$235,'Data (parsed)'!$J$2:$J$235,1,'Data (parsed)'!$B$2:$B$235,D$5)</x:f>
        <x:v>34</x:v>
      </x:c>
      <x:c r="E10" s="18" t="n">
        <x:f>SUMIFS('Data (parsed)'!$I$2:$I$235,'Data (parsed)'!$J$2:$J$235,1,'Data (parsed)'!$B$2:$B$235,E$5)</x:f>
        <x:v>45</x:v>
      </x:c>
      <x:c r="F10" s="18">
        <x:f t="shared" si="0"/>
        <x:v>187</x:v>
      </x:c>
    </x:row>
    <x:row r="11" ht="14.25" customHeight="1"/>
    <x:row r="12" ht="14.25" customHeight="1">
      <x:c r="A12" s="13" t="s">
        <x:v>915</x:v>
      </x:c>
    </x:row>
    <x:row r="13" ht="14.25" customHeight="1">
      <x:c r="A13" s="14" t="s">
        <x:v>5</x:v>
      </x:c>
      <x:c r="B13" s="14" t="s">
        <x:v>11</x:v>
      </x:c>
      <x:c r="C13" s="14" t="s">
        <x:v>92</x:v>
      </x:c>
      <x:c r="D13" s="14" t="s">
        <x:v>22</x:v>
      </x:c>
      <x:c r="E13" s="14" t="s">
        <x:v>37</x:v>
      </x:c>
      <x:c r="F13" s="14" t="s">
        <x:v>62</x:v>
      </x:c>
      <x:c r="G13" s="14" t="s">
        <x:v>908</x:v>
      </x:c>
    </x:row>
    <x:row r="14" ht="14.25" customHeight="1">
      <x:c r="A14" s="20" t="s">
        <x:v>14</x:v>
      </x:c>
      <x:c r="B14" s="16" t="n">
        <x:f>COUNTIFS('Data (parsed)'!$E$2:$E$235,$A14,'Data (parsed)'!$D$2:$D$235,B$13)</x:f>
        <x:v>8</x:v>
      </x:c>
      <x:c r="C14" s="16" t="n">
        <x:f>COUNTIFS('Data (parsed)'!$E$2:$E$235,$A14,'Data (parsed)'!$D$2:$D$235,C$13)</x:f>
        <x:v>16</x:v>
      </x:c>
      <x:c r="D14" s="16" t="n">
        <x:f>COUNTIFS('Data (parsed)'!$E$2:$E$235,$A14,'Data (parsed)'!$D$2:$D$235,D$13)</x:f>
        <x:v>14</x:v>
      </x:c>
      <x:c r="E14" s="16" t="n">
        <x:f>COUNTIFS('Data (parsed)'!$E$2:$E$235,$A14,'Data (parsed)'!$D$2:$D$235,E$13)</x:f>
        <x:v>42</x:v>
      </x:c>
      <x:c r="F14" s="16" t="n">
        <x:f>COUNTIFS('Data (parsed)'!$E$2:$E$235,$A14,'Data (parsed)'!$D$2:$D$235,F$13)</x:f>
        <x:v>32</x:v>
      </x:c>
      <x:c r="G14" s="18" t="n">
        <x:f t="shared" ref="G14:G17" si="1">SUM(B14:F14)</x:f>
        <x:v>112</x:v>
      </x:c>
    </x:row>
    <x:row r="15" ht="14.25" customHeight="1">
      <x:c r="A15" s="20" t="s">
        <x:v>95</x:v>
      </x:c>
      <x:c r="B15" s="16" t="n">
        <x:f>COUNTIFS('Data (parsed)'!$E$2:$E$235,$A15,'Data (parsed)'!$D$2:$D$235,B$13)</x:f>
        <x:v>0</x:v>
      </x:c>
      <x:c r="C15" s="16" t="n">
        <x:f>COUNTIFS('Data (parsed)'!$E$2:$E$235,$A15,'Data (parsed)'!$D$2:$D$235,C$13)</x:f>
        <x:v>3</x:v>
      </x:c>
      <x:c r="D15" s="16" t="n">
        <x:f>COUNTIFS('Data (parsed)'!$E$2:$E$235,$A15,'Data (parsed)'!$D$2:$D$235,D$13)</x:f>
        <x:v>1</x:v>
      </x:c>
      <x:c r="E15" s="16" t="n">
        <x:f>COUNTIFS('Data (parsed)'!$E$2:$E$235,$A15,'Data (parsed)'!$D$2:$D$235,E$13)</x:f>
        <x:v>17</x:v>
      </x:c>
      <x:c r="F15" s="16" t="n">
        <x:f>COUNTIFS('Data (parsed)'!$E$2:$E$235,$A15,'Data (parsed)'!$D$2:$D$235,F$13)</x:f>
        <x:v>14</x:v>
      </x:c>
      <x:c r="G15" s="18">
        <x:f t="shared" si="1"/>
        <x:v>35</x:v>
      </x:c>
    </x:row>
    <x:row r="16" ht="14.25" customHeight="1">
      <x:c r="A16" s="20" t="s">
        <x:v>84</x:v>
      </x:c>
      <x:c r="B16" s="16" t="n">
        <x:f>COUNTIFS('Data (parsed)'!$E$2:$E$235,$A16,'Data (parsed)'!$D$2:$D$235,B$13)</x:f>
        <x:v>0</x:v>
      </x:c>
      <x:c r="C16" s="16" t="n">
        <x:f>COUNTIFS('Data (parsed)'!$E$2:$E$235,$A16,'Data (parsed)'!$D$2:$D$235,C$13)</x:f>
        <x:v>2</x:v>
      </x:c>
      <x:c r="D16" s="16" t="n">
        <x:f>COUNTIFS('Data (parsed)'!$E$2:$E$235,$A16,'Data (parsed)'!$D$2:$D$235,D$13)</x:f>
        <x:v>3</x:v>
      </x:c>
      <x:c r="E16" s="16" t="n">
        <x:f>COUNTIFS('Data (parsed)'!$E$2:$E$235,$A16,'Data (parsed)'!$D$2:$D$235,E$13)</x:f>
        <x:v>14</x:v>
      </x:c>
      <x:c r="F16" s="16" t="n">
        <x:f>COUNTIFS('Data (parsed)'!$E$2:$E$235,$A16,'Data (parsed)'!$D$2:$D$235,F$13)</x:f>
        <x:v>11</x:v>
      </x:c>
      <x:c r="G16" s="18">
        <x:f t="shared" si="1"/>
        <x:v>30</x:v>
      </x:c>
    </x:row>
    <x:row r="17" ht="14.25" customHeight="1">
      <x:c r="A17" s="20" t="s">
        <x:v>89</x:v>
      </x:c>
      <x:c r="B17" s="16" t="n">
        <x:f>COUNTIFS('Data (parsed)'!$E$2:$E$235,$A17,'Data (parsed)'!$D$2:$D$235,B$13)</x:f>
        <x:v>0</x:v>
      </x:c>
      <x:c r="C17" s="16" t="n">
        <x:f>COUNTIFS('Data (parsed)'!$E$2:$E$235,$A17,'Data (parsed)'!$D$2:$D$235,C$13)</x:f>
        <x:v>4</x:v>
      </x:c>
      <x:c r="D17" s="16" t="n">
        <x:f>COUNTIFS('Data (parsed)'!$E$2:$E$235,$A17,'Data (parsed)'!$D$2:$D$235,D$13)</x:f>
        <x:v>3</x:v>
      </x:c>
      <x:c r="E17" s="16" t="n">
        <x:f>COUNTIFS('Data (parsed)'!$E$2:$E$235,$A17,'Data (parsed)'!$D$2:$D$235,E$13)</x:f>
        <x:v>1</x:v>
      </x:c>
      <x:c r="F17" s="16" t="n">
        <x:f>COUNTIFS('Data (parsed)'!$E$2:$E$235,$A17,'Data (parsed)'!$D$2:$D$235,F$13)</x:f>
        <x:v>5</x:v>
      </x:c>
      <x:c r="G17" s="18">
        <x:f t="shared" si="1"/>
        <x:v>13</x:v>
      </x:c>
    </x:row>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mergeCells>
    <x:mergeCell ref="A2:F2"/>
  </x:mergeCells>
  <x:pageMargins left="0.7" right="0.7" top="0.75" bottom="0.75" header="0.3" footer="0.3"/>
</x:worksheet>
</file>

<file path=xl/worksheets/sheet4.xml><?xml version="1.0" encoding="utf-8"?>
<x:worksheet xmlns:x="http://schemas.openxmlformats.org/spreadsheetml/2006/main">
  <x:sheetFormatPr defaultColWidth="14.453125" defaultRowHeight="15"/>
  <x:cols>
    <x:col min="1" max="1" width="34" customWidth="1"/>
    <x:col min="2" max="7" width="10" customWidth="1"/>
    <x:col min="8" max="26" width="8.54296875" customWidth="1"/>
  </x:cols>
  <x:sheetData>
    <x:row r="1" ht="15.75" customHeight="1">
      <x:c r="A1" s="11" t="s">
        <x:v>916</x:v>
      </x:c>
      <x:c r="B1" s="10"/>
      <x:c r="C1" s="10"/>
      <x:c r="D1" s="10"/>
      <x:c r="E1" s="10"/>
      <x:c r="F1" s="10"/>
      <x:c r="G1" s="10"/>
      <x:c r="H1" s="10"/>
    </x:row>
    <x:row r="2" ht="14.25" customHeight="1">
      <x:c r="A2" s="10"/>
      <x:c r="B2" s="10"/>
      <x:c r="C2" s="10"/>
      <x:c r="D2" s="10"/>
      <x:c r="E2" s="10"/>
      <x:c r="F2" s="10"/>
      <x:c r="G2" s="10"/>
      <x:c r="H2" s="10"/>
    </x:row>
    <x:row r="3" ht="15" customHeight="1">
      <x:c r="A3" s="13" t="s">
        <x:v>917</x:v>
      </x:c>
      <x:c r="B3" s="10"/>
      <x:c r="C3" s="10"/>
      <x:c r="D3" s="10"/>
      <x:c r="E3" s="10"/>
      <x:c r="F3" s="10"/>
      <x:c r="G3" s="10"/>
      <x:c r="H3" s="10"/>
    </x:row>
    <x:row r="4" ht="15" customHeight="1">
      <x:c r="A4" s="14" t="s">
        <x:v>918</x:v>
      </x:c>
      <x:c r="B4" s="14" t="s">
        <x:v>11</x:v>
      </x:c>
      <x:c r="C4" s="14" t="s">
        <x:v>92</x:v>
      </x:c>
      <x:c r="D4" s="14" t="s">
        <x:v>22</x:v>
      </x:c>
      <x:c r="E4" s="14" t="s">
        <x:v>37</x:v>
      </x:c>
      <x:c r="F4" s="14" t="s">
        <x:v>62</x:v>
      </x:c>
      <x:c r="G4" s="14" t="s">
        <x:v>908</x:v>
      </x:c>
      <x:c r="H4" s="10"/>
    </x:row>
    <x:row r="5" ht="15" customHeight="1">
      <x:c r="A5" s="22" t="s">
        <x:v>919</x:v>
      </x:c>
      <x:c r="B5" s="16" t="n">
        <x:f>SUMIFS('Data (parsed)'!$I$2:$I$235,'Data (parsed)'!$B$2:$B$235,"Shame",'Data (parsed)'!$C$2:$C$235,$A5,'Data (parsed)'!$D$2:$D$235,B$4)</x:f>
        <x:v>2</x:v>
      </x:c>
      <x:c r="C5" s="16" t="n">
        <x:f>SUMIFS('Data (parsed)'!$I$2:$I$235,'Data (parsed)'!$B$2:$B$235,"Shame",'Data (parsed)'!$C$2:$C$235,$A5,'Data (parsed)'!$D$2:$D$235,C$4)</x:f>
        <x:v>1</x:v>
      </x:c>
      <x:c r="D5" s="16" t="n">
        <x:f>SUMIFS('Data (parsed)'!$I$2:$I$235,'Data (parsed)'!$B$2:$B$235,"Shame",'Data (parsed)'!$C$2:$C$235,$A5,'Data (parsed)'!$D$2:$D$235,D$4)</x:f>
        <x:v>6</x:v>
      </x:c>
      <x:c r="E5" s="16" t="n">
        <x:f>SUMIFS('Data (parsed)'!$I$2:$I$235,'Data (parsed)'!$B$2:$B$235,"Shame",'Data (parsed)'!$C$2:$C$235,$A5,'Data (parsed)'!$D$2:$D$235,E$4)</x:f>
        <x:v>9</x:v>
      </x:c>
      <x:c r="F5" s="16" t="n">
        <x:f>SUMIFS('Data (parsed)'!$I$2:$I$235,'Data (parsed)'!$B$2:$B$235,"Shame",'Data (parsed)'!$C$2:$C$235,$A5,'Data (parsed)'!$D$2:$D$235,F$4)</x:f>
        <x:v>7</x:v>
      </x:c>
      <x:c r="G5" s="18" t="n">
        <x:f t="shared" ref="G5:G15" si="0">SUM(B5:F5)</x:f>
        <x:v>25</x:v>
      </x:c>
      <x:c r="H5" s="10"/>
    </x:row>
    <x:row r="6" ht="15" customHeight="1">
      <x:c r="A6" s="22" t="s">
        <x:v>920</x:v>
      </x:c>
      <x:c r="B6" s="16" t="n">
        <x:f>SUMIFS('Data (parsed)'!$I$2:$I$235,'Data (parsed)'!$B$2:$B$235,"Shame",'Data (parsed)'!$C$2:$C$235,$A6,'Data (parsed)'!$D$2:$D$235,B$4)</x:f>
        <x:v>2</x:v>
      </x:c>
      <x:c r="C6" s="16" t="n">
        <x:f>SUMIFS('Data (parsed)'!$I$2:$I$235,'Data (parsed)'!$B$2:$B$235,"Shame",'Data (parsed)'!$C$2:$C$235,$A6,'Data (parsed)'!$D$2:$D$235,C$4)</x:f>
        <x:v>4</x:v>
      </x:c>
      <x:c r="D6" s="16" t="n">
        <x:f>SUMIFS('Data (parsed)'!$I$2:$I$235,'Data (parsed)'!$B$2:$B$235,"Shame",'Data (parsed)'!$C$2:$C$235,$A6,'Data (parsed)'!$D$2:$D$235,D$4)</x:f>
        <x:v>1</x:v>
      </x:c>
      <x:c r="E6" s="16" t="n">
        <x:f>SUMIFS('Data (parsed)'!$I$2:$I$235,'Data (parsed)'!$B$2:$B$235,"Shame",'Data (parsed)'!$C$2:$C$235,$A6,'Data (parsed)'!$D$2:$D$235,E$4)</x:f>
        <x:v>6</x:v>
      </x:c>
      <x:c r="F6" s="16" t="n">
        <x:f>SUMIFS('Data (parsed)'!$I$2:$I$235,'Data (parsed)'!$B$2:$B$235,"Shame",'Data (parsed)'!$C$2:$C$235,$A6,'Data (parsed)'!$D$2:$D$235,F$4)</x:f>
        <x:v>6</x:v>
      </x:c>
      <x:c r="G6" s="18">
        <x:f t="shared" si="0"/>
        <x:v>19</x:v>
      </x:c>
      <x:c r="H6" s="10"/>
    </x:row>
    <x:row r="7" ht="15" customHeight="1">
      <x:c r="A7" s="22" t="s">
        <x:v>921</x:v>
      </x:c>
      <x:c r="B7" s="16" t="n">
        <x:f>SUMIFS('Data (parsed)'!$I$2:$I$235,'Data (parsed)'!$B$2:$B$235,"Shame",'Data (parsed)'!$C$2:$C$235,$A7,'Data (parsed)'!$D$2:$D$235,B$4)</x:f>
        <x:v>0</x:v>
      </x:c>
      <x:c r="C7" s="16" t="n">
        <x:f>SUMIFS('Data (parsed)'!$I$2:$I$235,'Data (parsed)'!$B$2:$B$235,"Shame",'Data (parsed)'!$C$2:$C$235,$A7,'Data (parsed)'!$D$2:$D$235,C$4)</x:f>
        <x:v>3</x:v>
      </x:c>
      <x:c r="D7" s="16" t="n">
        <x:f>SUMIFS('Data (parsed)'!$I$2:$I$235,'Data (parsed)'!$B$2:$B$235,"Shame",'Data (parsed)'!$C$2:$C$235,$A7,'Data (parsed)'!$D$2:$D$235,D$4)</x:f>
        <x:v>3</x:v>
      </x:c>
      <x:c r="E7" s="16" t="n">
        <x:f>SUMIFS('Data (parsed)'!$I$2:$I$235,'Data (parsed)'!$B$2:$B$235,"Shame",'Data (parsed)'!$C$2:$C$235,$A7,'Data (parsed)'!$D$2:$D$235,E$4)</x:f>
        <x:v>6</x:v>
      </x:c>
      <x:c r="F7" s="16" t="n">
        <x:f>SUMIFS('Data (parsed)'!$I$2:$I$235,'Data (parsed)'!$B$2:$B$235,"Shame",'Data (parsed)'!$C$2:$C$235,$A7,'Data (parsed)'!$D$2:$D$235,F$4)</x:f>
        <x:v>5</x:v>
      </x:c>
      <x:c r="G7" s="18">
        <x:f t="shared" si="0"/>
        <x:v>17</x:v>
      </x:c>
      <x:c r="H7" s="10"/>
    </x:row>
    <x:row r="8" ht="15" customHeight="1">
      <x:c r="A8" s="22" t="s">
        <x:v>922</x:v>
      </x:c>
      <x:c r="B8" s="16" t="n">
        <x:f>SUMIFS('Data (parsed)'!$I$2:$I$235,'Data (parsed)'!$B$2:$B$235,"Shame",'Data (parsed)'!$C$2:$C$235,$A8,'Data (parsed)'!$D$2:$D$235,B$4)</x:f>
        <x:v>0</x:v>
      </x:c>
      <x:c r="C8" s="16" t="n">
        <x:f>SUMIFS('Data (parsed)'!$I$2:$I$235,'Data (parsed)'!$B$2:$B$235,"Shame",'Data (parsed)'!$C$2:$C$235,$A8,'Data (parsed)'!$D$2:$D$235,C$4)</x:f>
        <x:v>4</x:v>
      </x:c>
      <x:c r="D8" s="16" t="n">
        <x:f>SUMIFS('Data (parsed)'!$I$2:$I$235,'Data (parsed)'!$B$2:$B$235,"Shame",'Data (parsed)'!$C$2:$C$235,$A8,'Data (parsed)'!$D$2:$D$235,D$4)</x:f>
        <x:v>1</x:v>
      </x:c>
      <x:c r="E8" s="16" t="n">
        <x:f>SUMIFS('Data (parsed)'!$I$2:$I$235,'Data (parsed)'!$B$2:$B$235,"Shame",'Data (parsed)'!$C$2:$C$235,$A8,'Data (parsed)'!$D$2:$D$235,E$4)</x:f>
        <x:v>2</x:v>
      </x:c>
      <x:c r="F8" s="16" t="n">
        <x:f>SUMIFS('Data (parsed)'!$I$2:$I$235,'Data (parsed)'!$B$2:$B$235,"Shame",'Data (parsed)'!$C$2:$C$235,$A8,'Data (parsed)'!$D$2:$D$235,F$4)</x:f>
        <x:v>5</x:v>
      </x:c>
      <x:c r="G8" s="18">
        <x:f t="shared" si="0"/>
        <x:v>12</x:v>
      </x:c>
      <x:c r="H8" s="10"/>
    </x:row>
    <x:row r="9" ht="15" customHeight="1">
      <x:c r="A9" s="22" t="s">
        <x:v>923</x:v>
      </x:c>
      <x:c r="B9" s="16" t="n">
        <x:f>SUMIFS('Data (parsed)'!$I$2:$I$235,'Data (parsed)'!$B$2:$B$235,"Shame",'Data (parsed)'!$C$2:$C$235,$A9,'Data (parsed)'!$D$2:$D$235,B$4)</x:f>
        <x:v>0</x:v>
      </x:c>
      <x:c r="C9" s="16" t="n">
        <x:f>SUMIFS('Data (parsed)'!$I$2:$I$235,'Data (parsed)'!$B$2:$B$235,"Shame",'Data (parsed)'!$C$2:$C$235,$A9,'Data (parsed)'!$D$2:$D$235,C$4)</x:f>
        <x:v>0</x:v>
      </x:c>
      <x:c r="D9" s="16" t="n">
        <x:f>SUMIFS('Data (parsed)'!$I$2:$I$235,'Data (parsed)'!$B$2:$B$235,"Shame",'Data (parsed)'!$C$2:$C$235,$A9,'Data (parsed)'!$D$2:$D$235,D$4)</x:f>
        <x:v>1</x:v>
      </x:c>
      <x:c r="E9" s="16" t="n">
        <x:f>SUMIFS('Data (parsed)'!$I$2:$I$235,'Data (parsed)'!$B$2:$B$235,"Shame",'Data (parsed)'!$C$2:$C$235,$A9,'Data (parsed)'!$D$2:$D$235,E$4)</x:f>
        <x:v>3</x:v>
      </x:c>
      <x:c r="F9" s="16" t="n">
        <x:f>SUMIFS('Data (parsed)'!$I$2:$I$235,'Data (parsed)'!$B$2:$B$235,"Shame",'Data (parsed)'!$C$2:$C$235,$A9,'Data (parsed)'!$D$2:$D$235,F$4)</x:f>
        <x:v>5</x:v>
      </x:c>
      <x:c r="G9" s="18">
        <x:f t="shared" si="0"/>
        <x:v>9</x:v>
      </x:c>
      <x:c r="H9" s="10"/>
    </x:row>
    <x:row r="10" ht="15" customHeight="1">
      <x:c r="A10" s="22" t="s">
        <x:v>924</x:v>
      </x:c>
      <x:c r="B10" s="16" t="n">
        <x:f>SUMIFS('Data (parsed)'!$I$2:$I$235,'Data (parsed)'!$B$2:$B$235,"Shame",'Data (parsed)'!$C$2:$C$235,$A10,'Data (parsed)'!$D$2:$D$235,B$4)</x:f>
        <x:v>0</x:v>
      </x:c>
      <x:c r="C10" s="16" t="n">
        <x:f>SUMIFS('Data (parsed)'!$I$2:$I$235,'Data (parsed)'!$B$2:$B$235,"Shame",'Data (parsed)'!$C$2:$C$235,$A10,'Data (parsed)'!$D$2:$D$235,C$4)</x:f>
        <x:v>0</x:v>
      </x:c>
      <x:c r="D10" s="16" t="n">
        <x:f>SUMIFS('Data (parsed)'!$I$2:$I$235,'Data (parsed)'!$B$2:$B$235,"Shame",'Data (parsed)'!$C$2:$C$235,$A10,'Data (parsed)'!$D$2:$D$235,D$4)</x:f>
        <x:v>3</x:v>
      </x:c>
      <x:c r="E10" s="16" t="n">
        <x:f>SUMIFS('Data (parsed)'!$I$2:$I$235,'Data (parsed)'!$B$2:$B$235,"Shame",'Data (parsed)'!$C$2:$C$235,$A10,'Data (parsed)'!$D$2:$D$235,E$4)</x:f>
        <x:v>3</x:v>
      </x:c>
      <x:c r="F10" s="16" t="n">
        <x:f>SUMIFS('Data (parsed)'!$I$2:$I$235,'Data (parsed)'!$B$2:$B$235,"Shame",'Data (parsed)'!$C$2:$C$235,$A10,'Data (parsed)'!$D$2:$D$235,F$4)</x:f>
        <x:v>1</x:v>
      </x:c>
      <x:c r="G10" s="18">
        <x:f t="shared" si="0"/>
        <x:v>7</x:v>
      </x:c>
      <x:c r="H10" s="10"/>
    </x:row>
    <x:row r="11" ht="26.25" customHeight="1">
      <x:c r="A11" s="22" t="s">
        <x:v>925</x:v>
      </x:c>
      <x:c r="B11" s="16" t="n">
        <x:f>SUMIFS('Data (parsed)'!$I$2:$I$235,'Data (parsed)'!$B$2:$B$235,"Shame",'Data (parsed)'!$C$2:$C$235,$A11,'Data (parsed)'!$D$2:$D$235,B$4)</x:f>
        <x:v>0</x:v>
      </x:c>
      <x:c r="C11" s="16" t="n">
        <x:f>SUMIFS('Data (parsed)'!$I$2:$I$235,'Data (parsed)'!$B$2:$B$235,"Shame",'Data (parsed)'!$C$2:$C$235,$A11,'Data (parsed)'!$D$2:$D$235,C$4)</x:f>
        <x:v>1</x:v>
      </x:c>
      <x:c r="D11" s="16" t="n">
        <x:f>SUMIFS('Data (parsed)'!$I$2:$I$235,'Data (parsed)'!$B$2:$B$235,"Shame",'Data (parsed)'!$C$2:$C$235,$A11,'Data (parsed)'!$D$2:$D$235,D$4)</x:f>
        <x:v>1</x:v>
      </x:c>
      <x:c r="E11" s="16" t="n">
        <x:f>SUMIFS('Data (parsed)'!$I$2:$I$235,'Data (parsed)'!$B$2:$B$235,"Shame",'Data (parsed)'!$C$2:$C$235,$A11,'Data (parsed)'!$D$2:$D$235,E$4)</x:f>
        <x:v>2</x:v>
      </x:c>
      <x:c r="F11" s="16" t="n">
        <x:f>SUMIFS('Data (parsed)'!$I$2:$I$235,'Data (parsed)'!$B$2:$B$235,"Shame",'Data (parsed)'!$C$2:$C$235,$A11,'Data (parsed)'!$D$2:$D$235,F$4)</x:f>
        <x:v>0</x:v>
      </x:c>
      <x:c r="G11" s="18">
        <x:f t="shared" si="0"/>
        <x:v>4</x:v>
      </x:c>
      <x:c r="H11" s="10"/>
    </x:row>
    <x:row r="12" ht="15" customHeight="1">
      <x:c r="A12" s="22" t="s">
        <x:v>926</x:v>
      </x:c>
      <x:c r="B12" s="16" t="n">
        <x:f>SUMIFS('Data (parsed)'!$I$2:$I$235,'Data (parsed)'!$B$2:$B$235,"Shame",'Data (parsed)'!$C$2:$C$235,$A12,'Data (parsed)'!$D$2:$D$235,B$4)</x:f>
        <x:v>0</x:v>
      </x:c>
      <x:c r="C12" s="16" t="n">
        <x:f>SUMIFS('Data (parsed)'!$I$2:$I$235,'Data (parsed)'!$B$2:$B$235,"Shame",'Data (parsed)'!$C$2:$C$235,$A12,'Data (parsed)'!$D$2:$D$235,C$4)</x:f>
        <x:v>0</x:v>
      </x:c>
      <x:c r="D12" s="16" t="n">
        <x:f>SUMIFS('Data (parsed)'!$I$2:$I$235,'Data (parsed)'!$B$2:$B$235,"Shame",'Data (parsed)'!$C$2:$C$235,$A12,'Data (parsed)'!$D$2:$D$235,D$4)</x:f>
        <x:v>1</x:v>
      </x:c>
      <x:c r="E12" s="16" t="n">
        <x:f>SUMIFS('Data (parsed)'!$I$2:$I$235,'Data (parsed)'!$B$2:$B$235,"Shame",'Data (parsed)'!$C$2:$C$235,$A12,'Data (parsed)'!$D$2:$D$235,E$4)</x:f>
        <x:v>3</x:v>
      </x:c>
      <x:c r="F12" s="16" t="n">
        <x:f>SUMIFS('Data (parsed)'!$I$2:$I$235,'Data (parsed)'!$B$2:$B$235,"Shame",'Data (parsed)'!$C$2:$C$235,$A12,'Data (parsed)'!$D$2:$D$235,F$4)</x:f>
        <x:v>0</x:v>
      </x:c>
      <x:c r="G12" s="18">
        <x:f t="shared" si="0"/>
        <x:v>4</x:v>
      </x:c>
      <x:c r="H12" s="10"/>
    </x:row>
    <x:row r="13" ht="15" customHeight="1">
      <x:c r="A13" s="22" t="s">
        <x:v>927</x:v>
      </x:c>
      <x:c r="B13" s="16" t="n">
        <x:f>SUMIFS('Data (parsed)'!$I$2:$I$235,'Data (parsed)'!$B$2:$B$235,"Shame",'Data (parsed)'!$C$2:$C$235,$A13,'Data (parsed)'!$D$2:$D$235,B$4)</x:f>
        <x:v>0</x:v>
      </x:c>
      <x:c r="C13" s="16" t="n">
        <x:f>SUMIFS('Data (parsed)'!$I$2:$I$235,'Data (parsed)'!$B$2:$B$235,"Shame",'Data (parsed)'!$C$2:$C$235,$A13,'Data (parsed)'!$D$2:$D$235,C$4)</x:f>
        <x:v>1</x:v>
      </x:c>
      <x:c r="D13" s="16" t="n">
        <x:f>SUMIFS('Data (parsed)'!$I$2:$I$235,'Data (parsed)'!$B$2:$B$235,"Shame",'Data (parsed)'!$C$2:$C$235,$A13,'Data (parsed)'!$D$2:$D$235,D$4)</x:f>
        <x:v>0</x:v>
      </x:c>
      <x:c r="E13" s="16" t="n">
        <x:f>SUMIFS('Data (parsed)'!$I$2:$I$235,'Data (parsed)'!$B$2:$B$235,"Shame",'Data (parsed)'!$C$2:$C$235,$A13,'Data (parsed)'!$D$2:$D$235,E$4)</x:f>
        <x:v>1</x:v>
      </x:c>
      <x:c r="F13" s="16" t="n">
        <x:f>SUMIFS('Data (parsed)'!$I$2:$I$235,'Data (parsed)'!$B$2:$B$235,"Shame",'Data (parsed)'!$C$2:$C$235,$A13,'Data (parsed)'!$D$2:$D$235,F$4)</x:f>
        <x:v>1</x:v>
      </x:c>
      <x:c r="G13" s="18">
        <x:f t="shared" si="0"/>
        <x:v>3</x:v>
      </x:c>
      <x:c r="H13" s="10"/>
    </x:row>
    <x:row r="14" ht="26.25" customHeight="1">
      <x:c r="A14" s="22" t="s">
        <x:v>928</x:v>
      </x:c>
      <x:c r="B14" s="16" t="n">
        <x:f>SUMIFS('Data (parsed)'!$I$2:$I$235,'Data (parsed)'!$B$2:$B$235,"Shame",'Data (parsed)'!$C$2:$C$235,$A14,'Data (parsed)'!$D$2:$D$235,B$4)</x:f>
        <x:v>2</x:v>
      </x:c>
      <x:c r="C14" s="16" t="n">
        <x:f>SUMIFS('Data (parsed)'!$I$2:$I$235,'Data (parsed)'!$B$2:$B$235,"Shame",'Data (parsed)'!$C$2:$C$235,$A14,'Data (parsed)'!$D$2:$D$235,C$4)</x:f>
        <x:v>0</x:v>
      </x:c>
      <x:c r="D14" s="16" t="n">
        <x:f>SUMIFS('Data (parsed)'!$I$2:$I$235,'Data (parsed)'!$B$2:$B$235,"Shame",'Data (parsed)'!$C$2:$C$235,$A14,'Data (parsed)'!$D$2:$D$235,D$4)</x:f>
        <x:v>0</x:v>
      </x:c>
      <x:c r="E14" s="16" t="n">
        <x:f>SUMIFS('Data (parsed)'!$I$2:$I$235,'Data (parsed)'!$B$2:$B$235,"Shame",'Data (parsed)'!$C$2:$C$235,$A14,'Data (parsed)'!$D$2:$D$235,E$4)</x:f>
        <x:v>0</x:v>
      </x:c>
      <x:c r="F14" s="16" t="n">
        <x:f>SUMIFS('Data (parsed)'!$I$2:$I$235,'Data (parsed)'!$B$2:$B$235,"Shame",'Data (parsed)'!$C$2:$C$235,$A14,'Data (parsed)'!$D$2:$D$235,F$4)</x:f>
        <x:v>0</x:v>
      </x:c>
      <x:c r="G14" s="18">
        <x:f t="shared" si="0"/>
        <x:v>2</x:v>
      </x:c>
      <x:c r="H14" s="10"/>
    </x:row>
    <x:row r="15" ht="15" customHeight="1">
      <x:c r="A15" s="22" t="s">
        <x:v>929</x:v>
      </x:c>
      <x:c r="B15" s="16" t="n">
        <x:f>SUMIFS('Data (parsed)'!$I$2:$I$235,'Data (parsed)'!$B$2:$B$235,"Shame",'Data (parsed)'!$C$2:$C$235,$A15,'Data (parsed)'!$D$2:$D$235,B$4)</x:f>
        <x:v>0</x:v>
      </x:c>
      <x:c r="C15" s="16" t="n">
        <x:f>SUMIFS('Data (parsed)'!$I$2:$I$235,'Data (parsed)'!$B$2:$B$235,"Shame",'Data (parsed)'!$C$2:$C$235,$A15,'Data (parsed)'!$D$2:$D$235,C$4)</x:f>
        <x:v>0</x:v>
      </x:c>
      <x:c r="D15" s="16" t="n">
        <x:f>SUMIFS('Data (parsed)'!$I$2:$I$235,'Data (parsed)'!$B$2:$B$235,"Shame",'Data (parsed)'!$C$2:$C$235,$A15,'Data (parsed)'!$D$2:$D$235,D$4)</x:f>
        <x:v>0</x:v>
      </x:c>
      <x:c r="E15" s="16" t="n">
        <x:f>SUMIFS('Data (parsed)'!$I$2:$I$235,'Data (parsed)'!$B$2:$B$235,"Shame",'Data (parsed)'!$C$2:$C$235,$A15,'Data (parsed)'!$D$2:$D$235,E$4)</x:f>
        <x:v>2</x:v>
      </x:c>
      <x:c r="F15" s="16" t="n">
        <x:f>SUMIFS('Data (parsed)'!$I$2:$I$235,'Data (parsed)'!$B$2:$B$235,"Shame",'Data (parsed)'!$C$2:$C$235,$A15,'Data (parsed)'!$D$2:$D$235,F$4)</x:f>
        <x:v>0</x:v>
      </x:c>
      <x:c r="G15" s="18">
        <x:f t="shared" si="0"/>
        <x:v>2</x:v>
      </x:c>
      <x:c r="H15" s="10"/>
    </x:row>
    <x:row r="16" ht="15" customHeight="1">
      <x:c r="A16" s="17" t="s">
        <x:v>908</x:v>
      </x:c>
      <x:c r="B16" s="18" t="n">
        <x:f t="shared" ref="B16:G16" si="1">SUM(B5:B15)</x:f>
        <x:v>6</x:v>
      </x:c>
      <x:c r="C16" s="18">
        <x:f t="shared" si="1"/>
        <x:v>14</x:v>
      </x:c>
      <x:c r="D16" s="18">
        <x:f t="shared" si="1"/>
        <x:v>17</x:v>
      </x:c>
      <x:c r="E16" s="18">
        <x:f t="shared" si="1"/>
        <x:v>37</x:v>
      </x:c>
      <x:c r="F16" s="18">
        <x:f t="shared" si="1"/>
        <x:v>30</x:v>
      </x:c>
      <x:c r="G16" s="18">
        <x:f t="shared" si="1"/>
        <x:v>104</x:v>
      </x:c>
      <x:c r="H16" s="10"/>
    </x:row>
    <x:row r="17" ht="14.25" customHeight="1">
      <x:c r="A17" s="10"/>
      <x:c r="B17" s="10"/>
      <x:c r="C17" s="10"/>
      <x:c r="D17" s="10"/>
      <x:c r="E17" s="10"/>
      <x:c r="F17" s="10"/>
      <x:c r="G17" s="10"/>
      <x:c r="H17" s="10"/>
    </x:row>
    <x:row r="18" ht="15" customHeight="1">
      <x:c r="A18" s="13" t="s">
        <x:v>930</x:v>
      </x:c>
      <x:c r="B18" s="10"/>
      <x:c r="C18" s="10"/>
      <x:c r="D18" s="10"/>
      <x:c r="E18" s="10"/>
      <x:c r="F18" s="10"/>
      <x:c r="G18" s="10"/>
      <x:c r="H18" s="10"/>
    </x:row>
    <x:row r="19" ht="15" customHeight="1">
      <x:c r="A19" s="14" t="s">
        <x:v>918</x:v>
      </x:c>
      <x:c r="B19" s="14" t="s">
        <x:v>14</x:v>
      </x:c>
      <x:c r="C19" s="14" t="s">
        <x:v>95</x:v>
      </x:c>
      <x:c r="D19" s="14" t="s">
        <x:v>84</x:v>
      </x:c>
      <x:c r="E19" s="14" t="s">
        <x:v>89</x:v>
      </x:c>
      <x:c r="F19" s="14" t="s">
        <x:v>931</x:v>
      </x:c>
      <x:c r="G19" s="14" t="s">
        <x:v>903</x:v>
      </x:c>
      <x:c r="H19" s="10"/>
    </x:row>
    <x:row r="20" ht="15" customHeight="1">
      <x:c r="A20" s="22" t="s">
        <x:v>919</x:v>
      </x:c>
      <x:c r="B20" s="16" t="n">
        <x:f>COUNTIFS('Data (parsed)'!$E$2:$E$235,B$19,'Data (parsed)'!$B$2:$B$235,"Shame",'Data (parsed)'!$C$2:$C$235,$A20)</x:f>
        <x:v>18</x:v>
      </x:c>
      <x:c r="C20" s="16" t="n">
        <x:f>COUNTIFS('Data (parsed)'!$E$2:$E$235,C$19,'Data (parsed)'!$B$2:$B$235,"Shame",'Data (parsed)'!$C$2:$C$235,$A20)</x:f>
        <x:v>4</x:v>
      </x:c>
      <x:c r="D20" s="16" t="n">
        <x:f>COUNTIFS('Data (parsed)'!$E$2:$E$235,D$19,'Data (parsed)'!$B$2:$B$235,"Shame",'Data (parsed)'!$C$2:$C$235,$A20)</x:f>
        <x:v>1</x:v>
      </x:c>
      <x:c r="E20" s="16" t="n">
        <x:f>COUNTIFS('Data (parsed)'!$E$2:$E$235,E$19,'Data (parsed)'!$B$2:$B$235,"Shame",'Data (parsed)'!$C$2:$C$235,$A20)</x:f>
        <x:v>1</x:v>
      </x:c>
      <x:c r="F20" s="16" t="n">
        <x:f>SUMIFS('Data (parsed)'!$I$2:$I$235,'Data (parsed)'!$B$2:$B$235,"Shame",'Data (parsed)'!$C$2:$C$235,$A20,'Data (parsed)'!$J$2:$J$235,0)</x:f>
        <x:v>2</x:v>
      </x:c>
      <x:c r="G20" s="18" t="n">
        <x:f>SUMIFS('Data (parsed)'!$I$2:$I$235,'Data (parsed)'!$B$2:$B$235,"Shame",'Data (parsed)'!$C$2:$C$235,$A20)</x:f>
        <x:v>25</x:v>
      </x:c>
      <x:c r="H20" s="10"/>
    </x:row>
    <x:row r="21" ht="15" customHeight="1">
      <x:c r="A21" s="22" t="s">
        <x:v>920</x:v>
      </x:c>
      <x:c r="B21" s="16" t="n">
        <x:f>COUNTIFS('Data (parsed)'!$E$2:$E$235,B$19,'Data (parsed)'!$B$2:$B$235,"Shame",'Data (parsed)'!$C$2:$C$235,$A21)</x:f>
        <x:v>9</x:v>
      </x:c>
      <x:c r="C21" s="16" t="n">
        <x:f>COUNTIFS('Data (parsed)'!$E$2:$E$235,C$19,'Data (parsed)'!$B$2:$B$235,"Shame",'Data (parsed)'!$C$2:$C$235,$A21)</x:f>
        <x:v>2</x:v>
      </x:c>
      <x:c r="D21" s="16" t="n">
        <x:f>COUNTIFS('Data (parsed)'!$E$2:$E$235,D$19,'Data (parsed)'!$B$2:$B$235,"Shame",'Data (parsed)'!$C$2:$C$235,$A21)</x:f>
        <x:v>0</x:v>
      </x:c>
      <x:c r="E21" s="16" t="n">
        <x:f>COUNTIFS('Data (parsed)'!$E$2:$E$235,E$19,'Data (parsed)'!$B$2:$B$235,"Shame",'Data (parsed)'!$C$2:$C$235,$A21)</x:f>
        <x:v>0</x:v>
      </x:c>
      <x:c r="F21" s="16" t="n">
        <x:f>SUMIFS('Data (parsed)'!$I$2:$I$235,'Data (parsed)'!$B$2:$B$235,"Shame",'Data (parsed)'!$C$2:$C$235,$A21,'Data (parsed)'!$J$2:$J$235,0)</x:f>
        <x:v>8</x:v>
      </x:c>
      <x:c r="G21" s="18" t="n">
        <x:f>SUMIFS('Data (parsed)'!$I$2:$I$235,'Data (parsed)'!$B$2:$B$235,"Shame",'Data (parsed)'!$C$2:$C$235,$A21)</x:f>
        <x:v>19</x:v>
      </x:c>
      <x:c r="H21" s="10"/>
    </x:row>
    <x:row r="22" ht="15" customHeight="1">
      <x:c r="A22" s="22" t="s">
        <x:v>921</x:v>
      </x:c>
      <x:c r="B22" s="16" t="n">
        <x:f>COUNTIFS('Data (parsed)'!$E$2:$E$235,B$19,'Data (parsed)'!$B$2:$B$235,"Shame",'Data (parsed)'!$C$2:$C$235,$A22)</x:f>
        <x:v>6</x:v>
      </x:c>
      <x:c r="C22" s="16" t="n">
        <x:f>COUNTIFS('Data (parsed)'!$E$2:$E$235,C$19,'Data (parsed)'!$B$2:$B$235,"Shame",'Data (parsed)'!$C$2:$C$235,$A22)</x:f>
        <x:v>1</x:v>
      </x:c>
      <x:c r="D22" s="16" t="n">
        <x:f>COUNTIFS('Data (parsed)'!$E$2:$E$235,D$19,'Data (parsed)'!$B$2:$B$235,"Shame",'Data (parsed)'!$C$2:$C$235,$A22)</x:f>
        <x:v>1</x:v>
      </x:c>
      <x:c r="E22" s="16" t="n">
        <x:f>COUNTIFS('Data (parsed)'!$E$2:$E$235,E$19,'Data (parsed)'!$B$2:$B$235,"Shame",'Data (parsed)'!$C$2:$C$235,$A22)</x:f>
        <x:v>2</x:v>
      </x:c>
      <x:c r="F22" s="16" t="n">
        <x:f>SUMIFS('Data (parsed)'!$I$2:$I$235,'Data (parsed)'!$B$2:$B$235,"Shame",'Data (parsed)'!$C$2:$C$235,$A22,'Data (parsed)'!$J$2:$J$235,0)</x:f>
        <x:v>7</x:v>
      </x:c>
      <x:c r="G22" s="18" t="n">
        <x:f>SUMIFS('Data (parsed)'!$I$2:$I$235,'Data (parsed)'!$B$2:$B$235,"Shame",'Data (parsed)'!$C$2:$C$235,$A22)</x:f>
        <x:v>17</x:v>
      </x:c>
      <x:c r="H22" s="10"/>
    </x:row>
    <x:row r="23" ht="15" customHeight="1">
      <x:c r="A23" s="22" t="s">
        <x:v>922</x:v>
      </x:c>
      <x:c r="B23" s="16" t="n">
        <x:f>COUNTIFS('Data (parsed)'!$E$2:$E$235,B$19,'Data (parsed)'!$B$2:$B$235,"Shame",'Data (parsed)'!$C$2:$C$235,$A23)</x:f>
        <x:v>1</x:v>
      </x:c>
      <x:c r="C23" s="16" t="n">
        <x:f>COUNTIFS('Data (parsed)'!$E$2:$E$235,C$19,'Data (parsed)'!$B$2:$B$235,"Shame",'Data (parsed)'!$C$2:$C$235,$A23)</x:f>
        <x:v>0</x:v>
      </x:c>
      <x:c r="D23" s="16" t="n">
        <x:f>COUNTIFS('Data (parsed)'!$E$2:$E$235,D$19,'Data (parsed)'!$B$2:$B$235,"Shame",'Data (parsed)'!$C$2:$C$235,$A23)</x:f>
        <x:v>9</x:v>
      </x:c>
      <x:c r="E23" s="16" t="n">
        <x:f>COUNTIFS('Data (parsed)'!$E$2:$E$235,E$19,'Data (parsed)'!$B$2:$B$235,"Shame",'Data (parsed)'!$C$2:$C$235,$A23)</x:f>
        <x:v>2</x:v>
      </x:c>
      <x:c r="F23" s="16" t="n">
        <x:f>SUMIFS('Data (parsed)'!$I$2:$I$235,'Data (parsed)'!$B$2:$B$235,"Shame",'Data (parsed)'!$C$2:$C$235,$A23,'Data (parsed)'!$J$2:$J$235,0)</x:f>
        <x:v>0</x:v>
      </x:c>
      <x:c r="G23" s="18" t="n">
        <x:f>SUMIFS('Data (parsed)'!$I$2:$I$235,'Data (parsed)'!$B$2:$B$235,"Shame",'Data (parsed)'!$C$2:$C$235,$A23)</x:f>
        <x:v>12</x:v>
      </x:c>
      <x:c r="H23" s="10"/>
    </x:row>
    <x:row r="24" ht="15" customHeight="1">
      <x:c r="A24" s="22" t="s">
        <x:v>923</x:v>
      </x:c>
      <x:c r="B24" s="16" t="n">
        <x:f>COUNTIFS('Data (parsed)'!$E$2:$E$235,B$19,'Data (parsed)'!$B$2:$B$235,"Shame",'Data (parsed)'!$C$2:$C$235,$A24)</x:f>
        <x:v>0</x:v>
      </x:c>
      <x:c r="C24" s="16" t="n">
        <x:f>COUNTIFS('Data (parsed)'!$E$2:$E$235,C$19,'Data (parsed)'!$B$2:$B$235,"Shame",'Data (parsed)'!$C$2:$C$235,$A24)</x:f>
        <x:v>0</x:v>
      </x:c>
      <x:c r="D24" s="16" t="n">
        <x:f>COUNTIFS('Data (parsed)'!$E$2:$E$235,D$19,'Data (parsed)'!$B$2:$B$235,"Shame",'Data (parsed)'!$C$2:$C$235,$A24)</x:f>
        <x:v>9</x:v>
      </x:c>
      <x:c r="E24" s="16" t="n">
        <x:f>COUNTIFS('Data (parsed)'!$E$2:$E$235,E$19,'Data (parsed)'!$B$2:$B$235,"Shame",'Data (parsed)'!$C$2:$C$235,$A24)</x:f>
        <x:v>0</x:v>
      </x:c>
      <x:c r="F24" s="16" t="n">
        <x:f>SUMIFS('Data (parsed)'!$I$2:$I$235,'Data (parsed)'!$B$2:$B$235,"Shame",'Data (parsed)'!$C$2:$C$235,$A24,'Data (parsed)'!$J$2:$J$235,0)</x:f>
        <x:v>0</x:v>
      </x:c>
      <x:c r="G24" s="18" t="n">
        <x:f>SUMIFS('Data (parsed)'!$I$2:$I$235,'Data (parsed)'!$B$2:$B$235,"Shame",'Data (parsed)'!$C$2:$C$235,$A24)</x:f>
        <x:v>9</x:v>
      </x:c>
      <x:c r="H24" s="10"/>
    </x:row>
    <x:row r="25" ht="15" customHeight="1">
      <x:c r="A25" s="22" t="s">
        <x:v>924</x:v>
      </x:c>
      <x:c r="B25" s="16" t="n">
        <x:f>COUNTIFS('Data (parsed)'!$E$2:$E$235,B$19,'Data (parsed)'!$B$2:$B$235,"Shame",'Data (parsed)'!$C$2:$C$235,$A25)</x:f>
        <x:v>2</x:v>
      </x:c>
      <x:c r="C25" s="16" t="n">
        <x:f>COUNTIFS('Data (parsed)'!$E$2:$E$235,C$19,'Data (parsed)'!$B$2:$B$235,"Shame",'Data (parsed)'!$C$2:$C$235,$A25)</x:f>
        <x:v>0</x:v>
      </x:c>
      <x:c r="D25" s="16" t="n">
        <x:f>COUNTIFS('Data (parsed)'!$E$2:$E$235,D$19,'Data (parsed)'!$B$2:$B$235,"Shame",'Data (parsed)'!$C$2:$C$235,$A25)</x:f>
        <x:v>0</x:v>
      </x:c>
      <x:c r="E25" s="16" t="n">
        <x:f>COUNTIFS('Data (parsed)'!$E$2:$E$235,E$19,'Data (parsed)'!$B$2:$B$235,"Shame",'Data (parsed)'!$C$2:$C$235,$A25)</x:f>
        <x:v>2</x:v>
      </x:c>
      <x:c r="F25" s="16" t="n">
        <x:f>SUMIFS('Data (parsed)'!$I$2:$I$235,'Data (parsed)'!$B$2:$B$235,"Shame",'Data (parsed)'!$C$2:$C$235,$A25,'Data (parsed)'!$J$2:$J$235,0)</x:f>
        <x:v>3</x:v>
      </x:c>
      <x:c r="G25" s="18" t="n">
        <x:f>SUMIFS('Data (parsed)'!$I$2:$I$235,'Data (parsed)'!$B$2:$B$235,"Shame",'Data (parsed)'!$C$2:$C$235,$A25)</x:f>
        <x:v>7</x:v>
      </x:c>
      <x:c r="H25" s="10"/>
    </x:row>
    <x:row r="26" ht="26.25" customHeight="1">
      <x:c r="A26" s="22" t="s">
        <x:v>925</x:v>
      </x:c>
      <x:c r="B26" s="16" t="n">
        <x:f>COUNTIFS('Data (parsed)'!$E$2:$E$235,B$19,'Data (parsed)'!$B$2:$B$235,"Shame",'Data (parsed)'!$C$2:$C$235,$A26)</x:f>
        <x:v>4</x:v>
      </x:c>
      <x:c r="C26" s="16" t="n">
        <x:f>COUNTIFS('Data (parsed)'!$E$2:$E$235,C$19,'Data (parsed)'!$B$2:$B$235,"Shame",'Data (parsed)'!$C$2:$C$235,$A26)</x:f>
        <x:v>0</x:v>
      </x:c>
      <x:c r="D26" s="16" t="n">
        <x:f>COUNTIFS('Data (parsed)'!$E$2:$E$235,D$19,'Data (parsed)'!$B$2:$B$235,"Shame",'Data (parsed)'!$C$2:$C$235,$A26)</x:f>
        <x:v>0</x:v>
      </x:c>
      <x:c r="E26" s="16" t="n">
        <x:f>COUNTIFS('Data (parsed)'!$E$2:$E$235,E$19,'Data (parsed)'!$B$2:$B$235,"Shame",'Data (parsed)'!$C$2:$C$235,$A26)</x:f>
        <x:v>0</x:v>
      </x:c>
      <x:c r="F26" s="16" t="n">
        <x:f>SUMIFS('Data (parsed)'!$I$2:$I$235,'Data (parsed)'!$B$2:$B$235,"Shame",'Data (parsed)'!$C$2:$C$235,$A26,'Data (parsed)'!$J$2:$J$235,0)</x:f>
        <x:v>0</x:v>
      </x:c>
      <x:c r="G26" s="18" t="n">
        <x:f>SUMIFS('Data (parsed)'!$I$2:$I$235,'Data (parsed)'!$B$2:$B$235,"Shame",'Data (parsed)'!$C$2:$C$235,$A26)</x:f>
        <x:v>4</x:v>
      </x:c>
      <x:c r="H26" s="10"/>
    </x:row>
    <x:row r="27" ht="15" customHeight="1">
      <x:c r="A27" s="22" t="s">
        <x:v>926</x:v>
      </x:c>
      <x:c r="B27" s="16" t="n">
        <x:f>COUNTIFS('Data (parsed)'!$E$2:$E$235,B$19,'Data (parsed)'!$B$2:$B$235,"Shame",'Data (parsed)'!$C$2:$C$235,$A27)</x:f>
        <x:v>3</x:v>
      </x:c>
      <x:c r="C27" s="16" t="n">
        <x:f>COUNTIFS('Data (parsed)'!$E$2:$E$235,C$19,'Data (parsed)'!$B$2:$B$235,"Shame",'Data (parsed)'!$C$2:$C$235,$A27)</x:f>
        <x:v>0</x:v>
      </x:c>
      <x:c r="D27" s="16" t="n">
        <x:f>COUNTIFS('Data (parsed)'!$E$2:$E$235,D$19,'Data (parsed)'!$B$2:$B$235,"Shame",'Data (parsed)'!$C$2:$C$235,$A27)</x:f>
        <x:v>0</x:v>
      </x:c>
      <x:c r="E27" s="16" t="n">
        <x:f>COUNTIFS('Data (parsed)'!$E$2:$E$235,E$19,'Data (parsed)'!$B$2:$B$235,"Shame",'Data (parsed)'!$C$2:$C$235,$A27)</x:f>
        <x:v>1</x:v>
      </x:c>
      <x:c r="F27" s="16" t="n">
        <x:f>SUMIFS('Data (parsed)'!$I$2:$I$235,'Data (parsed)'!$B$2:$B$235,"Shame",'Data (parsed)'!$C$2:$C$235,$A27,'Data (parsed)'!$J$2:$J$235,0)</x:f>
        <x:v>0</x:v>
      </x:c>
      <x:c r="G27" s="18" t="n">
        <x:f>SUMIFS('Data (parsed)'!$I$2:$I$235,'Data (parsed)'!$B$2:$B$235,"Shame",'Data (parsed)'!$C$2:$C$235,$A27)</x:f>
        <x:v>4</x:v>
      </x:c>
      <x:c r="H27" s="10"/>
    </x:row>
    <x:row r="28" ht="15" customHeight="1">
      <x:c r="A28" s="22" t="s">
        <x:v>927</x:v>
      </x:c>
      <x:c r="B28" s="16" t="n">
        <x:f>COUNTIFS('Data (parsed)'!$E$2:$E$235,B$19,'Data (parsed)'!$B$2:$B$235,"Shame",'Data (parsed)'!$C$2:$C$235,$A28)</x:f>
        <x:v>3</x:v>
      </x:c>
      <x:c r="C28" s="16" t="n">
        <x:f>COUNTIFS('Data (parsed)'!$E$2:$E$235,C$19,'Data (parsed)'!$B$2:$B$235,"Shame",'Data (parsed)'!$C$2:$C$235,$A28)</x:f>
        <x:v>0</x:v>
      </x:c>
      <x:c r="D28" s="16" t="n">
        <x:f>COUNTIFS('Data (parsed)'!$E$2:$E$235,D$19,'Data (parsed)'!$B$2:$B$235,"Shame",'Data (parsed)'!$C$2:$C$235,$A28)</x:f>
        <x:v>0</x:v>
      </x:c>
      <x:c r="E28" s="16" t="n">
        <x:f>COUNTIFS('Data (parsed)'!$E$2:$E$235,E$19,'Data (parsed)'!$B$2:$B$235,"Shame",'Data (parsed)'!$C$2:$C$235,$A28)</x:f>
        <x:v>0</x:v>
      </x:c>
      <x:c r="F28" s="16" t="n">
        <x:f>SUMIFS('Data (parsed)'!$I$2:$I$235,'Data (parsed)'!$B$2:$B$235,"Shame",'Data (parsed)'!$C$2:$C$235,$A28,'Data (parsed)'!$J$2:$J$235,0)</x:f>
        <x:v>0</x:v>
      </x:c>
      <x:c r="G28" s="18" t="n">
        <x:f>SUMIFS('Data (parsed)'!$I$2:$I$235,'Data (parsed)'!$B$2:$B$235,"Shame",'Data (parsed)'!$C$2:$C$235,$A28)</x:f>
        <x:v>3</x:v>
      </x:c>
      <x:c r="H28" s="10"/>
    </x:row>
    <x:row r="29" ht="26.25" customHeight="1">
      <x:c r="A29" s="22" t="s">
        <x:v>928</x:v>
      </x:c>
      <x:c r="B29" s="16" t="n">
        <x:f>COUNTIFS('Data (parsed)'!$E$2:$E$235,B$19,'Data (parsed)'!$B$2:$B$235,"Shame",'Data (parsed)'!$C$2:$C$235,$A29)</x:f>
        <x:v>2</x:v>
      </x:c>
      <x:c r="C29" s="16" t="n">
        <x:f>COUNTIFS('Data (parsed)'!$E$2:$E$235,C$19,'Data (parsed)'!$B$2:$B$235,"Shame",'Data (parsed)'!$C$2:$C$235,$A29)</x:f>
        <x:v>0</x:v>
      </x:c>
      <x:c r="D29" s="16" t="n">
        <x:f>COUNTIFS('Data (parsed)'!$E$2:$E$235,D$19,'Data (parsed)'!$B$2:$B$235,"Shame",'Data (parsed)'!$C$2:$C$235,$A29)</x:f>
        <x:v>0</x:v>
      </x:c>
      <x:c r="E29" s="16" t="n">
        <x:f>COUNTIFS('Data (parsed)'!$E$2:$E$235,E$19,'Data (parsed)'!$B$2:$B$235,"Shame",'Data (parsed)'!$C$2:$C$235,$A29)</x:f>
        <x:v>0</x:v>
      </x:c>
      <x:c r="F29" s="16" t="n">
        <x:f>SUMIFS('Data (parsed)'!$I$2:$I$235,'Data (parsed)'!$B$2:$B$235,"Shame",'Data (parsed)'!$C$2:$C$235,$A29,'Data (parsed)'!$J$2:$J$235,0)</x:f>
        <x:v>0</x:v>
      </x:c>
      <x:c r="G29" s="18" t="n">
        <x:f>SUMIFS('Data (parsed)'!$I$2:$I$235,'Data (parsed)'!$B$2:$B$235,"Shame",'Data (parsed)'!$C$2:$C$235,$A29)</x:f>
        <x:v>2</x:v>
      </x:c>
      <x:c r="H29" s="10"/>
    </x:row>
    <x:row r="30" ht="15" customHeight="1">
      <x:c r="A30" s="22" t="s">
        <x:v>929</x:v>
      </x:c>
      <x:c r="B30" s="16" t="n">
        <x:f>COUNTIFS('Data (parsed)'!$E$2:$E$235,B$19,'Data (parsed)'!$B$2:$B$235,"Shame",'Data (parsed)'!$C$2:$C$235,$A30)</x:f>
        <x:v>0</x:v>
      </x:c>
      <x:c r="C30" s="16" t="n">
        <x:f>COUNTIFS('Data (parsed)'!$E$2:$E$235,C$19,'Data (parsed)'!$B$2:$B$235,"Shame",'Data (parsed)'!$C$2:$C$235,$A30)</x:f>
        <x:v>0</x:v>
      </x:c>
      <x:c r="D30" s="16" t="n">
        <x:f>COUNTIFS('Data (parsed)'!$E$2:$E$235,D$19,'Data (parsed)'!$B$2:$B$235,"Shame",'Data (parsed)'!$C$2:$C$235,$A30)</x:f>
        <x:v>0</x:v>
      </x:c>
      <x:c r="E30" s="16" t="n">
        <x:f>COUNTIFS('Data (parsed)'!$E$2:$E$235,E$19,'Data (parsed)'!$B$2:$B$235,"Shame",'Data (parsed)'!$C$2:$C$235,$A30)</x:f>
        <x:v>0</x:v>
      </x:c>
      <x:c r="F30" s="16" t="n">
        <x:f>SUMIFS('Data (parsed)'!$I$2:$I$235,'Data (parsed)'!$B$2:$B$235,"Shame",'Data (parsed)'!$C$2:$C$235,$A30,'Data (parsed)'!$J$2:$J$235,0)</x:f>
        <x:v>2</x:v>
      </x:c>
      <x:c r="G30" s="18" t="n">
        <x:f>SUMIFS('Data (parsed)'!$I$2:$I$235,'Data (parsed)'!$B$2:$B$235,"Shame",'Data (parsed)'!$C$2:$C$235,$A30)</x:f>
        <x:v>2</x:v>
      </x:c>
      <x:c r="H30" s="10"/>
    </x:row>
    <x:row r="31" ht="15" customHeight="1">
      <x:c r="A31" s="17" t="s">
        <x:v>908</x:v>
      </x:c>
      <x:c r="B31" s="18" t="n">
        <x:f t="shared" ref="B31:G31" si="2">SUM(B20:B30)</x:f>
        <x:v>48</x:v>
      </x:c>
      <x:c r="C31" s="18">
        <x:f t="shared" si="2"/>
        <x:v>7</x:v>
      </x:c>
      <x:c r="D31" s="18">
        <x:f t="shared" si="2"/>
        <x:v>20</x:v>
      </x:c>
      <x:c r="E31" s="18">
        <x:f t="shared" si="2"/>
        <x:v>8</x:v>
      </x:c>
      <x:c r="F31" s="18">
        <x:f t="shared" si="2"/>
        <x:v>22</x:v>
      </x:c>
      <x:c r="G31" s="18">
        <x:f t="shared" si="2"/>
        <x:v>104</x:v>
      </x:c>
      <x:c r="H31" s="10"/>
    </x:row>
    <x:row r="32" ht="14.25" customHeight="1">
      <x:c r="A32" s="10"/>
      <x:c r="B32" s="10"/>
      <x:c r="C32" s="10"/>
      <x:c r="D32" s="10"/>
      <x:c r="E32" s="10"/>
      <x:c r="F32" s="10"/>
      <x:c r="G32" s="10"/>
      <x:c r="H32" s="10"/>
    </x:row>
    <x:row r="33" ht="14.25" customHeight="1">
      <x:c r="A33" s="10"/>
      <x:c r="B33" s="10"/>
      <x:c r="C33" s="10"/>
      <x:c r="D33" s="10"/>
      <x:c r="E33" s="10"/>
      <x:c r="F33" s="10"/>
      <x:c r="G33" s="10"/>
      <x:c r="H33" s="10"/>
    </x:row>
    <x:row r="34" ht="14.25" customHeight="1">
      <x:c r="A34" s="10"/>
      <x:c r="B34" s="10"/>
      <x:c r="C34" s="10"/>
      <x:c r="D34" s="10"/>
      <x:c r="E34" s="10"/>
      <x:c r="F34" s="10"/>
      <x:c r="G34" s="10"/>
      <x:c r="H34" s="10"/>
    </x:row>
    <x:row r="35" ht="14.25" customHeight="1">
      <x:c r="A35" s="10"/>
      <x:c r="B35" s="10"/>
      <x:c r="C35" s="10"/>
      <x:c r="D35" s="10"/>
      <x:c r="E35" s="10"/>
      <x:c r="F35" s="10"/>
      <x:c r="G35" s="10"/>
      <x:c r="H35" s="10"/>
    </x:row>
    <x:row r="36" ht="14.25" customHeight="1">
      <x:c r="A36" s="10"/>
      <x:c r="B36" s="10"/>
      <x:c r="C36" s="10"/>
      <x:c r="D36" s="10"/>
      <x:c r="E36" s="10"/>
      <x:c r="F36" s="10"/>
      <x:c r="G36" s="10"/>
      <x:c r="H36" s="10"/>
    </x:row>
    <x:row r="37" ht="14.25" customHeight="1">
      <x:c r="A37" s="10"/>
      <x:c r="B37" s="10"/>
      <x:c r="C37" s="10"/>
      <x:c r="D37" s="10"/>
      <x:c r="E37" s="10"/>
      <x:c r="F37" s="10"/>
      <x:c r="G37" s="10"/>
      <x:c r="H37" s="10"/>
    </x:row>
    <x:row r="38" ht="14.25" customHeight="1">
      <x:c r="A38" s="10"/>
      <x:c r="B38" s="10"/>
      <x:c r="C38" s="10"/>
      <x:c r="D38" s="10"/>
      <x:c r="E38" s="10"/>
      <x:c r="F38" s="10"/>
      <x:c r="G38" s="10"/>
      <x:c r="H38" s="10"/>
    </x:row>
    <x:row r="39" ht="14.25" customHeight="1">
      <x:c r="A39" s="10"/>
      <x:c r="B39" s="10"/>
      <x:c r="C39" s="10"/>
      <x:c r="D39" s="10"/>
      <x:c r="E39" s="10"/>
      <x:c r="F39" s="10"/>
      <x:c r="G39" s="10"/>
      <x:c r="H39" s="10"/>
    </x:row>
    <x:row r="40" ht="14.25" customHeight="1">
      <x:c r="A40" s="10"/>
      <x:c r="B40" s="10"/>
      <x:c r="C40" s="10"/>
      <x:c r="D40" s="10"/>
      <x:c r="E40" s="10"/>
      <x:c r="F40" s="10"/>
      <x:c r="G40" s="10"/>
      <x:c r="H40" s="10"/>
    </x:row>
    <x:row r="41" ht="14.25" customHeight="1">
      <x:c r="A41" s="10"/>
      <x:c r="B41" s="10"/>
      <x:c r="C41" s="10"/>
      <x:c r="D41" s="10"/>
      <x:c r="E41" s="10"/>
      <x:c r="F41" s="10"/>
      <x:c r="G41" s="10"/>
      <x:c r="H41" s="10"/>
    </x:row>
    <x:row r="42" ht="14.25" customHeight="1">
      <x:c r="A42" s="10"/>
      <x:c r="B42" s="10"/>
      <x:c r="C42" s="10"/>
      <x:c r="D42" s="10"/>
      <x:c r="E42" s="10"/>
      <x:c r="F42" s="10"/>
      <x:c r="G42" s="10"/>
      <x:c r="H42" s="10"/>
    </x:row>
    <x:row r="43" ht="14.25" customHeight="1">
      <x:c r="A43" s="10"/>
      <x:c r="B43" s="10"/>
      <x:c r="C43" s="10"/>
      <x:c r="D43" s="10"/>
      <x:c r="E43" s="10"/>
      <x:c r="F43" s="10"/>
      <x:c r="G43" s="10"/>
      <x:c r="H43" s="10"/>
    </x:row>
    <x:row r="44" ht="14.25" customHeight="1">
      <x:c r="A44" s="10"/>
      <x:c r="B44" s="10"/>
      <x:c r="C44" s="10"/>
      <x:c r="D44" s="10"/>
      <x:c r="E44" s="10"/>
      <x:c r="F44" s="10"/>
      <x:c r="G44" s="10"/>
      <x:c r="H44" s="10"/>
    </x:row>
    <x:row r="45" ht="14.25" customHeight="1">
      <x:c r="A45" s="10"/>
      <x:c r="B45" s="10"/>
      <x:c r="C45" s="10"/>
      <x:c r="D45" s="10"/>
      <x:c r="E45" s="10"/>
      <x:c r="F45" s="10"/>
      <x:c r="G45" s="10"/>
      <x:c r="H45" s="10"/>
    </x:row>
    <x:row r="46" ht="14.25" customHeight="1">
      <x:c r="A46" s="10"/>
      <x:c r="B46" s="10"/>
      <x:c r="C46" s="10"/>
      <x:c r="D46" s="10"/>
      <x:c r="E46" s="10"/>
      <x:c r="F46" s="10"/>
      <x:c r="G46" s="10"/>
      <x:c r="H46" s="10"/>
    </x:row>
    <x:row r="47" ht="14.25" customHeight="1">
      <x:c r="A47" s="10"/>
      <x:c r="B47" s="10"/>
      <x:c r="C47" s="10"/>
      <x:c r="D47" s="10"/>
      <x:c r="E47" s="10"/>
      <x:c r="F47" s="10"/>
      <x:c r="G47" s="10"/>
      <x:c r="H47" s="10"/>
    </x:row>
    <x:row r="48" ht="14.25" customHeight="1">
      <x:c r="A48" s="10"/>
      <x:c r="B48" s="10"/>
      <x:c r="C48" s="10"/>
      <x:c r="D48" s="10"/>
      <x:c r="E48" s="10"/>
      <x:c r="F48" s="10"/>
      <x:c r="G48" s="10"/>
      <x:c r="H48" s="10"/>
    </x:row>
    <x:row r="49" ht="14.25" customHeight="1">
      <x:c r="A49" s="10"/>
      <x:c r="B49" s="10"/>
      <x:c r="C49" s="10"/>
      <x:c r="D49" s="10"/>
      <x:c r="E49" s="10"/>
      <x:c r="F49" s="10"/>
      <x:c r="G49" s="10"/>
      <x:c r="H49" s="10"/>
    </x:row>
    <x:row r="50" ht="14.25" customHeight="1">
      <x:c r="A50" s="10"/>
      <x:c r="B50" s="10"/>
      <x:c r="C50" s="10"/>
      <x:c r="D50" s="10"/>
      <x:c r="E50" s="10"/>
      <x:c r="F50" s="10"/>
      <x:c r="G50" s="10"/>
      <x:c r="H50" s="10"/>
    </x:row>
    <x:row r="51" ht="14.25" customHeight="1">
      <x:c r="A51" s="10"/>
      <x:c r="B51" s="10"/>
      <x:c r="C51" s="10"/>
      <x:c r="D51" s="10"/>
      <x:c r="E51" s="10"/>
      <x:c r="F51" s="10"/>
      <x:c r="G51" s="10"/>
      <x:c r="H51" s="10"/>
    </x:row>
    <x:row r="52" ht="14.25" customHeight="1">
      <x:c r="A52" s="10"/>
      <x:c r="B52" s="10"/>
      <x:c r="C52" s="10"/>
      <x:c r="D52" s="10"/>
      <x:c r="E52" s="10"/>
      <x:c r="F52" s="10"/>
      <x:c r="G52" s="10"/>
      <x:c r="H52" s="10"/>
    </x:row>
    <x:row r="53" ht="14.25" customHeight="1">
      <x:c r="A53" s="10"/>
      <x:c r="B53" s="10"/>
      <x:c r="C53" s="10"/>
      <x:c r="D53" s="10"/>
      <x:c r="E53" s="10"/>
      <x:c r="F53" s="10"/>
      <x:c r="G53" s="10"/>
      <x:c r="H53" s="10"/>
    </x:row>
    <x:row r="54" ht="14.25" customHeight="1">
      <x:c r="A54" s="10"/>
      <x:c r="B54" s="10"/>
      <x:c r="C54" s="10"/>
      <x:c r="D54" s="10"/>
      <x:c r="E54" s="10"/>
      <x:c r="F54" s="10"/>
      <x:c r="G54" s="10"/>
      <x:c r="H54" s="10"/>
    </x:row>
    <x:row r="55" ht="14.25" customHeight="1">
      <x:c r="A55" s="10"/>
      <x:c r="B55" s="10"/>
      <x:c r="C55" s="10"/>
      <x:c r="D55" s="10"/>
      <x:c r="E55" s="10"/>
      <x:c r="F55" s="10"/>
      <x:c r="G55" s="10"/>
      <x:c r="H55" s="10"/>
    </x:row>
    <x:row r="56" ht="14.25" customHeight="1">
      <x:c r="A56" s="10"/>
      <x:c r="B56" s="10"/>
      <x:c r="C56" s="10"/>
      <x:c r="D56" s="10"/>
      <x:c r="E56" s="10"/>
      <x:c r="F56" s="10"/>
      <x:c r="G56" s="10"/>
      <x:c r="H56" s="10"/>
    </x:row>
    <x:row r="57" ht="14.25" customHeight="1">
      <x:c r="A57" s="10"/>
      <x:c r="B57" s="10"/>
      <x:c r="C57" s="10"/>
      <x:c r="D57" s="10"/>
      <x:c r="E57" s="10"/>
      <x:c r="F57" s="10"/>
      <x:c r="G57" s="10"/>
      <x:c r="H57" s="10"/>
    </x:row>
    <x:row r="58" ht="14.25" customHeight="1">
      <x:c r="A58" s="10"/>
      <x:c r="B58" s="10"/>
      <x:c r="C58" s="10"/>
      <x:c r="D58" s="10"/>
      <x:c r="E58" s="10"/>
      <x:c r="F58" s="10"/>
      <x:c r="G58" s="10"/>
      <x:c r="H58" s="10"/>
    </x:row>
    <x:row r="59" ht="14.25" customHeight="1">
      <x:c r="A59" s="10"/>
      <x:c r="B59" s="10"/>
      <x:c r="C59" s="10"/>
      <x:c r="D59" s="10"/>
      <x:c r="E59" s="10"/>
      <x:c r="F59" s="10"/>
      <x:c r="G59" s="10"/>
      <x:c r="H59" s="10"/>
    </x:row>
    <x:row r="60" ht="14.25" customHeight="1">
      <x:c r="A60" s="10"/>
      <x:c r="B60" s="10"/>
      <x:c r="C60" s="10"/>
      <x:c r="D60" s="10"/>
      <x:c r="E60" s="10"/>
      <x:c r="F60" s="10"/>
      <x:c r="G60" s="10"/>
      <x:c r="H60" s="10"/>
    </x:row>
    <x:row r="61" ht="14.25" customHeight="1">
      <x:c r="A61" s="10"/>
      <x:c r="B61" s="10"/>
      <x:c r="C61" s="10"/>
      <x:c r="D61" s="10"/>
      <x:c r="E61" s="10"/>
      <x:c r="F61" s="10"/>
      <x:c r="G61" s="10"/>
      <x:c r="H61" s="10"/>
    </x:row>
    <x:row r="62" ht="14.25" customHeight="1">
      <x:c r="A62" s="10"/>
      <x:c r="B62" s="10"/>
      <x:c r="C62" s="10"/>
      <x:c r="D62" s="10"/>
      <x:c r="E62" s="10"/>
      <x:c r="F62" s="10"/>
      <x:c r="G62" s="10"/>
      <x:c r="H62" s="10"/>
    </x:row>
    <x:row r="63" ht="14.25" customHeight="1">
      <x:c r="A63" s="10"/>
      <x:c r="B63" s="10"/>
      <x:c r="C63" s="10"/>
      <x:c r="D63" s="10"/>
      <x:c r="E63" s="10"/>
      <x:c r="F63" s="10"/>
      <x:c r="G63" s="10"/>
      <x:c r="H63" s="10"/>
    </x:row>
    <x:row r="64" ht="14.25" customHeight="1">
      <x:c r="A64" s="10"/>
      <x:c r="B64" s="10"/>
      <x:c r="C64" s="10"/>
      <x:c r="D64" s="10"/>
      <x:c r="E64" s="10"/>
      <x:c r="F64" s="10"/>
      <x:c r="G64" s="10"/>
      <x:c r="H64" s="10"/>
    </x:row>
    <x:row r="65" ht="14.25" customHeight="1">
      <x:c r="A65" s="10"/>
      <x:c r="B65" s="10"/>
      <x:c r="C65" s="10"/>
      <x:c r="D65" s="10"/>
      <x:c r="E65" s="10"/>
      <x:c r="F65" s="10"/>
      <x:c r="G65" s="10"/>
      <x:c r="H65" s="10"/>
    </x:row>
    <x:row r="66" ht="14.25" customHeight="1">
      <x:c r="A66" s="10"/>
      <x:c r="B66" s="10"/>
      <x:c r="C66" s="10"/>
      <x:c r="D66" s="10"/>
      <x:c r="E66" s="10"/>
      <x:c r="F66" s="10"/>
      <x:c r="G66" s="10"/>
      <x:c r="H66" s="10"/>
    </x:row>
    <x:row r="67" ht="14.25" customHeight="1">
      <x:c r="A67" s="10"/>
      <x:c r="B67" s="10"/>
      <x:c r="C67" s="10"/>
      <x:c r="D67" s="10"/>
      <x:c r="E67" s="10"/>
      <x:c r="F67" s="10"/>
      <x:c r="G67" s="10"/>
      <x:c r="H67" s="10"/>
    </x:row>
    <x:row r="68" ht="14.25" customHeight="1">
      <x:c r="A68" s="10"/>
      <x:c r="B68" s="10"/>
      <x:c r="C68" s="10"/>
      <x:c r="D68" s="10"/>
      <x:c r="E68" s="10"/>
      <x:c r="F68" s="10"/>
      <x:c r="G68" s="10"/>
      <x:c r="H68" s="10"/>
    </x:row>
    <x:row r="69" ht="14.25" customHeight="1">
      <x:c r="A69" s="10"/>
      <x:c r="B69" s="10"/>
      <x:c r="C69" s="10"/>
      <x:c r="D69" s="10"/>
      <x:c r="E69" s="10"/>
      <x:c r="F69" s="10"/>
      <x:c r="G69" s="10"/>
      <x:c r="H69" s="10"/>
    </x:row>
    <x:row r="70" ht="14.25" customHeight="1">
      <x:c r="A70" s="10"/>
      <x:c r="B70" s="10"/>
      <x:c r="C70" s="10"/>
      <x:c r="D70" s="10"/>
      <x:c r="E70" s="10"/>
      <x:c r="F70" s="10"/>
      <x:c r="G70" s="10"/>
      <x:c r="H70" s="10"/>
    </x:row>
    <x:row r="71" ht="14.25" customHeight="1">
      <x:c r="A71" s="10"/>
      <x:c r="B71" s="10"/>
      <x:c r="C71" s="10"/>
      <x:c r="D71" s="10"/>
      <x:c r="E71" s="10"/>
      <x:c r="F71" s="10"/>
      <x:c r="G71" s="10"/>
      <x:c r="H71" s="10"/>
    </x:row>
    <x:row r="72" ht="14.25" customHeight="1">
      <x:c r="A72" s="10"/>
      <x:c r="B72" s="10"/>
      <x:c r="C72" s="10"/>
      <x:c r="D72" s="10"/>
      <x:c r="E72" s="10"/>
      <x:c r="F72" s="10"/>
      <x:c r="G72" s="10"/>
      <x:c r="H72" s="10"/>
    </x:row>
    <x:row r="73" ht="14.25" customHeight="1">
      <x:c r="A73" s="10"/>
      <x:c r="B73" s="10"/>
      <x:c r="C73" s="10"/>
      <x:c r="D73" s="10"/>
      <x:c r="E73" s="10"/>
      <x:c r="F73" s="10"/>
      <x:c r="G73" s="10"/>
      <x:c r="H73" s="10"/>
    </x:row>
    <x:row r="74" ht="14.25" customHeight="1">
      <x:c r="A74" s="10"/>
      <x:c r="B74" s="10"/>
      <x:c r="C74" s="10"/>
      <x:c r="D74" s="10"/>
      <x:c r="E74" s="10"/>
      <x:c r="F74" s="10"/>
      <x:c r="G74" s="10"/>
      <x:c r="H74" s="10"/>
    </x:row>
    <x:row r="75" ht="14.25" customHeight="1">
      <x:c r="A75" s="10"/>
      <x:c r="B75" s="10"/>
      <x:c r="C75" s="10"/>
      <x:c r="D75" s="10"/>
      <x:c r="E75" s="10"/>
      <x:c r="F75" s="10"/>
      <x:c r="G75" s="10"/>
      <x:c r="H75" s="10"/>
    </x:row>
    <x:row r="76" ht="14.25" customHeight="1">
      <x:c r="A76" s="10"/>
      <x:c r="B76" s="10"/>
      <x:c r="C76" s="10"/>
      <x:c r="D76" s="10"/>
      <x:c r="E76" s="10"/>
      <x:c r="F76" s="10"/>
      <x:c r="G76" s="10"/>
      <x:c r="H76" s="10"/>
    </x:row>
    <x:row r="77" ht="14.25" customHeight="1">
      <x:c r="A77" s="10"/>
      <x:c r="B77" s="10"/>
      <x:c r="C77" s="10"/>
      <x:c r="D77" s="10"/>
      <x:c r="E77" s="10"/>
      <x:c r="F77" s="10"/>
      <x:c r="G77" s="10"/>
      <x:c r="H77" s="10"/>
    </x:row>
    <x:row r="78" ht="14.25" customHeight="1">
      <x:c r="A78" s="10"/>
      <x:c r="B78" s="10"/>
      <x:c r="C78" s="10"/>
      <x:c r="D78" s="10"/>
      <x:c r="E78" s="10"/>
      <x:c r="F78" s="10"/>
      <x:c r="G78" s="10"/>
      <x:c r="H78" s="10"/>
    </x:row>
    <x:row r="79" ht="14.25" customHeight="1">
      <x:c r="A79" s="10"/>
      <x:c r="B79" s="10"/>
      <x:c r="C79" s="10"/>
      <x:c r="D79" s="10"/>
      <x:c r="E79" s="10"/>
      <x:c r="F79" s="10"/>
      <x:c r="G79" s="10"/>
      <x:c r="H79" s="10"/>
    </x:row>
    <x:row r="80" ht="14.25" customHeight="1">
      <x:c r="A80" s="10"/>
      <x:c r="B80" s="10"/>
      <x:c r="C80" s="10"/>
      <x:c r="D80" s="10"/>
      <x:c r="E80" s="10"/>
      <x:c r="F80" s="10"/>
      <x:c r="G80" s="10"/>
      <x:c r="H80" s="10"/>
    </x:row>
    <x:row r="81" ht="14.25" customHeight="1">
      <x:c r="A81" s="10"/>
      <x:c r="B81" s="10"/>
      <x:c r="C81" s="10"/>
      <x:c r="D81" s="10"/>
      <x:c r="E81" s="10"/>
      <x:c r="F81" s="10"/>
      <x:c r="G81" s="10"/>
      <x:c r="H81" s="10"/>
    </x:row>
    <x:row r="82" ht="14.25" customHeight="1">
      <x:c r="A82" s="10"/>
      <x:c r="B82" s="10"/>
      <x:c r="C82" s="10"/>
      <x:c r="D82" s="10"/>
      <x:c r="E82" s="10"/>
      <x:c r="F82" s="10"/>
      <x:c r="G82" s="10"/>
      <x:c r="H82" s="10"/>
    </x:row>
    <x:row r="83" ht="14.25" customHeight="1">
      <x:c r="A83" s="10"/>
      <x:c r="B83" s="10"/>
      <x:c r="C83" s="10"/>
      <x:c r="D83" s="10"/>
      <x:c r="E83" s="10"/>
      <x:c r="F83" s="10"/>
      <x:c r="G83" s="10"/>
      <x:c r="H83" s="10"/>
    </x:row>
    <x:row r="84" ht="14.25" customHeight="1">
      <x:c r="A84" s="10"/>
      <x:c r="B84" s="10"/>
      <x:c r="C84" s="10"/>
      <x:c r="D84" s="10"/>
      <x:c r="E84" s="10"/>
      <x:c r="F84" s="10"/>
      <x:c r="G84" s="10"/>
      <x:c r="H84" s="10"/>
    </x:row>
    <x:row r="85" ht="14.25" customHeight="1">
      <x:c r="A85" s="10"/>
      <x:c r="B85" s="10"/>
      <x:c r="C85" s="10"/>
      <x:c r="D85" s="10"/>
      <x:c r="E85" s="10"/>
      <x:c r="F85" s="10"/>
      <x:c r="G85" s="10"/>
      <x:c r="H85" s="10"/>
    </x:row>
    <x:row r="86" ht="14.25" customHeight="1">
      <x:c r="A86" s="10"/>
      <x:c r="B86" s="10"/>
      <x:c r="C86" s="10"/>
      <x:c r="D86" s="10"/>
      <x:c r="E86" s="10"/>
      <x:c r="F86" s="10"/>
      <x:c r="G86" s="10"/>
      <x:c r="H86" s="10"/>
    </x:row>
    <x:row r="87" ht="14.25" customHeight="1">
      <x:c r="A87" s="10"/>
      <x:c r="B87" s="10"/>
      <x:c r="C87" s="10"/>
      <x:c r="D87" s="10"/>
      <x:c r="E87" s="10"/>
      <x:c r="F87" s="10"/>
      <x:c r="G87" s="10"/>
      <x:c r="H87" s="10"/>
    </x:row>
    <x:row r="88" ht="14.25" customHeight="1">
      <x:c r="A88" s="10"/>
      <x:c r="B88" s="10"/>
      <x:c r="C88" s="10"/>
      <x:c r="D88" s="10"/>
      <x:c r="E88" s="10"/>
      <x:c r="F88" s="10"/>
      <x:c r="G88" s="10"/>
      <x:c r="H88" s="10"/>
    </x:row>
    <x:row r="89" ht="14.25" customHeight="1">
      <x:c r="A89" s="10"/>
      <x:c r="B89" s="10"/>
      <x:c r="C89" s="10"/>
      <x:c r="D89" s="10"/>
      <x:c r="E89" s="10"/>
      <x:c r="F89" s="10"/>
      <x:c r="G89" s="10"/>
      <x:c r="H89" s="10"/>
    </x:row>
    <x:row r="90" ht="14.25" customHeight="1">
      <x:c r="A90" s="10"/>
      <x:c r="B90" s="10"/>
      <x:c r="C90" s="10"/>
      <x:c r="D90" s="10"/>
      <x:c r="E90" s="10"/>
      <x:c r="F90" s="10"/>
      <x:c r="G90" s="10"/>
      <x:c r="H90" s="10"/>
    </x:row>
    <x:row r="91" ht="14.25" customHeight="1">
      <x:c r="A91" s="10"/>
      <x:c r="B91" s="10"/>
      <x:c r="C91" s="10"/>
      <x:c r="D91" s="10"/>
      <x:c r="E91" s="10"/>
      <x:c r="F91" s="10"/>
      <x:c r="G91" s="10"/>
      <x:c r="H91" s="10"/>
    </x:row>
    <x:row r="92" ht="14.25" customHeight="1">
      <x:c r="A92" s="10"/>
      <x:c r="B92" s="10"/>
      <x:c r="C92" s="10"/>
      <x:c r="D92" s="10"/>
      <x:c r="E92" s="10"/>
      <x:c r="F92" s="10"/>
      <x:c r="G92" s="10"/>
      <x:c r="H92" s="10"/>
    </x:row>
    <x:row r="93" ht="14.25" customHeight="1">
      <x:c r="A93" s="10"/>
      <x:c r="B93" s="10"/>
      <x:c r="C93" s="10"/>
      <x:c r="D93" s="10"/>
      <x:c r="E93" s="10"/>
      <x:c r="F93" s="10"/>
      <x:c r="G93" s="10"/>
      <x:c r="H93" s="10"/>
    </x:row>
    <x:row r="94" ht="14.25" customHeight="1">
      <x:c r="A94" s="10"/>
      <x:c r="B94" s="10"/>
      <x:c r="C94" s="10"/>
      <x:c r="D94" s="10"/>
      <x:c r="E94" s="10"/>
      <x:c r="F94" s="10"/>
      <x:c r="G94" s="10"/>
      <x:c r="H94" s="10"/>
    </x:row>
    <x:row r="95" ht="14.25" customHeight="1">
      <x:c r="A95" s="10"/>
      <x:c r="B95" s="10"/>
      <x:c r="C95" s="10"/>
      <x:c r="D95" s="10"/>
      <x:c r="E95" s="10"/>
      <x:c r="F95" s="10"/>
      <x:c r="G95" s="10"/>
      <x:c r="H95" s="10"/>
    </x:row>
    <x:row r="96" ht="14.25" customHeight="1">
      <x:c r="A96" s="10"/>
      <x:c r="B96" s="10"/>
      <x:c r="C96" s="10"/>
      <x:c r="D96" s="10"/>
      <x:c r="E96" s="10"/>
      <x:c r="F96" s="10"/>
      <x:c r="G96" s="10"/>
      <x:c r="H96" s="10"/>
    </x:row>
    <x:row r="97" ht="14.25" customHeight="1">
      <x:c r="A97" s="10"/>
      <x:c r="B97" s="10"/>
      <x:c r="C97" s="10"/>
      <x:c r="D97" s="10"/>
      <x:c r="E97" s="10"/>
      <x:c r="F97" s="10"/>
      <x:c r="G97" s="10"/>
      <x:c r="H97" s="10"/>
    </x:row>
    <x:row r="98" ht="14.25" customHeight="1">
      <x:c r="A98" s="10"/>
      <x:c r="B98" s="10"/>
      <x:c r="C98" s="10"/>
      <x:c r="D98" s="10"/>
      <x:c r="E98" s="10"/>
      <x:c r="F98" s="10"/>
      <x:c r="G98" s="10"/>
      <x:c r="H98" s="10"/>
    </x:row>
    <x:row r="99" ht="14.25" customHeight="1">
      <x:c r="A99" s="10"/>
      <x:c r="B99" s="10"/>
      <x:c r="C99" s="10"/>
      <x:c r="D99" s="10"/>
      <x:c r="E99" s="10"/>
      <x:c r="F99" s="10"/>
      <x:c r="G99" s="10"/>
      <x:c r="H99" s="10"/>
    </x:row>
    <x:row r="100" ht="14.25" customHeight="1">
      <x:c r="A100" s="10"/>
      <x:c r="B100" s="10"/>
      <x:c r="C100" s="10"/>
      <x:c r="D100" s="10"/>
      <x:c r="E100" s="10"/>
      <x:c r="F100" s="10"/>
      <x:c r="G100" s="10"/>
      <x:c r="H100" s="10"/>
    </x:row>
    <x:row r="101" ht="14.25" customHeight="1">
      <x:c r="A101" s="10"/>
      <x:c r="B101" s="10"/>
      <x:c r="C101" s="10"/>
      <x:c r="D101" s="10"/>
      <x:c r="E101" s="10"/>
      <x:c r="F101" s="10"/>
      <x:c r="G101" s="10"/>
      <x:c r="H101" s="10"/>
    </x:row>
    <x:row r="102" ht="14.25" customHeight="1">
      <x:c r="A102" s="10"/>
      <x:c r="B102" s="10"/>
      <x:c r="C102" s="10"/>
      <x:c r="D102" s="10"/>
      <x:c r="E102" s="10"/>
      <x:c r="F102" s="10"/>
      <x:c r="G102" s="10"/>
      <x:c r="H102" s="10"/>
    </x:row>
    <x:row r="103" ht="14.25" customHeight="1">
      <x:c r="A103" s="10"/>
      <x:c r="B103" s="10"/>
      <x:c r="C103" s="10"/>
      <x:c r="D103" s="10"/>
      <x:c r="E103" s="10"/>
      <x:c r="F103" s="10"/>
      <x:c r="G103" s="10"/>
      <x:c r="H103" s="10"/>
    </x:row>
    <x:row r="104" ht="14.25" customHeight="1">
      <x:c r="A104" s="10"/>
      <x:c r="B104" s="10"/>
      <x:c r="C104" s="10"/>
      <x:c r="D104" s="10"/>
      <x:c r="E104" s="10"/>
      <x:c r="F104" s="10"/>
      <x:c r="G104" s="10"/>
      <x:c r="H104" s="10"/>
    </x:row>
    <x:row r="105" ht="14.25" customHeight="1">
      <x:c r="A105" s="10"/>
      <x:c r="B105" s="10"/>
      <x:c r="C105" s="10"/>
      <x:c r="D105" s="10"/>
      <x:c r="E105" s="10"/>
      <x:c r="F105" s="10"/>
      <x:c r="G105" s="10"/>
      <x:c r="H105" s="10"/>
    </x:row>
    <x:row r="106" ht="14.25" customHeight="1">
      <x:c r="A106" s="10"/>
      <x:c r="B106" s="10"/>
      <x:c r="C106" s="10"/>
      <x:c r="D106" s="10"/>
      <x:c r="E106" s="10"/>
      <x:c r="F106" s="10"/>
      <x:c r="G106" s="10"/>
      <x:c r="H106" s="10"/>
    </x:row>
    <x:row r="107" ht="14.25" customHeight="1">
      <x:c r="A107" s="10"/>
      <x:c r="B107" s="10"/>
      <x:c r="C107" s="10"/>
      <x:c r="D107" s="10"/>
      <x:c r="E107" s="10"/>
      <x:c r="F107" s="10"/>
      <x:c r="G107" s="10"/>
      <x:c r="H107" s="10"/>
    </x:row>
    <x:row r="108" ht="14.25" customHeight="1">
      <x:c r="A108" s="10"/>
      <x:c r="B108" s="10"/>
      <x:c r="C108" s="10"/>
      <x:c r="D108" s="10"/>
      <x:c r="E108" s="10"/>
      <x:c r="F108" s="10"/>
      <x:c r="G108" s="10"/>
      <x:c r="H108" s="10"/>
    </x:row>
    <x:row r="109" ht="14.25" customHeight="1">
      <x:c r="A109" s="10"/>
      <x:c r="B109" s="10"/>
      <x:c r="C109" s="10"/>
      <x:c r="D109" s="10"/>
      <x:c r="E109" s="10"/>
      <x:c r="F109" s="10"/>
      <x:c r="G109" s="10"/>
      <x:c r="H109" s="10"/>
    </x:row>
    <x:row r="110" ht="14.25" customHeight="1">
      <x:c r="A110" s="10"/>
      <x:c r="B110" s="10"/>
      <x:c r="C110" s="10"/>
      <x:c r="D110" s="10"/>
      <x:c r="E110" s="10"/>
      <x:c r="F110" s="10"/>
      <x:c r="G110" s="10"/>
      <x:c r="H110" s="10"/>
    </x:row>
    <x:row r="111" ht="14.25" customHeight="1">
      <x:c r="A111" s="10"/>
      <x:c r="B111" s="10"/>
      <x:c r="C111" s="10"/>
      <x:c r="D111" s="10"/>
      <x:c r="E111" s="10"/>
      <x:c r="F111" s="10"/>
      <x:c r="G111" s="10"/>
      <x:c r="H111" s="10"/>
    </x:row>
    <x:row r="112" ht="14.25" customHeight="1">
      <x:c r="A112" s="10"/>
      <x:c r="B112" s="10"/>
      <x:c r="C112" s="10"/>
      <x:c r="D112" s="10"/>
      <x:c r="E112" s="10"/>
      <x:c r="F112" s="10"/>
      <x:c r="G112" s="10"/>
      <x:c r="H112" s="10"/>
    </x:row>
    <x:row r="113" ht="14.25" customHeight="1">
      <x:c r="A113" s="10"/>
      <x:c r="B113" s="10"/>
      <x:c r="C113" s="10"/>
      <x:c r="D113" s="10"/>
      <x:c r="E113" s="10"/>
      <x:c r="F113" s="10"/>
      <x:c r="G113" s="10"/>
      <x:c r="H113" s="10"/>
    </x:row>
    <x:row r="114" ht="14.25" customHeight="1">
      <x:c r="A114" s="10"/>
      <x:c r="B114" s="10"/>
      <x:c r="C114" s="10"/>
      <x:c r="D114" s="10"/>
      <x:c r="E114" s="10"/>
      <x:c r="F114" s="10"/>
      <x:c r="G114" s="10"/>
      <x:c r="H114" s="10"/>
    </x:row>
    <x:row r="115" ht="14.25" customHeight="1">
      <x:c r="A115" s="10"/>
      <x:c r="B115" s="10"/>
      <x:c r="C115" s="10"/>
      <x:c r="D115" s="10"/>
      <x:c r="E115" s="10"/>
      <x:c r="F115" s="10"/>
      <x:c r="G115" s="10"/>
      <x:c r="H115" s="10"/>
    </x:row>
    <x:row r="116" ht="14.25" customHeight="1">
      <x:c r="A116" s="10"/>
      <x:c r="B116" s="10"/>
      <x:c r="C116" s="10"/>
      <x:c r="D116" s="10"/>
      <x:c r="E116" s="10"/>
      <x:c r="F116" s="10"/>
      <x:c r="G116" s="10"/>
      <x:c r="H116" s="10"/>
    </x:row>
    <x:row r="117" ht="14.25" customHeight="1">
      <x:c r="A117" s="10"/>
      <x:c r="B117" s="10"/>
      <x:c r="C117" s="10"/>
      <x:c r="D117" s="10"/>
      <x:c r="E117" s="10"/>
      <x:c r="F117" s="10"/>
      <x:c r="G117" s="10"/>
      <x:c r="H117" s="10"/>
    </x:row>
    <x:row r="118" ht="14.25" customHeight="1">
      <x:c r="A118" s="10"/>
      <x:c r="B118" s="10"/>
      <x:c r="C118" s="10"/>
      <x:c r="D118" s="10"/>
      <x:c r="E118" s="10"/>
      <x:c r="F118" s="10"/>
      <x:c r="G118" s="10"/>
      <x:c r="H118" s="10"/>
    </x:row>
    <x:row r="119" ht="14.25" customHeight="1">
      <x:c r="A119" s="10"/>
      <x:c r="B119" s="10"/>
      <x:c r="C119" s="10"/>
      <x:c r="D119" s="10"/>
      <x:c r="E119" s="10"/>
      <x:c r="F119" s="10"/>
      <x:c r="G119" s="10"/>
      <x:c r="H119" s="10"/>
    </x:row>
    <x:row r="120" ht="14.25" customHeight="1">
      <x:c r="A120" s="10"/>
      <x:c r="B120" s="10"/>
      <x:c r="C120" s="10"/>
      <x:c r="D120" s="10"/>
      <x:c r="E120" s="10"/>
      <x:c r="F120" s="10"/>
      <x:c r="G120" s="10"/>
      <x:c r="H120" s="10"/>
    </x:row>
    <x:row r="121" ht="14.25" customHeight="1">
      <x:c r="A121" s="10"/>
      <x:c r="B121" s="10"/>
      <x:c r="C121" s="10"/>
      <x:c r="D121" s="10"/>
      <x:c r="E121" s="10"/>
      <x:c r="F121" s="10"/>
      <x:c r="G121" s="10"/>
      <x:c r="H121" s="10"/>
    </x:row>
    <x:row r="122" ht="14.25" customHeight="1">
      <x:c r="A122" s="10"/>
      <x:c r="B122" s="10"/>
      <x:c r="C122" s="10"/>
      <x:c r="D122" s="10"/>
      <x:c r="E122" s="10"/>
      <x:c r="F122" s="10"/>
      <x:c r="G122" s="10"/>
      <x:c r="H122" s="10"/>
    </x:row>
    <x:row r="123" ht="14.25" customHeight="1">
      <x:c r="A123" s="10"/>
      <x:c r="B123" s="10"/>
      <x:c r="C123" s="10"/>
      <x:c r="D123" s="10"/>
      <x:c r="E123" s="10"/>
      <x:c r="F123" s="10"/>
      <x:c r="G123" s="10"/>
      <x:c r="H123" s="10"/>
    </x:row>
    <x:row r="124" ht="14.25" customHeight="1">
      <x:c r="A124" s="10"/>
      <x:c r="B124" s="10"/>
      <x:c r="C124" s="10"/>
      <x:c r="D124" s="10"/>
      <x:c r="E124" s="10"/>
      <x:c r="F124" s="10"/>
      <x:c r="G124" s="10"/>
      <x:c r="H124" s="10"/>
    </x:row>
    <x:row r="125" ht="14.25" customHeight="1">
      <x:c r="A125" s="10"/>
      <x:c r="B125" s="10"/>
      <x:c r="C125" s="10"/>
      <x:c r="D125" s="10"/>
      <x:c r="E125" s="10"/>
      <x:c r="F125" s="10"/>
      <x:c r="G125" s="10"/>
      <x:c r="H125" s="10"/>
    </x:row>
    <x:row r="126" ht="14.25" customHeight="1">
      <x:c r="A126" s="10"/>
      <x:c r="B126" s="10"/>
      <x:c r="C126" s="10"/>
      <x:c r="D126" s="10"/>
      <x:c r="E126" s="10"/>
      <x:c r="F126" s="10"/>
      <x:c r="G126" s="10"/>
      <x:c r="H126" s="10"/>
    </x:row>
    <x:row r="127" ht="14.25" customHeight="1">
      <x:c r="A127" s="10"/>
      <x:c r="B127" s="10"/>
      <x:c r="C127" s="10"/>
      <x:c r="D127" s="10"/>
      <x:c r="E127" s="10"/>
      <x:c r="F127" s="10"/>
      <x:c r="G127" s="10"/>
      <x:c r="H127" s="10"/>
    </x:row>
    <x:row r="128" ht="14.25" customHeight="1">
      <x:c r="A128" s="10"/>
      <x:c r="B128" s="10"/>
      <x:c r="C128" s="10"/>
      <x:c r="D128" s="10"/>
      <x:c r="E128" s="10"/>
      <x:c r="F128" s="10"/>
      <x:c r="G128" s="10"/>
      <x:c r="H128" s="10"/>
    </x:row>
    <x:row r="129" ht="14.25" customHeight="1">
      <x:c r="A129" s="10"/>
      <x:c r="B129" s="10"/>
      <x:c r="C129" s="10"/>
      <x:c r="D129" s="10"/>
      <x:c r="E129" s="10"/>
      <x:c r="F129" s="10"/>
      <x:c r="G129" s="10"/>
      <x:c r="H129" s="10"/>
    </x:row>
    <x:row r="130" ht="14.25" customHeight="1">
      <x:c r="A130" s="10"/>
      <x:c r="B130" s="10"/>
      <x:c r="C130" s="10"/>
      <x:c r="D130" s="10"/>
      <x:c r="E130" s="10"/>
      <x:c r="F130" s="10"/>
      <x:c r="G130" s="10"/>
      <x:c r="H130" s="10"/>
    </x:row>
    <x:row r="131" ht="14.25" customHeight="1">
      <x:c r="A131" s="10"/>
      <x:c r="B131" s="10"/>
      <x:c r="C131" s="10"/>
      <x:c r="D131" s="10"/>
      <x:c r="E131" s="10"/>
      <x:c r="F131" s="10"/>
      <x:c r="G131" s="10"/>
      <x:c r="H131" s="10"/>
    </x:row>
    <x:row r="132" ht="14.25" customHeight="1">
      <x:c r="A132" s="10"/>
      <x:c r="B132" s="10"/>
      <x:c r="C132" s="10"/>
      <x:c r="D132" s="10"/>
      <x:c r="E132" s="10"/>
      <x:c r="F132" s="10"/>
      <x:c r="G132" s="10"/>
      <x:c r="H132" s="10"/>
    </x:row>
    <x:row r="133" ht="14.25" customHeight="1">
      <x:c r="A133" s="10"/>
      <x:c r="B133" s="10"/>
      <x:c r="C133" s="10"/>
      <x:c r="D133" s="10"/>
      <x:c r="E133" s="10"/>
      <x:c r="F133" s="10"/>
      <x:c r="G133" s="10"/>
      <x:c r="H133" s="10"/>
    </x:row>
    <x:row r="134" ht="14.25" customHeight="1">
      <x:c r="A134" s="10"/>
      <x:c r="B134" s="10"/>
      <x:c r="C134" s="10"/>
      <x:c r="D134" s="10"/>
      <x:c r="E134" s="10"/>
      <x:c r="F134" s="10"/>
      <x:c r="G134" s="10"/>
      <x:c r="H134" s="10"/>
    </x:row>
    <x:row r="135" ht="14.25" customHeight="1">
      <x:c r="A135" s="10"/>
      <x:c r="B135" s="10"/>
      <x:c r="C135" s="10"/>
      <x:c r="D135" s="10"/>
      <x:c r="E135" s="10"/>
      <x:c r="F135" s="10"/>
      <x:c r="G135" s="10"/>
      <x:c r="H135" s="10"/>
    </x:row>
    <x:row r="136" ht="14.25" customHeight="1">
      <x:c r="A136" s="10"/>
      <x:c r="B136" s="10"/>
      <x:c r="C136" s="10"/>
      <x:c r="D136" s="10"/>
      <x:c r="E136" s="10"/>
      <x:c r="F136" s="10"/>
      <x:c r="G136" s="10"/>
      <x:c r="H136" s="10"/>
    </x:row>
    <x:row r="137" ht="14.25" customHeight="1">
      <x:c r="A137" s="10"/>
      <x:c r="B137" s="10"/>
      <x:c r="C137" s="10"/>
      <x:c r="D137" s="10"/>
      <x:c r="E137" s="10"/>
      <x:c r="F137" s="10"/>
      <x:c r="G137" s="10"/>
      <x:c r="H137" s="10"/>
    </x:row>
    <x:row r="138" ht="14.25" customHeight="1">
      <x:c r="A138" s="10"/>
      <x:c r="B138" s="10"/>
      <x:c r="C138" s="10"/>
      <x:c r="D138" s="10"/>
      <x:c r="E138" s="10"/>
      <x:c r="F138" s="10"/>
      <x:c r="G138" s="10"/>
      <x:c r="H138" s="10"/>
    </x:row>
    <x:row r="139" ht="14.25" customHeight="1">
      <x:c r="A139" s="10"/>
      <x:c r="B139" s="10"/>
      <x:c r="C139" s="10"/>
      <x:c r="D139" s="10"/>
      <x:c r="E139" s="10"/>
      <x:c r="F139" s="10"/>
      <x:c r="G139" s="10"/>
      <x:c r="H139" s="10"/>
    </x:row>
    <x:row r="140" ht="14.25" customHeight="1">
      <x:c r="A140" s="10"/>
      <x:c r="B140" s="10"/>
      <x:c r="C140" s="10"/>
      <x:c r="D140" s="10"/>
      <x:c r="E140" s="10"/>
      <x:c r="F140" s="10"/>
      <x:c r="G140" s="10"/>
      <x:c r="H140" s="10"/>
    </x:row>
    <x:row r="141" ht="14.25" customHeight="1">
      <x:c r="A141" s="10"/>
      <x:c r="B141" s="10"/>
      <x:c r="C141" s="10"/>
      <x:c r="D141" s="10"/>
      <x:c r="E141" s="10"/>
      <x:c r="F141" s="10"/>
      <x:c r="G141" s="10"/>
      <x:c r="H141" s="10"/>
    </x:row>
    <x:row r="142" ht="14.25" customHeight="1">
      <x:c r="A142" s="10"/>
      <x:c r="B142" s="10"/>
      <x:c r="C142" s="10"/>
      <x:c r="D142" s="10"/>
      <x:c r="E142" s="10"/>
      <x:c r="F142" s="10"/>
      <x:c r="G142" s="10"/>
      <x:c r="H142" s="10"/>
    </x:row>
    <x:row r="143" ht="14.25" customHeight="1">
      <x:c r="A143" s="10"/>
      <x:c r="B143" s="10"/>
      <x:c r="C143" s="10"/>
      <x:c r="D143" s="10"/>
      <x:c r="E143" s="10"/>
      <x:c r="F143" s="10"/>
      <x:c r="G143" s="10"/>
      <x:c r="H143" s="10"/>
    </x:row>
    <x:row r="144" ht="14.25" customHeight="1">
      <x:c r="A144" s="10"/>
      <x:c r="B144" s="10"/>
      <x:c r="C144" s="10"/>
      <x:c r="D144" s="10"/>
      <x:c r="E144" s="10"/>
      <x:c r="F144" s="10"/>
      <x:c r="G144" s="10"/>
      <x:c r="H144" s="10"/>
    </x:row>
    <x:row r="145" ht="14.25" customHeight="1">
      <x:c r="A145" s="10"/>
      <x:c r="B145" s="10"/>
      <x:c r="C145" s="10"/>
      <x:c r="D145" s="10"/>
      <x:c r="E145" s="10"/>
      <x:c r="F145" s="10"/>
      <x:c r="G145" s="10"/>
      <x:c r="H145" s="10"/>
    </x:row>
    <x:row r="146" ht="14.25" customHeight="1">
      <x:c r="A146" s="10"/>
      <x:c r="B146" s="10"/>
      <x:c r="C146" s="10"/>
      <x:c r="D146" s="10"/>
      <x:c r="E146" s="10"/>
      <x:c r="F146" s="10"/>
      <x:c r="G146" s="10"/>
      <x:c r="H146" s="10"/>
    </x:row>
    <x:row r="147" ht="14.25" customHeight="1">
      <x:c r="A147" s="10"/>
      <x:c r="B147" s="10"/>
      <x:c r="C147" s="10"/>
      <x:c r="D147" s="10"/>
      <x:c r="E147" s="10"/>
      <x:c r="F147" s="10"/>
      <x:c r="G147" s="10"/>
      <x:c r="H147" s="10"/>
    </x:row>
    <x:row r="148" ht="14.25" customHeight="1">
      <x:c r="A148" s="10"/>
      <x:c r="B148" s="10"/>
      <x:c r="C148" s="10"/>
      <x:c r="D148" s="10"/>
      <x:c r="E148" s="10"/>
      <x:c r="F148" s="10"/>
      <x:c r="G148" s="10"/>
      <x:c r="H148" s="10"/>
    </x:row>
    <x:row r="149" ht="14.25" customHeight="1">
      <x:c r="A149" s="10"/>
      <x:c r="B149" s="10"/>
      <x:c r="C149" s="10"/>
      <x:c r="D149" s="10"/>
      <x:c r="E149" s="10"/>
      <x:c r="F149" s="10"/>
      <x:c r="G149" s="10"/>
      <x:c r="H149" s="10"/>
    </x:row>
    <x:row r="150" ht="14.25" customHeight="1">
      <x:c r="A150" s="10"/>
      <x:c r="B150" s="10"/>
      <x:c r="C150" s="10"/>
      <x:c r="D150" s="10"/>
      <x:c r="E150" s="10"/>
      <x:c r="F150" s="10"/>
      <x:c r="G150" s="10"/>
      <x:c r="H150" s="10"/>
    </x:row>
    <x:row r="151" ht="14.25" customHeight="1">
      <x:c r="A151" s="10"/>
      <x:c r="B151" s="10"/>
      <x:c r="C151" s="10"/>
      <x:c r="D151" s="10"/>
      <x:c r="E151" s="10"/>
      <x:c r="F151" s="10"/>
      <x:c r="G151" s="10"/>
      <x:c r="H151" s="10"/>
    </x:row>
    <x:row r="152" ht="14.25" customHeight="1">
      <x:c r="A152" s="10"/>
      <x:c r="B152" s="10"/>
      <x:c r="C152" s="10"/>
      <x:c r="D152" s="10"/>
      <x:c r="E152" s="10"/>
      <x:c r="F152" s="10"/>
      <x:c r="G152" s="10"/>
      <x:c r="H152" s="10"/>
    </x:row>
    <x:row r="153" ht="14.25" customHeight="1">
      <x:c r="A153" s="10"/>
      <x:c r="B153" s="10"/>
      <x:c r="C153" s="10"/>
      <x:c r="D153" s="10"/>
      <x:c r="E153" s="10"/>
      <x:c r="F153" s="10"/>
      <x:c r="G153" s="10"/>
      <x:c r="H153" s="10"/>
    </x:row>
    <x:row r="154" ht="14.25" customHeight="1">
      <x:c r="A154" s="10"/>
      <x:c r="B154" s="10"/>
      <x:c r="C154" s="10"/>
      <x:c r="D154" s="10"/>
      <x:c r="E154" s="10"/>
      <x:c r="F154" s="10"/>
      <x:c r="G154" s="10"/>
      <x:c r="H154" s="10"/>
    </x:row>
    <x:row r="155" ht="14.25" customHeight="1">
      <x:c r="A155" s="10"/>
      <x:c r="B155" s="10"/>
      <x:c r="C155" s="10"/>
      <x:c r="D155" s="10"/>
      <x:c r="E155" s="10"/>
      <x:c r="F155" s="10"/>
      <x:c r="G155" s="10"/>
      <x:c r="H155" s="10"/>
    </x:row>
    <x:row r="156" ht="14.25" customHeight="1">
      <x:c r="A156" s="10"/>
      <x:c r="B156" s="10"/>
      <x:c r="C156" s="10"/>
      <x:c r="D156" s="10"/>
      <x:c r="E156" s="10"/>
      <x:c r="F156" s="10"/>
      <x:c r="G156" s="10"/>
      <x:c r="H156" s="10"/>
    </x:row>
    <x:row r="157" ht="14.25" customHeight="1">
      <x:c r="A157" s="10"/>
      <x:c r="B157" s="10"/>
      <x:c r="C157" s="10"/>
      <x:c r="D157" s="10"/>
      <x:c r="E157" s="10"/>
      <x:c r="F157" s="10"/>
      <x:c r="G157" s="10"/>
      <x:c r="H157" s="10"/>
    </x:row>
    <x:row r="158" ht="14.25" customHeight="1">
      <x:c r="A158" s="10"/>
      <x:c r="B158" s="10"/>
      <x:c r="C158" s="10"/>
      <x:c r="D158" s="10"/>
      <x:c r="E158" s="10"/>
      <x:c r="F158" s="10"/>
      <x:c r="G158" s="10"/>
      <x:c r="H158" s="10"/>
    </x:row>
    <x:row r="159" ht="14.25" customHeight="1">
      <x:c r="A159" s="10"/>
      <x:c r="B159" s="10"/>
      <x:c r="C159" s="10"/>
      <x:c r="D159" s="10"/>
      <x:c r="E159" s="10"/>
      <x:c r="F159" s="10"/>
      <x:c r="G159" s="10"/>
      <x:c r="H159" s="10"/>
    </x:row>
    <x:row r="160" ht="14.25" customHeight="1">
      <x:c r="A160" s="10"/>
      <x:c r="B160" s="10"/>
      <x:c r="C160" s="10"/>
      <x:c r="D160" s="10"/>
      <x:c r="E160" s="10"/>
      <x:c r="F160" s="10"/>
      <x:c r="G160" s="10"/>
      <x:c r="H160" s="10"/>
    </x:row>
    <x:row r="161" ht="14.25" customHeight="1">
      <x:c r="A161" s="10"/>
      <x:c r="B161" s="10"/>
      <x:c r="C161" s="10"/>
      <x:c r="D161" s="10"/>
      <x:c r="E161" s="10"/>
      <x:c r="F161" s="10"/>
      <x:c r="G161" s="10"/>
      <x:c r="H161" s="10"/>
    </x:row>
    <x:row r="162" ht="14.25" customHeight="1">
      <x:c r="A162" s="10"/>
      <x:c r="B162" s="10"/>
      <x:c r="C162" s="10"/>
      <x:c r="D162" s="10"/>
      <x:c r="E162" s="10"/>
      <x:c r="F162" s="10"/>
      <x:c r="G162" s="10"/>
      <x:c r="H162" s="10"/>
    </x:row>
    <x:row r="163" ht="14.25" customHeight="1">
      <x:c r="A163" s="10"/>
      <x:c r="B163" s="10"/>
      <x:c r="C163" s="10"/>
      <x:c r="D163" s="10"/>
      <x:c r="E163" s="10"/>
      <x:c r="F163" s="10"/>
      <x:c r="G163" s="10"/>
      <x:c r="H163" s="10"/>
    </x:row>
    <x:row r="164" ht="14.25" customHeight="1">
      <x:c r="A164" s="10"/>
      <x:c r="B164" s="10"/>
      <x:c r="C164" s="10"/>
      <x:c r="D164" s="10"/>
      <x:c r="E164" s="10"/>
      <x:c r="F164" s="10"/>
      <x:c r="G164" s="10"/>
      <x:c r="H164" s="10"/>
    </x:row>
    <x:row r="165" ht="14.25" customHeight="1">
      <x:c r="A165" s="10"/>
      <x:c r="B165" s="10"/>
      <x:c r="C165" s="10"/>
      <x:c r="D165" s="10"/>
      <x:c r="E165" s="10"/>
      <x:c r="F165" s="10"/>
      <x:c r="G165" s="10"/>
      <x:c r="H165" s="10"/>
    </x:row>
    <x:row r="166" ht="14.25" customHeight="1">
      <x:c r="A166" s="10"/>
      <x:c r="B166" s="10"/>
      <x:c r="C166" s="10"/>
      <x:c r="D166" s="10"/>
      <x:c r="E166" s="10"/>
      <x:c r="F166" s="10"/>
      <x:c r="G166" s="10"/>
      <x:c r="H166" s="10"/>
    </x:row>
    <x:row r="167" ht="14.25" customHeight="1">
      <x:c r="A167" s="10"/>
      <x:c r="B167" s="10"/>
      <x:c r="C167" s="10"/>
      <x:c r="D167" s="10"/>
      <x:c r="E167" s="10"/>
      <x:c r="F167" s="10"/>
      <x:c r="G167" s="10"/>
      <x:c r="H167" s="10"/>
    </x:row>
    <x:row r="168" ht="14.25" customHeight="1">
      <x:c r="A168" s="10"/>
      <x:c r="B168" s="10"/>
      <x:c r="C168" s="10"/>
      <x:c r="D168" s="10"/>
      <x:c r="E168" s="10"/>
      <x:c r="F168" s="10"/>
      <x:c r="G168" s="10"/>
      <x:c r="H168" s="10"/>
    </x:row>
    <x:row r="169" ht="14.25" customHeight="1">
      <x:c r="A169" s="10"/>
      <x:c r="B169" s="10"/>
      <x:c r="C169" s="10"/>
      <x:c r="D169" s="10"/>
      <x:c r="E169" s="10"/>
      <x:c r="F169" s="10"/>
      <x:c r="G169" s="10"/>
      <x:c r="H169" s="10"/>
    </x:row>
    <x:row r="170" ht="14.25" customHeight="1">
      <x:c r="A170" s="10"/>
      <x:c r="B170" s="10"/>
      <x:c r="C170" s="10"/>
      <x:c r="D170" s="10"/>
      <x:c r="E170" s="10"/>
      <x:c r="F170" s="10"/>
      <x:c r="G170" s="10"/>
      <x:c r="H170" s="10"/>
    </x:row>
    <x:row r="171" ht="14.25" customHeight="1">
      <x:c r="A171" s="10"/>
      <x:c r="B171" s="10"/>
      <x:c r="C171" s="10"/>
      <x:c r="D171" s="10"/>
      <x:c r="E171" s="10"/>
      <x:c r="F171" s="10"/>
      <x:c r="G171" s="10"/>
      <x:c r="H171" s="10"/>
    </x:row>
    <x:row r="172" ht="14.25" customHeight="1">
      <x:c r="A172" s="10"/>
      <x:c r="B172" s="10"/>
      <x:c r="C172" s="10"/>
      <x:c r="D172" s="10"/>
      <x:c r="E172" s="10"/>
      <x:c r="F172" s="10"/>
      <x:c r="G172" s="10"/>
      <x:c r="H172" s="10"/>
    </x:row>
    <x:row r="173" ht="14.25" customHeight="1">
      <x:c r="A173" s="10"/>
      <x:c r="B173" s="10"/>
      <x:c r="C173" s="10"/>
      <x:c r="D173" s="10"/>
      <x:c r="E173" s="10"/>
      <x:c r="F173" s="10"/>
      <x:c r="G173" s="10"/>
      <x:c r="H173" s="10"/>
    </x:row>
    <x:row r="174" ht="14.25" customHeight="1">
      <x:c r="A174" s="10"/>
      <x:c r="B174" s="10"/>
      <x:c r="C174" s="10"/>
      <x:c r="D174" s="10"/>
      <x:c r="E174" s="10"/>
      <x:c r="F174" s="10"/>
      <x:c r="G174" s="10"/>
      <x:c r="H174" s="10"/>
    </x:row>
    <x:row r="175" ht="14.25" customHeight="1">
      <x:c r="A175" s="10"/>
      <x:c r="B175" s="10"/>
      <x:c r="C175" s="10"/>
      <x:c r="D175" s="10"/>
      <x:c r="E175" s="10"/>
      <x:c r="F175" s="10"/>
      <x:c r="G175" s="10"/>
      <x:c r="H175" s="10"/>
    </x:row>
    <x:row r="176" ht="14.25" customHeight="1">
      <x:c r="A176" s="10"/>
      <x:c r="B176" s="10"/>
      <x:c r="C176" s="10"/>
      <x:c r="D176" s="10"/>
      <x:c r="E176" s="10"/>
      <x:c r="F176" s="10"/>
      <x:c r="G176" s="10"/>
      <x:c r="H176" s="10"/>
    </x:row>
    <x:row r="177" ht="14.25" customHeight="1">
      <x:c r="A177" s="10"/>
      <x:c r="B177" s="10"/>
      <x:c r="C177" s="10"/>
      <x:c r="D177" s="10"/>
      <x:c r="E177" s="10"/>
      <x:c r="F177" s="10"/>
      <x:c r="G177" s="10"/>
      <x:c r="H177" s="10"/>
    </x:row>
    <x:row r="178" ht="14.25" customHeight="1">
      <x:c r="A178" s="10"/>
      <x:c r="B178" s="10"/>
      <x:c r="C178" s="10"/>
      <x:c r="D178" s="10"/>
      <x:c r="E178" s="10"/>
      <x:c r="F178" s="10"/>
      <x:c r="G178" s="10"/>
      <x:c r="H178" s="10"/>
    </x:row>
    <x:row r="179" ht="14.25" customHeight="1">
      <x:c r="A179" s="10"/>
      <x:c r="B179" s="10"/>
      <x:c r="C179" s="10"/>
      <x:c r="D179" s="10"/>
      <x:c r="E179" s="10"/>
      <x:c r="F179" s="10"/>
      <x:c r="G179" s="10"/>
      <x:c r="H179" s="10"/>
    </x:row>
    <x:row r="180" ht="14.25" customHeight="1">
      <x:c r="A180" s="10"/>
      <x:c r="B180" s="10"/>
      <x:c r="C180" s="10"/>
      <x:c r="D180" s="10"/>
      <x:c r="E180" s="10"/>
      <x:c r="F180" s="10"/>
      <x:c r="G180" s="10"/>
      <x:c r="H180" s="10"/>
    </x:row>
    <x:row r="181" ht="14.25" customHeight="1">
      <x:c r="A181" s="10"/>
      <x:c r="B181" s="10"/>
      <x:c r="C181" s="10"/>
      <x:c r="D181" s="10"/>
      <x:c r="E181" s="10"/>
      <x:c r="F181" s="10"/>
      <x:c r="G181" s="10"/>
      <x:c r="H181" s="10"/>
    </x:row>
    <x:row r="182" ht="14.25" customHeight="1">
      <x:c r="A182" s="10"/>
      <x:c r="B182" s="10"/>
      <x:c r="C182" s="10"/>
      <x:c r="D182" s="10"/>
      <x:c r="E182" s="10"/>
      <x:c r="F182" s="10"/>
      <x:c r="G182" s="10"/>
      <x:c r="H182" s="10"/>
    </x:row>
    <x:row r="183" ht="14.25" customHeight="1">
      <x:c r="A183" s="10"/>
      <x:c r="B183" s="10"/>
      <x:c r="C183" s="10"/>
      <x:c r="D183" s="10"/>
      <x:c r="E183" s="10"/>
      <x:c r="F183" s="10"/>
      <x:c r="G183" s="10"/>
      <x:c r="H183" s="10"/>
    </x:row>
    <x:row r="184" ht="14.25" customHeight="1">
      <x:c r="A184" s="10"/>
      <x:c r="B184" s="10"/>
      <x:c r="C184" s="10"/>
      <x:c r="D184" s="10"/>
      <x:c r="E184" s="10"/>
      <x:c r="F184" s="10"/>
      <x:c r="G184" s="10"/>
      <x:c r="H184" s="10"/>
    </x:row>
    <x:row r="185" ht="14.25" customHeight="1">
      <x:c r="A185" s="10"/>
      <x:c r="B185" s="10"/>
      <x:c r="C185" s="10"/>
      <x:c r="D185" s="10"/>
      <x:c r="E185" s="10"/>
      <x:c r="F185" s="10"/>
      <x:c r="G185" s="10"/>
      <x:c r="H185" s="10"/>
    </x:row>
    <x:row r="186" ht="14.25" customHeight="1">
      <x:c r="A186" s="10"/>
      <x:c r="B186" s="10"/>
      <x:c r="C186" s="10"/>
      <x:c r="D186" s="10"/>
      <x:c r="E186" s="10"/>
      <x:c r="F186" s="10"/>
      <x:c r="G186" s="10"/>
      <x:c r="H186" s="10"/>
    </x:row>
    <x:row r="187" ht="14.25" customHeight="1">
      <x:c r="A187" s="10"/>
      <x:c r="B187" s="10"/>
      <x:c r="C187" s="10"/>
      <x:c r="D187" s="10"/>
      <x:c r="E187" s="10"/>
      <x:c r="F187" s="10"/>
      <x:c r="G187" s="10"/>
      <x:c r="H187" s="10"/>
    </x:row>
    <x:row r="188" ht="14.25" customHeight="1">
      <x:c r="A188" s="10"/>
      <x:c r="B188" s="10"/>
      <x:c r="C188" s="10"/>
      <x:c r="D188" s="10"/>
      <x:c r="E188" s="10"/>
      <x:c r="F188" s="10"/>
      <x:c r="G188" s="10"/>
      <x:c r="H188" s="10"/>
    </x:row>
    <x:row r="189" ht="14.25" customHeight="1">
      <x:c r="A189" s="10"/>
      <x:c r="B189" s="10"/>
      <x:c r="C189" s="10"/>
      <x:c r="D189" s="10"/>
      <x:c r="E189" s="10"/>
      <x:c r="F189" s="10"/>
      <x:c r="G189" s="10"/>
      <x:c r="H189" s="10"/>
    </x:row>
    <x:row r="190" ht="14.25" customHeight="1">
      <x:c r="A190" s="10"/>
      <x:c r="B190" s="10"/>
      <x:c r="C190" s="10"/>
      <x:c r="D190" s="10"/>
      <x:c r="E190" s="10"/>
      <x:c r="F190" s="10"/>
      <x:c r="G190" s="10"/>
      <x:c r="H190" s="10"/>
    </x:row>
    <x:row r="191" ht="14.25" customHeight="1">
      <x:c r="A191" s="10"/>
      <x:c r="B191" s="10"/>
      <x:c r="C191" s="10"/>
      <x:c r="D191" s="10"/>
      <x:c r="E191" s="10"/>
      <x:c r="F191" s="10"/>
      <x:c r="G191" s="10"/>
      <x:c r="H191" s="10"/>
    </x:row>
    <x:row r="192" ht="14.25" customHeight="1">
      <x:c r="A192" s="10"/>
      <x:c r="B192" s="10"/>
      <x:c r="C192" s="10"/>
      <x:c r="D192" s="10"/>
      <x:c r="E192" s="10"/>
      <x:c r="F192" s="10"/>
      <x:c r="G192" s="10"/>
      <x:c r="H192" s="10"/>
    </x:row>
    <x:row r="193" ht="14.25" customHeight="1">
      <x:c r="A193" s="10"/>
      <x:c r="B193" s="10"/>
      <x:c r="C193" s="10"/>
      <x:c r="D193" s="10"/>
      <x:c r="E193" s="10"/>
      <x:c r="F193" s="10"/>
      <x:c r="G193" s="10"/>
      <x:c r="H193" s="10"/>
    </x:row>
    <x:row r="194" ht="14.25" customHeight="1">
      <x:c r="A194" s="10"/>
      <x:c r="B194" s="10"/>
      <x:c r="C194" s="10"/>
      <x:c r="D194" s="10"/>
      <x:c r="E194" s="10"/>
      <x:c r="F194" s="10"/>
      <x:c r="G194" s="10"/>
      <x:c r="H194" s="10"/>
    </x:row>
    <x:row r="195" ht="14.25" customHeight="1">
      <x:c r="A195" s="10"/>
      <x:c r="B195" s="10"/>
      <x:c r="C195" s="10"/>
      <x:c r="D195" s="10"/>
      <x:c r="E195" s="10"/>
      <x:c r="F195" s="10"/>
      <x:c r="G195" s="10"/>
      <x:c r="H195" s="10"/>
    </x:row>
    <x:row r="196" ht="14.25" customHeight="1">
      <x:c r="A196" s="10"/>
      <x:c r="B196" s="10"/>
      <x:c r="C196" s="10"/>
      <x:c r="D196" s="10"/>
      <x:c r="E196" s="10"/>
      <x:c r="F196" s="10"/>
      <x:c r="G196" s="10"/>
      <x:c r="H196" s="10"/>
    </x:row>
    <x:row r="197" ht="14.25" customHeight="1">
      <x:c r="A197" s="10"/>
      <x:c r="B197" s="10"/>
      <x:c r="C197" s="10"/>
      <x:c r="D197" s="10"/>
      <x:c r="E197" s="10"/>
      <x:c r="F197" s="10"/>
      <x:c r="G197" s="10"/>
      <x:c r="H197" s="10"/>
    </x:row>
    <x:row r="198" ht="14.25" customHeight="1">
      <x:c r="A198" s="10"/>
      <x:c r="B198" s="10"/>
      <x:c r="C198" s="10"/>
      <x:c r="D198" s="10"/>
      <x:c r="E198" s="10"/>
      <x:c r="F198" s="10"/>
      <x:c r="G198" s="10"/>
      <x:c r="H198" s="10"/>
    </x:row>
    <x:row r="199" ht="14.25" customHeight="1">
      <x:c r="A199" s="10"/>
      <x:c r="B199" s="10"/>
      <x:c r="C199" s="10"/>
      <x:c r="D199" s="10"/>
      <x:c r="E199" s="10"/>
      <x:c r="F199" s="10"/>
      <x:c r="G199" s="10"/>
      <x:c r="H199" s="10"/>
    </x:row>
    <x:row r="200" ht="14.25" customHeight="1">
      <x:c r="A200" s="10"/>
      <x:c r="B200" s="10"/>
      <x:c r="C200" s="10"/>
      <x:c r="D200" s="10"/>
      <x:c r="E200" s="10"/>
      <x:c r="F200" s="10"/>
      <x:c r="G200" s="10"/>
      <x:c r="H200" s="10"/>
    </x:row>
    <x:row r="201" ht="14.25" customHeight="1">
      <x:c r="A201" s="10"/>
      <x:c r="B201" s="10"/>
      <x:c r="C201" s="10"/>
      <x:c r="D201" s="10"/>
      <x:c r="E201" s="10"/>
      <x:c r="F201" s="10"/>
      <x:c r="G201" s="10"/>
      <x:c r="H201" s="10"/>
    </x:row>
    <x:row r="202" ht="14.25" customHeight="1">
      <x:c r="A202" s="10"/>
      <x:c r="B202" s="10"/>
      <x:c r="C202" s="10"/>
      <x:c r="D202" s="10"/>
      <x:c r="E202" s="10"/>
      <x:c r="F202" s="10"/>
      <x:c r="G202" s="10"/>
      <x:c r="H202" s="10"/>
    </x:row>
    <x:row r="203" ht="14.25" customHeight="1">
      <x:c r="A203" s="10"/>
      <x:c r="B203" s="10"/>
      <x:c r="C203" s="10"/>
      <x:c r="D203" s="10"/>
      <x:c r="E203" s="10"/>
      <x:c r="F203" s="10"/>
      <x:c r="G203" s="10"/>
      <x:c r="H203" s="10"/>
    </x:row>
    <x:row r="204" ht="14.25" customHeight="1">
      <x:c r="A204" s="10"/>
      <x:c r="B204" s="10"/>
      <x:c r="C204" s="10"/>
      <x:c r="D204" s="10"/>
      <x:c r="E204" s="10"/>
      <x:c r="F204" s="10"/>
      <x:c r="G204" s="10"/>
      <x:c r="H204" s="10"/>
    </x:row>
    <x:row r="205" ht="14.25" customHeight="1">
      <x:c r="A205" s="10"/>
      <x:c r="B205" s="10"/>
      <x:c r="C205" s="10"/>
      <x:c r="D205" s="10"/>
      <x:c r="E205" s="10"/>
      <x:c r="F205" s="10"/>
      <x:c r="G205" s="10"/>
      <x:c r="H205" s="10"/>
    </x:row>
    <x:row r="206" ht="14.25" customHeight="1">
      <x:c r="A206" s="10"/>
      <x:c r="B206" s="10"/>
      <x:c r="C206" s="10"/>
      <x:c r="D206" s="10"/>
      <x:c r="E206" s="10"/>
      <x:c r="F206" s="10"/>
      <x:c r="G206" s="10"/>
      <x:c r="H206" s="10"/>
    </x:row>
    <x:row r="207" ht="14.25" customHeight="1">
      <x:c r="A207" s="10"/>
      <x:c r="B207" s="10"/>
      <x:c r="C207" s="10"/>
      <x:c r="D207" s="10"/>
      <x:c r="E207" s="10"/>
      <x:c r="F207" s="10"/>
      <x:c r="G207" s="10"/>
      <x:c r="H207" s="10"/>
    </x:row>
    <x:row r="208" ht="14.25" customHeight="1">
      <x:c r="A208" s="10"/>
      <x:c r="B208" s="10"/>
      <x:c r="C208" s="10"/>
      <x:c r="D208" s="10"/>
      <x:c r="E208" s="10"/>
      <x:c r="F208" s="10"/>
      <x:c r="G208" s="10"/>
      <x:c r="H208" s="10"/>
    </x:row>
    <x:row r="209" ht="14.25" customHeight="1">
      <x:c r="A209" s="10"/>
      <x:c r="B209" s="10"/>
      <x:c r="C209" s="10"/>
      <x:c r="D209" s="10"/>
      <x:c r="E209" s="10"/>
      <x:c r="F209" s="10"/>
      <x:c r="G209" s="10"/>
      <x:c r="H209" s="10"/>
    </x:row>
    <x:row r="210" ht="14.25" customHeight="1">
      <x:c r="A210" s="10"/>
      <x:c r="B210" s="10"/>
      <x:c r="C210" s="10"/>
      <x:c r="D210" s="10"/>
      <x:c r="E210" s="10"/>
      <x:c r="F210" s="10"/>
      <x:c r="G210" s="10"/>
      <x:c r="H210" s="10"/>
    </x:row>
    <x:row r="211" ht="14.25" customHeight="1">
      <x:c r="A211" s="10"/>
      <x:c r="B211" s="10"/>
      <x:c r="C211" s="10"/>
      <x:c r="D211" s="10"/>
      <x:c r="E211" s="10"/>
      <x:c r="F211" s="10"/>
      <x:c r="G211" s="10"/>
      <x:c r="H211" s="10"/>
    </x:row>
    <x:row r="212" ht="14.25" customHeight="1">
      <x:c r="A212" s="10"/>
      <x:c r="B212" s="10"/>
      <x:c r="C212" s="10"/>
      <x:c r="D212" s="10"/>
      <x:c r="E212" s="10"/>
      <x:c r="F212" s="10"/>
      <x:c r="G212" s="10"/>
      <x:c r="H212" s="10"/>
    </x:row>
    <x:row r="213" ht="14.25" customHeight="1">
      <x:c r="A213" s="10"/>
      <x:c r="B213" s="10"/>
      <x:c r="C213" s="10"/>
      <x:c r="D213" s="10"/>
      <x:c r="E213" s="10"/>
      <x:c r="F213" s="10"/>
      <x:c r="G213" s="10"/>
      <x:c r="H213" s="10"/>
    </x:row>
    <x:row r="214" ht="14.25" customHeight="1">
      <x:c r="A214" s="10"/>
      <x:c r="B214" s="10"/>
      <x:c r="C214" s="10"/>
      <x:c r="D214" s="10"/>
      <x:c r="E214" s="10"/>
      <x:c r="F214" s="10"/>
      <x:c r="G214" s="10"/>
      <x:c r="H214" s="10"/>
    </x:row>
    <x:row r="215" ht="14.25" customHeight="1">
      <x:c r="A215" s="10"/>
      <x:c r="B215" s="10"/>
      <x:c r="C215" s="10"/>
      <x:c r="D215" s="10"/>
      <x:c r="E215" s="10"/>
      <x:c r="F215" s="10"/>
      <x:c r="G215" s="10"/>
      <x:c r="H215" s="10"/>
    </x:row>
    <x:row r="216" ht="14.25" customHeight="1">
      <x:c r="A216" s="10"/>
      <x:c r="B216" s="10"/>
      <x:c r="C216" s="10"/>
      <x:c r="D216" s="10"/>
      <x:c r="E216" s="10"/>
      <x:c r="F216" s="10"/>
      <x:c r="G216" s="10"/>
      <x:c r="H216" s="10"/>
    </x:row>
    <x:row r="217" ht="14.25" customHeight="1">
      <x:c r="A217" s="10"/>
      <x:c r="B217" s="10"/>
      <x:c r="C217" s="10"/>
      <x:c r="D217" s="10"/>
      <x:c r="E217" s="10"/>
      <x:c r="F217" s="10"/>
      <x:c r="G217" s="10"/>
      <x:c r="H217" s="10"/>
    </x:row>
    <x:row r="218" ht="14.25" customHeight="1">
      <x:c r="A218" s="10"/>
      <x:c r="B218" s="10"/>
      <x:c r="C218" s="10"/>
      <x:c r="D218" s="10"/>
      <x:c r="E218" s="10"/>
      <x:c r="F218" s="10"/>
      <x:c r="G218" s="10"/>
      <x:c r="H218" s="10"/>
    </x:row>
    <x:row r="219" ht="14.25" customHeight="1">
      <x:c r="A219" s="10"/>
      <x:c r="B219" s="10"/>
      <x:c r="C219" s="10"/>
      <x:c r="D219" s="10"/>
      <x:c r="E219" s="10"/>
      <x:c r="F219" s="10"/>
      <x:c r="G219" s="10"/>
      <x:c r="H219" s="10"/>
    </x:row>
    <x:row r="220" ht="14.25" customHeight="1">
      <x:c r="A220" s="10"/>
      <x:c r="B220" s="10"/>
      <x:c r="C220" s="10"/>
      <x:c r="D220" s="10"/>
      <x:c r="E220" s="10"/>
      <x:c r="F220" s="10"/>
      <x:c r="G220" s="10"/>
      <x:c r="H220" s="10"/>
    </x:row>
    <x:row r="221" ht="14.25" customHeight="1">
      <x:c r="A221" s="10"/>
      <x:c r="B221" s="10"/>
      <x:c r="C221" s="10"/>
      <x:c r="D221" s="10"/>
      <x:c r="E221" s="10"/>
      <x:c r="F221" s="10"/>
      <x:c r="G221" s="10"/>
      <x:c r="H221" s="10"/>
    </x:row>
    <x:row r="222" ht="14.25" customHeight="1">
      <x:c r="A222" s="10"/>
      <x:c r="B222" s="10"/>
      <x:c r="C222" s="10"/>
      <x:c r="D222" s="10"/>
      <x:c r="E222" s="10"/>
      <x:c r="F222" s="10"/>
      <x:c r="G222" s="10"/>
      <x:c r="H222" s="10"/>
    </x:row>
    <x:row r="223" ht="14.25" customHeight="1">
      <x:c r="A223" s="10"/>
      <x:c r="B223" s="10"/>
      <x:c r="C223" s="10"/>
      <x:c r="D223" s="10"/>
      <x:c r="E223" s="10"/>
      <x:c r="F223" s="10"/>
      <x:c r="G223" s="10"/>
      <x:c r="H223" s="10"/>
    </x:row>
    <x:row r="224" ht="14.25" customHeight="1">
      <x:c r="A224" s="10"/>
      <x:c r="B224" s="10"/>
      <x:c r="C224" s="10"/>
      <x:c r="D224" s="10"/>
      <x:c r="E224" s="10"/>
      <x:c r="F224" s="10"/>
      <x:c r="G224" s="10"/>
      <x:c r="H224" s="10"/>
    </x:row>
    <x:row r="225" ht="14.25" customHeight="1">
      <x:c r="A225" s="10"/>
      <x:c r="B225" s="10"/>
      <x:c r="C225" s="10"/>
      <x:c r="D225" s="10"/>
      <x:c r="E225" s="10"/>
      <x:c r="F225" s="10"/>
      <x:c r="G225" s="10"/>
      <x:c r="H225" s="10"/>
    </x:row>
    <x:row r="226" ht="14.25" customHeight="1">
      <x:c r="A226" s="10"/>
      <x:c r="B226" s="10"/>
      <x:c r="C226" s="10"/>
      <x:c r="D226" s="10"/>
      <x:c r="E226" s="10"/>
      <x:c r="F226" s="10"/>
      <x:c r="G226" s="10"/>
      <x:c r="H226" s="10"/>
    </x:row>
    <x:row r="227" ht="14.25" customHeight="1">
      <x:c r="A227" s="10"/>
      <x:c r="B227" s="10"/>
      <x:c r="C227" s="10"/>
      <x:c r="D227" s="10"/>
      <x:c r="E227" s="10"/>
      <x:c r="F227" s="10"/>
      <x:c r="G227" s="10"/>
      <x:c r="H227" s="10"/>
    </x:row>
    <x:row r="228" ht="14.25" customHeight="1">
      <x:c r="A228" s="10"/>
      <x:c r="B228" s="10"/>
      <x:c r="C228" s="10"/>
      <x:c r="D228" s="10"/>
      <x:c r="E228" s="10"/>
      <x:c r="F228" s="10"/>
      <x:c r="G228" s="10"/>
      <x:c r="H228" s="10"/>
    </x:row>
    <x:row r="229" ht="14.25" customHeight="1">
      <x:c r="A229" s="10"/>
      <x:c r="B229" s="10"/>
      <x:c r="C229" s="10"/>
      <x:c r="D229" s="10"/>
      <x:c r="E229" s="10"/>
      <x:c r="F229" s="10"/>
      <x:c r="G229" s="10"/>
      <x:c r="H229" s="10"/>
    </x:row>
    <x:row r="230" ht="14.25" customHeight="1">
      <x:c r="A230" s="10"/>
      <x:c r="B230" s="10"/>
      <x:c r="C230" s="10"/>
      <x:c r="D230" s="10"/>
      <x:c r="E230" s="10"/>
      <x:c r="F230" s="10"/>
      <x:c r="G230" s="10"/>
      <x:c r="H230" s="10"/>
    </x:row>
    <x:row r="231" ht="14.25" customHeight="1">
      <x:c r="A231" s="10"/>
      <x:c r="B231" s="10"/>
      <x:c r="C231" s="10"/>
      <x:c r="D231" s="10"/>
      <x:c r="E231" s="10"/>
      <x:c r="F231" s="10"/>
      <x:c r="G231" s="10"/>
      <x:c r="H231" s="10"/>
    </x:row>
    <x:row r="232" ht="14.25" customHeight="1">
      <x:c r="A232" s="10"/>
      <x:c r="B232" s="10"/>
      <x:c r="C232" s="10"/>
      <x:c r="D232" s="10"/>
      <x:c r="E232" s="10"/>
      <x:c r="F232" s="10"/>
      <x:c r="G232" s="10"/>
      <x:c r="H232" s="10"/>
    </x:row>
    <x:row r="233" ht="14.25" customHeight="1">
      <x:c r="A233" s="10"/>
      <x:c r="B233" s="10"/>
      <x:c r="C233" s="10"/>
      <x:c r="D233" s="10"/>
      <x:c r="E233" s="10"/>
      <x:c r="F233" s="10"/>
      <x:c r="G233" s="10"/>
      <x:c r="H233" s="10"/>
    </x:row>
    <x:row r="234" ht="14.25" customHeight="1">
      <x:c r="A234" s="10"/>
      <x:c r="B234" s="10"/>
      <x:c r="C234" s="10"/>
      <x:c r="D234" s="10"/>
      <x:c r="E234" s="10"/>
      <x:c r="F234" s="10"/>
      <x:c r="G234" s="10"/>
      <x:c r="H234" s="10"/>
    </x:row>
    <x:row r="235" ht="14.25" customHeight="1">
      <x:c r="A235" s="10"/>
      <x:c r="B235" s="10"/>
      <x:c r="C235" s="10"/>
      <x:c r="D235" s="10"/>
      <x:c r="E235" s="10"/>
      <x:c r="F235" s="10"/>
      <x:c r="G235" s="10"/>
      <x:c r="H235" s="10"/>
    </x:row>
    <x:row r="236" ht="14.25" customHeight="1">
      <x:c r="A236" s="10"/>
      <x:c r="B236" s="10"/>
      <x:c r="C236" s="10"/>
      <x:c r="D236" s="10"/>
      <x:c r="E236" s="10"/>
      <x:c r="F236" s="10"/>
      <x:c r="G236" s="10"/>
      <x:c r="H236" s="10"/>
    </x:row>
    <x:row r="237" ht="14.25" customHeight="1">
      <x:c r="A237" s="10"/>
      <x:c r="B237" s="10"/>
      <x:c r="C237" s="10"/>
      <x:c r="D237" s="10"/>
      <x:c r="E237" s="10"/>
      <x:c r="F237" s="10"/>
      <x:c r="G237" s="10"/>
      <x:c r="H237" s="10"/>
    </x:row>
    <x:row r="238" ht="14.25" customHeight="1">
      <x:c r="A238" s="10"/>
      <x:c r="B238" s="10"/>
      <x:c r="C238" s="10"/>
      <x:c r="D238" s="10"/>
      <x:c r="E238" s="10"/>
      <x:c r="F238" s="10"/>
      <x:c r="G238" s="10"/>
      <x:c r="H238" s="10"/>
    </x:row>
    <x:row r="239" ht="14.25" customHeight="1">
      <x:c r="A239" s="10"/>
      <x:c r="B239" s="10"/>
      <x:c r="C239" s="10"/>
      <x:c r="D239" s="10"/>
      <x:c r="E239" s="10"/>
      <x:c r="F239" s="10"/>
      <x:c r="G239" s="10"/>
      <x:c r="H239" s="10"/>
    </x:row>
    <x:row r="240" ht="14.25" customHeight="1">
      <x:c r="A240" s="10"/>
      <x:c r="B240" s="10"/>
      <x:c r="C240" s="10"/>
      <x:c r="D240" s="10"/>
      <x:c r="E240" s="10"/>
      <x:c r="F240" s="10"/>
      <x:c r="G240" s="10"/>
      <x:c r="H240" s="10"/>
    </x:row>
    <x:row r="241" ht="14.25" customHeight="1">
      <x:c r="A241" s="10"/>
      <x:c r="B241" s="10"/>
      <x:c r="C241" s="10"/>
      <x:c r="D241" s="10"/>
      <x:c r="E241" s="10"/>
      <x:c r="F241" s="10"/>
      <x:c r="G241" s="10"/>
      <x:c r="H241" s="10"/>
    </x:row>
    <x:row r="242" ht="14.25" customHeight="1">
      <x:c r="A242" s="10"/>
      <x:c r="B242" s="10"/>
      <x:c r="C242" s="10"/>
      <x:c r="D242" s="10"/>
      <x:c r="E242" s="10"/>
      <x:c r="F242" s="10"/>
      <x:c r="G242" s="10"/>
      <x:c r="H242" s="10"/>
    </x:row>
    <x:row r="243" ht="14.25" customHeight="1">
      <x:c r="A243" s="10"/>
      <x:c r="B243" s="10"/>
      <x:c r="C243" s="10"/>
      <x:c r="D243" s="10"/>
      <x:c r="E243" s="10"/>
      <x:c r="F243" s="10"/>
      <x:c r="G243" s="10"/>
      <x:c r="H243" s="10"/>
    </x:row>
    <x:row r="244" ht="14.25" customHeight="1">
      <x:c r="A244" s="10"/>
      <x:c r="B244" s="10"/>
      <x:c r="C244" s="10"/>
      <x:c r="D244" s="10"/>
      <x:c r="E244" s="10"/>
      <x:c r="F244" s="10"/>
      <x:c r="G244" s="10"/>
      <x:c r="H244" s="10"/>
    </x:row>
    <x:row r="245" ht="14.25" customHeight="1">
      <x:c r="A245" s="10"/>
      <x:c r="B245" s="10"/>
      <x:c r="C245" s="10"/>
      <x:c r="D245" s="10"/>
      <x:c r="E245" s="10"/>
      <x:c r="F245" s="10"/>
      <x:c r="G245" s="10"/>
      <x:c r="H245" s="10"/>
    </x:row>
    <x:row r="246" ht="14.25" customHeight="1">
      <x:c r="A246" s="10"/>
      <x:c r="B246" s="10"/>
      <x:c r="C246" s="10"/>
      <x:c r="D246" s="10"/>
      <x:c r="E246" s="10"/>
      <x:c r="F246" s="10"/>
      <x:c r="G246" s="10"/>
      <x:c r="H246" s="10"/>
    </x:row>
    <x:row r="247" ht="14.25" customHeight="1">
      <x:c r="A247" s="10"/>
      <x:c r="B247" s="10"/>
      <x:c r="C247" s="10"/>
      <x:c r="D247" s="10"/>
      <x:c r="E247" s="10"/>
      <x:c r="F247" s="10"/>
      <x:c r="G247" s="10"/>
      <x:c r="H247" s="10"/>
    </x:row>
    <x:row r="248" ht="14.25" customHeight="1">
      <x:c r="A248" s="10"/>
      <x:c r="B248" s="10"/>
      <x:c r="C248" s="10"/>
      <x:c r="D248" s="10"/>
      <x:c r="E248" s="10"/>
      <x:c r="F248" s="10"/>
      <x:c r="G248" s="10"/>
      <x:c r="H248" s="10"/>
    </x:row>
    <x:row r="249" ht="14.25" customHeight="1">
      <x:c r="A249" s="10"/>
      <x:c r="B249" s="10"/>
      <x:c r="C249" s="10"/>
      <x:c r="D249" s="10"/>
      <x:c r="E249" s="10"/>
      <x:c r="F249" s="10"/>
      <x:c r="G249" s="10"/>
      <x:c r="H249" s="10"/>
    </x:row>
    <x:row r="250" ht="14.25" customHeight="1">
      <x:c r="A250" s="10"/>
      <x:c r="B250" s="10"/>
      <x:c r="C250" s="10"/>
      <x:c r="D250" s="10"/>
      <x:c r="E250" s="10"/>
      <x:c r="F250" s="10"/>
      <x:c r="G250" s="10"/>
      <x:c r="H250" s="10"/>
    </x:row>
    <x:row r="251" ht="14.25" customHeight="1">
      <x:c r="A251" s="10"/>
      <x:c r="B251" s="10"/>
      <x:c r="C251" s="10"/>
      <x:c r="D251" s="10"/>
      <x:c r="E251" s="10"/>
      <x:c r="F251" s="10"/>
      <x:c r="G251" s="10"/>
      <x:c r="H251" s="10"/>
    </x:row>
    <x:row r="252" ht="14.25" customHeight="1">
      <x:c r="A252" s="10"/>
      <x:c r="B252" s="10"/>
      <x:c r="C252" s="10"/>
      <x:c r="D252" s="10"/>
      <x:c r="E252" s="10"/>
      <x:c r="F252" s="10"/>
      <x:c r="G252" s="10"/>
      <x:c r="H252" s="10"/>
    </x:row>
    <x:row r="253" ht="14.25" customHeight="1">
      <x:c r="A253" s="10"/>
      <x:c r="B253" s="10"/>
      <x:c r="C253" s="10"/>
      <x:c r="D253" s="10"/>
      <x:c r="E253" s="10"/>
      <x:c r="F253" s="10"/>
      <x:c r="G253" s="10"/>
      <x:c r="H253" s="10"/>
    </x:row>
    <x:row r="254" ht="14.25" customHeight="1">
      <x:c r="A254" s="10"/>
      <x:c r="B254" s="10"/>
      <x:c r="C254" s="10"/>
      <x:c r="D254" s="10"/>
      <x:c r="E254" s="10"/>
      <x:c r="F254" s="10"/>
      <x:c r="G254" s="10"/>
      <x:c r="H254" s="10"/>
    </x:row>
    <x:row r="255" ht="14.25" customHeight="1">
      <x:c r="A255" s="10"/>
      <x:c r="B255" s="10"/>
      <x:c r="C255" s="10"/>
      <x:c r="D255" s="10"/>
      <x:c r="E255" s="10"/>
      <x:c r="F255" s="10"/>
      <x:c r="G255" s="10"/>
      <x:c r="H255" s="10"/>
    </x:row>
    <x:row r="256" ht="14.25" customHeight="1">
      <x:c r="A256" s="10"/>
      <x:c r="B256" s="10"/>
      <x:c r="C256" s="10"/>
      <x:c r="D256" s="10"/>
      <x:c r="E256" s="10"/>
      <x:c r="F256" s="10"/>
      <x:c r="G256" s="10"/>
      <x:c r="H256" s="10"/>
    </x:row>
    <x:row r="257" ht="14.25" customHeight="1">
      <x:c r="A257" s="10"/>
      <x:c r="B257" s="10"/>
      <x:c r="C257" s="10"/>
      <x:c r="D257" s="10"/>
      <x:c r="E257" s="10"/>
      <x:c r="F257" s="10"/>
      <x:c r="G257" s="10"/>
      <x:c r="H257" s="10"/>
    </x:row>
    <x:row r="258" ht="14.25" customHeight="1">
      <x:c r="A258" s="10"/>
      <x:c r="B258" s="10"/>
      <x:c r="C258" s="10"/>
      <x:c r="D258" s="10"/>
      <x:c r="E258" s="10"/>
      <x:c r="F258" s="10"/>
      <x:c r="G258" s="10"/>
      <x:c r="H258" s="10"/>
    </x:row>
    <x:row r="259" ht="14.25" customHeight="1">
      <x:c r="A259" s="10"/>
      <x:c r="B259" s="10"/>
      <x:c r="C259" s="10"/>
      <x:c r="D259" s="10"/>
      <x:c r="E259" s="10"/>
      <x:c r="F259" s="10"/>
      <x:c r="G259" s="10"/>
      <x:c r="H259" s="10"/>
    </x:row>
    <x:row r="260" ht="14.25" customHeight="1">
      <x:c r="A260" s="10"/>
      <x:c r="B260" s="10"/>
      <x:c r="C260" s="10"/>
      <x:c r="D260" s="10"/>
      <x:c r="E260" s="10"/>
      <x:c r="F260" s="10"/>
      <x:c r="G260" s="10"/>
      <x:c r="H260" s="10"/>
    </x:row>
    <x:row r="261" ht="14.25" customHeight="1">
      <x:c r="A261" s="10"/>
      <x:c r="B261" s="10"/>
      <x:c r="C261" s="10"/>
      <x:c r="D261" s="10"/>
      <x:c r="E261" s="10"/>
      <x:c r="F261" s="10"/>
      <x:c r="G261" s="10"/>
      <x:c r="H261" s="10"/>
    </x:row>
    <x:row r="262" ht="14.25" customHeight="1">
      <x:c r="A262" s="10"/>
      <x:c r="B262" s="10"/>
      <x:c r="C262" s="10"/>
      <x:c r="D262" s="10"/>
      <x:c r="E262" s="10"/>
      <x:c r="F262" s="10"/>
      <x:c r="G262" s="10"/>
      <x:c r="H262" s="10"/>
    </x:row>
    <x:row r="263" ht="14.25" customHeight="1">
      <x:c r="A263" s="10"/>
      <x:c r="B263" s="10"/>
      <x:c r="C263" s="10"/>
      <x:c r="D263" s="10"/>
      <x:c r="E263" s="10"/>
      <x:c r="F263" s="10"/>
      <x:c r="G263" s="10"/>
      <x:c r="H263" s="10"/>
    </x:row>
    <x:row r="264" ht="14.25" customHeight="1">
      <x:c r="A264" s="10"/>
      <x:c r="B264" s="10"/>
      <x:c r="C264" s="10"/>
      <x:c r="D264" s="10"/>
      <x:c r="E264" s="10"/>
      <x:c r="F264" s="10"/>
      <x:c r="G264" s="10"/>
      <x:c r="H264" s="10"/>
    </x:row>
    <x:row r="265" ht="14.25" customHeight="1">
      <x:c r="A265" s="10"/>
      <x:c r="B265" s="10"/>
      <x:c r="C265" s="10"/>
      <x:c r="D265" s="10"/>
      <x:c r="E265" s="10"/>
      <x:c r="F265" s="10"/>
      <x:c r="G265" s="10"/>
      <x:c r="H265" s="10"/>
    </x:row>
    <x:row r="266" ht="14.25" customHeight="1">
      <x:c r="A266" s="10"/>
      <x:c r="B266" s="10"/>
      <x:c r="C266" s="10"/>
      <x:c r="D266" s="10"/>
      <x:c r="E266" s="10"/>
      <x:c r="F266" s="10"/>
      <x:c r="G266" s="10"/>
      <x:c r="H266" s="10"/>
    </x:row>
    <x:row r="267" ht="14.25" customHeight="1">
      <x:c r="A267" s="10"/>
      <x:c r="B267" s="10"/>
      <x:c r="C267" s="10"/>
      <x:c r="D267" s="10"/>
      <x:c r="E267" s="10"/>
      <x:c r="F267" s="10"/>
      <x:c r="G267" s="10"/>
      <x:c r="H267" s="10"/>
    </x:row>
    <x:row r="268" ht="14.25" customHeight="1">
      <x:c r="A268" s="10"/>
      <x:c r="B268" s="10"/>
      <x:c r="C268" s="10"/>
      <x:c r="D268" s="10"/>
      <x:c r="E268" s="10"/>
      <x:c r="F268" s="10"/>
      <x:c r="G268" s="10"/>
      <x:c r="H268" s="10"/>
    </x:row>
    <x:row r="269" ht="14.25" customHeight="1">
      <x:c r="A269" s="10"/>
      <x:c r="B269" s="10"/>
      <x:c r="C269" s="10"/>
      <x:c r="D269" s="10"/>
      <x:c r="E269" s="10"/>
      <x:c r="F269" s="10"/>
      <x:c r="G269" s="10"/>
      <x:c r="H269" s="10"/>
    </x:row>
    <x:row r="270" ht="14.25" customHeight="1">
      <x:c r="A270" s="10"/>
      <x:c r="B270" s="10"/>
      <x:c r="C270" s="10"/>
      <x:c r="D270" s="10"/>
      <x:c r="E270" s="10"/>
      <x:c r="F270" s="10"/>
      <x:c r="G270" s="10"/>
      <x:c r="H270" s="10"/>
    </x:row>
    <x:row r="271" ht="14.25" customHeight="1">
      <x:c r="A271" s="10"/>
      <x:c r="B271" s="10"/>
      <x:c r="C271" s="10"/>
      <x:c r="D271" s="10"/>
      <x:c r="E271" s="10"/>
      <x:c r="F271" s="10"/>
      <x:c r="G271" s="10"/>
      <x:c r="H271" s="10"/>
    </x:row>
    <x:row r="272" ht="14.25" customHeight="1">
      <x:c r="A272" s="10"/>
      <x:c r="B272" s="10"/>
      <x:c r="C272" s="10"/>
      <x:c r="D272" s="10"/>
      <x:c r="E272" s="10"/>
      <x:c r="F272" s="10"/>
      <x:c r="G272" s="10"/>
      <x:c r="H272" s="10"/>
    </x:row>
    <x:row r="273" ht="14.25" customHeight="1">
      <x:c r="A273" s="10"/>
      <x:c r="B273" s="10"/>
      <x:c r="C273" s="10"/>
      <x:c r="D273" s="10"/>
      <x:c r="E273" s="10"/>
      <x:c r="F273" s="10"/>
      <x:c r="G273" s="10"/>
      <x:c r="H273" s="10"/>
    </x:row>
    <x:row r="274" ht="14.25" customHeight="1">
      <x:c r="A274" s="10"/>
      <x:c r="B274" s="10"/>
      <x:c r="C274" s="10"/>
      <x:c r="D274" s="10"/>
      <x:c r="E274" s="10"/>
      <x:c r="F274" s="10"/>
      <x:c r="G274" s="10"/>
      <x:c r="H274" s="10"/>
    </x:row>
    <x:row r="275" ht="14.25" customHeight="1">
      <x:c r="A275" s="10"/>
      <x:c r="B275" s="10"/>
      <x:c r="C275" s="10"/>
      <x:c r="D275" s="10"/>
      <x:c r="E275" s="10"/>
      <x:c r="F275" s="10"/>
      <x:c r="G275" s="10"/>
      <x:c r="H275" s="10"/>
    </x:row>
    <x:row r="276" ht="14.25" customHeight="1">
      <x:c r="A276" s="10"/>
      <x:c r="B276" s="10"/>
      <x:c r="C276" s="10"/>
      <x:c r="D276" s="10"/>
      <x:c r="E276" s="10"/>
      <x:c r="F276" s="10"/>
      <x:c r="G276" s="10"/>
      <x:c r="H276" s="10"/>
    </x:row>
    <x:row r="277" ht="14.25" customHeight="1">
      <x:c r="A277" s="10"/>
      <x:c r="B277" s="10"/>
      <x:c r="C277" s="10"/>
      <x:c r="D277" s="10"/>
      <x:c r="E277" s="10"/>
      <x:c r="F277" s="10"/>
      <x:c r="G277" s="10"/>
      <x:c r="H277" s="10"/>
    </x:row>
    <x:row r="278" ht="14.25" customHeight="1">
      <x:c r="A278" s="10"/>
      <x:c r="B278" s="10"/>
      <x:c r="C278" s="10"/>
      <x:c r="D278" s="10"/>
      <x:c r="E278" s="10"/>
      <x:c r="F278" s="10"/>
      <x:c r="G278" s="10"/>
      <x:c r="H278" s="10"/>
    </x:row>
    <x:row r="279" ht="14.25" customHeight="1">
      <x:c r="A279" s="10"/>
      <x:c r="B279" s="10"/>
      <x:c r="C279" s="10"/>
      <x:c r="D279" s="10"/>
      <x:c r="E279" s="10"/>
      <x:c r="F279" s="10"/>
      <x:c r="G279" s="10"/>
      <x:c r="H279" s="10"/>
    </x:row>
    <x:row r="280" ht="14.25" customHeight="1">
      <x:c r="A280" s="10"/>
      <x:c r="B280" s="10"/>
      <x:c r="C280" s="10"/>
      <x:c r="D280" s="10"/>
      <x:c r="E280" s="10"/>
      <x:c r="F280" s="10"/>
      <x:c r="G280" s="10"/>
      <x:c r="H280" s="10"/>
    </x:row>
    <x:row r="281" ht="14.25" customHeight="1">
      <x:c r="A281" s="10"/>
      <x:c r="B281" s="10"/>
      <x:c r="C281" s="10"/>
      <x:c r="D281" s="10"/>
      <x:c r="E281" s="10"/>
      <x:c r="F281" s="10"/>
      <x:c r="G281" s="10"/>
      <x:c r="H281" s="10"/>
    </x:row>
    <x:row r="282" ht="14.25" customHeight="1">
      <x:c r="A282" s="10"/>
      <x:c r="B282" s="10"/>
      <x:c r="C282" s="10"/>
      <x:c r="D282" s="10"/>
      <x:c r="E282" s="10"/>
      <x:c r="F282" s="10"/>
      <x:c r="G282" s="10"/>
      <x:c r="H282" s="10"/>
    </x:row>
    <x:row r="283" ht="14.25" customHeight="1">
      <x:c r="A283" s="10"/>
      <x:c r="B283" s="10"/>
      <x:c r="C283" s="10"/>
      <x:c r="D283" s="10"/>
      <x:c r="E283" s="10"/>
      <x:c r="F283" s="10"/>
      <x:c r="G283" s="10"/>
      <x:c r="H283" s="10"/>
    </x:row>
    <x:row r="284" ht="14.25" customHeight="1">
      <x:c r="A284" s="10"/>
      <x:c r="B284" s="10"/>
      <x:c r="C284" s="10"/>
      <x:c r="D284" s="10"/>
      <x:c r="E284" s="10"/>
      <x:c r="F284" s="10"/>
      <x:c r="G284" s="10"/>
      <x:c r="H284" s="10"/>
    </x:row>
    <x:row r="285" ht="14.25" customHeight="1">
      <x:c r="A285" s="10"/>
      <x:c r="B285" s="10"/>
      <x:c r="C285" s="10"/>
      <x:c r="D285" s="10"/>
      <x:c r="E285" s="10"/>
      <x:c r="F285" s="10"/>
      <x:c r="G285" s="10"/>
      <x:c r="H285" s="10"/>
    </x:row>
    <x:row r="286" ht="14.25" customHeight="1">
      <x:c r="A286" s="10"/>
      <x:c r="B286" s="10"/>
      <x:c r="C286" s="10"/>
      <x:c r="D286" s="10"/>
      <x:c r="E286" s="10"/>
      <x:c r="F286" s="10"/>
      <x:c r="G286" s="10"/>
      <x:c r="H286" s="10"/>
    </x:row>
    <x:row r="287" ht="14.25" customHeight="1">
      <x:c r="A287" s="10"/>
      <x:c r="B287" s="10"/>
      <x:c r="C287" s="10"/>
      <x:c r="D287" s="10"/>
      <x:c r="E287" s="10"/>
      <x:c r="F287" s="10"/>
      <x:c r="G287" s="10"/>
      <x:c r="H287" s="10"/>
    </x:row>
    <x:row r="288" ht="14.25" customHeight="1">
      <x:c r="A288" s="10"/>
      <x:c r="B288" s="10"/>
      <x:c r="C288" s="10"/>
      <x:c r="D288" s="10"/>
      <x:c r="E288" s="10"/>
      <x:c r="F288" s="10"/>
      <x:c r="G288" s="10"/>
      <x:c r="H288" s="10"/>
    </x:row>
    <x:row r="289" ht="14.25" customHeight="1">
      <x:c r="A289" s="10"/>
      <x:c r="B289" s="10"/>
      <x:c r="C289" s="10"/>
      <x:c r="D289" s="10"/>
      <x:c r="E289" s="10"/>
      <x:c r="F289" s="10"/>
      <x:c r="G289" s="10"/>
      <x:c r="H289" s="10"/>
    </x:row>
    <x:row r="290" ht="14.25" customHeight="1">
      <x:c r="A290" s="10"/>
      <x:c r="B290" s="10"/>
      <x:c r="C290" s="10"/>
      <x:c r="D290" s="10"/>
      <x:c r="E290" s="10"/>
      <x:c r="F290" s="10"/>
      <x:c r="G290" s="10"/>
      <x:c r="H290" s="10"/>
    </x:row>
    <x:row r="291" ht="14.25" customHeight="1">
      <x:c r="A291" s="10"/>
      <x:c r="B291" s="10"/>
      <x:c r="C291" s="10"/>
      <x:c r="D291" s="10"/>
      <x:c r="E291" s="10"/>
      <x:c r="F291" s="10"/>
      <x:c r="G291" s="10"/>
      <x:c r="H291" s="10"/>
    </x:row>
    <x:row r="292" ht="14.25" customHeight="1">
      <x:c r="A292" s="10"/>
      <x:c r="B292" s="10"/>
      <x:c r="C292" s="10"/>
      <x:c r="D292" s="10"/>
      <x:c r="E292" s="10"/>
      <x:c r="F292" s="10"/>
      <x:c r="G292" s="10"/>
      <x:c r="H292" s="10"/>
    </x:row>
    <x:row r="293" ht="14.25" customHeight="1">
      <x:c r="A293" s="10"/>
      <x:c r="B293" s="10"/>
      <x:c r="C293" s="10"/>
      <x:c r="D293" s="10"/>
      <x:c r="E293" s="10"/>
      <x:c r="F293" s="10"/>
      <x:c r="G293" s="10"/>
      <x:c r="H293" s="10"/>
    </x:row>
    <x:row r="294" ht="14.25" customHeight="1">
      <x:c r="A294" s="10"/>
      <x:c r="B294" s="10"/>
      <x:c r="C294" s="10"/>
      <x:c r="D294" s="10"/>
      <x:c r="E294" s="10"/>
      <x:c r="F294" s="10"/>
      <x:c r="G294" s="10"/>
      <x:c r="H294" s="10"/>
    </x:row>
    <x:row r="295" ht="14.25" customHeight="1">
      <x:c r="A295" s="10"/>
      <x:c r="B295" s="10"/>
      <x:c r="C295" s="10"/>
      <x:c r="D295" s="10"/>
      <x:c r="E295" s="10"/>
      <x:c r="F295" s="10"/>
      <x:c r="G295" s="10"/>
      <x:c r="H295" s="10"/>
    </x:row>
    <x:row r="296" ht="14.25" customHeight="1">
      <x:c r="A296" s="10"/>
      <x:c r="B296" s="10"/>
      <x:c r="C296" s="10"/>
      <x:c r="D296" s="10"/>
      <x:c r="E296" s="10"/>
      <x:c r="F296" s="10"/>
      <x:c r="G296" s="10"/>
      <x:c r="H296" s="10"/>
    </x:row>
    <x:row r="297" ht="14.25" customHeight="1">
      <x:c r="A297" s="10"/>
      <x:c r="B297" s="10"/>
      <x:c r="C297" s="10"/>
      <x:c r="D297" s="10"/>
      <x:c r="E297" s="10"/>
      <x:c r="F297" s="10"/>
      <x:c r="G297" s="10"/>
      <x:c r="H297" s="10"/>
    </x:row>
    <x:row r="298" ht="14.25" customHeight="1">
      <x:c r="A298" s="10"/>
      <x:c r="B298" s="10"/>
      <x:c r="C298" s="10"/>
      <x:c r="D298" s="10"/>
      <x:c r="E298" s="10"/>
      <x:c r="F298" s="10"/>
      <x:c r="G298" s="10"/>
      <x:c r="H298" s="10"/>
    </x:row>
    <x:row r="299" ht="14.25" customHeight="1">
      <x:c r="A299" s="10"/>
      <x:c r="B299" s="10"/>
      <x:c r="C299" s="10"/>
      <x:c r="D299" s="10"/>
      <x:c r="E299" s="10"/>
      <x:c r="F299" s="10"/>
      <x:c r="G299" s="10"/>
      <x:c r="H299" s="10"/>
    </x:row>
    <x:row r="300" ht="14.25" customHeight="1">
      <x:c r="A300" s="10"/>
      <x:c r="B300" s="10"/>
      <x:c r="C300" s="10"/>
      <x:c r="D300" s="10"/>
      <x:c r="E300" s="10"/>
      <x:c r="F300" s="10"/>
      <x:c r="G300" s="10"/>
      <x:c r="H300" s="10"/>
    </x:row>
    <x:row r="301" ht="14.25" customHeight="1">
      <x:c r="A301" s="10"/>
      <x:c r="B301" s="10"/>
      <x:c r="C301" s="10"/>
      <x:c r="D301" s="10"/>
      <x:c r="E301" s="10"/>
      <x:c r="F301" s="10"/>
      <x:c r="G301" s="10"/>
      <x:c r="H301" s="10"/>
    </x:row>
    <x:row r="302" ht="14.25" customHeight="1">
      <x:c r="A302" s="10"/>
      <x:c r="B302" s="10"/>
      <x:c r="C302" s="10"/>
      <x:c r="D302" s="10"/>
      <x:c r="E302" s="10"/>
      <x:c r="F302" s="10"/>
      <x:c r="G302" s="10"/>
      <x:c r="H302" s="10"/>
    </x:row>
    <x:row r="303" ht="14.25" customHeight="1">
      <x:c r="A303" s="10"/>
      <x:c r="B303" s="10"/>
      <x:c r="C303" s="10"/>
      <x:c r="D303" s="10"/>
      <x:c r="E303" s="10"/>
      <x:c r="F303" s="10"/>
      <x:c r="G303" s="10"/>
      <x:c r="H303" s="10"/>
    </x:row>
    <x:row r="304" ht="14.25" customHeight="1">
      <x:c r="A304" s="10"/>
      <x:c r="B304" s="10"/>
      <x:c r="C304" s="10"/>
      <x:c r="D304" s="10"/>
      <x:c r="E304" s="10"/>
      <x:c r="F304" s="10"/>
      <x:c r="G304" s="10"/>
      <x:c r="H304" s="10"/>
    </x:row>
    <x:row r="305" ht="14.25" customHeight="1">
      <x:c r="A305" s="10"/>
      <x:c r="B305" s="10"/>
      <x:c r="C305" s="10"/>
      <x:c r="D305" s="10"/>
      <x:c r="E305" s="10"/>
      <x:c r="F305" s="10"/>
      <x:c r="G305" s="10"/>
      <x:c r="H305" s="10"/>
    </x:row>
    <x:row r="306" ht="14.25" customHeight="1">
      <x:c r="A306" s="10"/>
      <x:c r="B306" s="10"/>
      <x:c r="C306" s="10"/>
      <x:c r="D306" s="10"/>
      <x:c r="E306" s="10"/>
      <x:c r="F306" s="10"/>
      <x:c r="G306" s="10"/>
      <x:c r="H306" s="10"/>
    </x:row>
    <x:row r="307" ht="14.25" customHeight="1">
      <x:c r="A307" s="10"/>
      <x:c r="B307" s="10"/>
      <x:c r="C307" s="10"/>
      <x:c r="D307" s="10"/>
      <x:c r="E307" s="10"/>
      <x:c r="F307" s="10"/>
      <x:c r="G307" s="10"/>
      <x:c r="H307" s="10"/>
    </x:row>
    <x:row r="308" ht="14.25" customHeight="1">
      <x:c r="A308" s="10"/>
      <x:c r="B308" s="10"/>
      <x:c r="C308" s="10"/>
      <x:c r="D308" s="10"/>
      <x:c r="E308" s="10"/>
      <x:c r="F308" s="10"/>
      <x:c r="G308" s="10"/>
      <x:c r="H308" s="10"/>
    </x:row>
    <x:row r="309" ht="14.25" customHeight="1">
      <x:c r="A309" s="10"/>
      <x:c r="B309" s="10"/>
      <x:c r="C309" s="10"/>
      <x:c r="D309" s="10"/>
      <x:c r="E309" s="10"/>
      <x:c r="F309" s="10"/>
      <x:c r="G309" s="10"/>
      <x:c r="H309" s="10"/>
    </x:row>
    <x:row r="310" ht="14.25" customHeight="1">
      <x:c r="A310" s="10"/>
      <x:c r="B310" s="10"/>
      <x:c r="C310" s="10"/>
      <x:c r="D310" s="10"/>
      <x:c r="E310" s="10"/>
      <x:c r="F310" s="10"/>
      <x:c r="G310" s="10"/>
      <x:c r="H310" s="10"/>
    </x:row>
    <x:row r="311" ht="14.25" customHeight="1">
      <x:c r="A311" s="10"/>
      <x:c r="B311" s="10"/>
      <x:c r="C311" s="10"/>
      <x:c r="D311" s="10"/>
      <x:c r="E311" s="10"/>
      <x:c r="F311" s="10"/>
      <x:c r="G311" s="10"/>
      <x:c r="H311" s="10"/>
    </x:row>
    <x:row r="312" ht="14.25" customHeight="1">
      <x:c r="A312" s="10"/>
      <x:c r="B312" s="10"/>
      <x:c r="C312" s="10"/>
      <x:c r="D312" s="10"/>
      <x:c r="E312" s="10"/>
      <x:c r="F312" s="10"/>
      <x:c r="G312" s="10"/>
      <x:c r="H312" s="10"/>
    </x:row>
    <x:row r="313" ht="14.25" customHeight="1">
      <x:c r="A313" s="10"/>
      <x:c r="B313" s="10"/>
      <x:c r="C313" s="10"/>
      <x:c r="D313" s="10"/>
      <x:c r="E313" s="10"/>
      <x:c r="F313" s="10"/>
      <x:c r="G313" s="10"/>
      <x:c r="H313" s="10"/>
    </x:row>
    <x:row r="314" ht="14.25" customHeight="1">
      <x:c r="A314" s="10"/>
      <x:c r="B314" s="10"/>
      <x:c r="C314" s="10"/>
      <x:c r="D314" s="10"/>
      <x:c r="E314" s="10"/>
      <x:c r="F314" s="10"/>
      <x:c r="G314" s="10"/>
      <x:c r="H314" s="10"/>
    </x:row>
    <x:row r="315" ht="14.25" customHeight="1">
      <x:c r="A315" s="10"/>
      <x:c r="B315" s="10"/>
      <x:c r="C315" s="10"/>
      <x:c r="D315" s="10"/>
      <x:c r="E315" s="10"/>
      <x:c r="F315" s="10"/>
      <x:c r="G315" s="10"/>
      <x:c r="H315" s="10"/>
    </x:row>
    <x:row r="316" ht="14.25" customHeight="1">
      <x:c r="A316" s="10"/>
      <x:c r="B316" s="10"/>
      <x:c r="C316" s="10"/>
      <x:c r="D316" s="10"/>
      <x:c r="E316" s="10"/>
      <x:c r="F316" s="10"/>
      <x:c r="G316" s="10"/>
      <x:c r="H316" s="10"/>
    </x:row>
    <x:row r="317" ht="14.25" customHeight="1">
      <x:c r="A317" s="10"/>
      <x:c r="B317" s="10"/>
      <x:c r="C317" s="10"/>
      <x:c r="D317" s="10"/>
      <x:c r="E317" s="10"/>
      <x:c r="F317" s="10"/>
      <x:c r="G317" s="10"/>
      <x:c r="H317" s="10"/>
    </x:row>
    <x:row r="318" ht="14.25" customHeight="1">
      <x:c r="A318" s="10"/>
      <x:c r="B318" s="10"/>
      <x:c r="C318" s="10"/>
      <x:c r="D318" s="10"/>
      <x:c r="E318" s="10"/>
      <x:c r="F318" s="10"/>
      <x:c r="G318" s="10"/>
      <x:c r="H318" s="10"/>
    </x:row>
    <x:row r="319" ht="14.25" customHeight="1">
      <x:c r="A319" s="10"/>
      <x:c r="B319" s="10"/>
      <x:c r="C319" s="10"/>
      <x:c r="D319" s="10"/>
      <x:c r="E319" s="10"/>
      <x:c r="F319" s="10"/>
      <x:c r="G319" s="10"/>
      <x:c r="H319" s="10"/>
    </x:row>
    <x:row r="320" ht="14.25" customHeight="1">
      <x:c r="A320" s="10"/>
      <x:c r="B320" s="10"/>
      <x:c r="C320" s="10"/>
      <x:c r="D320" s="10"/>
      <x:c r="E320" s="10"/>
      <x:c r="F320" s="10"/>
      <x:c r="G320" s="10"/>
      <x:c r="H320" s="10"/>
    </x:row>
    <x:row r="321" ht="14.25" customHeight="1">
      <x:c r="A321" s="10"/>
      <x:c r="B321" s="10"/>
      <x:c r="C321" s="10"/>
      <x:c r="D321" s="10"/>
      <x:c r="E321" s="10"/>
      <x:c r="F321" s="10"/>
      <x:c r="G321" s="10"/>
      <x:c r="H321" s="10"/>
    </x:row>
    <x:row r="322" ht="14.25" customHeight="1">
      <x:c r="A322" s="10"/>
      <x:c r="B322" s="10"/>
      <x:c r="C322" s="10"/>
      <x:c r="D322" s="10"/>
      <x:c r="E322" s="10"/>
      <x:c r="F322" s="10"/>
      <x:c r="G322" s="10"/>
      <x:c r="H322" s="10"/>
    </x:row>
    <x:row r="323" ht="14.25" customHeight="1">
      <x:c r="A323" s="10"/>
      <x:c r="B323" s="10"/>
      <x:c r="C323" s="10"/>
      <x:c r="D323" s="10"/>
      <x:c r="E323" s="10"/>
      <x:c r="F323" s="10"/>
      <x:c r="G323" s="10"/>
      <x:c r="H323" s="10"/>
    </x:row>
    <x:row r="324" ht="14.25" customHeight="1">
      <x:c r="A324" s="10"/>
      <x:c r="B324" s="10"/>
      <x:c r="C324" s="10"/>
      <x:c r="D324" s="10"/>
      <x:c r="E324" s="10"/>
      <x:c r="F324" s="10"/>
      <x:c r="G324" s="10"/>
      <x:c r="H324" s="10"/>
    </x:row>
    <x:row r="325" ht="14.25" customHeight="1">
      <x:c r="A325" s="10"/>
      <x:c r="B325" s="10"/>
      <x:c r="C325" s="10"/>
      <x:c r="D325" s="10"/>
      <x:c r="E325" s="10"/>
      <x:c r="F325" s="10"/>
      <x:c r="G325" s="10"/>
      <x:c r="H325" s="10"/>
    </x:row>
    <x:row r="326" ht="14.25" customHeight="1">
      <x:c r="A326" s="10"/>
      <x:c r="B326" s="10"/>
      <x:c r="C326" s="10"/>
      <x:c r="D326" s="10"/>
      <x:c r="E326" s="10"/>
      <x:c r="F326" s="10"/>
      <x:c r="G326" s="10"/>
      <x:c r="H326" s="10"/>
    </x:row>
    <x:row r="327" ht="14.25" customHeight="1">
      <x:c r="A327" s="10"/>
      <x:c r="B327" s="10"/>
      <x:c r="C327" s="10"/>
      <x:c r="D327" s="10"/>
      <x:c r="E327" s="10"/>
      <x:c r="F327" s="10"/>
      <x:c r="G327" s="10"/>
      <x:c r="H327" s="10"/>
    </x:row>
    <x:row r="328" ht="14.25" customHeight="1">
      <x:c r="A328" s="10"/>
      <x:c r="B328" s="10"/>
      <x:c r="C328" s="10"/>
      <x:c r="D328" s="10"/>
      <x:c r="E328" s="10"/>
      <x:c r="F328" s="10"/>
      <x:c r="G328" s="10"/>
      <x:c r="H328" s="10"/>
    </x:row>
    <x:row r="329" ht="14.25" customHeight="1">
      <x:c r="A329" s="10"/>
      <x:c r="B329" s="10"/>
      <x:c r="C329" s="10"/>
      <x:c r="D329" s="10"/>
      <x:c r="E329" s="10"/>
      <x:c r="F329" s="10"/>
      <x:c r="G329" s="10"/>
      <x:c r="H329" s="10"/>
    </x:row>
    <x:row r="330" ht="14.25" customHeight="1">
      <x:c r="A330" s="10"/>
      <x:c r="B330" s="10"/>
      <x:c r="C330" s="10"/>
      <x:c r="D330" s="10"/>
      <x:c r="E330" s="10"/>
      <x:c r="F330" s="10"/>
      <x:c r="G330" s="10"/>
      <x:c r="H330" s="10"/>
    </x:row>
    <x:row r="331" ht="14.25" customHeight="1">
      <x:c r="A331" s="10"/>
      <x:c r="B331" s="10"/>
      <x:c r="C331" s="10"/>
      <x:c r="D331" s="10"/>
      <x:c r="E331" s="10"/>
      <x:c r="F331" s="10"/>
      <x:c r="G331" s="10"/>
      <x:c r="H331" s="10"/>
    </x:row>
    <x:row r="332" ht="14.25" customHeight="1">
      <x:c r="A332" s="10"/>
      <x:c r="B332" s="10"/>
      <x:c r="C332" s="10"/>
      <x:c r="D332" s="10"/>
      <x:c r="E332" s="10"/>
      <x:c r="F332" s="10"/>
      <x:c r="G332" s="10"/>
      <x:c r="H332" s="10"/>
    </x:row>
    <x:row r="333" ht="14.25" customHeight="1">
      <x:c r="A333" s="10"/>
      <x:c r="B333" s="10"/>
      <x:c r="C333" s="10"/>
      <x:c r="D333" s="10"/>
      <x:c r="E333" s="10"/>
      <x:c r="F333" s="10"/>
      <x:c r="G333" s="10"/>
      <x:c r="H333" s="10"/>
    </x:row>
    <x:row r="334" ht="14.25" customHeight="1">
      <x:c r="A334" s="10"/>
      <x:c r="B334" s="10"/>
      <x:c r="C334" s="10"/>
      <x:c r="D334" s="10"/>
      <x:c r="E334" s="10"/>
      <x:c r="F334" s="10"/>
      <x:c r="G334" s="10"/>
      <x:c r="H334" s="10"/>
    </x:row>
    <x:row r="335" ht="14.25" customHeight="1">
      <x:c r="A335" s="10"/>
      <x:c r="B335" s="10"/>
      <x:c r="C335" s="10"/>
      <x:c r="D335" s="10"/>
      <x:c r="E335" s="10"/>
      <x:c r="F335" s="10"/>
      <x:c r="G335" s="10"/>
      <x:c r="H335" s="10"/>
    </x:row>
    <x:row r="336" ht="14.25" customHeight="1">
      <x:c r="A336" s="10"/>
      <x:c r="B336" s="10"/>
      <x:c r="C336" s="10"/>
      <x:c r="D336" s="10"/>
      <x:c r="E336" s="10"/>
      <x:c r="F336" s="10"/>
      <x:c r="G336" s="10"/>
      <x:c r="H336" s="10"/>
    </x:row>
    <x:row r="337" ht="14.25" customHeight="1">
      <x:c r="A337" s="10"/>
      <x:c r="B337" s="10"/>
      <x:c r="C337" s="10"/>
      <x:c r="D337" s="10"/>
      <x:c r="E337" s="10"/>
      <x:c r="F337" s="10"/>
      <x:c r="G337" s="10"/>
      <x:c r="H337" s="10"/>
    </x:row>
    <x:row r="338" ht="14.25" customHeight="1">
      <x:c r="A338" s="10"/>
      <x:c r="B338" s="10"/>
      <x:c r="C338" s="10"/>
      <x:c r="D338" s="10"/>
      <x:c r="E338" s="10"/>
      <x:c r="F338" s="10"/>
      <x:c r="G338" s="10"/>
      <x:c r="H338" s="10"/>
    </x:row>
    <x:row r="339" ht="14.25" customHeight="1">
      <x:c r="A339" s="10"/>
      <x:c r="B339" s="10"/>
      <x:c r="C339" s="10"/>
      <x:c r="D339" s="10"/>
      <x:c r="E339" s="10"/>
      <x:c r="F339" s="10"/>
      <x:c r="G339" s="10"/>
      <x:c r="H339" s="10"/>
    </x:row>
    <x:row r="340" ht="14.25" customHeight="1">
      <x:c r="A340" s="10"/>
      <x:c r="B340" s="10"/>
      <x:c r="C340" s="10"/>
      <x:c r="D340" s="10"/>
      <x:c r="E340" s="10"/>
      <x:c r="F340" s="10"/>
      <x:c r="G340" s="10"/>
      <x:c r="H340" s="10"/>
    </x:row>
    <x:row r="341" ht="14.25" customHeight="1">
      <x:c r="A341" s="10"/>
      <x:c r="B341" s="10"/>
      <x:c r="C341" s="10"/>
      <x:c r="D341" s="10"/>
      <x:c r="E341" s="10"/>
      <x:c r="F341" s="10"/>
      <x:c r="G341" s="10"/>
      <x:c r="H341" s="10"/>
    </x:row>
    <x:row r="342" ht="14.25" customHeight="1">
      <x:c r="A342" s="10"/>
      <x:c r="B342" s="10"/>
      <x:c r="C342" s="10"/>
      <x:c r="D342" s="10"/>
      <x:c r="E342" s="10"/>
      <x:c r="F342" s="10"/>
      <x:c r="G342" s="10"/>
      <x:c r="H342" s="10"/>
    </x:row>
    <x:row r="343" ht="14.25" customHeight="1">
      <x:c r="A343" s="10"/>
      <x:c r="B343" s="10"/>
      <x:c r="C343" s="10"/>
      <x:c r="D343" s="10"/>
      <x:c r="E343" s="10"/>
      <x:c r="F343" s="10"/>
      <x:c r="G343" s="10"/>
      <x:c r="H343" s="10"/>
    </x:row>
    <x:row r="344" ht="14.25" customHeight="1">
      <x:c r="A344" s="10"/>
      <x:c r="B344" s="10"/>
      <x:c r="C344" s="10"/>
      <x:c r="D344" s="10"/>
      <x:c r="E344" s="10"/>
      <x:c r="F344" s="10"/>
      <x:c r="G344" s="10"/>
      <x:c r="H344" s="10"/>
    </x:row>
    <x:row r="345" ht="14.25" customHeight="1">
      <x:c r="A345" s="10"/>
      <x:c r="B345" s="10"/>
      <x:c r="C345" s="10"/>
      <x:c r="D345" s="10"/>
      <x:c r="E345" s="10"/>
      <x:c r="F345" s="10"/>
      <x:c r="G345" s="10"/>
      <x:c r="H345" s="10"/>
    </x:row>
    <x:row r="346" ht="14.25" customHeight="1">
      <x:c r="A346" s="10"/>
      <x:c r="B346" s="10"/>
      <x:c r="C346" s="10"/>
      <x:c r="D346" s="10"/>
      <x:c r="E346" s="10"/>
      <x:c r="F346" s="10"/>
      <x:c r="G346" s="10"/>
      <x:c r="H346" s="10"/>
    </x:row>
    <x:row r="347" ht="14.25" customHeight="1">
      <x:c r="A347" s="10"/>
      <x:c r="B347" s="10"/>
      <x:c r="C347" s="10"/>
      <x:c r="D347" s="10"/>
      <x:c r="E347" s="10"/>
      <x:c r="F347" s="10"/>
      <x:c r="G347" s="10"/>
      <x:c r="H347" s="10"/>
    </x:row>
    <x:row r="348" ht="14.25" customHeight="1">
      <x:c r="A348" s="10"/>
      <x:c r="B348" s="10"/>
      <x:c r="C348" s="10"/>
      <x:c r="D348" s="10"/>
      <x:c r="E348" s="10"/>
      <x:c r="F348" s="10"/>
      <x:c r="G348" s="10"/>
      <x:c r="H348" s="10"/>
    </x:row>
    <x:row r="349" ht="14.25" customHeight="1">
      <x:c r="A349" s="10"/>
      <x:c r="B349" s="10"/>
      <x:c r="C349" s="10"/>
      <x:c r="D349" s="10"/>
      <x:c r="E349" s="10"/>
      <x:c r="F349" s="10"/>
      <x:c r="G349" s="10"/>
      <x:c r="H349" s="10"/>
    </x:row>
    <x:row r="350" ht="14.25" customHeight="1">
      <x:c r="A350" s="10"/>
      <x:c r="B350" s="10"/>
      <x:c r="C350" s="10"/>
      <x:c r="D350" s="10"/>
      <x:c r="E350" s="10"/>
      <x:c r="F350" s="10"/>
      <x:c r="G350" s="10"/>
      <x:c r="H350" s="10"/>
    </x:row>
    <x:row r="351" ht="14.25" customHeight="1">
      <x:c r="A351" s="10"/>
      <x:c r="B351" s="10"/>
      <x:c r="C351" s="10"/>
      <x:c r="D351" s="10"/>
      <x:c r="E351" s="10"/>
      <x:c r="F351" s="10"/>
      <x:c r="G351" s="10"/>
      <x:c r="H351" s="10"/>
    </x:row>
    <x:row r="352" ht="14.25" customHeight="1">
      <x:c r="A352" s="10"/>
      <x:c r="B352" s="10"/>
      <x:c r="C352" s="10"/>
      <x:c r="D352" s="10"/>
      <x:c r="E352" s="10"/>
      <x:c r="F352" s="10"/>
      <x:c r="G352" s="10"/>
      <x:c r="H352" s="10"/>
    </x:row>
    <x:row r="353" ht="14.25" customHeight="1">
      <x:c r="A353" s="10"/>
      <x:c r="B353" s="10"/>
      <x:c r="C353" s="10"/>
      <x:c r="D353" s="10"/>
      <x:c r="E353" s="10"/>
      <x:c r="F353" s="10"/>
      <x:c r="G353" s="10"/>
      <x:c r="H353" s="10"/>
    </x:row>
    <x:row r="354" ht="14.25" customHeight="1">
      <x:c r="A354" s="10"/>
      <x:c r="B354" s="10"/>
      <x:c r="C354" s="10"/>
      <x:c r="D354" s="10"/>
      <x:c r="E354" s="10"/>
      <x:c r="F354" s="10"/>
      <x:c r="G354" s="10"/>
      <x:c r="H354" s="10"/>
    </x:row>
    <x:row r="355" ht="14.25" customHeight="1">
      <x:c r="A355" s="10"/>
      <x:c r="B355" s="10"/>
      <x:c r="C355" s="10"/>
      <x:c r="D355" s="10"/>
      <x:c r="E355" s="10"/>
      <x:c r="F355" s="10"/>
      <x:c r="G355" s="10"/>
      <x:c r="H355" s="10"/>
    </x:row>
    <x:row r="356" ht="14.25" customHeight="1">
      <x:c r="A356" s="10"/>
      <x:c r="B356" s="10"/>
      <x:c r="C356" s="10"/>
      <x:c r="D356" s="10"/>
      <x:c r="E356" s="10"/>
      <x:c r="F356" s="10"/>
      <x:c r="G356" s="10"/>
      <x:c r="H356" s="10"/>
    </x:row>
    <x:row r="357" ht="14.25" customHeight="1">
      <x:c r="A357" s="10"/>
      <x:c r="B357" s="10"/>
      <x:c r="C357" s="10"/>
      <x:c r="D357" s="10"/>
      <x:c r="E357" s="10"/>
      <x:c r="F357" s="10"/>
      <x:c r="G357" s="10"/>
      <x:c r="H357" s="10"/>
    </x:row>
    <x:row r="358" ht="14.25" customHeight="1">
      <x:c r="A358" s="10"/>
      <x:c r="B358" s="10"/>
      <x:c r="C358" s="10"/>
      <x:c r="D358" s="10"/>
      <x:c r="E358" s="10"/>
      <x:c r="F358" s="10"/>
      <x:c r="G358" s="10"/>
      <x:c r="H358" s="10"/>
    </x:row>
    <x:row r="359" ht="14.25" customHeight="1">
      <x:c r="A359" s="10"/>
      <x:c r="B359" s="10"/>
      <x:c r="C359" s="10"/>
      <x:c r="D359" s="10"/>
      <x:c r="E359" s="10"/>
      <x:c r="F359" s="10"/>
      <x:c r="G359" s="10"/>
      <x:c r="H359" s="10"/>
    </x:row>
    <x:row r="360" ht="14.25" customHeight="1">
      <x:c r="A360" s="10"/>
      <x:c r="B360" s="10"/>
      <x:c r="C360" s="10"/>
      <x:c r="D360" s="10"/>
      <x:c r="E360" s="10"/>
      <x:c r="F360" s="10"/>
      <x:c r="G360" s="10"/>
      <x:c r="H360" s="10"/>
    </x:row>
    <x:row r="361" ht="14.25" customHeight="1">
      <x:c r="A361" s="10"/>
      <x:c r="B361" s="10"/>
      <x:c r="C361" s="10"/>
      <x:c r="D361" s="10"/>
      <x:c r="E361" s="10"/>
      <x:c r="F361" s="10"/>
      <x:c r="G361" s="10"/>
      <x:c r="H361" s="10"/>
    </x:row>
    <x:row r="362" ht="14.25" customHeight="1">
      <x:c r="A362" s="10"/>
      <x:c r="B362" s="10"/>
      <x:c r="C362" s="10"/>
      <x:c r="D362" s="10"/>
      <x:c r="E362" s="10"/>
      <x:c r="F362" s="10"/>
      <x:c r="G362" s="10"/>
      <x:c r="H362" s="10"/>
    </x:row>
    <x:row r="363" ht="14.25" customHeight="1">
      <x:c r="A363" s="10"/>
      <x:c r="B363" s="10"/>
      <x:c r="C363" s="10"/>
      <x:c r="D363" s="10"/>
      <x:c r="E363" s="10"/>
      <x:c r="F363" s="10"/>
      <x:c r="G363" s="10"/>
      <x:c r="H363" s="10"/>
    </x:row>
    <x:row r="364" ht="14.25" customHeight="1">
      <x:c r="A364" s="10"/>
      <x:c r="B364" s="10"/>
      <x:c r="C364" s="10"/>
      <x:c r="D364" s="10"/>
      <x:c r="E364" s="10"/>
      <x:c r="F364" s="10"/>
      <x:c r="G364" s="10"/>
      <x:c r="H364" s="10"/>
    </x:row>
    <x:row r="365" ht="14.25" customHeight="1">
      <x:c r="A365" s="10"/>
      <x:c r="B365" s="10"/>
      <x:c r="C365" s="10"/>
      <x:c r="D365" s="10"/>
      <x:c r="E365" s="10"/>
      <x:c r="F365" s="10"/>
      <x:c r="G365" s="10"/>
      <x:c r="H365" s="10"/>
    </x:row>
    <x:row r="366" ht="14.25" customHeight="1">
      <x:c r="A366" s="10"/>
      <x:c r="B366" s="10"/>
      <x:c r="C366" s="10"/>
      <x:c r="D366" s="10"/>
      <x:c r="E366" s="10"/>
      <x:c r="F366" s="10"/>
      <x:c r="G366" s="10"/>
      <x:c r="H366" s="10"/>
    </x:row>
    <x:row r="367" ht="14.25" customHeight="1">
      <x:c r="A367" s="10"/>
      <x:c r="B367" s="10"/>
      <x:c r="C367" s="10"/>
      <x:c r="D367" s="10"/>
      <x:c r="E367" s="10"/>
      <x:c r="F367" s="10"/>
      <x:c r="G367" s="10"/>
      <x:c r="H367" s="10"/>
    </x:row>
    <x:row r="368" ht="14.25" customHeight="1">
      <x:c r="A368" s="10"/>
      <x:c r="B368" s="10"/>
      <x:c r="C368" s="10"/>
      <x:c r="D368" s="10"/>
      <x:c r="E368" s="10"/>
      <x:c r="F368" s="10"/>
      <x:c r="G368" s="10"/>
      <x:c r="H368" s="10"/>
    </x:row>
    <x:row r="369" ht="14.25" customHeight="1">
      <x:c r="A369" s="10"/>
      <x:c r="B369" s="10"/>
      <x:c r="C369" s="10"/>
      <x:c r="D369" s="10"/>
      <x:c r="E369" s="10"/>
      <x:c r="F369" s="10"/>
      <x:c r="G369" s="10"/>
      <x:c r="H369" s="10"/>
    </x:row>
    <x:row r="370" ht="14.25" customHeight="1">
      <x:c r="A370" s="10"/>
      <x:c r="B370" s="10"/>
      <x:c r="C370" s="10"/>
      <x:c r="D370" s="10"/>
      <x:c r="E370" s="10"/>
      <x:c r="F370" s="10"/>
      <x:c r="G370" s="10"/>
      <x:c r="H370" s="10"/>
    </x:row>
    <x:row r="371" ht="14.25" customHeight="1">
      <x:c r="A371" s="10"/>
      <x:c r="B371" s="10"/>
      <x:c r="C371" s="10"/>
      <x:c r="D371" s="10"/>
      <x:c r="E371" s="10"/>
      <x:c r="F371" s="10"/>
      <x:c r="G371" s="10"/>
      <x:c r="H371" s="10"/>
    </x:row>
    <x:row r="372" ht="14.25" customHeight="1">
      <x:c r="A372" s="10"/>
      <x:c r="B372" s="10"/>
      <x:c r="C372" s="10"/>
      <x:c r="D372" s="10"/>
      <x:c r="E372" s="10"/>
      <x:c r="F372" s="10"/>
      <x:c r="G372" s="10"/>
      <x:c r="H372" s="10"/>
    </x:row>
    <x:row r="373" ht="14.25" customHeight="1">
      <x:c r="A373" s="10"/>
      <x:c r="B373" s="10"/>
      <x:c r="C373" s="10"/>
      <x:c r="D373" s="10"/>
      <x:c r="E373" s="10"/>
      <x:c r="F373" s="10"/>
      <x:c r="G373" s="10"/>
      <x:c r="H373" s="10"/>
    </x:row>
    <x:row r="374" ht="14.25" customHeight="1">
      <x:c r="A374" s="10"/>
      <x:c r="B374" s="10"/>
      <x:c r="C374" s="10"/>
      <x:c r="D374" s="10"/>
      <x:c r="E374" s="10"/>
      <x:c r="F374" s="10"/>
      <x:c r="G374" s="10"/>
      <x:c r="H374" s="10"/>
    </x:row>
    <x:row r="375" ht="14.25" customHeight="1">
      <x:c r="A375" s="10"/>
      <x:c r="B375" s="10"/>
      <x:c r="C375" s="10"/>
      <x:c r="D375" s="10"/>
      <x:c r="E375" s="10"/>
      <x:c r="F375" s="10"/>
      <x:c r="G375" s="10"/>
      <x:c r="H375" s="10"/>
    </x:row>
    <x:row r="376" ht="14.25" customHeight="1">
      <x:c r="A376" s="10"/>
      <x:c r="B376" s="10"/>
      <x:c r="C376" s="10"/>
      <x:c r="D376" s="10"/>
      <x:c r="E376" s="10"/>
      <x:c r="F376" s="10"/>
      <x:c r="G376" s="10"/>
      <x:c r="H376" s="10"/>
    </x:row>
    <x:row r="377" ht="14.25" customHeight="1">
      <x:c r="A377" s="10"/>
      <x:c r="B377" s="10"/>
      <x:c r="C377" s="10"/>
      <x:c r="D377" s="10"/>
      <x:c r="E377" s="10"/>
      <x:c r="F377" s="10"/>
      <x:c r="G377" s="10"/>
      <x:c r="H377" s="10"/>
    </x:row>
    <x:row r="378" ht="14.25" customHeight="1">
      <x:c r="A378" s="10"/>
      <x:c r="B378" s="10"/>
      <x:c r="C378" s="10"/>
      <x:c r="D378" s="10"/>
      <x:c r="E378" s="10"/>
      <x:c r="F378" s="10"/>
      <x:c r="G378" s="10"/>
      <x:c r="H378" s="10"/>
    </x:row>
    <x:row r="379" ht="14.25" customHeight="1">
      <x:c r="A379" s="10"/>
      <x:c r="B379" s="10"/>
      <x:c r="C379" s="10"/>
      <x:c r="D379" s="10"/>
      <x:c r="E379" s="10"/>
      <x:c r="F379" s="10"/>
      <x:c r="G379" s="10"/>
      <x:c r="H379" s="10"/>
    </x:row>
    <x:row r="380" ht="14.25" customHeight="1">
      <x:c r="A380" s="10"/>
      <x:c r="B380" s="10"/>
      <x:c r="C380" s="10"/>
      <x:c r="D380" s="10"/>
      <x:c r="E380" s="10"/>
      <x:c r="F380" s="10"/>
      <x:c r="G380" s="10"/>
      <x:c r="H380" s="10"/>
    </x:row>
    <x:row r="381" ht="14.25" customHeight="1">
      <x:c r="A381" s="10"/>
      <x:c r="B381" s="10"/>
      <x:c r="C381" s="10"/>
      <x:c r="D381" s="10"/>
      <x:c r="E381" s="10"/>
      <x:c r="F381" s="10"/>
      <x:c r="G381" s="10"/>
      <x:c r="H381" s="10"/>
    </x:row>
    <x:row r="382" ht="14.25" customHeight="1">
      <x:c r="A382" s="10"/>
      <x:c r="B382" s="10"/>
      <x:c r="C382" s="10"/>
      <x:c r="D382" s="10"/>
      <x:c r="E382" s="10"/>
      <x:c r="F382" s="10"/>
      <x:c r="G382" s="10"/>
      <x:c r="H382" s="10"/>
    </x:row>
    <x:row r="383" ht="14.25" customHeight="1">
      <x:c r="A383" s="10"/>
      <x:c r="B383" s="10"/>
      <x:c r="C383" s="10"/>
      <x:c r="D383" s="10"/>
      <x:c r="E383" s="10"/>
      <x:c r="F383" s="10"/>
      <x:c r="G383" s="10"/>
      <x:c r="H383" s="10"/>
    </x:row>
    <x:row r="384" ht="14.25" customHeight="1">
      <x:c r="A384" s="10"/>
      <x:c r="B384" s="10"/>
      <x:c r="C384" s="10"/>
      <x:c r="D384" s="10"/>
      <x:c r="E384" s="10"/>
      <x:c r="F384" s="10"/>
      <x:c r="G384" s="10"/>
      <x:c r="H384" s="10"/>
    </x:row>
    <x:row r="385" ht="14.25" customHeight="1">
      <x:c r="A385" s="10"/>
      <x:c r="B385" s="10"/>
      <x:c r="C385" s="10"/>
      <x:c r="D385" s="10"/>
      <x:c r="E385" s="10"/>
      <x:c r="F385" s="10"/>
      <x:c r="G385" s="10"/>
      <x:c r="H385" s="10"/>
    </x:row>
    <x:row r="386" ht="14.25" customHeight="1">
      <x:c r="A386" s="10"/>
      <x:c r="B386" s="10"/>
      <x:c r="C386" s="10"/>
      <x:c r="D386" s="10"/>
      <x:c r="E386" s="10"/>
      <x:c r="F386" s="10"/>
      <x:c r="G386" s="10"/>
      <x:c r="H386" s="10"/>
    </x:row>
    <x:row r="387" ht="14.25" customHeight="1">
      <x:c r="A387" s="10"/>
      <x:c r="B387" s="10"/>
      <x:c r="C387" s="10"/>
      <x:c r="D387" s="10"/>
      <x:c r="E387" s="10"/>
      <x:c r="F387" s="10"/>
      <x:c r="G387" s="10"/>
      <x:c r="H387" s="10"/>
    </x:row>
    <x:row r="388" ht="14.25" customHeight="1">
      <x:c r="A388" s="10"/>
      <x:c r="B388" s="10"/>
      <x:c r="C388" s="10"/>
      <x:c r="D388" s="10"/>
      <x:c r="E388" s="10"/>
      <x:c r="F388" s="10"/>
      <x:c r="G388" s="10"/>
      <x:c r="H388" s="10"/>
    </x:row>
    <x:row r="389" ht="14.25" customHeight="1">
      <x:c r="A389" s="10"/>
      <x:c r="B389" s="10"/>
      <x:c r="C389" s="10"/>
      <x:c r="D389" s="10"/>
      <x:c r="E389" s="10"/>
      <x:c r="F389" s="10"/>
      <x:c r="G389" s="10"/>
      <x:c r="H389" s="10"/>
    </x:row>
    <x:row r="390" ht="14.25" customHeight="1">
      <x:c r="A390" s="10"/>
      <x:c r="B390" s="10"/>
      <x:c r="C390" s="10"/>
      <x:c r="D390" s="10"/>
      <x:c r="E390" s="10"/>
      <x:c r="F390" s="10"/>
      <x:c r="G390" s="10"/>
      <x:c r="H390" s="10"/>
    </x:row>
    <x:row r="391" ht="14.25" customHeight="1">
      <x:c r="A391" s="10"/>
      <x:c r="B391" s="10"/>
      <x:c r="C391" s="10"/>
      <x:c r="D391" s="10"/>
      <x:c r="E391" s="10"/>
      <x:c r="F391" s="10"/>
      <x:c r="G391" s="10"/>
      <x:c r="H391" s="10"/>
    </x:row>
    <x:row r="392" ht="14.25" customHeight="1">
      <x:c r="A392" s="10"/>
      <x:c r="B392" s="10"/>
      <x:c r="C392" s="10"/>
      <x:c r="D392" s="10"/>
      <x:c r="E392" s="10"/>
      <x:c r="F392" s="10"/>
      <x:c r="G392" s="10"/>
      <x:c r="H392" s="10"/>
    </x:row>
    <x:row r="393" ht="14.25" customHeight="1">
      <x:c r="A393" s="10"/>
      <x:c r="B393" s="10"/>
      <x:c r="C393" s="10"/>
      <x:c r="D393" s="10"/>
      <x:c r="E393" s="10"/>
      <x:c r="F393" s="10"/>
      <x:c r="G393" s="10"/>
      <x:c r="H393" s="10"/>
    </x:row>
    <x:row r="394" ht="14.25" customHeight="1">
      <x:c r="A394" s="10"/>
      <x:c r="B394" s="10"/>
      <x:c r="C394" s="10"/>
      <x:c r="D394" s="10"/>
      <x:c r="E394" s="10"/>
      <x:c r="F394" s="10"/>
      <x:c r="G394" s="10"/>
      <x:c r="H394" s="10"/>
    </x:row>
    <x:row r="395" ht="14.25" customHeight="1">
      <x:c r="A395" s="10"/>
      <x:c r="B395" s="10"/>
      <x:c r="C395" s="10"/>
      <x:c r="D395" s="10"/>
      <x:c r="E395" s="10"/>
      <x:c r="F395" s="10"/>
      <x:c r="G395" s="10"/>
      <x:c r="H395" s="10"/>
    </x:row>
    <x:row r="396" ht="14.25" customHeight="1">
      <x:c r="A396" s="10"/>
      <x:c r="B396" s="10"/>
      <x:c r="C396" s="10"/>
      <x:c r="D396" s="10"/>
      <x:c r="E396" s="10"/>
      <x:c r="F396" s="10"/>
      <x:c r="G396" s="10"/>
      <x:c r="H396" s="10"/>
    </x:row>
    <x:row r="397" ht="14.25" customHeight="1">
      <x:c r="A397" s="10"/>
      <x:c r="B397" s="10"/>
      <x:c r="C397" s="10"/>
      <x:c r="D397" s="10"/>
      <x:c r="E397" s="10"/>
      <x:c r="F397" s="10"/>
      <x:c r="G397" s="10"/>
      <x:c r="H397" s="10"/>
    </x:row>
    <x:row r="398" ht="14.25" customHeight="1">
      <x:c r="A398" s="10"/>
      <x:c r="B398" s="10"/>
      <x:c r="C398" s="10"/>
      <x:c r="D398" s="10"/>
      <x:c r="E398" s="10"/>
      <x:c r="F398" s="10"/>
      <x:c r="G398" s="10"/>
      <x:c r="H398" s="10"/>
    </x:row>
    <x:row r="399" ht="14.25" customHeight="1">
      <x:c r="A399" s="10"/>
      <x:c r="B399" s="10"/>
      <x:c r="C399" s="10"/>
      <x:c r="D399" s="10"/>
      <x:c r="E399" s="10"/>
      <x:c r="F399" s="10"/>
      <x:c r="G399" s="10"/>
      <x:c r="H399" s="10"/>
    </x:row>
    <x:row r="400" ht="14.25" customHeight="1">
      <x:c r="A400" s="10"/>
      <x:c r="B400" s="10"/>
      <x:c r="C400" s="10"/>
      <x:c r="D400" s="10"/>
      <x:c r="E400" s="10"/>
      <x:c r="F400" s="10"/>
      <x:c r="G400" s="10"/>
      <x:c r="H400" s="10"/>
    </x:row>
    <x:row r="401" ht="14.25" customHeight="1">
      <x:c r="A401" s="10"/>
      <x:c r="B401" s="10"/>
      <x:c r="C401" s="10"/>
      <x:c r="D401" s="10"/>
      <x:c r="E401" s="10"/>
      <x:c r="F401" s="10"/>
      <x:c r="G401" s="10"/>
      <x:c r="H401" s="10"/>
    </x:row>
    <x:row r="402" ht="14.25" customHeight="1">
      <x:c r="A402" s="10"/>
      <x:c r="B402" s="10"/>
      <x:c r="C402" s="10"/>
      <x:c r="D402" s="10"/>
      <x:c r="E402" s="10"/>
      <x:c r="F402" s="10"/>
      <x:c r="G402" s="10"/>
      <x:c r="H402" s="10"/>
    </x:row>
    <x:row r="403" ht="14.25" customHeight="1">
      <x:c r="A403" s="10"/>
      <x:c r="B403" s="10"/>
      <x:c r="C403" s="10"/>
      <x:c r="D403" s="10"/>
      <x:c r="E403" s="10"/>
      <x:c r="F403" s="10"/>
      <x:c r="G403" s="10"/>
      <x:c r="H403" s="10"/>
    </x:row>
    <x:row r="404" ht="14.25" customHeight="1">
      <x:c r="A404" s="10"/>
      <x:c r="B404" s="10"/>
      <x:c r="C404" s="10"/>
      <x:c r="D404" s="10"/>
      <x:c r="E404" s="10"/>
      <x:c r="F404" s="10"/>
      <x:c r="G404" s="10"/>
      <x:c r="H404" s="10"/>
    </x:row>
    <x:row r="405" ht="14.25" customHeight="1">
      <x:c r="A405" s="10"/>
      <x:c r="B405" s="10"/>
      <x:c r="C405" s="10"/>
      <x:c r="D405" s="10"/>
      <x:c r="E405" s="10"/>
      <x:c r="F405" s="10"/>
      <x:c r="G405" s="10"/>
      <x:c r="H405" s="10"/>
    </x:row>
    <x:row r="406" ht="14.25" customHeight="1">
      <x:c r="A406" s="10"/>
      <x:c r="B406" s="10"/>
      <x:c r="C406" s="10"/>
      <x:c r="D406" s="10"/>
      <x:c r="E406" s="10"/>
      <x:c r="F406" s="10"/>
      <x:c r="G406" s="10"/>
      <x:c r="H406" s="10"/>
    </x:row>
    <x:row r="407" ht="14.25" customHeight="1">
      <x:c r="A407" s="10"/>
      <x:c r="B407" s="10"/>
      <x:c r="C407" s="10"/>
      <x:c r="D407" s="10"/>
      <x:c r="E407" s="10"/>
      <x:c r="F407" s="10"/>
      <x:c r="G407" s="10"/>
      <x:c r="H407" s="10"/>
    </x:row>
    <x:row r="408" ht="14.25" customHeight="1">
      <x:c r="A408" s="10"/>
      <x:c r="B408" s="10"/>
      <x:c r="C408" s="10"/>
      <x:c r="D408" s="10"/>
      <x:c r="E408" s="10"/>
      <x:c r="F408" s="10"/>
      <x:c r="G408" s="10"/>
      <x:c r="H408" s="10"/>
    </x:row>
    <x:row r="409" ht="14.25" customHeight="1">
      <x:c r="A409" s="10"/>
      <x:c r="B409" s="10"/>
      <x:c r="C409" s="10"/>
      <x:c r="D409" s="10"/>
      <x:c r="E409" s="10"/>
      <x:c r="F409" s="10"/>
      <x:c r="G409" s="10"/>
      <x:c r="H409" s="10"/>
    </x:row>
    <x:row r="410" ht="14.25" customHeight="1">
      <x:c r="A410" s="10"/>
      <x:c r="B410" s="10"/>
      <x:c r="C410" s="10"/>
      <x:c r="D410" s="10"/>
      <x:c r="E410" s="10"/>
      <x:c r="F410" s="10"/>
      <x:c r="G410" s="10"/>
      <x:c r="H410" s="10"/>
    </x:row>
    <x:row r="411" ht="14.25" customHeight="1">
      <x:c r="A411" s="10"/>
      <x:c r="B411" s="10"/>
      <x:c r="C411" s="10"/>
      <x:c r="D411" s="10"/>
      <x:c r="E411" s="10"/>
      <x:c r="F411" s="10"/>
      <x:c r="G411" s="10"/>
      <x:c r="H411" s="10"/>
    </x:row>
    <x:row r="412" ht="14.25" customHeight="1">
      <x:c r="A412" s="10"/>
      <x:c r="B412" s="10"/>
      <x:c r="C412" s="10"/>
      <x:c r="D412" s="10"/>
      <x:c r="E412" s="10"/>
      <x:c r="F412" s="10"/>
      <x:c r="G412" s="10"/>
      <x:c r="H412" s="10"/>
    </x:row>
    <x:row r="413" ht="14.25" customHeight="1">
      <x:c r="A413" s="10"/>
      <x:c r="B413" s="10"/>
      <x:c r="C413" s="10"/>
      <x:c r="D413" s="10"/>
      <x:c r="E413" s="10"/>
      <x:c r="F413" s="10"/>
      <x:c r="G413" s="10"/>
      <x:c r="H413" s="10"/>
    </x:row>
    <x:row r="414" ht="14.25" customHeight="1">
      <x:c r="A414" s="10"/>
      <x:c r="B414" s="10"/>
      <x:c r="C414" s="10"/>
      <x:c r="D414" s="10"/>
      <x:c r="E414" s="10"/>
      <x:c r="F414" s="10"/>
      <x:c r="G414" s="10"/>
      <x:c r="H414" s="10"/>
    </x:row>
    <x:row r="415" ht="14.25" customHeight="1">
      <x:c r="A415" s="10"/>
      <x:c r="B415" s="10"/>
      <x:c r="C415" s="10"/>
      <x:c r="D415" s="10"/>
      <x:c r="E415" s="10"/>
      <x:c r="F415" s="10"/>
      <x:c r="G415" s="10"/>
      <x:c r="H415" s="10"/>
    </x:row>
    <x:row r="416" ht="14.25" customHeight="1">
      <x:c r="A416" s="10"/>
      <x:c r="B416" s="10"/>
      <x:c r="C416" s="10"/>
      <x:c r="D416" s="10"/>
      <x:c r="E416" s="10"/>
      <x:c r="F416" s="10"/>
      <x:c r="G416" s="10"/>
      <x:c r="H416" s="10"/>
    </x:row>
    <x:row r="417" ht="14.25" customHeight="1">
      <x:c r="A417" s="10"/>
      <x:c r="B417" s="10"/>
      <x:c r="C417" s="10"/>
      <x:c r="D417" s="10"/>
      <x:c r="E417" s="10"/>
      <x:c r="F417" s="10"/>
      <x:c r="G417" s="10"/>
      <x:c r="H417" s="10"/>
    </x:row>
    <x:row r="418" ht="14.25" customHeight="1">
      <x:c r="A418" s="10"/>
      <x:c r="B418" s="10"/>
      <x:c r="C418" s="10"/>
      <x:c r="D418" s="10"/>
      <x:c r="E418" s="10"/>
      <x:c r="F418" s="10"/>
      <x:c r="G418" s="10"/>
      <x:c r="H418" s="10"/>
    </x:row>
    <x:row r="419" ht="14.25" customHeight="1">
      <x:c r="A419" s="10"/>
      <x:c r="B419" s="10"/>
      <x:c r="C419" s="10"/>
      <x:c r="D419" s="10"/>
      <x:c r="E419" s="10"/>
      <x:c r="F419" s="10"/>
      <x:c r="G419" s="10"/>
      <x:c r="H419" s="10"/>
    </x:row>
    <x:row r="420" ht="14.25" customHeight="1">
      <x:c r="A420" s="10"/>
      <x:c r="B420" s="10"/>
      <x:c r="C420" s="10"/>
      <x:c r="D420" s="10"/>
      <x:c r="E420" s="10"/>
      <x:c r="F420" s="10"/>
      <x:c r="G420" s="10"/>
      <x:c r="H420" s="10"/>
    </x:row>
    <x:row r="421" ht="14.25" customHeight="1">
      <x:c r="A421" s="10"/>
      <x:c r="B421" s="10"/>
      <x:c r="C421" s="10"/>
      <x:c r="D421" s="10"/>
      <x:c r="E421" s="10"/>
      <x:c r="F421" s="10"/>
      <x:c r="G421" s="10"/>
      <x:c r="H421" s="10"/>
    </x:row>
    <x:row r="422" ht="14.25" customHeight="1">
      <x:c r="A422" s="10"/>
      <x:c r="B422" s="10"/>
      <x:c r="C422" s="10"/>
      <x:c r="D422" s="10"/>
      <x:c r="E422" s="10"/>
      <x:c r="F422" s="10"/>
      <x:c r="G422" s="10"/>
      <x:c r="H422" s="10"/>
    </x:row>
    <x:row r="423" ht="14.25" customHeight="1">
      <x:c r="A423" s="10"/>
      <x:c r="B423" s="10"/>
      <x:c r="C423" s="10"/>
      <x:c r="D423" s="10"/>
      <x:c r="E423" s="10"/>
      <x:c r="F423" s="10"/>
      <x:c r="G423" s="10"/>
      <x:c r="H423" s="10"/>
    </x:row>
    <x:row r="424" ht="14.25" customHeight="1">
      <x:c r="A424" s="10"/>
      <x:c r="B424" s="10"/>
      <x:c r="C424" s="10"/>
      <x:c r="D424" s="10"/>
      <x:c r="E424" s="10"/>
      <x:c r="F424" s="10"/>
      <x:c r="G424" s="10"/>
      <x:c r="H424" s="10"/>
    </x:row>
    <x:row r="425" ht="14.25" customHeight="1">
      <x:c r="A425" s="10"/>
      <x:c r="B425" s="10"/>
      <x:c r="C425" s="10"/>
      <x:c r="D425" s="10"/>
      <x:c r="E425" s="10"/>
      <x:c r="F425" s="10"/>
      <x:c r="G425" s="10"/>
      <x:c r="H425" s="10"/>
    </x:row>
    <x:row r="426" ht="14.25" customHeight="1">
      <x:c r="A426" s="10"/>
      <x:c r="B426" s="10"/>
      <x:c r="C426" s="10"/>
      <x:c r="D426" s="10"/>
      <x:c r="E426" s="10"/>
      <x:c r="F426" s="10"/>
      <x:c r="G426" s="10"/>
      <x:c r="H426" s="10"/>
    </x:row>
    <x:row r="427" ht="14.25" customHeight="1">
      <x:c r="A427" s="10"/>
      <x:c r="B427" s="10"/>
      <x:c r="C427" s="10"/>
      <x:c r="D427" s="10"/>
      <x:c r="E427" s="10"/>
      <x:c r="F427" s="10"/>
      <x:c r="G427" s="10"/>
      <x:c r="H427" s="10"/>
    </x:row>
    <x:row r="428" ht="14.25" customHeight="1">
      <x:c r="A428" s="10"/>
      <x:c r="B428" s="10"/>
      <x:c r="C428" s="10"/>
      <x:c r="D428" s="10"/>
      <x:c r="E428" s="10"/>
      <x:c r="F428" s="10"/>
      <x:c r="G428" s="10"/>
      <x:c r="H428" s="10"/>
    </x:row>
    <x:row r="429" ht="14.25" customHeight="1">
      <x:c r="A429" s="10"/>
      <x:c r="B429" s="10"/>
      <x:c r="C429" s="10"/>
      <x:c r="D429" s="10"/>
      <x:c r="E429" s="10"/>
      <x:c r="F429" s="10"/>
      <x:c r="G429" s="10"/>
      <x:c r="H429" s="10"/>
    </x:row>
    <x:row r="430" ht="14.25" customHeight="1">
      <x:c r="A430" s="10"/>
      <x:c r="B430" s="10"/>
      <x:c r="C430" s="10"/>
      <x:c r="D430" s="10"/>
      <x:c r="E430" s="10"/>
      <x:c r="F430" s="10"/>
      <x:c r="G430" s="10"/>
      <x:c r="H430" s="10"/>
    </x:row>
    <x:row r="431" ht="14.25" customHeight="1">
      <x:c r="A431" s="10"/>
      <x:c r="B431" s="10"/>
      <x:c r="C431" s="10"/>
      <x:c r="D431" s="10"/>
      <x:c r="E431" s="10"/>
      <x:c r="F431" s="10"/>
      <x:c r="G431" s="10"/>
      <x:c r="H431" s="10"/>
    </x:row>
    <x:row r="432" ht="14.25" customHeight="1">
      <x:c r="A432" s="10"/>
      <x:c r="B432" s="10"/>
      <x:c r="C432" s="10"/>
      <x:c r="D432" s="10"/>
      <x:c r="E432" s="10"/>
      <x:c r="F432" s="10"/>
      <x:c r="G432" s="10"/>
      <x:c r="H432" s="10"/>
    </x:row>
    <x:row r="433" ht="14.25" customHeight="1">
      <x:c r="A433" s="10"/>
      <x:c r="B433" s="10"/>
      <x:c r="C433" s="10"/>
      <x:c r="D433" s="10"/>
      <x:c r="E433" s="10"/>
      <x:c r="F433" s="10"/>
      <x:c r="G433" s="10"/>
      <x:c r="H433" s="10"/>
    </x:row>
    <x:row r="434" ht="14.25" customHeight="1">
      <x:c r="A434" s="10"/>
      <x:c r="B434" s="10"/>
      <x:c r="C434" s="10"/>
      <x:c r="D434" s="10"/>
      <x:c r="E434" s="10"/>
      <x:c r="F434" s="10"/>
      <x:c r="G434" s="10"/>
      <x:c r="H434" s="10"/>
    </x:row>
    <x:row r="435" ht="14.25" customHeight="1">
      <x:c r="A435" s="10"/>
      <x:c r="B435" s="10"/>
      <x:c r="C435" s="10"/>
      <x:c r="D435" s="10"/>
      <x:c r="E435" s="10"/>
      <x:c r="F435" s="10"/>
      <x:c r="G435" s="10"/>
      <x:c r="H435" s="10"/>
    </x:row>
    <x:row r="436" ht="14.25" customHeight="1">
      <x:c r="A436" s="10"/>
      <x:c r="B436" s="10"/>
      <x:c r="C436" s="10"/>
      <x:c r="D436" s="10"/>
      <x:c r="E436" s="10"/>
      <x:c r="F436" s="10"/>
      <x:c r="G436" s="10"/>
      <x:c r="H436" s="10"/>
    </x:row>
    <x:row r="437" ht="14.25" customHeight="1">
      <x:c r="A437" s="10"/>
      <x:c r="B437" s="10"/>
      <x:c r="C437" s="10"/>
      <x:c r="D437" s="10"/>
      <x:c r="E437" s="10"/>
      <x:c r="F437" s="10"/>
      <x:c r="G437" s="10"/>
      <x:c r="H437" s="10"/>
    </x:row>
    <x:row r="438" ht="14.25" customHeight="1">
      <x:c r="A438" s="10"/>
      <x:c r="B438" s="10"/>
      <x:c r="C438" s="10"/>
      <x:c r="D438" s="10"/>
      <x:c r="E438" s="10"/>
      <x:c r="F438" s="10"/>
      <x:c r="G438" s="10"/>
      <x:c r="H438" s="10"/>
    </x:row>
    <x:row r="439" ht="14.25" customHeight="1">
      <x:c r="A439" s="10"/>
      <x:c r="B439" s="10"/>
      <x:c r="C439" s="10"/>
      <x:c r="D439" s="10"/>
      <x:c r="E439" s="10"/>
      <x:c r="F439" s="10"/>
      <x:c r="G439" s="10"/>
      <x:c r="H439" s="10"/>
    </x:row>
    <x:row r="440" ht="14.25" customHeight="1">
      <x:c r="A440" s="10"/>
      <x:c r="B440" s="10"/>
      <x:c r="C440" s="10"/>
      <x:c r="D440" s="10"/>
      <x:c r="E440" s="10"/>
      <x:c r="F440" s="10"/>
      <x:c r="G440" s="10"/>
      <x:c r="H440" s="10"/>
    </x:row>
    <x:row r="441" ht="14.25" customHeight="1">
      <x:c r="A441" s="10"/>
      <x:c r="B441" s="10"/>
      <x:c r="C441" s="10"/>
      <x:c r="D441" s="10"/>
      <x:c r="E441" s="10"/>
      <x:c r="F441" s="10"/>
      <x:c r="G441" s="10"/>
      <x:c r="H441" s="10"/>
    </x:row>
    <x:row r="442" ht="14.25" customHeight="1">
      <x:c r="A442" s="10"/>
      <x:c r="B442" s="10"/>
      <x:c r="C442" s="10"/>
      <x:c r="D442" s="10"/>
      <x:c r="E442" s="10"/>
      <x:c r="F442" s="10"/>
      <x:c r="G442" s="10"/>
      <x:c r="H442" s="10"/>
    </x:row>
    <x:row r="443" ht="14.25" customHeight="1">
      <x:c r="A443" s="10"/>
      <x:c r="B443" s="10"/>
      <x:c r="C443" s="10"/>
      <x:c r="D443" s="10"/>
      <x:c r="E443" s="10"/>
      <x:c r="F443" s="10"/>
      <x:c r="G443" s="10"/>
      <x:c r="H443" s="10"/>
    </x:row>
    <x:row r="444" ht="14.25" customHeight="1">
      <x:c r="A444" s="10"/>
      <x:c r="B444" s="10"/>
      <x:c r="C444" s="10"/>
      <x:c r="D444" s="10"/>
      <x:c r="E444" s="10"/>
      <x:c r="F444" s="10"/>
      <x:c r="G444" s="10"/>
      <x:c r="H444" s="10"/>
    </x:row>
    <x:row r="445" ht="14.25" customHeight="1">
      <x:c r="A445" s="10"/>
      <x:c r="B445" s="10"/>
      <x:c r="C445" s="10"/>
      <x:c r="D445" s="10"/>
      <x:c r="E445" s="10"/>
      <x:c r="F445" s="10"/>
      <x:c r="G445" s="10"/>
      <x:c r="H445" s="10"/>
    </x:row>
    <x:row r="446" ht="14.25" customHeight="1">
      <x:c r="A446" s="10"/>
      <x:c r="B446" s="10"/>
      <x:c r="C446" s="10"/>
      <x:c r="D446" s="10"/>
      <x:c r="E446" s="10"/>
      <x:c r="F446" s="10"/>
      <x:c r="G446" s="10"/>
      <x:c r="H446" s="10"/>
    </x:row>
    <x:row r="447" ht="14.25" customHeight="1">
      <x:c r="A447" s="10"/>
      <x:c r="B447" s="10"/>
      <x:c r="C447" s="10"/>
      <x:c r="D447" s="10"/>
      <x:c r="E447" s="10"/>
      <x:c r="F447" s="10"/>
      <x:c r="G447" s="10"/>
      <x:c r="H447" s="10"/>
    </x:row>
    <x:row r="448" ht="14.25" customHeight="1">
      <x:c r="A448" s="10"/>
      <x:c r="B448" s="10"/>
      <x:c r="C448" s="10"/>
      <x:c r="D448" s="10"/>
      <x:c r="E448" s="10"/>
      <x:c r="F448" s="10"/>
      <x:c r="G448" s="10"/>
      <x:c r="H448" s="10"/>
    </x:row>
    <x:row r="449" ht="14.25" customHeight="1">
      <x:c r="A449" s="10"/>
      <x:c r="B449" s="10"/>
      <x:c r="C449" s="10"/>
      <x:c r="D449" s="10"/>
      <x:c r="E449" s="10"/>
      <x:c r="F449" s="10"/>
      <x:c r="G449" s="10"/>
      <x:c r="H449" s="10"/>
    </x:row>
    <x:row r="450" ht="14.25" customHeight="1">
      <x:c r="A450" s="10"/>
      <x:c r="B450" s="10"/>
      <x:c r="C450" s="10"/>
      <x:c r="D450" s="10"/>
      <x:c r="E450" s="10"/>
      <x:c r="F450" s="10"/>
      <x:c r="G450" s="10"/>
      <x:c r="H450" s="10"/>
    </x:row>
    <x:row r="451" ht="14.25" customHeight="1">
      <x:c r="A451" s="10"/>
      <x:c r="B451" s="10"/>
      <x:c r="C451" s="10"/>
      <x:c r="D451" s="10"/>
      <x:c r="E451" s="10"/>
      <x:c r="F451" s="10"/>
      <x:c r="G451" s="10"/>
      <x:c r="H451" s="10"/>
    </x:row>
    <x:row r="452" ht="14.25" customHeight="1">
      <x:c r="A452" s="10"/>
      <x:c r="B452" s="10"/>
      <x:c r="C452" s="10"/>
      <x:c r="D452" s="10"/>
      <x:c r="E452" s="10"/>
      <x:c r="F452" s="10"/>
      <x:c r="G452" s="10"/>
      <x:c r="H452" s="10"/>
    </x:row>
    <x:row r="453" ht="14.25" customHeight="1">
      <x:c r="A453" s="10"/>
      <x:c r="B453" s="10"/>
      <x:c r="C453" s="10"/>
      <x:c r="D453" s="10"/>
      <x:c r="E453" s="10"/>
      <x:c r="F453" s="10"/>
      <x:c r="G453" s="10"/>
      <x:c r="H453" s="10"/>
    </x:row>
    <x:row r="454" ht="14.25" customHeight="1">
      <x:c r="A454" s="10"/>
      <x:c r="B454" s="10"/>
      <x:c r="C454" s="10"/>
      <x:c r="D454" s="10"/>
      <x:c r="E454" s="10"/>
      <x:c r="F454" s="10"/>
      <x:c r="G454" s="10"/>
      <x:c r="H454" s="10"/>
    </x:row>
    <x:row r="455" ht="14.25" customHeight="1">
      <x:c r="A455" s="10"/>
      <x:c r="B455" s="10"/>
      <x:c r="C455" s="10"/>
      <x:c r="D455" s="10"/>
      <x:c r="E455" s="10"/>
      <x:c r="F455" s="10"/>
      <x:c r="G455" s="10"/>
      <x:c r="H455" s="10"/>
    </x:row>
    <x:row r="456" ht="14.25" customHeight="1">
      <x:c r="A456" s="10"/>
      <x:c r="B456" s="10"/>
      <x:c r="C456" s="10"/>
      <x:c r="D456" s="10"/>
      <x:c r="E456" s="10"/>
      <x:c r="F456" s="10"/>
      <x:c r="G456" s="10"/>
      <x:c r="H456" s="10"/>
    </x:row>
    <x:row r="457" ht="14.25" customHeight="1">
      <x:c r="A457" s="10"/>
      <x:c r="B457" s="10"/>
      <x:c r="C457" s="10"/>
      <x:c r="D457" s="10"/>
      <x:c r="E457" s="10"/>
      <x:c r="F457" s="10"/>
      <x:c r="G457" s="10"/>
      <x:c r="H457" s="10"/>
    </x:row>
    <x:row r="458" ht="14.25" customHeight="1">
      <x:c r="A458" s="10"/>
      <x:c r="B458" s="10"/>
      <x:c r="C458" s="10"/>
      <x:c r="D458" s="10"/>
      <x:c r="E458" s="10"/>
      <x:c r="F458" s="10"/>
      <x:c r="G458" s="10"/>
      <x:c r="H458" s="10"/>
    </x:row>
    <x:row r="459" ht="14.25" customHeight="1">
      <x:c r="A459" s="10"/>
      <x:c r="B459" s="10"/>
      <x:c r="C459" s="10"/>
      <x:c r="D459" s="10"/>
      <x:c r="E459" s="10"/>
      <x:c r="F459" s="10"/>
      <x:c r="G459" s="10"/>
      <x:c r="H459" s="10"/>
    </x:row>
    <x:row r="460" ht="14.25" customHeight="1">
      <x:c r="A460" s="10"/>
      <x:c r="B460" s="10"/>
      <x:c r="C460" s="10"/>
      <x:c r="D460" s="10"/>
      <x:c r="E460" s="10"/>
      <x:c r="F460" s="10"/>
      <x:c r="G460" s="10"/>
      <x:c r="H460" s="10"/>
    </x:row>
    <x:row r="461" ht="14.25" customHeight="1">
      <x:c r="A461" s="10"/>
      <x:c r="B461" s="10"/>
      <x:c r="C461" s="10"/>
      <x:c r="D461" s="10"/>
      <x:c r="E461" s="10"/>
      <x:c r="F461" s="10"/>
      <x:c r="G461" s="10"/>
      <x:c r="H461" s="10"/>
    </x:row>
    <x:row r="462" ht="14.25" customHeight="1">
      <x:c r="A462" s="10"/>
      <x:c r="B462" s="10"/>
      <x:c r="C462" s="10"/>
      <x:c r="D462" s="10"/>
      <x:c r="E462" s="10"/>
      <x:c r="F462" s="10"/>
      <x:c r="G462" s="10"/>
      <x:c r="H462" s="10"/>
    </x:row>
    <x:row r="463" ht="14.25" customHeight="1">
      <x:c r="A463" s="10"/>
      <x:c r="B463" s="10"/>
      <x:c r="C463" s="10"/>
      <x:c r="D463" s="10"/>
      <x:c r="E463" s="10"/>
      <x:c r="F463" s="10"/>
      <x:c r="G463" s="10"/>
      <x:c r="H463" s="10"/>
    </x:row>
    <x:row r="464" ht="14.25" customHeight="1">
      <x:c r="A464" s="10"/>
      <x:c r="B464" s="10"/>
      <x:c r="C464" s="10"/>
      <x:c r="D464" s="10"/>
      <x:c r="E464" s="10"/>
      <x:c r="F464" s="10"/>
      <x:c r="G464" s="10"/>
      <x:c r="H464" s="10"/>
    </x:row>
    <x:row r="465" ht="14.25" customHeight="1">
      <x:c r="A465" s="10"/>
      <x:c r="B465" s="10"/>
      <x:c r="C465" s="10"/>
      <x:c r="D465" s="10"/>
      <x:c r="E465" s="10"/>
      <x:c r="F465" s="10"/>
      <x:c r="G465" s="10"/>
      <x:c r="H465" s="10"/>
    </x:row>
    <x:row r="466" ht="14.25" customHeight="1">
      <x:c r="A466" s="10"/>
      <x:c r="B466" s="10"/>
      <x:c r="C466" s="10"/>
      <x:c r="D466" s="10"/>
      <x:c r="E466" s="10"/>
      <x:c r="F466" s="10"/>
      <x:c r="G466" s="10"/>
      <x:c r="H466" s="10"/>
    </x:row>
    <x:row r="467" ht="14.25" customHeight="1">
      <x:c r="A467" s="10"/>
      <x:c r="B467" s="10"/>
      <x:c r="C467" s="10"/>
      <x:c r="D467" s="10"/>
      <x:c r="E467" s="10"/>
      <x:c r="F467" s="10"/>
      <x:c r="G467" s="10"/>
      <x:c r="H467" s="10"/>
    </x:row>
    <x:row r="468" ht="14.25" customHeight="1">
      <x:c r="A468" s="10"/>
      <x:c r="B468" s="10"/>
      <x:c r="C468" s="10"/>
      <x:c r="D468" s="10"/>
      <x:c r="E468" s="10"/>
      <x:c r="F468" s="10"/>
      <x:c r="G468" s="10"/>
      <x:c r="H468" s="10"/>
    </x:row>
    <x:row r="469" ht="14.25" customHeight="1">
      <x:c r="A469" s="10"/>
      <x:c r="B469" s="10"/>
      <x:c r="C469" s="10"/>
      <x:c r="D469" s="10"/>
      <x:c r="E469" s="10"/>
      <x:c r="F469" s="10"/>
      <x:c r="G469" s="10"/>
      <x:c r="H469" s="10"/>
    </x:row>
    <x:row r="470" ht="14.25" customHeight="1">
      <x:c r="A470" s="10"/>
      <x:c r="B470" s="10"/>
      <x:c r="C470" s="10"/>
      <x:c r="D470" s="10"/>
      <x:c r="E470" s="10"/>
      <x:c r="F470" s="10"/>
      <x:c r="G470" s="10"/>
      <x:c r="H470" s="10"/>
    </x:row>
    <x:row r="471" ht="14.25" customHeight="1">
      <x:c r="A471" s="10"/>
      <x:c r="B471" s="10"/>
      <x:c r="C471" s="10"/>
      <x:c r="D471" s="10"/>
      <x:c r="E471" s="10"/>
      <x:c r="F471" s="10"/>
      <x:c r="G471" s="10"/>
      <x:c r="H471" s="10"/>
    </x:row>
    <x:row r="472" ht="14.25" customHeight="1">
      <x:c r="A472" s="10"/>
      <x:c r="B472" s="10"/>
      <x:c r="C472" s="10"/>
      <x:c r="D472" s="10"/>
      <x:c r="E472" s="10"/>
      <x:c r="F472" s="10"/>
      <x:c r="G472" s="10"/>
      <x:c r="H472" s="10"/>
    </x:row>
    <x:row r="473" ht="14.25" customHeight="1">
      <x:c r="A473" s="10"/>
      <x:c r="B473" s="10"/>
      <x:c r="C473" s="10"/>
      <x:c r="D473" s="10"/>
      <x:c r="E473" s="10"/>
      <x:c r="F473" s="10"/>
      <x:c r="G473" s="10"/>
      <x:c r="H473" s="10"/>
    </x:row>
    <x:row r="474" ht="14.25" customHeight="1">
      <x:c r="A474" s="10"/>
      <x:c r="B474" s="10"/>
      <x:c r="C474" s="10"/>
      <x:c r="D474" s="10"/>
      <x:c r="E474" s="10"/>
      <x:c r="F474" s="10"/>
      <x:c r="G474" s="10"/>
      <x:c r="H474" s="10"/>
    </x:row>
    <x:row r="475" ht="14.25" customHeight="1">
      <x:c r="A475" s="10"/>
      <x:c r="B475" s="10"/>
      <x:c r="C475" s="10"/>
      <x:c r="D475" s="10"/>
      <x:c r="E475" s="10"/>
      <x:c r="F475" s="10"/>
      <x:c r="G475" s="10"/>
      <x:c r="H475" s="10"/>
    </x:row>
    <x:row r="476" ht="14.25" customHeight="1">
      <x:c r="A476" s="10"/>
      <x:c r="B476" s="10"/>
      <x:c r="C476" s="10"/>
      <x:c r="D476" s="10"/>
      <x:c r="E476" s="10"/>
      <x:c r="F476" s="10"/>
      <x:c r="G476" s="10"/>
      <x:c r="H476" s="10"/>
    </x:row>
    <x:row r="477" ht="14.25" customHeight="1">
      <x:c r="A477" s="10"/>
      <x:c r="B477" s="10"/>
      <x:c r="C477" s="10"/>
      <x:c r="D477" s="10"/>
      <x:c r="E477" s="10"/>
      <x:c r="F477" s="10"/>
      <x:c r="G477" s="10"/>
      <x:c r="H477" s="10"/>
    </x:row>
    <x:row r="478" ht="14.25" customHeight="1">
      <x:c r="A478" s="10"/>
      <x:c r="B478" s="10"/>
      <x:c r="C478" s="10"/>
      <x:c r="D478" s="10"/>
      <x:c r="E478" s="10"/>
      <x:c r="F478" s="10"/>
      <x:c r="G478" s="10"/>
      <x:c r="H478" s="10"/>
    </x:row>
    <x:row r="479" ht="14.25" customHeight="1">
      <x:c r="A479" s="10"/>
      <x:c r="B479" s="10"/>
      <x:c r="C479" s="10"/>
      <x:c r="D479" s="10"/>
      <x:c r="E479" s="10"/>
      <x:c r="F479" s="10"/>
      <x:c r="G479" s="10"/>
      <x:c r="H479" s="10"/>
    </x:row>
    <x:row r="480" ht="14.25" customHeight="1">
      <x:c r="A480" s="10"/>
      <x:c r="B480" s="10"/>
      <x:c r="C480" s="10"/>
      <x:c r="D480" s="10"/>
      <x:c r="E480" s="10"/>
      <x:c r="F480" s="10"/>
      <x:c r="G480" s="10"/>
      <x:c r="H480" s="10"/>
    </x:row>
    <x:row r="481" ht="14.25" customHeight="1">
      <x:c r="A481" s="10"/>
      <x:c r="B481" s="10"/>
      <x:c r="C481" s="10"/>
      <x:c r="D481" s="10"/>
      <x:c r="E481" s="10"/>
      <x:c r="F481" s="10"/>
      <x:c r="G481" s="10"/>
      <x:c r="H481" s="10"/>
    </x:row>
    <x:row r="482" ht="14.25" customHeight="1">
      <x:c r="A482" s="10"/>
      <x:c r="B482" s="10"/>
      <x:c r="C482" s="10"/>
      <x:c r="D482" s="10"/>
      <x:c r="E482" s="10"/>
      <x:c r="F482" s="10"/>
      <x:c r="G482" s="10"/>
      <x:c r="H482" s="10"/>
    </x:row>
    <x:row r="483" ht="14.25" customHeight="1">
      <x:c r="A483" s="10"/>
      <x:c r="B483" s="10"/>
      <x:c r="C483" s="10"/>
      <x:c r="D483" s="10"/>
      <x:c r="E483" s="10"/>
      <x:c r="F483" s="10"/>
      <x:c r="G483" s="10"/>
      <x:c r="H483" s="10"/>
    </x:row>
    <x:row r="484" ht="14.25" customHeight="1">
      <x:c r="A484" s="10"/>
      <x:c r="B484" s="10"/>
      <x:c r="C484" s="10"/>
      <x:c r="D484" s="10"/>
      <x:c r="E484" s="10"/>
      <x:c r="F484" s="10"/>
      <x:c r="G484" s="10"/>
      <x:c r="H484" s="10"/>
    </x:row>
    <x:row r="485" ht="14.25" customHeight="1">
      <x:c r="A485" s="10"/>
      <x:c r="B485" s="10"/>
      <x:c r="C485" s="10"/>
      <x:c r="D485" s="10"/>
      <x:c r="E485" s="10"/>
      <x:c r="F485" s="10"/>
      <x:c r="G485" s="10"/>
      <x:c r="H485" s="10"/>
    </x:row>
    <x:row r="486" ht="14.25" customHeight="1">
      <x:c r="A486" s="10"/>
      <x:c r="B486" s="10"/>
      <x:c r="C486" s="10"/>
      <x:c r="D486" s="10"/>
      <x:c r="E486" s="10"/>
      <x:c r="F486" s="10"/>
      <x:c r="G486" s="10"/>
      <x:c r="H486" s="10"/>
    </x:row>
    <x:row r="487" ht="14.25" customHeight="1">
      <x:c r="A487" s="10"/>
      <x:c r="B487" s="10"/>
      <x:c r="C487" s="10"/>
      <x:c r="D487" s="10"/>
      <x:c r="E487" s="10"/>
      <x:c r="F487" s="10"/>
      <x:c r="G487" s="10"/>
      <x:c r="H487" s="10"/>
    </x:row>
    <x:row r="488" ht="14.25" customHeight="1">
      <x:c r="A488" s="10"/>
      <x:c r="B488" s="10"/>
      <x:c r="C488" s="10"/>
      <x:c r="D488" s="10"/>
      <x:c r="E488" s="10"/>
      <x:c r="F488" s="10"/>
      <x:c r="G488" s="10"/>
      <x:c r="H488" s="10"/>
    </x:row>
    <x:row r="489" ht="14.25" customHeight="1">
      <x:c r="A489" s="10"/>
      <x:c r="B489" s="10"/>
      <x:c r="C489" s="10"/>
      <x:c r="D489" s="10"/>
      <x:c r="E489" s="10"/>
      <x:c r="F489" s="10"/>
      <x:c r="G489" s="10"/>
      <x:c r="H489" s="10"/>
    </x:row>
    <x:row r="490" ht="14.25" customHeight="1">
      <x:c r="A490" s="10"/>
      <x:c r="B490" s="10"/>
      <x:c r="C490" s="10"/>
      <x:c r="D490" s="10"/>
      <x:c r="E490" s="10"/>
      <x:c r="F490" s="10"/>
      <x:c r="G490" s="10"/>
      <x:c r="H490" s="10"/>
    </x:row>
    <x:row r="491" ht="14.25" customHeight="1">
      <x:c r="A491" s="10"/>
      <x:c r="B491" s="10"/>
      <x:c r="C491" s="10"/>
      <x:c r="D491" s="10"/>
      <x:c r="E491" s="10"/>
      <x:c r="F491" s="10"/>
      <x:c r="G491" s="10"/>
      <x:c r="H491" s="10"/>
    </x:row>
    <x:row r="492" ht="14.25" customHeight="1">
      <x:c r="A492" s="10"/>
      <x:c r="B492" s="10"/>
      <x:c r="C492" s="10"/>
      <x:c r="D492" s="10"/>
      <x:c r="E492" s="10"/>
      <x:c r="F492" s="10"/>
      <x:c r="G492" s="10"/>
      <x:c r="H492" s="10"/>
    </x:row>
    <x:row r="493" ht="14.25" customHeight="1">
      <x:c r="A493" s="10"/>
      <x:c r="B493" s="10"/>
      <x:c r="C493" s="10"/>
      <x:c r="D493" s="10"/>
      <x:c r="E493" s="10"/>
      <x:c r="F493" s="10"/>
      <x:c r="G493" s="10"/>
      <x:c r="H493" s="10"/>
    </x:row>
    <x:row r="494" ht="14.25" customHeight="1">
      <x:c r="A494" s="10"/>
      <x:c r="B494" s="10"/>
      <x:c r="C494" s="10"/>
      <x:c r="D494" s="10"/>
      <x:c r="E494" s="10"/>
      <x:c r="F494" s="10"/>
      <x:c r="G494" s="10"/>
      <x:c r="H494" s="10"/>
    </x:row>
    <x:row r="495" ht="14.25" customHeight="1">
      <x:c r="A495" s="10"/>
      <x:c r="B495" s="10"/>
      <x:c r="C495" s="10"/>
      <x:c r="D495" s="10"/>
      <x:c r="E495" s="10"/>
      <x:c r="F495" s="10"/>
      <x:c r="G495" s="10"/>
      <x:c r="H495" s="10"/>
    </x:row>
    <x:row r="496" ht="14.25" customHeight="1">
      <x:c r="A496" s="10"/>
      <x:c r="B496" s="10"/>
      <x:c r="C496" s="10"/>
      <x:c r="D496" s="10"/>
      <x:c r="E496" s="10"/>
      <x:c r="F496" s="10"/>
      <x:c r="G496" s="10"/>
      <x:c r="H496" s="10"/>
    </x:row>
    <x:row r="497" ht="14.25" customHeight="1">
      <x:c r="A497" s="10"/>
      <x:c r="B497" s="10"/>
      <x:c r="C497" s="10"/>
      <x:c r="D497" s="10"/>
      <x:c r="E497" s="10"/>
      <x:c r="F497" s="10"/>
      <x:c r="G497" s="10"/>
      <x:c r="H497" s="10"/>
    </x:row>
    <x:row r="498" ht="14.25" customHeight="1">
      <x:c r="A498" s="10"/>
      <x:c r="B498" s="10"/>
      <x:c r="C498" s="10"/>
      <x:c r="D498" s="10"/>
      <x:c r="E498" s="10"/>
      <x:c r="F498" s="10"/>
      <x:c r="G498" s="10"/>
      <x:c r="H498" s="10"/>
    </x:row>
    <x:row r="499" ht="14.25" customHeight="1">
      <x:c r="A499" s="10"/>
      <x:c r="B499" s="10"/>
      <x:c r="C499" s="10"/>
      <x:c r="D499" s="10"/>
      <x:c r="E499" s="10"/>
      <x:c r="F499" s="10"/>
      <x:c r="G499" s="10"/>
      <x:c r="H499" s="10"/>
    </x:row>
    <x:row r="500" ht="14.25" customHeight="1">
      <x:c r="A500" s="10"/>
      <x:c r="B500" s="10"/>
      <x:c r="C500" s="10"/>
      <x:c r="D500" s="10"/>
      <x:c r="E500" s="10"/>
      <x:c r="F500" s="10"/>
      <x:c r="G500" s="10"/>
      <x:c r="H500" s="10"/>
    </x:row>
    <x:row r="501" ht="14.25" customHeight="1">
      <x:c r="A501" s="10"/>
      <x:c r="B501" s="10"/>
      <x:c r="C501" s="10"/>
      <x:c r="D501" s="10"/>
      <x:c r="E501" s="10"/>
      <x:c r="F501" s="10"/>
      <x:c r="G501" s="10"/>
      <x:c r="H501" s="10"/>
    </x:row>
    <x:row r="502" ht="14.25" customHeight="1">
      <x:c r="A502" s="10"/>
      <x:c r="B502" s="10"/>
      <x:c r="C502" s="10"/>
      <x:c r="D502" s="10"/>
      <x:c r="E502" s="10"/>
      <x:c r="F502" s="10"/>
      <x:c r="G502" s="10"/>
      <x:c r="H502" s="10"/>
    </x:row>
    <x:row r="503" ht="14.25" customHeight="1">
      <x:c r="A503" s="10"/>
      <x:c r="B503" s="10"/>
      <x:c r="C503" s="10"/>
      <x:c r="D503" s="10"/>
      <x:c r="E503" s="10"/>
      <x:c r="F503" s="10"/>
      <x:c r="G503" s="10"/>
      <x:c r="H503" s="10"/>
    </x:row>
    <x:row r="504" ht="14.25" customHeight="1">
      <x:c r="A504" s="10"/>
      <x:c r="B504" s="10"/>
      <x:c r="C504" s="10"/>
      <x:c r="D504" s="10"/>
      <x:c r="E504" s="10"/>
      <x:c r="F504" s="10"/>
      <x:c r="G504" s="10"/>
      <x:c r="H504" s="10"/>
    </x:row>
    <x:row r="505" ht="14.25" customHeight="1">
      <x:c r="A505" s="10"/>
      <x:c r="B505" s="10"/>
      <x:c r="C505" s="10"/>
      <x:c r="D505" s="10"/>
      <x:c r="E505" s="10"/>
      <x:c r="F505" s="10"/>
      <x:c r="G505" s="10"/>
      <x:c r="H505" s="10"/>
    </x:row>
    <x:row r="506" ht="14.25" customHeight="1">
      <x:c r="A506" s="10"/>
      <x:c r="B506" s="10"/>
      <x:c r="C506" s="10"/>
      <x:c r="D506" s="10"/>
      <x:c r="E506" s="10"/>
      <x:c r="F506" s="10"/>
      <x:c r="G506" s="10"/>
      <x:c r="H506" s="10"/>
    </x:row>
    <x:row r="507" ht="14.25" customHeight="1">
      <x:c r="A507" s="10"/>
      <x:c r="B507" s="10"/>
      <x:c r="C507" s="10"/>
      <x:c r="D507" s="10"/>
      <x:c r="E507" s="10"/>
      <x:c r="F507" s="10"/>
      <x:c r="G507" s="10"/>
      <x:c r="H507" s="10"/>
    </x:row>
    <x:row r="508" ht="14.25" customHeight="1">
      <x:c r="A508" s="10"/>
      <x:c r="B508" s="10"/>
      <x:c r="C508" s="10"/>
      <x:c r="D508" s="10"/>
      <x:c r="E508" s="10"/>
      <x:c r="F508" s="10"/>
      <x:c r="G508" s="10"/>
      <x:c r="H508" s="10"/>
    </x:row>
    <x:row r="509" ht="14.25" customHeight="1">
      <x:c r="A509" s="10"/>
      <x:c r="B509" s="10"/>
      <x:c r="C509" s="10"/>
      <x:c r="D509" s="10"/>
      <x:c r="E509" s="10"/>
      <x:c r="F509" s="10"/>
      <x:c r="G509" s="10"/>
      <x:c r="H509" s="10"/>
    </x:row>
    <x:row r="510" ht="14.25" customHeight="1">
      <x:c r="A510" s="10"/>
      <x:c r="B510" s="10"/>
      <x:c r="C510" s="10"/>
      <x:c r="D510" s="10"/>
      <x:c r="E510" s="10"/>
      <x:c r="F510" s="10"/>
      <x:c r="G510" s="10"/>
      <x:c r="H510" s="10"/>
    </x:row>
    <x:row r="511" ht="14.25" customHeight="1">
      <x:c r="A511" s="10"/>
      <x:c r="B511" s="10"/>
      <x:c r="C511" s="10"/>
      <x:c r="D511" s="10"/>
      <x:c r="E511" s="10"/>
      <x:c r="F511" s="10"/>
      <x:c r="G511" s="10"/>
      <x:c r="H511" s="10"/>
    </x:row>
    <x:row r="512" ht="14.25" customHeight="1">
      <x:c r="A512" s="10"/>
      <x:c r="B512" s="10"/>
      <x:c r="C512" s="10"/>
      <x:c r="D512" s="10"/>
      <x:c r="E512" s="10"/>
      <x:c r="F512" s="10"/>
      <x:c r="G512" s="10"/>
      <x:c r="H512" s="10"/>
    </x:row>
    <x:row r="513" ht="14.25" customHeight="1">
      <x:c r="A513" s="10"/>
      <x:c r="B513" s="10"/>
      <x:c r="C513" s="10"/>
      <x:c r="D513" s="10"/>
      <x:c r="E513" s="10"/>
      <x:c r="F513" s="10"/>
      <x:c r="G513" s="10"/>
      <x:c r="H513" s="10"/>
    </x:row>
    <x:row r="514" ht="14.25" customHeight="1">
      <x:c r="A514" s="10"/>
      <x:c r="B514" s="10"/>
      <x:c r="C514" s="10"/>
      <x:c r="D514" s="10"/>
      <x:c r="E514" s="10"/>
      <x:c r="F514" s="10"/>
      <x:c r="G514" s="10"/>
      <x:c r="H514" s="10"/>
    </x:row>
    <x:row r="515" ht="14.25" customHeight="1">
      <x:c r="A515" s="10"/>
      <x:c r="B515" s="10"/>
      <x:c r="C515" s="10"/>
      <x:c r="D515" s="10"/>
      <x:c r="E515" s="10"/>
      <x:c r="F515" s="10"/>
      <x:c r="G515" s="10"/>
      <x:c r="H515" s="10"/>
    </x:row>
    <x:row r="516" ht="14.25" customHeight="1">
      <x:c r="A516" s="10"/>
      <x:c r="B516" s="10"/>
      <x:c r="C516" s="10"/>
      <x:c r="D516" s="10"/>
      <x:c r="E516" s="10"/>
      <x:c r="F516" s="10"/>
      <x:c r="G516" s="10"/>
      <x:c r="H516" s="10"/>
    </x:row>
    <x:row r="517" ht="14.25" customHeight="1">
      <x:c r="A517" s="10"/>
      <x:c r="B517" s="10"/>
      <x:c r="C517" s="10"/>
      <x:c r="D517" s="10"/>
      <x:c r="E517" s="10"/>
      <x:c r="F517" s="10"/>
      <x:c r="G517" s="10"/>
      <x:c r="H517" s="10"/>
    </x:row>
    <x:row r="518" ht="14.25" customHeight="1">
      <x:c r="A518" s="10"/>
      <x:c r="B518" s="10"/>
      <x:c r="C518" s="10"/>
      <x:c r="D518" s="10"/>
      <x:c r="E518" s="10"/>
      <x:c r="F518" s="10"/>
      <x:c r="G518" s="10"/>
      <x:c r="H518" s="10"/>
    </x:row>
    <x:row r="519" ht="14.25" customHeight="1">
      <x:c r="A519" s="10"/>
      <x:c r="B519" s="10"/>
      <x:c r="C519" s="10"/>
      <x:c r="D519" s="10"/>
      <x:c r="E519" s="10"/>
      <x:c r="F519" s="10"/>
      <x:c r="G519" s="10"/>
      <x:c r="H519" s="10"/>
    </x:row>
    <x:row r="520" ht="14.25" customHeight="1">
      <x:c r="A520" s="10"/>
      <x:c r="B520" s="10"/>
      <x:c r="C520" s="10"/>
      <x:c r="D520" s="10"/>
      <x:c r="E520" s="10"/>
      <x:c r="F520" s="10"/>
      <x:c r="G520" s="10"/>
      <x:c r="H520" s="10"/>
    </x:row>
    <x:row r="521" ht="14.25" customHeight="1">
      <x:c r="A521" s="10"/>
      <x:c r="B521" s="10"/>
      <x:c r="C521" s="10"/>
      <x:c r="D521" s="10"/>
      <x:c r="E521" s="10"/>
      <x:c r="F521" s="10"/>
      <x:c r="G521" s="10"/>
      <x:c r="H521" s="10"/>
    </x:row>
    <x:row r="522" ht="14.25" customHeight="1">
      <x:c r="A522" s="10"/>
      <x:c r="B522" s="10"/>
      <x:c r="C522" s="10"/>
      <x:c r="D522" s="10"/>
      <x:c r="E522" s="10"/>
      <x:c r="F522" s="10"/>
      <x:c r="G522" s="10"/>
      <x:c r="H522" s="10"/>
    </x:row>
    <x:row r="523" ht="14.25" customHeight="1">
      <x:c r="A523" s="10"/>
      <x:c r="B523" s="10"/>
      <x:c r="C523" s="10"/>
      <x:c r="D523" s="10"/>
      <x:c r="E523" s="10"/>
      <x:c r="F523" s="10"/>
      <x:c r="G523" s="10"/>
      <x:c r="H523" s="10"/>
    </x:row>
    <x:row r="524" ht="14.25" customHeight="1">
      <x:c r="A524" s="10"/>
      <x:c r="B524" s="10"/>
      <x:c r="C524" s="10"/>
      <x:c r="D524" s="10"/>
      <x:c r="E524" s="10"/>
      <x:c r="F524" s="10"/>
      <x:c r="G524" s="10"/>
      <x:c r="H524" s="10"/>
    </x:row>
    <x:row r="525" ht="14.25" customHeight="1">
      <x:c r="A525" s="10"/>
      <x:c r="B525" s="10"/>
      <x:c r="C525" s="10"/>
      <x:c r="D525" s="10"/>
      <x:c r="E525" s="10"/>
      <x:c r="F525" s="10"/>
      <x:c r="G525" s="10"/>
      <x:c r="H525" s="10"/>
    </x:row>
    <x:row r="526" ht="14.25" customHeight="1">
      <x:c r="A526" s="10"/>
      <x:c r="B526" s="10"/>
      <x:c r="C526" s="10"/>
      <x:c r="D526" s="10"/>
      <x:c r="E526" s="10"/>
      <x:c r="F526" s="10"/>
      <x:c r="G526" s="10"/>
      <x:c r="H526" s="10"/>
    </x:row>
    <x:row r="527" ht="14.25" customHeight="1">
      <x:c r="A527" s="10"/>
      <x:c r="B527" s="10"/>
      <x:c r="C527" s="10"/>
      <x:c r="D527" s="10"/>
      <x:c r="E527" s="10"/>
      <x:c r="F527" s="10"/>
      <x:c r="G527" s="10"/>
      <x:c r="H527" s="10"/>
    </x:row>
    <x:row r="528" ht="14.25" customHeight="1">
      <x:c r="A528" s="10"/>
      <x:c r="B528" s="10"/>
      <x:c r="C528" s="10"/>
      <x:c r="D528" s="10"/>
      <x:c r="E528" s="10"/>
      <x:c r="F528" s="10"/>
      <x:c r="G528" s="10"/>
      <x:c r="H528" s="10"/>
    </x:row>
    <x:row r="529" ht="14.25" customHeight="1">
      <x:c r="A529" s="10"/>
      <x:c r="B529" s="10"/>
      <x:c r="C529" s="10"/>
      <x:c r="D529" s="10"/>
      <x:c r="E529" s="10"/>
      <x:c r="F529" s="10"/>
      <x:c r="G529" s="10"/>
      <x:c r="H529" s="10"/>
    </x:row>
    <x:row r="530" ht="14.25" customHeight="1">
      <x:c r="A530" s="10"/>
      <x:c r="B530" s="10"/>
      <x:c r="C530" s="10"/>
      <x:c r="D530" s="10"/>
      <x:c r="E530" s="10"/>
      <x:c r="F530" s="10"/>
      <x:c r="G530" s="10"/>
      <x:c r="H530" s="10"/>
    </x:row>
    <x:row r="531" ht="14.25" customHeight="1">
      <x:c r="A531" s="10"/>
      <x:c r="B531" s="10"/>
      <x:c r="C531" s="10"/>
      <x:c r="D531" s="10"/>
      <x:c r="E531" s="10"/>
      <x:c r="F531" s="10"/>
      <x:c r="G531" s="10"/>
      <x:c r="H531" s="10"/>
    </x:row>
    <x:row r="532" ht="14.25" customHeight="1">
      <x:c r="A532" s="10"/>
      <x:c r="B532" s="10"/>
      <x:c r="C532" s="10"/>
      <x:c r="D532" s="10"/>
      <x:c r="E532" s="10"/>
      <x:c r="F532" s="10"/>
      <x:c r="G532" s="10"/>
      <x:c r="H532" s="10"/>
    </x:row>
    <x:row r="533" ht="14.25" customHeight="1">
      <x:c r="A533" s="10"/>
      <x:c r="B533" s="10"/>
      <x:c r="C533" s="10"/>
      <x:c r="D533" s="10"/>
      <x:c r="E533" s="10"/>
      <x:c r="F533" s="10"/>
      <x:c r="G533" s="10"/>
      <x:c r="H533" s="10"/>
    </x:row>
    <x:row r="534" ht="14.25" customHeight="1">
      <x:c r="A534" s="10"/>
      <x:c r="B534" s="10"/>
      <x:c r="C534" s="10"/>
      <x:c r="D534" s="10"/>
      <x:c r="E534" s="10"/>
      <x:c r="F534" s="10"/>
      <x:c r="G534" s="10"/>
      <x:c r="H534" s="10"/>
    </x:row>
    <x:row r="535" ht="14.25" customHeight="1">
      <x:c r="A535" s="10"/>
      <x:c r="B535" s="10"/>
      <x:c r="C535" s="10"/>
      <x:c r="D535" s="10"/>
      <x:c r="E535" s="10"/>
      <x:c r="F535" s="10"/>
      <x:c r="G535" s="10"/>
      <x:c r="H535" s="10"/>
    </x:row>
    <x:row r="536" ht="14.25" customHeight="1">
      <x:c r="A536" s="10"/>
      <x:c r="B536" s="10"/>
      <x:c r="C536" s="10"/>
      <x:c r="D536" s="10"/>
      <x:c r="E536" s="10"/>
      <x:c r="F536" s="10"/>
      <x:c r="G536" s="10"/>
      <x:c r="H536" s="10"/>
    </x:row>
    <x:row r="537" ht="14.25" customHeight="1">
      <x:c r="A537" s="10"/>
      <x:c r="B537" s="10"/>
      <x:c r="C537" s="10"/>
      <x:c r="D537" s="10"/>
      <x:c r="E537" s="10"/>
      <x:c r="F537" s="10"/>
      <x:c r="G537" s="10"/>
      <x:c r="H537" s="10"/>
    </x:row>
    <x:row r="538" ht="14.25" customHeight="1">
      <x:c r="A538" s="10"/>
      <x:c r="B538" s="10"/>
      <x:c r="C538" s="10"/>
      <x:c r="D538" s="10"/>
      <x:c r="E538" s="10"/>
      <x:c r="F538" s="10"/>
      <x:c r="G538" s="10"/>
      <x:c r="H538" s="10"/>
    </x:row>
    <x:row r="539" ht="14.25" customHeight="1">
      <x:c r="A539" s="10"/>
      <x:c r="B539" s="10"/>
      <x:c r="C539" s="10"/>
      <x:c r="D539" s="10"/>
      <x:c r="E539" s="10"/>
      <x:c r="F539" s="10"/>
      <x:c r="G539" s="10"/>
      <x:c r="H539" s="10"/>
    </x:row>
    <x:row r="540" ht="14.25" customHeight="1">
      <x:c r="A540" s="10"/>
      <x:c r="B540" s="10"/>
      <x:c r="C540" s="10"/>
      <x:c r="D540" s="10"/>
      <x:c r="E540" s="10"/>
      <x:c r="F540" s="10"/>
      <x:c r="G540" s="10"/>
      <x:c r="H540" s="10"/>
    </x:row>
    <x:row r="541" ht="14.25" customHeight="1">
      <x:c r="A541" s="10"/>
      <x:c r="B541" s="10"/>
      <x:c r="C541" s="10"/>
      <x:c r="D541" s="10"/>
      <x:c r="E541" s="10"/>
      <x:c r="F541" s="10"/>
      <x:c r="G541" s="10"/>
      <x:c r="H541" s="10"/>
    </x:row>
    <x:row r="542" ht="14.25" customHeight="1">
      <x:c r="A542" s="10"/>
      <x:c r="B542" s="10"/>
      <x:c r="C542" s="10"/>
      <x:c r="D542" s="10"/>
      <x:c r="E542" s="10"/>
      <x:c r="F542" s="10"/>
      <x:c r="G542" s="10"/>
      <x:c r="H542" s="10"/>
    </x:row>
    <x:row r="543" ht="14.25" customHeight="1">
      <x:c r="A543" s="10"/>
      <x:c r="B543" s="10"/>
      <x:c r="C543" s="10"/>
      <x:c r="D543" s="10"/>
      <x:c r="E543" s="10"/>
      <x:c r="F543" s="10"/>
      <x:c r="G543" s="10"/>
      <x:c r="H543" s="10"/>
    </x:row>
    <x:row r="544" ht="14.25" customHeight="1">
      <x:c r="A544" s="10"/>
      <x:c r="B544" s="10"/>
      <x:c r="C544" s="10"/>
      <x:c r="D544" s="10"/>
      <x:c r="E544" s="10"/>
      <x:c r="F544" s="10"/>
      <x:c r="G544" s="10"/>
      <x:c r="H544" s="10"/>
    </x:row>
    <x:row r="545" ht="14.25" customHeight="1">
      <x:c r="A545" s="10"/>
      <x:c r="B545" s="10"/>
      <x:c r="C545" s="10"/>
      <x:c r="D545" s="10"/>
      <x:c r="E545" s="10"/>
      <x:c r="F545" s="10"/>
      <x:c r="G545" s="10"/>
      <x:c r="H545" s="10"/>
    </x:row>
    <x:row r="546" ht="14.25" customHeight="1">
      <x:c r="A546" s="10"/>
      <x:c r="B546" s="10"/>
      <x:c r="C546" s="10"/>
      <x:c r="D546" s="10"/>
      <x:c r="E546" s="10"/>
      <x:c r="F546" s="10"/>
      <x:c r="G546" s="10"/>
      <x:c r="H546" s="10"/>
    </x:row>
    <x:row r="547" ht="14.25" customHeight="1">
      <x:c r="A547" s="10"/>
      <x:c r="B547" s="10"/>
      <x:c r="C547" s="10"/>
      <x:c r="D547" s="10"/>
      <x:c r="E547" s="10"/>
      <x:c r="F547" s="10"/>
      <x:c r="G547" s="10"/>
      <x:c r="H547" s="10"/>
    </x:row>
    <x:row r="548" ht="14.25" customHeight="1">
      <x:c r="A548" s="10"/>
      <x:c r="B548" s="10"/>
      <x:c r="C548" s="10"/>
      <x:c r="D548" s="10"/>
      <x:c r="E548" s="10"/>
      <x:c r="F548" s="10"/>
      <x:c r="G548" s="10"/>
      <x:c r="H548" s="10"/>
    </x:row>
    <x:row r="549" ht="14.25" customHeight="1">
      <x:c r="A549" s="10"/>
      <x:c r="B549" s="10"/>
      <x:c r="C549" s="10"/>
      <x:c r="D549" s="10"/>
      <x:c r="E549" s="10"/>
      <x:c r="F549" s="10"/>
      <x:c r="G549" s="10"/>
      <x:c r="H549" s="10"/>
    </x:row>
    <x:row r="550" ht="14.25" customHeight="1">
      <x:c r="A550" s="10"/>
      <x:c r="B550" s="10"/>
      <x:c r="C550" s="10"/>
      <x:c r="D550" s="10"/>
      <x:c r="E550" s="10"/>
      <x:c r="F550" s="10"/>
      <x:c r="G550" s="10"/>
      <x:c r="H550" s="10"/>
    </x:row>
    <x:row r="551" ht="14.25" customHeight="1">
      <x:c r="A551" s="10"/>
      <x:c r="B551" s="10"/>
      <x:c r="C551" s="10"/>
      <x:c r="D551" s="10"/>
      <x:c r="E551" s="10"/>
      <x:c r="F551" s="10"/>
      <x:c r="G551" s="10"/>
      <x:c r="H551" s="10"/>
    </x:row>
    <x:row r="552" ht="14.25" customHeight="1">
      <x:c r="A552" s="10"/>
      <x:c r="B552" s="10"/>
      <x:c r="C552" s="10"/>
      <x:c r="D552" s="10"/>
      <x:c r="E552" s="10"/>
      <x:c r="F552" s="10"/>
      <x:c r="G552" s="10"/>
      <x:c r="H552" s="10"/>
    </x:row>
    <x:row r="553" ht="14.25" customHeight="1">
      <x:c r="A553" s="10"/>
      <x:c r="B553" s="10"/>
      <x:c r="C553" s="10"/>
      <x:c r="D553" s="10"/>
      <x:c r="E553" s="10"/>
      <x:c r="F553" s="10"/>
      <x:c r="G553" s="10"/>
      <x:c r="H553" s="10"/>
    </x:row>
    <x:row r="554" ht="14.25" customHeight="1">
      <x:c r="A554" s="10"/>
      <x:c r="B554" s="10"/>
      <x:c r="C554" s="10"/>
      <x:c r="D554" s="10"/>
      <x:c r="E554" s="10"/>
      <x:c r="F554" s="10"/>
      <x:c r="G554" s="10"/>
      <x:c r="H554" s="10"/>
    </x:row>
    <x:row r="555" ht="14.25" customHeight="1">
      <x:c r="A555" s="10"/>
      <x:c r="B555" s="10"/>
      <x:c r="C555" s="10"/>
      <x:c r="D555" s="10"/>
      <x:c r="E555" s="10"/>
      <x:c r="F555" s="10"/>
      <x:c r="G555" s="10"/>
      <x:c r="H555" s="10"/>
    </x:row>
    <x:row r="556" ht="14.25" customHeight="1">
      <x:c r="A556" s="10"/>
      <x:c r="B556" s="10"/>
      <x:c r="C556" s="10"/>
      <x:c r="D556" s="10"/>
      <x:c r="E556" s="10"/>
      <x:c r="F556" s="10"/>
      <x:c r="G556" s="10"/>
      <x:c r="H556" s="10"/>
    </x:row>
    <x:row r="557" ht="14.25" customHeight="1">
      <x:c r="A557" s="10"/>
      <x:c r="B557" s="10"/>
      <x:c r="C557" s="10"/>
      <x:c r="D557" s="10"/>
      <x:c r="E557" s="10"/>
      <x:c r="F557" s="10"/>
      <x:c r="G557" s="10"/>
      <x:c r="H557" s="10"/>
    </x:row>
    <x:row r="558" ht="14.25" customHeight="1">
      <x:c r="A558" s="10"/>
      <x:c r="B558" s="10"/>
      <x:c r="C558" s="10"/>
      <x:c r="D558" s="10"/>
      <x:c r="E558" s="10"/>
      <x:c r="F558" s="10"/>
      <x:c r="G558" s="10"/>
      <x:c r="H558" s="10"/>
    </x:row>
    <x:row r="559" ht="14.25" customHeight="1">
      <x:c r="A559" s="10"/>
      <x:c r="B559" s="10"/>
      <x:c r="C559" s="10"/>
      <x:c r="D559" s="10"/>
      <x:c r="E559" s="10"/>
      <x:c r="F559" s="10"/>
      <x:c r="G559" s="10"/>
      <x:c r="H559" s="10"/>
    </x:row>
    <x:row r="560" ht="14.25" customHeight="1">
      <x:c r="A560" s="10"/>
      <x:c r="B560" s="10"/>
      <x:c r="C560" s="10"/>
      <x:c r="D560" s="10"/>
      <x:c r="E560" s="10"/>
      <x:c r="F560" s="10"/>
      <x:c r="G560" s="10"/>
      <x:c r="H560" s="10"/>
    </x:row>
    <x:row r="561" ht="14.25" customHeight="1">
      <x:c r="A561" s="10"/>
      <x:c r="B561" s="10"/>
      <x:c r="C561" s="10"/>
      <x:c r="D561" s="10"/>
      <x:c r="E561" s="10"/>
      <x:c r="F561" s="10"/>
      <x:c r="G561" s="10"/>
      <x:c r="H561" s="10"/>
    </x:row>
    <x:row r="562" ht="14.25" customHeight="1">
      <x:c r="A562" s="10"/>
      <x:c r="B562" s="10"/>
      <x:c r="C562" s="10"/>
      <x:c r="D562" s="10"/>
      <x:c r="E562" s="10"/>
      <x:c r="F562" s="10"/>
      <x:c r="G562" s="10"/>
      <x:c r="H562" s="10"/>
    </x:row>
    <x:row r="563" ht="14.25" customHeight="1">
      <x:c r="A563" s="10"/>
      <x:c r="B563" s="10"/>
      <x:c r="C563" s="10"/>
      <x:c r="D563" s="10"/>
      <x:c r="E563" s="10"/>
      <x:c r="F563" s="10"/>
      <x:c r="G563" s="10"/>
      <x:c r="H563" s="10"/>
    </x:row>
    <x:row r="564" ht="14.25" customHeight="1">
      <x:c r="A564" s="10"/>
      <x:c r="B564" s="10"/>
      <x:c r="C564" s="10"/>
      <x:c r="D564" s="10"/>
      <x:c r="E564" s="10"/>
      <x:c r="F564" s="10"/>
      <x:c r="G564" s="10"/>
      <x:c r="H564" s="10"/>
    </x:row>
    <x:row r="565" ht="14.25" customHeight="1">
      <x:c r="A565" s="10"/>
      <x:c r="B565" s="10"/>
      <x:c r="C565" s="10"/>
      <x:c r="D565" s="10"/>
      <x:c r="E565" s="10"/>
      <x:c r="F565" s="10"/>
      <x:c r="G565" s="10"/>
      <x:c r="H565" s="10"/>
    </x:row>
    <x:row r="566" ht="14.25" customHeight="1">
      <x:c r="A566" s="10"/>
      <x:c r="B566" s="10"/>
      <x:c r="C566" s="10"/>
      <x:c r="D566" s="10"/>
      <x:c r="E566" s="10"/>
      <x:c r="F566" s="10"/>
      <x:c r="G566" s="10"/>
      <x:c r="H566" s="10"/>
    </x:row>
    <x:row r="567" ht="14.25" customHeight="1">
      <x:c r="A567" s="10"/>
      <x:c r="B567" s="10"/>
      <x:c r="C567" s="10"/>
      <x:c r="D567" s="10"/>
      <x:c r="E567" s="10"/>
      <x:c r="F567" s="10"/>
      <x:c r="G567" s="10"/>
      <x:c r="H567" s="10"/>
    </x:row>
    <x:row r="568" ht="14.25" customHeight="1">
      <x:c r="A568" s="10"/>
      <x:c r="B568" s="10"/>
      <x:c r="C568" s="10"/>
      <x:c r="D568" s="10"/>
      <x:c r="E568" s="10"/>
      <x:c r="F568" s="10"/>
      <x:c r="G568" s="10"/>
      <x:c r="H568" s="10"/>
    </x:row>
    <x:row r="569" ht="14.25" customHeight="1">
      <x:c r="A569" s="10"/>
      <x:c r="B569" s="10"/>
      <x:c r="C569" s="10"/>
      <x:c r="D569" s="10"/>
      <x:c r="E569" s="10"/>
      <x:c r="F569" s="10"/>
      <x:c r="G569" s="10"/>
      <x:c r="H569" s="10"/>
    </x:row>
    <x:row r="570" ht="14.25" customHeight="1">
      <x:c r="A570" s="10"/>
      <x:c r="B570" s="10"/>
      <x:c r="C570" s="10"/>
      <x:c r="D570" s="10"/>
      <x:c r="E570" s="10"/>
      <x:c r="F570" s="10"/>
      <x:c r="G570" s="10"/>
      <x:c r="H570" s="10"/>
    </x:row>
    <x:row r="571" ht="14.25" customHeight="1">
      <x:c r="A571" s="10"/>
      <x:c r="B571" s="10"/>
      <x:c r="C571" s="10"/>
      <x:c r="D571" s="10"/>
      <x:c r="E571" s="10"/>
      <x:c r="F571" s="10"/>
      <x:c r="G571" s="10"/>
      <x:c r="H571" s="10"/>
    </x:row>
    <x:row r="572" ht="14.25" customHeight="1">
      <x:c r="A572" s="10"/>
      <x:c r="B572" s="10"/>
      <x:c r="C572" s="10"/>
      <x:c r="D572" s="10"/>
      <x:c r="E572" s="10"/>
      <x:c r="F572" s="10"/>
      <x:c r="G572" s="10"/>
      <x:c r="H572" s="10"/>
    </x:row>
    <x:row r="573" ht="14.25" customHeight="1">
      <x:c r="A573" s="10"/>
      <x:c r="B573" s="10"/>
      <x:c r="C573" s="10"/>
      <x:c r="D573" s="10"/>
      <x:c r="E573" s="10"/>
      <x:c r="F573" s="10"/>
      <x:c r="G573" s="10"/>
      <x:c r="H573" s="10"/>
    </x:row>
    <x:row r="574" ht="14.25" customHeight="1">
      <x:c r="A574" s="10"/>
      <x:c r="B574" s="10"/>
      <x:c r="C574" s="10"/>
      <x:c r="D574" s="10"/>
      <x:c r="E574" s="10"/>
      <x:c r="F574" s="10"/>
      <x:c r="G574" s="10"/>
      <x:c r="H574" s="10"/>
    </x:row>
    <x:row r="575" ht="14.25" customHeight="1">
      <x:c r="A575" s="10"/>
      <x:c r="B575" s="10"/>
      <x:c r="C575" s="10"/>
      <x:c r="D575" s="10"/>
      <x:c r="E575" s="10"/>
      <x:c r="F575" s="10"/>
      <x:c r="G575" s="10"/>
      <x:c r="H575" s="10"/>
    </x:row>
    <x:row r="576" ht="14.25" customHeight="1">
      <x:c r="A576" s="10"/>
      <x:c r="B576" s="10"/>
      <x:c r="C576" s="10"/>
      <x:c r="D576" s="10"/>
      <x:c r="E576" s="10"/>
      <x:c r="F576" s="10"/>
      <x:c r="G576" s="10"/>
      <x:c r="H576" s="10"/>
    </x:row>
    <x:row r="577" ht="14.25" customHeight="1">
      <x:c r="A577" s="10"/>
      <x:c r="B577" s="10"/>
      <x:c r="C577" s="10"/>
      <x:c r="D577" s="10"/>
      <x:c r="E577" s="10"/>
      <x:c r="F577" s="10"/>
      <x:c r="G577" s="10"/>
      <x:c r="H577" s="10"/>
    </x:row>
    <x:row r="578" ht="14.25" customHeight="1">
      <x:c r="A578" s="10"/>
      <x:c r="B578" s="10"/>
      <x:c r="C578" s="10"/>
      <x:c r="D578" s="10"/>
      <x:c r="E578" s="10"/>
      <x:c r="F578" s="10"/>
      <x:c r="G578" s="10"/>
      <x:c r="H578" s="10"/>
    </x:row>
    <x:row r="579" ht="14.25" customHeight="1">
      <x:c r="A579" s="10"/>
      <x:c r="B579" s="10"/>
      <x:c r="C579" s="10"/>
      <x:c r="D579" s="10"/>
      <x:c r="E579" s="10"/>
      <x:c r="F579" s="10"/>
      <x:c r="G579" s="10"/>
      <x:c r="H579" s="10"/>
    </x:row>
    <x:row r="580" ht="14.25" customHeight="1">
      <x:c r="A580" s="10"/>
      <x:c r="B580" s="10"/>
      <x:c r="C580" s="10"/>
      <x:c r="D580" s="10"/>
      <x:c r="E580" s="10"/>
      <x:c r="F580" s="10"/>
      <x:c r="G580" s="10"/>
      <x:c r="H580" s="10"/>
    </x:row>
    <x:row r="581" ht="14.25" customHeight="1">
      <x:c r="A581" s="10"/>
      <x:c r="B581" s="10"/>
      <x:c r="C581" s="10"/>
      <x:c r="D581" s="10"/>
      <x:c r="E581" s="10"/>
      <x:c r="F581" s="10"/>
      <x:c r="G581" s="10"/>
      <x:c r="H581" s="10"/>
    </x:row>
    <x:row r="582" ht="14.25" customHeight="1">
      <x:c r="A582" s="10"/>
      <x:c r="B582" s="10"/>
      <x:c r="C582" s="10"/>
      <x:c r="D582" s="10"/>
      <x:c r="E582" s="10"/>
      <x:c r="F582" s="10"/>
      <x:c r="G582" s="10"/>
      <x:c r="H582" s="10"/>
    </x:row>
    <x:row r="583" ht="14.25" customHeight="1">
      <x:c r="A583" s="10"/>
      <x:c r="B583" s="10"/>
      <x:c r="C583" s="10"/>
      <x:c r="D583" s="10"/>
      <x:c r="E583" s="10"/>
      <x:c r="F583" s="10"/>
      <x:c r="G583" s="10"/>
      <x:c r="H583" s="10"/>
    </x:row>
    <x:row r="584" ht="14.25" customHeight="1">
      <x:c r="A584" s="10"/>
      <x:c r="B584" s="10"/>
      <x:c r="C584" s="10"/>
      <x:c r="D584" s="10"/>
      <x:c r="E584" s="10"/>
      <x:c r="F584" s="10"/>
      <x:c r="G584" s="10"/>
      <x:c r="H584" s="10"/>
    </x:row>
    <x:row r="585" ht="14.25" customHeight="1">
      <x:c r="A585" s="10"/>
      <x:c r="B585" s="10"/>
      <x:c r="C585" s="10"/>
      <x:c r="D585" s="10"/>
      <x:c r="E585" s="10"/>
      <x:c r="F585" s="10"/>
      <x:c r="G585" s="10"/>
      <x:c r="H585" s="10"/>
    </x:row>
    <x:row r="586" ht="14.25" customHeight="1">
      <x:c r="A586" s="10"/>
      <x:c r="B586" s="10"/>
      <x:c r="C586" s="10"/>
      <x:c r="D586" s="10"/>
      <x:c r="E586" s="10"/>
      <x:c r="F586" s="10"/>
      <x:c r="G586" s="10"/>
      <x:c r="H586" s="10"/>
    </x:row>
    <x:row r="587" ht="14.25" customHeight="1">
      <x:c r="A587" s="10"/>
      <x:c r="B587" s="10"/>
      <x:c r="C587" s="10"/>
      <x:c r="D587" s="10"/>
      <x:c r="E587" s="10"/>
      <x:c r="F587" s="10"/>
      <x:c r="G587" s="10"/>
      <x:c r="H587" s="10"/>
    </x:row>
    <x:row r="588" ht="14.25" customHeight="1">
      <x:c r="A588" s="10"/>
      <x:c r="B588" s="10"/>
      <x:c r="C588" s="10"/>
      <x:c r="D588" s="10"/>
      <x:c r="E588" s="10"/>
      <x:c r="F588" s="10"/>
      <x:c r="G588" s="10"/>
      <x:c r="H588" s="10"/>
    </x:row>
    <x:row r="589" ht="14.25" customHeight="1">
      <x:c r="A589" s="10"/>
      <x:c r="B589" s="10"/>
      <x:c r="C589" s="10"/>
      <x:c r="D589" s="10"/>
      <x:c r="E589" s="10"/>
      <x:c r="F589" s="10"/>
      <x:c r="G589" s="10"/>
      <x:c r="H589" s="10"/>
    </x:row>
    <x:row r="590" ht="14.25" customHeight="1">
      <x:c r="A590" s="10"/>
      <x:c r="B590" s="10"/>
      <x:c r="C590" s="10"/>
      <x:c r="D590" s="10"/>
      <x:c r="E590" s="10"/>
      <x:c r="F590" s="10"/>
      <x:c r="G590" s="10"/>
      <x:c r="H590" s="10"/>
    </x:row>
    <x:row r="591" ht="14.25" customHeight="1">
      <x:c r="A591" s="10"/>
      <x:c r="B591" s="10"/>
      <x:c r="C591" s="10"/>
      <x:c r="D591" s="10"/>
      <x:c r="E591" s="10"/>
      <x:c r="F591" s="10"/>
      <x:c r="G591" s="10"/>
      <x:c r="H591" s="10"/>
    </x:row>
    <x:row r="592" ht="14.25" customHeight="1">
      <x:c r="A592" s="10"/>
      <x:c r="B592" s="10"/>
      <x:c r="C592" s="10"/>
      <x:c r="D592" s="10"/>
      <x:c r="E592" s="10"/>
      <x:c r="F592" s="10"/>
      <x:c r="G592" s="10"/>
      <x:c r="H592" s="10"/>
    </x:row>
    <x:row r="593" ht="14.25" customHeight="1">
      <x:c r="A593" s="10"/>
      <x:c r="B593" s="10"/>
      <x:c r="C593" s="10"/>
      <x:c r="D593" s="10"/>
      <x:c r="E593" s="10"/>
      <x:c r="F593" s="10"/>
      <x:c r="G593" s="10"/>
      <x:c r="H593" s="10"/>
    </x:row>
    <x:row r="594" ht="14.25" customHeight="1">
      <x:c r="A594" s="10"/>
      <x:c r="B594" s="10"/>
      <x:c r="C594" s="10"/>
      <x:c r="D594" s="10"/>
      <x:c r="E594" s="10"/>
      <x:c r="F594" s="10"/>
      <x:c r="G594" s="10"/>
      <x:c r="H594" s="10"/>
    </x:row>
    <x:row r="595" ht="14.25" customHeight="1">
      <x:c r="A595" s="10"/>
      <x:c r="B595" s="10"/>
      <x:c r="C595" s="10"/>
      <x:c r="D595" s="10"/>
      <x:c r="E595" s="10"/>
      <x:c r="F595" s="10"/>
      <x:c r="G595" s="10"/>
      <x:c r="H595" s="10"/>
    </x:row>
    <x:row r="596" ht="14.25" customHeight="1">
      <x:c r="A596" s="10"/>
      <x:c r="B596" s="10"/>
      <x:c r="C596" s="10"/>
      <x:c r="D596" s="10"/>
      <x:c r="E596" s="10"/>
      <x:c r="F596" s="10"/>
      <x:c r="G596" s="10"/>
      <x:c r="H596" s="10"/>
    </x:row>
    <x:row r="597" ht="14.25" customHeight="1">
      <x:c r="A597" s="10"/>
      <x:c r="B597" s="10"/>
      <x:c r="C597" s="10"/>
      <x:c r="D597" s="10"/>
      <x:c r="E597" s="10"/>
      <x:c r="F597" s="10"/>
      <x:c r="G597" s="10"/>
      <x:c r="H597" s="10"/>
    </x:row>
    <x:row r="598" ht="14.25" customHeight="1">
      <x:c r="A598" s="10"/>
      <x:c r="B598" s="10"/>
      <x:c r="C598" s="10"/>
      <x:c r="D598" s="10"/>
      <x:c r="E598" s="10"/>
      <x:c r="F598" s="10"/>
      <x:c r="G598" s="10"/>
      <x:c r="H598" s="10"/>
    </x:row>
    <x:row r="599" ht="14.25" customHeight="1">
      <x:c r="A599" s="10"/>
      <x:c r="B599" s="10"/>
      <x:c r="C599" s="10"/>
      <x:c r="D599" s="10"/>
      <x:c r="E599" s="10"/>
      <x:c r="F599" s="10"/>
      <x:c r="G599" s="10"/>
      <x:c r="H599" s="10"/>
    </x:row>
    <x:row r="600" ht="14.25" customHeight="1">
      <x:c r="A600" s="10"/>
      <x:c r="B600" s="10"/>
      <x:c r="C600" s="10"/>
      <x:c r="D600" s="10"/>
      <x:c r="E600" s="10"/>
      <x:c r="F600" s="10"/>
      <x:c r="G600" s="10"/>
      <x:c r="H600" s="10"/>
    </x:row>
    <x:row r="601" ht="14.25" customHeight="1">
      <x:c r="A601" s="10"/>
      <x:c r="B601" s="10"/>
      <x:c r="C601" s="10"/>
      <x:c r="D601" s="10"/>
      <x:c r="E601" s="10"/>
      <x:c r="F601" s="10"/>
      <x:c r="G601" s="10"/>
      <x:c r="H601" s="10"/>
    </x:row>
    <x:row r="602" ht="14.25" customHeight="1">
      <x:c r="A602" s="10"/>
      <x:c r="B602" s="10"/>
      <x:c r="C602" s="10"/>
      <x:c r="D602" s="10"/>
      <x:c r="E602" s="10"/>
      <x:c r="F602" s="10"/>
      <x:c r="G602" s="10"/>
      <x:c r="H602" s="10"/>
    </x:row>
    <x:row r="603" ht="14.25" customHeight="1">
      <x:c r="A603" s="10"/>
      <x:c r="B603" s="10"/>
      <x:c r="C603" s="10"/>
      <x:c r="D603" s="10"/>
      <x:c r="E603" s="10"/>
      <x:c r="F603" s="10"/>
      <x:c r="G603" s="10"/>
      <x:c r="H603" s="10"/>
    </x:row>
    <x:row r="604" ht="14.25" customHeight="1">
      <x:c r="A604" s="10"/>
      <x:c r="B604" s="10"/>
      <x:c r="C604" s="10"/>
      <x:c r="D604" s="10"/>
      <x:c r="E604" s="10"/>
      <x:c r="F604" s="10"/>
      <x:c r="G604" s="10"/>
      <x:c r="H604" s="10"/>
    </x:row>
    <x:row r="605" ht="14.25" customHeight="1">
      <x:c r="A605" s="10"/>
      <x:c r="B605" s="10"/>
      <x:c r="C605" s="10"/>
      <x:c r="D605" s="10"/>
      <x:c r="E605" s="10"/>
      <x:c r="F605" s="10"/>
      <x:c r="G605" s="10"/>
      <x:c r="H605" s="10"/>
    </x:row>
    <x:row r="606" ht="14.25" customHeight="1">
      <x:c r="A606" s="10"/>
      <x:c r="B606" s="10"/>
      <x:c r="C606" s="10"/>
      <x:c r="D606" s="10"/>
      <x:c r="E606" s="10"/>
      <x:c r="F606" s="10"/>
      <x:c r="G606" s="10"/>
      <x:c r="H606" s="10"/>
    </x:row>
    <x:row r="607" ht="14.25" customHeight="1">
      <x:c r="A607" s="10"/>
      <x:c r="B607" s="10"/>
      <x:c r="C607" s="10"/>
      <x:c r="D607" s="10"/>
      <x:c r="E607" s="10"/>
      <x:c r="F607" s="10"/>
      <x:c r="G607" s="10"/>
      <x:c r="H607" s="10"/>
    </x:row>
    <x:row r="608" ht="14.25" customHeight="1">
      <x:c r="A608" s="10"/>
      <x:c r="B608" s="10"/>
      <x:c r="C608" s="10"/>
      <x:c r="D608" s="10"/>
      <x:c r="E608" s="10"/>
      <x:c r="F608" s="10"/>
      <x:c r="G608" s="10"/>
      <x:c r="H608" s="10"/>
    </x:row>
    <x:row r="609" ht="14.25" customHeight="1">
      <x:c r="A609" s="10"/>
      <x:c r="B609" s="10"/>
      <x:c r="C609" s="10"/>
      <x:c r="D609" s="10"/>
      <x:c r="E609" s="10"/>
      <x:c r="F609" s="10"/>
      <x:c r="G609" s="10"/>
      <x:c r="H609" s="10"/>
    </x:row>
    <x:row r="610" ht="14.25" customHeight="1">
      <x:c r="A610" s="10"/>
      <x:c r="B610" s="10"/>
      <x:c r="C610" s="10"/>
      <x:c r="D610" s="10"/>
      <x:c r="E610" s="10"/>
      <x:c r="F610" s="10"/>
      <x:c r="G610" s="10"/>
      <x:c r="H610" s="10"/>
    </x:row>
    <x:row r="611" ht="14.25" customHeight="1">
      <x:c r="A611" s="10"/>
      <x:c r="B611" s="10"/>
      <x:c r="C611" s="10"/>
      <x:c r="D611" s="10"/>
      <x:c r="E611" s="10"/>
      <x:c r="F611" s="10"/>
      <x:c r="G611" s="10"/>
      <x:c r="H611" s="10"/>
    </x:row>
    <x:row r="612" ht="14.25" customHeight="1">
      <x:c r="A612" s="10"/>
      <x:c r="B612" s="10"/>
      <x:c r="C612" s="10"/>
      <x:c r="D612" s="10"/>
      <x:c r="E612" s="10"/>
      <x:c r="F612" s="10"/>
      <x:c r="G612" s="10"/>
      <x:c r="H612" s="10"/>
    </x:row>
    <x:row r="613" ht="14.25" customHeight="1">
      <x:c r="A613" s="10"/>
      <x:c r="B613" s="10"/>
      <x:c r="C613" s="10"/>
      <x:c r="D613" s="10"/>
      <x:c r="E613" s="10"/>
      <x:c r="F613" s="10"/>
      <x:c r="G613" s="10"/>
      <x:c r="H613" s="10"/>
    </x:row>
    <x:row r="614" ht="14.25" customHeight="1">
      <x:c r="A614" s="10"/>
      <x:c r="B614" s="10"/>
      <x:c r="C614" s="10"/>
      <x:c r="D614" s="10"/>
      <x:c r="E614" s="10"/>
      <x:c r="F614" s="10"/>
      <x:c r="G614" s="10"/>
      <x:c r="H614" s="10"/>
    </x:row>
    <x:row r="615" ht="14.25" customHeight="1">
      <x:c r="A615" s="10"/>
      <x:c r="B615" s="10"/>
      <x:c r="C615" s="10"/>
      <x:c r="D615" s="10"/>
      <x:c r="E615" s="10"/>
      <x:c r="F615" s="10"/>
      <x:c r="G615" s="10"/>
      <x:c r="H615" s="10"/>
    </x:row>
    <x:row r="616" ht="14.25" customHeight="1">
      <x:c r="A616" s="10"/>
      <x:c r="B616" s="10"/>
      <x:c r="C616" s="10"/>
      <x:c r="D616" s="10"/>
      <x:c r="E616" s="10"/>
      <x:c r="F616" s="10"/>
      <x:c r="G616" s="10"/>
      <x:c r="H616" s="10"/>
    </x:row>
    <x:row r="617" ht="14.25" customHeight="1">
      <x:c r="A617" s="10"/>
      <x:c r="B617" s="10"/>
      <x:c r="C617" s="10"/>
      <x:c r="D617" s="10"/>
      <x:c r="E617" s="10"/>
      <x:c r="F617" s="10"/>
      <x:c r="G617" s="10"/>
      <x:c r="H617" s="10"/>
    </x:row>
    <x:row r="618" ht="14.25" customHeight="1">
      <x:c r="A618" s="10"/>
      <x:c r="B618" s="10"/>
      <x:c r="C618" s="10"/>
      <x:c r="D618" s="10"/>
      <x:c r="E618" s="10"/>
      <x:c r="F618" s="10"/>
      <x:c r="G618" s="10"/>
      <x:c r="H618" s="10"/>
    </x:row>
    <x:row r="619" ht="14.25" customHeight="1">
      <x:c r="A619" s="10"/>
      <x:c r="B619" s="10"/>
      <x:c r="C619" s="10"/>
      <x:c r="D619" s="10"/>
      <x:c r="E619" s="10"/>
      <x:c r="F619" s="10"/>
      <x:c r="G619" s="10"/>
      <x:c r="H619" s="10"/>
    </x:row>
    <x:row r="620" ht="14.25" customHeight="1">
      <x:c r="A620" s="10"/>
      <x:c r="B620" s="10"/>
      <x:c r="C620" s="10"/>
      <x:c r="D620" s="10"/>
      <x:c r="E620" s="10"/>
      <x:c r="F620" s="10"/>
      <x:c r="G620" s="10"/>
      <x:c r="H620" s="10"/>
    </x:row>
    <x:row r="621" ht="14.25" customHeight="1">
      <x:c r="A621" s="10"/>
      <x:c r="B621" s="10"/>
      <x:c r="C621" s="10"/>
      <x:c r="D621" s="10"/>
      <x:c r="E621" s="10"/>
      <x:c r="F621" s="10"/>
      <x:c r="G621" s="10"/>
      <x:c r="H621" s="10"/>
    </x:row>
    <x:row r="622" ht="14.25" customHeight="1">
      <x:c r="A622" s="10"/>
      <x:c r="B622" s="10"/>
      <x:c r="C622" s="10"/>
      <x:c r="D622" s="10"/>
      <x:c r="E622" s="10"/>
      <x:c r="F622" s="10"/>
      <x:c r="G622" s="10"/>
      <x:c r="H622" s="10"/>
    </x:row>
    <x:row r="623" ht="14.25" customHeight="1">
      <x:c r="A623" s="10"/>
      <x:c r="B623" s="10"/>
      <x:c r="C623" s="10"/>
      <x:c r="D623" s="10"/>
      <x:c r="E623" s="10"/>
      <x:c r="F623" s="10"/>
      <x:c r="G623" s="10"/>
      <x:c r="H623" s="10"/>
    </x:row>
    <x:row r="624" ht="14.25" customHeight="1">
      <x:c r="A624" s="10"/>
      <x:c r="B624" s="10"/>
      <x:c r="C624" s="10"/>
      <x:c r="D624" s="10"/>
      <x:c r="E624" s="10"/>
      <x:c r="F624" s="10"/>
      <x:c r="G624" s="10"/>
      <x:c r="H624" s="10"/>
    </x:row>
    <x:row r="625" ht="14.25" customHeight="1">
      <x:c r="A625" s="10"/>
      <x:c r="B625" s="10"/>
      <x:c r="C625" s="10"/>
      <x:c r="D625" s="10"/>
      <x:c r="E625" s="10"/>
      <x:c r="F625" s="10"/>
      <x:c r="G625" s="10"/>
      <x:c r="H625" s="10"/>
    </x:row>
    <x:row r="626" ht="14.25" customHeight="1">
      <x:c r="A626" s="10"/>
      <x:c r="B626" s="10"/>
      <x:c r="C626" s="10"/>
      <x:c r="D626" s="10"/>
      <x:c r="E626" s="10"/>
      <x:c r="F626" s="10"/>
      <x:c r="G626" s="10"/>
      <x:c r="H626" s="10"/>
    </x:row>
    <x:row r="627" ht="14.25" customHeight="1">
      <x:c r="A627" s="10"/>
      <x:c r="B627" s="10"/>
      <x:c r="C627" s="10"/>
      <x:c r="D627" s="10"/>
      <x:c r="E627" s="10"/>
      <x:c r="F627" s="10"/>
      <x:c r="G627" s="10"/>
      <x:c r="H627" s="10"/>
    </x:row>
    <x:row r="628" ht="14.25" customHeight="1">
      <x:c r="A628" s="10"/>
      <x:c r="B628" s="10"/>
      <x:c r="C628" s="10"/>
      <x:c r="D628" s="10"/>
      <x:c r="E628" s="10"/>
      <x:c r="F628" s="10"/>
      <x:c r="G628" s="10"/>
      <x:c r="H628" s="10"/>
    </x:row>
    <x:row r="629" ht="14.25" customHeight="1">
      <x:c r="A629" s="10"/>
      <x:c r="B629" s="10"/>
      <x:c r="C629" s="10"/>
      <x:c r="D629" s="10"/>
      <x:c r="E629" s="10"/>
      <x:c r="F629" s="10"/>
      <x:c r="G629" s="10"/>
      <x:c r="H629" s="10"/>
    </x:row>
    <x:row r="630" ht="14.25" customHeight="1">
      <x:c r="A630" s="10"/>
      <x:c r="B630" s="10"/>
      <x:c r="C630" s="10"/>
      <x:c r="D630" s="10"/>
      <x:c r="E630" s="10"/>
      <x:c r="F630" s="10"/>
      <x:c r="G630" s="10"/>
      <x:c r="H630" s="10"/>
    </x:row>
    <x:row r="631" ht="14.25" customHeight="1">
      <x:c r="A631" s="10"/>
      <x:c r="B631" s="10"/>
      <x:c r="C631" s="10"/>
      <x:c r="D631" s="10"/>
      <x:c r="E631" s="10"/>
      <x:c r="F631" s="10"/>
      <x:c r="G631" s="10"/>
      <x:c r="H631" s="10"/>
    </x:row>
    <x:row r="632" ht="14.25" customHeight="1">
      <x:c r="A632" s="10"/>
      <x:c r="B632" s="10"/>
      <x:c r="C632" s="10"/>
      <x:c r="D632" s="10"/>
      <x:c r="E632" s="10"/>
      <x:c r="F632" s="10"/>
      <x:c r="G632" s="10"/>
      <x:c r="H632" s="10"/>
    </x:row>
    <x:row r="633" ht="14.25" customHeight="1">
      <x:c r="A633" s="10"/>
      <x:c r="B633" s="10"/>
      <x:c r="C633" s="10"/>
      <x:c r="D633" s="10"/>
      <x:c r="E633" s="10"/>
      <x:c r="F633" s="10"/>
      <x:c r="G633" s="10"/>
      <x:c r="H633" s="10"/>
    </x:row>
    <x:row r="634" ht="14.25" customHeight="1">
      <x:c r="A634" s="10"/>
      <x:c r="B634" s="10"/>
      <x:c r="C634" s="10"/>
      <x:c r="D634" s="10"/>
      <x:c r="E634" s="10"/>
      <x:c r="F634" s="10"/>
      <x:c r="G634" s="10"/>
      <x:c r="H634" s="10"/>
    </x:row>
    <x:row r="635" ht="14.25" customHeight="1">
      <x:c r="A635" s="10"/>
      <x:c r="B635" s="10"/>
      <x:c r="C635" s="10"/>
      <x:c r="D635" s="10"/>
      <x:c r="E635" s="10"/>
      <x:c r="F635" s="10"/>
      <x:c r="G635" s="10"/>
      <x:c r="H635" s="10"/>
    </x:row>
    <x:row r="636" ht="14.25" customHeight="1">
      <x:c r="A636" s="10"/>
      <x:c r="B636" s="10"/>
      <x:c r="C636" s="10"/>
      <x:c r="D636" s="10"/>
      <x:c r="E636" s="10"/>
      <x:c r="F636" s="10"/>
      <x:c r="G636" s="10"/>
      <x:c r="H636" s="10"/>
    </x:row>
    <x:row r="637" ht="14.25" customHeight="1">
      <x:c r="A637" s="10"/>
      <x:c r="B637" s="10"/>
      <x:c r="C637" s="10"/>
      <x:c r="D637" s="10"/>
      <x:c r="E637" s="10"/>
      <x:c r="F637" s="10"/>
      <x:c r="G637" s="10"/>
      <x:c r="H637" s="10"/>
    </x:row>
    <x:row r="638" ht="14.25" customHeight="1">
      <x:c r="A638" s="10"/>
      <x:c r="B638" s="10"/>
      <x:c r="C638" s="10"/>
      <x:c r="D638" s="10"/>
      <x:c r="E638" s="10"/>
      <x:c r="F638" s="10"/>
      <x:c r="G638" s="10"/>
      <x:c r="H638" s="10"/>
    </x:row>
    <x:row r="639" ht="14.25" customHeight="1">
      <x:c r="A639" s="10"/>
      <x:c r="B639" s="10"/>
      <x:c r="C639" s="10"/>
      <x:c r="D639" s="10"/>
      <x:c r="E639" s="10"/>
      <x:c r="F639" s="10"/>
      <x:c r="G639" s="10"/>
      <x:c r="H639" s="10"/>
    </x:row>
    <x:row r="640" ht="14.25" customHeight="1">
      <x:c r="A640" s="10"/>
      <x:c r="B640" s="10"/>
      <x:c r="C640" s="10"/>
      <x:c r="D640" s="10"/>
      <x:c r="E640" s="10"/>
      <x:c r="F640" s="10"/>
      <x:c r="G640" s="10"/>
      <x:c r="H640" s="10"/>
    </x:row>
    <x:row r="641" ht="14.25" customHeight="1">
      <x:c r="A641" s="10"/>
      <x:c r="B641" s="10"/>
      <x:c r="C641" s="10"/>
      <x:c r="D641" s="10"/>
      <x:c r="E641" s="10"/>
      <x:c r="F641" s="10"/>
      <x:c r="G641" s="10"/>
      <x:c r="H641" s="10"/>
    </x:row>
    <x:row r="642" ht="14.25" customHeight="1">
      <x:c r="A642" s="10"/>
      <x:c r="B642" s="10"/>
      <x:c r="C642" s="10"/>
      <x:c r="D642" s="10"/>
      <x:c r="E642" s="10"/>
      <x:c r="F642" s="10"/>
      <x:c r="G642" s="10"/>
      <x:c r="H642" s="10"/>
    </x:row>
    <x:row r="643" ht="14.25" customHeight="1">
      <x:c r="A643" s="10"/>
      <x:c r="B643" s="10"/>
      <x:c r="C643" s="10"/>
      <x:c r="D643" s="10"/>
      <x:c r="E643" s="10"/>
      <x:c r="F643" s="10"/>
      <x:c r="G643" s="10"/>
      <x:c r="H643" s="10"/>
    </x:row>
    <x:row r="644" ht="14.25" customHeight="1">
      <x:c r="A644" s="10"/>
      <x:c r="B644" s="10"/>
      <x:c r="C644" s="10"/>
      <x:c r="D644" s="10"/>
      <x:c r="E644" s="10"/>
      <x:c r="F644" s="10"/>
      <x:c r="G644" s="10"/>
      <x:c r="H644" s="10"/>
    </x:row>
    <x:row r="645" ht="14.25" customHeight="1">
      <x:c r="A645" s="10"/>
      <x:c r="B645" s="10"/>
      <x:c r="C645" s="10"/>
      <x:c r="D645" s="10"/>
      <x:c r="E645" s="10"/>
      <x:c r="F645" s="10"/>
      <x:c r="G645" s="10"/>
      <x:c r="H645" s="10"/>
    </x:row>
    <x:row r="646" ht="14.25" customHeight="1">
      <x:c r="A646" s="10"/>
      <x:c r="B646" s="10"/>
      <x:c r="C646" s="10"/>
      <x:c r="D646" s="10"/>
      <x:c r="E646" s="10"/>
      <x:c r="F646" s="10"/>
      <x:c r="G646" s="10"/>
      <x:c r="H646" s="10"/>
    </x:row>
    <x:row r="647" ht="14.25" customHeight="1">
      <x:c r="A647" s="10"/>
      <x:c r="B647" s="10"/>
      <x:c r="C647" s="10"/>
      <x:c r="D647" s="10"/>
      <x:c r="E647" s="10"/>
      <x:c r="F647" s="10"/>
      <x:c r="G647" s="10"/>
      <x:c r="H647" s="10"/>
    </x:row>
    <x:row r="648" ht="14.25" customHeight="1">
      <x:c r="A648" s="10"/>
      <x:c r="B648" s="10"/>
      <x:c r="C648" s="10"/>
      <x:c r="D648" s="10"/>
      <x:c r="E648" s="10"/>
      <x:c r="F648" s="10"/>
      <x:c r="G648" s="10"/>
      <x:c r="H648" s="10"/>
    </x:row>
    <x:row r="649" ht="14.25" customHeight="1">
      <x:c r="A649" s="10"/>
      <x:c r="B649" s="10"/>
      <x:c r="C649" s="10"/>
      <x:c r="D649" s="10"/>
      <x:c r="E649" s="10"/>
      <x:c r="F649" s="10"/>
      <x:c r="G649" s="10"/>
      <x:c r="H649" s="10"/>
    </x:row>
    <x:row r="650" ht="14.25" customHeight="1">
      <x:c r="A650" s="10"/>
      <x:c r="B650" s="10"/>
      <x:c r="C650" s="10"/>
      <x:c r="D650" s="10"/>
      <x:c r="E650" s="10"/>
      <x:c r="F650" s="10"/>
      <x:c r="G650" s="10"/>
      <x:c r="H650" s="10"/>
    </x:row>
    <x:row r="651" ht="14.25" customHeight="1">
      <x:c r="A651" s="10"/>
      <x:c r="B651" s="10"/>
      <x:c r="C651" s="10"/>
      <x:c r="D651" s="10"/>
      <x:c r="E651" s="10"/>
      <x:c r="F651" s="10"/>
      <x:c r="G651" s="10"/>
      <x:c r="H651" s="10"/>
    </x:row>
    <x:row r="652" ht="14.25" customHeight="1">
      <x:c r="A652" s="10"/>
      <x:c r="B652" s="10"/>
      <x:c r="C652" s="10"/>
      <x:c r="D652" s="10"/>
      <x:c r="E652" s="10"/>
      <x:c r="F652" s="10"/>
      <x:c r="G652" s="10"/>
      <x:c r="H652" s="10"/>
    </x:row>
    <x:row r="653" ht="14.25" customHeight="1">
      <x:c r="A653" s="10"/>
      <x:c r="B653" s="10"/>
      <x:c r="C653" s="10"/>
      <x:c r="D653" s="10"/>
      <x:c r="E653" s="10"/>
      <x:c r="F653" s="10"/>
      <x:c r="G653" s="10"/>
      <x:c r="H653" s="10"/>
    </x:row>
    <x:row r="654" ht="14.25" customHeight="1">
      <x:c r="A654" s="10"/>
      <x:c r="B654" s="10"/>
      <x:c r="C654" s="10"/>
      <x:c r="D654" s="10"/>
      <x:c r="E654" s="10"/>
      <x:c r="F654" s="10"/>
      <x:c r="G654" s="10"/>
      <x:c r="H654" s="10"/>
    </x:row>
    <x:row r="655" ht="14.25" customHeight="1">
      <x:c r="A655" s="10"/>
      <x:c r="B655" s="10"/>
      <x:c r="C655" s="10"/>
      <x:c r="D655" s="10"/>
      <x:c r="E655" s="10"/>
      <x:c r="F655" s="10"/>
      <x:c r="G655" s="10"/>
      <x:c r="H655" s="10"/>
    </x:row>
    <x:row r="656" ht="14.25" customHeight="1">
      <x:c r="A656" s="10"/>
      <x:c r="B656" s="10"/>
      <x:c r="C656" s="10"/>
      <x:c r="D656" s="10"/>
      <x:c r="E656" s="10"/>
      <x:c r="F656" s="10"/>
      <x:c r="G656" s="10"/>
      <x:c r="H656" s="10"/>
    </x:row>
    <x:row r="657" ht="14.25" customHeight="1">
      <x:c r="A657" s="10"/>
      <x:c r="B657" s="10"/>
      <x:c r="C657" s="10"/>
      <x:c r="D657" s="10"/>
      <x:c r="E657" s="10"/>
      <x:c r="F657" s="10"/>
      <x:c r="G657" s="10"/>
      <x:c r="H657" s="10"/>
    </x:row>
    <x:row r="658" ht="14.25" customHeight="1">
      <x:c r="A658" s="10"/>
      <x:c r="B658" s="10"/>
      <x:c r="C658" s="10"/>
      <x:c r="D658" s="10"/>
      <x:c r="E658" s="10"/>
      <x:c r="F658" s="10"/>
      <x:c r="G658" s="10"/>
      <x:c r="H658" s="10"/>
    </x:row>
    <x:row r="659" ht="14.25" customHeight="1">
      <x:c r="A659" s="10"/>
      <x:c r="B659" s="10"/>
      <x:c r="C659" s="10"/>
      <x:c r="D659" s="10"/>
      <x:c r="E659" s="10"/>
      <x:c r="F659" s="10"/>
      <x:c r="G659" s="10"/>
      <x:c r="H659" s="10"/>
    </x:row>
    <x:row r="660" ht="14.25" customHeight="1">
      <x:c r="A660" s="10"/>
      <x:c r="B660" s="10"/>
      <x:c r="C660" s="10"/>
      <x:c r="D660" s="10"/>
      <x:c r="E660" s="10"/>
      <x:c r="F660" s="10"/>
      <x:c r="G660" s="10"/>
      <x:c r="H660" s="10"/>
    </x:row>
    <x:row r="661" ht="14.25" customHeight="1">
      <x:c r="A661" s="10"/>
      <x:c r="B661" s="10"/>
      <x:c r="C661" s="10"/>
      <x:c r="D661" s="10"/>
      <x:c r="E661" s="10"/>
      <x:c r="F661" s="10"/>
      <x:c r="G661" s="10"/>
      <x:c r="H661" s="10"/>
    </x:row>
    <x:row r="662" ht="14.25" customHeight="1">
      <x:c r="A662" s="10"/>
      <x:c r="B662" s="10"/>
      <x:c r="C662" s="10"/>
      <x:c r="D662" s="10"/>
      <x:c r="E662" s="10"/>
      <x:c r="F662" s="10"/>
      <x:c r="G662" s="10"/>
      <x:c r="H662" s="10"/>
    </x:row>
    <x:row r="663" ht="14.25" customHeight="1">
      <x:c r="A663" s="10"/>
      <x:c r="B663" s="10"/>
      <x:c r="C663" s="10"/>
      <x:c r="D663" s="10"/>
      <x:c r="E663" s="10"/>
      <x:c r="F663" s="10"/>
      <x:c r="G663" s="10"/>
      <x:c r="H663" s="10"/>
    </x:row>
    <x:row r="664" ht="14.25" customHeight="1">
      <x:c r="A664" s="10"/>
      <x:c r="B664" s="10"/>
      <x:c r="C664" s="10"/>
      <x:c r="D664" s="10"/>
      <x:c r="E664" s="10"/>
      <x:c r="F664" s="10"/>
      <x:c r="G664" s="10"/>
      <x:c r="H664" s="10"/>
    </x:row>
    <x:row r="665" ht="14.25" customHeight="1">
      <x:c r="A665" s="10"/>
      <x:c r="B665" s="10"/>
      <x:c r="C665" s="10"/>
      <x:c r="D665" s="10"/>
      <x:c r="E665" s="10"/>
      <x:c r="F665" s="10"/>
      <x:c r="G665" s="10"/>
      <x:c r="H665" s="10"/>
    </x:row>
    <x:row r="666" ht="14.25" customHeight="1">
      <x:c r="A666" s="10"/>
      <x:c r="B666" s="10"/>
      <x:c r="C666" s="10"/>
      <x:c r="D666" s="10"/>
      <x:c r="E666" s="10"/>
      <x:c r="F666" s="10"/>
      <x:c r="G666" s="10"/>
      <x:c r="H666" s="10"/>
    </x:row>
    <x:row r="667" ht="14.25" customHeight="1">
      <x:c r="A667" s="10"/>
      <x:c r="B667" s="10"/>
      <x:c r="C667" s="10"/>
      <x:c r="D667" s="10"/>
      <x:c r="E667" s="10"/>
      <x:c r="F667" s="10"/>
      <x:c r="G667" s="10"/>
      <x:c r="H667" s="10"/>
    </x:row>
    <x:row r="668" ht="14.25" customHeight="1">
      <x:c r="A668" s="10"/>
      <x:c r="B668" s="10"/>
      <x:c r="C668" s="10"/>
      <x:c r="D668" s="10"/>
      <x:c r="E668" s="10"/>
      <x:c r="F668" s="10"/>
      <x:c r="G668" s="10"/>
      <x:c r="H668" s="10"/>
    </x:row>
    <x:row r="669" ht="14.25" customHeight="1">
      <x:c r="A669" s="10"/>
      <x:c r="B669" s="10"/>
      <x:c r="C669" s="10"/>
      <x:c r="D669" s="10"/>
      <x:c r="E669" s="10"/>
      <x:c r="F669" s="10"/>
      <x:c r="G669" s="10"/>
      <x:c r="H669" s="10"/>
    </x:row>
    <x:row r="670" ht="14.25" customHeight="1">
      <x:c r="A670" s="10"/>
      <x:c r="B670" s="10"/>
      <x:c r="C670" s="10"/>
      <x:c r="D670" s="10"/>
      <x:c r="E670" s="10"/>
      <x:c r="F670" s="10"/>
      <x:c r="G670" s="10"/>
      <x:c r="H670" s="10"/>
    </x:row>
    <x:row r="671" ht="14.25" customHeight="1">
      <x:c r="A671" s="10"/>
      <x:c r="B671" s="10"/>
      <x:c r="C671" s="10"/>
      <x:c r="D671" s="10"/>
      <x:c r="E671" s="10"/>
      <x:c r="F671" s="10"/>
      <x:c r="G671" s="10"/>
      <x:c r="H671" s="10"/>
    </x:row>
    <x:row r="672" ht="14.25" customHeight="1">
      <x:c r="A672" s="10"/>
      <x:c r="B672" s="10"/>
      <x:c r="C672" s="10"/>
      <x:c r="D672" s="10"/>
      <x:c r="E672" s="10"/>
      <x:c r="F672" s="10"/>
      <x:c r="G672" s="10"/>
      <x:c r="H672" s="10"/>
    </x:row>
    <x:row r="673" ht="14.25" customHeight="1">
      <x:c r="A673" s="10"/>
      <x:c r="B673" s="10"/>
      <x:c r="C673" s="10"/>
      <x:c r="D673" s="10"/>
      <x:c r="E673" s="10"/>
      <x:c r="F673" s="10"/>
      <x:c r="G673" s="10"/>
      <x:c r="H673" s="10"/>
    </x:row>
    <x:row r="674" ht="14.25" customHeight="1">
      <x:c r="A674" s="10"/>
      <x:c r="B674" s="10"/>
      <x:c r="C674" s="10"/>
      <x:c r="D674" s="10"/>
      <x:c r="E674" s="10"/>
      <x:c r="F674" s="10"/>
      <x:c r="G674" s="10"/>
      <x:c r="H674" s="10"/>
    </x:row>
    <x:row r="675" ht="14.25" customHeight="1">
      <x:c r="A675" s="10"/>
      <x:c r="B675" s="10"/>
      <x:c r="C675" s="10"/>
      <x:c r="D675" s="10"/>
      <x:c r="E675" s="10"/>
      <x:c r="F675" s="10"/>
      <x:c r="G675" s="10"/>
      <x:c r="H675" s="10"/>
    </x:row>
    <x:row r="676" ht="14.25" customHeight="1">
      <x:c r="A676" s="10"/>
      <x:c r="B676" s="10"/>
      <x:c r="C676" s="10"/>
      <x:c r="D676" s="10"/>
      <x:c r="E676" s="10"/>
      <x:c r="F676" s="10"/>
      <x:c r="G676" s="10"/>
      <x:c r="H676" s="10"/>
    </x:row>
    <x:row r="677" ht="14.25" customHeight="1">
      <x:c r="A677" s="10"/>
      <x:c r="B677" s="10"/>
      <x:c r="C677" s="10"/>
      <x:c r="D677" s="10"/>
      <x:c r="E677" s="10"/>
      <x:c r="F677" s="10"/>
      <x:c r="G677" s="10"/>
      <x:c r="H677" s="10"/>
    </x:row>
    <x:row r="678" ht="14.25" customHeight="1">
      <x:c r="A678" s="10"/>
      <x:c r="B678" s="10"/>
      <x:c r="C678" s="10"/>
      <x:c r="D678" s="10"/>
      <x:c r="E678" s="10"/>
      <x:c r="F678" s="10"/>
      <x:c r="G678" s="10"/>
      <x:c r="H678" s="10"/>
    </x:row>
    <x:row r="679" ht="14.25" customHeight="1">
      <x:c r="A679" s="10"/>
      <x:c r="B679" s="10"/>
      <x:c r="C679" s="10"/>
      <x:c r="D679" s="10"/>
      <x:c r="E679" s="10"/>
      <x:c r="F679" s="10"/>
      <x:c r="G679" s="10"/>
      <x:c r="H679" s="10"/>
    </x:row>
    <x:row r="680" ht="14.25" customHeight="1">
      <x:c r="A680" s="10"/>
      <x:c r="B680" s="10"/>
      <x:c r="C680" s="10"/>
      <x:c r="D680" s="10"/>
      <x:c r="E680" s="10"/>
      <x:c r="F680" s="10"/>
      <x:c r="G680" s="10"/>
      <x:c r="H680" s="10"/>
    </x:row>
    <x:row r="681" ht="14.25" customHeight="1">
      <x:c r="A681" s="10"/>
      <x:c r="B681" s="10"/>
      <x:c r="C681" s="10"/>
      <x:c r="D681" s="10"/>
      <x:c r="E681" s="10"/>
      <x:c r="F681" s="10"/>
      <x:c r="G681" s="10"/>
      <x:c r="H681" s="10"/>
    </x:row>
    <x:row r="682" ht="14.25" customHeight="1">
      <x:c r="A682" s="10"/>
      <x:c r="B682" s="10"/>
      <x:c r="C682" s="10"/>
      <x:c r="D682" s="10"/>
      <x:c r="E682" s="10"/>
      <x:c r="F682" s="10"/>
      <x:c r="G682" s="10"/>
      <x:c r="H682" s="10"/>
    </x:row>
    <x:row r="683" ht="14.25" customHeight="1">
      <x:c r="A683" s="10"/>
      <x:c r="B683" s="10"/>
      <x:c r="C683" s="10"/>
      <x:c r="D683" s="10"/>
      <x:c r="E683" s="10"/>
      <x:c r="F683" s="10"/>
      <x:c r="G683" s="10"/>
      <x:c r="H683" s="10"/>
    </x:row>
    <x:row r="684" ht="14.25" customHeight="1">
      <x:c r="A684" s="10"/>
      <x:c r="B684" s="10"/>
      <x:c r="C684" s="10"/>
      <x:c r="D684" s="10"/>
      <x:c r="E684" s="10"/>
      <x:c r="F684" s="10"/>
      <x:c r="G684" s="10"/>
      <x:c r="H684" s="10"/>
    </x:row>
    <x:row r="685" ht="14.25" customHeight="1">
      <x:c r="A685" s="10"/>
      <x:c r="B685" s="10"/>
      <x:c r="C685" s="10"/>
      <x:c r="D685" s="10"/>
      <x:c r="E685" s="10"/>
      <x:c r="F685" s="10"/>
      <x:c r="G685" s="10"/>
      <x:c r="H685" s="10"/>
    </x:row>
    <x:row r="686" ht="14.25" customHeight="1">
      <x:c r="A686" s="10"/>
      <x:c r="B686" s="10"/>
      <x:c r="C686" s="10"/>
      <x:c r="D686" s="10"/>
      <x:c r="E686" s="10"/>
      <x:c r="F686" s="10"/>
      <x:c r="G686" s="10"/>
      <x:c r="H686" s="10"/>
    </x:row>
    <x:row r="687" ht="14.25" customHeight="1">
      <x:c r="A687" s="10"/>
      <x:c r="B687" s="10"/>
      <x:c r="C687" s="10"/>
      <x:c r="D687" s="10"/>
      <x:c r="E687" s="10"/>
      <x:c r="F687" s="10"/>
      <x:c r="G687" s="10"/>
      <x:c r="H687" s="10"/>
    </x:row>
    <x:row r="688" ht="14.25" customHeight="1">
      <x:c r="A688" s="10"/>
      <x:c r="B688" s="10"/>
      <x:c r="C688" s="10"/>
      <x:c r="D688" s="10"/>
      <x:c r="E688" s="10"/>
      <x:c r="F688" s="10"/>
      <x:c r="G688" s="10"/>
      <x:c r="H688" s="10"/>
    </x:row>
    <x:row r="689" ht="14.25" customHeight="1">
      <x:c r="A689" s="10"/>
      <x:c r="B689" s="10"/>
      <x:c r="C689" s="10"/>
      <x:c r="D689" s="10"/>
      <x:c r="E689" s="10"/>
      <x:c r="F689" s="10"/>
      <x:c r="G689" s="10"/>
      <x:c r="H689" s="10"/>
    </x:row>
    <x:row r="690" ht="14.25" customHeight="1">
      <x:c r="A690" s="10"/>
      <x:c r="B690" s="10"/>
      <x:c r="C690" s="10"/>
      <x:c r="D690" s="10"/>
      <x:c r="E690" s="10"/>
      <x:c r="F690" s="10"/>
      <x:c r="G690" s="10"/>
      <x:c r="H690" s="10"/>
    </x:row>
    <x:row r="691" ht="14.25" customHeight="1">
      <x:c r="A691" s="10"/>
      <x:c r="B691" s="10"/>
      <x:c r="C691" s="10"/>
      <x:c r="D691" s="10"/>
      <x:c r="E691" s="10"/>
      <x:c r="F691" s="10"/>
      <x:c r="G691" s="10"/>
      <x:c r="H691" s="10"/>
    </x:row>
    <x:row r="692" ht="14.25" customHeight="1">
      <x:c r="A692" s="10"/>
      <x:c r="B692" s="10"/>
      <x:c r="C692" s="10"/>
      <x:c r="D692" s="10"/>
      <x:c r="E692" s="10"/>
      <x:c r="F692" s="10"/>
      <x:c r="G692" s="10"/>
      <x:c r="H692" s="10"/>
    </x:row>
    <x:row r="693" ht="14.25" customHeight="1">
      <x:c r="A693" s="10"/>
      <x:c r="B693" s="10"/>
      <x:c r="C693" s="10"/>
      <x:c r="D693" s="10"/>
      <x:c r="E693" s="10"/>
      <x:c r="F693" s="10"/>
      <x:c r="G693" s="10"/>
      <x:c r="H693" s="10"/>
    </x:row>
    <x:row r="694" ht="14.25" customHeight="1">
      <x:c r="A694" s="10"/>
      <x:c r="B694" s="10"/>
      <x:c r="C694" s="10"/>
      <x:c r="D694" s="10"/>
      <x:c r="E694" s="10"/>
      <x:c r="F694" s="10"/>
      <x:c r="G694" s="10"/>
      <x:c r="H694" s="10"/>
    </x:row>
    <x:row r="695" ht="14.25" customHeight="1">
      <x:c r="A695" s="10"/>
      <x:c r="B695" s="10"/>
      <x:c r="C695" s="10"/>
      <x:c r="D695" s="10"/>
      <x:c r="E695" s="10"/>
      <x:c r="F695" s="10"/>
      <x:c r="G695" s="10"/>
      <x:c r="H695" s="10"/>
    </x:row>
    <x:row r="696" ht="14.25" customHeight="1">
      <x:c r="A696" s="10"/>
      <x:c r="B696" s="10"/>
      <x:c r="C696" s="10"/>
      <x:c r="D696" s="10"/>
      <x:c r="E696" s="10"/>
      <x:c r="F696" s="10"/>
      <x:c r="G696" s="10"/>
      <x:c r="H696" s="10"/>
    </x:row>
    <x:row r="697" ht="14.25" customHeight="1">
      <x:c r="A697" s="10"/>
      <x:c r="B697" s="10"/>
      <x:c r="C697" s="10"/>
      <x:c r="D697" s="10"/>
      <x:c r="E697" s="10"/>
      <x:c r="F697" s="10"/>
      <x:c r="G697" s="10"/>
      <x:c r="H697" s="10"/>
    </x:row>
    <x:row r="698" ht="14.25" customHeight="1">
      <x:c r="A698" s="10"/>
      <x:c r="B698" s="10"/>
      <x:c r="C698" s="10"/>
      <x:c r="D698" s="10"/>
      <x:c r="E698" s="10"/>
      <x:c r="F698" s="10"/>
      <x:c r="G698" s="10"/>
      <x:c r="H698" s="10"/>
    </x:row>
    <x:row r="699" ht="14.25" customHeight="1">
      <x:c r="A699" s="10"/>
      <x:c r="B699" s="10"/>
      <x:c r="C699" s="10"/>
      <x:c r="D699" s="10"/>
      <x:c r="E699" s="10"/>
      <x:c r="F699" s="10"/>
      <x:c r="G699" s="10"/>
      <x:c r="H699" s="10"/>
    </x:row>
    <x:row r="700" ht="14.25" customHeight="1">
      <x:c r="A700" s="10"/>
      <x:c r="B700" s="10"/>
      <x:c r="C700" s="10"/>
      <x:c r="D700" s="10"/>
      <x:c r="E700" s="10"/>
      <x:c r="F700" s="10"/>
      <x:c r="G700" s="10"/>
      <x:c r="H700" s="10"/>
    </x:row>
    <x:row r="701" ht="14.25" customHeight="1">
      <x:c r="A701" s="10"/>
      <x:c r="B701" s="10"/>
      <x:c r="C701" s="10"/>
      <x:c r="D701" s="10"/>
      <x:c r="E701" s="10"/>
      <x:c r="F701" s="10"/>
      <x:c r="G701" s="10"/>
      <x:c r="H701" s="10"/>
    </x:row>
    <x:row r="702" ht="14.25" customHeight="1">
      <x:c r="A702" s="10"/>
      <x:c r="B702" s="10"/>
      <x:c r="C702" s="10"/>
      <x:c r="D702" s="10"/>
      <x:c r="E702" s="10"/>
      <x:c r="F702" s="10"/>
      <x:c r="G702" s="10"/>
      <x:c r="H702" s="10"/>
    </x:row>
    <x:row r="703" ht="14.25" customHeight="1">
      <x:c r="A703" s="10"/>
      <x:c r="B703" s="10"/>
      <x:c r="C703" s="10"/>
      <x:c r="D703" s="10"/>
      <x:c r="E703" s="10"/>
      <x:c r="F703" s="10"/>
      <x:c r="G703" s="10"/>
      <x:c r="H703" s="10"/>
    </x:row>
    <x:row r="704" ht="14.25" customHeight="1">
      <x:c r="A704" s="10"/>
      <x:c r="B704" s="10"/>
      <x:c r="C704" s="10"/>
      <x:c r="D704" s="10"/>
      <x:c r="E704" s="10"/>
      <x:c r="F704" s="10"/>
      <x:c r="G704" s="10"/>
      <x:c r="H704" s="10"/>
    </x:row>
    <x:row r="705" ht="14.25" customHeight="1">
      <x:c r="A705" s="10"/>
      <x:c r="B705" s="10"/>
      <x:c r="C705" s="10"/>
      <x:c r="D705" s="10"/>
      <x:c r="E705" s="10"/>
      <x:c r="F705" s="10"/>
      <x:c r="G705" s="10"/>
      <x:c r="H705" s="10"/>
    </x:row>
    <x:row r="706" ht="14.25" customHeight="1">
      <x:c r="A706" s="10"/>
      <x:c r="B706" s="10"/>
      <x:c r="C706" s="10"/>
      <x:c r="D706" s="10"/>
      <x:c r="E706" s="10"/>
      <x:c r="F706" s="10"/>
      <x:c r="G706" s="10"/>
      <x:c r="H706" s="10"/>
    </x:row>
    <x:row r="707" ht="14.25" customHeight="1">
      <x:c r="A707" s="10"/>
      <x:c r="B707" s="10"/>
      <x:c r="C707" s="10"/>
      <x:c r="D707" s="10"/>
      <x:c r="E707" s="10"/>
      <x:c r="F707" s="10"/>
      <x:c r="G707" s="10"/>
      <x:c r="H707" s="10"/>
    </x:row>
    <x:row r="708" ht="14.25" customHeight="1">
      <x:c r="A708" s="10"/>
      <x:c r="B708" s="10"/>
      <x:c r="C708" s="10"/>
      <x:c r="D708" s="10"/>
      <x:c r="E708" s="10"/>
      <x:c r="F708" s="10"/>
      <x:c r="G708" s="10"/>
      <x:c r="H708" s="10"/>
    </x:row>
    <x:row r="709" ht="14.25" customHeight="1">
      <x:c r="A709" s="10"/>
      <x:c r="B709" s="10"/>
      <x:c r="C709" s="10"/>
      <x:c r="D709" s="10"/>
      <x:c r="E709" s="10"/>
      <x:c r="F709" s="10"/>
      <x:c r="G709" s="10"/>
      <x:c r="H709" s="10"/>
    </x:row>
    <x:row r="710" ht="14.25" customHeight="1">
      <x:c r="A710" s="10"/>
      <x:c r="B710" s="10"/>
      <x:c r="C710" s="10"/>
      <x:c r="D710" s="10"/>
      <x:c r="E710" s="10"/>
      <x:c r="F710" s="10"/>
      <x:c r="G710" s="10"/>
      <x:c r="H710" s="10"/>
    </x:row>
    <x:row r="711" ht="14.25" customHeight="1">
      <x:c r="A711" s="10"/>
      <x:c r="B711" s="10"/>
      <x:c r="C711" s="10"/>
      <x:c r="D711" s="10"/>
      <x:c r="E711" s="10"/>
      <x:c r="F711" s="10"/>
      <x:c r="G711" s="10"/>
      <x:c r="H711" s="10"/>
    </x:row>
    <x:row r="712" ht="14.25" customHeight="1">
      <x:c r="A712" s="10"/>
      <x:c r="B712" s="10"/>
      <x:c r="C712" s="10"/>
      <x:c r="D712" s="10"/>
      <x:c r="E712" s="10"/>
      <x:c r="F712" s="10"/>
      <x:c r="G712" s="10"/>
      <x:c r="H712" s="10"/>
    </x:row>
    <x:row r="713" ht="14.25" customHeight="1">
      <x:c r="A713" s="10"/>
      <x:c r="B713" s="10"/>
      <x:c r="C713" s="10"/>
      <x:c r="D713" s="10"/>
      <x:c r="E713" s="10"/>
      <x:c r="F713" s="10"/>
      <x:c r="G713" s="10"/>
      <x:c r="H713" s="10"/>
    </x:row>
    <x:row r="714" ht="14.25" customHeight="1">
      <x:c r="A714" s="10"/>
      <x:c r="B714" s="10"/>
      <x:c r="C714" s="10"/>
      <x:c r="D714" s="10"/>
      <x:c r="E714" s="10"/>
      <x:c r="F714" s="10"/>
      <x:c r="G714" s="10"/>
      <x:c r="H714" s="10"/>
    </x:row>
    <x:row r="715" ht="14.25" customHeight="1">
      <x:c r="A715" s="10"/>
      <x:c r="B715" s="10"/>
      <x:c r="C715" s="10"/>
      <x:c r="D715" s="10"/>
      <x:c r="E715" s="10"/>
      <x:c r="F715" s="10"/>
      <x:c r="G715" s="10"/>
      <x:c r="H715" s="10"/>
    </x:row>
    <x:row r="716" ht="14.25" customHeight="1">
      <x:c r="A716" s="10"/>
      <x:c r="B716" s="10"/>
      <x:c r="C716" s="10"/>
      <x:c r="D716" s="10"/>
      <x:c r="E716" s="10"/>
      <x:c r="F716" s="10"/>
      <x:c r="G716" s="10"/>
      <x:c r="H716" s="10"/>
    </x:row>
    <x:row r="717" ht="14.25" customHeight="1">
      <x:c r="A717" s="10"/>
      <x:c r="B717" s="10"/>
      <x:c r="C717" s="10"/>
      <x:c r="D717" s="10"/>
      <x:c r="E717" s="10"/>
      <x:c r="F717" s="10"/>
      <x:c r="G717" s="10"/>
      <x:c r="H717" s="10"/>
    </x:row>
    <x:row r="718" ht="14.25" customHeight="1">
      <x:c r="A718" s="10"/>
      <x:c r="B718" s="10"/>
      <x:c r="C718" s="10"/>
      <x:c r="D718" s="10"/>
      <x:c r="E718" s="10"/>
      <x:c r="F718" s="10"/>
      <x:c r="G718" s="10"/>
      <x:c r="H718" s="10"/>
    </x:row>
    <x:row r="719" ht="14.25" customHeight="1">
      <x:c r="A719" s="10"/>
      <x:c r="B719" s="10"/>
      <x:c r="C719" s="10"/>
      <x:c r="D719" s="10"/>
      <x:c r="E719" s="10"/>
      <x:c r="F719" s="10"/>
      <x:c r="G719" s="10"/>
      <x:c r="H719" s="10"/>
    </x:row>
    <x:row r="720" ht="14.25" customHeight="1">
      <x:c r="A720" s="10"/>
      <x:c r="B720" s="10"/>
      <x:c r="C720" s="10"/>
      <x:c r="D720" s="10"/>
      <x:c r="E720" s="10"/>
      <x:c r="F720" s="10"/>
      <x:c r="G720" s="10"/>
      <x:c r="H720" s="10"/>
    </x:row>
    <x:row r="721" ht="14.25" customHeight="1">
      <x:c r="A721" s="10"/>
      <x:c r="B721" s="10"/>
      <x:c r="C721" s="10"/>
      <x:c r="D721" s="10"/>
      <x:c r="E721" s="10"/>
      <x:c r="F721" s="10"/>
      <x:c r="G721" s="10"/>
      <x:c r="H721" s="10"/>
    </x:row>
    <x:row r="722" ht="14.25" customHeight="1">
      <x:c r="A722" s="10"/>
      <x:c r="B722" s="10"/>
      <x:c r="C722" s="10"/>
      <x:c r="D722" s="10"/>
      <x:c r="E722" s="10"/>
      <x:c r="F722" s="10"/>
      <x:c r="G722" s="10"/>
      <x:c r="H722" s="10"/>
    </x:row>
    <x:row r="723" ht="14.25" customHeight="1">
      <x:c r="A723" s="10"/>
      <x:c r="B723" s="10"/>
      <x:c r="C723" s="10"/>
      <x:c r="D723" s="10"/>
      <x:c r="E723" s="10"/>
      <x:c r="F723" s="10"/>
      <x:c r="G723" s="10"/>
      <x:c r="H723" s="10"/>
    </x:row>
    <x:row r="724" ht="14.25" customHeight="1">
      <x:c r="A724" s="10"/>
      <x:c r="B724" s="10"/>
      <x:c r="C724" s="10"/>
      <x:c r="D724" s="10"/>
      <x:c r="E724" s="10"/>
      <x:c r="F724" s="10"/>
      <x:c r="G724" s="10"/>
      <x:c r="H724" s="10"/>
    </x:row>
    <x:row r="725" ht="14.25" customHeight="1">
      <x:c r="A725" s="10"/>
      <x:c r="B725" s="10"/>
      <x:c r="C725" s="10"/>
      <x:c r="D725" s="10"/>
      <x:c r="E725" s="10"/>
      <x:c r="F725" s="10"/>
      <x:c r="G725" s="10"/>
      <x:c r="H725" s="10"/>
    </x:row>
    <x:row r="726" ht="14.25" customHeight="1">
      <x:c r="A726" s="10"/>
      <x:c r="B726" s="10"/>
      <x:c r="C726" s="10"/>
      <x:c r="D726" s="10"/>
      <x:c r="E726" s="10"/>
      <x:c r="F726" s="10"/>
      <x:c r="G726" s="10"/>
      <x:c r="H726" s="10"/>
    </x:row>
    <x:row r="727" ht="14.25" customHeight="1">
      <x:c r="A727" s="10"/>
      <x:c r="B727" s="10"/>
      <x:c r="C727" s="10"/>
      <x:c r="D727" s="10"/>
      <x:c r="E727" s="10"/>
      <x:c r="F727" s="10"/>
      <x:c r="G727" s="10"/>
      <x:c r="H727" s="10"/>
    </x:row>
    <x:row r="728" ht="14.25" customHeight="1">
      <x:c r="A728" s="10"/>
      <x:c r="B728" s="10"/>
      <x:c r="C728" s="10"/>
      <x:c r="D728" s="10"/>
      <x:c r="E728" s="10"/>
      <x:c r="F728" s="10"/>
      <x:c r="G728" s="10"/>
      <x:c r="H728" s="10"/>
    </x:row>
    <x:row r="729" ht="14.25" customHeight="1">
      <x:c r="A729" s="10"/>
      <x:c r="B729" s="10"/>
      <x:c r="C729" s="10"/>
      <x:c r="D729" s="10"/>
      <x:c r="E729" s="10"/>
      <x:c r="F729" s="10"/>
      <x:c r="G729" s="10"/>
      <x:c r="H729" s="10"/>
    </x:row>
    <x:row r="730" ht="14.25" customHeight="1">
      <x:c r="A730" s="10"/>
      <x:c r="B730" s="10"/>
      <x:c r="C730" s="10"/>
      <x:c r="D730" s="10"/>
      <x:c r="E730" s="10"/>
      <x:c r="F730" s="10"/>
      <x:c r="G730" s="10"/>
      <x:c r="H730" s="10"/>
    </x:row>
    <x:row r="731" ht="14.25" customHeight="1">
      <x:c r="A731" s="10"/>
      <x:c r="B731" s="10"/>
      <x:c r="C731" s="10"/>
      <x:c r="D731" s="10"/>
      <x:c r="E731" s="10"/>
      <x:c r="F731" s="10"/>
      <x:c r="G731" s="10"/>
      <x:c r="H731" s="10"/>
    </x:row>
    <x:row r="732" ht="14.25" customHeight="1">
      <x:c r="A732" s="10"/>
      <x:c r="B732" s="10"/>
      <x:c r="C732" s="10"/>
      <x:c r="D732" s="10"/>
      <x:c r="E732" s="10"/>
      <x:c r="F732" s="10"/>
      <x:c r="G732" s="10"/>
      <x:c r="H732" s="10"/>
    </x:row>
    <x:row r="733" ht="14.25" customHeight="1">
      <x:c r="A733" s="10"/>
      <x:c r="B733" s="10"/>
      <x:c r="C733" s="10"/>
      <x:c r="D733" s="10"/>
      <x:c r="E733" s="10"/>
      <x:c r="F733" s="10"/>
      <x:c r="G733" s="10"/>
      <x:c r="H733" s="10"/>
    </x:row>
    <x:row r="734" ht="14.25" customHeight="1">
      <x:c r="A734" s="10"/>
      <x:c r="B734" s="10"/>
      <x:c r="C734" s="10"/>
      <x:c r="D734" s="10"/>
      <x:c r="E734" s="10"/>
      <x:c r="F734" s="10"/>
      <x:c r="G734" s="10"/>
      <x:c r="H734" s="10"/>
    </x:row>
    <x:row r="735" ht="14.25" customHeight="1">
      <x:c r="A735" s="10"/>
      <x:c r="B735" s="10"/>
      <x:c r="C735" s="10"/>
      <x:c r="D735" s="10"/>
      <x:c r="E735" s="10"/>
      <x:c r="F735" s="10"/>
      <x:c r="G735" s="10"/>
      <x:c r="H735" s="10"/>
    </x:row>
    <x:row r="736" ht="14.25" customHeight="1">
      <x:c r="A736" s="10"/>
      <x:c r="B736" s="10"/>
      <x:c r="C736" s="10"/>
      <x:c r="D736" s="10"/>
      <x:c r="E736" s="10"/>
      <x:c r="F736" s="10"/>
      <x:c r="G736" s="10"/>
      <x:c r="H736" s="10"/>
    </x:row>
    <x:row r="737" ht="14.25" customHeight="1">
      <x:c r="A737" s="10"/>
      <x:c r="B737" s="10"/>
      <x:c r="C737" s="10"/>
      <x:c r="D737" s="10"/>
      <x:c r="E737" s="10"/>
      <x:c r="F737" s="10"/>
      <x:c r="G737" s="10"/>
      <x:c r="H737" s="10"/>
    </x:row>
    <x:row r="738" ht="14.25" customHeight="1">
      <x:c r="A738" s="10"/>
      <x:c r="B738" s="10"/>
      <x:c r="C738" s="10"/>
      <x:c r="D738" s="10"/>
      <x:c r="E738" s="10"/>
      <x:c r="F738" s="10"/>
      <x:c r="G738" s="10"/>
      <x:c r="H738" s="10"/>
    </x:row>
    <x:row r="739" ht="14.25" customHeight="1">
      <x:c r="A739" s="10"/>
      <x:c r="B739" s="10"/>
      <x:c r="C739" s="10"/>
      <x:c r="D739" s="10"/>
      <x:c r="E739" s="10"/>
      <x:c r="F739" s="10"/>
      <x:c r="G739" s="10"/>
      <x:c r="H739" s="10"/>
    </x:row>
    <x:row r="740" ht="14.25" customHeight="1">
      <x:c r="A740" s="10"/>
      <x:c r="B740" s="10"/>
      <x:c r="C740" s="10"/>
      <x:c r="D740" s="10"/>
      <x:c r="E740" s="10"/>
      <x:c r="F740" s="10"/>
      <x:c r="G740" s="10"/>
      <x:c r="H740" s="10"/>
    </x:row>
    <x:row r="741" ht="14.25" customHeight="1">
      <x:c r="A741" s="10"/>
      <x:c r="B741" s="10"/>
      <x:c r="C741" s="10"/>
      <x:c r="D741" s="10"/>
      <x:c r="E741" s="10"/>
      <x:c r="F741" s="10"/>
      <x:c r="G741" s="10"/>
      <x:c r="H741" s="10"/>
    </x:row>
    <x:row r="742" ht="14.25" customHeight="1">
      <x:c r="A742" s="10"/>
      <x:c r="B742" s="10"/>
      <x:c r="C742" s="10"/>
      <x:c r="D742" s="10"/>
      <x:c r="E742" s="10"/>
      <x:c r="F742" s="10"/>
      <x:c r="G742" s="10"/>
      <x:c r="H742" s="10"/>
    </x:row>
    <x:row r="743" ht="14.25" customHeight="1">
      <x:c r="A743" s="10"/>
      <x:c r="B743" s="10"/>
      <x:c r="C743" s="10"/>
      <x:c r="D743" s="10"/>
      <x:c r="E743" s="10"/>
      <x:c r="F743" s="10"/>
      <x:c r="G743" s="10"/>
      <x:c r="H743" s="10"/>
    </x:row>
    <x:row r="744" ht="14.25" customHeight="1">
      <x:c r="A744" s="10"/>
      <x:c r="B744" s="10"/>
      <x:c r="C744" s="10"/>
      <x:c r="D744" s="10"/>
      <x:c r="E744" s="10"/>
      <x:c r="F744" s="10"/>
      <x:c r="G744" s="10"/>
      <x:c r="H744" s="10"/>
    </x:row>
    <x:row r="745" ht="14.25" customHeight="1">
      <x:c r="A745" s="10"/>
      <x:c r="B745" s="10"/>
      <x:c r="C745" s="10"/>
      <x:c r="D745" s="10"/>
      <x:c r="E745" s="10"/>
      <x:c r="F745" s="10"/>
      <x:c r="G745" s="10"/>
      <x:c r="H745" s="10"/>
    </x:row>
    <x:row r="746" ht="14.25" customHeight="1">
      <x:c r="A746" s="10"/>
      <x:c r="B746" s="10"/>
      <x:c r="C746" s="10"/>
      <x:c r="D746" s="10"/>
      <x:c r="E746" s="10"/>
      <x:c r="F746" s="10"/>
      <x:c r="G746" s="10"/>
      <x:c r="H746" s="10"/>
    </x:row>
    <x:row r="747" ht="14.25" customHeight="1">
      <x:c r="A747" s="10"/>
      <x:c r="B747" s="10"/>
      <x:c r="C747" s="10"/>
      <x:c r="D747" s="10"/>
      <x:c r="E747" s="10"/>
      <x:c r="F747" s="10"/>
      <x:c r="G747" s="10"/>
      <x:c r="H747" s="10"/>
    </x:row>
    <x:row r="748" ht="14.25" customHeight="1">
      <x:c r="A748" s="10"/>
      <x:c r="B748" s="10"/>
      <x:c r="C748" s="10"/>
      <x:c r="D748" s="10"/>
      <x:c r="E748" s="10"/>
      <x:c r="F748" s="10"/>
      <x:c r="G748" s="10"/>
      <x:c r="H748" s="10"/>
    </x:row>
    <x:row r="749" ht="14.25" customHeight="1">
      <x:c r="A749" s="10"/>
      <x:c r="B749" s="10"/>
      <x:c r="C749" s="10"/>
      <x:c r="D749" s="10"/>
      <x:c r="E749" s="10"/>
      <x:c r="F749" s="10"/>
      <x:c r="G749" s="10"/>
      <x:c r="H749" s="10"/>
    </x:row>
    <x:row r="750" ht="14.25" customHeight="1">
      <x:c r="A750" s="10"/>
      <x:c r="B750" s="10"/>
      <x:c r="C750" s="10"/>
      <x:c r="D750" s="10"/>
      <x:c r="E750" s="10"/>
      <x:c r="F750" s="10"/>
      <x:c r="G750" s="10"/>
      <x:c r="H750" s="10"/>
    </x:row>
    <x:row r="751" ht="14.25" customHeight="1">
      <x:c r="A751" s="10"/>
      <x:c r="B751" s="10"/>
      <x:c r="C751" s="10"/>
      <x:c r="D751" s="10"/>
      <x:c r="E751" s="10"/>
      <x:c r="F751" s="10"/>
      <x:c r="G751" s="10"/>
      <x:c r="H751" s="10"/>
    </x:row>
    <x:row r="752" ht="14.25" customHeight="1">
      <x:c r="A752" s="10"/>
      <x:c r="B752" s="10"/>
      <x:c r="C752" s="10"/>
      <x:c r="D752" s="10"/>
      <x:c r="E752" s="10"/>
      <x:c r="F752" s="10"/>
      <x:c r="G752" s="10"/>
      <x:c r="H752" s="10"/>
    </x:row>
    <x:row r="753" ht="14.25" customHeight="1">
      <x:c r="A753" s="10"/>
      <x:c r="B753" s="10"/>
      <x:c r="C753" s="10"/>
      <x:c r="D753" s="10"/>
      <x:c r="E753" s="10"/>
      <x:c r="F753" s="10"/>
      <x:c r="G753" s="10"/>
      <x:c r="H753" s="10"/>
    </x:row>
    <x:row r="754" ht="14.25" customHeight="1">
      <x:c r="A754" s="10"/>
      <x:c r="B754" s="10"/>
      <x:c r="C754" s="10"/>
      <x:c r="D754" s="10"/>
      <x:c r="E754" s="10"/>
      <x:c r="F754" s="10"/>
      <x:c r="G754" s="10"/>
      <x:c r="H754" s="10"/>
    </x:row>
    <x:row r="755" ht="14.25" customHeight="1">
      <x:c r="A755" s="10"/>
      <x:c r="B755" s="10"/>
      <x:c r="C755" s="10"/>
      <x:c r="D755" s="10"/>
      <x:c r="E755" s="10"/>
      <x:c r="F755" s="10"/>
      <x:c r="G755" s="10"/>
      <x:c r="H755" s="10"/>
    </x:row>
    <x:row r="756" ht="14.25" customHeight="1">
      <x:c r="A756" s="10"/>
      <x:c r="B756" s="10"/>
      <x:c r="C756" s="10"/>
      <x:c r="D756" s="10"/>
      <x:c r="E756" s="10"/>
      <x:c r="F756" s="10"/>
      <x:c r="G756" s="10"/>
      <x:c r="H756" s="10"/>
    </x:row>
    <x:row r="757" ht="14.25" customHeight="1">
      <x:c r="A757" s="10"/>
      <x:c r="B757" s="10"/>
      <x:c r="C757" s="10"/>
      <x:c r="D757" s="10"/>
      <x:c r="E757" s="10"/>
      <x:c r="F757" s="10"/>
      <x:c r="G757" s="10"/>
      <x:c r="H757" s="10"/>
    </x:row>
    <x:row r="758" ht="14.25" customHeight="1">
      <x:c r="A758" s="10"/>
      <x:c r="B758" s="10"/>
      <x:c r="C758" s="10"/>
      <x:c r="D758" s="10"/>
      <x:c r="E758" s="10"/>
      <x:c r="F758" s="10"/>
      <x:c r="G758" s="10"/>
      <x:c r="H758" s="10"/>
    </x:row>
    <x:row r="759" ht="14.25" customHeight="1">
      <x:c r="A759" s="10"/>
      <x:c r="B759" s="10"/>
      <x:c r="C759" s="10"/>
      <x:c r="D759" s="10"/>
      <x:c r="E759" s="10"/>
      <x:c r="F759" s="10"/>
      <x:c r="G759" s="10"/>
      <x:c r="H759" s="10"/>
    </x:row>
    <x:row r="760" ht="14.25" customHeight="1">
      <x:c r="A760" s="10"/>
      <x:c r="B760" s="10"/>
      <x:c r="C760" s="10"/>
      <x:c r="D760" s="10"/>
      <x:c r="E760" s="10"/>
      <x:c r="F760" s="10"/>
      <x:c r="G760" s="10"/>
      <x:c r="H760" s="10"/>
    </x:row>
    <x:row r="761" ht="14.25" customHeight="1">
      <x:c r="A761" s="10"/>
      <x:c r="B761" s="10"/>
      <x:c r="C761" s="10"/>
      <x:c r="D761" s="10"/>
      <x:c r="E761" s="10"/>
      <x:c r="F761" s="10"/>
      <x:c r="G761" s="10"/>
      <x:c r="H761" s="10"/>
    </x:row>
    <x:row r="762" ht="14.25" customHeight="1">
      <x:c r="A762" s="10"/>
      <x:c r="B762" s="10"/>
      <x:c r="C762" s="10"/>
      <x:c r="D762" s="10"/>
      <x:c r="E762" s="10"/>
      <x:c r="F762" s="10"/>
      <x:c r="G762" s="10"/>
      <x:c r="H762" s="10"/>
    </x:row>
    <x:row r="763" ht="14.25" customHeight="1">
      <x:c r="A763" s="10"/>
      <x:c r="B763" s="10"/>
      <x:c r="C763" s="10"/>
      <x:c r="D763" s="10"/>
      <x:c r="E763" s="10"/>
      <x:c r="F763" s="10"/>
      <x:c r="G763" s="10"/>
      <x:c r="H763" s="10"/>
    </x:row>
    <x:row r="764" ht="14.25" customHeight="1">
      <x:c r="A764" s="10"/>
      <x:c r="B764" s="10"/>
      <x:c r="C764" s="10"/>
      <x:c r="D764" s="10"/>
      <x:c r="E764" s="10"/>
      <x:c r="F764" s="10"/>
      <x:c r="G764" s="10"/>
      <x:c r="H764" s="10"/>
    </x:row>
    <x:row r="765" ht="14.25" customHeight="1">
      <x:c r="A765" s="10"/>
      <x:c r="B765" s="10"/>
      <x:c r="C765" s="10"/>
      <x:c r="D765" s="10"/>
      <x:c r="E765" s="10"/>
      <x:c r="F765" s="10"/>
      <x:c r="G765" s="10"/>
      <x:c r="H765" s="10"/>
    </x:row>
    <x:row r="766" ht="14.25" customHeight="1">
      <x:c r="A766" s="10"/>
      <x:c r="B766" s="10"/>
      <x:c r="C766" s="10"/>
      <x:c r="D766" s="10"/>
      <x:c r="E766" s="10"/>
      <x:c r="F766" s="10"/>
      <x:c r="G766" s="10"/>
      <x:c r="H766" s="10"/>
    </x:row>
    <x:row r="767" ht="14.25" customHeight="1">
      <x:c r="A767" s="10"/>
      <x:c r="B767" s="10"/>
      <x:c r="C767" s="10"/>
      <x:c r="D767" s="10"/>
      <x:c r="E767" s="10"/>
      <x:c r="F767" s="10"/>
      <x:c r="G767" s="10"/>
      <x:c r="H767" s="10"/>
    </x:row>
    <x:row r="768" ht="14.25" customHeight="1">
      <x:c r="A768" s="10"/>
      <x:c r="B768" s="10"/>
      <x:c r="C768" s="10"/>
      <x:c r="D768" s="10"/>
      <x:c r="E768" s="10"/>
      <x:c r="F768" s="10"/>
      <x:c r="G768" s="10"/>
      <x:c r="H768" s="10"/>
    </x:row>
    <x:row r="769" ht="14.25" customHeight="1">
      <x:c r="A769" s="10"/>
      <x:c r="B769" s="10"/>
      <x:c r="C769" s="10"/>
      <x:c r="D769" s="10"/>
      <x:c r="E769" s="10"/>
      <x:c r="F769" s="10"/>
      <x:c r="G769" s="10"/>
      <x:c r="H769" s="10"/>
    </x:row>
    <x:row r="770" ht="14.25" customHeight="1">
      <x:c r="A770" s="10"/>
      <x:c r="B770" s="10"/>
      <x:c r="C770" s="10"/>
      <x:c r="D770" s="10"/>
      <x:c r="E770" s="10"/>
      <x:c r="F770" s="10"/>
      <x:c r="G770" s="10"/>
      <x:c r="H770" s="10"/>
    </x:row>
    <x:row r="771" ht="14.25" customHeight="1">
      <x:c r="A771" s="10"/>
      <x:c r="B771" s="10"/>
      <x:c r="C771" s="10"/>
      <x:c r="D771" s="10"/>
      <x:c r="E771" s="10"/>
      <x:c r="F771" s="10"/>
      <x:c r="G771" s="10"/>
      <x:c r="H771" s="10"/>
    </x:row>
    <x:row r="772" ht="14.25" customHeight="1">
      <x:c r="A772" s="10"/>
      <x:c r="B772" s="10"/>
      <x:c r="C772" s="10"/>
      <x:c r="D772" s="10"/>
      <x:c r="E772" s="10"/>
      <x:c r="F772" s="10"/>
      <x:c r="G772" s="10"/>
      <x:c r="H772" s="10"/>
    </x:row>
    <x:row r="773" ht="14.25" customHeight="1">
      <x:c r="A773" s="10"/>
      <x:c r="B773" s="10"/>
      <x:c r="C773" s="10"/>
      <x:c r="D773" s="10"/>
      <x:c r="E773" s="10"/>
      <x:c r="F773" s="10"/>
      <x:c r="G773" s="10"/>
      <x:c r="H773" s="10"/>
    </x:row>
    <x:row r="774" ht="14.25" customHeight="1">
      <x:c r="A774" s="10"/>
      <x:c r="B774" s="10"/>
      <x:c r="C774" s="10"/>
      <x:c r="D774" s="10"/>
      <x:c r="E774" s="10"/>
      <x:c r="F774" s="10"/>
      <x:c r="G774" s="10"/>
      <x:c r="H774" s="10"/>
    </x:row>
    <x:row r="775" ht="14.25" customHeight="1">
      <x:c r="A775" s="10"/>
      <x:c r="B775" s="10"/>
      <x:c r="C775" s="10"/>
      <x:c r="D775" s="10"/>
      <x:c r="E775" s="10"/>
      <x:c r="F775" s="10"/>
      <x:c r="G775" s="10"/>
      <x:c r="H775" s="10"/>
    </x:row>
    <x:row r="776" ht="14.25" customHeight="1">
      <x:c r="A776" s="10"/>
      <x:c r="B776" s="10"/>
      <x:c r="C776" s="10"/>
      <x:c r="D776" s="10"/>
      <x:c r="E776" s="10"/>
      <x:c r="F776" s="10"/>
      <x:c r="G776" s="10"/>
      <x:c r="H776" s="10"/>
    </x:row>
    <x:row r="777" ht="14.25" customHeight="1">
      <x:c r="A777" s="10"/>
      <x:c r="B777" s="10"/>
      <x:c r="C777" s="10"/>
      <x:c r="D777" s="10"/>
      <x:c r="E777" s="10"/>
      <x:c r="F777" s="10"/>
      <x:c r="G777" s="10"/>
      <x:c r="H777" s="10"/>
    </x:row>
    <x:row r="778" ht="14.25" customHeight="1">
      <x:c r="A778" s="10"/>
      <x:c r="B778" s="10"/>
      <x:c r="C778" s="10"/>
      <x:c r="D778" s="10"/>
      <x:c r="E778" s="10"/>
      <x:c r="F778" s="10"/>
      <x:c r="G778" s="10"/>
      <x:c r="H778" s="10"/>
    </x:row>
    <x:row r="779" ht="14.25" customHeight="1">
      <x:c r="A779" s="10"/>
      <x:c r="B779" s="10"/>
      <x:c r="C779" s="10"/>
      <x:c r="D779" s="10"/>
      <x:c r="E779" s="10"/>
      <x:c r="F779" s="10"/>
      <x:c r="G779" s="10"/>
      <x:c r="H779" s="10"/>
    </x:row>
    <x:row r="780" ht="14.25" customHeight="1">
      <x:c r="A780" s="10"/>
      <x:c r="B780" s="10"/>
      <x:c r="C780" s="10"/>
      <x:c r="D780" s="10"/>
      <x:c r="E780" s="10"/>
      <x:c r="F780" s="10"/>
      <x:c r="G780" s="10"/>
      <x:c r="H780" s="10"/>
    </x:row>
    <x:row r="781" ht="14.25" customHeight="1">
      <x:c r="A781" s="10"/>
      <x:c r="B781" s="10"/>
      <x:c r="C781" s="10"/>
      <x:c r="D781" s="10"/>
      <x:c r="E781" s="10"/>
      <x:c r="F781" s="10"/>
      <x:c r="G781" s="10"/>
      <x:c r="H781" s="10"/>
    </x:row>
    <x:row r="782" ht="14.25" customHeight="1">
      <x:c r="A782" s="10"/>
      <x:c r="B782" s="10"/>
      <x:c r="C782" s="10"/>
      <x:c r="D782" s="10"/>
      <x:c r="E782" s="10"/>
      <x:c r="F782" s="10"/>
      <x:c r="G782" s="10"/>
      <x:c r="H782" s="10"/>
    </x:row>
    <x:row r="783" ht="14.25" customHeight="1">
      <x:c r="A783" s="10"/>
      <x:c r="B783" s="10"/>
      <x:c r="C783" s="10"/>
      <x:c r="D783" s="10"/>
      <x:c r="E783" s="10"/>
      <x:c r="F783" s="10"/>
      <x:c r="G783" s="10"/>
      <x:c r="H783" s="10"/>
    </x:row>
    <x:row r="784" ht="14.25" customHeight="1">
      <x:c r="A784" s="10"/>
      <x:c r="B784" s="10"/>
      <x:c r="C784" s="10"/>
      <x:c r="D784" s="10"/>
      <x:c r="E784" s="10"/>
      <x:c r="F784" s="10"/>
      <x:c r="G784" s="10"/>
      <x:c r="H784" s="10"/>
    </x:row>
    <x:row r="785" ht="14.25" customHeight="1">
      <x:c r="A785" s="10"/>
      <x:c r="B785" s="10"/>
      <x:c r="C785" s="10"/>
      <x:c r="D785" s="10"/>
      <x:c r="E785" s="10"/>
      <x:c r="F785" s="10"/>
      <x:c r="G785" s="10"/>
      <x:c r="H785" s="10"/>
    </x:row>
    <x:row r="786" ht="14.25" customHeight="1">
      <x:c r="A786" s="10"/>
      <x:c r="B786" s="10"/>
      <x:c r="C786" s="10"/>
      <x:c r="D786" s="10"/>
      <x:c r="E786" s="10"/>
      <x:c r="F786" s="10"/>
      <x:c r="G786" s="10"/>
      <x:c r="H786" s="10"/>
    </x:row>
    <x:row r="787" ht="14.25" customHeight="1">
      <x:c r="A787" s="10"/>
      <x:c r="B787" s="10"/>
      <x:c r="C787" s="10"/>
      <x:c r="D787" s="10"/>
      <x:c r="E787" s="10"/>
      <x:c r="F787" s="10"/>
      <x:c r="G787" s="10"/>
      <x:c r="H787" s="10"/>
    </x:row>
    <x:row r="788" ht="14.25" customHeight="1">
      <x:c r="A788" s="10"/>
      <x:c r="B788" s="10"/>
      <x:c r="C788" s="10"/>
      <x:c r="D788" s="10"/>
      <x:c r="E788" s="10"/>
      <x:c r="F788" s="10"/>
      <x:c r="G788" s="10"/>
      <x:c r="H788" s="10"/>
    </x:row>
    <x:row r="789" ht="14.25" customHeight="1">
      <x:c r="A789" s="10"/>
      <x:c r="B789" s="10"/>
      <x:c r="C789" s="10"/>
      <x:c r="D789" s="10"/>
      <x:c r="E789" s="10"/>
      <x:c r="F789" s="10"/>
      <x:c r="G789" s="10"/>
      <x:c r="H789" s="10"/>
    </x:row>
    <x:row r="790" ht="14.25" customHeight="1">
      <x:c r="A790" s="10"/>
      <x:c r="B790" s="10"/>
      <x:c r="C790" s="10"/>
      <x:c r="D790" s="10"/>
      <x:c r="E790" s="10"/>
      <x:c r="F790" s="10"/>
      <x:c r="G790" s="10"/>
      <x:c r="H790" s="10"/>
    </x:row>
    <x:row r="791" ht="14.25" customHeight="1">
      <x:c r="A791" s="10"/>
      <x:c r="B791" s="10"/>
      <x:c r="C791" s="10"/>
      <x:c r="D791" s="10"/>
      <x:c r="E791" s="10"/>
      <x:c r="F791" s="10"/>
      <x:c r="G791" s="10"/>
      <x:c r="H791" s="10"/>
    </x:row>
    <x:row r="792" ht="14.25" customHeight="1">
      <x:c r="A792" s="10"/>
      <x:c r="B792" s="10"/>
      <x:c r="C792" s="10"/>
      <x:c r="D792" s="10"/>
      <x:c r="E792" s="10"/>
      <x:c r="F792" s="10"/>
      <x:c r="G792" s="10"/>
      <x:c r="H792" s="10"/>
    </x:row>
    <x:row r="793" ht="14.25" customHeight="1">
      <x:c r="A793" s="10"/>
      <x:c r="B793" s="10"/>
      <x:c r="C793" s="10"/>
      <x:c r="D793" s="10"/>
      <x:c r="E793" s="10"/>
      <x:c r="F793" s="10"/>
      <x:c r="G793" s="10"/>
      <x:c r="H793" s="10"/>
    </x:row>
    <x:row r="794" ht="14.25" customHeight="1">
      <x:c r="A794" s="10"/>
      <x:c r="B794" s="10"/>
      <x:c r="C794" s="10"/>
      <x:c r="D794" s="10"/>
      <x:c r="E794" s="10"/>
      <x:c r="F794" s="10"/>
      <x:c r="G794" s="10"/>
      <x:c r="H794" s="10"/>
    </x:row>
    <x:row r="795" ht="14.25" customHeight="1">
      <x:c r="A795" s="10"/>
      <x:c r="B795" s="10"/>
      <x:c r="C795" s="10"/>
      <x:c r="D795" s="10"/>
      <x:c r="E795" s="10"/>
      <x:c r="F795" s="10"/>
      <x:c r="G795" s="10"/>
      <x:c r="H795" s="10"/>
    </x:row>
    <x:row r="796" ht="14.25" customHeight="1">
      <x:c r="A796" s="10"/>
      <x:c r="B796" s="10"/>
      <x:c r="C796" s="10"/>
      <x:c r="D796" s="10"/>
      <x:c r="E796" s="10"/>
      <x:c r="F796" s="10"/>
      <x:c r="G796" s="10"/>
      <x:c r="H796" s="10"/>
    </x:row>
    <x:row r="797" ht="14.25" customHeight="1">
      <x:c r="A797" s="10"/>
      <x:c r="B797" s="10"/>
      <x:c r="C797" s="10"/>
      <x:c r="D797" s="10"/>
      <x:c r="E797" s="10"/>
      <x:c r="F797" s="10"/>
      <x:c r="G797" s="10"/>
      <x:c r="H797" s="10"/>
    </x:row>
    <x:row r="798" ht="14.25" customHeight="1">
      <x:c r="A798" s="10"/>
      <x:c r="B798" s="10"/>
      <x:c r="C798" s="10"/>
      <x:c r="D798" s="10"/>
      <x:c r="E798" s="10"/>
      <x:c r="F798" s="10"/>
      <x:c r="G798" s="10"/>
      <x:c r="H798" s="10"/>
    </x:row>
    <x:row r="799" ht="14.25" customHeight="1">
      <x:c r="A799" s="10"/>
      <x:c r="B799" s="10"/>
      <x:c r="C799" s="10"/>
      <x:c r="D799" s="10"/>
      <x:c r="E799" s="10"/>
      <x:c r="F799" s="10"/>
      <x:c r="G799" s="10"/>
      <x:c r="H799" s="10"/>
    </x:row>
    <x:row r="800" ht="14.25" customHeight="1">
      <x:c r="A800" s="10"/>
      <x:c r="B800" s="10"/>
      <x:c r="C800" s="10"/>
      <x:c r="D800" s="10"/>
      <x:c r="E800" s="10"/>
      <x:c r="F800" s="10"/>
      <x:c r="G800" s="10"/>
      <x:c r="H800" s="10"/>
    </x:row>
    <x:row r="801" ht="14.25" customHeight="1">
      <x:c r="A801" s="10"/>
      <x:c r="B801" s="10"/>
      <x:c r="C801" s="10"/>
      <x:c r="D801" s="10"/>
      <x:c r="E801" s="10"/>
      <x:c r="F801" s="10"/>
      <x:c r="G801" s="10"/>
      <x:c r="H801" s="10"/>
    </x:row>
    <x:row r="802" ht="14.25" customHeight="1">
      <x:c r="A802" s="10"/>
      <x:c r="B802" s="10"/>
      <x:c r="C802" s="10"/>
      <x:c r="D802" s="10"/>
      <x:c r="E802" s="10"/>
      <x:c r="F802" s="10"/>
      <x:c r="G802" s="10"/>
      <x:c r="H802" s="10"/>
    </x:row>
    <x:row r="803" ht="14.25" customHeight="1">
      <x:c r="A803" s="10"/>
      <x:c r="B803" s="10"/>
      <x:c r="C803" s="10"/>
      <x:c r="D803" s="10"/>
      <x:c r="E803" s="10"/>
      <x:c r="F803" s="10"/>
      <x:c r="G803" s="10"/>
      <x:c r="H803" s="10"/>
    </x:row>
    <x:row r="804" ht="14.25" customHeight="1">
      <x:c r="A804" s="10"/>
      <x:c r="B804" s="10"/>
      <x:c r="C804" s="10"/>
      <x:c r="D804" s="10"/>
      <x:c r="E804" s="10"/>
      <x:c r="F804" s="10"/>
      <x:c r="G804" s="10"/>
      <x:c r="H804" s="10"/>
    </x:row>
    <x:row r="805" ht="14.25" customHeight="1">
      <x:c r="A805" s="10"/>
      <x:c r="B805" s="10"/>
      <x:c r="C805" s="10"/>
      <x:c r="D805" s="10"/>
      <x:c r="E805" s="10"/>
      <x:c r="F805" s="10"/>
      <x:c r="G805" s="10"/>
      <x:c r="H805" s="10"/>
    </x:row>
    <x:row r="806" ht="14.25" customHeight="1">
      <x:c r="A806" s="10"/>
      <x:c r="B806" s="10"/>
      <x:c r="C806" s="10"/>
      <x:c r="D806" s="10"/>
      <x:c r="E806" s="10"/>
      <x:c r="F806" s="10"/>
      <x:c r="G806" s="10"/>
      <x:c r="H806" s="10"/>
    </x:row>
    <x:row r="807" ht="14.25" customHeight="1">
      <x:c r="A807" s="10"/>
      <x:c r="B807" s="10"/>
      <x:c r="C807" s="10"/>
      <x:c r="D807" s="10"/>
      <x:c r="E807" s="10"/>
      <x:c r="F807" s="10"/>
      <x:c r="G807" s="10"/>
      <x:c r="H807" s="10"/>
    </x:row>
    <x:row r="808" ht="14.25" customHeight="1">
      <x:c r="A808" s="10"/>
      <x:c r="B808" s="10"/>
      <x:c r="C808" s="10"/>
      <x:c r="D808" s="10"/>
      <x:c r="E808" s="10"/>
      <x:c r="F808" s="10"/>
      <x:c r="G808" s="10"/>
      <x:c r="H808" s="10"/>
    </x:row>
    <x:row r="809" ht="14.25" customHeight="1">
      <x:c r="A809" s="10"/>
      <x:c r="B809" s="10"/>
      <x:c r="C809" s="10"/>
      <x:c r="D809" s="10"/>
      <x:c r="E809" s="10"/>
      <x:c r="F809" s="10"/>
      <x:c r="G809" s="10"/>
      <x:c r="H809" s="10"/>
    </x:row>
    <x:row r="810" ht="14.25" customHeight="1">
      <x:c r="A810" s="10"/>
      <x:c r="B810" s="10"/>
      <x:c r="C810" s="10"/>
      <x:c r="D810" s="10"/>
      <x:c r="E810" s="10"/>
      <x:c r="F810" s="10"/>
      <x:c r="G810" s="10"/>
      <x:c r="H810" s="10"/>
    </x:row>
    <x:row r="811" ht="14.25" customHeight="1">
      <x:c r="A811" s="10"/>
      <x:c r="B811" s="10"/>
      <x:c r="C811" s="10"/>
      <x:c r="D811" s="10"/>
      <x:c r="E811" s="10"/>
      <x:c r="F811" s="10"/>
      <x:c r="G811" s="10"/>
      <x:c r="H811" s="10"/>
    </x:row>
    <x:row r="812" ht="14.25" customHeight="1">
      <x:c r="A812" s="10"/>
      <x:c r="B812" s="10"/>
      <x:c r="C812" s="10"/>
      <x:c r="D812" s="10"/>
      <x:c r="E812" s="10"/>
      <x:c r="F812" s="10"/>
      <x:c r="G812" s="10"/>
      <x:c r="H812" s="10"/>
    </x:row>
    <x:row r="813" ht="14.25" customHeight="1">
      <x:c r="A813" s="10"/>
      <x:c r="B813" s="10"/>
      <x:c r="C813" s="10"/>
      <x:c r="D813" s="10"/>
      <x:c r="E813" s="10"/>
      <x:c r="F813" s="10"/>
      <x:c r="G813" s="10"/>
      <x:c r="H813" s="10"/>
    </x:row>
    <x:row r="814" ht="14.25" customHeight="1">
      <x:c r="A814" s="10"/>
      <x:c r="B814" s="10"/>
      <x:c r="C814" s="10"/>
      <x:c r="D814" s="10"/>
      <x:c r="E814" s="10"/>
      <x:c r="F814" s="10"/>
      <x:c r="G814" s="10"/>
      <x:c r="H814" s="10"/>
    </x:row>
    <x:row r="815" ht="14.25" customHeight="1">
      <x:c r="A815" s="10"/>
      <x:c r="B815" s="10"/>
      <x:c r="C815" s="10"/>
      <x:c r="D815" s="10"/>
      <x:c r="E815" s="10"/>
      <x:c r="F815" s="10"/>
      <x:c r="G815" s="10"/>
      <x:c r="H815" s="10"/>
    </x:row>
    <x:row r="816" ht="14.25" customHeight="1">
      <x:c r="A816" s="10"/>
      <x:c r="B816" s="10"/>
      <x:c r="C816" s="10"/>
      <x:c r="D816" s="10"/>
      <x:c r="E816" s="10"/>
      <x:c r="F816" s="10"/>
      <x:c r="G816" s="10"/>
      <x:c r="H816" s="10"/>
    </x:row>
    <x:row r="817" ht="14.25" customHeight="1">
      <x:c r="A817" s="10"/>
      <x:c r="B817" s="10"/>
      <x:c r="C817" s="10"/>
      <x:c r="D817" s="10"/>
      <x:c r="E817" s="10"/>
      <x:c r="F817" s="10"/>
      <x:c r="G817" s="10"/>
      <x:c r="H817" s="10"/>
    </x:row>
    <x:row r="818" ht="14.25" customHeight="1">
      <x:c r="A818" s="10"/>
      <x:c r="B818" s="10"/>
      <x:c r="C818" s="10"/>
      <x:c r="D818" s="10"/>
      <x:c r="E818" s="10"/>
      <x:c r="F818" s="10"/>
      <x:c r="G818" s="10"/>
      <x:c r="H818" s="10"/>
    </x:row>
    <x:row r="819" ht="14.25" customHeight="1">
      <x:c r="A819" s="10"/>
      <x:c r="B819" s="10"/>
      <x:c r="C819" s="10"/>
      <x:c r="D819" s="10"/>
      <x:c r="E819" s="10"/>
      <x:c r="F819" s="10"/>
      <x:c r="G819" s="10"/>
      <x:c r="H819" s="10"/>
    </x:row>
    <x:row r="820" ht="14.25" customHeight="1">
      <x:c r="A820" s="10"/>
      <x:c r="B820" s="10"/>
      <x:c r="C820" s="10"/>
      <x:c r="D820" s="10"/>
      <x:c r="E820" s="10"/>
      <x:c r="F820" s="10"/>
      <x:c r="G820" s="10"/>
      <x:c r="H820" s="10"/>
    </x:row>
    <x:row r="821" ht="14.25" customHeight="1">
      <x:c r="A821" s="10"/>
      <x:c r="B821" s="10"/>
      <x:c r="C821" s="10"/>
      <x:c r="D821" s="10"/>
      <x:c r="E821" s="10"/>
      <x:c r="F821" s="10"/>
      <x:c r="G821" s="10"/>
      <x:c r="H821" s="10"/>
    </x:row>
    <x:row r="822" ht="14.25" customHeight="1">
      <x:c r="A822" s="10"/>
      <x:c r="B822" s="10"/>
      <x:c r="C822" s="10"/>
      <x:c r="D822" s="10"/>
      <x:c r="E822" s="10"/>
      <x:c r="F822" s="10"/>
      <x:c r="G822" s="10"/>
      <x:c r="H822" s="10"/>
    </x:row>
    <x:row r="823" ht="14.25" customHeight="1">
      <x:c r="A823" s="10"/>
      <x:c r="B823" s="10"/>
      <x:c r="C823" s="10"/>
      <x:c r="D823" s="10"/>
      <x:c r="E823" s="10"/>
      <x:c r="F823" s="10"/>
      <x:c r="G823" s="10"/>
      <x:c r="H823" s="10"/>
    </x:row>
    <x:row r="824" ht="14.25" customHeight="1">
      <x:c r="A824" s="10"/>
      <x:c r="B824" s="10"/>
      <x:c r="C824" s="10"/>
      <x:c r="D824" s="10"/>
      <x:c r="E824" s="10"/>
      <x:c r="F824" s="10"/>
      <x:c r="G824" s="10"/>
      <x:c r="H824" s="10"/>
    </x:row>
    <x:row r="825" ht="14.25" customHeight="1">
      <x:c r="A825" s="10"/>
      <x:c r="B825" s="10"/>
      <x:c r="C825" s="10"/>
      <x:c r="D825" s="10"/>
      <x:c r="E825" s="10"/>
      <x:c r="F825" s="10"/>
      <x:c r="G825" s="10"/>
      <x:c r="H825" s="10"/>
    </x:row>
    <x:row r="826" ht="14.25" customHeight="1">
      <x:c r="A826" s="10"/>
      <x:c r="B826" s="10"/>
      <x:c r="C826" s="10"/>
      <x:c r="D826" s="10"/>
      <x:c r="E826" s="10"/>
      <x:c r="F826" s="10"/>
      <x:c r="G826" s="10"/>
      <x:c r="H826" s="10"/>
    </x:row>
    <x:row r="827" ht="14.25" customHeight="1">
      <x:c r="A827" s="10"/>
      <x:c r="B827" s="10"/>
      <x:c r="C827" s="10"/>
      <x:c r="D827" s="10"/>
      <x:c r="E827" s="10"/>
      <x:c r="F827" s="10"/>
      <x:c r="G827" s="10"/>
      <x:c r="H827" s="10"/>
    </x:row>
    <x:row r="828" ht="14.25" customHeight="1">
      <x:c r="A828" s="10"/>
      <x:c r="B828" s="10"/>
      <x:c r="C828" s="10"/>
      <x:c r="D828" s="10"/>
      <x:c r="E828" s="10"/>
      <x:c r="F828" s="10"/>
      <x:c r="G828" s="10"/>
      <x:c r="H828" s="10"/>
    </x:row>
    <x:row r="829" ht="14.25" customHeight="1">
      <x:c r="A829" s="10"/>
      <x:c r="B829" s="10"/>
      <x:c r="C829" s="10"/>
      <x:c r="D829" s="10"/>
      <x:c r="E829" s="10"/>
      <x:c r="F829" s="10"/>
      <x:c r="G829" s="10"/>
      <x:c r="H829" s="10"/>
    </x:row>
    <x:row r="830" ht="14.25" customHeight="1">
      <x:c r="A830" s="10"/>
      <x:c r="B830" s="10"/>
      <x:c r="C830" s="10"/>
      <x:c r="D830" s="10"/>
      <x:c r="E830" s="10"/>
      <x:c r="F830" s="10"/>
      <x:c r="G830" s="10"/>
      <x:c r="H830" s="10"/>
    </x:row>
    <x:row r="831" ht="14.25" customHeight="1">
      <x:c r="A831" s="10"/>
      <x:c r="B831" s="10"/>
      <x:c r="C831" s="10"/>
      <x:c r="D831" s="10"/>
      <x:c r="E831" s="10"/>
      <x:c r="F831" s="10"/>
      <x:c r="G831" s="10"/>
      <x:c r="H831" s="10"/>
    </x:row>
    <x:row r="832" ht="14.25" customHeight="1">
      <x:c r="A832" s="10"/>
      <x:c r="B832" s="10"/>
      <x:c r="C832" s="10"/>
      <x:c r="D832" s="10"/>
      <x:c r="E832" s="10"/>
      <x:c r="F832" s="10"/>
      <x:c r="G832" s="10"/>
      <x:c r="H832" s="10"/>
    </x:row>
    <x:row r="833" ht="14.25" customHeight="1">
      <x:c r="A833" s="10"/>
      <x:c r="B833" s="10"/>
      <x:c r="C833" s="10"/>
      <x:c r="D833" s="10"/>
      <x:c r="E833" s="10"/>
      <x:c r="F833" s="10"/>
      <x:c r="G833" s="10"/>
      <x:c r="H833" s="10"/>
    </x:row>
    <x:row r="834" ht="14.25" customHeight="1">
      <x:c r="A834" s="10"/>
      <x:c r="B834" s="10"/>
      <x:c r="C834" s="10"/>
      <x:c r="D834" s="10"/>
      <x:c r="E834" s="10"/>
      <x:c r="F834" s="10"/>
      <x:c r="G834" s="10"/>
      <x:c r="H834" s="10"/>
    </x:row>
    <x:row r="835" ht="14.25" customHeight="1">
      <x:c r="A835" s="10"/>
      <x:c r="B835" s="10"/>
      <x:c r="C835" s="10"/>
      <x:c r="D835" s="10"/>
      <x:c r="E835" s="10"/>
      <x:c r="F835" s="10"/>
      <x:c r="G835" s="10"/>
      <x:c r="H835" s="10"/>
    </x:row>
    <x:row r="836" ht="14.25" customHeight="1">
      <x:c r="A836" s="10"/>
      <x:c r="B836" s="10"/>
      <x:c r="C836" s="10"/>
      <x:c r="D836" s="10"/>
      <x:c r="E836" s="10"/>
      <x:c r="F836" s="10"/>
      <x:c r="G836" s="10"/>
      <x:c r="H836" s="10"/>
    </x:row>
    <x:row r="837" ht="14.25" customHeight="1">
      <x:c r="A837" s="10"/>
      <x:c r="B837" s="10"/>
      <x:c r="C837" s="10"/>
      <x:c r="D837" s="10"/>
      <x:c r="E837" s="10"/>
      <x:c r="F837" s="10"/>
      <x:c r="G837" s="10"/>
      <x:c r="H837" s="10"/>
    </x:row>
    <x:row r="838" ht="14.25" customHeight="1">
      <x:c r="A838" s="10"/>
      <x:c r="B838" s="10"/>
      <x:c r="C838" s="10"/>
      <x:c r="D838" s="10"/>
      <x:c r="E838" s="10"/>
      <x:c r="F838" s="10"/>
      <x:c r="G838" s="10"/>
      <x:c r="H838" s="10"/>
    </x:row>
    <x:row r="839" ht="14.25" customHeight="1">
      <x:c r="A839" s="10"/>
      <x:c r="B839" s="10"/>
      <x:c r="C839" s="10"/>
      <x:c r="D839" s="10"/>
      <x:c r="E839" s="10"/>
      <x:c r="F839" s="10"/>
      <x:c r="G839" s="10"/>
      <x:c r="H839" s="10"/>
    </x:row>
    <x:row r="840" ht="14.25" customHeight="1">
      <x:c r="A840" s="10"/>
      <x:c r="B840" s="10"/>
      <x:c r="C840" s="10"/>
      <x:c r="D840" s="10"/>
      <x:c r="E840" s="10"/>
      <x:c r="F840" s="10"/>
      <x:c r="G840" s="10"/>
      <x:c r="H840" s="10"/>
    </x:row>
    <x:row r="841" ht="14.25" customHeight="1">
      <x:c r="A841" s="10"/>
      <x:c r="B841" s="10"/>
      <x:c r="C841" s="10"/>
      <x:c r="D841" s="10"/>
      <x:c r="E841" s="10"/>
      <x:c r="F841" s="10"/>
      <x:c r="G841" s="10"/>
      <x:c r="H841" s="10"/>
    </x:row>
    <x:row r="842" ht="14.25" customHeight="1">
      <x:c r="A842" s="10"/>
      <x:c r="B842" s="10"/>
      <x:c r="C842" s="10"/>
      <x:c r="D842" s="10"/>
      <x:c r="E842" s="10"/>
      <x:c r="F842" s="10"/>
      <x:c r="G842" s="10"/>
      <x:c r="H842" s="10"/>
    </x:row>
    <x:row r="843" ht="14.25" customHeight="1">
      <x:c r="A843" s="10"/>
      <x:c r="B843" s="10"/>
      <x:c r="C843" s="10"/>
      <x:c r="D843" s="10"/>
      <x:c r="E843" s="10"/>
      <x:c r="F843" s="10"/>
      <x:c r="G843" s="10"/>
      <x:c r="H843" s="10"/>
    </x:row>
    <x:row r="844" ht="14.25" customHeight="1">
      <x:c r="A844" s="10"/>
      <x:c r="B844" s="10"/>
      <x:c r="C844" s="10"/>
      <x:c r="D844" s="10"/>
      <x:c r="E844" s="10"/>
      <x:c r="F844" s="10"/>
      <x:c r="G844" s="10"/>
      <x:c r="H844" s="10"/>
    </x:row>
    <x:row r="845" ht="14.25" customHeight="1">
      <x:c r="A845" s="10"/>
      <x:c r="B845" s="10"/>
      <x:c r="C845" s="10"/>
      <x:c r="D845" s="10"/>
      <x:c r="E845" s="10"/>
      <x:c r="F845" s="10"/>
      <x:c r="G845" s="10"/>
      <x:c r="H845" s="10"/>
    </x:row>
    <x:row r="846" ht="14.25" customHeight="1">
      <x:c r="A846" s="10"/>
      <x:c r="B846" s="10"/>
      <x:c r="C846" s="10"/>
      <x:c r="D846" s="10"/>
      <x:c r="E846" s="10"/>
      <x:c r="F846" s="10"/>
      <x:c r="G846" s="10"/>
      <x:c r="H846" s="10"/>
    </x:row>
    <x:row r="847" ht="14.25" customHeight="1">
      <x:c r="A847" s="10"/>
      <x:c r="B847" s="10"/>
      <x:c r="C847" s="10"/>
      <x:c r="D847" s="10"/>
      <x:c r="E847" s="10"/>
      <x:c r="F847" s="10"/>
      <x:c r="G847" s="10"/>
      <x:c r="H847" s="10"/>
    </x:row>
    <x:row r="848" ht="14.25" customHeight="1">
      <x:c r="A848" s="10"/>
      <x:c r="B848" s="10"/>
      <x:c r="C848" s="10"/>
      <x:c r="D848" s="10"/>
      <x:c r="E848" s="10"/>
      <x:c r="F848" s="10"/>
      <x:c r="G848" s="10"/>
      <x:c r="H848" s="10"/>
    </x:row>
    <x:row r="849" ht="14.25" customHeight="1">
      <x:c r="A849" s="10"/>
      <x:c r="B849" s="10"/>
      <x:c r="C849" s="10"/>
      <x:c r="D849" s="10"/>
      <x:c r="E849" s="10"/>
      <x:c r="F849" s="10"/>
      <x:c r="G849" s="10"/>
      <x:c r="H849" s="10"/>
    </x:row>
    <x:row r="850" ht="14.25" customHeight="1">
      <x:c r="A850" s="10"/>
      <x:c r="B850" s="10"/>
      <x:c r="C850" s="10"/>
      <x:c r="D850" s="10"/>
      <x:c r="E850" s="10"/>
      <x:c r="F850" s="10"/>
      <x:c r="G850" s="10"/>
      <x:c r="H850" s="10"/>
    </x:row>
    <x:row r="851" ht="14.25" customHeight="1">
      <x:c r="A851" s="10"/>
      <x:c r="B851" s="10"/>
      <x:c r="C851" s="10"/>
      <x:c r="D851" s="10"/>
      <x:c r="E851" s="10"/>
      <x:c r="F851" s="10"/>
      <x:c r="G851" s="10"/>
      <x:c r="H851" s="10"/>
    </x:row>
    <x:row r="852" ht="14.25" customHeight="1">
      <x:c r="A852" s="10"/>
      <x:c r="B852" s="10"/>
      <x:c r="C852" s="10"/>
      <x:c r="D852" s="10"/>
      <x:c r="E852" s="10"/>
      <x:c r="F852" s="10"/>
      <x:c r="G852" s="10"/>
      <x:c r="H852" s="10"/>
    </x:row>
    <x:row r="853" ht="14.25" customHeight="1">
      <x:c r="A853" s="10"/>
      <x:c r="B853" s="10"/>
      <x:c r="C853" s="10"/>
      <x:c r="D853" s="10"/>
      <x:c r="E853" s="10"/>
      <x:c r="F853" s="10"/>
      <x:c r="G853" s="10"/>
      <x:c r="H853" s="10"/>
    </x:row>
    <x:row r="854" ht="14.25" customHeight="1">
      <x:c r="A854" s="10"/>
      <x:c r="B854" s="10"/>
      <x:c r="C854" s="10"/>
      <x:c r="D854" s="10"/>
      <x:c r="E854" s="10"/>
      <x:c r="F854" s="10"/>
      <x:c r="G854" s="10"/>
      <x:c r="H854" s="10"/>
    </x:row>
    <x:row r="855" ht="14.25" customHeight="1">
      <x:c r="A855" s="10"/>
      <x:c r="B855" s="10"/>
      <x:c r="C855" s="10"/>
      <x:c r="D855" s="10"/>
      <x:c r="E855" s="10"/>
      <x:c r="F855" s="10"/>
      <x:c r="G855" s="10"/>
      <x:c r="H855" s="10"/>
    </x:row>
    <x:row r="856" ht="14.25" customHeight="1">
      <x:c r="A856" s="10"/>
      <x:c r="B856" s="10"/>
      <x:c r="C856" s="10"/>
      <x:c r="D856" s="10"/>
      <x:c r="E856" s="10"/>
      <x:c r="F856" s="10"/>
      <x:c r="G856" s="10"/>
      <x:c r="H856" s="10"/>
    </x:row>
    <x:row r="857" ht="14.25" customHeight="1">
      <x:c r="A857" s="10"/>
      <x:c r="B857" s="10"/>
      <x:c r="C857" s="10"/>
      <x:c r="D857" s="10"/>
      <x:c r="E857" s="10"/>
      <x:c r="F857" s="10"/>
      <x:c r="G857" s="10"/>
      <x:c r="H857" s="10"/>
    </x:row>
    <x:row r="858" ht="14.25" customHeight="1">
      <x:c r="A858" s="10"/>
      <x:c r="B858" s="10"/>
      <x:c r="C858" s="10"/>
      <x:c r="D858" s="10"/>
      <x:c r="E858" s="10"/>
      <x:c r="F858" s="10"/>
      <x:c r="G858" s="10"/>
      <x:c r="H858" s="10"/>
    </x:row>
    <x:row r="859" ht="14.25" customHeight="1">
      <x:c r="A859" s="10"/>
      <x:c r="B859" s="10"/>
      <x:c r="C859" s="10"/>
      <x:c r="D859" s="10"/>
      <x:c r="E859" s="10"/>
      <x:c r="F859" s="10"/>
      <x:c r="G859" s="10"/>
      <x:c r="H859" s="10"/>
    </x:row>
    <x:row r="860" ht="14.25" customHeight="1">
      <x:c r="A860" s="10"/>
      <x:c r="B860" s="10"/>
      <x:c r="C860" s="10"/>
      <x:c r="D860" s="10"/>
      <x:c r="E860" s="10"/>
      <x:c r="F860" s="10"/>
      <x:c r="G860" s="10"/>
      <x:c r="H860" s="10"/>
    </x:row>
    <x:row r="861" ht="14.25" customHeight="1">
      <x:c r="A861" s="10"/>
      <x:c r="B861" s="10"/>
      <x:c r="C861" s="10"/>
      <x:c r="D861" s="10"/>
      <x:c r="E861" s="10"/>
      <x:c r="F861" s="10"/>
      <x:c r="G861" s="10"/>
      <x:c r="H861" s="10"/>
    </x:row>
    <x:row r="862" ht="14.25" customHeight="1">
      <x:c r="A862" s="10"/>
      <x:c r="B862" s="10"/>
      <x:c r="C862" s="10"/>
      <x:c r="D862" s="10"/>
      <x:c r="E862" s="10"/>
      <x:c r="F862" s="10"/>
      <x:c r="G862" s="10"/>
      <x:c r="H862" s="10"/>
    </x:row>
    <x:row r="863" ht="14.25" customHeight="1">
      <x:c r="A863" s="10"/>
      <x:c r="B863" s="10"/>
      <x:c r="C863" s="10"/>
      <x:c r="D863" s="10"/>
      <x:c r="E863" s="10"/>
      <x:c r="F863" s="10"/>
      <x:c r="G863" s="10"/>
      <x:c r="H863" s="10"/>
    </x:row>
    <x:row r="864" ht="14.25" customHeight="1">
      <x:c r="A864" s="10"/>
      <x:c r="B864" s="10"/>
      <x:c r="C864" s="10"/>
      <x:c r="D864" s="10"/>
      <x:c r="E864" s="10"/>
      <x:c r="F864" s="10"/>
      <x:c r="G864" s="10"/>
      <x:c r="H864" s="10"/>
    </x:row>
    <x:row r="865" ht="14.25" customHeight="1">
      <x:c r="A865" s="10"/>
      <x:c r="B865" s="10"/>
      <x:c r="C865" s="10"/>
      <x:c r="D865" s="10"/>
      <x:c r="E865" s="10"/>
      <x:c r="F865" s="10"/>
      <x:c r="G865" s="10"/>
      <x:c r="H865" s="10"/>
    </x:row>
    <x:row r="866" ht="14.25" customHeight="1">
      <x:c r="A866" s="10"/>
      <x:c r="B866" s="10"/>
      <x:c r="C866" s="10"/>
      <x:c r="D866" s="10"/>
      <x:c r="E866" s="10"/>
      <x:c r="F866" s="10"/>
      <x:c r="G866" s="10"/>
      <x:c r="H866" s="10"/>
    </x:row>
    <x:row r="867" ht="14.25" customHeight="1">
      <x:c r="A867" s="10"/>
      <x:c r="B867" s="10"/>
      <x:c r="C867" s="10"/>
      <x:c r="D867" s="10"/>
      <x:c r="E867" s="10"/>
      <x:c r="F867" s="10"/>
      <x:c r="G867" s="10"/>
      <x:c r="H867" s="10"/>
    </x:row>
    <x:row r="868" ht="14.25" customHeight="1">
      <x:c r="A868" s="10"/>
      <x:c r="B868" s="10"/>
      <x:c r="C868" s="10"/>
      <x:c r="D868" s="10"/>
      <x:c r="E868" s="10"/>
      <x:c r="F868" s="10"/>
      <x:c r="G868" s="10"/>
      <x:c r="H868" s="10"/>
    </x:row>
    <x:row r="869" ht="14.25" customHeight="1">
      <x:c r="A869" s="10"/>
      <x:c r="B869" s="10"/>
      <x:c r="C869" s="10"/>
      <x:c r="D869" s="10"/>
      <x:c r="E869" s="10"/>
      <x:c r="F869" s="10"/>
      <x:c r="G869" s="10"/>
      <x:c r="H869" s="10"/>
    </x:row>
    <x:row r="870" ht="14.25" customHeight="1">
      <x:c r="A870" s="10"/>
      <x:c r="B870" s="10"/>
      <x:c r="C870" s="10"/>
      <x:c r="D870" s="10"/>
      <x:c r="E870" s="10"/>
      <x:c r="F870" s="10"/>
      <x:c r="G870" s="10"/>
      <x:c r="H870" s="10"/>
    </x:row>
    <x:row r="871" ht="14.25" customHeight="1">
      <x:c r="A871" s="10"/>
      <x:c r="B871" s="10"/>
      <x:c r="C871" s="10"/>
      <x:c r="D871" s="10"/>
      <x:c r="E871" s="10"/>
      <x:c r="F871" s="10"/>
      <x:c r="G871" s="10"/>
      <x:c r="H871" s="10"/>
    </x:row>
    <x:row r="872" ht="14.25" customHeight="1">
      <x:c r="A872" s="10"/>
      <x:c r="B872" s="10"/>
      <x:c r="C872" s="10"/>
      <x:c r="D872" s="10"/>
      <x:c r="E872" s="10"/>
      <x:c r="F872" s="10"/>
      <x:c r="G872" s="10"/>
      <x:c r="H872" s="10"/>
    </x:row>
    <x:row r="873" ht="14.25" customHeight="1">
      <x:c r="A873" s="10"/>
      <x:c r="B873" s="10"/>
      <x:c r="C873" s="10"/>
      <x:c r="D873" s="10"/>
      <x:c r="E873" s="10"/>
      <x:c r="F873" s="10"/>
      <x:c r="G873" s="10"/>
      <x:c r="H873" s="10"/>
    </x:row>
    <x:row r="874" ht="14.25" customHeight="1">
      <x:c r="A874" s="10"/>
      <x:c r="B874" s="10"/>
      <x:c r="C874" s="10"/>
      <x:c r="D874" s="10"/>
      <x:c r="E874" s="10"/>
      <x:c r="F874" s="10"/>
      <x:c r="G874" s="10"/>
      <x:c r="H874" s="10"/>
    </x:row>
    <x:row r="875" ht="14.25" customHeight="1">
      <x:c r="A875" s="10"/>
      <x:c r="B875" s="10"/>
      <x:c r="C875" s="10"/>
      <x:c r="D875" s="10"/>
      <x:c r="E875" s="10"/>
      <x:c r="F875" s="10"/>
      <x:c r="G875" s="10"/>
      <x:c r="H875" s="10"/>
    </x:row>
    <x:row r="876" ht="14.25" customHeight="1">
      <x:c r="A876" s="10"/>
      <x:c r="B876" s="10"/>
      <x:c r="C876" s="10"/>
      <x:c r="D876" s="10"/>
      <x:c r="E876" s="10"/>
      <x:c r="F876" s="10"/>
      <x:c r="G876" s="10"/>
      <x:c r="H876" s="10"/>
    </x:row>
    <x:row r="877" ht="14.25" customHeight="1">
      <x:c r="A877" s="10"/>
      <x:c r="B877" s="10"/>
      <x:c r="C877" s="10"/>
      <x:c r="D877" s="10"/>
      <x:c r="E877" s="10"/>
      <x:c r="F877" s="10"/>
      <x:c r="G877" s="10"/>
      <x:c r="H877" s="10"/>
    </x:row>
    <x:row r="878" ht="14.25" customHeight="1">
      <x:c r="A878" s="10"/>
      <x:c r="B878" s="10"/>
      <x:c r="C878" s="10"/>
      <x:c r="D878" s="10"/>
      <x:c r="E878" s="10"/>
      <x:c r="F878" s="10"/>
      <x:c r="G878" s="10"/>
      <x:c r="H878" s="10"/>
    </x:row>
    <x:row r="879" ht="14.25" customHeight="1">
      <x:c r="A879" s="10"/>
      <x:c r="B879" s="10"/>
      <x:c r="C879" s="10"/>
      <x:c r="D879" s="10"/>
      <x:c r="E879" s="10"/>
      <x:c r="F879" s="10"/>
      <x:c r="G879" s="10"/>
      <x:c r="H879" s="10"/>
    </x:row>
    <x:row r="880" ht="14.25" customHeight="1">
      <x:c r="A880" s="10"/>
      <x:c r="B880" s="10"/>
      <x:c r="C880" s="10"/>
      <x:c r="D880" s="10"/>
      <x:c r="E880" s="10"/>
      <x:c r="F880" s="10"/>
      <x:c r="G880" s="10"/>
      <x:c r="H880" s="10"/>
    </x:row>
    <x:row r="881" ht="14.25" customHeight="1">
      <x:c r="A881" s="10"/>
      <x:c r="B881" s="10"/>
      <x:c r="C881" s="10"/>
      <x:c r="D881" s="10"/>
      <x:c r="E881" s="10"/>
      <x:c r="F881" s="10"/>
      <x:c r="G881" s="10"/>
      <x:c r="H881" s="10"/>
    </x:row>
    <x:row r="882" ht="14.25" customHeight="1">
      <x:c r="A882" s="10"/>
      <x:c r="B882" s="10"/>
      <x:c r="C882" s="10"/>
      <x:c r="D882" s="10"/>
      <x:c r="E882" s="10"/>
      <x:c r="F882" s="10"/>
      <x:c r="G882" s="10"/>
      <x:c r="H882" s="10"/>
    </x:row>
    <x:row r="883" ht="14.25" customHeight="1">
      <x:c r="A883" s="10"/>
      <x:c r="B883" s="10"/>
      <x:c r="C883" s="10"/>
      <x:c r="D883" s="10"/>
      <x:c r="E883" s="10"/>
      <x:c r="F883" s="10"/>
      <x:c r="G883" s="10"/>
      <x:c r="H883" s="10"/>
    </x:row>
    <x:row r="884" ht="14.25" customHeight="1">
      <x:c r="A884" s="10"/>
      <x:c r="B884" s="10"/>
      <x:c r="C884" s="10"/>
      <x:c r="D884" s="10"/>
      <x:c r="E884" s="10"/>
      <x:c r="F884" s="10"/>
      <x:c r="G884" s="10"/>
      <x:c r="H884" s="10"/>
    </x:row>
    <x:row r="885" ht="14.25" customHeight="1">
      <x:c r="A885" s="10"/>
      <x:c r="B885" s="10"/>
      <x:c r="C885" s="10"/>
      <x:c r="D885" s="10"/>
      <x:c r="E885" s="10"/>
      <x:c r="F885" s="10"/>
      <x:c r="G885" s="10"/>
      <x:c r="H885" s="10"/>
    </x:row>
    <x:row r="886" ht="14.25" customHeight="1">
      <x:c r="A886" s="10"/>
      <x:c r="B886" s="10"/>
      <x:c r="C886" s="10"/>
      <x:c r="D886" s="10"/>
      <x:c r="E886" s="10"/>
      <x:c r="F886" s="10"/>
      <x:c r="G886" s="10"/>
      <x:c r="H886" s="10"/>
    </x:row>
    <x:row r="887" ht="14.25" customHeight="1">
      <x:c r="A887" s="10"/>
      <x:c r="B887" s="10"/>
      <x:c r="C887" s="10"/>
      <x:c r="D887" s="10"/>
      <x:c r="E887" s="10"/>
      <x:c r="F887" s="10"/>
      <x:c r="G887" s="10"/>
      <x:c r="H887" s="10"/>
    </x:row>
    <x:row r="888" ht="14.25" customHeight="1">
      <x:c r="A888" s="10"/>
      <x:c r="B888" s="10"/>
      <x:c r="C888" s="10"/>
      <x:c r="D888" s="10"/>
      <x:c r="E888" s="10"/>
      <x:c r="F888" s="10"/>
      <x:c r="G888" s="10"/>
      <x:c r="H888" s="10"/>
    </x:row>
    <x:row r="889" ht="14.25" customHeight="1">
      <x:c r="A889" s="10"/>
      <x:c r="B889" s="10"/>
      <x:c r="C889" s="10"/>
      <x:c r="D889" s="10"/>
      <x:c r="E889" s="10"/>
      <x:c r="F889" s="10"/>
      <x:c r="G889" s="10"/>
      <x:c r="H889" s="10"/>
    </x:row>
    <x:row r="890" ht="14.25" customHeight="1">
      <x:c r="A890" s="10"/>
      <x:c r="B890" s="10"/>
      <x:c r="C890" s="10"/>
      <x:c r="D890" s="10"/>
      <x:c r="E890" s="10"/>
      <x:c r="F890" s="10"/>
      <x:c r="G890" s="10"/>
      <x:c r="H890" s="10"/>
    </x:row>
    <x:row r="891" ht="14.25" customHeight="1">
      <x:c r="A891" s="10"/>
      <x:c r="B891" s="10"/>
      <x:c r="C891" s="10"/>
      <x:c r="D891" s="10"/>
      <x:c r="E891" s="10"/>
      <x:c r="F891" s="10"/>
      <x:c r="G891" s="10"/>
      <x:c r="H891" s="10"/>
    </x:row>
    <x:row r="892" ht="14.25" customHeight="1">
      <x:c r="A892" s="10"/>
      <x:c r="B892" s="10"/>
      <x:c r="C892" s="10"/>
      <x:c r="D892" s="10"/>
      <x:c r="E892" s="10"/>
      <x:c r="F892" s="10"/>
      <x:c r="G892" s="10"/>
      <x:c r="H892" s="10"/>
    </x:row>
    <x:row r="893" ht="14.25" customHeight="1">
      <x:c r="A893" s="10"/>
      <x:c r="B893" s="10"/>
      <x:c r="C893" s="10"/>
      <x:c r="D893" s="10"/>
      <x:c r="E893" s="10"/>
      <x:c r="F893" s="10"/>
      <x:c r="G893" s="10"/>
      <x:c r="H893" s="10"/>
    </x:row>
    <x:row r="894" ht="14.25" customHeight="1">
      <x:c r="A894" s="10"/>
      <x:c r="B894" s="10"/>
      <x:c r="C894" s="10"/>
      <x:c r="D894" s="10"/>
      <x:c r="E894" s="10"/>
      <x:c r="F894" s="10"/>
      <x:c r="G894" s="10"/>
      <x:c r="H894" s="10"/>
    </x:row>
    <x:row r="895" ht="14.25" customHeight="1">
      <x:c r="A895" s="10"/>
      <x:c r="B895" s="10"/>
      <x:c r="C895" s="10"/>
      <x:c r="D895" s="10"/>
      <x:c r="E895" s="10"/>
      <x:c r="F895" s="10"/>
      <x:c r="G895" s="10"/>
      <x:c r="H895" s="10"/>
    </x:row>
    <x:row r="896" ht="14.25" customHeight="1">
      <x:c r="A896" s="10"/>
      <x:c r="B896" s="10"/>
      <x:c r="C896" s="10"/>
      <x:c r="D896" s="10"/>
      <x:c r="E896" s="10"/>
      <x:c r="F896" s="10"/>
      <x:c r="G896" s="10"/>
      <x:c r="H896" s="10"/>
    </x:row>
    <x:row r="897" ht="14.25" customHeight="1">
      <x:c r="A897" s="10"/>
      <x:c r="B897" s="10"/>
      <x:c r="C897" s="10"/>
      <x:c r="D897" s="10"/>
      <x:c r="E897" s="10"/>
      <x:c r="F897" s="10"/>
      <x:c r="G897" s="10"/>
      <x:c r="H897" s="10"/>
    </x:row>
    <x:row r="898" ht="14.25" customHeight="1">
      <x:c r="A898" s="10"/>
      <x:c r="B898" s="10"/>
      <x:c r="C898" s="10"/>
      <x:c r="D898" s="10"/>
      <x:c r="E898" s="10"/>
      <x:c r="F898" s="10"/>
      <x:c r="G898" s="10"/>
      <x:c r="H898" s="10"/>
    </x:row>
    <x:row r="899" ht="14.25" customHeight="1">
      <x:c r="A899" s="10"/>
      <x:c r="B899" s="10"/>
      <x:c r="C899" s="10"/>
      <x:c r="D899" s="10"/>
      <x:c r="E899" s="10"/>
      <x:c r="F899" s="10"/>
      <x:c r="G899" s="10"/>
      <x:c r="H899" s="10"/>
    </x:row>
    <x:row r="900" ht="14.25" customHeight="1">
      <x:c r="A900" s="10"/>
      <x:c r="B900" s="10"/>
      <x:c r="C900" s="10"/>
      <x:c r="D900" s="10"/>
      <x:c r="E900" s="10"/>
      <x:c r="F900" s="10"/>
      <x:c r="G900" s="10"/>
      <x:c r="H900" s="10"/>
    </x:row>
    <x:row r="901" ht="14.25" customHeight="1">
      <x:c r="A901" s="10"/>
      <x:c r="B901" s="10"/>
      <x:c r="C901" s="10"/>
      <x:c r="D901" s="10"/>
      <x:c r="E901" s="10"/>
      <x:c r="F901" s="10"/>
      <x:c r="G901" s="10"/>
      <x:c r="H901" s="10"/>
    </x:row>
    <x:row r="902" ht="14.25" customHeight="1">
      <x:c r="A902" s="10"/>
      <x:c r="B902" s="10"/>
      <x:c r="C902" s="10"/>
      <x:c r="D902" s="10"/>
      <x:c r="E902" s="10"/>
      <x:c r="F902" s="10"/>
      <x:c r="G902" s="10"/>
      <x:c r="H902" s="10"/>
    </x:row>
    <x:row r="903" ht="14.25" customHeight="1">
      <x:c r="A903" s="10"/>
      <x:c r="B903" s="10"/>
      <x:c r="C903" s="10"/>
      <x:c r="D903" s="10"/>
      <x:c r="E903" s="10"/>
      <x:c r="F903" s="10"/>
      <x:c r="G903" s="10"/>
      <x:c r="H903" s="10"/>
    </x:row>
    <x:row r="904" ht="14.25" customHeight="1">
      <x:c r="A904" s="10"/>
      <x:c r="B904" s="10"/>
      <x:c r="C904" s="10"/>
      <x:c r="D904" s="10"/>
      <x:c r="E904" s="10"/>
      <x:c r="F904" s="10"/>
      <x:c r="G904" s="10"/>
      <x:c r="H904" s="10"/>
    </x:row>
    <x:row r="905" ht="14.25" customHeight="1">
      <x:c r="A905" s="10"/>
      <x:c r="B905" s="10"/>
      <x:c r="C905" s="10"/>
      <x:c r="D905" s="10"/>
      <x:c r="E905" s="10"/>
      <x:c r="F905" s="10"/>
      <x:c r="G905" s="10"/>
      <x:c r="H905" s="10"/>
    </x:row>
    <x:row r="906" ht="14.25" customHeight="1">
      <x:c r="A906" s="10"/>
      <x:c r="B906" s="10"/>
      <x:c r="C906" s="10"/>
      <x:c r="D906" s="10"/>
      <x:c r="E906" s="10"/>
      <x:c r="F906" s="10"/>
      <x:c r="G906" s="10"/>
      <x:c r="H906" s="10"/>
    </x:row>
    <x:row r="907" ht="14.25" customHeight="1">
      <x:c r="A907" s="10"/>
      <x:c r="B907" s="10"/>
      <x:c r="C907" s="10"/>
      <x:c r="D907" s="10"/>
      <x:c r="E907" s="10"/>
      <x:c r="F907" s="10"/>
      <x:c r="G907" s="10"/>
      <x:c r="H907" s="10"/>
    </x:row>
    <x:row r="908" ht="14.25" customHeight="1">
      <x:c r="A908" s="10"/>
      <x:c r="B908" s="10"/>
      <x:c r="C908" s="10"/>
      <x:c r="D908" s="10"/>
      <x:c r="E908" s="10"/>
      <x:c r="F908" s="10"/>
      <x:c r="G908" s="10"/>
      <x:c r="H908" s="10"/>
    </x:row>
    <x:row r="909" ht="14.25" customHeight="1">
      <x:c r="A909" s="10"/>
      <x:c r="B909" s="10"/>
      <x:c r="C909" s="10"/>
      <x:c r="D909" s="10"/>
      <x:c r="E909" s="10"/>
      <x:c r="F909" s="10"/>
      <x:c r="G909" s="10"/>
      <x:c r="H909" s="10"/>
    </x:row>
    <x:row r="910" ht="14.25" customHeight="1">
      <x:c r="A910" s="10"/>
      <x:c r="B910" s="10"/>
      <x:c r="C910" s="10"/>
      <x:c r="D910" s="10"/>
      <x:c r="E910" s="10"/>
      <x:c r="F910" s="10"/>
      <x:c r="G910" s="10"/>
      <x:c r="H910" s="10"/>
    </x:row>
    <x:row r="911" ht="14.25" customHeight="1">
      <x:c r="A911" s="10"/>
      <x:c r="B911" s="10"/>
      <x:c r="C911" s="10"/>
      <x:c r="D911" s="10"/>
      <x:c r="E911" s="10"/>
      <x:c r="F911" s="10"/>
      <x:c r="G911" s="10"/>
      <x:c r="H911" s="10"/>
    </x:row>
    <x:row r="912" ht="14.25" customHeight="1">
      <x:c r="A912" s="10"/>
      <x:c r="B912" s="10"/>
      <x:c r="C912" s="10"/>
      <x:c r="D912" s="10"/>
      <x:c r="E912" s="10"/>
      <x:c r="F912" s="10"/>
      <x:c r="G912" s="10"/>
      <x:c r="H912" s="10"/>
    </x:row>
    <x:row r="913" ht="14.25" customHeight="1">
      <x:c r="A913" s="10"/>
      <x:c r="B913" s="10"/>
      <x:c r="C913" s="10"/>
      <x:c r="D913" s="10"/>
      <x:c r="E913" s="10"/>
      <x:c r="F913" s="10"/>
      <x:c r="G913" s="10"/>
      <x:c r="H913" s="10"/>
    </x:row>
    <x:row r="914" ht="14.25" customHeight="1">
      <x:c r="A914" s="10"/>
      <x:c r="B914" s="10"/>
      <x:c r="C914" s="10"/>
      <x:c r="D914" s="10"/>
      <x:c r="E914" s="10"/>
      <x:c r="F914" s="10"/>
      <x:c r="G914" s="10"/>
      <x:c r="H914" s="10"/>
    </x:row>
    <x:row r="915" ht="14.25" customHeight="1">
      <x:c r="A915" s="10"/>
      <x:c r="B915" s="10"/>
      <x:c r="C915" s="10"/>
      <x:c r="D915" s="10"/>
      <x:c r="E915" s="10"/>
      <x:c r="F915" s="10"/>
      <x:c r="G915" s="10"/>
      <x:c r="H915" s="10"/>
    </x:row>
    <x:row r="916" ht="14.25" customHeight="1">
      <x:c r="A916" s="10"/>
      <x:c r="B916" s="10"/>
      <x:c r="C916" s="10"/>
      <x:c r="D916" s="10"/>
      <x:c r="E916" s="10"/>
      <x:c r="F916" s="10"/>
      <x:c r="G916" s="10"/>
      <x:c r="H916" s="10"/>
    </x:row>
    <x:row r="917" ht="14.25" customHeight="1">
      <x:c r="A917" s="10"/>
      <x:c r="B917" s="10"/>
      <x:c r="C917" s="10"/>
      <x:c r="D917" s="10"/>
      <x:c r="E917" s="10"/>
      <x:c r="F917" s="10"/>
      <x:c r="G917" s="10"/>
      <x:c r="H917" s="10"/>
    </x:row>
    <x:row r="918" ht="14.25" customHeight="1">
      <x:c r="A918" s="10"/>
      <x:c r="B918" s="10"/>
      <x:c r="C918" s="10"/>
      <x:c r="D918" s="10"/>
      <x:c r="E918" s="10"/>
      <x:c r="F918" s="10"/>
      <x:c r="G918" s="10"/>
      <x:c r="H918" s="10"/>
    </x:row>
    <x:row r="919" ht="14.25" customHeight="1">
      <x:c r="A919" s="10"/>
      <x:c r="B919" s="10"/>
      <x:c r="C919" s="10"/>
      <x:c r="D919" s="10"/>
      <x:c r="E919" s="10"/>
      <x:c r="F919" s="10"/>
      <x:c r="G919" s="10"/>
      <x:c r="H919" s="10"/>
    </x:row>
    <x:row r="920" ht="14.25" customHeight="1">
      <x:c r="A920" s="10"/>
      <x:c r="B920" s="10"/>
      <x:c r="C920" s="10"/>
      <x:c r="D920" s="10"/>
      <x:c r="E920" s="10"/>
      <x:c r="F920" s="10"/>
      <x:c r="G920" s="10"/>
      <x:c r="H920" s="10"/>
    </x:row>
    <x:row r="921" ht="14.25" customHeight="1">
      <x:c r="A921" s="10"/>
      <x:c r="B921" s="10"/>
      <x:c r="C921" s="10"/>
      <x:c r="D921" s="10"/>
      <x:c r="E921" s="10"/>
      <x:c r="F921" s="10"/>
      <x:c r="G921" s="10"/>
      <x:c r="H921" s="10"/>
    </x:row>
    <x:row r="922" ht="14.25" customHeight="1">
      <x:c r="A922" s="10"/>
      <x:c r="B922" s="10"/>
      <x:c r="C922" s="10"/>
      <x:c r="D922" s="10"/>
      <x:c r="E922" s="10"/>
      <x:c r="F922" s="10"/>
      <x:c r="G922" s="10"/>
      <x:c r="H922" s="10"/>
    </x:row>
    <x:row r="923" ht="14.25" customHeight="1">
      <x:c r="A923" s="10"/>
      <x:c r="B923" s="10"/>
      <x:c r="C923" s="10"/>
      <x:c r="D923" s="10"/>
      <x:c r="E923" s="10"/>
      <x:c r="F923" s="10"/>
      <x:c r="G923" s="10"/>
      <x:c r="H923" s="10"/>
    </x:row>
    <x:row r="924" ht="14.25" customHeight="1">
      <x:c r="A924" s="10"/>
      <x:c r="B924" s="10"/>
      <x:c r="C924" s="10"/>
      <x:c r="D924" s="10"/>
      <x:c r="E924" s="10"/>
      <x:c r="F924" s="10"/>
      <x:c r="G924" s="10"/>
      <x:c r="H924" s="10"/>
    </x:row>
    <x:row r="925" ht="14.25" customHeight="1">
      <x:c r="A925" s="10"/>
      <x:c r="B925" s="10"/>
      <x:c r="C925" s="10"/>
      <x:c r="D925" s="10"/>
      <x:c r="E925" s="10"/>
      <x:c r="F925" s="10"/>
      <x:c r="G925" s="10"/>
      <x:c r="H925" s="10"/>
    </x:row>
    <x:row r="926" ht="14.25" customHeight="1">
      <x:c r="A926" s="10"/>
      <x:c r="B926" s="10"/>
      <x:c r="C926" s="10"/>
      <x:c r="D926" s="10"/>
      <x:c r="E926" s="10"/>
      <x:c r="F926" s="10"/>
      <x:c r="G926" s="10"/>
      <x:c r="H926" s="10"/>
    </x:row>
    <x:row r="927" ht="14.25" customHeight="1">
      <x:c r="A927" s="10"/>
      <x:c r="B927" s="10"/>
      <x:c r="C927" s="10"/>
      <x:c r="D927" s="10"/>
      <x:c r="E927" s="10"/>
      <x:c r="F927" s="10"/>
      <x:c r="G927" s="10"/>
      <x:c r="H927" s="10"/>
    </x:row>
    <x:row r="928" ht="14.25" customHeight="1">
      <x:c r="A928" s="10"/>
      <x:c r="B928" s="10"/>
      <x:c r="C928" s="10"/>
      <x:c r="D928" s="10"/>
      <x:c r="E928" s="10"/>
      <x:c r="F928" s="10"/>
      <x:c r="G928" s="10"/>
      <x:c r="H928" s="10"/>
    </x:row>
    <x:row r="929" ht="14.25" customHeight="1">
      <x:c r="A929" s="10"/>
      <x:c r="B929" s="10"/>
      <x:c r="C929" s="10"/>
      <x:c r="D929" s="10"/>
      <x:c r="E929" s="10"/>
      <x:c r="F929" s="10"/>
      <x:c r="G929" s="10"/>
      <x:c r="H929" s="10"/>
    </x:row>
    <x:row r="930" ht="14.25" customHeight="1">
      <x:c r="A930" s="10"/>
      <x:c r="B930" s="10"/>
      <x:c r="C930" s="10"/>
      <x:c r="D930" s="10"/>
      <x:c r="E930" s="10"/>
      <x:c r="F930" s="10"/>
      <x:c r="G930" s="10"/>
      <x:c r="H930" s="10"/>
    </x:row>
    <x:row r="931" ht="14.25" customHeight="1">
      <x:c r="A931" s="10"/>
      <x:c r="B931" s="10"/>
      <x:c r="C931" s="10"/>
      <x:c r="D931" s="10"/>
      <x:c r="E931" s="10"/>
      <x:c r="F931" s="10"/>
      <x:c r="G931" s="10"/>
      <x:c r="H931" s="10"/>
    </x:row>
    <x:row r="932" ht="14.25" customHeight="1">
      <x:c r="A932" s="10"/>
      <x:c r="B932" s="10"/>
      <x:c r="C932" s="10"/>
      <x:c r="D932" s="10"/>
      <x:c r="E932" s="10"/>
      <x:c r="F932" s="10"/>
      <x:c r="G932" s="10"/>
      <x:c r="H932" s="10"/>
    </x:row>
    <x:row r="933" ht="14.25" customHeight="1">
      <x:c r="A933" s="10"/>
      <x:c r="B933" s="10"/>
      <x:c r="C933" s="10"/>
      <x:c r="D933" s="10"/>
      <x:c r="E933" s="10"/>
      <x:c r="F933" s="10"/>
      <x:c r="G933" s="10"/>
      <x:c r="H933" s="10"/>
    </x:row>
    <x:row r="934" ht="14.25" customHeight="1">
      <x:c r="A934" s="10"/>
      <x:c r="B934" s="10"/>
      <x:c r="C934" s="10"/>
      <x:c r="D934" s="10"/>
      <x:c r="E934" s="10"/>
      <x:c r="F934" s="10"/>
      <x:c r="G934" s="10"/>
      <x:c r="H934" s="10"/>
    </x:row>
    <x:row r="935" ht="14.25" customHeight="1">
      <x:c r="A935" s="10"/>
      <x:c r="B935" s="10"/>
      <x:c r="C935" s="10"/>
      <x:c r="D935" s="10"/>
      <x:c r="E935" s="10"/>
      <x:c r="F935" s="10"/>
      <x:c r="G935" s="10"/>
      <x:c r="H935" s="10"/>
    </x:row>
    <x:row r="936" ht="14.25" customHeight="1">
      <x:c r="A936" s="10"/>
      <x:c r="B936" s="10"/>
      <x:c r="C936" s="10"/>
      <x:c r="D936" s="10"/>
      <x:c r="E936" s="10"/>
      <x:c r="F936" s="10"/>
      <x:c r="G936" s="10"/>
      <x:c r="H936" s="10"/>
    </x:row>
    <x:row r="937" ht="14.25" customHeight="1">
      <x:c r="A937" s="10"/>
      <x:c r="B937" s="10"/>
      <x:c r="C937" s="10"/>
      <x:c r="D937" s="10"/>
      <x:c r="E937" s="10"/>
      <x:c r="F937" s="10"/>
      <x:c r="G937" s="10"/>
      <x:c r="H937" s="10"/>
    </x:row>
    <x:row r="938" ht="14.25" customHeight="1">
      <x:c r="A938" s="10"/>
      <x:c r="B938" s="10"/>
      <x:c r="C938" s="10"/>
      <x:c r="D938" s="10"/>
      <x:c r="E938" s="10"/>
      <x:c r="F938" s="10"/>
      <x:c r="G938" s="10"/>
      <x:c r="H938" s="10"/>
    </x:row>
    <x:row r="939" ht="14.25" customHeight="1">
      <x:c r="A939" s="10"/>
      <x:c r="B939" s="10"/>
      <x:c r="C939" s="10"/>
      <x:c r="D939" s="10"/>
      <x:c r="E939" s="10"/>
      <x:c r="F939" s="10"/>
      <x:c r="G939" s="10"/>
      <x:c r="H939" s="10"/>
    </x:row>
    <x:row r="940" ht="14.25" customHeight="1">
      <x:c r="A940" s="10"/>
      <x:c r="B940" s="10"/>
      <x:c r="C940" s="10"/>
      <x:c r="D940" s="10"/>
      <x:c r="E940" s="10"/>
      <x:c r="F940" s="10"/>
      <x:c r="G940" s="10"/>
      <x:c r="H940" s="10"/>
    </x:row>
    <x:row r="941" ht="14.25" customHeight="1">
      <x:c r="A941" s="10"/>
      <x:c r="B941" s="10"/>
      <x:c r="C941" s="10"/>
      <x:c r="D941" s="10"/>
      <x:c r="E941" s="10"/>
      <x:c r="F941" s="10"/>
      <x:c r="G941" s="10"/>
      <x:c r="H941" s="10"/>
    </x:row>
    <x:row r="942" ht="14.25" customHeight="1">
      <x:c r="A942" s="10"/>
      <x:c r="B942" s="10"/>
      <x:c r="C942" s="10"/>
      <x:c r="D942" s="10"/>
      <x:c r="E942" s="10"/>
      <x:c r="F942" s="10"/>
      <x:c r="G942" s="10"/>
      <x:c r="H942" s="10"/>
    </x:row>
    <x:row r="943" ht="14.25" customHeight="1">
      <x:c r="A943" s="10"/>
      <x:c r="B943" s="10"/>
      <x:c r="C943" s="10"/>
      <x:c r="D943" s="10"/>
      <x:c r="E943" s="10"/>
      <x:c r="F943" s="10"/>
      <x:c r="G943" s="10"/>
      <x:c r="H943" s="10"/>
    </x:row>
    <x:row r="944" ht="14.25" customHeight="1">
      <x:c r="A944" s="10"/>
      <x:c r="B944" s="10"/>
      <x:c r="C944" s="10"/>
      <x:c r="D944" s="10"/>
      <x:c r="E944" s="10"/>
      <x:c r="F944" s="10"/>
      <x:c r="G944" s="10"/>
      <x:c r="H944" s="10"/>
    </x:row>
    <x:row r="945" ht="14.25" customHeight="1">
      <x:c r="A945" s="10"/>
      <x:c r="B945" s="10"/>
      <x:c r="C945" s="10"/>
      <x:c r="D945" s="10"/>
      <x:c r="E945" s="10"/>
      <x:c r="F945" s="10"/>
      <x:c r="G945" s="10"/>
      <x:c r="H945" s="10"/>
    </x:row>
    <x:row r="946" ht="14.25" customHeight="1">
      <x:c r="A946" s="10"/>
      <x:c r="B946" s="10"/>
      <x:c r="C946" s="10"/>
      <x:c r="D946" s="10"/>
      <x:c r="E946" s="10"/>
      <x:c r="F946" s="10"/>
      <x:c r="G946" s="10"/>
      <x:c r="H946" s="10"/>
    </x:row>
    <x:row r="947" ht="14.25" customHeight="1">
      <x:c r="A947" s="10"/>
      <x:c r="B947" s="10"/>
      <x:c r="C947" s="10"/>
      <x:c r="D947" s="10"/>
      <x:c r="E947" s="10"/>
      <x:c r="F947" s="10"/>
      <x:c r="G947" s="10"/>
      <x:c r="H947" s="10"/>
    </x:row>
    <x:row r="948" ht="14.25" customHeight="1">
      <x:c r="A948" s="10"/>
      <x:c r="B948" s="10"/>
      <x:c r="C948" s="10"/>
      <x:c r="D948" s="10"/>
      <x:c r="E948" s="10"/>
      <x:c r="F948" s="10"/>
      <x:c r="G948" s="10"/>
      <x:c r="H948" s="10"/>
    </x:row>
    <x:row r="949" ht="14.25" customHeight="1">
      <x:c r="A949" s="10"/>
      <x:c r="B949" s="10"/>
      <x:c r="C949" s="10"/>
      <x:c r="D949" s="10"/>
      <x:c r="E949" s="10"/>
      <x:c r="F949" s="10"/>
      <x:c r="G949" s="10"/>
      <x:c r="H949" s="10"/>
    </x:row>
    <x:row r="950" ht="14.25" customHeight="1">
      <x:c r="A950" s="10"/>
      <x:c r="B950" s="10"/>
      <x:c r="C950" s="10"/>
      <x:c r="D950" s="10"/>
      <x:c r="E950" s="10"/>
      <x:c r="F950" s="10"/>
      <x:c r="G950" s="10"/>
      <x:c r="H950" s="10"/>
    </x:row>
    <x:row r="951" ht="14.25" customHeight="1">
      <x:c r="A951" s="10"/>
      <x:c r="B951" s="10"/>
      <x:c r="C951" s="10"/>
      <x:c r="D951" s="10"/>
      <x:c r="E951" s="10"/>
      <x:c r="F951" s="10"/>
      <x:c r="G951" s="10"/>
      <x:c r="H951" s="10"/>
    </x:row>
    <x:row r="952" ht="14.25" customHeight="1">
      <x:c r="A952" s="10"/>
      <x:c r="B952" s="10"/>
      <x:c r="C952" s="10"/>
      <x:c r="D952" s="10"/>
      <x:c r="E952" s="10"/>
      <x:c r="F952" s="10"/>
      <x:c r="G952" s="10"/>
      <x:c r="H952" s="10"/>
    </x:row>
    <x:row r="953" ht="14.25" customHeight="1">
      <x:c r="A953" s="10"/>
      <x:c r="B953" s="10"/>
      <x:c r="C953" s="10"/>
      <x:c r="D953" s="10"/>
      <x:c r="E953" s="10"/>
      <x:c r="F953" s="10"/>
      <x:c r="G953" s="10"/>
      <x:c r="H953" s="10"/>
    </x:row>
    <x:row r="954" ht="14.25" customHeight="1">
      <x:c r="A954" s="10"/>
      <x:c r="B954" s="10"/>
      <x:c r="C954" s="10"/>
      <x:c r="D954" s="10"/>
      <x:c r="E954" s="10"/>
      <x:c r="F954" s="10"/>
      <x:c r="G954" s="10"/>
      <x:c r="H954" s="10"/>
    </x:row>
    <x:row r="955" ht="14.25" customHeight="1">
      <x:c r="A955" s="10"/>
      <x:c r="B955" s="10"/>
      <x:c r="C955" s="10"/>
      <x:c r="D955" s="10"/>
      <x:c r="E955" s="10"/>
      <x:c r="F955" s="10"/>
      <x:c r="G955" s="10"/>
      <x:c r="H955" s="10"/>
    </x:row>
    <x:row r="956" ht="14.25" customHeight="1">
      <x:c r="A956" s="10"/>
      <x:c r="B956" s="10"/>
      <x:c r="C956" s="10"/>
      <x:c r="D956" s="10"/>
      <x:c r="E956" s="10"/>
      <x:c r="F956" s="10"/>
      <x:c r="G956" s="10"/>
      <x:c r="H956" s="10"/>
    </x:row>
    <x:row r="957" ht="14.25" customHeight="1">
      <x:c r="A957" s="10"/>
      <x:c r="B957" s="10"/>
      <x:c r="C957" s="10"/>
      <x:c r="D957" s="10"/>
      <x:c r="E957" s="10"/>
      <x:c r="F957" s="10"/>
      <x:c r="G957" s="10"/>
      <x:c r="H957" s="10"/>
    </x:row>
    <x:row r="958" ht="14.25" customHeight="1">
      <x:c r="A958" s="10"/>
      <x:c r="B958" s="10"/>
      <x:c r="C958" s="10"/>
      <x:c r="D958" s="10"/>
      <x:c r="E958" s="10"/>
      <x:c r="F958" s="10"/>
      <x:c r="G958" s="10"/>
      <x:c r="H958" s="10"/>
    </x:row>
    <x:row r="959" ht="14.25" customHeight="1">
      <x:c r="A959" s="10"/>
      <x:c r="B959" s="10"/>
      <x:c r="C959" s="10"/>
      <x:c r="D959" s="10"/>
      <x:c r="E959" s="10"/>
      <x:c r="F959" s="10"/>
      <x:c r="G959" s="10"/>
      <x:c r="H959" s="10"/>
    </x:row>
    <x:row r="960" ht="14.25" customHeight="1">
      <x:c r="A960" s="10"/>
      <x:c r="B960" s="10"/>
      <x:c r="C960" s="10"/>
      <x:c r="D960" s="10"/>
      <x:c r="E960" s="10"/>
      <x:c r="F960" s="10"/>
      <x:c r="G960" s="10"/>
      <x:c r="H960" s="10"/>
    </x:row>
    <x:row r="961" ht="14.25" customHeight="1">
      <x:c r="A961" s="10"/>
      <x:c r="B961" s="10"/>
      <x:c r="C961" s="10"/>
      <x:c r="D961" s="10"/>
      <x:c r="E961" s="10"/>
      <x:c r="F961" s="10"/>
      <x:c r="G961" s="10"/>
      <x:c r="H961" s="10"/>
    </x:row>
    <x:row r="962" ht="14.25" customHeight="1">
      <x:c r="A962" s="10"/>
      <x:c r="B962" s="10"/>
      <x:c r="C962" s="10"/>
      <x:c r="D962" s="10"/>
      <x:c r="E962" s="10"/>
      <x:c r="F962" s="10"/>
      <x:c r="G962" s="10"/>
      <x:c r="H962" s="10"/>
    </x:row>
    <x:row r="963" ht="14.25" customHeight="1">
      <x:c r="A963" s="10"/>
      <x:c r="B963" s="10"/>
      <x:c r="C963" s="10"/>
      <x:c r="D963" s="10"/>
      <x:c r="E963" s="10"/>
      <x:c r="F963" s="10"/>
      <x:c r="G963" s="10"/>
      <x:c r="H963" s="10"/>
    </x:row>
    <x:row r="964" ht="14.25" customHeight="1">
      <x:c r="A964" s="10"/>
      <x:c r="B964" s="10"/>
      <x:c r="C964" s="10"/>
      <x:c r="D964" s="10"/>
      <x:c r="E964" s="10"/>
      <x:c r="F964" s="10"/>
      <x:c r="G964" s="10"/>
      <x:c r="H964" s="10"/>
    </x:row>
    <x:row r="965" ht="14.25" customHeight="1">
      <x:c r="A965" s="10"/>
      <x:c r="B965" s="10"/>
      <x:c r="C965" s="10"/>
      <x:c r="D965" s="10"/>
      <x:c r="E965" s="10"/>
      <x:c r="F965" s="10"/>
      <x:c r="G965" s="10"/>
      <x:c r="H965" s="10"/>
    </x:row>
    <x:row r="966" ht="14.25" customHeight="1">
      <x:c r="A966" s="10"/>
      <x:c r="B966" s="10"/>
      <x:c r="C966" s="10"/>
      <x:c r="D966" s="10"/>
      <x:c r="E966" s="10"/>
      <x:c r="F966" s="10"/>
      <x:c r="G966" s="10"/>
      <x:c r="H966" s="10"/>
    </x:row>
    <x:row r="967" ht="14.25" customHeight="1">
      <x:c r="A967" s="10"/>
      <x:c r="B967" s="10"/>
      <x:c r="C967" s="10"/>
      <x:c r="D967" s="10"/>
      <x:c r="E967" s="10"/>
      <x:c r="F967" s="10"/>
      <x:c r="G967" s="10"/>
      <x:c r="H967" s="10"/>
    </x:row>
    <x:row r="968" ht="14.25" customHeight="1">
      <x:c r="A968" s="10"/>
      <x:c r="B968" s="10"/>
      <x:c r="C968" s="10"/>
      <x:c r="D968" s="10"/>
      <x:c r="E968" s="10"/>
      <x:c r="F968" s="10"/>
      <x:c r="G968" s="10"/>
      <x:c r="H968" s="10"/>
    </x:row>
    <x:row r="969" ht="14.25" customHeight="1">
      <x:c r="A969" s="10"/>
      <x:c r="B969" s="10"/>
      <x:c r="C969" s="10"/>
      <x:c r="D969" s="10"/>
      <x:c r="E969" s="10"/>
      <x:c r="F969" s="10"/>
      <x:c r="G969" s="10"/>
      <x:c r="H969" s="10"/>
    </x:row>
    <x:row r="970" ht="14.25" customHeight="1">
      <x:c r="A970" s="10"/>
      <x:c r="B970" s="10"/>
      <x:c r="C970" s="10"/>
      <x:c r="D970" s="10"/>
      <x:c r="E970" s="10"/>
      <x:c r="F970" s="10"/>
      <x:c r="G970" s="10"/>
      <x:c r="H970" s="10"/>
    </x:row>
    <x:row r="971" ht="14.25" customHeight="1">
      <x:c r="A971" s="10"/>
      <x:c r="B971" s="10"/>
      <x:c r="C971" s="10"/>
      <x:c r="D971" s="10"/>
      <x:c r="E971" s="10"/>
      <x:c r="F971" s="10"/>
      <x:c r="G971" s="10"/>
      <x:c r="H971" s="10"/>
    </x:row>
    <x:row r="972" ht="14.25" customHeight="1">
      <x:c r="A972" s="10"/>
      <x:c r="B972" s="10"/>
      <x:c r="C972" s="10"/>
      <x:c r="D972" s="10"/>
      <x:c r="E972" s="10"/>
      <x:c r="F972" s="10"/>
      <x:c r="G972" s="10"/>
      <x:c r="H972" s="10"/>
    </x:row>
    <x:row r="973" ht="14.25" customHeight="1">
      <x:c r="A973" s="10"/>
      <x:c r="B973" s="10"/>
      <x:c r="C973" s="10"/>
      <x:c r="D973" s="10"/>
      <x:c r="E973" s="10"/>
      <x:c r="F973" s="10"/>
      <x:c r="G973" s="10"/>
      <x:c r="H973" s="10"/>
    </x:row>
    <x:row r="974" ht="14.25" customHeight="1">
      <x:c r="A974" s="10"/>
      <x:c r="B974" s="10"/>
      <x:c r="C974" s="10"/>
      <x:c r="D974" s="10"/>
      <x:c r="E974" s="10"/>
      <x:c r="F974" s="10"/>
      <x:c r="G974" s="10"/>
      <x:c r="H974" s="10"/>
    </x:row>
    <x:row r="975" ht="14.25" customHeight="1">
      <x:c r="A975" s="10"/>
      <x:c r="B975" s="10"/>
      <x:c r="C975" s="10"/>
      <x:c r="D975" s="10"/>
      <x:c r="E975" s="10"/>
      <x:c r="F975" s="10"/>
      <x:c r="G975" s="10"/>
      <x:c r="H975" s="10"/>
    </x:row>
    <x:row r="976" ht="14.25" customHeight="1">
      <x:c r="A976" s="10"/>
      <x:c r="B976" s="10"/>
      <x:c r="C976" s="10"/>
      <x:c r="D976" s="10"/>
      <x:c r="E976" s="10"/>
      <x:c r="F976" s="10"/>
      <x:c r="G976" s="10"/>
      <x:c r="H976" s="10"/>
    </x:row>
    <x:row r="977" ht="14.25" customHeight="1">
      <x:c r="A977" s="10"/>
      <x:c r="B977" s="10"/>
      <x:c r="C977" s="10"/>
      <x:c r="D977" s="10"/>
      <x:c r="E977" s="10"/>
      <x:c r="F977" s="10"/>
      <x:c r="G977" s="10"/>
      <x:c r="H977" s="10"/>
    </x:row>
    <x:row r="978" ht="14.25" customHeight="1">
      <x:c r="A978" s="10"/>
      <x:c r="B978" s="10"/>
      <x:c r="C978" s="10"/>
      <x:c r="D978" s="10"/>
      <x:c r="E978" s="10"/>
      <x:c r="F978" s="10"/>
      <x:c r="G978" s="10"/>
      <x:c r="H978" s="10"/>
    </x:row>
    <x:row r="979" ht="14.25" customHeight="1">
      <x:c r="A979" s="10"/>
      <x:c r="B979" s="10"/>
      <x:c r="C979" s="10"/>
      <x:c r="D979" s="10"/>
      <x:c r="E979" s="10"/>
      <x:c r="F979" s="10"/>
      <x:c r="G979" s="10"/>
      <x:c r="H979" s="10"/>
    </x:row>
    <x:row r="980" ht="14.25" customHeight="1">
      <x:c r="A980" s="10"/>
      <x:c r="B980" s="10"/>
      <x:c r="C980" s="10"/>
      <x:c r="D980" s="10"/>
      <x:c r="E980" s="10"/>
      <x:c r="F980" s="10"/>
      <x:c r="G980" s="10"/>
      <x:c r="H980" s="10"/>
    </x:row>
    <x:row r="981" ht="14.25" customHeight="1">
      <x:c r="A981" s="10"/>
      <x:c r="B981" s="10"/>
      <x:c r="C981" s="10"/>
      <x:c r="D981" s="10"/>
      <x:c r="E981" s="10"/>
      <x:c r="F981" s="10"/>
      <x:c r="G981" s="10"/>
      <x:c r="H981" s="10"/>
    </x:row>
    <x:row r="982" ht="14.25" customHeight="1">
      <x:c r="A982" s="10"/>
      <x:c r="B982" s="10"/>
      <x:c r="C982" s="10"/>
      <x:c r="D982" s="10"/>
      <x:c r="E982" s="10"/>
      <x:c r="F982" s="10"/>
      <x:c r="G982" s="10"/>
      <x:c r="H982" s="10"/>
    </x:row>
    <x:row r="983" ht="14.25" customHeight="1">
      <x:c r="A983" s="10"/>
      <x:c r="B983" s="10"/>
      <x:c r="C983" s="10"/>
      <x:c r="D983" s="10"/>
      <x:c r="E983" s="10"/>
      <x:c r="F983" s="10"/>
      <x:c r="G983" s="10"/>
      <x:c r="H983" s="10"/>
    </x:row>
    <x:row r="984" ht="14.25" customHeight="1">
      <x:c r="A984" s="10"/>
      <x:c r="B984" s="10"/>
      <x:c r="C984" s="10"/>
      <x:c r="D984" s="10"/>
      <x:c r="E984" s="10"/>
      <x:c r="F984" s="10"/>
      <x:c r="G984" s="10"/>
      <x:c r="H984" s="10"/>
    </x:row>
    <x:row r="985" ht="14.25" customHeight="1">
      <x:c r="A985" s="10"/>
      <x:c r="B985" s="10"/>
      <x:c r="C985" s="10"/>
      <x:c r="D985" s="10"/>
      <x:c r="E985" s="10"/>
      <x:c r="F985" s="10"/>
      <x:c r="G985" s="10"/>
      <x:c r="H985" s="10"/>
    </x:row>
    <x:row r="986" ht="14.25" customHeight="1">
      <x:c r="A986" s="10"/>
      <x:c r="B986" s="10"/>
      <x:c r="C986" s="10"/>
      <x:c r="D986" s="10"/>
      <x:c r="E986" s="10"/>
      <x:c r="F986" s="10"/>
      <x:c r="G986" s="10"/>
      <x:c r="H986" s="10"/>
    </x:row>
    <x:row r="987" ht="14.25" customHeight="1">
      <x:c r="A987" s="10"/>
      <x:c r="B987" s="10"/>
      <x:c r="C987" s="10"/>
      <x:c r="D987" s="10"/>
      <x:c r="E987" s="10"/>
      <x:c r="F987" s="10"/>
      <x:c r="G987" s="10"/>
      <x:c r="H987" s="10"/>
    </x:row>
    <x:row r="988" ht="14.25" customHeight="1">
      <x:c r="A988" s="10"/>
      <x:c r="B988" s="10"/>
      <x:c r="C988" s="10"/>
      <x:c r="D988" s="10"/>
      <x:c r="E988" s="10"/>
      <x:c r="F988" s="10"/>
      <x:c r="G988" s="10"/>
      <x:c r="H988" s="10"/>
    </x:row>
    <x:row r="989" ht="14.25" customHeight="1">
      <x:c r="A989" s="10"/>
      <x:c r="B989" s="10"/>
      <x:c r="C989" s="10"/>
      <x:c r="D989" s="10"/>
      <x:c r="E989" s="10"/>
      <x:c r="F989" s="10"/>
      <x:c r="G989" s="10"/>
      <x:c r="H989" s="10"/>
    </x:row>
    <x:row r="990" ht="14.25" customHeight="1">
      <x:c r="A990" s="10"/>
      <x:c r="B990" s="10"/>
      <x:c r="C990" s="10"/>
      <x:c r="D990" s="10"/>
      <x:c r="E990" s="10"/>
      <x:c r="F990" s="10"/>
      <x:c r="G990" s="10"/>
      <x:c r="H990" s="10"/>
    </x:row>
    <x:row r="991" ht="14.25" customHeight="1">
      <x:c r="A991" s="10"/>
      <x:c r="B991" s="10"/>
      <x:c r="C991" s="10"/>
      <x:c r="D991" s="10"/>
      <x:c r="E991" s="10"/>
      <x:c r="F991" s="10"/>
      <x:c r="G991" s="10"/>
      <x:c r="H991" s="10"/>
    </x:row>
    <x:row r="992" ht="14.25" customHeight="1">
      <x:c r="A992" s="10"/>
      <x:c r="B992" s="10"/>
      <x:c r="C992" s="10"/>
      <x:c r="D992" s="10"/>
      <x:c r="E992" s="10"/>
      <x:c r="F992" s="10"/>
      <x:c r="G992" s="10"/>
      <x:c r="H992" s="10"/>
    </x:row>
    <x:row r="993" ht="14.25" customHeight="1">
      <x:c r="A993" s="10"/>
      <x:c r="B993" s="10"/>
      <x:c r="C993" s="10"/>
      <x:c r="D993" s="10"/>
      <x:c r="E993" s="10"/>
      <x:c r="F993" s="10"/>
      <x:c r="G993" s="10"/>
      <x:c r="H993" s="10"/>
    </x:row>
    <x:row r="994" ht="14.25" customHeight="1">
      <x:c r="A994" s="10"/>
      <x:c r="B994" s="10"/>
      <x:c r="C994" s="10"/>
      <x:c r="D994" s="10"/>
      <x:c r="E994" s="10"/>
      <x:c r="F994" s="10"/>
      <x:c r="G994" s="10"/>
      <x:c r="H994" s="10"/>
    </x:row>
    <x:row r="995" ht="14.25" customHeight="1">
      <x:c r="A995" s="10"/>
      <x:c r="B995" s="10"/>
      <x:c r="C995" s="10"/>
      <x:c r="D995" s="10"/>
      <x:c r="E995" s="10"/>
      <x:c r="F995" s="10"/>
      <x:c r="G995" s="10"/>
      <x:c r="H995" s="10"/>
    </x:row>
    <x:row r="996" ht="14.25" customHeight="1">
      <x:c r="A996" s="10"/>
      <x:c r="B996" s="10"/>
      <x:c r="C996" s="10"/>
      <x:c r="D996" s="10"/>
      <x:c r="E996" s="10"/>
      <x:c r="F996" s="10"/>
      <x:c r="G996" s="10"/>
      <x:c r="H996" s="10"/>
    </x:row>
    <x:row r="997" ht="14.25" customHeight="1">
      <x:c r="A997" s="10"/>
      <x:c r="B997" s="10"/>
      <x:c r="C997" s="10"/>
      <x:c r="D997" s="10"/>
      <x:c r="E997" s="10"/>
      <x:c r="F997" s="10"/>
      <x:c r="G997" s="10"/>
      <x:c r="H997" s="10"/>
    </x:row>
    <x:row r="998" ht="14.25" customHeight="1">
      <x:c r="A998" s="10"/>
      <x:c r="B998" s="10"/>
      <x:c r="C998" s="10"/>
      <x:c r="D998" s="10"/>
      <x:c r="E998" s="10"/>
      <x:c r="F998" s="10"/>
      <x:c r="G998" s="10"/>
      <x:c r="H998" s="10"/>
    </x:row>
    <x:row r="999" ht="14.25" customHeight="1">
      <x:c r="A999" s="10"/>
      <x:c r="B999" s="10"/>
      <x:c r="C999" s="10"/>
      <x:c r="D999" s="10"/>
      <x:c r="E999" s="10"/>
      <x:c r="F999" s="10"/>
      <x:c r="G999" s="10"/>
      <x:c r="H999" s="10"/>
    </x:row>
    <x:row r="1000" ht="14.25" customHeight="1">
      <x:c r="A1000" s="10"/>
      <x:c r="B1000" s="10"/>
      <x:c r="C1000" s="10"/>
      <x:c r="D1000" s="10"/>
      <x:c r="E1000" s="10"/>
      <x:c r="F1000" s="10"/>
      <x:c r="G1000" s="10"/>
      <x:c r="H1000" s="10"/>
    </x:row>
  </x:sheetData>
  <x:pageMargins left="0.7" right="0.7" top="0.75" bottom="0.75" header="0.3" footer="0.3"/>
</x:worksheet>
</file>

<file path=xl/worksheets/sheet5.xml><?xml version="1.0" encoding="utf-8"?>
<x:worksheet xmlns:x="http://schemas.openxmlformats.org/spreadsheetml/2006/main">
  <x:sheetFormatPr defaultColWidth="14.453125" defaultRowHeight="15"/>
  <x:cols>
    <x:col min="1" max="1" width="34" customWidth="1"/>
    <x:col min="2" max="7" width="10" customWidth="1"/>
    <x:col min="8" max="26" width="8.54296875" customWidth="1"/>
  </x:cols>
  <x:sheetData>
    <x:row r="1" ht="15.75" customHeight="1">
      <x:c r="A1" s="11" t="s">
        <x:v>932</x:v>
      </x:c>
      <x:c r="B1" s="10"/>
      <x:c r="C1" s="10"/>
      <x:c r="D1" s="10"/>
      <x:c r="E1" s="10"/>
      <x:c r="F1" s="10"/>
      <x:c r="G1" s="10"/>
      <x:c r="H1" s="10"/>
    </x:row>
    <x:row r="2" ht="14.25" customHeight="1">
      <x:c r="A2" s="10"/>
      <x:c r="B2" s="10"/>
      <x:c r="C2" s="10"/>
      <x:c r="D2" s="10"/>
      <x:c r="E2" s="10"/>
      <x:c r="F2" s="10"/>
      <x:c r="G2" s="10"/>
      <x:c r="H2" s="10"/>
    </x:row>
    <x:row r="3" ht="15" customHeight="1">
      <x:c r="A3" s="13" t="s">
        <x:v>933</x:v>
      </x:c>
      <x:c r="B3" s="10"/>
      <x:c r="C3" s="10"/>
      <x:c r="D3" s="10"/>
      <x:c r="E3" s="10"/>
      <x:c r="F3" s="10"/>
      <x:c r="G3" s="10"/>
      <x:c r="H3" s="10"/>
    </x:row>
    <x:row r="4" ht="15" customHeight="1">
      <x:c r="A4" s="14" t="s">
        <x:v>918</x:v>
      </x:c>
      <x:c r="B4" s="14" t="s">
        <x:v>11</x:v>
      </x:c>
      <x:c r="C4" s="14" t="s">
        <x:v>92</x:v>
      </x:c>
      <x:c r="D4" s="14" t="s">
        <x:v>22</x:v>
      </x:c>
      <x:c r="E4" s="14" t="s">
        <x:v>37</x:v>
      </x:c>
      <x:c r="F4" s="14" t="s">
        <x:v>62</x:v>
      </x:c>
      <x:c r="G4" s="14" t="s">
        <x:v>908</x:v>
      </x:c>
      <x:c r="H4" s="10"/>
    </x:row>
    <x:row r="5" ht="15" customHeight="1">
      <x:c r="A5" s="22" t="s">
        <x:v>934</x:v>
      </x:c>
      <x:c r="B5" s="16" t="n">
        <x:f>SUMIFS('Data (parsed)'!$I$2:$I$235,'Data (parsed)'!$B$2:$B$235,"Guilt",'Data (parsed)'!$C$2:$C$235,$A5,'Data (parsed)'!$D$2:$D$235,B$4)</x:f>
        <x:v>2</x:v>
      </x:c>
      <x:c r="C5" s="16" t="n">
        <x:f>SUMIFS('Data (parsed)'!$I$2:$I$235,'Data (parsed)'!$B$2:$B$235,"Guilt",'Data (parsed)'!$C$2:$C$235,$A5,'Data (parsed)'!$D$2:$D$235,C$4)</x:f>
        <x:v>3</x:v>
      </x:c>
      <x:c r="D5" s="16" t="n">
        <x:f>SUMIFS('Data (parsed)'!$I$2:$I$235,'Data (parsed)'!$B$2:$B$235,"Guilt",'Data (parsed)'!$C$2:$C$235,$A5,'Data (parsed)'!$D$2:$D$235,D$4)</x:f>
        <x:v>2</x:v>
      </x:c>
      <x:c r="E5" s="16" t="n">
        <x:f>SUMIFS('Data (parsed)'!$I$2:$I$235,'Data (parsed)'!$B$2:$B$235,"Guilt",'Data (parsed)'!$C$2:$C$235,$A5,'Data (parsed)'!$D$2:$D$235,E$4)</x:f>
        <x:v>3</x:v>
      </x:c>
      <x:c r="F5" s="16" t="n">
        <x:f>SUMIFS('Data (parsed)'!$I$2:$I$235,'Data (parsed)'!$B$2:$B$235,"Guilt",'Data (parsed)'!$C$2:$C$235,$A5,'Data (parsed)'!$D$2:$D$235,F$4)</x:f>
        <x:v>7</x:v>
      </x:c>
      <x:c r="G5" s="18" t="n">
        <x:f t="shared" ref="G5:G10" si="0">SUM(B5:F5)</x:f>
        <x:v>17</x:v>
      </x:c>
      <x:c r="H5" s="10"/>
    </x:row>
    <x:row r="6" ht="15" customHeight="1">
      <x:c r="A6" s="22" t="s">
        <x:v>935</x:v>
      </x:c>
      <x:c r="B6" s="16" t="n">
        <x:f>SUMIFS('Data (parsed)'!$I$2:$I$235,'Data (parsed)'!$B$2:$B$235,"Guilt",'Data (parsed)'!$C$2:$C$235,$A6,'Data (parsed)'!$D$2:$D$235,B$4)</x:f>
        <x:v>0</x:v>
      </x:c>
      <x:c r="C6" s="16" t="n">
        <x:f>SUMIFS('Data (parsed)'!$I$2:$I$235,'Data (parsed)'!$B$2:$B$235,"Guilt",'Data (parsed)'!$C$2:$C$235,$A6,'Data (parsed)'!$D$2:$D$235,C$4)</x:f>
        <x:v>1</x:v>
      </x:c>
      <x:c r="D6" s="16" t="n">
        <x:f>SUMIFS('Data (parsed)'!$I$2:$I$235,'Data (parsed)'!$B$2:$B$235,"Guilt",'Data (parsed)'!$C$2:$C$235,$A6,'Data (parsed)'!$D$2:$D$235,D$4)</x:f>
        <x:v>0</x:v>
      </x:c>
      <x:c r="E6" s="16" t="n">
        <x:f>SUMIFS('Data (parsed)'!$I$2:$I$235,'Data (parsed)'!$B$2:$B$235,"Guilt",'Data (parsed)'!$C$2:$C$235,$A6,'Data (parsed)'!$D$2:$D$235,E$4)</x:f>
        <x:v>0</x:v>
      </x:c>
      <x:c r="F6" s="16" t="n">
        <x:f>SUMIFS('Data (parsed)'!$I$2:$I$235,'Data (parsed)'!$B$2:$B$235,"Guilt",'Data (parsed)'!$C$2:$C$235,$A6,'Data (parsed)'!$D$2:$D$235,F$4)</x:f>
        <x:v>4</x:v>
      </x:c>
      <x:c r="G6" s="18">
        <x:f t="shared" si="0"/>
        <x:v>5</x:v>
      </x:c>
      <x:c r="H6" s="10"/>
    </x:row>
    <x:row r="7" ht="15" customHeight="1">
      <x:c r="A7" s="22" t="s">
        <x:v>936</x:v>
      </x:c>
      <x:c r="B7" s="16" t="n">
        <x:f>SUMIFS('Data (parsed)'!$I$2:$I$235,'Data (parsed)'!$B$2:$B$235,"Guilt",'Data (parsed)'!$C$2:$C$235,$A7,'Data (parsed)'!$D$2:$D$235,B$4)</x:f>
        <x:v>2</x:v>
      </x:c>
      <x:c r="C7" s="16" t="n">
        <x:f>SUMIFS('Data (parsed)'!$I$2:$I$235,'Data (parsed)'!$B$2:$B$235,"Guilt",'Data (parsed)'!$C$2:$C$235,$A7,'Data (parsed)'!$D$2:$D$235,C$4)</x:f>
        <x:v>0</x:v>
      </x:c>
      <x:c r="D7" s="16" t="n">
        <x:f>SUMIFS('Data (parsed)'!$I$2:$I$235,'Data (parsed)'!$B$2:$B$235,"Guilt",'Data (parsed)'!$C$2:$C$235,$A7,'Data (parsed)'!$D$2:$D$235,D$4)</x:f>
        <x:v>0</x:v>
      </x:c>
      <x:c r="E7" s="16" t="n">
        <x:f>SUMIFS('Data (parsed)'!$I$2:$I$235,'Data (parsed)'!$B$2:$B$235,"Guilt",'Data (parsed)'!$C$2:$C$235,$A7,'Data (parsed)'!$D$2:$D$235,E$4)</x:f>
        <x:v>1</x:v>
      </x:c>
      <x:c r="F7" s="16" t="n">
        <x:f>SUMIFS('Data (parsed)'!$I$2:$I$235,'Data (parsed)'!$B$2:$B$235,"Guilt",'Data (parsed)'!$C$2:$C$235,$A7,'Data (parsed)'!$D$2:$D$235,F$4)</x:f>
        <x:v>0</x:v>
      </x:c>
      <x:c r="G7" s="18">
        <x:f t="shared" si="0"/>
        <x:v>3</x:v>
      </x:c>
      <x:c r="H7" s="10"/>
    </x:row>
    <x:row r="8" ht="15" customHeight="1">
      <x:c r="A8" s="22" t="s">
        <x:v>937</x:v>
      </x:c>
      <x:c r="B8" s="16" t="n">
        <x:f>SUMIFS('Data (parsed)'!$I$2:$I$235,'Data (parsed)'!$B$2:$B$235,"Guilt",'Data (parsed)'!$C$2:$C$235,$A8,'Data (parsed)'!$D$2:$D$235,B$4)</x:f>
        <x:v>0</x:v>
      </x:c>
      <x:c r="C8" s="16" t="n">
        <x:f>SUMIFS('Data (parsed)'!$I$2:$I$235,'Data (parsed)'!$B$2:$B$235,"Guilt",'Data (parsed)'!$C$2:$C$235,$A8,'Data (parsed)'!$D$2:$D$235,C$4)</x:f>
        <x:v>1</x:v>
      </x:c>
      <x:c r="D8" s="16" t="n">
        <x:f>SUMIFS('Data (parsed)'!$I$2:$I$235,'Data (parsed)'!$B$2:$B$235,"Guilt",'Data (parsed)'!$C$2:$C$235,$A8,'Data (parsed)'!$D$2:$D$235,D$4)</x:f>
        <x:v>0</x:v>
      </x:c>
      <x:c r="E8" s="16" t="n">
        <x:f>SUMIFS('Data (parsed)'!$I$2:$I$235,'Data (parsed)'!$B$2:$B$235,"Guilt",'Data (parsed)'!$C$2:$C$235,$A8,'Data (parsed)'!$D$2:$D$235,E$4)</x:f>
        <x:v>0</x:v>
      </x:c>
      <x:c r="F8" s="16" t="n">
        <x:f>SUMIFS('Data (parsed)'!$I$2:$I$235,'Data (parsed)'!$B$2:$B$235,"Guilt",'Data (parsed)'!$C$2:$C$235,$A8,'Data (parsed)'!$D$2:$D$235,F$4)</x:f>
        <x:v>2</x:v>
      </x:c>
      <x:c r="G8" s="18">
        <x:f t="shared" si="0"/>
        <x:v>3</x:v>
      </x:c>
      <x:c r="H8" s="10"/>
    </x:row>
    <x:row r="9" ht="15" customHeight="1">
      <x:c r="A9" s="22" t="s">
        <x:v>938</x:v>
      </x:c>
      <x:c r="B9" s="16" t="n">
        <x:f>SUMIFS('Data (parsed)'!$I$2:$I$235,'Data (parsed)'!$B$2:$B$235,"Guilt",'Data (parsed)'!$C$2:$C$235,$A9,'Data (parsed)'!$D$2:$D$235,B$4)</x:f>
        <x:v>0</x:v>
      </x:c>
      <x:c r="C9" s="16" t="n">
        <x:f>SUMIFS('Data (parsed)'!$I$2:$I$235,'Data (parsed)'!$B$2:$B$235,"Guilt",'Data (parsed)'!$C$2:$C$235,$A9,'Data (parsed)'!$D$2:$D$235,C$4)</x:f>
        <x:v>2</x:v>
      </x:c>
      <x:c r="D9" s="16" t="n">
        <x:f>SUMIFS('Data (parsed)'!$I$2:$I$235,'Data (parsed)'!$B$2:$B$235,"Guilt",'Data (parsed)'!$C$2:$C$235,$A9,'Data (parsed)'!$D$2:$D$235,D$4)</x:f>
        <x:v>0</x:v>
      </x:c>
      <x:c r="E9" s="16" t="n">
        <x:f>SUMIFS('Data (parsed)'!$I$2:$I$235,'Data (parsed)'!$B$2:$B$235,"Guilt",'Data (parsed)'!$C$2:$C$235,$A9,'Data (parsed)'!$D$2:$D$235,E$4)</x:f>
        <x:v>0</x:v>
      </x:c>
      <x:c r="F9" s="16" t="n">
        <x:f>SUMIFS('Data (parsed)'!$I$2:$I$235,'Data (parsed)'!$B$2:$B$235,"Guilt",'Data (parsed)'!$C$2:$C$235,$A9,'Data (parsed)'!$D$2:$D$235,F$4)</x:f>
        <x:v>0</x:v>
      </x:c>
      <x:c r="G9" s="18">
        <x:f t="shared" si="0"/>
        <x:v>2</x:v>
      </x:c>
      <x:c r="H9" s="10"/>
    </x:row>
    <x:row r="10" ht="15" customHeight="1">
      <x:c r="A10" s="22" t="s">
        <x:v>939</x:v>
      </x:c>
      <x:c r="B10" s="16" t="n">
        <x:f>SUMIFS('Data (parsed)'!$I$2:$I$235,'Data (parsed)'!$B$2:$B$235,"Guilt",'Data (parsed)'!$C$2:$C$235,$A10,'Data (parsed)'!$D$2:$D$235,B$4)</x:f>
        <x:v>0</x:v>
      </x:c>
      <x:c r="C10" s="16" t="n">
        <x:f>SUMIFS('Data (parsed)'!$I$2:$I$235,'Data (parsed)'!$B$2:$B$235,"Guilt",'Data (parsed)'!$C$2:$C$235,$A10,'Data (parsed)'!$D$2:$D$235,C$4)</x:f>
        <x:v>0</x:v>
      </x:c>
      <x:c r="D10" s="16" t="n">
        <x:f>SUMIFS('Data (parsed)'!$I$2:$I$235,'Data (parsed)'!$B$2:$B$235,"Guilt",'Data (parsed)'!$C$2:$C$235,$A10,'Data (parsed)'!$D$2:$D$235,D$4)</x:f>
        <x:v>0</x:v>
      </x:c>
      <x:c r="E10" s="16" t="n">
        <x:f>SUMIFS('Data (parsed)'!$I$2:$I$235,'Data (parsed)'!$B$2:$B$235,"Guilt",'Data (parsed)'!$C$2:$C$235,$A10,'Data (parsed)'!$D$2:$D$235,E$4)</x:f>
        <x:v>1</x:v>
      </x:c>
      <x:c r="F10" s="16" t="n">
        <x:f>SUMIFS('Data (parsed)'!$I$2:$I$235,'Data (parsed)'!$B$2:$B$235,"Guilt",'Data (parsed)'!$C$2:$C$235,$A10,'Data (parsed)'!$D$2:$D$235,F$4)</x:f>
        <x:v>0</x:v>
      </x:c>
      <x:c r="G10" s="18">
        <x:f t="shared" si="0"/>
        <x:v>1</x:v>
      </x:c>
      <x:c r="H10" s="10"/>
    </x:row>
    <x:row r="11" ht="15" customHeight="1">
      <x:c r="A11" s="17" t="s">
        <x:v>908</x:v>
      </x:c>
      <x:c r="B11" s="18" t="n">
        <x:f t="shared" ref="B11:G11" si="1">SUM(B5:B10)</x:f>
        <x:v>4</x:v>
      </x:c>
      <x:c r="C11" s="18">
        <x:f t="shared" si="1"/>
        <x:v>7</x:v>
      </x:c>
      <x:c r="D11" s="18">
        <x:f t="shared" si="1"/>
        <x:v>2</x:v>
      </x:c>
      <x:c r="E11" s="18">
        <x:f t="shared" si="1"/>
        <x:v>5</x:v>
      </x:c>
      <x:c r="F11" s="18">
        <x:f t="shared" si="1"/>
        <x:v>13</x:v>
      </x:c>
      <x:c r="G11" s="18">
        <x:f t="shared" si="1"/>
        <x:v>31</x:v>
      </x:c>
      <x:c r="H11" s="10"/>
    </x:row>
    <x:row r="12" ht="14.25" customHeight="1">
      <x:c r="A12" s="10"/>
      <x:c r="B12" s="10"/>
      <x:c r="C12" s="10"/>
      <x:c r="D12" s="10"/>
      <x:c r="E12" s="10"/>
      <x:c r="F12" s="10"/>
      <x:c r="G12" s="10"/>
      <x:c r="H12" s="10"/>
    </x:row>
    <x:row r="13" ht="15" customHeight="1">
      <x:c r="A13" s="13" t="s">
        <x:v>940</x:v>
      </x:c>
      <x:c r="B13" s="10"/>
      <x:c r="C13" s="10"/>
      <x:c r="D13" s="10"/>
      <x:c r="E13" s="10"/>
      <x:c r="F13" s="10"/>
      <x:c r="G13" s="10"/>
      <x:c r="H13" s="10"/>
    </x:row>
    <x:row r="14" ht="15" customHeight="1">
      <x:c r="A14" s="14" t="s">
        <x:v>918</x:v>
      </x:c>
      <x:c r="B14" s="14" t="s">
        <x:v>14</x:v>
      </x:c>
      <x:c r="C14" s="14" t="s">
        <x:v>95</x:v>
      </x:c>
      <x:c r="D14" s="14" t="s">
        <x:v>84</x:v>
      </x:c>
      <x:c r="E14" s="14" t="s">
        <x:v>89</x:v>
      </x:c>
      <x:c r="F14" s="14" t="s">
        <x:v>931</x:v>
      </x:c>
      <x:c r="G14" s="14" t="s">
        <x:v>903</x:v>
      </x:c>
      <x:c r="H14" s="10"/>
    </x:row>
    <x:row r="15" ht="15" customHeight="1">
      <x:c r="A15" s="22" t="s">
        <x:v>934</x:v>
      </x:c>
      <x:c r="B15" s="16" t="n">
        <x:f>COUNTIFS('Data (parsed)'!$E$2:$E$235,B$14,'Data (parsed)'!$B$2:$B$235,"Guilt",'Data (parsed)'!$C$2:$C$235,$A15)</x:f>
        <x:v>12</x:v>
      </x:c>
      <x:c r="C15" s="16" t="n">
        <x:f>COUNTIFS('Data (parsed)'!$E$2:$E$235,C$14,'Data (parsed)'!$B$2:$B$235,"Guilt",'Data (parsed)'!$C$2:$C$235,$A15)</x:f>
        <x:v>0</x:v>
      </x:c>
      <x:c r="D15" s="16" t="n">
        <x:f>COUNTIFS('Data (parsed)'!$E$2:$E$235,D$14,'Data (parsed)'!$B$2:$B$235,"Guilt",'Data (parsed)'!$C$2:$C$235,$A15)</x:f>
        <x:v>0</x:v>
      </x:c>
      <x:c r="E15" s="16" t="n">
        <x:f>COUNTIFS('Data (parsed)'!$E$2:$E$235,E$14,'Data (parsed)'!$B$2:$B$235,"Guilt",'Data (parsed)'!$C$2:$C$235,$A15)</x:f>
        <x:v>2</x:v>
      </x:c>
      <x:c r="F15" s="16" t="n">
        <x:f>SUMIFS('Data (parsed)'!$I$2:$I$235,'Data (parsed)'!$B$2:$B$235,"Guilt",'Data (parsed)'!$C$2:$C$235,$A15,'Data (parsed)'!$J$2:$J$235,0)</x:f>
        <x:v>4</x:v>
      </x:c>
      <x:c r="G15" s="18" t="n">
        <x:f>SUMIFS('Data (parsed)'!$I$2:$I$235,'Data (parsed)'!$B$2:$B$235,"Guilt",'Data (parsed)'!$C$2:$C$235,$A15)</x:f>
        <x:v>17</x:v>
      </x:c>
      <x:c r="H15" s="10"/>
    </x:row>
    <x:row r="16" ht="15" customHeight="1">
      <x:c r="A16" s="22" t="s">
        <x:v>935</x:v>
      </x:c>
      <x:c r="B16" s="16" t="n">
        <x:f>COUNTIFS('Data (parsed)'!$E$2:$E$235,B$14,'Data (parsed)'!$B$2:$B$235,"Guilt",'Data (parsed)'!$C$2:$C$235,$A16)</x:f>
        <x:v>4</x:v>
      </x:c>
      <x:c r="C16" s="16" t="n">
        <x:f>COUNTIFS('Data (parsed)'!$E$2:$E$235,C$14,'Data (parsed)'!$B$2:$B$235,"Guilt",'Data (parsed)'!$C$2:$C$235,$A16)</x:f>
        <x:v>0</x:v>
      </x:c>
      <x:c r="D16" s="16" t="n">
        <x:f>COUNTIFS('Data (parsed)'!$E$2:$E$235,D$14,'Data (parsed)'!$B$2:$B$235,"Guilt",'Data (parsed)'!$C$2:$C$235,$A16)</x:f>
        <x:v>0</x:v>
      </x:c>
      <x:c r="E16" s="16" t="n">
        <x:f>COUNTIFS('Data (parsed)'!$E$2:$E$235,E$14,'Data (parsed)'!$B$2:$B$235,"Guilt",'Data (parsed)'!$C$2:$C$235,$A16)</x:f>
        <x:v>1</x:v>
      </x:c>
      <x:c r="F16" s="16" t="n">
        <x:f>SUMIFS('Data (parsed)'!$I$2:$I$235,'Data (parsed)'!$B$2:$B$235,"Guilt",'Data (parsed)'!$C$2:$C$235,$A16,'Data (parsed)'!$J$2:$J$235,0)</x:f>
        <x:v>0</x:v>
      </x:c>
      <x:c r="G16" s="18" t="n">
        <x:f>SUMIFS('Data (parsed)'!$I$2:$I$235,'Data (parsed)'!$B$2:$B$235,"Guilt",'Data (parsed)'!$C$2:$C$235,$A16)</x:f>
        <x:v>5</x:v>
      </x:c>
      <x:c r="H16" s="10"/>
    </x:row>
    <x:row r="17" ht="15" customHeight="1">
      <x:c r="A17" s="22" t="s">
        <x:v>936</x:v>
      </x:c>
      <x:c r="B17" s="16" t="n">
        <x:f>COUNTIFS('Data (parsed)'!$E$2:$E$235,B$14,'Data (parsed)'!$B$2:$B$235,"Guilt",'Data (parsed)'!$C$2:$C$235,$A17)</x:f>
        <x:v>2</x:v>
      </x:c>
      <x:c r="C17" s="16" t="n">
        <x:f>COUNTIFS('Data (parsed)'!$E$2:$E$235,C$14,'Data (parsed)'!$B$2:$B$235,"Guilt",'Data (parsed)'!$C$2:$C$235,$A17)</x:f>
        <x:v>0</x:v>
      </x:c>
      <x:c r="D17" s="16" t="n">
        <x:f>COUNTIFS('Data (parsed)'!$E$2:$E$235,D$14,'Data (parsed)'!$B$2:$B$235,"Guilt",'Data (parsed)'!$C$2:$C$235,$A17)</x:f>
        <x:v>0</x:v>
      </x:c>
      <x:c r="E17" s="16" t="n">
        <x:f>COUNTIFS('Data (parsed)'!$E$2:$E$235,E$14,'Data (parsed)'!$B$2:$B$235,"Guilt",'Data (parsed)'!$C$2:$C$235,$A17)</x:f>
        <x:v>0</x:v>
      </x:c>
      <x:c r="F17" s="16" t="n">
        <x:f>SUMIFS('Data (parsed)'!$I$2:$I$235,'Data (parsed)'!$B$2:$B$235,"Guilt",'Data (parsed)'!$C$2:$C$235,$A17,'Data (parsed)'!$J$2:$J$235,0)</x:f>
        <x:v>1</x:v>
      </x:c>
      <x:c r="G17" s="18" t="n">
        <x:f>SUMIFS('Data (parsed)'!$I$2:$I$235,'Data (parsed)'!$B$2:$B$235,"Guilt",'Data (parsed)'!$C$2:$C$235,$A17)</x:f>
        <x:v>3</x:v>
      </x:c>
      <x:c r="H17" s="10"/>
    </x:row>
    <x:row r="18" ht="15" customHeight="1">
      <x:c r="A18" s="22" t="s">
        <x:v>937</x:v>
      </x:c>
      <x:c r="B18" s="16" t="n">
        <x:f>COUNTIFS('Data (parsed)'!$E$2:$E$235,B$14,'Data (parsed)'!$B$2:$B$235,"Guilt",'Data (parsed)'!$C$2:$C$235,$A18)</x:f>
        <x:v>3</x:v>
      </x:c>
      <x:c r="C18" s="16" t="n">
        <x:f>COUNTIFS('Data (parsed)'!$E$2:$E$235,C$14,'Data (parsed)'!$B$2:$B$235,"Guilt",'Data (parsed)'!$C$2:$C$235,$A18)</x:f>
        <x:v>0</x:v>
      </x:c>
      <x:c r="D18" s="16" t="n">
        <x:f>COUNTIFS('Data (parsed)'!$E$2:$E$235,D$14,'Data (parsed)'!$B$2:$B$235,"Guilt",'Data (parsed)'!$C$2:$C$235,$A18)</x:f>
        <x:v>0</x:v>
      </x:c>
      <x:c r="E18" s="16" t="n">
        <x:f>COUNTIFS('Data (parsed)'!$E$2:$E$235,E$14,'Data (parsed)'!$B$2:$B$235,"Guilt",'Data (parsed)'!$C$2:$C$235,$A18)</x:f>
        <x:v>0</x:v>
      </x:c>
      <x:c r="F18" s="16" t="n">
        <x:f>SUMIFS('Data (parsed)'!$I$2:$I$235,'Data (parsed)'!$B$2:$B$235,"Guilt",'Data (parsed)'!$C$2:$C$235,$A18,'Data (parsed)'!$J$2:$J$235,0)</x:f>
        <x:v>0</x:v>
      </x:c>
      <x:c r="G18" s="18" t="n">
        <x:f>SUMIFS('Data (parsed)'!$I$2:$I$235,'Data (parsed)'!$B$2:$B$235,"Guilt",'Data (parsed)'!$C$2:$C$235,$A18)</x:f>
        <x:v>3</x:v>
      </x:c>
      <x:c r="H18" s="10"/>
    </x:row>
    <x:row r="19" ht="15" customHeight="1">
      <x:c r="A19" s="22" t="s">
        <x:v>938</x:v>
      </x:c>
      <x:c r="B19" s="16" t="n">
        <x:f>COUNTIFS('Data (parsed)'!$E$2:$E$235,B$14,'Data (parsed)'!$B$2:$B$235,"Guilt",'Data (parsed)'!$C$2:$C$235,$A19)</x:f>
        <x:v>2</x:v>
      </x:c>
      <x:c r="C19" s="16" t="n">
        <x:f>COUNTIFS('Data (parsed)'!$E$2:$E$235,C$14,'Data (parsed)'!$B$2:$B$235,"Guilt",'Data (parsed)'!$C$2:$C$235,$A19)</x:f>
        <x:v>0</x:v>
      </x:c>
      <x:c r="D19" s="16" t="n">
        <x:f>COUNTIFS('Data (parsed)'!$E$2:$E$235,D$14,'Data (parsed)'!$B$2:$B$235,"Guilt",'Data (parsed)'!$C$2:$C$235,$A19)</x:f>
        <x:v>0</x:v>
      </x:c>
      <x:c r="E19" s="16" t="n">
        <x:f>COUNTIFS('Data (parsed)'!$E$2:$E$235,E$14,'Data (parsed)'!$B$2:$B$235,"Guilt",'Data (parsed)'!$C$2:$C$235,$A19)</x:f>
        <x:v>0</x:v>
      </x:c>
      <x:c r="F19" s="16" t="n">
        <x:f>SUMIFS('Data (parsed)'!$I$2:$I$235,'Data (parsed)'!$B$2:$B$235,"Guilt",'Data (parsed)'!$C$2:$C$235,$A19,'Data (parsed)'!$J$2:$J$235,0)</x:f>
        <x:v>0</x:v>
      </x:c>
      <x:c r="G19" s="18" t="n">
        <x:f>SUMIFS('Data (parsed)'!$I$2:$I$235,'Data (parsed)'!$B$2:$B$235,"Guilt",'Data (parsed)'!$C$2:$C$235,$A19)</x:f>
        <x:v>2</x:v>
      </x:c>
      <x:c r="H19" s="10"/>
    </x:row>
    <x:row r="20" ht="15" customHeight="1">
      <x:c r="A20" s="22" t="s">
        <x:v>939</x:v>
      </x:c>
      <x:c r="B20" s="16" t="n">
        <x:f>COUNTIFS('Data (parsed)'!$E$2:$E$235,B$14,'Data (parsed)'!$B$2:$B$235,"Guilt",'Data (parsed)'!$C$2:$C$235,$A20)</x:f>
        <x:v>1</x:v>
      </x:c>
      <x:c r="C20" s="16" t="n">
        <x:f>COUNTIFS('Data (parsed)'!$E$2:$E$235,C$14,'Data (parsed)'!$B$2:$B$235,"Guilt",'Data (parsed)'!$C$2:$C$235,$A20)</x:f>
        <x:v>0</x:v>
      </x:c>
      <x:c r="D20" s="16" t="n">
        <x:f>COUNTIFS('Data (parsed)'!$E$2:$E$235,D$14,'Data (parsed)'!$B$2:$B$235,"Guilt",'Data (parsed)'!$C$2:$C$235,$A20)</x:f>
        <x:v>0</x:v>
      </x:c>
      <x:c r="E20" s="16" t="n">
        <x:f>COUNTIFS('Data (parsed)'!$E$2:$E$235,E$14,'Data (parsed)'!$B$2:$B$235,"Guilt",'Data (parsed)'!$C$2:$C$235,$A20)</x:f>
        <x:v>0</x:v>
      </x:c>
      <x:c r="F20" s="16" t="n">
        <x:f>SUMIFS('Data (parsed)'!$I$2:$I$235,'Data (parsed)'!$B$2:$B$235,"Guilt",'Data (parsed)'!$C$2:$C$235,$A20,'Data (parsed)'!$J$2:$J$235,0)</x:f>
        <x:v>0</x:v>
      </x:c>
      <x:c r="G20" s="18" t="n">
        <x:f>SUMIFS('Data (parsed)'!$I$2:$I$235,'Data (parsed)'!$B$2:$B$235,"Guilt",'Data (parsed)'!$C$2:$C$235,$A20)</x:f>
        <x:v>1</x:v>
      </x:c>
      <x:c r="H20" s="10"/>
    </x:row>
    <x:row r="21" ht="15" customHeight="1">
      <x:c r="A21" s="17" t="s">
        <x:v>908</x:v>
      </x:c>
      <x:c r="B21" s="18" t="n">
        <x:f t="shared" ref="B21:G21" si="2">SUM(B15:B20)</x:f>
        <x:v>24</x:v>
      </x:c>
      <x:c r="C21" s="18">
        <x:f t="shared" si="2"/>
        <x:v>0</x:v>
      </x:c>
      <x:c r="D21" s="18">
        <x:f t="shared" si="2"/>
        <x:v>0</x:v>
      </x:c>
      <x:c r="E21" s="18">
        <x:f t="shared" si="2"/>
        <x:v>3</x:v>
      </x:c>
      <x:c r="F21" s="18">
        <x:f t="shared" si="2"/>
        <x:v>5</x:v>
      </x:c>
      <x:c r="G21" s="18">
        <x:f t="shared" si="2"/>
        <x:v>31</x:v>
      </x:c>
      <x:c r="H21" s="10"/>
    </x:row>
    <x:row r="22" ht="14.25" customHeight="1">
      <x:c r="A22" s="10"/>
      <x:c r="B22" s="10"/>
      <x:c r="C22" s="10"/>
      <x:c r="D22" s="10"/>
      <x:c r="E22" s="10"/>
      <x:c r="F22" s="10"/>
      <x:c r="G22" s="10"/>
      <x:c r="H22" s="10"/>
    </x:row>
    <x:row r="23" ht="14.25" customHeight="1">
      <x:c r="A23" s="10"/>
      <x:c r="B23" s="10"/>
      <x:c r="C23" s="10"/>
      <x:c r="D23" s="10"/>
      <x:c r="E23" s="10"/>
      <x:c r="F23" s="10"/>
      <x:c r="G23" s="10"/>
      <x:c r="H23" s="10"/>
    </x:row>
    <x:row r="24" ht="14.25" customHeight="1">
      <x:c r="A24" s="10"/>
      <x:c r="B24" s="10"/>
      <x:c r="C24" s="10"/>
      <x:c r="D24" s="10"/>
      <x:c r="E24" s="10"/>
      <x:c r="F24" s="10"/>
      <x:c r="G24" s="10"/>
      <x:c r="H24" s="10"/>
    </x:row>
    <x:row r="25" ht="14.25" customHeight="1">
      <x:c r="A25" s="10"/>
      <x:c r="B25" s="10"/>
      <x:c r="C25" s="10"/>
      <x:c r="D25" s="10"/>
      <x:c r="E25" s="10"/>
      <x:c r="F25" s="10"/>
      <x:c r="G25" s="10"/>
      <x:c r="H25" s="10"/>
    </x:row>
    <x:row r="26" ht="14.25" customHeight="1">
      <x:c r="A26" s="10"/>
      <x:c r="B26" s="10"/>
      <x:c r="C26" s="10"/>
      <x:c r="D26" s="10"/>
      <x:c r="E26" s="10"/>
      <x:c r="F26" s="10"/>
      <x:c r="G26" s="10"/>
      <x:c r="H26" s="10"/>
    </x:row>
    <x:row r="27" ht="14.25" customHeight="1">
      <x:c r="A27" s="10"/>
      <x:c r="B27" s="10"/>
      <x:c r="C27" s="10"/>
      <x:c r="D27" s="10"/>
      <x:c r="E27" s="10"/>
      <x:c r="F27" s="10"/>
      <x:c r="G27" s="10"/>
      <x:c r="H27" s="10"/>
    </x:row>
    <x:row r="28" ht="14.25" customHeight="1">
      <x:c r="A28" s="10"/>
      <x:c r="B28" s="10"/>
      <x:c r="C28" s="10"/>
      <x:c r="D28" s="10"/>
      <x:c r="E28" s="10"/>
      <x:c r="F28" s="10"/>
      <x:c r="G28" s="10"/>
      <x:c r="H28" s="10"/>
    </x:row>
    <x:row r="29" ht="14.25" customHeight="1">
      <x:c r="A29" s="10"/>
      <x:c r="B29" s="10"/>
      <x:c r="C29" s="10"/>
      <x:c r="D29" s="10"/>
      <x:c r="E29" s="10"/>
      <x:c r="F29" s="10"/>
      <x:c r="G29" s="10"/>
      <x:c r="H29" s="10"/>
    </x:row>
    <x:row r="30" ht="14.25" customHeight="1">
      <x:c r="A30" s="10"/>
      <x:c r="B30" s="10"/>
      <x:c r="C30" s="10"/>
      <x:c r="D30" s="10"/>
      <x:c r="E30" s="10"/>
      <x:c r="F30" s="10"/>
      <x:c r="G30" s="10"/>
      <x:c r="H30" s="10"/>
    </x:row>
    <x:row r="31" ht="14.25" customHeight="1">
      <x:c r="A31" s="10"/>
      <x:c r="B31" s="10"/>
      <x:c r="C31" s="10"/>
      <x:c r="D31" s="10"/>
      <x:c r="E31" s="10"/>
      <x:c r="F31" s="10"/>
      <x:c r="G31" s="10"/>
      <x:c r="H31" s="10"/>
    </x:row>
    <x:row r="32" ht="14.25" customHeight="1">
      <x:c r="A32" s="10"/>
      <x:c r="B32" s="10"/>
      <x:c r="C32" s="10"/>
      <x:c r="D32" s="10"/>
      <x:c r="E32" s="10"/>
      <x:c r="F32" s="10"/>
      <x:c r="G32" s="10"/>
      <x:c r="H32" s="10"/>
    </x:row>
    <x:row r="33" ht="14.25" customHeight="1">
      <x:c r="A33" s="10"/>
      <x:c r="B33" s="10"/>
      <x:c r="C33" s="10"/>
      <x:c r="D33" s="10"/>
      <x:c r="E33" s="10"/>
      <x:c r="F33" s="10"/>
      <x:c r="G33" s="10"/>
      <x:c r="H33" s="10"/>
    </x:row>
    <x:row r="34" ht="14.25" customHeight="1">
      <x:c r="A34" s="10"/>
      <x:c r="B34" s="10"/>
      <x:c r="C34" s="10"/>
      <x:c r="D34" s="10"/>
      <x:c r="E34" s="10"/>
      <x:c r="F34" s="10"/>
      <x:c r="G34" s="10"/>
      <x:c r="H34" s="10"/>
    </x:row>
    <x:row r="35" ht="14.25" customHeight="1">
      <x:c r="A35" s="10"/>
      <x:c r="B35" s="10"/>
      <x:c r="C35" s="10"/>
      <x:c r="D35" s="10"/>
      <x:c r="E35" s="10"/>
      <x:c r="F35" s="10"/>
      <x:c r="G35" s="10"/>
      <x:c r="H35" s="10"/>
    </x:row>
    <x:row r="36" ht="14.25" customHeight="1">
      <x:c r="A36" s="10"/>
      <x:c r="B36" s="10"/>
      <x:c r="C36" s="10"/>
      <x:c r="D36" s="10"/>
      <x:c r="E36" s="10"/>
      <x:c r="F36" s="10"/>
      <x:c r="G36" s="10"/>
      <x:c r="H36" s="10"/>
    </x:row>
    <x:row r="37" ht="14.25" customHeight="1">
      <x:c r="A37" s="10"/>
      <x:c r="B37" s="10"/>
      <x:c r="C37" s="10"/>
      <x:c r="D37" s="10"/>
      <x:c r="E37" s="10"/>
      <x:c r="F37" s="10"/>
      <x:c r="G37" s="10"/>
      <x:c r="H37" s="10"/>
    </x:row>
    <x:row r="38" ht="14.25" customHeight="1">
      <x:c r="A38" s="10"/>
      <x:c r="B38" s="10"/>
      <x:c r="C38" s="10"/>
      <x:c r="D38" s="10"/>
      <x:c r="E38" s="10"/>
      <x:c r="F38" s="10"/>
      <x:c r="G38" s="10"/>
      <x:c r="H38" s="10"/>
    </x:row>
    <x:row r="39" ht="14.25" customHeight="1">
      <x:c r="A39" s="10"/>
      <x:c r="B39" s="10"/>
      <x:c r="C39" s="10"/>
      <x:c r="D39" s="10"/>
      <x:c r="E39" s="10"/>
      <x:c r="F39" s="10"/>
      <x:c r="G39" s="10"/>
      <x:c r="H39" s="10"/>
    </x:row>
    <x:row r="40" ht="14.25" customHeight="1">
      <x:c r="A40" s="10"/>
      <x:c r="B40" s="10"/>
      <x:c r="C40" s="10"/>
      <x:c r="D40" s="10"/>
      <x:c r="E40" s="10"/>
      <x:c r="F40" s="10"/>
      <x:c r="G40" s="10"/>
      <x:c r="H40" s="10"/>
    </x:row>
    <x:row r="41" ht="14.25" customHeight="1">
      <x:c r="A41" s="10"/>
      <x:c r="B41" s="10"/>
      <x:c r="C41" s="10"/>
      <x:c r="D41" s="10"/>
      <x:c r="E41" s="10"/>
      <x:c r="F41" s="10"/>
      <x:c r="G41" s="10"/>
      <x:c r="H41" s="10"/>
    </x:row>
    <x:row r="42" ht="14.25" customHeight="1">
      <x:c r="A42" s="10"/>
      <x:c r="B42" s="10"/>
      <x:c r="C42" s="10"/>
      <x:c r="D42" s="10"/>
      <x:c r="E42" s="10"/>
      <x:c r="F42" s="10"/>
      <x:c r="G42" s="10"/>
      <x:c r="H42" s="10"/>
    </x:row>
    <x:row r="43" ht="14.25" customHeight="1">
      <x:c r="A43" s="10"/>
      <x:c r="B43" s="10"/>
      <x:c r="C43" s="10"/>
      <x:c r="D43" s="10"/>
      <x:c r="E43" s="10"/>
      <x:c r="F43" s="10"/>
      <x:c r="G43" s="10"/>
      <x:c r="H43" s="10"/>
    </x:row>
    <x:row r="44" ht="14.25" customHeight="1">
      <x:c r="A44" s="10"/>
      <x:c r="B44" s="10"/>
      <x:c r="C44" s="10"/>
      <x:c r="D44" s="10"/>
      <x:c r="E44" s="10"/>
      <x:c r="F44" s="10"/>
      <x:c r="G44" s="10"/>
      <x:c r="H44" s="10"/>
    </x:row>
    <x:row r="45" ht="14.25" customHeight="1">
      <x:c r="A45" s="10"/>
      <x:c r="B45" s="10"/>
      <x:c r="C45" s="10"/>
      <x:c r="D45" s="10"/>
      <x:c r="E45" s="10"/>
      <x:c r="F45" s="10"/>
      <x:c r="G45" s="10"/>
      <x:c r="H45" s="10"/>
    </x:row>
    <x:row r="46" ht="14.25" customHeight="1">
      <x:c r="A46" s="10"/>
      <x:c r="B46" s="10"/>
      <x:c r="C46" s="10"/>
      <x:c r="D46" s="10"/>
      <x:c r="E46" s="10"/>
      <x:c r="F46" s="10"/>
      <x:c r="G46" s="10"/>
      <x:c r="H46" s="10"/>
    </x:row>
    <x:row r="47" ht="14.25" customHeight="1">
      <x:c r="A47" s="10"/>
      <x:c r="B47" s="10"/>
      <x:c r="C47" s="10"/>
      <x:c r="D47" s="10"/>
      <x:c r="E47" s="10"/>
      <x:c r="F47" s="10"/>
      <x:c r="G47" s="10"/>
      <x:c r="H47" s="10"/>
    </x:row>
    <x:row r="48" ht="14.25" customHeight="1">
      <x:c r="A48" s="10"/>
      <x:c r="B48" s="10"/>
      <x:c r="C48" s="10"/>
      <x:c r="D48" s="10"/>
      <x:c r="E48" s="10"/>
      <x:c r="F48" s="10"/>
      <x:c r="G48" s="10"/>
      <x:c r="H48" s="10"/>
    </x:row>
    <x:row r="49" ht="14.25" customHeight="1">
      <x:c r="A49" s="10"/>
      <x:c r="B49" s="10"/>
      <x:c r="C49" s="10"/>
      <x:c r="D49" s="10"/>
      <x:c r="E49" s="10"/>
      <x:c r="F49" s="10"/>
      <x:c r="G49" s="10"/>
      <x:c r="H49" s="10"/>
    </x:row>
    <x:row r="50" ht="14.25" customHeight="1">
      <x:c r="A50" s="10"/>
      <x:c r="B50" s="10"/>
      <x:c r="C50" s="10"/>
      <x:c r="D50" s="10"/>
      <x:c r="E50" s="10"/>
      <x:c r="F50" s="10"/>
      <x:c r="G50" s="10"/>
      <x:c r="H50" s="10"/>
    </x:row>
    <x:row r="51" ht="14.25" customHeight="1">
      <x:c r="A51" s="10"/>
      <x:c r="B51" s="10"/>
      <x:c r="C51" s="10"/>
      <x:c r="D51" s="10"/>
      <x:c r="E51" s="10"/>
      <x:c r="F51" s="10"/>
      <x:c r="G51" s="10"/>
      <x:c r="H51" s="10"/>
    </x:row>
    <x:row r="52" ht="14.25" customHeight="1">
      <x:c r="A52" s="10"/>
      <x:c r="B52" s="10"/>
      <x:c r="C52" s="10"/>
      <x:c r="D52" s="10"/>
      <x:c r="E52" s="10"/>
      <x:c r="F52" s="10"/>
      <x:c r="G52" s="10"/>
      <x:c r="H52" s="10"/>
    </x:row>
    <x:row r="53" ht="14.25" customHeight="1">
      <x:c r="A53" s="10"/>
      <x:c r="B53" s="10"/>
      <x:c r="C53" s="10"/>
      <x:c r="D53" s="10"/>
      <x:c r="E53" s="10"/>
      <x:c r="F53" s="10"/>
      <x:c r="G53" s="10"/>
      <x:c r="H53" s="10"/>
    </x:row>
    <x:row r="54" ht="14.25" customHeight="1">
      <x:c r="A54" s="10"/>
      <x:c r="B54" s="10"/>
      <x:c r="C54" s="10"/>
      <x:c r="D54" s="10"/>
      <x:c r="E54" s="10"/>
      <x:c r="F54" s="10"/>
      <x:c r="G54" s="10"/>
      <x:c r="H54" s="10"/>
    </x:row>
    <x:row r="55" ht="14.25" customHeight="1">
      <x:c r="A55" s="10"/>
      <x:c r="B55" s="10"/>
      <x:c r="C55" s="10"/>
      <x:c r="D55" s="10"/>
      <x:c r="E55" s="10"/>
      <x:c r="F55" s="10"/>
      <x:c r="G55" s="10"/>
      <x:c r="H55" s="10"/>
    </x:row>
    <x:row r="56" ht="14.25" customHeight="1">
      <x:c r="A56" s="10"/>
      <x:c r="B56" s="10"/>
      <x:c r="C56" s="10"/>
      <x:c r="D56" s="10"/>
      <x:c r="E56" s="10"/>
      <x:c r="F56" s="10"/>
      <x:c r="G56" s="10"/>
      <x:c r="H56" s="10"/>
    </x:row>
    <x:row r="57" ht="14.25" customHeight="1">
      <x:c r="A57" s="10"/>
      <x:c r="B57" s="10"/>
      <x:c r="C57" s="10"/>
      <x:c r="D57" s="10"/>
      <x:c r="E57" s="10"/>
      <x:c r="F57" s="10"/>
      <x:c r="G57" s="10"/>
      <x:c r="H57" s="10"/>
    </x:row>
    <x:row r="58" ht="14.25" customHeight="1">
      <x:c r="A58" s="10"/>
      <x:c r="B58" s="10"/>
      <x:c r="C58" s="10"/>
      <x:c r="D58" s="10"/>
      <x:c r="E58" s="10"/>
      <x:c r="F58" s="10"/>
      <x:c r="G58" s="10"/>
      <x:c r="H58" s="10"/>
    </x:row>
    <x:row r="59" ht="14.25" customHeight="1">
      <x:c r="A59" s="10"/>
      <x:c r="B59" s="10"/>
      <x:c r="C59" s="10"/>
      <x:c r="D59" s="10"/>
      <x:c r="E59" s="10"/>
      <x:c r="F59" s="10"/>
      <x:c r="G59" s="10"/>
      <x:c r="H59" s="10"/>
    </x:row>
    <x:row r="60" ht="14.25" customHeight="1">
      <x:c r="A60" s="10"/>
      <x:c r="B60" s="10"/>
      <x:c r="C60" s="10"/>
      <x:c r="D60" s="10"/>
      <x:c r="E60" s="10"/>
      <x:c r="F60" s="10"/>
      <x:c r="G60" s="10"/>
      <x:c r="H60" s="10"/>
    </x:row>
    <x:row r="61" ht="14.25" customHeight="1">
      <x:c r="A61" s="10"/>
      <x:c r="B61" s="10"/>
      <x:c r="C61" s="10"/>
      <x:c r="D61" s="10"/>
      <x:c r="E61" s="10"/>
      <x:c r="F61" s="10"/>
      <x:c r="G61" s="10"/>
      <x:c r="H61" s="10"/>
    </x:row>
    <x:row r="62" ht="14.25" customHeight="1">
      <x:c r="A62" s="10"/>
      <x:c r="B62" s="10"/>
      <x:c r="C62" s="10"/>
      <x:c r="D62" s="10"/>
      <x:c r="E62" s="10"/>
      <x:c r="F62" s="10"/>
      <x:c r="G62" s="10"/>
      <x:c r="H62" s="10"/>
    </x:row>
    <x:row r="63" ht="14.25" customHeight="1">
      <x:c r="A63" s="10"/>
      <x:c r="B63" s="10"/>
      <x:c r="C63" s="10"/>
      <x:c r="D63" s="10"/>
      <x:c r="E63" s="10"/>
      <x:c r="F63" s="10"/>
      <x:c r="G63" s="10"/>
      <x:c r="H63" s="10"/>
    </x:row>
    <x:row r="64" ht="14.25" customHeight="1">
      <x:c r="A64" s="10"/>
      <x:c r="B64" s="10"/>
      <x:c r="C64" s="10"/>
      <x:c r="D64" s="10"/>
      <x:c r="E64" s="10"/>
      <x:c r="F64" s="10"/>
      <x:c r="G64" s="10"/>
      <x:c r="H64" s="10"/>
    </x:row>
    <x:row r="65" ht="14.25" customHeight="1">
      <x:c r="A65" s="10"/>
      <x:c r="B65" s="10"/>
      <x:c r="C65" s="10"/>
      <x:c r="D65" s="10"/>
      <x:c r="E65" s="10"/>
      <x:c r="F65" s="10"/>
      <x:c r="G65" s="10"/>
      <x:c r="H65" s="10"/>
    </x:row>
    <x:row r="66" ht="14.25" customHeight="1">
      <x:c r="A66" s="10"/>
      <x:c r="B66" s="10"/>
      <x:c r="C66" s="10"/>
      <x:c r="D66" s="10"/>
      <x:c r="E66" s="10"/>
      <x:c r="F66" s="10"/>
      <x:c r="G66" s="10"/>
      <x:c r="H66" s="10"/>
    </x:row>
    <x:row r="67" ht="14.25" customHeight="1">
      <x:c r="A67" s="10"/>
      <x:c r="B67" s="10"/>
      <x:c r="C67" s="10"/>
      <x:c r="D67" s="10"/>
      <x:c r="E67" s="10"/>
      <x:c r="F67" s="10"/>
      <x:c r="G67" s="10"/>
      <x:c r="H67" s="10"/>
    </x:row>
    <x:row r="68" ht="14.25" customHeight="1">
      <x:c r="A68" s="10"/>
      <x:c r="B68" s="10"/>
      <x:c r="C68" s="10"/>
      <x:c r="D68" s="10"/>
      <x:c r="E68" s="10"/>
      <x:c r="F68" s="10"/>
      <x:c r="G68" s="10"/>
      <x:c r="H68" s="10"/>
    </x:row>
    <x:row r="69" ht="14.25" customHeight="1">
      <x:c r="A69" s="10"/>
      <x:c r="B69" s="10"/>
      <x:c r="C69" s="10"/>
      <x:c r="D69" s="10"/>
      <x:c r="E69" s="10"/>
      <x:c r="F69" s="10"/>
      <x:c r="G69" s="10"/>
      <x:c r="H69" s="10"/>
    </x:row>
    <x:row r="70" ht="14.25" customHeight="1">
      <x:c r="A70" s="10"/>
      <x:c r="B70" s="10"/>
      <x:c r="C70" s="10"/>
      <x:c r="D70" s="10"/>
      <x:c r="E70" s="10"/>
      <x:c r="F70" s="10"/>
      <x:c r="G70" s="10"/>
      <x:c r="H70" s="10"/>
    </x:row>
    <x:row r="71" ht="14.25" customHeight="1">
      <x:c r="A71" s="10"/>
      <x:c r="B71" s="10"/>
      <x:c r="C71" s="10"/>
      <x:c r="D71" s="10"/>
      <x:c r="E71" s="10"/>
      <x:c r="F71" s="10"/>
      <x:c r="G71" s="10"/>
      <x:c r="H71" s="10"/>
    </x:row>
    <x:row r="72" ht="14.25" customHeight="1">
      <x:c r="A72" s="10"/>
      <x:c r="B72" s="10"/>
      <x:c r="C72" s="10"/>
      <x:c r="D72" s="10"/>
      <x:c r="E72" s="10"/>
      <x:c r="F72" s="10"/>
      <x:c r="G72" s="10"/>
      <x:c r="H72" s="10"/>
    </x:row>
    <x:row r="73" ht="14.25" customHeight="1">
      <x:c r="A73" s="10"/>
      <x:c r="B73" s="10"/>
      <x:c r="C73" s="10"/>
      <x:c r="D73" s="10"/>
      <x:c r="E73" s="10"/>
      <x:c r="F73" s="10"/>
      <x:c r="G73" s="10"/>
      <x:c r="H73" s="10"/>
    </x:row>
    <x:row r="74" ht="14.25" customHeight="1">
      <x:c r="A74" s="10"/>
      <x:c r="B74" s="10"/>
      <x:c r="C74" s="10"/>
      <x:c r="D74" s="10"/>
      <x:c r="E74" s="10"/>
      <x:c r="F74" s="10"/>
      <x:c r="G74" s="10"/>
      <x:c r="H74" s="10"/>
    </x:row>
    <x:row r="75" ht="14.25" customHeight="1">
      <x:c r="A75" s="10"/>
      <x:c r="B75" s="10"/>
      <x:c r="C75" s="10"/>
      <x:c r="D75" s="10"/>
      <x:c r="E75" s="10"/>
      <x:c r="F75" s="10"/>
      <x:c r="G75" s="10"/>
      <x:c r="H75" s="10"/>
    </x:row>
    <x:row r="76" ht="14.25" customHeight="1">
      <x:c r="A76" s="10"/>
      <x:c r="B76" s="10"/>
      <x:c r="C76" s="10"/>
      <x:c r="D76" s="10"/>
      <x:c r="E76" s="10"/>
      <x:c r="F76" s="10"/>
      <x:c r="G76" s="10"/>
      <x:c r="H76" s="10"/>
    </x:row>
    <x:row r="77" ht="14.25" customHeight="1">
      <x:c r="A77" s="10"/>
      <x:c r="B77" s="10"/>
      <x:c r="C77" s="10"/>
      <x:c r="D77" s="10"/>
      <x:c r="E77" s="10"/>
      <x:c r="F77" s="10"/>
      <x:c r="G77" s="10"/>
      <x:c r="H77" s="10"/>
    </x:row>
    <x:row r="78" ht="14.25" customHeight="1">
      <x:c r="A78" s="10"/>
      <x:c r="B78" s="10"/>
      <x:c r="C78" s="10"/>
      <x:c r="D78" s="10"/>
      <x:c r="E78" s="10"/>
      <x:c r="F78" s="10"/>
      <x:c r="G78" s="10"/>
      <x:c r="H78" s="10"/>
    </x:row>
    <x:row r="79" ht="14.25" customHeight="1">
      <x:c r="A79" s="10"/>
      <x:c r="B79" s="10"/>
      <x:c r="C79" s="10"/>
      <x:c r="D79" s="10"/>
      <x:c r="E79" s="10"/>
      <x:c r="F79" s="10"/>
      <x:c r="G79" s="10"/>
      <x:c r="H79" s="10"/>
    </x:row>
    <x:row r="80" ht="14.25" customHeight="1">
      <x:c r="A80" s="10"/>
      <x:c r="B80" s="10"/>
      <x:c r="C80" s="10"/>
      <x:c r="D80" s="10"/>
      <x:c r="E80" s="10"/>
      <x:c r="F80" s="10"/>
      <x:c r="G80" s="10"/>
      <x:c r="H80" s="10"/>
    </x:row>
    <x:row r="81" ht="14.25" customHeight="1">
      <x:c r="A81" s="10"/>
      <x:c r="B81" s="10"/>
      <x:c r="C81" s="10"/>
      <x:c r="D81" s="10"/>
      <x:c r="E81" s="10"/>
      <x:c r="F81" s="10"/>
      <x:c r="G81" s="10"/>
      <x:c r="H81" s="10"/>
    </x:row>
    <x:row r="82" ht="14.25" customHeight="1">
      <x:c r="A82" s="10"/>
      <x:c r="B82" s="10"/>
      <x:c r="C82" s="10"/>
      <x:c r="D82" s="10"/>
      <x:c r="E82" s="10"/>
      <x:c r="F82" s="10"/>
      <x:c r="G82" s="10"/>
      <x:c r="H82" s="10"/>
    </x:row>
    <x:row r="83" ht="14.25" customHeight="1">
      <x:c r="A83" s="10"/>
      <x:c r="B83" s="10"/>
      <x:c r="C83" s="10"/>
      <x:c r="D83" s="10"/>
      <x:c r="E83" s="10"/>
      <x:c r="F83" s="10"/>
      <x:c r="G83" s="10"/>
      <x:c r="H83" s="10"/>
    </x:row>
    <x:row r="84" ht="14.25" customHeight="1">
      <x:c r="A84" s="10"/>
      <x:c r="B84" s="10"/>
      <x:c r="C84" s="10"/>
      <x:c r="D84" s="10"/>
      <x:c r="E84" s="10"/>
      <x:c r="F84" s="10"/>
      <x:c r="G84" s="10"/>
      <x:c r="H84" s="10"/>
    </x:row>
    <x:row r="85" ht="14.25" customHeight="1">
      <x:c r="A85" s="10"/>
      <x:c r="B85" s="10"/>
      <x:c r="C85" s="10"/>
      <x:c r="D85" s="10"/>
      <x:c r="E85" s="10"/>
      <x:c r="F85" s="10"/>
      <x:c r="G85" s="10"/>
      <x:c r="H85" s="10"/>
    </x:row>
    <x:row r="86" ht="14.25" customHeight="1">
      <x:c r="A86" s="10"/>
      <x:c r="B86" s="10"/>
      <x:c r="C86" s="10"/>
      <x:c r="D86" s="10"/>
      <x:c r="E86" s="10"/>
      <x:c r="F86" s="10"/>
      <x:c r="G86" s="10"/>
      <x:c r="H86" s="10"/>
    </x:row>
    <x:row r="87" ht="14.25" customHeight="1">
      <x:c r="A87" s="10"/>
      <x:c r="B87" s="10"/>
      <x:c r="C87" s="10"/>
      <x:c r="D87" s="10"/>
      <x:c r="E87" s="10"/>
      <x:c r="F87" s="10"/>
      <x:c r="G87" s="10"/>
      <x:c r="H87" s="10"/>
    </x:row>
    <x:row r="88" ht="14.25" customHeight="1">
      <x:c r="A88" s="10"/>
      <x:c r="B88" s="10"/>
      <x:c r="C88" s="10"/>
      <x:c r="D88" s="10"/>
      <x:c r="E88" s="10"/>
      <x:c r="F88" s="10"/>
      <x:c r="G88" s="10"/>
      <x:c r="H88" s="10"/>
    </x:row>
    <x:row r="89" ht="14.25" customHeight="1">
      <x:c r="A89" s="10"/>
      <x:c r="B89" s="10"/>
      <x:c r="C89" s="10"/>
      <x:c r="D89" s="10"/>
      <x:c r="E89" s="10"/>
      <x:c r="F89" s="10"/>
      <x:c r="G89" s="10"/>
      <x:c r="H89" s="10"/>
    </x:row>
    <x:row r="90" ht="14.25" customHeight="1">
      <x:c r="A90" s="10"/>
      <x:c r="B90" s="10"/>
      <x:c r="C90" s="10"/>
      <x:c r="D90" s="10"/>
      <x:c r="E90" s="10"/>
      <x:c r="F90" s="10"/>
      <x:c r="G90" s="10"/>
      <x:c r="H90" s="10"/>
    </x:row>
    <x:row r="91" ht="14.25" customHeight="1">
      <x:c r="A91" s="10"/>
      <x:c r="B91" s="10"/>
      <x:c r="C91" s="10"/>
      <x:c r="D91" s="10"/>
      <x:c r="E91" s="10"/>
      <x:c r="F91" s="10"/>
      <x:c r="G91" s="10"/>
      <x:c r="H91" s="10"/>
    </x:row>
    <x:row r="92" ht="14.25" customHeight="1">
      <x:c r="A92" s="10"/>
      <x:c r="B92" s="10"/>
      <x:c r="C92" s="10"/>
      <x:c r="D92" s="10"/>
      <x:c r="E92" s="10"/>
      <x:c r="F92" s="10"/>
      <x:c r="G92" s="10"/>
      <x:c r="H92" s="10"/>
    </x:row>
    <x:row r="93" ht="14.25" customHeight="1">
      <x:c r="A93" s="10"/>
      <x:c r="B93" s="10"/>
      <x:c r="C93" s="10"/>
      <x:c r="D93" s="10"/>
      <x:c r="E93" s="10"/>
      <x:c r="F93" s="10"/>
      <x:c r="G93" s="10"/>
      <x:c r="H93" s="10"/>
    </x:row>
    <x:row r="94" ht="14.25" customHeight="1">
      <x:c r="A94" s="10"/>
      <x:c r="B94" s="10"/>
      <x:c r="C94" s="10"/>
      <x:c r="D94" s="10"/>
      <x:c r="E94" s="10"/>
      <x:c r="F94" s="10"/>
      <x:c r="G94" s="10"/>
      <x:c r="H94" s="10"/>
    </x:row>
    <x:row r="95" ht="14.25" customHeight="1">
      <x:c r="A95" s="10"/>
      <x:c r="B95" s="10"/>
      <x:c r="C95" s="10"/>
      <x:c r="D95" s="10"/>
      <x:c r="E95" s="10"/>
      <x:c r="F95" s="10"/>
      <x:c r="G95" s="10"/>
      <x:c r="H95" s="10"/>
    </x:row>
    <x:row r="96" ht="14.25" customHeight="1">
      <x:c r="A96" s="10"/>
      <x:c r="B96" s="10"/>
      <x:c r="C96" s="10"/>
      <x:c r="D96" s="10"/>
      <x:c r="E96" s="10"/>
      <x:c r="F96" s="10"/>
      <x:c r="G96" s="10"/>
      <x:c r="H96" s="10"/>
    </x:row>
    <x:row r="97" ht="14.25" customHeight="1">
      <x:c r="A97" s="10"/>
      <x:c r="B97" s="10"/>
      <x:c r="C97" s="10"/>
      <x:c r="D97" s="10"/>
      <x:c r="E97" s="10"/>
      <x:c r="F97" s="10"/>
      <x:c r="G97" s="10"/>
      <x:c r="H97" s="10"/>
    </x:row>
    <x:row r="98" ht="14.25" customHeight="1">
      <x:c r="A98" s="10"/>
      <x:c r="B98" s="10"/>
      <x:c r="C98" s="10"/>
      <x:c r="D98" s="10"/>
      <x:c r="E98" s="10"/>
      <x:c r="F98" s="10"/>
      <x:c r="G98" s="10"/>
      <x:c r="H98" s="10"/>
    </x:row>
    <x:row r="99" ht="14.25" customHeight="1">
      <x:c r="A99" s="10"/>
      <x:c r="B99" s="10"/>
      <x:c r="C99" s="10"/>
      <x:c r="D99" s="10"/>
      <x:c r="E99" s="10"/>
      <x:c r="F99" s="10"/>
      <x:c r="G99" s="10"/>
      <x:c r="H99" s="10"/>
    </x:row>
    <x:row r="100" ht="14.25" customHeight="1">
      <x:c r="A100" s="10"/>
      <x:c r="B100" s="10"/>
      <x:c r="C100" s="10"/>
      <x:c r="D100" s="10"/>
      <x:c r="E100" s="10"/>
      <x:c r="F100" s="10"/>
      <x:c r="G100" s="10"/>
      <x:c r="H100" s="10"/>
    </x:row>
    <x:row r="101" ht="14.25" customHeight="1">
      <x:c r="A101" s="10"/>
      <x:c r="B101" s="10"/>
      <x:c r="C101" s="10"/>
      <x:c r="D101" s="10"/>
      <x:c r="E101" s="10"/>
      <x:c r="F101" s="10"/>
      <x:c r="G101" s="10"/>
      <x:c r="H101" s="10"/>
    </x:row>
    <x:row r="102" ht="14.25" customHeight="1">
      <x:c r="A102" s="10"/>
      <x:c r="B102" s="10"/>
      <x:c r="C102" s="10"/>
      <x:c r="D102" s="10"/>
      <x:c r="E102" s="10"/>
      <x:c r="F102" s="10"/>
      <x:c r="G102" s="10"/>
      <x:c r="H102" s="10"/>
    </x:row>
    <x:row r="103" ht="14.25" customHeight="1">
      <x:c r="A103" s="10"/>
      <x:c r="B103" s="10"/>
      <x:c r="C103" s="10"/>
      <x:c r="D103" s="10"/>
      <x:c r="E103" s="10"/>
      <x:c r="F103" s="10"/>
      <x:c r="G103" s="10"/>
      <x:c r="H103" s="10"/>
    </x:row>
    <x:row r="104" ht="14.25" customHeight="1">
      <x:c r="A104" s="10"/>
      <x:c r="B104" s="10"/>
      <x:c r="C104" s="10"/>
      <x:c r="D104" s="10"/>
      <x:c r="E104" s="10"/>
      <x:c r="F104" s="10"/>
      <x:c r="G104" s="10"/>
      <x:c r="H104" s="10"/>
    </x:row>
    <x:row r="105" ht="14.25" customHeight="1">
      <x:c r="A105" s="10"/>
      <x:c r="B105" s="10"/>
      <x:c r="C105" s="10"/>
      <x:c r="D105" s="10"/>
      <x:c r="E105" s="10"/>
      <x:c r="F105" s="10"/>
      <x:c r="G105" s="10"/>
      <x:c r="H105" s="10"/>
    </x:row>
    <x:row r="106" ht="14.25" customHeight="1">
      <x:c r="A106" s="10"/>
      <x:c r="B106" s="10"/>
      <x:c r="C106" s="10"/>
      <x:c r="D106" s="10"/>
      <x:c r="E106" s="10"/>
      <x:c r="F106" s="10"/>
      <x:c r="G106" s="10"/>
      <x:c r="H106" s="10"/>
    </x:row>
    <x:row r="107" ht="14.25" customHeight="1">
      <x:c r="A107" s="10"/>
      <x:c r="B107" s="10"/>
      <x:c r="C107" s="10"/>
      <x:c r="D107" s="10"/>
      <x:c r="E107" s="10"/>
      <x:c r="F107" s="10"/>
      <x:c r="G107" s="10"/>
      <x:c r="H107" s="10"/>
    </x:row>
    <x:row r="108" ht="14.25" customHeight="1">
      <x:c r="A108" s="10"/>
      <x:c r="B108" s="10"/>
      <x:c r="C108" s="10"/>
      <x:c r="D108" s="10"/>
      <x:c r="E108" s="10"/>
      <x:c r="F108" s="10"/>
      <x:c r="G108" s="10"/>
      <x:c r="H108" s="10"/>
    </x:row>
    <x:row r="109" ht="14.25" customHeight="1">
      <x:c r="A109" s="10"/>
      <x:c r="B109" s="10"/>
      <x:c r="C109" s="10"/>
      <x:c r="D109" s="10"/>
      <x:c r="E109" s="10"/>
      <x:c r="F109" s="10"/>
      <x:c r="G109" s="10"/>
      <x:c r="H109" s="10"/>
    </x:row>
    <x:row r="110" ht="14.25" customHeight="1">
      <x:c r="A110" s="10"/>
      <x:c r="B110" s="10"/>
      <x:c r="C110" s="10"/>
      <x:c r="D110" s="10"/>
      <x:c r="E110" s="10"/>
      <x:c r="F110" s="10"/>
      <x:c r="G110" s="10"/>
      <x:c r="H110" s="10"/>
    </x:row>
    <x:row r="111" ht="14.25" customHeight="1">
      <x:c r="A111" s="10"/>
      <x:c r="B111" s="10"/>
      <x:c r="C111" s="10"/>
      <x:c r="D111" s="10"/>
      <x:c r="E111" s="10"/>
      <x:c r="F111" s="10"/>
      <x:c r="G111" s="10"/>
      <x:c r="H111" s="10"/>
    </x:row>
    <x:row r="112" ht="14.25" customHeight="1">
      <x:c r="A112" s="10"/>
      <x:c r="B112" s="10"/>
      <x:c r="C112" s="10"/>
      <x:c r="D112" s="10"/>
      <x:c r="E112" s="10"/>
      <x:c r="F112" s="10"/>
      <x:c r="G112" s="10"/>
      <x:c r="H112" s="10"/>
    </x:row>
    <x:row r="113" ht="14.25" customHeight="1">
      <x:c r="A113" s="10"/>
      <x:c r="B113" s="10"/>
      <x:c r="C113" s="10"/>
      <x:c r="D113" s="10"/>
      <x:c r="E113" s="10"/>
      <x:c r="F113" s="10"/>
      <x:c r="G113" s="10"/>
      <x:c r="H113" s="10"/>
    </x:row>
    <x:row r="114" ht="14.25" customHeight="1">
      <x:c r="A114" s="10"/>
      <x:c r="B114" s="10"/>
      <x:c r="C114" s="10"/>
      <x:c r="D114" s="10"/>
      <x:c r="E114" s="10"/>
      <x:c r="F114" s="10"/>
      <x:c r="G114" s="10"/>
      <x:c r="H114" s="10"/>
    </x:row>
    <x:row r="115" ht="14.25" customHeight="1">
      <x:c r="A115" s="10"/>
      <x:c r="B115" s="10"/>
      <x:c r="C115" s="10"/>
      <x:c r="D115" s="10"/>
      <x:c r="E115" s="10"/>
      <x:c r="F115" s="10"/>
      <x:c r="G115" s="10"/>
      <x:c r="H115" s="10"/>
    </x:row>
    <x:row r="116" ht="14.25" customHeight="1">
      <x:c r="A116" s="10"/>
      <x:c r="B116" s="10"/>
      <x:c r="C116" s="10"/>
      <x:c r="D116" s="10"/>
      <x:c r="E116" s="10"/>
      <x:c r="F116" s="10"/>
      <x:c r="G116" s="10"/>
      <x:c r="H116" s="10"/>
    </x:row>
    <x:row r="117" ht="14.25" customHeight="1">
      <x:c r="A117" s="10"/>
      <x:c r="B117" s="10"/>
      <x:c r="C117" s="10"/>
      <x:c r="D117" s="10"/>
      <x:c r="E117" s="10"/>
      <x:c r="F117" s="10"/>
      <x:c r="G117" s="10"/>
      <x:c r="H117" s="10"/>
    </x:row>
    <x:row r="118" ht="14.25" customHeight="1">
      <x:c r="A118" s="10"/>
      <x:c r="B118" s="10"/>
      <x:c r="C118" s="10"/>
      <x:c r="D118" s="10"/>
      <x:c r="E118" s="10"/>
      <x:c r="F118" s="10"/>
      <x:c r="G118" s="10"/>
      <x:c r="H118" s="10"/>
    </x:row>
    <x:row r="119" ht="14.25" customHeight="1">
      <x:c r="A119" s="10"/>
      <x:c r="B119" s="10"/>
      <x:c r="C119" s="10"/>
      <x:c r="D119" s="10"/>
      <x:c r="E119" s="10"/>
      <x:c r="F119" s="10"/>
      <x:c r="G119" s="10"/>
      <x:c r="H119" s="10"/>
    </x:row>
    <x:row r="120" ht="14.25" customHeight="1">
      <x:c r="A120" s="10"/>
      <x:c r="B120" s="10"/>
      <x:c r="C120" s="10"/>
      <x:c r="D120" s="10"/>
      <x:c r="E120" s="10"/>
      <x:c r="F120" s="10"/>
      <x:c r="G120" s="10"/>
      <x:c r="H120" s="10"/>
    </x:row>
    <x:row r="121" ht="14.25" customHeight="1">
      <x:c r="A121" s="10"/>
      <x:c r="B121" s="10"/>
      <x:c r="C121" s="10"/>
      <x:c r="D121" s="10"/>
      <x:c r="E121" s="10"/>
      <x:c r="F121" s="10"/>
      <x:c r="G121" s="10"/>
      <x:c r="H121" s="10"/>
    </x:row>
    <x:row r="122" ht="14.25" customHeight="1">
      <x:c r="A122" s="10"/>
      <x:c r="B122" s="10"/>
      <x:c r="C122" s="10"/>
      <x:c r="D122" s="10"/>
      <x:c r="E122" s="10"/>
      <x:c r="F122" s="10"/>
      <x:c r="G122" s="10"/>
      <x:c r="H122" s="10"/>
    </x:row>
    <x:row r="123" ht="14.25" customHeight="1">
      <x:c r="A123" s="10"/>
      <x:c r="B123" s="10"/>
      <x:c r="C123" s="10"/>
      <x:c r="D123" s="10"/>
      <x:c r="E123" s="10"/>
      <x:c r="F123" s="10"/>
      <x:c r="G123" s="10"/>
      <x:c r="H123" s="10"/>
    </x:row>
    <x:row r="124" ht="14.25" customHeight="1">
      <x:c r="A124" s="10"/>
      <x:c r="B124" s="10"/>
      <x:c r="C124" s="10"/>
      <x:c r="D124" s="10"/>
      <x:c r="E124" s="10"/>
      <x:c r="F124" s="10"/>
      <x:c r="G124" s="10"/>
      <x:c r="H124" s="10"/>
    </x:row>
    <x:row r="125" ht="14.25" customHeight="1">
      <x:c r="A125" s="10"/>
      <x:c r="B125" s="10"/>
      <x:c r="C125" s="10"/>
      <x:c r="D125" s="10"/>
      <x:c r="E125" s="10"/>
      <x:c r="F125" s="10"/>
      <x:c r="G125" s="10"/>
      <x:c r="H125" s="10"/>
    </x:row>
    <x:row r="126" ht="14.25" customHeight="1">
      <x:c r="A126" s="10"/>
      <x:c r="B126" s="10"/>
      <x:c r="C126" s="10"/>
      <x:c r="D126" s="10"/>
      <x:c r="E126" s="10"/>
      <x:c r="F126" s="10"/>
      <x:c r="G126" s="10"/>
      <x:c r="H126" s="10"/>
    </x:row>
    <x:row r="127" ht="14.25" customHeight="1">
      <x:c r="A127" s="10"/>
      <x:c r="B127" s="10"/>
      <x:c r="C127" s="10"/>
      <x:c r="D127" s="10"/>
      <x:c r="E127" s="10"/>
      <x:c r="F127" s="10"/>
      <x:c r="G127" s="10"/>
      <x:c r="H127" s="10"/>
    </x:row>
    <x:row r="128" ht="14.25" customHeight="1">
      <x:c r="A128" s="10"/>
      <x:c r="B128" s="10"/>
      <x:c r="C128" s="10"/>
      <x:c r="D128" s="10"/>
      <x:c r="E128" s="10"/>
      <x:c r="F128" s="10"/>
      <x:c r="G128" s="10"/>
      <x:c r="H128" s="10"/>
    </x:row>
    <x:row r="129" ht="14.25" customHeight="1">
      <x:c r="A129" s="10"/>
      <x:c r="B129" s="10"/>
      <x:c r="C129" s="10"/>
      <x:c r="D129" s="10"/>
      <x:c r="E129" s="10"/>
      <x:c r="F129" s="10"/>
      <x:c r="G129" s="10"/>
      <x:c r="H129" s="10"/>
    </x:row>
    <x:row r="130" ht="14.25" customHeight="1">
      <x:c r="A130" s="10"/>
      <x:c r="B130" s="10"/>
      <x:c r="C130" s="10"/>
      <x:c r="D130" s="10"/>
      <x:c r="E130" s="10"/>
      <x:c r="F130" s="10"/>
      <x:c r="G130" s="10"/>
      <x:c r="H130" s="10"/>
    </x:row>
    <x:row r="131" ht="14.25" customHeight="1">
      <x:c r="A131" s="10"/>
      <x:c r="B131" s="10"/>
      <x:c r="C131" s="10"/>
      <x:c r="D131" s="10"/>
      <x:c r="E131" s="10"/>
      <x:c r="F131" s="10"/>
      <x:c r="G131" s="10"/>
      <x:c r="H131" s="10"/>
    </x:row>
    <x:row r="132" ht="14.25" customHeight="1">
      <x:c r="A132" s="10"/>
      <x:c r="B132" s="10"/>
      <x:c r="C132" s="10"/>
      <x:c r="D132" s="10"/>
      <x:c r="E132" s="10"/>
      <x:c r="F132" s="10"/>
      <x:c r="G132" s="10"/>
      <x:c r="H132" s="10"/>
    </x:row>
    <x:row r="133" ht="14.25" customHeight="1">
      <x:c r="A133" s="10"/>
      <x:c r="B133" s="10"/>
      <x:c r="C133" s="10"/>
      <x:c r="D133" s="10"/>
      <x:c r="E133" s="10"/>
      <x:c r="F133" s="10"/>
      <x:c r="G133" s="10"/>
      <x:c r="H133" s="10"/>
    </x:row>
    <x:row r="134" ht="14.25" customHeight="1">
      <x:c r="A134" s="10"/>
      <x:c r="B134" s="10"/>
      <x:c r="C134" s="10"/>
      <x:c r="D134" s="10"/>
      <x:c r="E134" s="10"/>
      <x:c r="F134" s="10"/>
      <x:c r="G134" s="10"/>
      <x:c r="H134" s="10"/>
    </x:row>
    <x:row r="135" ht="14.25" customHeight="1">
      <x:c r="A135" s="10"/>
      <x:c r="B135" s="10"/>
      <x:c r="C135" s="10"/>
      <x:c r="D135" s="10"/>
      <x:c r="E135" s="10"/>
      <x:c r="F135" s="10"/>
      <x:c r="G135" s="10"/>
      <x:c r="H135" s="10"/>
    </x:row>
    <x:row r="136" ht="14.25" customHeight="1">
      <x:c r="A136" s="10"/>
      <x:c r="B136" s="10"/>
      <x:c r="C136" s="10"/>
      <x:c r="D136" s="10"/>
      <x:c r="E136" s="10"/>
      <x:c r="F136" s="10"/>
      <x:c r="G136" s="10"/>
      <x:c r="H136" s="10"/>
    </x:row>
    <x:row r="137" ht="14.25" customHeight="1">
      <x:c r="A137" s="10"/>
      <x:c r="B137" s="10"/>
      <x:c r="C137" s="10"/>
      <x:c r="D137" s="10"/>
      <x:c r="E137" s="10"/>
      <x:c r="F137" s="10"/>
      <x:c r="G137" s="10"/>
      <x:c r="H137" s="10"/>
    </x:row>
    <x:row r="138" ht="14.25" customHeight="1">
      <x:c r="A138" s="10"/>
      <x:c r="B138" s="10"/>
      <x:c r="C138" s="10"/>
      <x:c r="D138" s="10"/>
      <x:c r="E138" s="10"/>
      <x:c r="F138" s="10"/>
      <x:c r="G138" s="10"/>
      <x:c r="H138" s="10"/>
    </x:row>
    <x:row r="139" ht="14.25" customHeight="1">
      <x:c r="A139" s="10"/>
      <x:c r="B139" s="10"/>
      <x:c r="C139" s="10"/>
      <x:c r="D139" s="10"/>
      <x:c r="E139" s="10"/>
      <x:c r="F139" s="10"/>
      <x:c r="G139" s="10"/>
      <x:c r="H139" s="10"/>
    </x:row>
    <x:row r="140" ht="14.25" customHeight="1">
      <x:c r="A140" s="10"/>
      <x:c r="B140" s="10"/>
      <x:c r="C140" s="10"/>
      <x:c r="D140" s="10"/>
      <x:c r="E140" s="10"/>
      <x:c r="F140" s="10"/>
      <x:c r="G140" s="10"/>
      <x:c r="H140" s="10"/>
    </x:row>
    <x:row r="141" ht="14.25" customHeight="1">
      <x:c r="A141" s="10"/>
      <x:c r="B141" s="10"/>
      <x:c r="C141" s="10"/>
      <x:c r="D141" s="10"/>
      <x:c r="E141" s="10"/>
      <x:c r="F141" s="10"/>
      <x:c r="G141" s="10"/>
      <x:c r="H141" s="10"/>
    </x:row>
    <x:row r="142" ht="14.25" customHeight="1">
      <x:c r="A142" s="10"/>
      <x:c r="B142" s="10"/>
      <x:c r="C142" s="10"/>
      <x:c r="D142" s="10"/>
      <x:c r="E142" s="10"/>
      <x:c r="F142" s="10"/>
      <x:c r="G142" s="10"/>
      <x:c r="H142" s="10"/>
    </x:row>
    <x:row r="143" ht="14.25" customHeight="1">
      <x:c r="A143" s="10"/>
      <x:c r="B143" s="10"/>
      <x:c r="C143" s="10"/>
      <x:c r="D143" s="10"/>
      <x:c r="E143" s="10"/>
      <x:c r="F143" s="10"/>
      <x:c r="G143" s="10"/>
      <x:c r="H143" s="10"/>
    </x:row>
    <x:row r="144" ht="14.25" customHeight="1">
      <x:c r="A144" s="10"/>
      <x:c r="B144" s="10"/>
      <x:c r="C144" s="10"/>
      <x:c r="D144" s="10"/>
      <x:c r="E144" s="10"/>
      <x:c r="F144" s="10"/>
      <x:c r="G144" s="10"/>
      <x:c r="H144" s="10"/>
    </x:row>
    <x:row r="145" ht="14.25" customHeight="1">
      <x:c r="A145" s="10"/>
      <x:c r="B145" s="10"/>
      <x:c r="C145" s="10"/>
      <x:c r="D145" s="10"/>
      <x:c r="E145" s="10"/>
      <x:c r="F145" s="10"/>
      <x:c r="G145" s="10"/>
      <x:c r="H145" s="10"/>
    </x:row>
    <x:row r="146" ht="14.25" customHeight="1">
      <x:c r="A146" s="10"/>
      <x:c r="B146" s="10"/>
      <x:c r="C146" s="10"/>
      <x:c r="D146" s="10"/>
      <x:c r="E146" s="10"/>
      <x:c r="F146" s="10"/>
      <x:c r="G146" s="10"/>
      <x:c r="H146" s="10"/>
    </x:row>
    <x:row r="147" ht="14.25" customHeight="1">
      <x:c r="A147" s="10"/>
      <x:c r="B147" s="10"/>
      <x:c r="C147" s="10"/>
      <x:c r="D147" s="10"/>
      <x:c r="E147" s="10"/>
      <x:c r="F147" s="10"/>
      <x:c r="G147" s="10"/>
      <x:c r="H147" s="10"/>
    </x:row>
    <x:row r="148" ht="14.25" customHeight="1">
      <x:c r="A148" s="10"/>
      <x:c r="B148" s="10"/>
      <x:c r="C148" s="10"/>
      <x:c r="D148" s="10"/>
      <x:c r="E148" s="10"/>
      <x:c r="F148" s="10"/>
      <x:c r="G148" s="10"/>
      <x:c r="H148" s="10"/>
    </x:row>
    <x:row r="149" ht="14.25" customHeight="1">
      <x:c r="A149" s="10"/>
      <x:c r="B149" s="10"/>
      <x:c r="C149" s="10"/>
      <x:c r="D149" s="10"/>
      <x:c r="E149" s="10"/>
      <x:c r="F149" s="10"/>
      <x:c r="G149" s="10"/>
      <x:c r="H149" s="10"/>
    </x:row>
    <x:row r="150" ht="14.25" customHeight="1">
      <x:c r="A150" s="10"/>
      <x:c r="B150" s="10"/>
      <x:c r="C150" s="10"/>
      <x:c r="D150" s="10"/>
      <x:c r="E150" s="10"/>
      <x:c r="F150" s="10"/>
      <x:c r="G150" s="10"/>
      <x:c r="H150" s="10"/>
    </x:row>
    <x:row r="151" ht="14.25" customHeight="1">
      <x:c r="A151" s="10"/>
      <x:c r="B151" s="10"/>
      <x:c r="C151" s="10"/>
      <x:c r="D151" s="10"/>
      <x:c r="E151" s="10"/>
      <x:c r="F151" s="10"/>
      <x:c r="G151" s="10"/>
      <x:c r="H151" s="10"/>
    </x:row>
    <x:row r="152" ht="14.25" customHeight="1">
      <x:c r="A152" s="10"/>
      <x:c r="B152" s="10"/>
      <x:c r="C152" s="10"/>
      <x:c r="D152" s="10"/>
      <x:c r="E152" s="10"/>
      <x:c r="F152" s="10"/>
      <x:c r="G152" s="10"/>
      <x:c r="H152" s="10"/>
    </x:row>
    <x:row r="153" ht="14.25" customHeight="1">
      <x:c r="A153" s="10"/>
      <x:c r="B153" s="10"/>
      <x:c r="C153" s="10"/>
      <x:c r="D153" s="10"/>
      <x:c r="E153" s="10"/>
      <x:c r="F153" s="10"/>
      <x:c r="G153" s="10"/>
      <x:c r="H153" s="10"/>
    </x:row>
    <x:row r="154" ht="14.25" customHeight="1">
      <x:c r="A154" s="10"/>
      <x:c r="B154" s="10"/>
      <x:c r="C154" s="10"/>
      <x:c r="D154" s="10"/>
      <x:c r="E154" s="10"/>
      <x:c r="F154" s="10"/>
      <x:c r="G154" s="10"/>
      <x:c r="H154" s="10"/>
    </x:row>
    <x:row r="155" ht="14.25" customHeight="1">
      <x:c r="A155" s="10"/>
      <x:c r="B155" s="10"/>
      <x:c r="C155" s="10"/>
      <x:c r="D155" s="10"/>
      <x:c r="E155" s="10"/>
      <x:c r="F155" s="10"/>
      <x:c r="G155" s="10"/>
      <x:c r="H155" s="10"/>
    </x:row>
    <x:row r="156" ht="14.25" customHeight="1">
      <x:c r="A156" s="10"/>
      <x:c r="B156" s="10"/>
      <x:c r="C156" s="10"/>
      <x:c r="D156" s="10"/>
      <x:c r="E156" s="10"/>
      <x:c r="F156" s="10"/>
      <x:c r="G156" s="10"/>
      <x:c r="H156" s="10"/>
    </x:row>
    <x:row r="157" ht="14.25" customHeight="1">
      <x:c r="A157" s="10"/>
      <x:c r="B157" s="10"/>
      <x:c r="C157" s="10"/>
      <x:c r="D157" s="10"/>
      <x:c r="E157" s="10"/>
      <x:c r="F157" s="10"/>
      <x:c r="G157" s="10"/>
      <x:c r="H157" s="10"/>
    </x:row>
    <x:row r="158" ht="14.25" customHeight="1">
      <x:c r="A158" s="10"/>
      <x:c r="B158" s="10"/>
      <x:c r="C158" s="10"/>
      <x:c r="D158" s="10"/>
      <x:c r="E158" s="10"/>
      <x:c r="F158" s="10"/>
      <x:c r="G158" s="10"/>
      <x:c r="H158" s="10"/>
    </x:row>
    <x:row r="159" ht="14.25" customHeight="1">
      <x:c r="A159" s="10"/>
      <x:c r="B159" s="10"/>
      <x:c r="C159" s="10"/>
      <x:c r="D159" s="10"/>
      <x:c r="E159" s="10"/>
      <x:c r="F159" s="10"/>
      <x:c r="G159" s="10"/>
      <x:c r="H159" s="10"/>
    </x:row>
    <x:row r="160" ht="14.25" customHeight="1">
      <x:c r="A160" s="10"/>
      <x:c r="B160" s="10"/>
      <x:c r="C160" s="10"/>
      <x:c r="D160" s="10"/>
      <x:c r="E160" s="10"/>
      <x:c r="F160" s="10"/>
      <x:c r="G160" s="10"/>
      <x:c r="H160" s="10"/>
    </x:row>
    <x:row r="161" ht="14.25" customHeight="1">
      <x:c r="A161" s="10"/>
      <x:c r="B161" s="10"/>
      <x:c r="C161" s="10"/>
      <x:c r="D161" s="10"/>
      <x:c r="E161" s="10"/>
      <x:c r="F161" s="10"/>
      <x:c r="G161" s="10"/>
      <x:c r="H161" s="10"/>
    </x:row>
    <x:row r="162" ht="14.25" customHeight="1">
      <x:c r="A162" s="10"/>
      <x:c r="B162" s="10"/>
      <x:c r="C162" s="10"/>
      <x:c r="D162" s="10"/>
      <x:c r="E162" s="10"/>
      <x:c r="F162" s="10"/>
      <x:c r="G162" s="10"/>
      <x:c r="H162" s="10"/>
    </x:row>
    <x:row r="163" ht="14.25" customHeight="1">
      <x:c r="A163" s="10"/>
      <x:c r="B163" s="10"/>
      <x:c r="C163" s="10"/>
      <x:c r="D163" s="10"/>
      <x:c r="E163" s="10"/>
      <x:c r="F163" s="10"/>
      <x:c r="G163" s="10"/>
      <x:c r="H163" s="10"/>
    </x:row>
    <x:row r="164" ht="14.25" customHeight="1">
      <x:c r="A164" s="10"/>
      <x:c r="B164" s="10"/>
      <x:c r="C164" s="10"/>
      <x:c r="D164" s="10"/>
      <x:c r="E164" s="10"/>
      <x:c r="F164" s="10"/>
      <x:c r="G164" s="10"/>
      <x:c r="H164" s="10"/>
    </x:row>
    <x:row r="165" ht="14.25" customHeight="1">
      <x:c r="A165" s="10"/>
      <x:c r="B165" s="10"/>
      <x:c r="C165" s="10"/>
      <x:c r="D165" s="10"/>
      <x:c r="E165" s="10"/>
      <x:c r="F165" s="10"/>
      <x:c r="G165" s="10"/>
      <x:c r="H165" s="10"/>
    </x:row>
    <x:row r="166" ht="14.25" customHeight="1">
      <x:c r="A166" s="10"/>
      <x:c r="B166" s="10"/>
      <x:c r="C166" s="10"/>
      <x:c r="D166" s="10"/>
      <x:c r="E166" s="10"/>
      <x:c r="F166" s="10"/>
      <x:c r="G166" s="10"/>
      <x:c r="H166" s="10"/>
    </x:row>
    <x:row r="167" ht="14.25" customHeight="1">
      <x:c r="A167" s="10"/>
      <x:c r="B167" s="10"/>
      <x:c r="C167" s="10"/>
      <x:c r="D167" s="10"/>
      <x:c r="E167" s="10"/>
      <x:c r="F167" s="10"/>
      <x:c r="G167" s="10"/>
      <x:c r="H167" s="10"/>
    </x:row>
    <x:row r="168" ht="14.25" customHeight="1">
      <x:c r="A168" s="10"/>
      <x:c r="B168" s="10"/>
      <x:c r="C168" s="10"/>
      <x:c r="D168" s="10"/>
      <x:c r="E168" s="10"/>
      <x:c r="F168" s="10"/>
      <x:c r="G168" s="10"/>
      <x:c r="H168" s="10"/>
    </x:row>
    <x:row r="169" ht="14.25" customHeight="1">
      <x:c r="A169" s="10"/>
      <x:c r="B169" s="10"/>
      <x:c r="C169" s="10"/>
      <x:c r="D169" s="10"/>
      <x:c r="E169" s="10"/>
      <x:c r="F169" s="10"/>
      <x:c r="G169" s="10"/>
      <x:c r="H169" s="10"/>
    </x:row>
    <x:row r="170" ht="14.25" customHeight="1">
      <x:c r="A170" s="10"/>
      <x:c r="B170" s="10"/>
      <x:c r="C170" s="10"/>
      <x:c r="D170" s="10"/>
      <x:c r="E170" s="10"/>
      <x:c r="F170" s="10"/>
      <x:c r="G170" s="10"/>
      <x:c r="H170" s="10"/>
    </x:row>
    <x:row r="171" ht="14.25" customHeight="1">
      <x:c r="A171" s="10"/>
      <x:c r="B171" s="10"/>
      <x:c r="C171" s="10"/>
      <x:c r="D171" s="10"/>
      <x:c r="E171" s="10"/>
      <x:c r="F171" s="10"/>
      <x:c r="G171" s="10"/>
      <x:c r="H171" s="10"/>
    </x:row>
    <x:row r="172" ht="14.25" customHeight="1">
      <x:c r="A172" s="10"/>
      <x:c r="B172" s="10"/>
      <x:c r="C172" s="10"/>
      <x:c r="D172" s="10"/>
      <x:c r="E172" s="10"/>
      <x:c r="F172" s="10"/>
      <x:c r="G172" s="10"/>
      <x:c r="H172" s="10"/>
    </x:row>
    <x:row r="173" ht="14.25" customHeight="1">
      <x:c r="A173" s="10"/>
      <x:c r="B173" s="10"/>
      <x:c r="C173" s="10"/>
      <x:c r="D173" s="10"/>
      <x:c r="E173" s="10"/>
      <x:c r="F173" s="10"/>
      <x:c r="G173" s="10"/>
      <x:c r="H173" s="10"/>
    </x:row>
    <x:row r="174" ht="14.25" customHeight="1">
      <x:c r="A174" s="10"/>
      <x:c r="B174" s="10"/>
      <x:c r="C174" s="10"/>
      <x:c r="D174" s="10"/>
      <x:c r="E174" s="10"/>
      <x:c r="F174" s="10"/>
      <x:c r="G174" s="10"/>
      <x:c r="H174" s="10"/>
    </x:row>
    <x:row r="175" ht="14.25" customHeight="1">
      <x:c r="A175" s="10"/>
      <x:c r="B175" s="10"/>
      <x:c r="C175" s="10"/>
      <x:c r="D175" s="10"/>
      <x:c r="E175" s="10"/>
      <x:c r="F175" s="10"/>
      <x:c r="G175" s="10"/>
      <x:c r="H175" s="10"/>
    </x:row>
    <x:row r="176" ht="14.25" customHeight="1">
      <x:c r="A176" s="10"/>
      <x:c r="B176" s="10"/>
      <x:c r="C176" s="10"/>
      <x:c r="D176" s="10"/>
      <x:c r="E176" s="10"/>
      <x:c r="F176" s="10"/>
      <x:c r="G176" s="10"/>
      <x:c r="H176" s="10"/>
    </x:row>
    <x:row r="177" ht="14.25" customHeight="1">
      <x:c r="A177" s="10"/>
      <x:c r="B177" s="10"/>
      <x:c r="C177" s="10"/>
      <x:c r="D177" s="10"/>
      <x:c r="E177" s="10"/>
      <x:c r="F177" s="10"/>
      <x:c r="G177" s="10"/>
      <x:c r="H177" s="10"/>
    </x:row>
    <x:row r="178" ht="14.25" customHeight="1">
      <x:c r="A178" s="10"/>
      <x:c r="B178" s="10"/>
      <x:c r="C178" s="10"/>
      <x:c r="D178" s="10"/>
      <x:c r="E178" s="10"/>
      <x:c r="F178" s="10"/>
      <x:c r="G178" s="10"/>
      <x:c r="H178" s="10"/>
    </x:row>
    <x:row r="179" ht="14.25" customHeight="1">
      <x:c r="A179" s="10"/>
      <x:c r="B179" s="10"/>
      <x:c r="C179" s="10"/>
      <x:c r="D179" s="10"/>
      <x:c r="E179" s="10"/>
      <x:c r="F179" s="10"/>
      <x:c r="G179" s="10"/>
      <x:c r="H179" s="10"/>
    </x:row>
    <x:row r="180" ht="14.25" customHeight="1">
      <x:c r="A180" s="10"/>
      <x:c r="B180" s="10"/>
      <x:c r="C180" s="10"/>
      <x:c r="D180" s="10"/>
      <x:c r="E180" s="10"/>
      <x:c r="F180" s="10"/>
      <x:c r="G180" s="10"/>
      <x:c r="H180" s="10"/>
    </x:row>
    <x:row r="181" ht="14.25" customHeight="1">
      <x:c r="A181" s="10"/>
      <x:c r="B181" s="10"/>
      <x:c r="C181" s="10"/>
      <x:c r="D181" s="10"/>
      <x:c r="E181" s="10"/>
      <x:c r="F181" s="10"/>
      <x:c r="G181" s="10"/>
      <x:c r="H181" s="10"/>
    </x:row>
    <x:row r="182" ht="14.25" customHeight="1">
      <x:c r="A182" s="10"/>
      <x:c r="B182" s="10"/>
      <x:c r="C182" s="10"/>
      <x:c r="D182" s="10"/>
      <x:c r="E182" s="10"/>
      <x:c r="F182" s="10"/>
      <x:c r="G182" s="10"/>
      <x:c r="H182" s="10"/>
    </x:row>
    <x:row r="183" ht="14.25" customHeight="1">
      <x:c r="A183" s="10"/>
      <x:c r="B183" s="10"/>
      <x:c r="C183" s="10"/>
      <x:c r="D183" s="10"/>
      <x:c r="E183" s="10"/>
      <x:c r="F183" s="10"/>
      <x:c r="G183" s="10"/>
      <x:c r="H183" s="10"/>
    </x:row>
    <x:row r="184" ht="14.25" customHeight="1">
      <x:c r="A184" s="10"/>
      <x:c r="B184" s="10"/>
      <x:c r="C184" s="10"/>
      <x:c r="D184" s="10"/>
      <x:c r="E184" s="10"/>
      <x:c r="F184" s="10"/>
      <x:c r="G184" s="10"/>
      <x:c r="H184" s="10"/>
    </x:row>
    <x:row r="185" ht="14.25" customHeight="1">
      <x:c r="A185" s="10"/>
      <x:c r="B185" s="10"/>
      <x:c r="C185" s="10"/>
      <x:c r="D185" s="10"/>
      <x:c r="E185" s="10"/>
      <x:c r="F185" s="10"/>
      <x:c r="G185" s="10"/>
      <x:c r="H185" s="10"/>
    </x:row>
    <x:row r="186" ht="14.25" customHeight="1">
      <x:c r="A186" s="10"/>
      <x:c r="B186" s="10"/>
      <x:c r="C186" s="10"/>
      <x:c r="D186" s="10"/>
      <x:c r="E186" s="10"/>
      <x:c r="F186" s="10"/>
      <x:c r="G186" s="10"/>
      <x:c r="H186" s="10"/>
    </x:row>
    <x:row r="187" ht="14.25" customHeight="1">
      <x:c r="A187" s="10"/>
      <x:c r="B187" s="10"/>
      <x:c r="C187" s="10"/>
      <x:c r="D187" s="10"/>
      <x:c r="E187" s="10"/>
      <x:c r="F187" s="10"/>
      <x:c r="G187" s="10"/>
      <x:c r="H187" s="10"/>
    </x:row>
    <x:row r="188" ht="14.25" customHeight="1">
      <x:c r="A188" s="10"/>
      <x:c r="B188" s="10"/>
      <x:c r="C188" s="10"/>
      <x:c r="D188" s="10"/>
      <x:c r="E188" s="10"/>
      <x:c r="F188" s="10"/>
      <x:c r="G188" s="10"/>
      <x:c r="H188" s="10"/>
    </x:row>
    <x:row r="189" ht="14.25" customHeight="1">
      <x:c r="A189" s="10"/>
      <x:c r="B189" s="10"/>
      <x:c r="C189" s="10"/>
      <x:c r="D189" s="10"/>
      <x:c r="E189" s="10"/>
      <x:c r="F189" s="10"/>
      <x:c r="G189" s="10"/>
      <x:c r="H189" s="10"/>
    </x:row>
    <x:row r="190" ht="14.25" customHeight="1">
      <x:c r="A190" s="10"/>
      <x:c r="B190" s="10"/>
      <x:c r="C190" s="10"/>
      <x:c r="D190" s="10"/>
      <x:c r="E190" s="10"/>
      <x:c r="F190" s="10"/>
      <x:c r="G190" s="10"/>
      <x:c r="H190" s="10"/>
    </x:row>
    <x:row r="191" ht="14.25" customHeight="1">
      <x:c r="A191" s="10"/>
      <x:c r="B191" s="10"/>
      <x:c r="C191" s="10"/>
      <x:c r="D191" s="10"/>
      <x:c r="E191" s="10"/>
      <x:c r="F191" s="10"/>
      <x:c r="G191" s="10"/>
      <x:c r="H191" s="10"/>
    </x:row>
    <x:row r="192" ht="14.25" customHeight="1">
      <x:c r="A192" s="10"/>
      <x:c r="B192" s="10"/>
      <x:c r="C192" s="10"/>
      <x:c r="D192" s="10"/>
      <x:c r="E192" s="10"/>
      <x:c r="F192" s="10"/>
      <x:c r="G192" s="10"/>
      <x:c r="H192" s="10"/>
    </x:row>
    <x:row r="193" ht="14.25" customHeight="1">
      <x:c r="A193" s="10"/>
      <x:c r="B193" s="10"/>
      <x:c r="C193" s="10"/>
      <x:c r="D193" s="10"/>
      <x:c r="E193" s="10"/>
      <x:c r="F193" s="10"/>
      <x:c r="G193" s="10"/>
      <x:c r="H193" s="10"/>
    </x:row>
    <x:row r="194" ht="14.25" customHeight="1">
      <x:c r="A194" s="10"/>
      <x:c r="B194" s="10"/>
      <x:c r="C194" s="10"/>
      <x:c r="D194" s="10"/>
      <x:c r="E194" s="10"/>
      <x:c r="F194" s="10"/>
      <x:c r="G194" s="10"/>
      <x:c r="H194" s="10"/>
    </x:row>
    <x:row r="195" ht="14.25" customHeight="1">
      <x:c r="A195" s="10"/>
      <x:c r="B195" s="10"/>
      <x:c r="C195" s="10"/>
      <x:c r="D195" s="10"/>
      <x:c r="E195" s="10"/>
      <x:c r="F195" s="10"/>
      <x:c r="G195" s="10"/>
      <x:c r="H195" s="10"/>
    </x:row>
    <x:row r="196" ht="14.25" customHeight="1">
      <x:c r="A196" s="10"/>
      <x:c r="B196" s="10"/>
      <x:c r="C196" s="10"/>
      <x:c r="D196" s="10"/>
      <x:c r="E196" s="10"/>
      <x:c r="F196" s="10"/>
      <x:c r="G196" s="10"/>
      <x:c r="H196" s="10"/>
    </x:row>
    <x:row r="197" ht="14.25" customHeight="1">
      <x:c r="A197" s="10"/>
      <x:c r="B197" s="10"/>
      <x:c r="C197" s="10"/>
      <x:c r="D197" s="10"/>
      <x:c r="E197" s="10"/>
      <x:c r="F197" s="10"/>
      <x:c r="G197" s="10"/>
      <x:c r="H197" s="10"/>
    </x:row>
    <x:row r="198" ht="14.25" customHeight="1">
      <x:c r="A198" s="10"/>
      <x:c r="B198" s="10"/>
      <x:c r="C198" s="10"/>
      <x:c r="D198" s="10"/>
      <x:c r="E198" s="10"/>
      <x:c r="F198" s="10"/>
      <x:c r="G198" s="10"/>
      <x:c r="H198" s="10"/>
    </x:row>
    <x:row r="199" ht="14.25" customHeight="1">
      <x:c r="A199" s="10"/>
      <x:c r="B199" s="10"/>
      <x:c r="C199" s="10"/>
      <x:c r="D199" s="10"/>
      <x:c r="E199" s="10"/>
      <x:c r="F199" s="10"/>
      <x:c r="G199" s="10"/>
      <x:c r="H199" s="10"/>
    </x:row>
    <x:row r="200" ht="14.25" customHeight="1">
      <x:c r="A200" s="10"/>
      <x:c r="B200" s="10"/>
      <x:c r="C200" s="10"/>
      <x:c r="D200" s="10"/>
      <x:c r="E200" s="10"/>
      <x:c r="F200" s="10"/>
      <x:c r="G200" s="10"/>
      <x:c r="H200" s="10"/>
    </x:row>
    <x:row r="201" ht="14.25" customHeight="1">
      <x:c r="A201" s="10"/>
      <x:c r="B201" s="10"/>
      <x:c r="C201" s="10"/>
      <x:c r="D201" s="10"/>
      <x:c r="E201" s="10"/>
      <x:c r="F201" s="10"/>
      <x:c r="G201" s="10"/>
      <x:c r="H201" s="10"/>
    </x:row>
    <x:row r="202" ht="14.25" customHeight="1">
      <x:c r="A202" s="10"/>
      <x:c r="B202" s="10"/>
      <x:c r="C202" s="10"/>
      <x:c r="D202" s="10"/>
      <x:c r="E202" s="10"/>
      <x:c r="F202" s="10"/>
      <x:c r="G202" s="10"/>
      <x:c r="H202" s="10"/>
    </x:row>
    <x:row r="203" ht="14.25" customHeight="1">
      <x:c r="A203" s="10"/>
      <x:c r="B203" s="10"/>
      <x:c r="C203" s="10"/>
      <x:c r="D203" s="10"/>
      <x:c r="E203" s="10"/>
      <x:c r="F203" s="10"/>
      <x:c r="G203" s="10"/>
      <x:c r="H203" s="10"/>
    </x:row>
    <x:row r="204" ht="14.25" customHeight="1">
      <x:c r="A204" s="10"/>
      <x:c r="B204" s="10"/>
      <x:c r="C204" s="10"/>
      <x:c r="D204" s="10"/>
      <x:c r="E204" s="10"/>
      <x:c r="F204" s="10"/>
      <x:c r="G204" s="10"/>
      <x:c r="H204" s="10"/>
    </x:row>
    <x:row r="205" ht="14.25" customHeight="1">
      <x:c r="A205" s="10"/>
      <x:c r="B205" s="10"/>
      <x:c r="C205" s="10"/>
      <x:c r="D205" s="10"/>
      <x:c r="E205" s="10"/>
      <x:c r="F205" s="10"/>
      <x:c r="G205" s="10"/>
      <x:c r="H205" s="10"/>
    </x:row>
    <x:row r="206" ht="14.25" customHeight="1">
      <x:c r="A206" s="10"/>
      <x:c r="B206" s="10"/>
      <x:c r="C206" s="10"/>
      <x:c r="D206" s="10"/>
      <x:c r="E206" s="10"/>
      <x:c r="F206" s="10"/>
      <x:c r="G206" s="10"/>
      <x:c r="H206" s="10"/>
    </x:row>
    <x:row r="207" ht="14.25" customHeight="1">
      <x:c r="A207" s="10"/>
      <x:c r="B207" s="10"/>
      <x:c r="C207" s="10"/>
      <x:c r="D207" s="10"/>
      <x:c r="E207" s="10"/>
      <x:c r="F207" s="10"/>
      <x:c r="G207" s="10"/>
      <x:c r="H207" s="10"/>
    </x:row>
    <x:row r="208" ht="14.25" customHeight="1">
      <x:c r="A208" s="10"/>
      <x:c r="B208" s="10"/>
      <x:c r="C208" s="10"/>
      <x:c r="D208" s="10"/>
      <x:c r="E208" s="10"/>
      <x:c r="F208" s="10"/>
      <x:c r="G208" s="10"/>
      <x:c r="H208" s="10"/>
    </x:row>
    <x:row r="209" ht="14.25" customHeight="1">
      <x:c r="A209" s="10"/>
      <x:c r="B209" s="10"/>
      <x:c r="C209" s="10"/>
      <x:c r="D209" s="10"/>
      <x:c r="E209" s="10"/>
      <x:c r="F209" s="10"/>
      <x:c r="G209" s="10"/>
      <x:c r="H209" s="10"/>
    </x:row>
    <x:row r="210" ht="14.25" customHeight="1">
      <x:c r="A210" s="10"/>
      <x:c r="B210" s="10"/>
      <x:c r="C210" s="10"/>
      <x:c r="D210" s="10"/>
      <x:c r="E210" s="10"/>
      <x:c r="F210" s="10"/>
      <x:c r="G210" s="10"/>
      <x:c r="H210" s="10"/>
    </x:row>
    <x:row r="211" ht="14.25" customHeight="1">
      <x:c r="A211" s="10"/>
      <x:c r="B211" s="10"/>
      <x:c r="C211" s="10"/>
      <x:c r="D211" s="10"/>
      <x:c r="E211" s="10"/>
      <x:c r="F211" s="10"/>
      <x:c r="G211" s="10"/>
      <x:c r="H211" s="10"/>
    </x:row>
    <x:row r="212" ht="14.25" customHeight="1">
      <x:c r="A212" s="10"/>
      <x:c r="B212" s="10"/>
      <x:c r="C212" s="10"/>
      <x:c r="D212" s="10"/>
      <x:c r="E212" s="10"/>
      <x:c r="F212" s="10"/>
      <x:c r="G212" s="10"/>
      <x:c r="H212" s="10"/>
    </x:row>
    <x:row r="213" ht="14.25" customHeight="1">
      <x:c r="A213" s="10"/>
      <x:c r="B213" s="10"/>
      <x:c r="C213" s="10"/>
      <x:c r="D213" s="10"/>
      <x:c r="E213" s="10"/>
      <x:c r="F213" s="10"/>
      <x:c r="G213" s="10"/>
      <x:c r="H213" s="10"/>
    </x:row>
    <x:row r="214" ht="14.25" customHeight="1">
      <x:c r="A214" s="10"/>
      <x:c r="B214" s="10"/>
      <x:c r="C214" s="10"/>
      <x:c r="D214" s="10"/>
      <x:c r="E214" s="10"/>
      <x:c r="F214" s="10"/>
      <x:c r="G214" s="10"/>
      <x:c r="H214" s="10"/>
    </x:row>
    <x:row r="215" ht="14.25" customHeight="1">
      <x:c r="A215" s="10"/>
      <x:c r="B215" s="10"/>
      <x:c r="C215" s="10"/>
      <x:c r="D215" s="10"/>
      <x:c r="E215" s="10"/>
      <x:c r="F215" s="10"/>
      <x:c r="G215" s="10"/>
      <x:c r="H215" s="10"/>
    </x:row>
    <x:row r="216" ht="14.25" customHeight="1">
      <x:c r="A216" s="10"/>
      <x:c r="B216" s="10"/>
      <x:c r="C216" s="10"/>
      <x:c r="D216" s="10"/>
      <x:c r="E216" s="10"/>
      <x:c r="F216" s="10"/>
      <x:c r="G216" s="10"/>
      <x:c r="H216" s="10"/>
    </x:row>
    <x:row r="217" ht="14.25" customHeight="1">
      <x:c r="A217" s="10"/>
      <x:c r="B217" s="10"/>
      <x:c r="C217" s="10"/>
      <x:c r="D217" s="10"/>
      <x:c r="E217" s="10"/>
      <x:c r="F217" s="10"/>
      <x:c r="G217" s="10"/>
      <x:c r="H217" s="10"/>
    </x:row>
    <x:row r="218" ht="14.25" customHeight="1">
      <x:c r="A218" s="10"/>
      <x:c r="B218" s="10"/>
      <x:c r="C218" s="10"/>
      <x:c r="D218" s="10"/>
      <x:c r="E218" s="10"/>
      <x:c r="F218" s="10"/>
      <x:c r="G218" s="10"/>
      <x:c r="H218" s="10"/>
    </x:row>
    <x:row r="219" ht="14.25" customHeight="1">
      <x:c r="A219" s="10"/>
      <x:c r="B219" s="10"/>
      <x:c r="C219" s="10"/>
      <x:c r="D219" s="10"/>
      <x:c r="E219" s="10"/>
      <x:c r="F219" s="10"/>
      <x:c r="G219" s="10"/>
      <x:c r="H219" s="10"/>
    </x:row>
    <x:row r="220" ht="14.25" customHeight="1">
      <x:c r="A220" s="10"/>
      <x:c r="B220" s="10"/>
      <x:c r="C220" s="10"/>
      <x:c r="D220" s="10"/>
      <x:c r="E220" s="10"/>
      <x:c r="F220" s="10"/>
      <x:c r="G220" s="10"/>
      <x:c r="H220" s="10"/>
    </x:row>
    <x:row r="221" ht="14.25" customHeight="1">
      <x:c r="A221" s="10"/>
      <x:c r="B221" s="10"/>
      <x:c r="C221" s="10"/>
      <x:c r="D221" s="10"/>
      <x:c r="E221" s="10"/>
      <x:c r="F221" s="10"/>
      <x:c r="G221" s="10"/>
      <x:c r="H221" s="10"/>
    </x:row>
    <x:row r="222" ht="14.25" customHeight="1">
      <x:c r="A222" s="10"/>
      <x:c r="B222" s="10"/>
      <x:c r="C222" s="10"/>
      <x:c r="D222" s="10"/>
      <x:c r="E222" s="10"/>
      <x:c r="F222" s="10"/>
      <x:c r="G222" s="10"/>
      <x:c r="H222" s="10"/>
    </x:row>
    <x:row r="223" ht="14.25" customHeight="1">
      <x:c r="A223" s="10"/>
      <x:c r="B223" s="10"/>
      <x:c r="C223" s="10"/>
      <x:c r="D223" s="10"/>
      <x:c r="E223" s="10"/>
      <x:c r="F223" s="10"/>
      <x:c r="G223" s="10"/>
      <x:c r="H223" s="10"/>
    </x:row>
    <x:row r="224" ht="14.25" customHeight="1">
      <x:c r="A224" s="10"/>
      <x:c r="B224" s="10"/>
      <x:c r="C224" s="10"/>
      <x:c r="D224" s="10"/>
      <x:c r="E224" s="10"/>
      <x:c r="F224" s="10"/>
      <x:c r="G224" s="10"/>
      <x:c r="H224" s="10"/>
    </x:row>
    <x:row r="225" ht="14.25" customHeight="1">
      <x:c r="A225" s="10"/>
      <x:c r="B225" s="10"/>
      <x:c r="C225" s="10"/>
      <x:c r="D225" s="10"/>
      <x:c r="E225" s="10"/>
      <x:c r="F225" s="10"/>
      <x:c r="G225" s="10"/>
      <x:c r="H225" s="10"/>
    </x:row>
    <x:row r="226" ht="14.25" customHeight="1">
      <x:c r="A226" s="10"/>
      <x:c r="B226" s="10"/>
      <x:c r="C226" s="10"/>
      <x:c r="D226" s="10"/>
      <x:c r="E226" s="10"/>
      <x:c r="F226" s="10"/>
      <x:c r="G226" s="10"/>
      <x:c r="H226" s="10"/>
    </x:row>
    <x:row r="227" ht="14.25" customHeight="1">
      <x:c r="A227" s="10"/>
      <x:c r="B227" s="10"/>
      <x:c r="C227" s="10"/>
      <x:c r="D227" s="10"/>
      <x:c r="E227" s="10"/>
      <x:c r="F227" s="10"/>
      <x:c r="G227" s="10"/>
      <x:c r="H227" s="10"/>
    </x:row>
    <x:row r="228" ht="14.25" customHeight="1">
      <x:c r="A228" s="10"/>
      <x:c r="B228" s="10"/>
      <x:c r="C228" s="10"/>
      <x:c r="D228" s="10"/>
      <x:c r="E228" s="10"/>
      <x:c r="F228" s="10"/>
      <x:c r="G228" s="10"/>
      <x:c r="H228" s="10"/>
    </x:row>
    <x:row r="229" ht="14.25" customHeight="1">
      <x:c r="A229" s="10"/>
      <x:c r="B229" s="10"/>
      <x:c r="C229" s="10"/>
      <x:c r="D229" s="10"/>
      <x:c r="E229" s="10"/>
      <x:c r="F229" s="10"/>
      <x:c r="G229" s="10"/>
      <x:c r="H229" s="10"/>
    </x:row>
    <x:row r="230" ht="14.25" customHeight="1">
      <x:c r="A230" s="10"/>
      <x:c r="B230" s="10"/>
      <x:c r="C230" s="10"/>
      <x:c r="D230" s="10"/>
      <x:c r="E230" s="10"/>
      <x:c r="F230" s="10"/>
      <x:c r="G230" s="10"/>
      <x:c r="H230" s="10"/>
    </x:row>
    <x:row r="231" ht="14.25" customHeight="1">
      <x:c r="A231" s="10"/>
      <x:c r="B231" s="10"/>
      <x:c r="C231" s="10"/>
      <x:c r="D231" s="10"/>
      <x:c r="E231" s="10"/>
      <x:c r="F231" s="10"/>
      <x:c r="G231" s="10"/>
      <x:c r="H231" s="10"/>
    </x:row>
    <x:row r="232" ht="14.25" customHeight="1">
      <x:c r="A232" s="10"/>
      <x:c r="B232" s="10"/>
      <x:c r="C232" s="10"/>
      <x:c r="D232" s="10"/>
      <x:c r="E232" s="10"/>
      <x:c r="F232" s="10"/>
      <x:c r="G232" s="10"/>
      <x:c r="H232" s="10"/>
    </x:row>
    <x:row r="233" ht="14.25" customHeight="1">
      <x:c r="A233" s="10"/>
      <x:c r="B233" s="10"/>
      <x:c r="C233" s="10"/>
      <x:c r="D233" s="10"/>
      <x:c r="E233" s="10"/>
      <x:c r="F233" s="10"/>
      <x:c r="G233" s="10"/>
      <x:c r="H233" s="10"/>
    </x:row>
    <x:row r="234" ht="14.25" customHeight="1">
      <x:c r="A234" s="10"/>
      <x:c r="B234" s="10"/>
      <x:c r="C234" s="10"/>
      <x:c r="D234" s="10"/>
      <x:c r="E234" s="10"/>
      <x:c r="F234" s="10"/>
      <x:c r="G234" s="10"/>
      <x:c r="H234" s="10"/>
    </x:row>
    <x:row r="235" ht="14.25" customHeight="1">
      <x:c r="A235" s="10"/>
      <x:c r="B235" s="10"/>
      <x:c r="C235" s="10"/>
      <x:c r="D235" s="10"/>
      <x:c r="E235" s="10"/>
      <x:c r="F235" s="10"/>
      <x:c r="G235" s="10"/>
      <x:c r="H235" s="10"/>
    </x:row>
    <x:row r="236" ht="14.25" customHeight="1">
      <x:c r="A236" s="10"/>
      <x:c r="B236" s="10"/>
      <x:c r="C236" s="10"/>
      <x:c r="D236" s="10"/>
      <x:c r="E236" s="10"/>
      <x:c r="F236" s="10"/>
      <x:c r="G236" s="10"/>
      <x:c r="H236" s="10"/>
    </x:row>
    <x:row r="237" ht="14.25" customHeight="1">
      <x:c r="A237" s="10"/>
      <x:c r="B237" s="10"/>
      <x:c r="C237" s="10"/>
      <x:c r="D237" s="10"/>
      <x:c r="E237" s="10"/>
      <x:c r="F237" s="10"/>
      <x:c r="G237" s="10"/>
      <x:c r="H237" s="10"/>
    </x:row>
    <x:row r="238" ht="14.25" customHeight="1">
      <x:c r="A238" s="10"/>
      <x:c r="B238" s="10"/>
      <x:c r="C238" s="10"/>
      <x:c r="D238" s="10"/>
      <x:c r="E238" s="10"/>
      <x:c r="F238" s="10"/>
      <x:c r="G238" s="10"/>
      <x:c r="H238" s="10"/>
    </x:row>
    <x:row r="239" ht="14.25" customHeight="1">
      <x:c r="A239" s="10"/>
      <x:c r="B239" s="10"/>
      <x:c r="C239" s="10"/>
      <x:c r="D239" s="10"/>
      <x:c r="E239" s="10"/>
      <x:c r="F239" s="10"/>
      <x:c r="G239" s="10"/>
      <x:c r="H239" s="10"/>
    </x:row>
    <x:row r="240" ht="14.25" customHeight="1">
      <x:c r="A240" s="10"/>
      <x:c r="B240" s="10"/>
      <x:c r="C240" s="10"/>
      <x:c r="D240" s="10"/>
      <x:c r="E240" s="10"/>
      <x:c r="F240" s="10"/>
      <x:c r="G240" s="10"/>
      <x:c r="H240" s="10"/>
    </x:row>
    <x:row r="241" ht="14.25" customHeight="1">
      <x:c r="A241" s="10"/>
      <x:c r="B241" s="10"/>
      <x:c r="C241" s="10"/>
      <x:c r="D241" s="10"/>
      <x:c r="E241" s="10"/>
      <x:c r="F241" s="10"/>
      <x:c r="G241" s="10"/>
      <x:c r="H241" s="10"/>
    </x:row>
    <x:row r="242" ht="14.25" customHeight="1">
      <x:c r="A242" s="10"/>
      <x:c r="B242" s="10"/>
      <x:c r="C242" s="10"/>
      <x:c r="D242" s="10"/>
      <x:c r="E242" s="10"/>
      <x:c r="F242" s="10"/>
      <x:c r="G242" s="10"/>
      <x:c r="H242" s="10"/>
    </x:row>
    <x:row r="243" ht="14.25" customHeight="1">
      <x:c r="A243" s="10"/>
      <x:c r="B243" s="10"/>
      <x:c r="C243" s="10"/>
      <x:c r="D243" s="10"/>
      <x:c r="E243" s="10"/>
      <x:c r="F243" s="10"/>
      <x:c r="G243" s="10"/>
      <x:c r="H243" s="10"/>
    </x:row>
    <x:row r="244" ht="14.25" customHeight="1">
      <x:c r="A244" s="10"/>
      <x:c r="B244" s="10"/>
      <x:c r="C244" s="10"/>
      <x:c r="D244" s="10"/>
      <x:c r="E244" s="10"/>
      <x:c r="F244" s="10"/>
      <x:c r="G244" s="10"/>
      <x:c r="H244" s="10"/>
    </x:row>
    <x:row r="245" ht="14.25" customHeight="1">
      <x:c r="A245" s="10"/>
      <x:c r="B245" s="10"/>
      <x:c r="C245" s="10"/>
      <x:c r="D245" s="10"/>
      <x:c r="E245" s="10"/>
      <x:c r="F245" s="10"/>
      <x:c r="G245" s="10"/>
      <x:c r="H245" s="10"/>
    </x:row>
    <x:row r="246" ht="14.25" customHeight="1">
      <x:c r="A246" s="10"/>
      <x:c r="B246" s="10"/>
      <x:c r="C246" s="10"/>
      <x:c r="D246" s="10"/>
      <x:c r="E246" s="10"/>
      <x:c r="F246" s="10"/>
      <x:c r="G246" s="10"/>
      <x:c r="H246" s="10"/>
    </x:row>
    <x:row r="247" ht="14.25" customHeight="1">
      <x:c r="A247" s="10"/>
      <x:c r="B247" s="10"/>
      <x:c r="C247" s="10"/>
      <x:c r="D247" s="10"/>
      <x:c r="E247" s="10"/>
      <x:c r="F247" s="10"/>
      <x:c r="G247" s="10"/>
      <x:c r="H247" s="10"/>
    </x:row>
    <x:row r="248" ht="14.25" customHeight="1">
      <x:c r="A248" s="10"/>
      <x:c r="B248" s="10"/>
      <x:c r="C248" s="10"/>
      <x:c r="D248" s="10"/>
      <x:c r="E248" s="10"/>
      <x:c r="F248" s="10"/>
      <x:c r="G248" s="10"/>
      <x:c r="H248" s="10"/>
    </x:row>
    <x:row r="249" ht="14.25" customHeight="1">
      <x:c r="A249" s="10"/>
      <x:c r="B249" s="10"/>
      <x:c r="C249" s="10"/>
      <x:c r="D249" s="10"/>
      <x:c r="E249" s="10"/>
      <x:c r="F249" s="10"/>
      <x:c r="G249" s="10"/>
      <x:c r="H249" s="10"/>
    </x:row>
    <x:row r="250" ht="14.25" customHeight="1">
      <x:c r="A250" s="10"/>
      <x:c r="B250" s="10"/>
      <x:c r="C250" s="10"/>
      <x:c r="D250" s="10"/>
      <x:c r="E250" s="10"/>
      <x:c r="F250" s="10"/>
      <x:c r="G250" s="10"/>
      <x:c r="H250" s="10"/>
    </x:row>
    <x:row r="251" ht="14.25" customHeight="1">
      <x:c r="A251" s="10"/>
      <x:c r="B251" s="10"/>
      <x:c r="C251" s="10"/>
      <x:c r="D251" s="10"/>
      <x:c r="E251" s="10"/>
      <x:c r="F251" s="10"/>
      <x:c r="G251" s="10"/>
      <x:c r="H251" s="10"/>
    </x:row>
    <x:row r="252" ht="14.25" customHeight="1">
      <x:c r="A252" s="10"/>
      <x:c r="B252" s="10"/>
      <x:c r="C252" s="10"/>
      <x:c r="D252" s="10"/>
      <x:c r="E252" s="10"/>
      <x:c r="F252" s="10"/>
      <x:c r="G252" s="10"/>
      <x:c r="H252" s="10"/>
    </x:row>
    <x:row r="253" ht="14.25" customHeight="1">
      <x:c r="A253" s="10"/>
      <x:c r="B253" s="10"/>
      <x:c r="C253" s="10"/>
      <x:c r="D253" s="10"/>
      <x:c r="E253" s="10"/>
      <x:c r="F253" s="10"/>
      <x:c r="G253" s="10"/>
      <x:c r="H253" s="10"/>
    </x:row>
    <x:row r="254" ht="14.25" customHeight="1">
      <x:c r="A254" s="10"/>
      <x:c r="B254" s="10"/>
      <x:c r="C254" s="10"/>
      <x:c r="D254" s="10"/>
      <x:c r="E254" s="10"/>
      <x:c r="F254" s="10"/>
      <x:c r="G254" s="10"/>
      <x:c r="H254" s="10"/>
    </x:row>
    <x:row r="255" ht="14.25" customHeight="1">
      <x:c r="A255" s="10"/>
      <x:c r="B255" s="10"/>
      <x:c r="C255" s="10"/>
      <x:c r="D255" s="10"/>
      <x:c r="E255" s="10"/>
      <x:c r="F255" s="10"/>
      <x:c r="G255" s="10"/>
      <x:c r="H255" s="10"/>
    </x:row>
    <x:row r="256" ht="14.25" customHeight="1">
      <x:c r="A256" s="10"/>
      <x:c r="B256" s="10"/>
      <x:c r="C256" s="10"/>
      <x:c r="D256" s="10"/>
      <x:c r="E256" s="10"/>
      <x:c r="F256" s="10"/>
      <x:c r="G256" s="10"/>
      <x:c r="H256" s="10"/>
    </x:row>
    <x:row r="257" ht="14.25" customHeight="1">
      <x:c r="A257" s="10"/>
      <x:c r="B257" s="10"/>
      <x:c r="C257" s="10"/>
      <x:c r="D257" s="10"/>
      <x:c r="E257" s="10"/>
      <x:c r="F257" s="10"/>
      <x:c r="G257" s="10"/>
      <x:c r="H257" s="10"/>
    </x:row>
    <x:row r="258" ht="14.25" customHeight="1">
      <x:c r="A258" s="10"/>
      <x:c r="B258" s="10"/>
      <x:c r="C258" s="10"/>
      <x:c r="D258" s="10"/>
      <x:c r="E258" s="10"/>
      <x:c r="F258" s="10"/>
      <x:c r="G258" s="10"/>
      <x:c r="H258" s="10"/>
    </x:row>
    <x:row r="259" ht="14.25" customHeight="1">
      <x:c r="A259" s="10"/>
      <x:c r="B259" s="10"/>
      <x:c r="C259" s="10"/>
      <x:c r="D259" s="10"/>
      <x:c r="E259" s="10"/>
      <x:c r="F259" s="10"/>
      <x:c r="G259" s="10"/>
      <x:c r="H259" s="10"/>
    </x:row>
    <x:row r="260" ht="14.25" customHeight="1">
      <x:c r="A260" s="10"/>
      <x:c r="B260" s="10"/>
      <x:c r="C260" s="10"/>
      <x:c r="D260" s="10"/>
      <x:c r="E260" s="10"/>
      <x:c r="F260" s="10"/>
      <x:c r="G260" s="10"/>
      <x:c r="H260" s="10"/>
    </x:row>
    <x:row r="261" ht="14.25" customHeight="1">
      <x:c r="A261" s="10"/>
      <x:c r="B261" s="10"/>
      <x:c r="C261" s="10"/>
      <x:c r="D261" s="10"/>
      <x:c r="E261" s="10"/>
      <x:c r="F261" s="10"/>
      <x:c r="G261" s="10"/>
      <x:c r="H261" s="10"/>
    </x:row>
    <x:row r="262" ht="14.25" customHeight="1">
      <x:c r="A262" s="10"/>
      <x:c r="B262" s="10"/>
      <x:c r="C262" s="10"/>
      <x:c r="D262" s="10"/>
      <x:c r="E262" s="10"/>
      <x:c r="F262" s="10"/>
      <x:c r="G262" s="10"/>
      <x:c r="H262" s="10"/>
    </x:row>
    <x:row r="263" ht="14.25" customHeight="1">
      <x:c r="A263" s="10"/>
      <x:c r="B263" s="10"/>
      <x:c r="C263" s="10"/>
      <x:c r="D263" s="10"/>
      <x:c r="E263" s="10"/>
      <x:c r="F263" s="10"/>
      <x:c r="G263" s="10"/>
      <x:c r="H263" s="10"/>
    </x:row>
    <x:row r="264" ht="14.25" customHeight="1">
      <x:c r="A264" s="10"/>
      <x:c r="B264" s="10"/>
      <x:c r="C264" s="10"/>
      <x:c r="D264" s="10"/>
      <x:c r="E264" s="10"/>
      <x:c r="F264" s="10"/>
      <x:c r="G264" s="10"/>
      <x:c r="H264" s="10"/>
    </x:row>
    <x:row r="265" ht="14.25" customHeight="1">
      <x:c r="A265" s="10"/>
      <x:c r="B265" s="10"/>
      <x:c r="C265" s="10"/>
      <x:c r="D265" s="10"/>
      <x:c r="E265" s="10"/>
      <x:c r="F265" s="10"/>
      <x:c r="G265" s="10"/>
      <x:c r="H265" s="10"/>
    </x:row>
    <x:row r="266" ht="14.25" customHeight="1">
      <x:c r="A266" s="10"/>
      <x:c r="B266" s="10"/>
      <x:c r="C266" s="10"/>
      <x:c r="D266" s="10"/>
      <x:c r="E266" s="10"/>
      <x:c r="F266" s="10"/>
      <x:c r="G266" s="10"/>
      <x:c r="H266" s="10"/>
    </x:row>
    <x:row r="267" ht="14.25" customHeight="1">
      <x:c r="A267" s="10"/>
      <x:c r="B267" s="10"/>
      <x:c r="C267" s="10"/>
      <x:c r="D267" s="10"/>
      <x:c r="E267" s="10"/>
      <x:c r="F267" s="10"/>
      <x:c r="G267" s="10"/>
      <x:c r="H267" s="10"/>
    </x:row>
    <x:row r="268" ht="14.25" customHeight="1">
      <x:c r="A268" s="10"/>
      <x:c r="B268" s="10"/>
      <x:c r="C268" s="10"/>
      <x:c r="D268" s="10"/>
      <x:c r="E268" s="10"/>
      <x:c r="F268" s="10"/>
      <x:c r="G268" s="10"/>
      <x:c r="H268" s="10"/>
    </x:row>
    <x:row r="269" ht="14.25" customHeight="1">
      <x:c r="A269" s="10"/>
      <x:c r="B269" s="10"/>
      <x:c r="C269" s="10"/>
      <x:c r="D269" s="10"/>
      <x:c r="E269" s="10"/>
      <x:c r="F269" s="10"/>
      <x:c r="G269" s="10"/>
      <x:c r="H269" s="10"/>
    </x:row>
    <x:row r="270" ht="14.25" customHeight="1">
      <x:c r="A270" s="10"/>
      <x:c r="B270" s="10"/>
      <x:c r="C270" s="10"/>
      <x:c r="D270" s="10"/>
      <x:c r="E270" s="10"/>
      <x:c r="F270" s="10"/>
      <x:c r="G270" s="10"/>
      <x:c r="H270" s="10"/>
    </x:row>
    <x:row r="271" ht="14.25" customHeight="1">
      <x:c r="A271" s="10"/>
      <x:c r="B271" s="10"/>
      <x:c r="C271" s="10"/>
      <x:c r="D271" s="10"/>
      <x:c r="E271" s="10"/>
      <x:c r="F271" s="10"/>
      <x:c r="G271" s="10"/>
      <x:c r="H271" s="10"/>
    </x:row>
    <x:row r="272" ht="14.25" customHeight="1">
      <x:c r="A272" s="10"/>
      <x:c r="B272" s="10"/>
      <x:c r="C272" s="10"/>
      <x:c r="D272" s="10"/>
      <x:c r="E272" s="10"/>
      <x:c r="F272" s="10"/>
      <x:c r="G272" s="10"/>
      <x:c r="H272" s="10"/>
    </x:row>
    <x:row r="273" ht="14.25" customHeight="1">
      <x:c r="A273" s="10"/>
      <x:c r="B273" s="10"/>
      <x:c r="C273" s="10"/>
      <x:c r="D273" s="10"/>
      <x:c r="E273" s="10"/>
      <x:c r="F273" s="10"/>
      <x:c r="G273" s="10"/>
      <x:c r="H273" s="10"/>
    </x:row>
    <x:row r="274" ht="14.25" customHeight="1">
      <x:c r="A274" s="10"/>
      <x:c r="B274" s="10"/>
      <x:c r="C274" s="10"/>
      <x:c r="D274" s="10"/>
      <x:c r="E274" s="10"/>
      <x:c r="F274" s="10"/>
      <x:c r="G274" s="10"/>
      <x:c r="H274" s="10"/>
    </x:row>
    <x:row r="275" ht="14.25" customHeight="1">
      <x:c r="A275" s="10"/>
      <x:c r="B275" s="10"/>
      <x:c r="C275" s="10"/>
      <x:c r="D275" s="10"/>
      <x:c r="E275" s="10"/>
      <x:c r="F275" s="10"/>
      <x:c r="G275" s="10"/>
      <x:c r="H275" s="10"/>
    </x:row>
    <x:row r="276" ht="14.25" customHeight="1">
      <x:c r="A276" s="10"/>
      <x:c r="B276" s="10"/>
      <x:c r="C276" s="10"/>
      <x:c r="D276" s="10"/>
      <x:c r="E276" s="10"/>
      <x:c r="F276" s="10"/>
      <x:c r="G276" s="10"/>
      <x:c r="H276" s="10"/>
    </x:row>
    <x:row r="277" ht="14.25" customHeight="1">
      <x:c r="A277" s="10"/>
      <x:c r="B277" s="10"/>
      <x:c r="C277" s="10"/>
      <x:c r="D277" s="10"/>
      <x:c r="E277" s="10"/>
      <x:c r="F277" s="10"/>
      <x:c r="G277" s="10"/>
      <x:c r="H277" s="10"/>
    </x:row>
    <x:row r="278" ht="14.25" customHeight="1">
      <x:c r="A278" s="10"/>
      <x:c r="B278" s="10"/>
      <x:c r="C278" s="10"/>
      <x:c r="D278" s="10"/>
      <x:c r="E278" s="10"/>
      <x:c r="F278" s="10"/>
      <x:c r="G278" s="10"/>
      <x:c r="H278" s="10"/>
    </x:row>
    <x:row r="279" ht="14.25" customHeight="1">
      <x:c r="A279" s="10"/>
      <x:c r="B279" s="10"/>
      <x:c r="C279" s="10"/>
      <x:c r="D279" s="10"/>
      <x:c r="E279" s="10"/>
      <x:c r="F279" s="10"/>
      <x:c r="G279" s="10"/>
      <x:c r="H279" s="10"/>
    </x:row>
    <x:row r="280" ht="14.25" customHeight="1">
      <x:c r="A280" s="10"/>
      <x:c r="B280" s="10"/>
      <x:c r="C280" s="10"/>
      <x:c r="D280" s="10"/>
      <x:c r="E280" s="10"/>
      <x:c r="F280" s="10"/>
      <x:c r="G280" s="10"/>
      <x:c r="H280" s="10"/>
    </x:row>
    <x:row r="281" ht="14.25" customHeight="1">
      <x:c r="A281" s="10"/>
      <x:c r="B281" s="10"/>
      <x:c r="C281" s="10"/>
      <x:c r="D281" s="10"/>
      <x:c r="E281" s="10"/>
      <x:c r="F281" s="10"/>
      <x:c r="G281" s="10"/>
      <x:c r="H281" s="10"/>
    </x:row>
    <x:row r="282" ht="14.25" customHeight="1">
      <x:c r="A282" s="10"/>
      <x:c r="B282" s="10"/>
      <x:c r="C282" s="10"/>
      <x:c r="D282" s="10"/>
      <x:c r="E282" s="10"/>
      <x:c r="F282" s="10"/>
      <x:c r="G282" s="10"/>
      <x:c r="H282" s="10"/>
    </x:row>
    <x:row r="283" ht="14.25" customHeight="1">
      <x:c r="A283" s="10"/>
      <x:c r="B283" s="10"/>
      <x:c r="C283" s="10"/>
      <x:c r="D283" s="10"/>
      <x:c r="E283" s="10"/>
      <x:c r="F283" s="10"/>
      <x:c r="G283" s="10"/>
      <x:c r="H283" s="10"/>
    </x:row>
    <x:row r="284" ht="14.25" customHeight="1">
      <x:c r="A284" s="10"/>
      <x:c r="B284" s="10"/>
      <x:c r="C284" s="10"/>
      <x:c r="D284" s="10"/>
      <x:c r="E284" s="10"/>
      <x:c r="F284" s="10"/>
      <x:c r="G284" s="10"/>
      <x:c r="H284" s="10"/>
    </x:row>
    <x:row r="285" ht="14.25" customHeight="1">
      <x:c r="A285" s="10"/>
      <x:c r="B285" s="10"/>
      <x:c r="C285" s="10"/>
      <x:c r="D285" s="10"/>
      <x:c r="E285" s="10"/>
      <x:c r="F285" s="10"/>
      <x:c r="G285" s="10"/>
      <x:c r="H285" s="10"/>
    </x:row>
    <x:row r="286" ht="14.25" customHeight="1">
      <x:c r="A286" s="10"/>
      <x:c r="B286" s="10"/>
      <x:c r="C286" s="10"/>
      <x:c r="D286" s="10"/>
      <x:c r="E286" s="10"/>
      <x:c r="F286" s="10"/>
      <x:c r="G286" s="10"/>
      <x:c r="H286" s="10"/>
    </x:row>
    <x:row r="287" ht="14.25" customHeight="1">
      <x:c r="A287" s="10"/>
      <x:c r="B287" s="10"/>
      <x:c r="C287" s="10"/>
      <x:c r="D287" s="10"/>
      <x:c r="E287" s="10"/>
      <x:c r="F287" s="10"/>
      <x:c r="G287" s="10"/>
      <x:c r="H287" s="10"/>
    </x:row>
    <x:row r="288" ht="14.25" customHeight="1">
      <x:c r="A288" s="10"/>
      <x:c r="B288" s="10"/>
      <x:c r="C288" s="10"/>
      <x:c r="D288" s="10"/>
      <x:c r="E288" s="10"/>
      <x:c r="F288" s="10"/>
      <x:c r="G288" s="10"/>
      <x:c r="H288" s="10"/>
    </x:row>
    <x:row r="289" ht="14.25" customHeight="1">
      <x:c r="A289" s="10"/>
      <x:c r="B289" s="10"/>
      <x:c r="C289" s="10"/>
      <x:c r="D289" s="10"/>
      <x:c r="E289" s="10"/>
      <x:c r="F289" s="10"/>
      <x:c r="G289" s="10"/>
      <x:c r="H289" s="10"/>
    </x:row>
    <x:row r="290" ht="14.25" customHeight="1">
      <x:c r="A290" s="10"/>
      <x:c r="B290" s="10"/>
      <x:c r="C290" s="10"/>
      <x:c r="D290" s="10"/>
      <x:c r="E290" s="10"/>
      <x:c r="F290" s="10"/>
      <x:c r="G290" s="10"/>
      <x:c r="H290" s="10"/>
    </x:row>
    <x:row r="291" ht="14.25" customHeight="1">
      <x:c r="A291" s="10"/>
      <x:c r="B291" s="10"/>
      <x:c r="C291" s="10"/>
      <x:c r="D291" s="10"/>
      <x:c r="E291" s="10"/>
      <x:c r="F291" s="10"/>
      <x:c r="G291" s="10"/>
      <x:c r="H291" s="10"/>
    </x:row>
    <x:row r="292" ht="14.25" customHeight="1">
      <x:c r="A292" s="10"/>
      <x:c r="B292" s="10"/>
      <x:c r="C292" s="10"/>
      <x:c r="D292" s="10"/>
      <x:c r="E292" s="10"/>
      <x:c r="F292" s="10"/>
      <x:c r="G292" s="10"/>
      <x:c r="H292" s="10"/>
    </x:row>
    <x:row r="293" ht="14.25" customHeight="1">
      <x:c r="A293" s="10"/>
      <x:c r="B293" s="10"/>
      <x:c r="C293" s="10"/>
      <x:c r="D293" s="10"/>
      <x:c r="E293" s="10"/>
      <x:c r="F293" s="10"/>
      <x:c r="G293" s="10"/>
      <x:c r="H293" s="10"/>
    </x:row>
    <x:row r="294" ht="14.25" customHeight="1">
      <x:c r="A294" s="10"/>
      <x:c r="B294" s="10"/>
      <x:c r="C294" s="10"/>
      <x:c r="D294" s="10"/>
      <x:c r="E294" s="10"/>
      <x:c r="F294" s="10"/>
      <x:c r="G294" s="10"/>
      <x:c r="H294" s="10"/>
    </x:row>
    <x:row r="295" ht="14.25" customHeight="1">
      <x:c r="A295" s="10"/>
      <x:c r="B295" s="10"/>
      <x:c r="C295" s="10"/>
      <x:c r="D295" s="10"/>
      <x:c r="E295" s="10"/>
      <x:c r="F295" s="10"/>
      <x:c r="G295" s="10"/>
      <x:c r="H295" s="10"/>
    </x:row>
    <x:row r="296" ht="14.25" customHeight="1">
      <x:c r="A296" s="10"/>
      <x:c r="B296" s="10"/>
      <x:c r="C296" s="10"/>
      <x:c r="D296" s="10"/>
      <x:c r="E296" s="10"/>
      <x:c r="F296" s="10"/>
      <x:c r="G296" s="10"/>
      <x:c r="H296" s="10"/>
    </x:row>
    <x:row r="297" ht="14.25" customHeight="1">
      <x:c r="A297" s="10"/>
      <x:c r="B297" s="10"/>
      <x:c r="C297" s="10"/>
      <x:c r="D297" s="10"/>
      <x:c r="E297" s="10"/>
      <x:c r="F297" s="10"/>
      <x:c r="G297" s="10"/>
      <x:c r="H297" s="10"/>
    </x:row>
    <x:row r="298" ht="14.25" customHeight="1">
      <x:c r="A298" s="10"/>
      <x:c r="B298" s="10"/>
      <x:c r="C298" s="10"/>
      <x:c r="D298" s="10"/>
      <x:c r="E298" s="10"/>
      <x:c r="F298" s="10"/>
      <x:c r="G298" s="10"/>
      <x:c r="H298" s="10"/>
    </x:row>
    <x:row r="299" ht="14.25" customHeight="1">
      <x:c r="A299" s="10"/>
      <x:c r="B299" s="10"/>
      <x:c r="C299" s="10"/>
      <x:c r="D299" s="10"/>
      <x:c r="E299" s="10"/>
      <x:c r="F299" s="10"/>
      <x:c r="G299" s="10"/>
      <x:c r="H299" s="10"/>
    </x:row>
    <x:row r="300" ht="14.25" customHeight="1">
      <x:c r="A300" s="10"/>
      <x:c r="B300" s="10"/>
      <x:c r="C300" s="10"/>
      <x:c r="D300" s="10"/>
      <x:c r="E300" s="10"/>
      <x:c r="F300" s="10"/>
      <x:c r="G300" s="10"/>
      <x:c r="H300" s="10"/>
    </x:row>
    <x:row r="301" ht="14.25" customHeight="1">
      <x:c r="A301" s="10"/>
      <x:c r="B301" s="10"/>
      <x:c r="C301" s="10"/>
      <x:c r="D301" s="10"/>
      <x:c r="E301" s="10"/>
      <x:c r="F301" s="10"/>
      <x:c r="G301" s="10"/>
      <x:c r="H301" s="10"/>
    </x:row>
    <x:row r="302" ht="14.25" customHeight="1">
      <x:c r="A302" s="10"/>
      <x:c r="B302" s="10"/>
      <x:c r="C302" s="10"/>
      <x:c r="D302" s="10"/>
      <x:c r="E302" s="10"/>
      <x:c r="F302" s="10"/>
      <x:c r="G302" s="10"/>
      <x:c r="H302" s="10"/>
    </x:row>
    <x:row r="303" ht="14.25" customHeight="1">
      <x:c r="A303" s="10"/>
      <x:c r="B303" s="10"/>
      <x:c r="C303" s="10"/>
      <x:c r="D303" s="10"/>
      <x:c r="E303" s="10"/>
      <x:c r="F303" s="10"/>
      <x:c r="G303" s="10"/>
      <x:c r="H303" s="10"/>
    </x:row>
    <x:row r="304" ht="14.25" customHeight="1">
      <x:c r="A304" s="10"/>
      <x:c r="B304" s="10"/>
      <x:c r="C304" s="10"/>
      <x:c r="D304" s="10"/>
      <x:c r="E304" s="10"/>
      <x:c r="F304" s="10"/>
      <x:c r="G304" s="10"/>
      <x:c r="H304" s="10"/>
    </x:row>
    <x:row r="305" ht="14.25" customHeight="1">
      <x:c r="A305" s="10"/>
      <x:c r="B305" s="10"/>
      <x:c r="C305" s="10"/>
      <x:c r="D305" s="10"/>
      <x:c r="E305" s="10"/>
      <x:c r="F305" s="10"/>
      <x:c r="G305" s="10"/>
      <x:c r="H305" s="10"/>
    </x:row>
    <x:row r="306" ht="14.25" customHeight="1">
      <x:c r="A306" s="10"/>
      <x:c r="B306" s="10"/>
      <x:c r="C306" s="10"/>
      <x:c r="D306" s="10"/>
      <x:c r="E306" s="10"/>
      <x:c r="F306" s="10"/>
      <x:c r="G306" s="10"/>
      <x:c r="H306" s="10"/>
    </x:row>
    <x:row r="307" ht="14.25" customHeight="1">
      <x:c r="A307" s="10"/>
      <x:c r="B307" s="10"/>
      <x:c r="C307" s="10"/>
      <x:c r="D307" s="10"/>
      <x:c r="E307" s="10"/>
      <x:c r="F307" s="10"/>
      <x:c r="G307" s="10"/>
      <x:c r="H307" s="10"/>
    </x:row>
    <x:row r="308" ht="14.25" customHeight="1">
      <x:c r="A308" s="10"/>
      <x:c r="B308" s="10"/>
      <x:c r="C308" s="10"/>
      <x:c r="D308" s="10"/>
      <x:c r="E308" s="10"/>
      <x:c r="F308" s="10"/>
      <x:c r="G308" s="10"/>
      <x:c r="H308" s="10"/>
    </x:row>
    <x:row r="309" ht="14.25" customHeight="1">
      <x:c r="A309" s="10"/>
      <x:c r="B309" s="10"/>
      <x:c r="C309" s="10"/>
      <x:c r="D309" s="10"/>
      <x:c r="E309" s="10"/>
      <x:c r="F309" s="10"/>
      <x:c r="G309" s="10"/>
      <x:c r="H309" s="10"/>
    </x:row>
    <x:row r="310" ht="14.25" customHeight="1">
      <x:c r="A310" s="10"/>
      <x:c r="B310" s="10"/>
      <x:c r="C310" s="10"/>
      <x:c r="D310" s="10"/>
      <x:c r="E310" s="10"/>
      <x:c r="F310" s="10"/>
      <x:c r="G310" s="10"/>
      <x:c r="H310" s="10"/>
    </x:row>
    <x:row r="311" ht="14.25" customHeight="1">
      <x:c r="A311" s="10"/>
      <x:c r="B311" s="10"/>
      <x:c r="C311" s="10"/>
      <x:c r="D311" s="10"/>
      <x:c r="E311" s="10"/>
      <x:c r="F311" s="10"/>
      <x:c r="G311" s="10"/>
      <x:c r="H311" s="10"/>
    </x:row>
    <x:row r="312" ht="14.25" customHeight="1">
      <x:c r="A312" s="10"/>
      <x:c r="B312" s="10"/>
      <x:c r="C312" s="10"/>
      <x:c r="D312" s="10"/>
      <x:c r="E312" s="10"/>
      <x:c r="F312" s="10"/>
      <x:c r="G312" s="10"/>
      <x:c r="H312" s="10"/>
    </x:row>
    <x:row r="313" ht="14.25" customHeight="1">
      <x:c r="A313" s="10"/>
      <x:c r="B313" s="10"/>
      <x:c r="C313" s="10"/>
      <x:c r="D313" s="10"/>
      <x:c r="E313" s="10"/>
      <x:c r="F313" s="10"/>
      <x:c r="G313" s="10"/>
      <x:c r="H313" s="10"/>
    </x:row>
    <x:row r="314" ht="14.25" customHeight="1">
      <x:c r="A314" s="10"/>
      <x:c r="B314" s="10"/>
      <x:c r="C314" s="10"/>
      <x:c r="D314" s="10"/>
      <x:c r="E314" s="10"/>
      <x:c r="F314" s="10"/>
      <x:c r="G314" s="10"/>
      <x:c r="H314" s="10"/>
    </x:row>
    <x:row r="315" ht="14.25" customHeight="1">
      <x:c r="A315" s="10"/>
      <x:c r="B315" s="10"/>
      <x:c r="C315" s="10"/>
      <x:c r="D315" s="10"/>
      <x:c r="E315" s="10"/>
      <x:c r="F315" s="10"/>
      <x:c r="G315" s="10"/>
      <x:c r="H315" s="10"/>
    </x:row>
    <x:row r="316" ht="14.25" customHeight="1">
      <x:c r="A316" s="10"/>
      <x:c r="B316" s="10"/>
      <x:c r="C316" s="10"/>
      <x:c r="D316" s="10"/>
      <x:c r="E316" s="10"/>
      <x:c r="F316" s="10"/>
      <x:c r="G316" s="10"/>
      <x:c r="H316" s="10"/>
    </x:row>
    <x:row r="317" ht="14.25" customHeight="1">
      <x:c r="A317" s="10"/>
      <x:c r="B317" s="10"/>
      <x:c r="C317" s="10"/>
      <x:c r="D317" s="10"/>
      <x:c r="E317" s="10"/>
      <x:c r="F317" s="10"/>
      <x:c r="G317" s="10"/>
      <x:c r="H317" s="10"/>
    </x:row>
    <x:row r="318" ht="14.25" customHeight="1">
      <x:c r="A318" s="10"/>
      <x:c r="B318" s="10"/>
      <x:c r="C318" s="10"/>
      <x:c r="D318" s="10"/>
      <x:c r="E318" s="10"/>
      <x:c r="F318" s="10"/>
      <x:c r="G318" s="10"/>
      <x:c r="H318" s="10"/>
    </x:row>
    <x:row r="319" ht="14.25" customHeight="1">
      <x:c r="A319" s="10"/>
      <x:c r="B319" s="10"/>
      <x:c r="C319" s="10"/>
      <x:c r="D319" s="10"/>
      <x:c r="E319" s="10"/>
      <x:c r="F319" s="10"/>
      <x:c r="G319" s="10"/>
      <x:c r="H319" s="10"/>
    </x:row>
    <x:row r="320" ht="14.25" customHeight="1">
      <x:c r="A320" s="10"/>
      <x:c r="B320" s="10"/>
      <x:c r="C320" s="10"/>
      <x:c r="D320" s="10"/>
      <x:c r="E320" s="10"/>
      <x:c r="F320" s="10"/>
      <x:c r="G320" s="10"/>
      <x:c r="H320" s="10"/>
    </x:row>
    <x:row r="321" ht="14.25" customHeight="1">
      <x:c r="A321" s="10"/>
      <x:c r="B321" s="10"/>
      <x:c r="C321" s="10"/>
      <x:c r="D321" s="10"/>
      <x:c r="E321" s="10"/>
      <x:c r="F321" s="10"/>
      <x:c r="G321" s="10"/>
      <x:c r="H321" s="10"/>
    </x:row>
    <x:row r="322" ht="14.25" customHeight="1">
      <x:c r="A322" s="10"/>
      <x:c r="B322" s="10"/>
      <x:c r="C322" s="10"/>
      <x:c r="D322" s="10"/>
      <x:c r="E322" s="10"/>
      <x:c r="F322" s="10"/>
      <x:c r="G322" s="10"/>
      <x:c r="H322" s="10"/>
    </x:row>
    <x:row r="323" ht="14.25" customHeight="1">
      <x:c r="A323" s="10"/>
      <x:c r="B323" s="10"/>
      <x:c r="C323" s="10"/>
      <x:c r="D323" s="10"/>
      <x:c r="E323" s="10"/>
      <x:c r="F323" s="10"/>
      <x:c r="G323" s="10"/>
      <x:c r="H323" s="10"/>
    </x:row>
    <x:row r="324" ht="14.25" customHeight="1">
      <x:c r="A324" s="10"/>
      <x:c r="B324" s="10"/>
      <x:c r="C324" s="10"/>
      <x:c r="D324" s="10"/>
      <x:c r="E324" s="10"/>
      <x:c r="F324" s="10"/>
      <x:c r="G324" s="10"/>
      <x:c r="H324" s="10"/>
    </x:row>
    <x:row r="325" ht="14.25" customHeight="1">
      <x:c r="A325" s="10"/>
      <x:c r="B325" s="10"/>
      <x:c r="C325" s="10"/>
      <x:c r="D325" s="10"/>
      <x:c r="E325" s="10"/>
      <x:c r="F325" s="10"/>
      <x:c r="G325" s="10"/>
      <x:c r="H325" s="10"/>
    </x:row>
    <x:row r="326" ht="14.25" customHeight="1">
      <x:c r="A326" s="10"/>
      <x:c r="B326" s="10"/>
      <x:c r="C326" s="10"/>
      <x:c r="D326" s="10"/>
      <x:c r="E326" s="10"/>
      <x:c r="F326" s="10"/>
      <x:c r="G326" s="10"/>
      <x:c r="H326" s="10"/>
    </x:row>
    <x:row r="327" ht="14.25" customHeight="1">
      <x:c r="A327" s="10"/>
      <x:c r="B327" s="10"/>
      <x:c r="C327" s="10"/>
      <x:c r="D327" s="10"/>
      <x:c r="E327" s="10"/>
      <x:c r="F327" s="10"/>
      <x:c r="G327" s="10"/>
      <x:c r="H327" s="10"/>
    </x:row>
    <x:row r="328" ht="14.25" customHeight="1">
      <x:c r="A328" s="10"/>
      <x:c r="B328" s="10"/>
      <x:c r="C328" s="10"/>
      <x:c r="D328" s="10"/>
      <x:c r="E328" s="10"/>
      <x:c r="F328" s="10"/>
      <x:c r="G328" s="10"/>
      <x:c r="H328" s="10"/>
    </x:row>
    <x:row r="329" ht="14.25" customHeight="1">
      <x:c r="A329" s="10"/>
      <x:c r="B329" s="10"/>
      <x:c r="C329" s="10"/>
      <x:c r="D329" s="10"/>
      <x:c r="E329" s="10"/>
      <x:c r="F329" s="10"/>
      <x:c r="G329" s="10"/>
      <x:c r="H329" s="10"/>
    </x:row>
    <x:row r="330" ht="14.25" customHeight="1">
      <x:c r="A330" s="10"/>
      <x:c r="B330" s="10"/>
      <x:c r="C330" s="10"/>
      <x:c r="D330" s="10"/>
      <x:c r="E330" s="10"/>
      <x:c r="F330" s="10"/>
      <x:c r="G330" s="10"/>
      <x:c r="H330" s="10"/>
    </x:row>
    <x:row r="331" ht="14.25" customHeight="1">
      <x:c r="A331" s="10"/>
      <x:c r="B331" s="10"/>
      <x:c r="C331" s="10"/>
      <x:c r="D331" s="10"/>
      <x:c r="E331" s="10"/>
      <x:c r="F331" s="10"/>
      <x:c r="G331" s="10"/>
      <x:c r="H331" s="10"/>
    </x:row>
    <x:row r="332" ht="14.25" customHeight="1">
      <x:c r="A332" s="10"/>
      <x:c r="B332" s="10"/>
      <x:c r="C332" s="10"/>
      <x:c r="D332" s="10"/>
      <x:c r="E332" s="10"/>
      <x:c r="F332" s="10"/>
      <x:c r="G332" s="10"/>
      <x:c r="H332" s="10"/>
    </x:row>
    <x:row r="333" ht="14.25" customHeight="1">
      <x:c r="A333" s="10"/>
      <x:c r="B333" s="10"/>
      <x:c r="C333" s="10"/>
      <x:c r="D333" s="10"/>
      <x:c r="E333" s="10"/>
      <x:c r="F333" s="10"/>
      <x:c r="G333" s="10"/>
      <x:c r="H333" s="10"/>
    </x:row>
    <x:row r="334" ht="14.25" customHeight="1">
      <x:c r="A334" s="10"/>
      <x:c r="B334" s="10"/>
      <x:c r="C334" s="10"/>
      <x:c r="D334" s="10"/>
      <x:c r="E334" s="10"/>
      <x:c r="F334" s="10"/>
      <x:c r="G334" s="10"/>
      <x:c r="H334" s="10"/>
    </x:row>
    <x:row r="335" ht="14.25" customHeight="1">
      <x:c r="A335" s="10"/>
      <x:c r="B335" s="10"/>
      <x:c r="C335" s="10"/>
      <x:c r="D335" s="10"/>
      <x:c r="E335" s="10"/>
      <x:c r="F335" s="10"/>
      <x:c r="G335" s="10"/>
      <x:c r="H335" s="10"/>
    </x:row>
    <x:row r="336" ht="14.25" customHeight="1">
      <x:c r="A336" s="10"/>
      <x:c r="B336" s="10"/>
      <x:c r="C336" s="10"/>
      <x:c r="D336" s="10"/>
      <x:c r="E336" s="10"/>
      <x:c r="F336" s="10"/>
      <x:c r="G336" s="10"/>
      <x:c r="H336" s="10"/>
    </x:row>
    <x:row r="337" ht="14.25" customHeight="1">
      <x:c r="A337" s="10"/>
      <x:c r="B337" s="10"/>
      <x:c r="C337" s="10"/>
      <x:c r="D337" s="10"/>
      <x:c r="E337" s="10"/>
      <x:c r="F337" s="10"/>
      <x:c r="G337" s="10"/>
      <x:c r="H337" s="10"/>
    </x:row>
    <x:row r="338" ht="14.25" customHeight="1">
      <x:c r="A338" s="10"/>
      <x:c r="B338" s="10"/>
      <x:c r="C338" s="10"/>
      <x:c r="D338" s="10"/>
      <x:c r="E338" s="10"/>
      <x:c r="F338" s="10"/>
      <x:c r="G338" s="10"/>
      <x:c r="H338" s="10"/>
    </x:row>
    <x:row r="339" ht="14.25" customHeight="1">
      <x:c r="A339" s="10"/>
      <x:c r="B339" s="10"/>
      <x:c r="C339" s="10"/>
      <x:c r="D339" s="10"/>
      <x:c r="E339" s="10"/>
      <x:c r="F339" s="10"/>
      <x:c r="G339" s="10"/>
      <x:c r="H339" s="10"/>
    </x:row>
    <x:row r="340" ht="14.25" customHeight="1">
      <x:c r="A340" s="10"/>
      <x:c r="B340" s="10"/>
      <x:c r="C340" s="10"/>
      <x:c r="D340" s="10"/>
      <x:c r="E340" s="10"/>
      <x:c r="F340" s="10"/>
      <x:c r="G340" s="10"/>
      <x:c r="H340" s="10"/>
    </x:row>
    <x:row r="341" ht="14.25" customHeight="1">
      <x:c r="A341" s="10"/>
      <x:c r="B341" s="10"/>
      <x:c r="C341" s="10"/>
      <x:c r="D341" s="10"/>
      <x:c r="E341" s="10"/>
      <x:c r="F341" s="10"/>
      <x:c r="G341" s="10"/>
      <x:c r="H341" s="10"/>
    </x:row>
    <x:row r="342" ht="14.25" customHeight="1">
      <x:c r="A342" s="10"/>
      <x:c r="B342" s="10"/>
      <x:c r="C342" s="10"/>
      <x:c r="D342" s="10"/>
      <x:c r="E342" s="10"/>
      <x:c r="F342" s="10"/>
      <x:c r="G342" s="10"/>
      <x:c r="H342" s="10"/>
    </x:row>
    <x:row r="343" ht="14.25" customHeight="1">
      <x:c r="A343" s="10"/>
      <x:c r="B343" s="10"/>
      <x:c r="C343" s="10"/>
      <x:c r="D343" s="10"/>
      <x:c r="E343" s="10"/>
      <x:c r="F343" s="10"/>
      <x:c r="G343" s="10"/>
      <x:c r="H343" s="10"/>
    </x:row>
    <x:row r="344" ht="14.25" customHeight="1">
      <x:c r="A344" s="10"/>
      <x:c r="B344" s="10"/>
      <x:c r="C344" s="10"/>
      <x:c r="D344" s="10"/>
      <x:c r="E344" s="10"/>
      <x:c r="F344" s="10"/>
      <x:c r="G344" s="10"/>
      <x:c r="H344" s="10"/>
    </x:row>
    <x:row r="345" ht="14.25" customHeight="1">
      <x:c r="A345" s="10"/>
      <x:c r="B345" s="10"/>
      <x:c r="C345" s="10"/>
      <x:c r="D345" s="10"/>
      <x:c r="E345" s="10"/>
      <x:c r="F345" s="10"/>
      <x:c r="G345" s="10"/>
      <x:c r="H345" s="10"/>
    </x:row>
    <x:row r="346" ht="14.25" customHeight="1">
      <x:c r="A346" s="10"/>
      <x:c r="B346" s="10"/>
      <x:c r="C346" s="10"/>
      <x:c r="D346" s="10"/>
      <x:c r="E346" s="10"/>
      <x:c r="F346" s="10"/>
      <x:c r="G346" s="10"/>
      <x:c r="H346" s="10"/>
    </x:row>
    <x:row r="347" ht="14.25" customHeight="1">
      <x:c r="A347" s="10"/>
      <x:c r="B347" s="10"/>
      <x:c r="C347" s="10"/>
      <x:c r="D347" s="10"/>
      <x:c r="E347" s="10"/>
      <x:c r="F347" s="10"/>
      <x:c r="G347" s="10"/>
      <x:c r="H347" s="10"/>
    </x:row>
    <x:row r="348" ht="14.25" customHeight="1">
      <x:c r="A348" s="10"/>
      <x:c r="B348" s="10"/>
      <x:c r="C348" s="10"/>
      <x:c r="D348" s="10"/>
      <x:c r="E348" s="10"/>
      <x:c r="F348" s="10"/>
      <x:c r="G348" s="10"/>
      <x:c r="H348" s="10"/>
    </x:row>
    <x:row r="349" ht="14.25" customHeight="1">
      <x:c r="A349" s="10"/>
      <x:c r="B349" s="10"/>
      <x:c r="C349" s="10"/>
      <x:c r="D349" s="10"/>
      <x:c r="E349" s="10"/>
      <x:c r="F349" s="10"/>
      <x:c r="G349" s="10"/>
      <x:c r="H349" s="10"/>
    </x:row>
    <x:row r="350" ht="14.25" customHeight="1">
      <x:c r="A350" s="10"/>
      <x:c r="B350" s="10"/>
      <x:c r="C350" s="10"/>
      <x:c r="D350" s="10"/>
      <x:c r="E350" s="10"/>
      <x:c r="F350" s="10"/>
      <x:c r="G350" s="10"/>
      <x:c r="H350" s="10"/>
    </x:row>
    <x:row r="351" ht="14.25" customHeight="1">
      <x:c r="A351" s="10"/>
      <x:c r="B351" s="10"/>
      <x:c r="C351" s="10"/>
      <x:c r="D351" s="10"/>
      <x:c r="E351" s="10"/>
      <x:c r="F351" s="10"/>
      <x:c r="G351" s="10"/>
      <x:c r="H351" s="10"/>
    </x:row>
    <x:row r="352" ht="14.25" customHeight="1">
      <x:c r="A352" s="10"/>
      <x:c r="B352" s="10"/>
      <x:c r="C352" s="10"/>
      <x:c r="D352" s="10"/>
      <x:c r="E352" s="10"/>
      <x:c r="F352" s="10"/>
      <x:c r="G352" s="10"/>
      <x:c r="H352" s="10"/>
    </x:row>
    <x:row r="353" ht="14.25" customHeight="1">
      <x:c r="A353" s="10"/>
      <x:c r="B353" s="10"/>
      <x:c r="C353" s="10"/>
      <x:c r="D353" s="10"/>
      <x:c r="E353" s="10"/>
      <x:c r="F353" s="10"/>
      <x:c r="G353" s="10"/>
      <x:c r="H353" s="10"/>
    </x:row>
    <x:row r="354" ht="14.25" customHeight="1">
      <x:c r="A354" s="10"/>
      <x:c r="B354" s="10"/>
      <x:c r="C354" s="10"/>
      <x:c r="D354" s="10"/>
      <x:c r="E354" s="10"/>
      <x:c r="F354" s="10"/>
      <x:c r="G354" s="10"/>
      <x:c r="H354" s="10"/>
    </x:row>
    <x:row r="355" ht="14.25" customHeight="1">
      <x:c r="A355" s="10"/>
      <x:c r="B355" s="10"/>
      <x:c r="C355" s="10"/>
      <x:c r="D355" s="10"/>
      <x:c r="E355" s="10"/>
      <x:c r="F355" s="10"/>
      <x:c r="G355" s="10"/>
      <x:c r="H355" s="10"/>
    </x:row>
    <x:row r="356" ht="14.25" customHeight="1">
      <x:c r="A356" s="10"/>
      <x:c r="B356" s="10"/>
      <x:c r="C356" s="10"/>
      <x:c r="D356" s="10"/>
      <x:c r="E356" s="10"/>
      <x:c r="F356" s="10"/>
      <x:c r="G356" s="10"/>
      <x:c r="H356" s="10"/>
    </x:row>
    <x:row r="357" ht="14.25" customHeight="1">
      <x:c r="A357" s="10"/>
      <x:c r="B357" s="10"/>
      <x:c r="C357" s="10"/>
      <x:c r="D357" s="10"/>
      <x:c r="E357" s="10"/>
      <x:c r="F357" s="10"/>
      <x:c r="G357" s="10"/>
      <x:c r="H357" s="10"/>
    </x:row>
    <x:row r="358" ht="14.25" customHeight="1">
      <x:c r="A358" s="10"/>
      <x:c r="B358" s="10"/>
      <x:c r="C358" s="10"/>
      <x:c r="D358" s="10"/>
      <x:c r="E358" s="10"/>
      <x:c r="F358" s="10"/>
      <x:c r="G358" s="10"/>
      <x:c r="H358" s="10"/>
    </x:row>
    <x:row r="359" ht="14.25" customHeight="1">
      <x:c r="A359" s="10"/>
      <x:c r="B359" s="10"/>
      <x:c r="C359" s="10"/>
      <x:c r="D359" s="10"/>
      <x:c r="E359" s="10"/>
      <x:c r="F359" s="10"/>
      <x:c r="G359" s="10"/>
      <x:c r="H359" s="10"/>
    </x:row>
    <x:row r="360" ht="14.25" customHeight="1">
      <x:c r="A360" s="10"/>
      <x:c r="B360" s="10"/>
      <x:c r="C360" s="10"/>
      <x:c r="D360" s="10"/>
      <x:c r="E360" s="10"/>
      <x:c r="F360" s="10"/>
      <x:c r="G360" s="10"/>
      <x:c r="H360" s="10"/>
    </x:row>
    <x:row r="361" ht="14.25" customHeight="1">
      <x:c r="A361" s="10"/>
      <x:c r="B361" s="10"/>
      <x:c r="C361" s="10"/>
      <x:c r="D361" s="10"/>
      <x:c r="E361" s="10"/>
      <x:c r="F361" s="10"/>
      <x:c r="G361" s="10"/>
      <x:c r="H361" s="10"/>
    </x:row>
    <x:row r="362" ht="14.25" customHeight="1">
      <x:c r="A362" s="10"/>
      <x:c r="B362" s="10"/>
      <x:c r="C362" s="10"/>
      <x:c r="D362" s="10"/>
      <x:c r="E362" s="10"/>
      <x:c r="F362" s="10"/>
      <x:c r="G362" s="10"/>
      <x:c r="H362" s="10"/>
    </x:row>
    <x:row r="363" ht="14.25" customHeight="1">
      <x:c r="A363" s="10"/>
      <x:c r="B363" s="10"/>
      <x:c r="C363" s="10"/>
      <x:c r="D363" s="10"/>
      <x:c r="E363" s="10"/>
      <x:c r="F363" s="10"/>
      <x:c r="G363" s="10"/>
      <x:c r="H363" s="10"/>
    </x:row>
    <x:row r="364" ht="14.25" customHeight="1">
      <x:c r="A364" s="10"/>
      <x:c r="B364" s="10"/>
      <x:c r="C364" s="10"/>
      <x:c r="D364" s="10"/>
      <x:c r="E364" s="10"/>
      <x:c r="F364" s="10"/>
      <x:c r="G364" s="10"/>
      <x:c r="H364" s="10"/>
    </x:row>
    <x:row r="365" ht="14.25" customHeight="1">
      <x:c r="A365" s="10"/>
      <x:c r="B365" s="10"/>
      <x:c r="C365" s="10"/>
      <x:c r="D365" s="10"/>
      <x:c r="E365" s="10"/>
      <x:c r="F365" s="10"/>
      <x:c r="G365" s="10"/>
      <x:c r="H365" s="10"/>
    </x:row>
    <x:row r="366" ht="14.25" customHeight="1">
      <x:c r="A366" s="10"/>
      <x:c r="B366" s="10"/>
      <x:c r="C366" s="10"/>
      <x:c r="D366" s="10"/>
      <x:c r="E366" s="10"/>
      <x:c r="F366" s="10"/>
      <x:c r="G366" s="10"/>
      <x:c r="H366" s="10"/>
    </x:row>
    <x:row r="367" ht="14.25" customHeight="1">
      <x:c r="A367" s="10"/>
      <x:c r="B367" s="10"/>
      <x:c r="C367" s="10"/>
      <x:c r="D367" s="10"/>
      <x:c r="E367" s="10"/>
      <x:c r="F367" s="10"/>
      <x:c r="G367" s="10"/>
      <x:c r="H367" s="10"/>
    </x:row>
    <x:row r="368" ht="14.25" customHeight="1">
      <x:c r="A368" s="10"/>
      <x:c r="B368" s="10"/>
      <x:c r="C368" s="10"/>
      <x:c r="D368" s="10"/>
      <x:c r="E368" s="10"/>
      <x:c r="F368" s="10"/>
      <x:c r="G368" s="10"/>
      <x:c r="H368" s="10"/>
    </x:row>
    <x:row r="369" ht="14.25" customHeight="1">
      <x:c r="A369" s="10"/>
      <x:c r="B369" s="10"/>
      <x:c r="C369" s="10"/>
      <x:c r="D369" s="10"/>
      <x:c r="E369" s="10"/>
      <x:c r="F369" s="10"/>
      <x:c r="G369" s="10"/>
      <x:c r="H369" s="10"/>
    </x:row>
    <x:row r="370" ht="14.25" customHeight="1">
      <x:c r="A370" s="10"/>
      <x:c r="B370" s="10"/>
      <x:c r="C370" s="10"/>
      <x:c r="D370" s="10"/>
      <x:c r="E370" s="10"/>
      <x:c r="F370" s="10"/>
      <x:c r="G370" s="10"/>
      <x:c r="H370" s="10"/>
    </x:row>
    <x:row r="371" ht="14.25" customHeight="1">
      <x:c r="A371" s="10"/>
      <x:c r="B371" s="10"/>
      <x:c r="C371" s="10"/>
      <x:c r="D371" s="10"/>
      <x:c r="E371" s="10"/>
      <x:c r="F371" s="10"/>
      <x:c r="G371" s="10"/>
      <x:c r="H371" s="10"/>
    </x:row>
    <x:row r="372" ht="14.25" customHeight="1">
      <x:c r="A372" s="10"/>
      <x:c r="B372" s="10"/>
      <x:c r="C372" s="10"/>
      <x:c r="D372" s="10"/>
      <x:c r="E372" s="10"/>
      <x:c r="F372" s="10"/>
      <x:c r="G372" s="10"/>
      <x:c r="H372" s="10"/>
    </x:row>
    <x:row r="373" ht="14.25" customHeight="1">
      <x:c r="A373" s="10"/>
      <x:c r="B373" s="10"/>
      <x:c r="C373" s="10"/>
      <x:c r="D373" s="10"/>
      <x:c r="E373" s="10"/>
      <x:c r="F373" s="10"/>
      <x:c r="G373" s="10"/>
      <x:c r="H373" s="10"/>
    </x:row>
    <x:row r="374" ht="14.25" customHeight="1">
      <x:c r="A374" s="10"/>
      <x:c r="B374" s="10"/>
      <x:c r="C374" s="10"/>
      <x:c r="D374" s="10"/>
      <x:c r="E374" s="10"/>
      <x:c r="F374" s="10"/>
      <x:c r="G374" s="10"/>
      <x:c r="H374" s="10"/>
    </x:row>
    <x:row r="375" ht="14.25" customHeight="1">
      <x:c r="A375" s="10"/>
      <x:c r="B375" s="10"/>
      <x:c r="C375" s="10"/>
      <x:c r="D375" s="10"/>
      <x:c r="E375" s="10"/>
      <x:c r="F375" s="10"/>
      <x:c r="G375" s="10"/>
      <x:c r="H375" s="10"/>
    </x:row>
    <x:row r="376" ht="14.25" customHeight="1">
      <x:c r="A376" s="10"/>
      <x:c r="B376" s="10"/>
      <x:c r="C376" s="10"/>
      <x:c r="D376" s="10"/>
      <x:c r="E376" s="10"/>
      <x:c r="F376" s="10"/>
      <x:c r="G376" s="10"/>
      <x:c r="H376" s="10"/>
    </x:row>
    <x:row r="377" ht="14.25" customHeight="1">
      <x:c r="A377" s="10"/>
      <x:c r="B377" s="10"/>
      <x:c r="C377" s="10"/>
      <x:c r="D377" s="10"/>
      <x:c r="E377" s="10"/>
      <x:c r="F377" s="10"/>
      <x:c r="G377" s="10"/>
      <x:c r="H377" s="10"/>
    </x:row>
    <x:row r="378" ht="14.25" customHeight="1">
      <x:c r="A378" s="10"/>
      <x:c r="B378" s="10"/>
      <x:c r="C378" s="10"/>
      <x:c r="D378" s="10"/>
      <x:c r="E378" s="10"/>
      <x:c r="F378" s="10"/>
      <x:c r="G378" s="10"/>
      <x:c r="H378" s="10"/>
    </x:row>
    <x:row r="379" ht="14.25" customHeight="1">
      <x:c r="A379" s="10"/>
      <x:c r="B379" s="10"/>
      <x:c r="C379" s="10"/>
      <x:c r="D379" s="10"/>
      <x:c r="E379" s="10"/>
      <x:c r="F379" s="10"/>
      <x:c r="G379" s="10"/>
      <x:c r="H379" s="10"/>
    </x:row>
    <x:row r="380" ht="14.25" customHeight="1">
      <x:c r="A380" s="10"/>
      <x:c r="B380" s="10"/>
      <x:c r="C380" s="10"/>
      <x:c r="D380" s="10"/>
      <x:c r="E380" s="10"/>
      <x:c r="F380" s="10"/>
      <x:c r="G380" s="10"/>
      <x:c r="H380" s="10"/>
    </x:row>
    <x:row r="381" ht="14.25" customHeight="1">
      <x:c r="A381" s="10"/>
      <x:c r="B381" s="10"/>
      <x:c r="C381" s="10"/>
      <x:c r="D381" s="10"/>
      <x:c r="E381" s="10"/>
      <x:c r="F381" s="10"/>
      <x:c r="G381" s="10"/>
      <x:c r="H381" s="10"/>
    </x:row>
    <x:row r="382" ht="14.25" customHeight="1">
      <x:c r="A382" s="10"/>
      <x:c r="B382" s="10"/>
      <x:c r="C382" s="10"/>
      <x:c r="D382" s="10"/>
      <x:c r="E382" s="10"/>
      <x:c r="F382" s="10"/>
      <x:c r="G382" s="10"/>
      <x:c r="H382" s="10"/>
    </x:row>
    <x:row r="383" ht="14.25" customHeight="1">
      <x:c r="A383" s="10"/>
      <x:c r="B383" s="10"/>
      <x:c r="C383" s="10"/>
      <x:c r="D383" s="10"/>
      <x:c r="E383" s="10"/>
      <x:c r="F383" s="10"/>
      <x:c r="G383" s="10"/>
      <x:c r="H383" s="10"/>
    </x:row>
    <x:row r="384" ht="14.25" customHeight="1">
      <x:c r="A384" s="10"/>
      <x:c r="B384" s="10"/>
      <x:c r="C384" s="10"/>
      <x:c r="D384" s="10"/>
      <x:c r="E384" s="10"/>
      <x:c r="F384" s="10"/>
      <x:c r="G384" s="10"/>
      <x:c r="H384" s="10"/>
    </x:row>
    <x:row r="385" ht="14.25" customHeight="1">
      <x:c r="A385" s="10"/>
      <x:c r="B385" s="10"/>
      <x:c r="C385" s="10"/>
      <x:c r="D385" s="10"/>
      <x:c r="E385" s="10"/>
      <x:c r="F385" s="10"/>
      <x:c r="G385" s="10"/>
      <x:c r="H385" s="10"/>
    </x:row>
    <x:row r="386" ht="14.25" customHeight="1">
      <x:c r="A386" s="10"/>
      <x:c r="B386" s="10"/>
      <x:c r="C386" s="10"/>
      <x:c r="D386" s="10"/>
      <x:c r="E386" s="10"/>
      <x:c r="F386" s="10"/>
      <x:c r="G386" s="10"/>
      <x:c r="H386" s="10"/>
    </x:row>
    <x:row r="387" ht="14.25" customHeight="1">
      <x:c r="A387" s="10"/>
      <x:c r="B387" s="10"/>
      <x:c r="C387" s="10"/>
      <x:c r="D387" s="10"/>
      <x:c r="E387" s="10"/>
      <x:c r="F387" s="10"/>
      <x:c r="G387" s="10"/>
      <x:c r="H387" s="10"/>
    </x:row>
    <x:row r="388" ht="14.25" customHeight="1">
      <x:c r="A388" s="10"/>
      <x:c r="B388" s="10"/>
      <x:c r="C388" s="10"/>
      <x:c r="D388" s="10"/>
      <x:c r="E388" s="10"/>
      <x:c r="F388" s="10"/>
      <x:c r="G388" s="10"/>
      <x:c r="H388" s="10"/>
    </x:row>
    <x:row r="389" ht="14.25" customHeight="1">
      <x:c r="A389" s="10"/>
      <x:c r="B389" s="10"/>
      <x:c r="C389" s="10"/>
      <x:c r="D389" s="10"/>
      <x:c r="E389" s="10"/>
      <x:c r="F389" s="10"/>
      <x:c r="G389" s="10"/>
      <x:c r="H389" s="10"/>
    </x:row>
    <x:row r="390" ht="14.25" customHeight="1">
      <x:c r="A390" s="10"/>
      <x:c r="B390" s="10"/>
      <x:c r="C390" s="10"/>
      <x:c r="D390" s="10"/>
      <x:c r="E390" s="10"/>
      <x:c r="F390" s="10"/>
      <x:c r="G390" s="10"/>
      <x:c r="H390" s="10"/>
    </x:row>
    <x:row r="391" ht="14.25" customHeight="1">
      <x:c r="A391" s="10"/>
      <x:c r="B391" s="10"/>
      <x:c r="C391" s="10"/>
      <x:c r="D391" s="10"/>
      <x:c r="E391" s="10"/>
      <x:c r="F391" s="10"/>
      <x:c r="G391" s="10"/>
      <x:c r="H391" s="10"/>
    </x:row>
    <x:row r="392" ht="14.25" customHeight="1">
      <x:c r="A392" s="10"/>
      <x:c r="B392" s="10"/>
      <x:c r="C392" s="10"/>
      <x:c r="D392" s="10"/>
      <x:c r="E392" s="10"/>
      <x:c r="F392" s="10"/>
      <x:c r="G392" s="10"/>
      <x:c r="H392" s="10"/>
    </x:row>
    <x:row r="393" ht="14.25" customHeight="1">
      <x:c r="A393" s="10"/>
      <x:c r="B393" s="10"/>
      <x:c r="C393" s="10"/>
      <x:c r="D393" s="10"/>
      <x:c r="E393" s="10"/>
      <x:c r="F393" s="10"/>
      <x:c r="G393" s="10"/>
      <x:c r="H393" s="10"/>
    </x:row>
    <x:row r="394" ht="14.25" customHeight="1">
      <x:c r="A394" s="10"/>
      <x:c r="B394" s="10"/>
      <x:c r="C394" s="10"/>
      <x:c r="D394" s="10"/>
      <x:c r="E394" s="10"/>
      <x:c r="F394" s="10"/>
      <x:c r="G394" s="10"/>
      <x:c r="H394" s="10"/>
    </x:row>
    <x:row r="395" ht="14.25" customHeight="1">
      <x:c r="A395" s="10"/>
      <x:c r="B395" s="10"/>
      <x:c r="C395" s="10"/>
      <x:c r="D395" s="10"/>
      <x:c r="E395" s="10"/>
      <x:c r="F395" s="10"/>
      <x:c r="G395" s="10"/>
      <x:c r="H395" s="10"/>
    </x:row>
    <x:row r="396" ht="14.25" customHeight="1">
      <x:c r="A396" s="10"/>
      <x:c r="B396" s="10"/>
      <x:c r="C396" s="10"/>
      <x:c r="D396" s="10"/>
      <x:c r="E396" s="10"/>
      <x:c r="F396" s="10"/>
      <x:c r="G396" s="10"/>
      <x:c r="H396" s="10"/>
    </x:row>
    <x:row r="397" ht="14.25" customHeight="1">
      <x:c r="A397" s="10"/>
      <x:c r="B397" s="10"/>
      <x:c r="C397" s="10"/>
      <x:c r="D397" s="10"/>
      <x:c r="E397" s="10"/>
      <x:c r="F397" s="10"/>
      <x:c r="G397" s="10"/>
      <x:c r="H397" s="10"/>
    </x:row>
    <x:row r="398" ht="14.25" customHeight="1">
      <x:c r="A398" s="10"/>
      <x:c r="B398" s="10"/>
      <x:c r="C398" s="10"/>
      <x:c r="D398" s="10"/>
      <x:c r="E398" s="10"/>
      <x:c r="F398" s="10"/>
      <x:c r="G398" s="10"/>
      <x:c r="H398" s="10"/>
    </x:row>
    <x:row r="399" ht="14.25" customHeight="1">
      <x:c r="A399" s="10"/>
      <x:c r="B399" s="10"/>
      <x:c r="C399" s="10"/>
      <x:c r="D399" s="10"/>
      <x:c r="E399" s="10"/>
      <x:c r="F399" s="10"/>
      <x:c r="G399" s="10"/>
      <x:c r="H399" s="10"/>
    </x:row>
    <x:row r="400" ht="14.25" customHeight="1">
      <x:c r="A400" s="10"/>
      <x:c r="B400" s="10"/>
      <x:c r="C400" s="10"/>
      <x:c r="D400" s="10"/>
      <x:c r="E400" s="10"/>
      <x:c r="F400" s="10"/>
      <x:c r="G400" s="10"/>
      <x:c r="H400" s="10"/>
    </x:row>
    <x:row r="401" ht="14.25" customHeight="1">
      <x:c r="A401" s="10"/>
      <x:c r="B401" s="10"/>
      <x:c r="C401" s="10"/>
      <x:c r="D401" s="10"/>
      <x:c r="E401" s="10"/>
      <x:c r="F401" s="10"/>
      <x:c r="G401" s="10"/>
      <x:c r="H401" s="10"/>
    </x:row>
    <x:row r="402" ht="14.25" customHeight="1">
      <x:c r="A402" s="10"/>
      <x:c r="B402" s="10"/>
      <x:c r="C402" s="10"/>
      <x:c r="D402" s="10"/>
      <x:c r="E402" s="10"/>
      <x:c r="F402" s="10"/>
      <x:c r="G402" s="10"/>
      <x:c r="H402" s="10"/>
    </x:row>
    <x:row r="403" ht="14.25" customHeight="1">
      <x:c r="A403" s="10"/>
      <x:c r="B403" s="10"/>
      <x:c r="C403" s="10"/>
      <x:c r="D403" s="10"/>
      <x:c r="E403" s="10"/>
      <x:c r="F403" s="10"/>
      <x:c r="G403" s="10"/>
      <x:c r="H403" s="10"/>
    </x:row>
    <x:row r="404" ht="14.25" customHeight="1">
      <x:c r="A404" s="10"/>
      <x:c r="B404" s="10"/>
      <x:c r="C404" s="10"/>
      <x:c r="D404" s="10"/>
      <x:c r="E404" s="10"/>
      <x:c r="F404" s="10"/>
      <x:c r="G404" s="10"/>
      <x:c r="H404" s="10"/>
    </x:row>
    <x:row r="405" ht="14.25" customHeight="1">
      <x:c r="A405" s="10"/>
      <x:c r="B405" s="10"/>
      <x:c r="C405" s="10"/>
      <x:c r="D405" s="10"/>
      <x:c r="E405" s="10"/>
      <x:c r="F405" s="10"/>
      <x:c r="G405" s="10"/>
      <x:c r="H405" s="10"/>
    </x:row>
    <x:row r="406" ht="14.25" customHeight="1">
      <x:c r="A406" s="10"/>
      <x:c r="B406" s="10"/>
      <x:c r="C406" s="10"/>
      <x:c r="D406" s="10"/>
      <x:c r="E406" s="10"/>
      <x:c r="F406" s="10"/>
      <x:c r="G406" s="10"/>
      <x:c r="H406" s="10"/>
    </x:row>
    <x:row r="407" ht="14.25" customHeight="1">
      <x:c r="A407" s="10"/>
      <x:c r="B407" s="10"/>
      <x:c r="C407" s="10"/>
      <x:c r="D407" s="10"/>
      <x:c r="E407" s="10"/>
      <x:c r="F407" s="10"/>
      <x:c r="G407" s="10"/>
      <x:c r="H407" s="10"/>
    </x:row>
    <x:row r="408" ht="14.25" customHeight="1">
      <x:c r="A408" s="10"/>
      <x:c r="B408" s="10"/>
      <x:c r="C408" s="10"/>
      <x:c r="D408" s="10"/>
      <x:c r="E408" s="10"/>
      <x:c r="F408" s="10"/>
      <x:c r="G408" s="10"/>
      <x:c r="H408" s="10"/>
    </x:row>
    <x:row r="409" ht="14.25" customHeight="1">
      <x:c r="A409" s="10"/>
      <x:c r="B409" s="10"/>
      <x:c r="C409" s="10"/>
      <x:c r="D409" s="10"/>
      <x:c r="E409" s="10"/>
      <x:c r="F409" s="10"/>
      <x:c r="G409" s="10"/>
      <x:c r="H409" s="10"/>
    </x:row>
    <x:row r="410" ht="14.25" customHeight="1">
      <x:c r="A410" s="10"/>
      <x:c r="B410" s="10"/>
      <x:c r="C410" s="10"/>
      <x:c r="D410" s="10"/>
      <x:c r="E410" s="10"/>
      <x:c r="F410" s="10"/>
      <x:c r="G410" s="10"/>
      <x:c r="H410" s="10"/>
    </x:row>
    <x:row r="411" ht="14.25" customHeight="1">
      <x:c r="A411" s="10"/>
      <x:c r="B411" s="10"/>
      <x:c r="C411" s="10"/>
      <x:c r="D411" s="10"/>
      <x:c r="E411" s="10"/>
      <x:c r="F411" s="10"/>
      <x:c r="G411" s="10"/>
      <x:c r="H411" s="10"/>
    </x:row>
    <x:row r="412" ht="14.25" customHeight="1">
      <x:c r="A412" s="10"/>
      <x:c r="B412" s="10"/>
      <x:c r="C412" s="10"/>
      <x:c r="D412" s="10"/>
      <x:c r="E412" s="10"/>
      <x:c r="F412" s="10"/>
      <x:c r="G412" s="10"/>
      <x:c r="H412" s="10"/>
    </x:row>
    <x:row r="413" ht="14.25" customHeight="1">
      <x:c r="A413" s="10"/>
      <x:c r="B413" s="10"/>
      <x:c r="C413" s="10"/>
      <x:c r="D413" s="10"/>
      <x:c r="E413" s="10"/>
      <x:c r="F413" s="10"/>
      <x:c r="G413" s="10"/>
      <x:c r="H413" s="10"/>
    </x:row>
    <x:row r="414" ht="14.25" customHeight="1">
      <x:c r="A414" s="10"/>
      <x:c r="B414" s="10"/>
      <x:c r="C414" s="10"/>
      <x:c r="D414" s="10"/>
      <x:c r="E414" s="10"/>
      <x:c r="F414" s="10"/>
      <x:c r="G414" s="10"/>
      <x:c r="H414" s="10"/>
    </x:row>
    <x:row r="415" ht="14.25" customHeight="1">
      <x:c r="A415" s="10"/>
      <x:c r="B415" s="10"/>
      <x:c r="C415" s="10"/>
      <x:c r="D415" s="10"/>
      <x:c r="E415" s="10"/>
      <x:c r="F415" s="10"/>
      <x:c r="G415" s="10"/>
      <x:c r="H415" s="10"/>
    </x:row>
    <x:row r="416" ht="14.25" customHeight="1">
      <x:c r="A416" s="10"/>
      <x:c r="B416" s="10"/>
      <x:c r="C416" s="10"/>
      <x:c r="D416" s="10"/>
      <x:c r="E416" s="10"/>
      <x:c r="F416" s="10"/>
      <x:c r="G416" s="10"/>
      <x:c r="H416" s="10"/>
    </x:row>
    <x:row r="417" ht="14.25" customHeight="1">
      <x:c r="A417" s="10"/>
      <x:c r="B417" s="10"/>
      <x:c r="C417" s="10"/>
      <x:c r="D417" s="10"/>
      <x:c r="E417" s="10"/>
      <x:c r="F417" s="10"/>
      <x:c r="G417" s="10"/>
      <x:c r="H417" s="10"/>
    </x:row>
    <x:row r="418" ht="14.25" customHeight="1">
      <x:c r="A418" s="10"/>
      <x:c r="B418" s="10"/>
      <x:c r="C418" s="10"/>
      <x:c r="D418" s="10"/>
      <x:c r="E418" s="10"/>
      <x:c r="F418" s="10"/>
      <x:c r="G418" s="10"/>
      <x:c r="H418" s="10"/>
    </x:row>
    <x:row r="419" ht="14.25" customHeight="1">
      <x:c r="A419" s="10"/>
      <x:c r="B419" s="10"/>
      <x:c r="C419" s="10"/>
      <x:c r="D419" s="10"/>
      <x:c r="E419" s="10"/>
      <x:c r="F419" s="10"/>
      <x:c r="G419" s="10"/>
      <x:c r="H419" s="10"/>
    </x:row>
    <x:row r="420" ht="14.25" customHeight="1">
      <x:c r="A420" s="10"/>
      <x:c r="B420" s="10"/>
      <x:c r="C420" s="10"/>
      <x:c r="D420" s="10"/>
      <x:c r="E420" s="10"/>
      <x:c r="F420" s="10"/>
      <x:c r="G420" s="10"/>
      <x:c r="H420" s="10"/>
    </x:row>
    <x:row r="421" ht="14.25" customHeight="1">
      <x:c r="A421" s="10"/>
      <x:c r="B421" s="10"/>
      <x:c r="C421" s="10"/>
      <x:c r="D421" s="10"/>
      <x:c r="E421" s="10"/>
      <x:c r="F421" s="10"/>
      <x:c r="G421" s="10"/>
      <x:c r="H421" s="10"/>
    </x:row>
    <x:row r="422" ht="14.25" customHeight="1">
      <x:c r="A422" s="10"/>
      <x:c r="B422" s="10"/>
      <x:c r="C422" s="10"/>
      <x:c r="D422" s="10"/>
      <x:c r="E422" s="10"/>
      <x:c r="F422" s="10"/>
      <x:c r="G422" s="10"/>
      <x:c r="H422" s="10"/>
    </x:row>
    <x:row r="423" ht="14.25" customHeight="1">
      <x:c r="A423" s="10"/>
      <x:c r="B423" s="10"/>
      <x:c r="C423" s="10"/>
      <x:c r="D423" s="10"/>
      <x:c r="E423" s="10"/>
      <x:c r="F423" s="10"/>
      <x:c r="G423" s="10"/>
      <x:c r="H423" s="10"/>
    </x:row>
    <x:row r="424" ht="14.25" customHeight="1">
      <x:c r="A424" s="10"/>
      <x:c r="B424" s="10"/>
      <x:c r="C424" s="10"/>
      <x:c r="D424" s="10"/>
      <x:c r="E424" s="10"/>
      <x:c r="F424" s="10"/>
      <x:c r="G424" s="10"/>
      <x:c r="H424" s="10"/>
    </x:row>
    <x:row r="425" ht="14.25" customHeight="1">
      <x:c r="A425" s="10"/>
      <x:c r="B425" s="10"/>
      <x:c r="C425" s="10"/>
      <x:c r="D425" s="10"/>
      <x:c r="E425" s="10"/>
      <x:c r="F425" s="10"/>
      <x:c r="G425" s="10"/>
      <x:c r="H425" s="10"/>
    </x:row>
    <x:row r="426" ht="14.25" customHeight="1">
      <x:c r="A426" s="10"/>
      <x:c r="B426" s="10"/>
      <x:c r="C426" s="10"/>
      <x:c r="D426" s="10"/>
      <x:c r="E426" s="10"/>
      <x:c r="F426" s="10"/>
      <x:c r="G426" s="10"/>
      <x:c r="H426" s="10"/>
    </x:row>
    <x:row r="427" ht="14.25" customHeight="1">
      <x:c r="A427" s="10"/>
      <x:c r="B427" s="10"/>
      <x:c r="C427" s="10"/>
      <x:c r="D427" s="10"/>
      <x:c r="E427" s="10"/>
      <x:c r="F427" s="10"/>
      <x:c r="G427" s="10"/>
      <x:c r="H427" s="10"/>
    </x:row>
    <x:row r="428" ht="14.25" customHeight="1">
      <x:c r="A428" s="10"/>
      <x:c r="B428" s="10"/>
      <x:c r="C428" s="10"/>
      <x:c r="D428" s="10"/>
      <x:c r="E428" s="10"/>
      <x:c r="F428" s="10"/>
      <x:c r="G428" s="10"/>
      <x:c r="H428" s="10"/>
    </x:row>
    <x:row r="429" ht="14.25" customHeight="1">
      <x:c r="A429" s="10"/>
      <x:c r="B429" s="10"/>
      <x:c r="C429" s="10"/>
      <x:c r="D429" s="10"/>
      <x:c r="E429" s="10"/>
      <x:c r="F429" s="10"/>
      <x:c r="G429" s="10"/>
      <x:c r="H429" s="10"/>
    </x:row>
    <x:row r="430" ht="14.25" customHeight="1">
      <x:c r="A430" s="10"/>
      <x:c r="B430" s="10"/>
      <x:c r="C430" s="10"/>
      <x:c r="D430" s="10"/>
      <x:c r="E430" s="10"/>
      <x:c r="F430" s="10"/>
      <x:c r="G430" s="10"/>
      <x:c r="H430" s="10"/>
    </x:row>
    <x:row r="431" ht="14.25" customHeight="1">
      <x:c r="A431" s="10"/>
      <x:c r="B431" s="10"/>
      <x:c r="C431" s="10"/>
      <x:c r="D431" s="10"/>
      <x:c r="E431" s="10"/>
      <x:c r="F431" s="10"/>
      <x:c r="G431" s="10"/>
      <x:c r="H431" s="10"/>
    </x:row>
    <x:row r="432" ht="14.25" customHeight="1">
      <x:c r="A432" s="10"/>
      <x:c r="B432" s="10"/>
      <x:c r="C432" s="10"/>
      <x:c r="D432" s="10"/>
      <x:c r="E432" s="10"/>
      <x:c r="F432" s="10"/>
      <x:c r="G432" s="10"/>
      <x:c r="H432" s="10"/>
    </x:row>
    <x:row r="433" ht="14.25" customHeight="1">
      <x:c r="A433" s="10"/>
      <x:c r="B433" s="10"/>
      <x:c r="C433" s="10"/>
      <x:c r="D433" s="10"/>
      <x:c r="E433" s="10"/>
      <x:c r="F433" s="10"/>
      <x:c r="G433" s="10"/>
      <x:c r="H433" s="10"/>
    </x:row>
    <x:row r="434" ht="14.25" customHeight="1">
      <x:c r="A434" s="10"/>
      <x:c r="B434" s="10"/>
      <x:c r="C434" s="10"/>
      <x:c r="D434" s="10"/>
      <x:c r="E434" s="10"/>
      <x:c r="F434" s="10"/>
      <x:c r="G434" s="10"/>
      <x:c r="H434" s="10"/>
    </x:row>
    <x:row r="435" ht="14.25" customHeight="1">
      <x:c r="A435" s="10"/>
      <x:c r="B435" s="10"/>
      <x:c r="C435" s="10"/>
      <x:c r="D435" s="10"/>
      <x:c r="E435" s="10"/>
      <x:c r="F435" s="10"/>
      <x:c r="G435" s="10"/>
      <x:c r="H435" s="10"/>
    </x:row>
    <x:row r="436" ht="14.25" customHeight="1">
      <x:c r="A436" s="10"/>
      <x:c r="B436" s="10"/>
      <x:c r="C436" s="10"/>
      <x:c r="D436" s="10"/>
      <x:c r="E436" s="10"/>
      <x:c r="F436" s="10"/>
      <x:c r="G436" s="10"/>
      <x:c r="H436" s="10"/>
    </x:row>
    <x:row r="437" ht="14.25" customHeight="1">
      <x:c r="A437" s="10"/>
      <x:c r="B437" s="10"/>
      <x:c r="C437" s="10"/>
      <x:c r="D437" s="10"/>
      <x:c r="E437" s="10"/>
      <x:c r="F437" s="10"/>
      <x:c r="G437" s="10"/>
      <x:c r="H437" s="10"/>
    </x:row>
    <x:row r="438" ht="14.25" customHeight="1">
      <x:c r="A438" s="10"/>
      <x:c r="B438" s="10"/>
      <x:c r="C438" s="10"/>
      <x:c r="D438" s="10"/>
      <x:c r="E438" s="10"/>
      <x:c r="F438" s="10"/>
      <x:c r="G438" s="10"/>
      <x:c r="H438" s="10"/>
    </x:row>
    <x:row r="439" ht="14.25" customHeight="1">
      <x:c r="A439" s="10"/>
      <x:c r="B439" s="10"/>
      <x:c r="C439" s="10"/>
      <x:c r="D439" s="10"/>
      <x:c r="E439" s="10"/>
      <x:c r="F439" s="10"/>
      <x:c r="G439" s="10"/>
      <x:c r="H439" s="10"/>
    </x:row>
    <x:row r="440" ht="14.25" customHeight="1">
      <x:c r="A440" s="10"/>
      <x:c r="B440" s="10"/>
      <x:c r="C440" s="10"/>
      <x:c r="D440" s="10"/>
      <x:c r="E440" s="10"/>
      <x:c r="F440" s="10"/>
      <x:c r="G440" s="10"/>
      <x:c r="H440" s="10"/>
    </x:row>
    <x:row r="441" ht="14.25" customHeight="1">
      <x:c r="A441" s="10"/>
      <x:c r="B441" s="10"/>
      <x:c r="C441" s="10"/>
      <x:c r="D441" s="10"/>
      <x:c r="E441" s="10"/>
      <x:c r="F441" s="10"/>
      <x:c r="G441" s="10"/>
      <x:c r="H441" s="10"/>
    </x:row>
    <x:row r="442" ht="14.25" customHeight="1">
      <x:c r="A442" s="10"/>
      <x:c r="B442" s="10"/>
      <x:c r="C442" s="10"/>
      <x:c r="D442" s="10"/>
      <x:c r="E442" s="10"/>
      <x:c r="F442" s="10"/>
      <x:c r="G442" s="10"/>
      <x:c r="H442" s="10"/>
    </x:row>
    <x:row r="443" ht="14.25" customHeight="1">
      <x:c r="A443" s="10"/>
      <x:c r="B443" s="10"/>
      <x:c r="C443" s="10"/>
      <x:c r="D443" s="10"/>
      <x:c r="E443" s="10"/>
      <x:c r="F443" s="10"/>
      <x:c r="G443" s="10"/>
      <x:c r="H443" s="10"/>
    </x:row>
    <x:row r="444" ht="14.25" customHeight="1">
      <x:c r="A444" s="10"/>
      <x:c r="B444" s="10"/>
      <x:c r="C444" s="10"/>
      <x:c r="D444" s="10"/>
      <x:c r="E444" s="10"/>
      <x:c r="F444" s="10"/>
      <x:c r="G444" s="10"/>
      <x:c r="H444" s="10"/>
    </x:row>
    <x:row r="445" ht="14.25" customHeight="1">
      <x:c r="A445" s="10"/>
      <x:c r="B445" s="10"/>
      <x:c r="C445" s="10"/>
      <x:c r="D445" s="10"/>
      <x:c r="E445" s="10"/>
      <x:c r="F445" s="10"/>
      <x:c r="G445" s="10"/>
      <x:c r="H445" s="10"/>
    </x:row>
    <x:row r="446" ht="14.25" customHeight="1">
      <x:c r="A446" s="10"/>
      <x:c r="B446" s="10"/>
      <x:c r="C446" s="10"/>
      <x:c r="D446" s="10"/>
      <x:c r="E446" s="10"/>
      <x:c r="F446" s="10"/>
      <x:c r="G446" s="10"/>
      <x:c r="H446" s="10"/>
    </x:row>
    <x:row r="447" ht="14.25" customHeight="1">
      <x:c r="A447" s="10"/>
      <x:c r="B447" s="10"/>
      <x:c r="C447" s="10"/>
      <x:c r="D447" s="10"/>
      <x:c r="E447" s="10"/>
      <x:c r="F447" s="10"/>
      <x:c r="G447" s="10"/>
      <x:c r="H447" s="10"/>
    </x:row>
    <x:row r="448" ht="14.25" customHeight="1">
      <x:c r="A448" s="10"/>
      <x:c r="B448" s="10"/>
      <x:c r="C448" s="10"/>
      <x:c r="D448" s="10"/>
      <x:c r="E448" s="10"/>
      <x:c r="F448" s="10"/>
      <x:c r="G448" s="10"/>
      <x:c r="H448" s="10"/>
    </x:row>
    <x:row r="449" ht="14.25" customHeight="1">
      <x:c r="A449" s="10"/>
      <x:c r="B449" s="10"/>
      <x:c r="C449" s="10"/>
      <x:c r="D449" s="10"/>
      <x:c r="E449" s="10"/>
      <x:c r="F449" s="10"/>
      <x:c r="G449" s="10"/>
      <x:c r="H449" s="10"/>
    </x:row>
    <x:row r="450" ht="14.25" customHeight="1">
      <x:c r="A450" s="10"/>
      <x:c r="B450" s="10"/>
      <x:c r="C450" s="10"/>
      <x:c r="D450" s="10"/>
      <x:c r="E450" s="10"/>
      <x:c r="F450" s="10"/>
      <x:c r="G450" s="10"/>
      <x:c r="H450" s="10"/>
    </x:row>
    <x:row r="451" ht="14.25" customHeight="1">
      <x:c r="A451" s="10"/>
      <x:c r="B451" s="10"/>
      <x:c r="C451" s="10"/>
      <x:c r="D451" s="10"/>
      <x:c r="E451" s="10"/>
      <x:c r="F451" s="10"/>
      <x:c r="G451" s="10"/>
      <x:c r="H451" s="10"/>
    </x:row>
    <x:row r="452" ht="14.25" customHeight="1">
      <x:c r="A452" s="10"/>
      <x:c r="B452" s="10"/>
      <x:c r="C452" s="10"/>
      <x:c r="D452" s="10"/>
      <x:c r="E452" s="10"/>
      <x:c r="F452" s="10"/>
      <x:c r="G452" s="10"/>
      <x:c r="H452" s="10"/>
    </x:row>
    <x:row r="453" ht="14.25" customHeight="1">
      <x:c r="A453" s="10"/>
      <x:c r="B453" s="10"/>
      <x:c r="C453" s="10"/>
      <x:c r="D453" s="10"/>
      <x:c r="E453" s="10"/>
      <x:c r="F453" s="10"/>
      <x:c r="G453" s="10"/>
      <x:c r="H453" s="10"/>
    </x:row>
    <x:row r="454" ht="14.25" customHeight="1">
      <x:c r="A454" s="10"/>
      <x:c r="B454" s="10"/>
      <x:c r="C454" s="10"/>
      <x:c r="D454" s="10"/>
      <x:c r="E454" s="10"/>
      <x:c r="F454" s="10"/>
      <x:c r="G454" s="10"/>
      <x:c r="H454" s="10"/>
    </x:row>
    <x:row r="455" ht="14.25" customHeight="1">
      <x:c r="A455" s="10"/>
      <x:c r="B455" s="10"/>
      <x:c r="C455" s="10"/>
      <x:c r="D455" s="10"/>
      <x:c r="E455" s="10"/>
      <x:c r="F455" s="10"/>
      <x:c r="G455" s="10"/>
      <x:c r="H455" s="10"/>
    </x:row>
    <x:row r="456" ht="14.25" customHeight="1">
      <x:c r="A456" s="10"/>
      <x:c r="B456" s="10"/>
      <x:c r="C456" s="10"/>
      <x:c r="D456" s="10"/>
      <x:c r="E456" s="10"/>
      <x:c r="F456" s="10"/>
      <x:c r="G456" s="10"/>
      <x:c r="H456" s="10"/>
    </x:row>
    <x:row r="457" ht="14.25" customHeight="1">
      <x:c r="A457" s="10"/>
      <x:c r="B457" s="10"/>
      <x:c r="C457" s="10"/>
      <x:c r="D457" s="10"/>
      <x:c r="E457" s="10"/>
      <x:c r="F457" s="10"/>
      <x:c r="G457" s="10"/>
      <x:c r="H457" s="10"/>
    </x:row>
    <x:row r="458" ht="14.25" customHeight="1">
      <x:c r="A458" s="10"/>
      <x:c r="B458" s="10"/>
      <x:c r="C458" s="10"/>
      <x:c r="D458" s="10"/>
      <x:c r="E458" s="10"/>
      <x:c r="F458" s="10"/>
      <x:c r="G458" s="10"/>
      <x:c r="H458" s="10"/>
    </x:row>
    <x:row r="459" ht="14.25" customHeight="1">
      <x:c r="A459" s="10"/>
      <x:c r="B459" s="10"/>
      <x:c r="C459" s="10"/>
      <x:c r="D459" s="10"/>
      <x:c r="E459" s="10"/>
      <x:c r="F459" s="10"/>
      <x:c r="G459" s="10"/>
      <x:c r="H459" s="10"/>
    </x:row>
    <x:row r="460" ht="14.25" customHeight="1">
      <x:c r="A460" s="10"/>
      <x:c r="B460" s="10"/>
      <x:c r="C460" s="10"/>
      <x:c r="D460" s="10"/>
      <x:c r="E460" s="10"/>
      <x:c r="F460" s="10"/>
      <x:c r="G460" s="10"/>
      <x:c r="H460" s="10"/>
    </x:row>
    <x:row r="461" ht="14.25" customHeight="1">
      <x:c r="A461" s="10"/>
      <x:c r="B461" s="10"/>
      <x:c r="C461" s="10"/>
      <x:c r="D461" s="10"/>
      <x:c r="E461" s="10"/>
      <x:c r="F461" s="10"/>
      <x:c r="G461" s="10"/>
      <x:c r="H461" s="10"/>
    </x:row>
    <x:row r="462" ht="14.25" customHeight="1">
      <x:c r="A462" s="10"/>
      <x:c r="B462" s="10"/>
      <x:c r="C462" s="10"/>
      <x:c r="D462" s="10"/>
      <x:c r="E462" s="10"/>
      <x:c r="F462" s="10"/>
      <x:c r="G462" s="10"/>
      <x:c r="H462" s="10"/>
    </x:row>
    <x:row r="463" ht="14.25" customHeight="1">
      <x:c r="A463" s="10"/>
      <x:c r="B463" s="10"/>
      <x:c r="C463" s="10"/>
      <x:c r="D463" s="10"/>
      <x:c r="E463" s="10"/>
      <x:c r="F463" s="10"/>
      <x:c r="G463" s="10"/>
      <x:c r="H463" s="10"/>
    </x:row>
    <x:row r="464" ht="14.25" customHeight="1">
      <x:c r="A464" s="10"/>
      <x:c r="B464" s="10"/>
      <x:c r="C464" s="10"/>
      <x:c r="D464" s="10"/>
      <x:c r="E464" s="10"/>
      <x:c r="F464" s="10"/>
      <x:c r="G464" s="10"/>
      <x:c r="H464" s="10"/>
    </x:row>
    <x:row r="465" ht="14.25" customHeight="1">
      <x:c r="A465" s="10"/>
      <x:c r="B465" s="10"/>
      <x:c r="C465" s="10"/>
      <x:c r="D465" s="10"/>
      <x:c r="E465" s="10"/>
      <x:c r="F465" s="10"/>
      <x:c r="G465" s="10"/>
      <x:c r="H465" s="10"/>
    </x:row>
    <x:row r="466" ht="14.25" customHeight="1">
      <x:c r="A466" s="10"/>
      <x:c r="B466" s="10"/>
      <x:c r="C466" s="10"/>
      <x:c r="D466" s="10"/>
      <x:c r="E466" s="10"/>
      <x:c r="F466" s="10"/>
      <x:c r="G466" s="10"/>
      <x:c r="H466" s="10"/>
    </x:row>
    <x:row r="467" ht="14.25" customHeight="1">
      <x:c r="A467" s="10"/>
      <x:c r="B467" s="10"/>
      <x:c r="C467" s="10"/>
      <x:c r="D467" s="10"/>
      <x:c r="E467" s="10"/>
      <x:c r="F467" s="10"/>
      <x:c r="G467" s="10"/>
      <x:c r="H467" s="10"/>
    </x:row>
    <x:row r="468" ht="14.25" customHeight="1">
      <x:c r="A468" s="10"/>
      <x:c r="B468" s="10"/>
      <x:c r="C468" s="10"/>
      <x:c r="D468" s="10"/>
      <x:c r="E468" s="10"/>
      <x:c r="F468" s="10"/>
      <x:c r="G468" s="10"/>
      <x:c r="H468" s="10"/>
    </x:row>
    <x:row r="469" ht="14.25" customHeight="1">
      <x:c r="A469" s="10"/>
      <x:c r="B469" s="10"/>
      <x:c r="C469" s="10"/>
      <x:c r="D469" s="10"/>
      <x:c r="E469" s="10"/>
      <x:c r="F469" s="10"/>
      <x:c r="G469" s="10"/>
      <x:c r="H469" s="10"/>
    </x:row>
    <x:row r="470" ht="14.25" customHeight="1">
      <x:c r="A470" s="10"/>
      <x:c r="B470" s="10"/>
      <x:c r="C470" s="10"/>
      <x:c r="D470" s="10"/>
      <x:c r="E470" s="10"/>
      <x:c r="F470" s="10"/>
      <x:c r="G470" s="10"/>
      <x:c r="H470" s="10"/>
    </x:row>
    <x:row r="471" ht="14.25" customHeight="1">
      <x:c r="A471" s="10"/>
      <x:c r="B471" s="10"/>
      <x:c r="C471" s="10"/>
      <x:c r="D471" s="10"/>
      <x:c r="E471" s="10"/>
      <x:c r="F471" s="10"/>
      <x:c r="G471" s="10"/>
      <x:c r="H471" s="10"/>
    </x:row>
    <x:row r="472" ht="14.25" customHeight="1">
      <x:c r="A472" s="10"/>
      <x:c r="B472" s="10"/>
      <x:c r="C472" s="10"/>
      <x:c r="D472" s="10"/>
      <x:c r="E472" s="10"/>
      <x:c r="F472" s="10"/>
      <x:c r="G472" s="10"/>
      <x:c r="H472" s="10"/>
    </x:row>
    <x:row r="473" ht="14.25" customHeight="1">
      <x:c r="A473" s="10"/>
      <x:c r="B473" s="10"/>
      <x:c r="C473" s="10"/>
      <x:c r="D473" s="10"/>
      <x:c r="E473" s="10"/>
      <x:c r="F473" s="10"/>
      <x:c r="G473" s="10"/>
      <x:c r="H473" s="10"/>
    </x:row>
    <x:row r="474" ht="14.25" customHeight="1">
      <x:c r="A474" s="10"/>
      <x:c r="B474" s="10"/>
      <x:c r="C474" s="10"/>
      <x:c r="D474" s="10"/>
      <x:c r="E474" s="10"/>
      <x:c r="F474" s="10"/>
      <x:c r="G474" s="10"/>
      <x:c r="H474" s="10"/>
    </x:row>
    <x:row r="475" ht="14.25" customHeight="1">
      <x:c r="A475" s="10"/>
      <x:c r="B475" s="10"/>
      <x:c r="C475" s="10"/>
      <x:c r="D475" s="10"/>
      <x:c r="E475" s="10"/>
      <x:c r="F475" s="10"/>
      <x:c r="G475" s="10"/>
      <x:c r="H475" s="10"/>
    </x:row>
    <x:row r="476" ht="14.25" customHeight="1">
      <x:c r="A476" s="10"/>
      <x:c r="B476" s="10"/>
      <x:c r="C476" s="10"/>
      <x:c r="D476" s="10"/>
      <x:c r="E476" s="10"/>
      <x:c r="F476" s="10"/>
      <x:c r="G476" s="10"/>
      <x:c r="H476" s="10"/>
    </x:row>
    <x:row r="477" ht="14.25" customHeight="1">
      <x:c r="A477" s="10"/>
      <x:c r="B477" s="10"/>
      <x:c r="C477" s="10"/>
      <x:c r="D477" s="10"/>
      <x:c r="E477" s="10"/>
      <x:c r="F477" s="10"/>
      <x:c r="G477" s="10"/>
      <x:c r="H477" s="10"/>
    </x:row>
    <x:row r="478" ht="14.25" customHeight="1">
      <x:c r="A478" s="10"/>
      <x:c r="B478" s="10"/>
      <x:c r="C478" s="10"/>
      <x:c r="D478" s="10"/>
      <x:c r="E478" s="10"/>
      <x:c r="F478" s="10"/>
      <x:c r="G478" s="10"/>
      <x:c r="H478" s="10"/>
    </x:row>
    <x:row r="479" ht="14.25" customHeight="1">
      <x:c r="A479" s="10"/>
      <x:c r="B479" s="10"/>
      <x:c r="C479" s="10"/>
      <x:c r="D479" s="10"/>
      <x:c r="E479" s="10"/>
      <x:c r="F479" s="10"/>
      <x:c r="G479" s="10"/>
      <x:c r="H479" s="10"/>
    </x:row>
    <x:row r="480" ht="14.25" customHeight="1">
      <x:c r="A480" s="10"/>
      <x:c r="B480" s="10"/>
      <x:c r="C480" s="10"/>
      <x:c r="D480" s="10"/>
      <x:c r="E480" s="10"/>
      <x:c r="F480" s="10"/>
      <x:c r="G480" s="10"/>
      <x:c r="H480" s="10"/>
    </x:row>
    <x:row r="481" ht="14.25" customHeight="1">
      <x:c r="A481" s="10"/>
      <x:c r="B481" s="10"/>
      <x:c r="C481" s="10"/>
      <x:c r="D481" s="10"/>
      <x:c r="E481" s="10"/>
      <x:c r="F481" s="10"/>
      <x:c r="G481" s="10"/>
      <x:c r="H481" s="10"/>
    </x:row>
    <x:row r="482" ht="14.25" customHeight="1">
      <x:c r="A482" s="10"/>
      <x:c r="B482" s="10"/>
      <x:c r="C482" s="10"/>
      <x:c r="D482" s="10"/>
      <x:c r="E482" s="10"/>
      <x:c r="F482" s="10"/>
      <x:c r="G482" s="10"/>
      <x:c r="H482" s="10"/>
    </x:row>
    <x:row r="483" ht="14.25" customHeight="1">
      <x:c r="A483" s="10"/>
      <x:c r="B483" s="10"/>
      <x:c r="C483" s="10"/>
      <x:c r="D483" s="10"/>
      <x:c r="E483" s="10"/>
      <x:c r="F483" s="10"/>
      <x:c r="G483" s="10"/>
      <x:c r="H483" s="10"/>
    </x:row>
    <x:row r="484" ht="14.25" customHeight="1">
      <x:c r="A484" s="10"/>
      <x:c r="B484" s="10"/>
      <x:c r="C484" s="10"/>
      <x:c r="D484" s="10"/>
      <x:c r="E484" s="10"/>
      <x:c r="F484" s="10"/>
      <x:c r="G484" s="10"/>
      <x:c r="H484" s="10"/>
    </x:row>
    <x:row r="485" ht="14.25" customHeight="1">
      <x:c r="A485" s="10"/>
      <x:c r="B485" s="10"/>
      <x:c r="C485" s="10"/>
      <x:c r="D485" s="10"/>
      <x:c r="E485" s="10"/>
      <x:c r="F485" s="10"/>
      <x:c r="G485" s="10"/>
      <x:c r="H485" s="10"/>
    </x:row>
    <x:row r="486" ht="14.25" customHeight="1">
      <x:c r="A486" s="10"/>
      <x:c r="B486" s="10"/>
      <x:c r="C486" s="10"/>
      <x:c r="D486" s="10"/>
      <x:c r="E486" s="10"/>
      <x:c r="F486" s="10"/>
      <x:c r="G486" s="10"/>
      <x:c r="H486" s="10"/>
    </x:row>
    <x:row r="487" ht="14.25" customHeight="1">
      <x:c r="A487" s="10"/>
      <x:c r="B487" s="10"/>
      <x:c r="C487" s="10"/>
      <x:c r="D487" s="10"/>
      <x:c r="E487" s="10"/>
      <x:c r="F487" s="10"/>
      <x:c r="G487" s="10"/>
      <x:c r="H487" s="10"/>
    </x:row>
    <x:row r="488" ht="14.25" customHeight="1">
      <x:c r="A488" s="10"/>
      <x:c r="B488" s="10"/>
      <x:c r="C488" s="10"/>
      <x:c r="D488" s="10"/>
      <x:c r="E488" s="10"/>
      <x:c r="F488" s="10"/>
      <x:c r="G488" s="10"/>
      <x:c r="H488" s="10"/>
    </x:row>
    <x:row r="489" ht="14.25" customHeight="1">
      <x:c r="A489" s="10"/>
      <x:c r="B489" s="10"/>
      <x:c r="C489" s="10"/>
      <x:c r="D489" s="10"/>
      <x:c r="E489" s="10"/>
      <x:c r="F489" s="10"/>
      <x:c r="G489" s="10"/>
      <x:c r="H489" s="10"/>
    </x:row>
    <x:row r="490" ht="14.25" customHeight="1">
      <x:c r="A490" s="10"/>
      <x:c r="B490" s="10"/>
      <x:c r="C490" s="10"/>
      <x:c r="D490" s="10"/>
      <x:c r="E490" s="10"/>
      <x:c r="F490" s="10"/>
      <x:c r="G490" s="10"/>
      <x:c r="H490" s="10"/>
    </x:row>
    <x:row r="491" ht="14.25" customHeight="1">
      <x:c r="A491" s="10"/>
      <x:c r="B491" s="10"/>
      <x:c r="C491" s="10"/>
      <x:c r="D491" s="10"/>
      <x:c r="E491" s="10"/>
      <x:c r="F491" s="10"/>
      <x:c r="G491" s="10"/>
      <x:c r="H491" s="10"/>
    </x:row>
    <x:row r="492" ht="14.25" customHeight="1">
      <x:c r="A492" s="10"/>
      <x:c r="B492" s="10"/>
      <x:c r="C492" s="10"/>
      <x:c r="D492" s="10"/>
      <x:c r="E492" s="10"/>
      <x:c r="F492" s="10"/>
      <x:c r="G492" s="10"/>
      <x:c r="H492" s="10"/>
    </x:row>
    <x:row r="493" ht="14.25" customHeight="1">
      <x:c r="A493" s="10"/>
      <x:c r="B493" s="10"/>
      <x:c r="C493" s="10"/>
      <x:c r="D493" s="10"/>
      <x:c r="E493" s="10"/>
      <x:c r="F493" s="10"/>
      <x:c r="G493" s="10"/>
      <x:c r="H493" s="10"/>
    </x:row>
    <x:row r="494" ht="14.25" customHeight="1">
      <x:c r="A494" s="10"/>
      <x:c r="B494" s="10"/>
      <x:c r="C494" s="10"/>
      <x:c r="D494" s="10"/>
      <x:c r="E494" s="10"/>
      <x:c r="F494" s="10"/>
      <x:c r="G494" s="10"/>
      <x:c r="H494" s="10"/>
    </x:row>
    <x:row r="495" ht="14.25" customHeight="1">
      <x:c r="A495" s="10"/>
      <x:c r="B495" s="10"/>
      <x:c r="C495" s="10"/>
      <x:c r="D495" s="10"/>
      <x:c r="E495" s="10"/>
      <x:c r="F495" s="10"/>
      <x:c r="G495" s="10"/>
      <x:c r="H495" s="10"/>
    </x:row>
    <x:row r="496" ht="14.25" customHeight="1">
      <x:c r="A496" s="10"/>
      <x:c r="B496" s="10"/>
      <x:c r="C496" s="10"/>
      <x:c r="D496" s="10"/>
      <x:c r="E496" s="10"/>
      <x:c r="F496" s="10"/>
      <x:c r="G496" s="10"/>
      <x:c r="H496" s="10"/>
    </x:row>
    <x:row r="497" ht="14.25" customHeight="1">
      <x:c r="A497" s="10"/>
      <x:c r="B497" s="10"/>
      <x:c r="C497" s="10"/>
      <x:c r="D497" s="10"/>
      <x:c r="E497" s="10"/>
      <x:c r="F497" s="10"/>
      <x:c r="G497" s="10"/>
      <x:c r="H497" s="10"/>
    </x:row>
    <x:row r="498" ht="14.25" customHeight="1">
      <x:c r="A498" s="10"/>
      <x:c r="B498" s="10"/>
      <x:c r="C498" s="10"/>
      <x:c r="D498" s="10"/>
      <x:c r="E498" s="10"/>
      <x:c r="F498" s="10"/>
      <x:c r="G498" s="10"/>
      <x:c r="H498" s="10"/>
    </x:row>
    <x:row r="499" ht="14.25" customHeight="1">
      <x:c r="A499" s="10"/>
      <x:c r="B499" s="10"/>
      <x:c r="C499" s="10"/>
      <x:c r="D499" s="10"/>
      <x:c r="E499" s="10"/>
      <x:c r="F499" s="10"/>
      <x:c r="G499" s="10"/>
      <x:c r="H499" s="10"/>
    </x:row>
    <x:row r="500" ht="14.25" customHeight="1">
      <x:c r="A500" s="10"/>
      <x:c r="B500" s="10"/>
      <x:c r="C500" s="10"/>
      <x:c r="D500" s="10"/>
      <x:c r="E500" s="10"/>
      <x:c r="F500" s="10"/>
      <x:c r="G500" s="10"/>
      <x:c r="H500" s="10"/>
    </x:row>
    <x:row r="501" ht="14.25" customHeight="1">
      <x:c r="A501" s="10"/>
      <x:c r="B501" s="10"/>
      <x:c r="C501" s="10"/>
      <x:c r="D501" s="10"/>
      <x:c r="E501" s="10"/>
      <x:c r="F501" s="10"/>
      <x:c r="G501" s="10"/>
      <x:c r="H501" s="10"/>
    </x:row>
    <x:row r="502" ht="14.25" customHeight="1">
      <x:c r="A502" s="10"/>
      <x:c r="B502" s="10"/>
      <x:c r="C502" s="10"/>
      <x:c r="D502" s="10"/>
      <x:c r="E502" s="10"/>
      <x:c r="F502" s="10"/>
      <x:c r="G502" s="10"/>
      <x:c r="H502" s="10"/>
    </x:row>
    <x:row r="503" ht="14.25" customHeight="1">
      <x:c r="A503" s="10"/>
      <x:c r="B503" s="10"/>
      <x:c r="C503" s="10"/>
      <x:c r="D503" s="10"/>
      <x:c r="E503" s="10"/>
      <x:c r="F503" s="10"/>
      <x:c r="G503" s="10"/>
      <x:c r="H503" s="10"/>
    </x:row>
    <x:row r="504" ht="14.25" customHeight="1">
      <x:c r="A504" s="10"/>
      <x:c r="B504" s="10"/>
      <x:c r="C504" s="10"/>
      <x:c r="D504" s="10"/>
      <x:c r="E504" s="10"/>
      <x:c r="F504" s="10"/>
      <x:c r="G504" s="10"/>
      <x:c r="H504" s="10"/>
    </x:row>
    <x:row r="505" ht="14.25" customHeight="1">
      <x:c r="A505" s="10"/>
      <x:c r="B505" s="10"/>
      <x:c r="C505" s="10"/>
      <x:c r="D505" s="10"/>
      <x:c r="E505" s="10"/>
      <x:c r="F505" s="10"/>
      <x:c r="G505" s="10"/>
      <x:c r="H505" s="10"/>
    </x:row>
    <x:row r="506" ht="14.25" customHeight="1">
      <x:c r="A506" s="10"/>
      <x:c r="B506" s="10"/>
      <x:c r="C506" s="10"/>
      <x:c r="D506" s="10"/>
      <x:c r="E506" s="10"/>
      <x:c r="F506" s="10"/>
      <x:c r="G506" s="10"/>
      <x:c r="H506" s="10"/>
    </x:row>
    <x:row r="507" ht="14.25" customHeight="1">
      <x:c r="A507" s="10"/>
      <x:c r="B507" s="10"/>
      <x:c r="C507" s="10"/>
      <x:c r="D507" s="10"/>
      <x:c r="E507" s="10"/>
      <x:c r="F507" s="10"/>
      <x:c r="G507" s="10"/>
      <x:c r="H507" s="10"/>
    </x:row>
    <x:row r="508" ht="14.25" customHeight="1">
      <x:c r="A508" s="10"/>
      <x:c r="B508" s="10"/>
      <x:c r="C508" s="10"/>
      <x:c r="D508" s="10"/>
      <x:c r="E508" s="10"/>
      <x:c r="F508" s="10"/>
      <x:c r="G508" s="10"/>
      <x:c r="H508" s="10"/>
    </x:row>
    <x:row r="509" ht="14.25" customHeight="1">
      <x:c r="A509" s="10"/>
      <x:c r="B509" s="10"/>
      <x:c r="C509" s="10"/>
      <x:c r="D509" s="10"/>
      <x:c r="E509" s="10"/>
      <x:c r="F509" s="10"/>
      <x:c r="G509" s="10"/>
      <x:c r="H509" s="10"/>
    </x:row>
    <x:row r="510" ht="14.25" customHeight="1">
      <x:c r="A510" s="10"/>
      <x:c r="B510" s="10"/>
      <x:c r="C510" s="10"/>
      <x:c r="D510" s="10"/>
      <x:c r="E510" s="10"/>
      <x:c r="F510" s="10"/>
      <x:c r="G510" s="10"/>
      <x:c r="H510" s="10"/>
    </x:row>
    <x:row r="511" ht="14.25" customHeight="1">
      <x:c r="A511" s="10"/>
      <x:c r="B511" s="10"/>
      <x:c r="C511" s="10"/>
      <x:c r="D511" s="10"/>
      <x:c r="E511" s="10"/>
      <x:c r="F511" s="10"/>
      <x:c r="G511" s="10"/>
      <x:c r="H511" s="10"/>
    </x:row>
    <x:row r="512" ht="14.25" customHeight="1">
      <x:c r="A512" s="10"/>
      <x:c r="B512" s="10"/>
      <x:c r="C512" s="10"/>
      <x:c r="D512" s="10"/>
      <x:c r="E512" s="10"/>
      <x:c r="F512" s="10"/>
      <x:c r="G512" s="10"/>
      <x:c r="H512" s="10"/>
    </x:row>
    <x:row r="513" ht="14.25" customHeight="1">
      <x:c r="A513" s="10"/>
      <x:c r="B513" s="10"/>
      <x:c r="C513" s="10"/>
      <x:c r="D513" s="10"/>
      <x:c r="E513" s="10"/>
      <x:c r="F513" s="10"/>
      <x:c r="G513" s="10"/>
      <x:c r="H513" s="10"/>
    </x:row>
    <x:row r="514" ht="14.25" customHeight="1">
      <x:c r="A514" s="10"/>
      <x:c r="B514" s="10"/>
      <x:c r="C514" s="10"/>
      <x:c r="D514" s="10"/>
      <x:c r="E514" s="10"/>
      <x:c r="F514" s="10"/>
      <x:c r="G514" s="10"/>
      <x:c r="H514" s="10"/>
    </x:row>
    <x:row r="515" ht="14.25" customHeight="1">
      <x:c r="A515" s="10"/>
      <x:c r="B515" s="10"/>
      <x:c r="C515" s="10"/>
      <x:c r="D515" s="10"/>
      <x:c r="E515" s="10"/>
      <x:c r="F515" s="10"/>
      <x:c r="G515" s="10"/>
      <x:c r="H515" s="10"/>
    </x:row>
    <x:row r="516" ht="14.25" customHeight="1">
      <x:c r="A516" s="10"/>
      <x:c r="B516" s="10"/>
      <x:c r="C516" s="10"/>
      <x:c r="D516" s="10"/>
      <x:c r="E516" s="10"/>
      <x:c r="F516" s="10"/>
      <x:c r="G516" s="10"/>
      <x:c r="H516" s="10"/>
    </x:row>
    <x:row r="517" ht="14.25" customHeight="1">
      <x:c r="A517" s="10"/>
      <x:c r="B517" s="10"/>
      <x:c r="C517" s="10"/>
      <x:c r="D517" s="10"/>
      <x:c r="E517" s="10"/>
      <x:c r="F517" s="10"/>
      <x:c r="G517" s="10"/>
      <x:c r="H517" s="10"/>
    </x:row>
    <x:row r="518" ht="14.25" customHeight="1">
      <x:c r="A518" s="10"/>
      <x:c r="B518" s="10"/>
      <x:c r="C518" s="10"/>
      <x:c r="D518" s="10"/>
      <x:c r="E518" s="10"/>
      <x:c r="F518" s="10"/>
      <x:c r="G518" s="10"/>
      <x:c r="H518" s="10"/>
    </x:row>
    <x:row r="519" ht="14.25" customHeight="1">
      <x:c r="A519" s="10"/>
      <x:c r="B519" s="10"/>
      <x:c r="C519" s="10"/>
      <x:c r="D519" s="10"/>
      <x:c r="E519" s="10"/>
      <x:c r="F519" s="10"/>
      <x:c r="G519" s="10"/>
      <x:c r="H519" s="10"/>
    </x:row>
    <x:row r="520" ht="14.25" customHeight="1">
      <x:c r="A520" s="10"/>
      <x:c r="B520" s="10"/>
      <x:c r="C520" s="10"/>
      <x:c r="D520" s="10"/>
      <x:c r="E520" s="10"/>
      <x:c r="F520" s="10"/>
      <x:c r="G520" s="10"/>
      <x:c r="H520" s="10"/>
    </x:row>
    <x:row r="521" ht="14.25" customHeight="1">
      <x:c r="A521" s="10"/>
      <x:c r="B521" s="10"/>
      <x:c r="C521" s="10"/>
      <x:c r="D521" s="10"/>
      <x:c r="E521" s="10"/>
      <x:c r="F521" s="10"/>
      <x:c r="G521" s="10"/>
      <x:c r="H521" s="10"/>
    </x:row>
    <x:row r="522" ht="14.25" customHeight="1">
      <x:c r="A522" s="10"/>
      <x:c r="B522" s="10"/>
      <x:c r="C522" s="10"/>
      <x:c r="D522" s="10"/>
      <x:c r="E522" s="10"/>
      <x:c r="F522" s="10"/>
      <x:c r="G522" s="10"/>
      <x:c r="H522" s="10"/>
    </x:row>
    <x:row r="523" ht="14.25" customHeight="1">
      <x:c r="A523" s="10"/>
      <x:c r="B523" s="10"/>
      <x:c r="C523" s="10"/>
      <x:c r="D523" s="10"/>
      <x:c r="E523" s="10"/>
      <x:c r="F523" s="10"/>
      <x:c r="G523" s="10"/>
      <x:c r="H523" s="10"/>
    </x:row>
    <x:row r="524" ht="14.25" customHeight="1">
      <x:c r="A524" s="10"/>
      <x:c r="B524" s="10"/>
      <x:c r="C524" s="10"/>
      <x:c r="D524" s="10"/>
      <x:c r="E524" s="10"/>
      <x:c r="F524" s="10"/>
      <x:c r="G524" s="10"/>
      <x:c r="H524" s="10"/>
    </x:row>
    <x:row r="525" ht="14.25" customHeight="1">
      <x:c r="A525" s="10"/>
      <x:c r="B525" s="10"/>
      <x:c r="C525" s="10"/>
      <x:c r="D525" s="10"/>
      <x:c r="E525" s="10"/>
      <x:c r="F525" s="10"/>
      <x:c r="G525" s="10"/>
      <x:c r="H525" s="10"/>
    </x:row>
    <x:row r="526" ht="14.25" customHeight="1">
      <x:c r="A526" s="10"/>
      <x:c r="B526" s="10"/>
      <x:c r="C526" s="10"/>
      <x:c r="D526" s="10"/>
      <x:c r="E526" s="10"/>
      <x:c r="F526" s="10"/>
      <x:c r="G526" s="10"/>
      <x:c r="H526" s="10"/>
    </x:row>
    <x:row r="527" ht="14.25" customHeight="1">
      <x:c r="A527" s="10"/>
      <x:c r="B527" s="10"/>
      <x:c r="C527" s="10"/>
      <x:c r="D527" s="10"/>
      <x:c r="E527" s="10"/>
      <x:c r="F527" s="10"/>
      <x:c r="G527" s="10"/>
      <x:c r="H527" s="10"/>
    </x:row>
    <x:row r="528" ht="14.25" customHeight="1">
      <x:c r="A528" s="10"/>
      <x:c r="B528" s="10"/>
      <x:c r="C528" s="10"/>
      <x:c r="D528" s="10"/>
      <x:c r="E528" s="10"/>
      <x:c r="F528" s="10"/>
      <x:c r="G528" s="10"/>
      <x:c r="H528" s="10"/>
    </x:row>
    <x:row r="529" ht="14.25" customHeight="1">
      <x:c r="A529" s="10"/>
      <x:c r="B529" s="10"/>
      <x:c r="C529" s="10"/>
      <x:c r="D529" s="10"/>
      <x:c r="E529" s="10"/>
      <x:c r="F529" s="10"/>
      <x:c r="G529" s="10"/>
      <x:c r="H529" s="10"/>
    </x:row>
    <x:row r="530" ht="14.25" customHeight="1">
      <x:c r="A530" s="10"/>
      <x:c r="B530" s="10"/>
      <x:c r="C530" s="10"/>
      <x:c r="D530" s="10"/>
      <x:c r="E530" s="10"/>
      <x:c r="F530" s="10"/>
      <x:c r="G530" s="10"/>
      <x:c r="H530" s="10"/>
    </x:row>
    <x:row r="531" ht="14.25" customHeight="1">
      <x:c r="A531" s="10"/>
      <x:c r="B531" s="10"/>
      <x:c r="C531" s="10"/>
      <x:c r="D531" s="10"/>
      <x:c r="E531" s="10"/>
      <x:c r="F531" s="10"/>
      <x:c r="G531" s="10"/>
      <x:c r="H531" s="10"/>
    </x:row>
    <x:row r="532" ht="14.25" customHeight="1">
      <x:c r="A532" s="10"/>
      <x:c r="B532" s="10"/>
      <x:c r="C532" s="10"/>
      <x:c r="D532" s="10"/>
      <x:c r="E532" s="10"/>
      <x:c r="F532" s="10"/>
      <x:c r="G532" s="10"/>
      <x:c r="H532" s="10"/>
    </x:row>
    <x:row r="533" ht="14.25" customHeight="1">
      <x:c r="A533" s="10"/>
      <x:c r="B533" s="10"/>
      <x:c r="C533" s="10"/>
      <x:c r="D533" s="10"/>
      <x:c r="E533" s="10"/>
      <x:c r="F533" s="10"/>
      <x:c r="G533" s="10"/>
      <x:c r="H533" s="10"/>
    </x:row>
    <x:row r="534" ht="14.25" customHeight="1">
      <x:c r="A534" s="10"/>
      <x:c r="B534" s="10"/>
      <x:c r="C534" s="10"/>
      <x:c r="D534" s="10"/>
      <x:c r="E534" s="10"/>
      <x:c r="F534" s="10"/>
      <x:c r="G534" s="10"/>
      <x:c r="H534" s="10"/>
    </x:row>
    <x:row r="535" ht="14.25" customHeight="1">
      <x:c r="A535" s="10"/>
      <x:c r="B535" s="10"/>
      <x:c r="C535" s="10"/>
      <x:c r="D535" s="10"/>
      <x:c r="E535" s="10"/>
      <x:c r="F535" s="10"/>
      <x:c r="G535" s="10"/>
      <x:c r="H535" s="10"/>
    </x:row>
    <x:row r="536" ht="14.25" customHeight="1">
      <x:c r="A536" s="10"/>
      <x:c r="B536" s="10"/>
      <x:c r="C536" s="10"/>
      <x:c r="D536" s="10"/>
      <x:c r="E536" s="10"/>
      <x:c r="F536" s="10"/>
      <x:c r="G536" s="10"/>
      <x:c r="H536" s="10"/>
    </x:row>
    <x:row r="537" ht="14.25" customHeight="1">
      <x:c r="A537" s="10"/>
      <x:c r="B537" s="10"/>
      <x:c r="C537" s="10"/>
      <x:c r="D537" s="10"/>
      <x:c r="E537" s="10"/>
      <x:c r="F537" s="10"/>
      <x:c r="G537" s="10"/>
      <x:c r="H537" s="10"/>
    </x:row>
    <x:row r="538" ht="14.25" customHeight="1">
      <x:c r="A538" s="10"/>
      <x:c r="B538" s="10"/>
      <x:c r="C538" s="10"/>
      <x:c r="D538" s="10"/>
      <x:c r="E538" s="10"/>
      <x:c r="F538" s="10"/>
      <x:c r="G538" s="10"/>
      <x:c r="H538" s="10"/>
    </x:row>
    <x:row r="539" ht="14.25" customHeight="1">
      <x:c r="A539" s="10"/>
      <x:c r="B539" s="10"/>
      <x:c r="C539" s="10"/>
      <x:c r="D539" s="10"/>
      <x:c r="E539" s="10"/>
      <x:c r="F539" s="10"/>
      <x:c r="G539" s="10"/>
      <x:c r="H539" s="10"/>
    </x:row>
    <x:row r="540" ht="14.25" customHeight="1">
      <x:c r="A540" s="10"/>
      <x:c r="B540" s="10"/>
      <x:c r="C540" s="10"/>
      <x:c r="D540" s="10"/>
      <x:c r="E540" s="10"/>
      <x:c r="F540" s="10"/>
      <x:c r="G540" s="10"/>
      <x:c r="H540" s="10"/>
    </x:row>
    <x:row r="541" ht="14.25" customHeight="1">
      <x:c r="A541" s="10"/>
      <x:c r="B541" s="10"/>
      <x:c r="C541" s="10"/>
      <x:c r="D541" s="10"/>
      <x:c r="E541" s="10"/>
      <x:c r="F541" s="10"/>
      <x:c r="G541" s="10"/>
      <x:c r="H541" s="10"/>
    </x:row>
    <x:row r="542" ht="14.25" customHeight="1">
      <x:c r="A542" s="10"/>
      <x:c r="B542" s="10"/>
      <x:c r="C542" s="10"/>
      <x:c r="D542" s="10"/>
      <x:c r="E542" s="10"/>
      <x:c r="F542" s="10"/>
      <x:c r="G542" s="10"/>
      <x:c r="H542" s="10"/>
    </x:row>
    <x:row r="543" ht="14.25" customHeight="1">
      <x:c r="A543" s="10"/>
      <x:c r="B543" s="10"/>
      <x:c r="C543" s="10"/>
      <x:c r="D543" s="10"/>
      <x:c r="E543" s="10"/>
      <x:c r="F543" s="10"/>
      <x:c r="G543" s="10"/>
      <x:c r="H543" s="10"/>
    </x:row>
    <x:row r="544" ht="14.25" customHeight="1">
      <x:c r="A544" s="10"/>
      <x:c r="B544" s="10"/>
      <x:c r="C544" s="10"/>
      <x:c r="D544" s="10"/>
      <x:c r="E544" s="10"/>
      <x:c r="F544" s="10"/>
      <x:c r="G544" s="10"/>
      <x:c r="H544" s="10"/>
    </x:row>
    <x:row r="545" ht="14.25" customHeight="1">
      <x:c r="A545" s="10"/>
      <x:c r="B545" s="10"/>
      <x:c r="C545" s="10"/>
      <x:c r="D545" s="10"/>
      <x:c r="E545" s="10"/>
      <x:c r="F545" s="10"/>
      <x:c r="G545" s="10"/>
      <x:c r="H545" s="10"/>
    </x:row>
    <x:row r="546" ht="14.25" customHeight="1">
      <x:c r="A546" s="10"/>
      <x:c r="B546" s="10"/>
      <x:c r="C546" s="10"/>
      <x:c r="D546" s="10"/>
      <x:c r="E546" s="10"/>
      <x:c r="F546" s="10"/>
      <x:c r="G546" s="10"/>
      <x:c r="H546" s="10"/>
    </x:row>
    <x:row r="547" ht="14.25" customHeight="1">
      <x:c r="A547" s="10"/>
      <x:c r="B547" s="10"/>
      <x:c r="C547" s="10"/>
      <x:c r="D547" s="10"/>
      <x:c r="E547" s="10"/>
      <x:c r="F547" s="10"/>
      <x:c r="G547" s="10"/>
      <x:c r="H547" s="10"/>
    </x:row>
    <x:row r="548" ht="14.25" customHeight="1">
      <x:c r="A548" s="10"/>
      <x:c r="B548" s="10"/>
      <x:c r="C548" s="10"/>
      <x:c r="D548" s="10"/>
      <x:c r="E548" s="10"/>
      <x:c r="F548" s="10"/>
      <x:c r="G548" s="10"/>
      <x:c r="H548" s="10"/>
    </x:row>
    <x:row r="549" ht="14.25" customHeight="1">
      <x:c r="A549" s="10"/>
      <x:c r="B549" s="10"/>
      <x:c r="C549" s="10"/>
      <x:c r="D549" s="10"/>
      <x:c r="E549" s="10"/>
      <x:c r="F549" s="10"/>
      <x:c r="G549" s="10"/>
      <x:c r="H549" s="10"/>
    </x:row>
    <x:row r="550" ht="14.25" customHeight="1">
      <x:c r="A550" s="10"/>
      <x:c r="B550" s="10"/>
      <x:c r="C550" s="10"/>
      <x:c r="D550" s="10"/>
      <x:c r="E550" s="10"/>
      <x:c r="F550" s="10"/>
      <x:c r="G550" s="10"/>
      <x:c r="H550" s="10"/>
    </x:row>
    <x:row r="551" ht="14.25" customHeight="1">
      <x:c r="A551" s="10"/>
      <x:c r="B551" s="10"/>
      <x:c r="C551" s="10"/>
      <x:c r="D551" s="10"/>
      <x:c r="E551" s="10"/>
      <x:c r="F551" s="10"/>
      <x:c r="G551" s="10"/>
      <x:c r="H551" s="10"/>
    </x:row>
    <x:row r="552" ht="14.25" customHeight="1">
      <x:c r="A552" s="10"/>
      <x:c r="B552" s="10"/>
      <x:c r="C552" s="10"/>
      <x:c r="D552" s="10"/>
      <x:c r="E552" s="10"/>
      <x:c r="F552" s="10"/>
      <x:c r="G552" s="10"/>
      <x:c r="H552" s="10"/>
    </x:row>
    <x:row r="553" ht="14.25" customHeight="1">
      <x:c r="A553" s="10"/>
      <x:c r="B553" s="10"/>
      <x:c r="C553" s="10"/>
      <x:c r="D553" s="10"/>
      <x:c r="E553" s="10"/>
      <x:c r="F553" s="10"/>
      <x:c r="G553" s="10"/>
      <x:c r="H553" s="10"/>
    </x:row>
    <x:row r="554" ht="14.25" customHeight="1">
      <x:c r="A554" s="10"/>
      <x:c r="B554" s="10"/>
      <x:c r="C554" s="10"/>
      <x:c r="D554" s="10"/>
      <x:c r="E554" s="10"/>
      <x:c r="F554" s="10"/>
      <x:c r="G554" s="10"/>
      <x:c r="H554" s="10"/>
    </x:row>
    <x:row r="555" ht="14.25" customHeight="1">
      <x:c r="A555" s="10"/>
      <x:c r="B555" s="10"/>
      <x:c r="C555" s="10"/>
      <x:c r="D555" s="10"/>
      <x:c r="E555" s="10"/>
      <x:c r="F555" s="10"/>
      <x:c r="G555" s="10"/>
      <x:c r="H555" s="10"/>
    </x:row>
    <x:row r="556" ht="14.25" customHeight="1">
      <x:c r="A556" s="10"/>
      <x:c r="B556" s="10"/>
      <x:c r="C556" s="10"/>
      <x:c r="D556" s="10"/>
      <x:c r="E556" s="10"/>
      <x:c r="F556" s="10"/>
      <x:c r="G556" s="10"/>
      <x:c r="H556" s="10"/>
    </x:row>
    <x:row r="557" ht="14.25" customHeight="1">
      <x:c r="A557" s="10"/>
      <x:c r="B557" s="10"/>
      <x:c r="C557" s="10"/>
      <x:c r="D557" s="10"/>
      <x:c r="E557" s="10"/>
      <x:c r="F557" s="10"/>
      <x:c r="G557" s="10"/>
      <x:c r="H557" s="10"/>
    </x:row>
    <x:row r="558" ht="14.25" customHeight="1">
      <x:c r="A558" s="10"/>
      <x:c r="B558" s="10"/>
      <x:c r="C558" s="10"/>
      <x:c r="D558" s="10"/>
      <x:c r="E558" s="10"/>
      <x:c r="F558" s="10"/>
      <x:c r="G558" s="10"/>
      <x:c r="H558" s="10"/>
    </x:row>
    <x:row r="559" ht="14.25" customHeight="1">
      <x:c r="A559" s="10"/>
      <x:c r="B559" s="10"/>
      <x:c r="C559" s="10"/>
      <x:c r="D559" s="10"/>
      <x:c r="E559" s="10"/>
      <x:c r="F559" s="10"/>
      <x:c r="G559" s="10"/>
      <x:c r="H559" s="10"/>
    </x:row>
    <x:row r="560" ht="14.25" customHeight="1">
      <x:c r="A560" s="10"/>
      <x:c r="B560" s="10"/>
      <x:c r="C560" s="10"/>
      <x:c r="D560" s="10"/>
      <x:c r="E560" s="10"/>
      <x:c r="F560" s="10"/>
      <x:c r="G560" s="10"/>
      <x:c r="H560" s="10"/>
    </x:row>
    <x:row r="561" ht="14.25" customHeight="1">
      <x:c r="A561" s="10"/>
      <x:c r="B561" s="10"/>
      <x:c r="C561" s="10"/>
      <x:c r="D561" s="10"/>
      <x:c r="E561" s="10"/>
      <x:c r="F561" s="10"/>
      <x:c r="G561" s="10"/>
      <x:c r="H561" s="10"/>
    </x:row>
    <x:row r="562" ht="14.25" customHeight="1">
      <x:c r="A562" s="10"/>
      <x:c r="B562" s="10"/>
      <x:c r="C562" s="10"/>
      <x:c r="D562" s="10"/>
      <x:c r="E562" s="10"/>
      <x:c r="F562" s="10"/>
      <x:c r="G562" s="10"/>
      <x:c r="H562" s="10"/>
    </x:row>
    <x:row r="563" ht="14.25" customHeight="1">
      <x:c r="A563" s="10"/>
      <x:c r="B563" s="10"/>
      <x:c r="C563" s="10"/>
      <x:c r="D563" s="10"/>
      <x:c r="E563" s="10"/>
      <x:c r="F563" s="10"/>
      <x:c r="G563" s="10"/>
      <x:c r="H563" s="10"/>
    </x:row>
    <x:row r="564" ht="14.25" customHeight="1">
      <x:c r="A564" s="10"/>
      <x:c r="B564" s="10"/>
      <x:c r="C564" s="10"/>
      <x:c r="D564" s="10"/>
      <x:c r="E564" s="10"/>
      <x:c r="F564" s="10"/>
      <x:c r="G564" s="10"/>
      <x:c r="H564" s="10"/>
    </x:row>
    <x:row r="565" ht="14.25" customHeight="1">
      <x:c r="A565" s="10"/>
      <x:c r="B565" s="10"/>
      <x:c r="C565" s="10"/>
      <x:c r="D565" s="10"/>
      <x:c r="E565" s="10"/>
      <x:c r="F565" s="10"/>
      <x:c r="G565" s="10"/>
      <x:c r="H565" s="10"/>
    </x:row>
    <x:row r="566" ht="14.25" customHeight="1">
      <x:c r="A566" s="10"/>
      <x:c r="B566" s="10"/>
      <x:c r="C566" s="10"/>
      <x:c r="D566" s="10"/>
      <x:c r="E566" s="10"/>
      <x:c r="F566" s="10"/>
      <x:c r="G566" s="10"/>
      <x:c r="H566" s="10"/>
    </x:row>
    <x:row r="567" ht="14.25" customHeight="1">
      <x:c r="A567" s="10"/>
      <x:c r="B567" s="10"/>
      <x:c r="C567" s="10"/>
      <x:c r="D567" s="10"/>
      <x:c r="E567" s="10"/>
      <x:c r="F567" s="10"/>
      <x:c r="G567" s="10"/>
      <x:c r="H567" s="10"/>
    </x:row>
    <x:row r="568" ht="14.25" customHeight="1">
      <x:c r="A568" s="10"/>
      <x:c r="B568" s="10"/>
      <x:c r="C568" s="10"/>
      <x:c r="D568" s="10"/>
      <x:c r="E568" s="10"/>
      <x:c r="F568" s="10"/>
      <x:c r="G568" s="10"/>
      <x:c r="H568" s="10"/>
    </x:row>
    <x:row r="569" ht="14.25" customHeight="1">
      <x:c r="A569" s="10"/>
      <x:c r="B569" s="10"/>
      <x:c r="C569" s="10"/>
      <x:c r="D569" s="10"/>
      <x:c r="E569" s="10"/>
      <x:c r="F569" s="10"/>
      <x:c r="G569" s="10"/>
      <x:c r="H569" s="10"/>
    </x:row>
    <x:row r="570" ht="14.25" customHeight="1">
      <x:c r="A570" s="10"/>
      <x:c r="B570" s="10"/>
      <x:c r="C570" s="10"/>
      <x:c r="D570" s="10"/>
      <x:c r="E570" s="10"/>
      <x:c r="F570" s="10"/>
      <x:c r="G570" s="10"/>
      <x:c r="H570" s="10"/>
    </x:row>
    <x:row r="571" ht="14.25" customHeight="1">
      <x:c r="A571" s="10"/>
      <x:c r="B571" s="10"/>
      <x:c r="C571" s="10"/>
      <x:c r="D571" s="10"/>
      <x:c r="E571" s="10"/>
      <x:c r="F571" s="10"/>
      <x:c r="G571" s="10"/>
      <x:c r="H571" s="10"/>
    </x:row>
    <x:row r="572" ht="14.25" customHeight="1">
      <x:c r="A572" s="10"/>
      <x:c r="B572" s="10"/>
      <x:c r="C572" s="10"/>
      <x:c r="D572" s="10"/>
      <x:c r="E572" s="10"/>
      <x:c r="F572" s="10"/>
      <x:c r="G572" s="10"/>
      <x:c r="H572" s="10"/>
    </x:row>
    <x:row r="573" ht="14.25" customHeight="1">
      <x:c r="A573" s="10"/>
      <x:c r="B573" s="10"/>
      <x:c r="C573" s="10"/>
      <x:c r="D573" s="10"/>
      <x:c r="E573" s="10"/>
      <x:c r="F573" s="10"/>
      <x:c r="G573" s="10"/>
      <x:c r="H573" s="10"/>
    </x:row>
    <x:row r="574" ht="14.25" customHeight="1">
      <x:c r="A574" s="10"/>
      <x:c r="B574" s="10"/>
      <x:c r="C574" s="10"/>
      <x:c r="D574" s="10"/>
      <x:c r="E574" s="10"/>
      <x:c r="F574" s="10"/>
      <x:c r="G574" s="10"/>
      <x:c r="H574" s="10"/>
    </x:row>
    <x:row r="575" ht="14.25" customHeight="1">
      <x:c r="A575" s="10"/>
      <x:c r="B575" s="10"/>
      <x:c r="C575" s="10"/>
      <x:c r="D575" s="10"/>
      <x:c r="E575" s="10"/>
      <x:c r="F575" s="10"/>
      <x:c r="G575" s="10"/>
      <x:c r="H575" s="10"/>
    </x:row>
    <x:row r="576" ht="14.25" customHeight="1">
      <x:c r="A576" s="10"/>
      <x:c r="B576" s="10"/>
      <x:c r="C576" s="10"/>
      <x:c r="D576" s="10"/>
      <x:c r="E576" s="10"/>
      <x:c r="F576" s="10"/>
      <x:c r="G576" s="10"/>
      <x:c r="H576" s="10"/>
    </x:row>
    <x:row r="577" ht="14.25" customHeight="1">
      <x:c r="A577" s="10"/>
      <x:c r="B577" s="10"/>
      <x:c r="C577" s="10"/>
      <x:c r="D577" s="10"/>
      <x:c r="E577" s="10"/>
      <x:c r="F577" s="10"/>
      <x:c r="G577" s="10"/>
      <x:c r="H577" s="10"/>
    </x:row>
    <x:row r="578" ht="14.25" customHeight="1">
      <x:c r="A578" s="10"/>
      <x:c r="B578" s="10"/>
      <x:c r="C578" s="10"/>
      <x:c r="D578" s="10"/>
      <x:c r="E578" s="10"/>
      <x:c r="F578" s="10"/>
      <x:c r="G578" s="10"/>
      <x:c r="H578" s="10"/>
    </x:row>
    <x:row r="579" ht="14.25" customHeight="1">
      <x:c r="A579" s="10"/>
      <x:c r="B579" s="10"/>
      <x:c r="C579" s="10"/>
      <x:c r="D579" s="10"/>
      <x:c r="E579" s="10"/>
      <x:c r="F579" s="10"/>
      <x:c r="G579" s="10"/>
      <x:c r="H579" s="10"/>
    </x:row>
    <x:row r="580" ht="14.25" customHeight="1">
      <x:c r="A580" s="10"/>
      <x:c r="B580" s="10"/>
      <x:c r="C580" s="10"/>
      <x:c r="D580" s="10"/>
      <x:c r="E580" s="10"/>
      <x:c r="F580" s="10"/>
      <x:c r="G580" s="10"/>
      <x:c r="H580" s="10"/>
    </x:row>
    <x:row r="581" ht="14.25" customHeight="1">
      <x:c r="A581" s="10"/>
      <x:c r="B581" s="10"/>
      <x:c r="C581" s="10"/>
      <x:c r="D581" s="10"/>
      <x:c r="E581" s="10"/>
      <x:c r="F581" s="10"/>
      <x:c r="G581" s="10"/>
      <x:c r="H581" s="10"/>
    </x:row>
    <x:row r="582" ht="14.25" customHeight="1">
      <x:c r="A582" s="10"/>
      <x:c r="B582" s="10"/>
      <x:c r="C582" s="10"/>
      <x:c r="D582" s="10"/>
      <x:c r="E582" s="10"/>
      <x:c r="F582" s="10"/>
      <x:c r="G582" s="10"/>
      <x:c r="H582" s="10"/>
    </x:row>
    <x:row r="583" ht="14.25" customHeight="1">
      <x:c r="A583" s="10"/>
      <x:c r="B583" s="10"/>
      <x:c r="C583" s="10"/>
      <x:c r="D583" s="10"/>
      <x:c r="E583" s="10"/>
      <x:c r="F583" s="10"/>
      <x:c r="G583" s="10"/>
      <x:c r="H583" s="10"/>
    </x:row>
    <x:row r="584" ht="14.25" customHeight="1">
      <x:c r="A584" s="10"/>
      <x:c r="B584" s="10"/>
      <x:c r="C584" s="10"/>
      <x:c r="D584" s="10"/>
      <x:c r="E584" s="10"/>
      <x:c r="F584" s="10"/>
      <x:c r="G584" s="10"/>
      <x:c r="H584" s="10"/>
    </x:row>
    <x:row r="585" ht="14.25" customHeight="1">
      <x:c r="A585" s="10"/>
      <x:c r="B585" s="10"/>
      <x:c r="C585" s="10"/>
      <x:c r="D585" s="10"/>
      <x:c r="E585" s="10"/>
      <x:c r="F585" s="10"/>
      <x:c r="G585" s="10"/>
      <x:c r="H585" s="10"/>
    </x:row>
    <x:row r="586" ht="14.25" customHeight="1">
      <x:c r="A586" s="10"/>
      <x:c r="B586" s="10"/>
      <x:c r="C586" s="10"/>
      <x:c r="D586" s="10"/>
      <x:c r="E586" s="10"/>
      <x:c r="F586" s="10"/>
      <x:c r="G586" s="10"/>
      <x:c r="H586" s="10"/>
    </x:row>
    <x:row r="587" ht="14.25" customHeight="1">
      <x:c r="A587" s="10"/>
      <x:c r="B587" s="10"/>
      <x:c r="C587" s="10"/>
      <x:c r="D587" s="10"/>
      <x:c r="E587" s="10"/>
      <x:c r="F587" s="10"/>
      <x:c r="G587" s="10"/>
      <x:c r="H587" s="10"/>
    </x:row>
    <x:row r="588" ht="14.25" customHeight="1">
      <x:c r="A588" s="10"/>
      <x:c r="B588" s="10"/>
      <x:c r="C588" s="10"/>
      <x:c r="D588" s="10"/>
      <x:c r="E588" s="10"/>
      <x:c r="F588" s="10"/>
      <x:c r="G588" s="10"/>
      <x:c r="H588" s="10"/>
    </x:row>
    <x:row r="589" ht="14.25" customHeight="1">
      <x:c r="A589" s="10"/>
      <x:c r="B589" s="10"/>
      <x:c r="C589" s="10"/>
      <x:c r="D589" s="10"/>
      <x:c r="E589" s="10"/>
      <x:c r="F589" s="10"/>
      <x:c r="G589" s="10"/>
      <x:c r="H589" s="10"/>
    </x:row>
    <x:row r="590" ht="14.25" customHeight="1">
      <x:c r="A590" s="10"/>
      <x:c r="B590" s="10"/>
      <x:c r="C590" s="10"/>
      <x:c r="D590" s="10"/>
      <x:c r="E590" s="10"/>
      <x:c r="F590" s="10"/>
      <x:c r="G590" s="10"/>
      <x:c r="H590" s="10"/>
    </x:row>
    <x:row r="591" ht="14.25" customHeight="1">
      <x:c r="A591" s="10"/>
      <x:c r="B591" s="10"/>
      <x:c r="C591" s="10"/>
      <x:c r="D591" s="10"/>
      <x:c r="E591" s="10"/>
      <x:c r="F591" s="10"/>
      <x:c r="G591" s="10"/>
      <x:c r="H591" s="10"/>
    </x:row>
    <x:row r="592" ht="14.25" customHeight="1">
      <x:c r="A592" s="10"/>
      <x:c r="B592" s="10"/>
      <x:c r="C592" s="10"/>
      <x:c r="D592" s="10"/>
      <x:c r="E592" s="10"/>
      <x:c r="F592" s="10"/>
      <x:c r="G592" s="10"/>
      <x:c r="H592" s="10"/>
    </x:row>
    <x:row r="593" ht="14.25" customHeight="1">
      <x:c r="A593" s="10"/>
      <x:c r="B593" s="10"/>
      <x:c r="C593" s="10"/>
      <x:c r="D593" s="10"/>
      <x:c r="E593" s="10"/>
      <x:c r="F593" s="10"/>
      <x:c r="G593" s="10"/>
      <x:c r="H593" s="10"/>
    </x:row>
    <x:row r="594" ht="14.25" customHeight="1">
      <x:c r="A594" s="10"/>
      <x:c r="B594" s="10"/>
      <x:c r="C594" s="10"/>
      <x:c r="D594" s="10"/>
      <x:c r="E594" s="10"/>
      <x:c r="F594" s="10"/>
      <x:c r="G594" s="10"/>
      <x:c r="H594" s="10"/>
    </x:row>
    <x:row r="595" ht="14.25" customHeight="1">
      <x:c r="A595" s="10"/>
      <x:c r="B595" s="10"/>
      <x:c r="C595" s="10"/>
      <x:c r="D595" s="10"/>
      <x:c r="E595" s="10"/>
      <x:c r="F595" s="10"/>
      <x:c r="G595" s="10"/>
      <x:c r="H595" s="10"/>
    </x:row>
    <x:row r="596" ht="14.25" customHeight="1">
      <x:c r="A596" s="10"/>
      <x:c r="B596" s="10"/>
      <x:c r="C596" s="10"/>
      <x:c r="D596" s="10"/>
      <x:c r="E596" s="10"/>
      <x:c r="F596" s="10"/>
      <x:c r="G596" s="10"/>
      <x:c r="H596" s="10"/>
    </x:row>
    <x:row r="597" ht="14.25" customHeight="1">
      <x:c r="A597" s="10"/>
      <x:c r="B597" s="10"/>
      <x:c r="C597" s="10"/>
      <x:c r="D597" s="10"/>
      <x:c r="E597" s="10"/>
      <x:c r="F597" s="10"/>
      <x:c r="G597" s="10"/>
      <x:c r="H597" s="10"/>
    </x:row>
    <x:row r="598" ht="14.25" customHeight="1">
      <x:c r="A598" s="10"/>
      <x:c r="B598" s="10"/>
      <x:c r="C598" s="10"/>
      <x:c r="D598" s="10"/>
      <x:c r="E598" s="10"/>
      <x:c r="F598" s="10"/>
      <x:c r="G598" s="10"/>
      <x:c r="H598" s="10"/>
    </x:row>
    <x:row r="599" ht="14.25" customHeight="1">
      <x:c r="A599" s="10"/>
      <x:c r="B599" s="10"/>
      <x:c r="C599" s="10"/>
      <x:c r="D599" s="10"/>
      <x:c r="E599" s="10"/>
      <x:c r="F599" s="10"/>
      <x:c r="G599" s="10"/>
      <x:c r="H599" s="10"/>
    </x:row>
    <x:row r="600" ht="14.25" customHeight="1">
      <x:c r="A600" s="10"/>
      <x:c r="B600" s="10"/>
      <x:c r="C600" s="10"/>
      <x:c r="D600" s="10"/>
      <x:c r="E600" s="10"/>
      <x:c r="F600" s="10"/>
      <x:c r="G600" s="10"/>
      <x:c r="H600" s="10"/>
    </x:row>
    <x:row r="601" ht="14.25" customHeight="1">
      <x:c r="A601" s="10"/>
      <x:c r="B601" s="10"/>
      <x:c r="C601" s="10"/>
      <x:c r="D601" s="10"/>
      <x:c r="E601" s="10"/>
      <x:c r="F601" s="10"/>
      <x:c r="G601" s="10"/>
      <x:c r="H601" s="10"/>
    </x:row>
    <x:row r="602" ht="14.25" customHeight="1">
      <x:c r="A602" s="10"/>
      <x:c r="B602" s="10"/>
      <x:c r="C602" s="10"/>
      <x:c r="D602" s="10"/>
      <x:c r="E602" s="10"/>
      <x:c r="F602" s="10"/>
      <x:c r="G602" s="10"/>
      <x:c r="H602" s="10"/>
    </x:row>
    <x:row r="603" ht="14.25" customHeight="1">
      <x:c r="A603" s="10"/>
      <x:c r="B603" s="10"/>
      <x:c r="C603" s="10"/>
      <x:c r="D603" s="10"/>
      <x:c r="E603" s="10"/>
      <x:c r="F603" s="10"/>
      <x:c r="G603" s="10"/>
      <x:c r="H603" s="10"/>
    </x:row>
    <x:row r="604" ht="14.25" customHeight="1">
      <x:c r="A604" s="10"/>
      <x:c r="B604" s="10"/>
      <x:c r="C604" s="10"/>
      <x:c r="D604" s="10"/>
      <x:c r="E604" s="10"/>
      <x:c r="F604" s="10"/>
      <x:c r="G604" s="10"/>
      <x:c r="H604" s="10"/>
    </x:row>
    <x:row r="605" ht="14.25" customHeight="1">
      <x:c r="A605" s="10"/>
      <x:c r="B605" s="10"/>
      <x:c r="C605" s="10"/>
      <x:c r="D605" s="10"/>
      <x:c r="E605" s="10"/>
      <x:c r="F605" s="10"/>
      <x:c r="G605" s="10"/>
      <x:c r="H605" s="10"/>
    </x:row>
    <x:row r="606" ht="14.25" customHeight="1">
      <x:c r="A606" s="10"/>
      <x:c r="B606" s="10"/>
      <x:c r="C606" s="10"/>
      <x:c r="D606" s="10"/>
      <x:c r="E606" s="10"/>
      <x:c r="F606" s="10"/>
      <x:c r="G606" s="10"/>
      <x:c r="H606" s="10"/>
    </x:row>
    <x:row r="607" ht="14.25" customHeight="1">
      <x:c r="A607" s="10"/>
      <x:c r="B607" s="10"/>
      <x:c r="C607" s="10"/>
      <x:c r="D607" s="10"/>
      <x:c r="E607" s="10"/>
      <x:c r="F607" s="10"/>
      <x:c r="G607" s="10"/>
      <x:c r="H607" s="10"/>
    </x:row>
    <x:row r="608" ht="14.25" customHeight="1">
      <x:c r="A608" s="10"/>
      <x:c r="B608" s="10"/>
      <x:c r="C608" s="10"/>
      <x:c r="D608" s="10"/>
      <x:c r="E608" s="10"/>
      <x:c r="F608" s="10"/>
      <x:c r="G608" s="10"/>
      <x:c r="H608" s="10"/>
    </x:row>
    <x:row r="609" ht="14.25" customHeight="1">
      <x:c r="A609" s="10"/>
      <x:c r="B609" s="10"/>
      <x:c r="C609" s="10"/>
      <x:c r="D609" s="10"/>
      <x:c r="E609" s="10"/>
      <x:c r="F609" s="10"/>
      <x:c r="G609" s="10"/>
      <x:c r="H609" s="10"/>
    </x:row>
    <x:row r="610" ht="14.25" customHeight="1">
      <x:c r="A610" s="10"/>
      <x:c r="B610" s="10"/>
      <x:c r="C610" s="10"/>
      <x:c r="D610" s="10"/>
      <x:c r="E610" s="10"/>
      <x:c r="F610" s="10"/>
      <x:c r="G610" s="10"/>
      <x:c r="H610" s="10"/>
    </x:row>
    <x:row r="611" ht="14.25" customHeight="1">
      <x:c r="A611" s="10"/>
      <x:c r="B611" s="10"/>
      <x:c r="C611" s="10"/>
      <x:c r="D611" s="10"/>
      <x:c r="E611" s="10"/>
      <x:c r="F611" s="10"/>
      <x:c r="G611" s="10"/>
      <x:c r="H611" s="10"/>
    </x:row>
    <x:row r="612" ht="14.25" customHeight="1">
      <x:c r="A612" s="10"/>
      <x:c r="B612" s="10"/>
      <x:c r="C612" s="10"/>
      <x:c r="D612" s="10"/>
      <x:c r="E612" s="10"/>
      <x:c r="F612" s="10"/>
      <x:c r="G612" s="10"/>
      <x:c r="H612" s="10"/>
    </x:row>
    <x:row r="613" ht="14.25" customHeight="1">
      <x:c r="A613" s="10"/>
      <x:c r="B613" s="10"/>
      <x:c r="C613" s="10"/>
      <x:c r="D613" s="10"/>
      <x:c r="E613" s="10"/>
      <x:c r="F613" s="10"/>
      <x:c r="G613" s="10"/>
      <x:c r="H613" s="10"/>
    </x:row>
    <x:row r="614" ht="14.25" customHeight="1">
      <x:c r="A614" s="10"/>
      <x:c r="B614" s="10"/>
      <x:c r="C614" s="10"/>
      <x:c r="D614" s="10"/>
      <x:c r="E614" s="10"/>
      <x:c r="F614" s="10"/>
      <x:c r="G614" s="10"/>
      <x:c r="H614" s="10"/>
    </x:row>
    <x:row r="615" ht="14.25" customHeight="1">
      <x:c r="A615" s="10"/>
      <x:c r="B615" s="10"/>
      <x:c r="C615" s="10"/>
      <x:c r="D615" s="10"/>
      <x:c r="E615" s="10"/>
      <x:c r="F615" s="10"/>
      <x:c r="G615" s="10"/>
      <x:c r="H615" s="10"/>
    </x:row>
    <x:row r="616" ht="14.25" customHeight="1">
      <x:c r="A616" s="10"/>
      <x:c r="B616" s="10"/>
      <x:c r="C616" s="10"/>
      <x:c r="D616" s="10"/>
      <x:c r="E616" s="10"/>
      <x:c r="F616" s="10"/>
      <x:c r="G616" s="10"/>
      <x:c r="H616" s="10"/>
    </x:row>
    <x:row r="617" ht="14.25" customHeight="1">
      <x:c r="A617" s="10"/>
      <x:c r="B617" s="10"/>
      <x:c r="C617" s="10"/>
      <x:c r="D617" s="10"/>
      <x:c r="E617" s="10"/>
      <x:c r="F617" s="10"/>
      <x:c r="G617" s="10"/>
      <x:c r="H617" s="10"/>
    </x:row>
    <x:row r="618" ht="14.25" customHeight="1">
      <x:c r="A618" s="10"/>
      <x:c r="B618" s="10"/>
      <x:c r="C618" s="10"/>
      <x:c r="D618" s="10"/>
      <x:c r="E618" s="10"/>
      <x:c r="F618" s="10"/>
      <x:c r="G618" s="10"/>
      <x:c r="H618" s="10"/>
    </x:row>
    <x:row r="619" ht="14.25" customHeight="1">
      <x:c r="A619" s="10"/>
      <x:c r="B619" s="10"/>
      <x:c r="C619" s="10"/>
      <x:c r="D619" s="10"/>
      <x:c r="E619" s="10"/>
      <x:c r="F619" s="10"/>
      <x:c r="G619" s="10"/>
      <x:c r="H619" s="10"/>
    </x:row>
    <x:row r="620" ht="14.25" customHeight="1">
      <x:c r="A620" s="10"/>
      <x:c r="B620" s="10"/>
      <x:c r="C620" s="10"/>
      <x:c r="D620" s="10"/>
      <x:c r="E620" s="10"/>
      <x:c r="F620" s="10"/>
      <x:c r="G620" s="10"/>
      <x:c r="H620" s="10"/>
    </x:row>
    <x:row r="621" ht="14.25" customHeight="1">
      <x:c r="A621" s="10"/>
      <x:c r="B621" s="10"/>
      <x:c r="C621" s="10"/>
      <x:c r="D621" s="10"/>
      <x:c r="E621" s="10"/>
      <x:c r="F621" s="10"/>
      <x:c r="G621" s="10"/>
      <x:c r="H621" s="10"/>
    </x:row>
    <x:row r="622" ht="14.25" customHeight="1">
      <x:c r="A622" s="10"/>
      <x:c r="B622" s="10"/>
      <x:c r="C622" s="10"/>
      <x:c r="D622" s="10"/>
      <x:c r="E622" s="10"/>
      <x:c r="F622" s="10"/>
      <x:c r="G622" s="10"/>
      <x:c r="H622" s="10"/>
    </x:row>
    <x:row r="623" ht="14.25" customHeight="1">
      <x:c r="A623" s="10"/>
      <x:c r="B623" s="10"/>
      <x:c r="C623" s="10"/>
      <x:c r="D623" s="10"/>
      <x:c r="E623" s="10"/>
      <x:c r="F623" s="10"/>
      <x:c r="G623" s="10"/>
      <x:c r="H623" s="10"/>
    </x:row>
    <x:row r="624" ht="14.25" customHeight="1">
      <x:c r="A624" s="10"/>
      <x:c r="B624" s="10"/>
      <x:c r="C624" s="10"/>
      <x:c r="D624" s="10"/>
      <x:c r="E624" s="10"/>
      <x:c r="F624" s="10"/>
      <x:c r="G624" s="10"/>
      <x:c r="H624" s="10"/>
    </x:row>
    <x:row r="625" ht="14.25" customHeight="1">
      <x:c r="A625" s="10"/>
      <x:c r="B625" s="10"/>
      <x:c r="C625" s="10"/>
      <x:c r="D625" s="10"/>
      <x:c r="E625" s="10"/>
      <x:c r="F625" s="10"/>
      <x:c r="G625" s="10"/>
      <x:c r="H625" s="10"/>
    </x:row>
    <x:row r="626" ht="14.25" customHeight="1">
      <x:c r="A626" s="10"/>
      <x:c r="B626" s="10"/>
      <x:c r="C626" s="10"/>
      <x:c r="D626" s="10"/>
      <x:c r="E626" s="10"/>
      <x:c r="F626" s="10"/>
      <x:c r="G626" s="10"/>
      <x:c r="H626" s="10"/>
    </x:row>
    <x:row r="627" ht="14.25" customHeight="1">
      <x:c r="A627" s="10"/>
      <x:c r="B627" s="10"/>
      <x:c r="C627" s="10"/>
      <x:c r="D627" s="10"/>
      <x:c r="E627" s="10"/>
      <x:c r="F627" s="10"/>
      <x:c r="G627" s="10"/>
      <x:c r="H627" s="10"/>
    </x:row>
    <x:row r="628" ht="14.25" customHeight="1">
      <x:c r="A628" s="10"/>
      <x:c r="B628" s="10"/>
      <x:c r="C628" s="10"/>
      <x:c r="D628" s="10"/>
      <x:c r="E628" s="10"/>
      <x:c r="F628" s="10"/>
      <x:c r="G628" s="10"/>
      <x:c r="H628" s="10"/>
    </x:row>
    <x:row r="629" ht="14.25" customHeight="1">
      <x:c r="A629" s="10"/>
      <x:c r="B629" s="10"/>
      <x:c r="C629" s="10"/>
      <x:c r="D629" s="10"/>
      <x:c r="E629" s="10"/>
      <x:c r="F629" s="10"/>
      <x:c r="G629" s="10"/>
      <x:c r="H629" s="10"/>
    </x:row>
    <x:row r="630" ht="14.25" customHeight="1">
      <x:c r="A630" s="10"/>
      <x:c r="B630" s="10"/>
      <x:c r="C630" s="10"/>
      <x:c r="D630" s="10"/>
      <x:c r="E630" s="10"/>
      <x:c r="F630" s="10"/>
      <x:c r="G630" s="10"/>
      <x:c r="H630" s="10"/>
    </x:row>
    <x:row r="631" ht="14.25" customHeight="1">
      <x:c r="A631" s="10"/>
      <x:c r="B631" s="10"/>
      <x:c r="C631" s="10"/>
      <x:c r="D631" s="10"/>
      <x:c r="E631" s="10"/>
      <x:c r="F631" s="10"/>
      <x:c r="G631" s="10"/>
      <x:c r="H631" s="10"/>
    </x:row>
    <x:row r="632" ht="14.25" customHeight="1">
      <x:c r="A632" s="10"/>
      <x:c r="B632" s="10"/>
      <x:c r="C632" s="10"/>
      <x:c r="D632" s="10"/>
      <x:c r="E632" s="10"/>
      <x:c r="F632" s="10"/>
      <x:c r="G632" s="10"/>
      <x:c r="H632" s="10"/>
    </x:row>
    <x:row r="633" ht="14.25" customHeight="1">
      <x:c r="A633" s="10"/>
      <x:c r="B633" s="10"/>
      <x:c r="C633" s="10"/>
      <x:c r="D633" s="10"/>
      <x:c r="E633" s="10"/>
      <x:c r="F633" s="10"/>
      <x:c r="G633" s="10"/>
      <x:c r="H633" s="10"/>
    </x:row>
    <x:row r="634" ht="14.25" customHeight="1">
      <x:c r="A634" s="10"/>
      <x:c r="B634" s="10"/>
      <x:c r="C634" s="10"/>
      <x:c r="D634" s="10"/>
      <x:c r="E634" s="10"/>
      <x:c r="F634" s="10"/>
      <x:c r="G634" s="10"/>
      <x:c r="H634" s="10"/>
    </x:row>
    <x:row r="635" ht="14.25" customHeight="1">
      <x:c r="A635" s="10"/>
      <x:c r="B635" s="10"/>
      <x:c r="C635" s="10"/>
      <x:c r="D635" s="10"/>
      <x:c r="E635" s="10"/>
      <x:c r="F635" s="10"/>
      <x:c r="G635" s="10"/>
      <x:c r="H635" s="10"/>
    </x:row>
    <x:row r="636" ht="14.25" customHeight="1">
      <x:c r="A636" s="10"/>
      <x:c r="B636" s="10"/>
      <x:c r="C636" s="10"/>
      <x:c r="D636" s="10"/>
      <x:c r="E636" s="10"/>
      <x:c r="F636" s="10"/>
      <x:c r="G636" s="10"/>
      <x:c r="H636" s="10"/>
    </x:row>
    <x:row r="637" ht="14.25" customHeight="1">
      <x:c r="A637" s="10"/>
      <x:c r="B637" s="10"/>
      <x:c r="C637" s="10"/>
      <x:c r="D637" s="10"/>
      <x:c r="E637" s="10"/>
      <x:c r="F637" s="10"/>
      <x:c r="G637" s="10"/>
      <x:c r="H637" s="10"/>
    </x:row>
    <x:row r="638" ht="14.25" customHeight="1">
      <x:c r="A638" s="10"/>
      <x:c r="B638" s="10"/>
      <x:c r="C638" s="10"/>
      <x:c r="D638" s="10"/>
      <x:c r="E638" s="10"/>
      <x:c r="F638" s="10"/>
      <x:c r="G638" s="10"/>
      <x:c r="H638" s="10"/>
    </x:row>
    <x:row r="639" ht="14.25" customHeight="1">
      <x:c r="A639" s="10"/>
      <x:c r="B639" s="10"/>
      <x:c r="C639" s="10"/>
      <x:c r="D639" s="10"/>
      <x:c r="E639" s="10"/>
      <x:c r="F639" s="10"/>
      <x:c r="G639" s="10"/>
      <x:c r="H639" s="10"/>
    </x:row>
    <x:row r="640" ht="14.25" customHeight="1">
      <x:c r="A640" s="10"/>
      <x:c r="B640" s="10"/>
      <x:c r="C640" s="10"/>
      <x:c r="D640" s="10"/>
      <x:c r="E640" s="10"/>
      <x:c r="F640" s="10"/>
      <x:c r="G640" s="10"/>
      <x:c r="H640" s="10"/>
    </x:row>
    <x:row r="641" ht="14.25" customHeight="1">
      <x:c r="A641" s="10"/>
      <x:c r="B641" s="10"/>
      <x:c r="C641" s="10"/>
      <x:c r="D641" s="10"/>
      <x:c r="E641" s="10"/>
      <x:c r="F641" s="10"/>
      <x:c r="G641" s="10"/>
      <x:c r="H641" s="10"/>
    </x:row>
    <x:row r="642" ht="14.25" customHeight="1">
      <x:c r="A642" s="10"/>
      <x:c r="B642" s="10"/>
      <x:c r="C642" s="10"/>
      <x:c r="D642" s="10"/>
      <x:c r="E642" s="10"/>
      <x:c r="F642" s="10"/>
      <x:c r="G642" s="10"/>
      <x:c r="H642" s="10"/>
    </x:row>
    <x:row r="643" ht="14.25" customHeight="1">
      <x:c r="A643" s="10"/>
      <x:c r="B643" s="10"/>
      <x:c r="C643" s="10"/>
      <x:c r="D643" s="10"/>
      <x:c r="E643" s="10"/>
      <x:c r="F643" s="10"/>
      <x:c r="G643" s="10"/>
      <x:c r="H643" s="10"/>
    </x:row>
    <x:row r="644" ht="14.25" customHeight="1">
      <x:c r="A644" s="10"/>
      <x:c r="B644" s="10"/>
      <x:c r="C644" s="10"/>
      <x:c r="D644" s="10"/>
      <x:c r="E644" s="10"/>
      <x:c r="F644" s="10"/>
      <x:c r="G644" s="10"/>
      <x:c r="H644" s="10"/>
    </x:row>
    <x:row r="645" ht="14.25" customHeight="1">
      <x:c r="A645" s="10"/>
      <x:c r="B645" s="10"/>
      <x:c r="C645" s="10"/>
      <x:c r="D645" s="10"/>
      <x:c r="E645" s="10"/>
      <x:c r="F645" s="10"/>
      <x:c r="G645" s="10"/>
      <x:c r="H645" s="10"/>
    </x:row>
    <x:row r="646" ht="14.25" customHeight="1">
      <x:c r="A646" s="10"/>
      <x:c r="B646" s="10"/>
      <x:c r="C646" s="10"/>
      <x:c r="D646" s="10"/>
      <x:c r="E646" s="10"/>
      <x:c r="F646" s="10"/>
      <x:c r="G646" s="10"/>
      <x:c r="H646" s="10"/>
    </x:row>
    <x:row r="647" ht="14.25" customHeight="1">
      <x:c r="A647" s="10"/>
      <x:c r="B647" s="10"/>
      <x:c r="C647" s="10"/>
      <x:c r="D647" s="10"/>
      <x:c r="E647" s="10"/>
      <x:c r="F647" s="10"/>
      <x:c r="G647" s="10"/>
      <x:c r="H647" s="10"/>
    </x:row>
    <x:row r="648" ht="14.25" customHeight="1">
      <x:c r="A648" s="10"/>
      <x:c r="B648" s="10"/>
      <x:c r="C648" s="10"/>
      <x:c r="D648" s="10"/>
      <x:c r="E648" s="10"/>
      <x:c r="F648" s="10"/>
      <x:c r="G648" s="10"/>
      <x:c r="H648" s="10"/>
    </x:row>
    <x:row r="649" ht="14.25" customHeight="1">
      <x:c r="A649" s="10"/>
      <x:c r="B649" s="10"/>
      <x:c r="C649" s="10"/>
      <x:c r="D649" s="10"/>
      <x:c r="E649" s="10"/>
      <x:c r="F649" s="10"/>
      <x:c r="G649" s="10"/>
      <x:c r="H649" s="10"/>
    </x:row>
    <x:row r="650" ht="14.25" customHeight="1">
      <x:c r="A650" s="10"/>
      <x:c r="B650" s="10"/>
      <x:c r="C650" s="10"/>
      <x:c r="D650" s="10"/>
      <x:c r="E650" s="10"/>
      <x:c r="F650" s="10"/>
      <x:c r="G650" s="10"/>
      <x:c r="H650" s="10"/>
    </x:row>
    <x:row r="651" ht="14.25" customHeight="1">
      <x:c r="A651" s="10"/>
      <x:c r="B651" s="10"/>
      <x:c r="C651" s="10"/>
      <x:c r="D651" s="10"/>
      <x:c r="E651" s="10"/>
      <x:c r="F651" s="10"/>
      <x:c r="G651" s="10"/>
      <x:c r="H651" s="10"/>
    </x:row>
    <x:row r="652" ht="14.25" customHeight="1">
      <x:c r="A652" s="10"/>
      <x:c r="B652" s="10"/>
      <x:c r="C652" s="10"/>
      <x:c r="D652" s="10"/>
      <x:c r="E652" s="10"/>
      <x:c r="F652" s="10"/>
      <x:c r="G652" s="10"/>
      <x:c r="H652" s="10"/>
    </x:row>
    <x:row r="653" ht="14.25" customHeight="1">
      <x:c r="A653" s="10"/>
      <x:c r="B653" s="10"/>
      <x:c r="C653" s="10"/>
      <x:c r="D653" s="10"/>
      <x:c r="E653" s="10"/>
      <x:c r="F653" s="10"/>
      <x:c r="G653" s="10"/>
      <x:c r="H653" s="10"/>
    </x:row>
    <x:row r="654" ht="14.25" customHeight="1">
      <x:c r="A654" s="10"/>
      <x:c r="B654" s="10"/>
      <x:c r="C654" s="10"/>
      <x:c r="D654" s="10"/>
      <x:c r="E654" s="10"/>
      <x:c r="F654" s="10"/>
      <x:c r="G654" s="10"/>
      <x:c r="H654" s="10"/>
    </x:row>
    <x:row r="655" ht="14.25" customHeight="1">
      <x:c r="A655" s="10"/>
      <x:c r="B655" s="10"/>
      <x:c r="C655" s="10"/>
      <x:c r="D655" s="10"/>
      <x:c r="E655" s="10"/>
      <x:c r="F655" s="10"/>
      <x:c r="G655" s="10"/>
      <x:c r="H655" s="10"/>
    </x:row>
    <x:row r="656" ht="14.25" customHeight="1">
      <x:c r="A656" s="10"/>
      <x:c r="B656" s="10"/>
      <x:c r="C656" s="10"/>
      <x:c r="D656" s="10"/>
      <x:c r="E656" s="10"/>
      <x:c r="F656" s="10"/>
      <x:c r="G656" s="10"/>
      <x:c r="H656" s="10"/>
    </x:row>
    <x:row r="657" ht="14.25" customHeight="1">
      <x:c r="A657" s="10"/>
      <x:c r="B657" s="10"/>
      <x:c r="C657" s="10"/>
      <x:c r="D657" s="10"/>
      <x:c r="E657" s="10"/>
      <x:c r="F657" s="10"/>
      <x:c r="G657" s="10"/>
      <x:c r="H657" s="10"/>
    </x:row>
    <x:row r="658" ht="14.25" customHeight="1">
      <x:c r="A658" s="10"/>
      <x:c r="B658" s="10"/>
      <x:c r="C658" s="10"/>
      <x:c r="D658" s="10"/>
      <x:c r="E658" s="10"/>
      <x:c r="F658" s="10"/>
      <x:c r="G658" s="10"/>
      <x:c r="H658" s="10"/>
    </x:row>
    <x:row r="659" ht="14.25" customHeight="1">
      <x:c r="A659" s="10"/>
      <x:c r="B659" s="10"/>
      <x:c r="C659" s="10"/>
      <x:c r="D659" s="10"/>
      <x:c r="E659" s="10"/>
      <x:c r="F659" s="10"/>
      <x:c r="G659" s="10"/>
      <x:c r="H659" s="10"/>
    </x:row>
    <x:row r="660" ht="14.25" customHeight="1">
      <x:c r="A660" s="10"/>
      <x:c r="B660" s="10"/>
      <x:c r="C660" s="10"/>
      <x:c r="D660" s="10"/>
      <x:c r="E660" s="10"/>
      <x:c r="F660" s="10"/>
      <x:c r="G660" s="10"/>
      <x:c r="H660" s="10"/>
    </x:row>
    <x:row r="661" ht="14.25" customHeight="1">
      <x:c r="A661" s="10"/>
      <x:c r="B661" s="10"/>
      <x:c r="C661" s="10"/>
      <x:c r="D661" s="10"/>
      <x:c r="E661" s="10"/>
      <x:c r="F661" s="10"/>
      <x:c r="G661" s="10"/>
      <x:c r="H661" s="10"/>
    </x:row>
    <x:row r="662" ht="14.25" customHeight="1">
      <x:c r="A662" s="10"/>
      <x:c r="B662" s="10"/>
      <x:c r="C662" s="10"/>
      <x:c r="D662" s="10"/>
      <x:c r="E662" s="10"/>
      <x:c r="F662" s="10"/>
      <x:c r="G662" s="10"/>
      <x:c r="H662" s="10"/>
    </x:row>
    <x:row r="663" ht="14.25" customHeight="1">
      <x:c r="A663" s="10"/>
      <x:c r="B663" s="10"/>
      <x:c r="C663" s="10"/>
      <x:c r="D663" s="10"/>
      <x:c r="E663" s="10"/>
      <x:c r="F663" s="10"/>
      <x:c r="G663" s="10"/>
      <x:c r="H663" s="10"/>
    </x:row>
    <x:row r="664" ht="14.25" customHeight="1">
      <x:c r="A664" s="10"/>
      <x:c r="B664" s="10"/>
      <x:c r="C664" s="10"/>
      <x:c r="D664" s="10"/>
      <x:c r="E664" s="10"/>
      <x:c r="F664" s="10"/>
      <x:c r="G664" s="10"/>
      <x:c r="H664" s="10"/>
    </x:row>
    <x:row r="665" ht="14.25" customHeight="1">
      <x:c r="A665" s="10"/>
      <x:c r="B665" s="10"/>
      <x:c r="C665" s="10"/>
      <x:c r="D665" s="10"/>
      <x:c r="E665" s="10"/>
      <x:c r="F665" s="10"/>
      <x:c r="G665" s="10"/>
      <x:c r="H665" s="10"/>
    </x:row>
    <x:row r="666" ht="14.25" customHeight="1">
      <x:c r="A666" s="10"/>
      <x:c r="B666" s="10"/>
      <x:c r="C666" s="10"/>
      <x:c r="D666" s="10"/>
      <x:c r="E666" s="10"/>
      <x:c r="F666" s="10"/>
      <x:c r="G666" s="10"/>
      <x:c r="H666" s="10"/>
    </x:row>
    <x:row r="667" ht="14.25" customHeight="1">
      <x:c r="A667" s="10"/>
      <x:c r="B667" s="10"/>
      <x:c r="C667" s="10"/>
      <x:c r="D667" s="10"/>
      <x:c r="E667" s="10"/>
      <x:c r="F667" s="10"/>
      <x:c r="G667" s="10"/>
      <x:c r="H667" s="10"/>
    </x:row>
    <x:row r="668" ht="14.25" customHeight="1">
      <x:c r="A668" s="10"/>
      <x:c r="B668" s="10"/>
      <x:c r="C668" s="10"/>
      <x:c r="D668" s="10"/>
      <x:c r="E668" s="10"/>
      <x:c r="F668" s="10"/>
      <x:c r="G668" s="10"/>
      <x:c r="H668" s="10"/>
    </x:row>
    <x:row r="669" ht="14.25" customHeight="1">
      <x:c r="A669" s="10"/>
      <x:c r="B669" s="10"/>
      <x:c r="C669" s="10"/>
      <x:c r="D669" s="10"/>
      <x:c r="E669" s="10"/>
      <x:c r="F669" s="10"/>
      <x:c r="G669" s="10"/>
      <x:c r="H669" s="10"/>
    </x:row>
    <x:row r="670" ht="14.25" customHeight="1">
      <x:c r="A670" s="10"/>
      <x:c r="B670" s="10"/>
      <x:c r="C670" s="10"/>
      <x:c r="D670" s="10"/>
      <x:c r="E670" s="10"/>
      <x:c r="F670" s="10"/>
      <x:c r="G670" s="10"/>
      <x:c r="H670" s="10"/>
    </x:row>
    <x:row r="671" ht="14.25" customHeight="1">
      <x:c r="A671" s="10"/>
      <x:c r="B671" s="10"/>
      <x:c r="C671" s="10"/>
      <x:c r="D671" s="10"/>
      <x:c r="E671" s="10"/>
      <x:c r="F671" s="10"/>
      <x:c r="G671" s="10"/>
      <x:c r="H671" s="10"/>
    </x:row>
    <x:row r="672" ht="14.25" customHeight="1">
      <x:c r="A672" s="10"/>
      <x:c r="B672" s="10"/>
      <x:c r="C672" s="10"/>
      <x:c r="D672" s="10"/>
      <x:c r="E672" s="10"/>
      <x:c r="F672" s="10"/>
      <x:c r="G672" s="10"/>
      <x:c r="H672" s="10"/>
    </x:row>
    <x:row r="673" ht="14.25" customHeight="1">
      <x:c r="A673" s="10"/>
      <x:c r="B673" s="10"/>
      <x:c r="C673" s="10"/>
      <x:c r="D673" s="10"/>
      <x:c r="E673" s="10"/>
      <x:c r="F673" s="10"/>
      <x:c r="G673" s="10"/>
      <x:c r="H673" s="10"/>
    </x:row>
    <x:row r="674" ht="14.25" customHeight="1">
      <x:c r="A674" s="10"/>
      <x:c r="B674" s="10"/>
      <x:c r="C674" s="10"/>
      <x:c r="D674" s="10"/>
      <x:c r="E674" s="10"/>
      <x:c r="F674" s="10"/>
      <x:c r="G674" s="10"/>
      <x:c r="H674" s="10"/>
    </x:row>
    <x:row r="675" ht="14.25" customHeight="1">
      <x:c r="A675" s="10"/>
      <x:c r="B675" s="10"/>
      <x:c r="C675" s="10"/>
      <x:c r="D675" s="10"/>
      <x:c r="E675" s="10"/>
      <x:c r="F675" s="10"/>
      <x:c r="G675" s="10"/>
      <x:c r="H675" s="10"/>
    </x:row>
    <x:row r="676" ht="14.25" customHeight="1">
      <x:c r="A676" s="10"/>
      <x:c r="B676" s="10"/>
      <x:c r="C676" s="10"/>
      <x:c r="D676" s="10"/>
      <x:c r="E676" s="10"/>
      <x:c r="F676" s="10"/>
      <x:c r="G676" s="10"/>
      <x:c r="H676" s="10"/>
    </x:row>
    <x:row r="677" ht="14.25" customHeight="1">
      <x:c r="A677" s="10"/>
      <x:c r="B677" s="10"/>
      <x:c r="C677" s="10"/>
      <x:c r="D677" s="10"/>
      <x:c r="E677" s="10"/>
      <x:c r="F677" s="10"/>
      <x:c r="G677" s="10"/>
      <x:c r="H677" s="10"/>
    </x:row>
    <x:row r="678" ht="14.25" customHeight="1">
      <x:c r="A678" s="10"/>
      <x:c r="B678" s="10"/>
      <x:c r="C678" s="10"/>
      <x:c r="D678" s="10"/>
      <x:c r="E678" s="10"/>
      <x:c r="F678" s="10"/>
      <x:c r="G678" s="10"/>
      <x:c r="H678" s="10"/>
    </x:row>
    <x:row r="679" ht="14.25" customHeight="1">
      <x:c r="A679" s="10"/>
      <x:c r="B679" s="10"/>
      <x:c r="C679" s="10"/>
      <x:c r="D679" s="10"/>
      <x:c r="E679" s="10"/>
      <x:c r="F679" s="10"/>
      <x:c r="G679" s="10"/>
      <x:c r="H679" s="10"/>
    </x:row>
    <x:row r="680" ht="14.25" customHeight="1">
      <x:c r="A680" s="10"/>
      <x:c r="B680" s="10"/>
      <x:c r="C680" s="10"/>
      <x:c r="D680" s="10"/>
      <x:c r="E680" s="10"/>
      <x:c r="F680" s="10"/>
      <x:c r="G680" s="10"/>
      <x:c r="H680" s="10"/>
    </x:row>
    <x:row r="681" ht="14.25" customHeight="1">
      <x:c r="A681" s="10"/>
      <x:c r="B681" s="10"/>
      <x:c r="C681" s="10"/>
      <x:c r="D681" s="10"/>
      <x:c r="E681" s="10"/>
      <x:c r="F681" s="10"/>
      <x:c r="G681" s="10"/>
      <x:c r="H681" s="10"/>
    </x:row>
    <x:row r="682" ht="14.25" customHeight="1">
      <x:c r="A682" s="10"/>
      <x:c r="B682" s="10"/>
      <x:c r="C682" s="10"/>
      <x:c r="D682" s="10"/>
      <x:c r="E682" s="10"/>
      <x:c r="F682" s="10"/>
      <x:c r="G682" s="10"/>
      <x:c r="H682" s="10"/>
    </x:row>
    <x:row r="683" ht="14.25" customHeight="1">
      <x:c r="A683" s="10"/>
      <x:c r="B683" s="10"/>
      <x:c r="C683" s="10"/>
      <x:c r="D683" s="10"/>
      <x:c r="E683" s="10"/>
      <x:c r="F683" s="10"/>
      <x:c r="G683" s="10"/>
      <x:c r="H683" s="10"/>
    </x:row>
    <x:row r="684" ht="14.25" customHeight="1">
      <x:c r="A684" s="10"/>
      <x:c r="B684" s="10"/>
      <x:c r="C684" s="10"/>
      <x:c r="D684" s="10"/>
      <x:c r="E684" s="10"/>
      <x:c r="F684" s="10"/>
      <x:c r="G684" s="10"/>
      <x:c r="H684" s="10"/>
    </x:row>
    <x:row r="685" ht="14.25" customHeight="1">
      <x:c r="A685" s="10"/>
      <x:c r="B685" s="10"/>
      <x:c r="C685" s="10"/>
      <x:c r="D685" s="10"/>
      <x:c r="E685" s="10"/>
      <x:c r="F685" s="10"/>
      <x:c r="G685" s="10"/>
      <x:c r="H685" s="10"/>
    </x:row>
    <x:row r="686" ht="14.25" customHeight="1">
      <x:c r="A686" s="10"/>
      <x:c r="B686" s="10"/>
      <x:c r="C686" s="10"/>
      <x:c r="D686" s="10"/>
      <x:c r="E686" s="10"/>
      <x:c r="F686" s="10"/>
      <x:c r="G686" s="10"/>
      <x:c r="H686" s="10"/>
    </x:row>
    <x:row r="687" ht="14.25" customHeight="1">
      <x:c r="A687" s="10"/>
      <x:c r="B687" s="10"/>
      <x:c r="C687" s="10"/>
      <x:c r="D687" s="10"/>
      <x:c r="E687" s="10"/>
      <x:c r="F687" s="10"/>
      <x:c r="G687" s="10"/>
      <x:c r="H687" s="10"/>
    </x:row>
    <x:row r="688" ht="14.25" customHeight="1">
      <x:c r="A688" s="10"/>
      <x:c r="B688" s="10"/>
      <x:c r="C688" s="10"/>
      <x:c r="D688" s="10"/>
      <x:c r="E688" s="10"/>
      <x:c r="F688" s="10"/>
      <x:c r="G688" s="10"/>
      <x:c r="H688" s="10"/>
    </x:row>
    <x:row r="689" ht="14.25" customHeight="1">
      <x:c r="A689" s="10"/>
      <x:c r="B689" s="10"/>
      <x:c r="C689" s="10"/>
      <x:c r="D689" s="10"/>
      <x:c r="E689" s="10"/>
      <x:c r="F689" s="10"/>
      <x:c r="G689" s="10"/>
      <x:c r="H689" s="10"/>
    </x:row>
    <x:row r="690" ht="14.25" customHeight="1">
      <x:c r="A690" s="10"/>
      <x:c r="B690" s="10"/>
      <x:c r="C690" s="10"/>
      <x:c r="D690" s="10"/>
      <x:c r="E690" s="10"/>
      <x:c r="F690" s="10"/>
      <x:c r="G690" s="10"/>
      <x:c r="H690" s="10"/>
    </x:row>
    <x:row r="691" ht="14.25" customHeight="1">
      <x:c r="A691" s="10"/>
      <x:c r="B691" s="10"/>
      <x:c r="C691" s="10"/>
      <x:c r="D691" s="10"/>
      <x:c r="E691" s="10"/>
      <x:c r="F691" s="10"/>
      <x:c r="G691" s="10"/>
      <x:c r="H691" s="10"/>
    </x:row>
    <x:row r="692" ht="14.25" customHeight="1">
      <x:c r="A692" s="10"/>
      <x:c r="B692" s="10"/>
      <x:c r="C692" s="10"/>
      <x:c r="D692" s="10"/>
      <x:c r="E692" s="10"/>
      <x:c r="F692" s="10"/>
      <x:c r="G692" s="10"/>
      <x:c r="H692" s="10"/>
    </x:row>
    <x:row r="693" ht="14.25" customHeight="1">
      <x:c r="A693" s="10"/>
      <x:c r="B693" s="10"/>
      <x:c r="C693" s="10"/>
      <x:c r="D693" s="10"/>
      <x:c r="E693" s="10"/>
      <x:c r="F693" s="10"/>
      <x:c r="G693" s="10"/>
      <x:c r="H693" s="10"/>
    </x:row>
    <x:row r="694" ht="14.25" customHeight="1">
      <x:c r="A694" s="10"/>
      <x:c r="B694" s="10"/>
      <x:c r="C694" s="10"/>
      <x:c r="D694" s="10"/>
      <x:c r="E694" s="10"/>
      <x:c r="F694" s="10"/>
      <x:c r="G694" s="10"/>
      <x:c r="H694" s="10"/>
    </x:row>
    <x:row r="695" ht="14.25" customHeight="1">
      <x:c r="A695" s="10"/>
      <x:c r="B695" s="10"/>
      <x:c r="C695" s="10"/>
      <x:c r="D695" s="10"/>
      <x:c r="E695" s="10"/>
      <x:c r="F695" s="10"/>
      <x:c r="G695" s="10"/>
      <x:c r="H695" s="10"/>
    </x:row>
    <x:row r="696" ht="14.25" customHeight="1">
      <x:c r="A696" s="10"/>
      <x:c r="B696" s="10"/>
      <x:c r="C696" s="10"/>
      <x:c r="D696" s="10"/>
      <x:c r="E696" s="10"/>
      <x:c r="F696" s="10"/>
      <x:c r="G696" s="10"/>
      <x:c r="H696" s="10"/>
    </x:row>
    <x:row r="697" ht="14.25" customHeight="1">
      <x:c r="A697" s="10"/>
      <x:c r="B697" s="10"/>
      <x:c r="C697" s="10"/>
      <x:c r="D697" s="10"/>
      <x:c r="E697" s="10"/>
      <x:c r="F697" s="10"/>
      <x:c r="G697" s="10"/>
      <x:c r="H697" s="10"/>
    </x:row>
    <x:row r="698" ht="14.25" customHeight="1">
      <x:c r="A698" s="10"/>
      <x:c r="B698" s="10"/>
      <x:c r="C698" s="10"/>
      <x:c r="D698" s="10"/>
      <x:c r="E698" s="10"/>
      <x:c r="F698" s="10"/>
      <x:c r="G698" s="10"/>
      <x:c r="H698" s="10"/>
    </x:row>
    <x:row r="699" ht="14.25" customHeight="1">
      <x:c r="A699" s="10"/>
      <x:c r="B699" s="10"/>
      <x:c r="C699" s="10"/>
      <x:c r="D699" s="10"/>
      <x:c r="E699" s="10"/>
      <x:c r="F699" s="10"/>
      <x:c r="G699" s="10"/>
      <x:c r="H699" s="10"/>
    </x:row>
    <x:row r="700" ht="14.25" customHeight="1">
      <x:c r="A700" s="10"/>
      <x:c r="B700" s="10"/>
      <x:c r="C700" s="10"/>
      <x:c r="D700" s="10"/>
      <x:c r="E700" s="10"/>
      <x:c r="F700" s="10"/>
      <x:c r="G700" s="10"/>
      <x:c r="H700" s="10"/>
    </x:row>
    <x:row r="701" ht="14.25" customHeight="1">
      <x:c r="A701" s="10"/>
      <x:c r="B701" s="10"/>
      <x:c r="C701" s="10"/>
      <x:c r="D701" s="10"/>
      <x:c r="E701" s="10"/>
      <x:c r="F701" s="10"/>
      <x:c r="G701" s="10"/>
      <x:c r="H701" s="10"/>
    </x:row>
    <x:row r="702" ht="14.25" customHeight="1">
      <x:c r="A702" s="10"/>
      <x:c r="B702" s="10"/>
      <x:c r="C702" s="10"/>
      <x:c r="D702" s="10"/>
      <x:c r="E702" s="10"/>
      <x:c r="F702" s="10"/>
      <x:c r="G702" s="10"/>
      <x:c r="H702" s="10"/>
    </x:row>
    <x:row r="703" ht="14.25" customHeight="1">
      <x:c r="A703" s="10"/>
      <x:c r="B703" s="10"/>
      <x:c r="C703" s="10"/>
      <x:c r="D703" s="10"/>
      <x:c r="E703" s="10"/>
      <x:c r="F703" s="10"/>
      <x:c r="G703" s="10"/>
      <x:c r="H703" s="10"/>
    </x:row>
    <x:row r="704" ht="14.25" customHeight="1">
      <x:c r="A704" s="10"/>
      <x:c r="B704" s="10"/>
      <x:c r="C704" s="10"/>
      <x:c r="D704" s="10"/>
      <x:c r="E704" s="10"/>
      <x:c r="F704" s="10"/>
      <x:c r="G704" s="10"/>
      <x:c r="H704" s="10"/>
    </x:row>
    <x:row r="705" ht="14.25" customHeight="1">
      <x:c r="A705" s="10"/>
      <x:c r="B705" s="10"/>
      <x:c r="C705" s="10"/>
      <x:c r="D705" s="10"/>
      <x:c r="E705" s="10"/>
      <x:c r="F705" s="10"/>
      <x:c r="G705" s="10"/>
      <x:c r="H705" s="10"/>
    </x:row>
    <x:row r="706" ht="14.25" customHeight="1">
      <x:c r="A706" s="10"/>
      <x:c r="B706" s="10"/>
      <x:c r="C706" s="10"/>
      <x:c r="D706" s="10"/>
      <x:c r="E706" s="10"/>
      <x:c r="F706" s="10"/>
      <x:c r="G706" s="10"/>
      <x:c r="H706" s="10"/>
    </x:row>
    <x:row r="707" ht="14.25" customHeight="1">
      <x:c r="A707" s="10"/>
      <x:c r="B707" s="10"/>
      <x:c r="C707" s="10"/>
      <x:c r="D707" s="10"/>
      <x:c r="E707" s="10"/>
      <x:c r="F707" s="10"/>
      <x:c r="G707" s="10"/>
      <x:c r="H707" s="10"/>
    </x:row>
    <x:row r="708" ht="14.25" customHeight="1">
      <x:c r="A708" s="10"/>
      <x:c r="B708" s="10"/>
      <x:c r="C708" s="10"/>
      <x:c r="D708" s="10"/>
      <x:c r="E708" s="10"/>
      <x:c r="F708" s="10"/>
      <x:c r="G708" s="10"/>
      <x:c r="H708" s="10"/>
    </x:row>
    <x:row r="709" ht="14.25" customHeight="1">
      <x:c r="A709" s="10"/>
      <x:c r="B709" s="10"/>
      <x:c r="C709" s="10"/>
      <x:c r="D709" s="10"/>
      <x:c r="E709" s="10"/>
      <x:c r="F709" s="10"/>
      <x:c r="G709" s="10"/>
      <x:c r="H709" s="10"/>
    </x:row>
    <x:row r="710" ht="14.25" customHeight="1">
      <x:c r="A710" s="10"/>
      <x:c r="B710" s="10"/>
      <x:c r="C710" s="10"/>
      <x:c r="D710" s="10"/>
      <x:c r="E710" s="10"/>
      <x:c r="F710" s="10"/>
      <x:c r="G710" s="10"/>
      <x:c r="H710" s="10"/>
    </x:row>
    <x:row r="711" ht="14.25" customHeight="1">
      <x:c r="A711" s="10"/>
      <x:c r="B711" s="10"/>
      <x:c r="C711" s="10"/>
      <x:c r="D711" s="10"/>
      <x:c r="E711" s="10"/>
      <x:c r="F711" s="10"/>
      <x:c r="G711" s="10"/>
      <x:c r="H711" s="10"/>
    </x:row>
    <x:row r="712" ht="14.25" customHeight="1">
      <x:c r="A712" s="10"/>
      <x:c r="B712" s="10"/>
      <x:c r="C712" s="10"/>
      <x:c r="D712" s="10"/>
      <x:c r="E712" s="10"/>
      <x:c r="F712" s="10"/>
      <x:c r="G712" s="10"/>
      <x:c r="H712" s="10"/>
    </x:row>
    <x:row r="713" ht="14.25" customHeight="1">
      <x:c r="A713" s="10"/>
      <x:c r="B713" s="10"/>
      <x:c r="C713" s="10"/>
      <x:c r="D713" s="10"/>
      <x:c r="E713" s="10"/>
      <x:c r="F713" s="10"/>
      <x:c r="G713" s="10"/>
      <x:c r="H713" s="10"/>
    </x:row>
    <x:row r="714" ht="14.25" customHeight="1">
      <x:c r="A714" s="10"/>
      <x:c r="B714" s="10"/>
      <x:c r="C714" s="10"/>
      <x:c r="D714" s="10"/>
      <x:c r="E714" s="10"/>
      <x:c r="F714" s="10"/>
      <x:c r="G714" s="10"/>
      <x:c r="H714" s="10"/>
    </x:row>
    <x:row r="715" ht="14.25" customHeight="1">
      <x:c r="A715" s="10"/>
      <x:c r="B715" s="10"/>
      <x:c r="C715" s="10"/>
      <x:c r="D715" s="10"/>
      <x:c r="E715" s="10"/>
      <x:c r="F715" s="10"/>
      <x:c r="G715" s="10"/>
      <x:c r="H715" s="10"/>
    </x:row>
    <x:row r="716" ht="14.25" customHeight="1">
      <x:c r="A716" s="10"/>
      <x:c r="B716" s="10"/>
      <x:c r="C716" s="10"/>
      <x:c r="D716" s="10"/>
      <x:c r="E716" s="10"/>
      <x:c r="F716" s="10"/>
      <x:c r="G716" s="10"/>
      <x:c r="H716" s="10"/>
    </x:row>
    <x:row r="717" ht="14.25" customHeight="1">
      <x:c r="A717" s="10"/>
      <x:c r="B717" s="10"/>
      <x:c r="C717" s="10"/>
      <x:c r="D717" s="10"/>
      <x:c r="E717" s="10"/>
      <x:c r="F717" s="10"/>
      <x:c r="G717" s="10"/>
      <x:c r="H717" s="10"/>
    </x:row>
    <x:row r="718" ht="14.25" customHeight="1">
      <x:c r="A718" s="10"/>
      <x:c r="B718" s="10"/>
      <x:c r="C718" s="10"/>
      <x:c r="D718" s="10"/>
      <x:c r="E718" s="10"/>
      <x:c r="F718" s="10"/>
      <x:c r="G718" s="10"/>
      <x:c r="H718" s="10"/>
    </x:row>
    <x:row r="719" ht="14.25" customHeight="1">
      <x:c r="A719" s="10"/>
      <x:c r="B719" s="10"/>
      <x:c r="C719" s="10"/>
      <x:c r="D719" s="10"/>
      <x:c r="E719" s="10"/>
      <x:c r="F719" s="10"/>
      <x:c r="G719" s="10"/>
      <x:c r="H719" s="10"/>
    </x:row>
    <x:row r="720" ht="14.25" customHeight="1">
      <x:c r="A720" s="10"/>
      <x:c r="B720" s="10"/>
      <x:c r="C720" s="10"/>
      <x:c r="D720" s="10"/>
      <x:c r="E720" s="10"/>
      <x:c r="F720" s="10"/>
      <x:c r="G720" s="10"/>
      <x:c r="H720" s="10"/>
    </x:row>
    <x:row r="721" ht="14.25" customHeight="1">
      <x:c r="A721" s="10"/>
      <x:c r="B721" s="10"/>
      <x:c r="C721" s="10"/>
      <x:c r="D721" s="10"/>
      <x:c r="E721" s="10"/>
      <x:c r="F721" s="10"/>
      <x:c r="G721" s="10"/>
      <x:c r="H721" s="10"/>
    </x:row>
    <x:row r="722" ht="14.25" customHeight="1">
      <x:c r="A722" s="10"/>
      <x:c r="B722" s="10"/>
      <x:c r="C722" s="10"/>
      <x:c r="D722" s="10"/>
      <x:c r="E722" s="10"/>
      <x:c r="F722" s="10"/>
      <x:c r="G722" s="10"/>
      <x:c r="H722" s="10"/>
    </x:row>
    <x:row r="723" ht="14.25" customHeight="1">
      <x:c r="A723" s="10"/>
      <x:c r="B723" s="10"/>
      <x:c r="C723" s="10"/>
      <x:c r="D723" s="10"/>
      <x:c r="E723" s="10"/>
      <x:c r="F723" s="10"/>
      <x:c r="G723" s="10"/>
      <x:c r="H723" s="10"/>
    </x:row>
    <x:row r="724" ht="14.25" customHeight="1">
      <x:c r="A724" s="10"/>
      <x:c r="B724" s="10"/>
      <x:c r="C724" s="10"/>
      <x:c r="D724" s="10"/>
      <x:c r="E724" s="10"/>
      <x:c r="F724" s="10"/>
      <x:c r="G724" s="10"/>
      <x:c r="H724" s="10"/>
    </x:row>
    <x:row r="725" ht="14.25" customHeight="1">
      <x:c r="A725" s="10"/>
      <x:c r="B725" s="10"/>
      <x:c r="C725" s="10"/>
      <x:c r="D725" s="10"/>
      <x:c r="E725" s="10"/>
      <x:c r="F725" s="10"/>
      <x:c r="G725" s="10"/>
      <x:c r="H725" s="10"/>
    </x:row>
    <x:row r="726" ht="14.25" customHeight="1">
      <x:c r="A726" s="10"/>
      <x:c r="B726" s="10"/>
      <x:c r="C726" s="10"/>
      <x:c r="D726" s="10"/>
      <x:c r="E726" s="10"/>
      <x:c r="F726" s="10"/>
      <x:c r="G726" s="10"/>
      <x:c r="H726" s="10"/>
    </x:row>
    <x:row r="727" ht="14.25" customHeight="1">
      <x:c r="A727" s="10"/>
      <x:c r="B727" s="10"/>
      <x:c r="C727" s="10"/>
      <x:c r="D727" s="10"/>
      <x:c r="E727" s="10"/>
      <x:c r="F727" s="10"/>
      <x:c r="G727" s="10"/>
      <x:c r="H727" s="10"/>
    </x:row>
    <x:row r="728" ht="14.25" customHeight="1">
      <x:c r="A728" s="10"/>
      <x:c r="B728" s="10"/>
      <x:c r="C728" s="10"/>
      <x:c r="D728" s="10"/>
      <x:c r="E728" s="10"/>
      <x:c r="F728" s="10"/>
      <x:c r="G728" s="10"/>
      <x:c r="H728" s="10"/>
    </x:row>
    <x:row r="729" ht="14.25" customHeight="1">
      <x:c r="A729" s="10"/>
      <x:c r="B729" s="10"/>
      <x:c r="C729" s="10"/>
      <x:c r="D729" s="10"/>
      <x:c r="E729" s="10"/>
      <x:c r="F729" s="10"/>
      <x:c r="G729" s="10"/>
      <x:c r="H729" s="10"/>
    </x:row>
    <x:row r="730" ht="14.25" customHeight="1">
      <x:c r="A730" s="10"/>
      <x:c r="B730" s="10"/>
      <x:c r="C730" s="10"/>
      <x:c r="D730" s="10"/>
      <x:c r="E730" s="10"/>
      <x:c r="F730" s="10"/>
      <x:c r="G730" s="10"/>
      <x:c r="H730" s="10"/>
    </x:row>
    <x:row r="731" ht="14.25" customHeight="1">
      <x:c r="A731" s="10"/>
      <x:c r="B731" s="10"/>
      <x:c r="C731" s="10"/>
      <x:c r="D731" s="10"/>
      <x:c r="E731" s="10"/>
      <x:c r="F731" s="10"/>
      <x:c r="G731" s="10"/>
      <x:c r="H731" s="10"/>
    </x:row>
    <x:row r="732" ht="14.25" customHeight="1">
      <x:c r="A732" s="10"/>
      <x:c r="B732" s="10"/>
      <x:c r="C732" s="10"/>
      <x:c r="D732" s="10"/>
      <x:c r="E732" s="10"/>
      <x:c r="F732" s="10"/>
      <x:c r="G732" s="10"/>
      <x:c r="H732" s="10"/>
    </x:row>
    <x:row r="733" ht="14.25" customHeight="1">
      <x:c r="A733" s="10"/>
      <x:c r="B733" s="10"/>
      <x:c r="C733" s="10"/>
      <x:c r="D733" s="10"/>
      <x:c r="E733" s="10"/>
      <x:c r="F733" s="10"/>
      <x:c r="G733" s="10"/>
      <x:c r="H733" s="10"/>
    </x:row>
    <x:row r="734" ht="14.25" customHeight="1">
      <x:c r="A734" s="10"/>
      <x:c r="B734" s="10"/>
      <x:c r="C734" s="10"/>
      <x:c r="D734" s="10"/>
      <x:c r="E734" s="10"/>
      <x:c r="F734" s="10"/>
      <x:c r="G734" s="10"/>
      <x:c r="H734" s="10"/>
    </x:row>
    <x:row r="735" ht="14.25" customHeight="1">
      <x:c r="A735" s="10"/>
      <x:c r="B735" s="10"/>
      <x:c r="C735" s="10"/>
      <x:c r="D735" s="10"/>
      <x:c r="E735" s="10"/>
      <x:c r="F735" s="10"/>
      <x:c r="G735" s="10"/>
      <x:c r="H735" s="10"/>
    </x:row>
    <x:row r="736" ht="14.25" customHeight="1">
      <x:c r="A736" s="10"/>
      <x:c r="B736" s="10"/>
      <x:c r="C736" s="10"/>
      <x:c r="D736" s="10"/>
      <x:c r="E736" s="10"/>
      <x:c r="F736" s="10"/>
      <x:c r="G736" s="10"/>
      <x:c r="H736" s="10"/>
    </x:row>
    <x:row r="737" ht="14.25" customHeight="1">
      <x:c r="A737" s="10"/>
      <x:c r="B737" s="10"/>
      <x:c r="C737" s="10"/>
      <x:c r="D737" s="10"/>
      <x:c r="E737" s="10"/>
      <x:c r="F737" s="10"/>
      <x:c r="G737" s="10"/>
      <x:c r="H737" s="10"/>
    </x:row>
    <x:row r="738" ht="14.25" customHeight="1">
      <x:c r="A738" s="10"/>
      <x:c r="B738" s="10"/>
      <x:c r="C738" s="10"/>
      <x:c r="D738" s="10"/>
      <x:c r="E738" s="10"/>
      <x:c r="F738" s="10"/>
      <x:c r="G738" s="10"/>
      <x:c r="H738" s="10"/>
    </x:row>
    <x:row r="739" ht="14.25" customHeight="1">
      <x:c r="A739" s="10"/>
      <x:c r="B739" s="10"/>
      <x:c r="C739" s="10"/>
      <x:c r="D739" s="10"/>
      <x:c r="E739" s="10"/>
      <x:c r="F739" s="10"/>
      <x:c r="G739" s="10"/>
      <x:c r="H739" s="10"/>
    </x:row>
    <x:row r="740" ht="14.25" customHeight="1">
      <x:c r="A740" s="10"/>
      <x:c r="B740" s="10"/>
      <x:c r="C740" s="10"/>
      <x:c r="D740" s="10"/>
      <x:c r="E740" s="10"/>
      <x:c r="F740" s="10"/>
      <x:c r="G740" s="10"/>
      <x:c r="H740" s="10"/>
    </x:row>
    <x:row r="741" ht="14.25" customHeight="1">
      <x:c r="A741" s="10"/>
      <x:c r="B741" s="10"/>
      <x:c r="C741" s="10"/>
      <x:c r="D741" s="10"/>
      <x:c r="E741" s="10"/>
      <x:c r="F741" s="10"/>
      <x:c r="G741" s="10"/>
      <x:c r="H741" s="10"/>
    </x:row>
    <x:row r="742" ht="14.25" customHeight="1">
      <x:c r="A742" s="10"/>
      <x:c r="B742" s="10"/>
      <x:c r="C742" s="10"/>
      <x:c r="D742" s="10"/>
      <x:c r="E742" s="10"/>
      <x:c r="F742" s="10"/>
      <x:c r="G742" s="10"/>
      <x:c r="H742" s="10"/>
    </x:row>
    <x:row r="743" ht="14.25" customHeight="1">
      <x:c r="A743" s="10"/>
      <x:c r="B743" s="10"/>
      <x:c r="C743" s="10"/>
      <x:c r="D743" s="10"/>
      <x:c r="E743" s="10"/>
      <x:c r="F743" s="10"/>
      <x:c r="G743" s="10"/>
      <x:c r="H743" s="10"/>
    </x:row>
    <x:row r="744" ht="14.25" customHeight="1">
      <x:c r="A744" s="10"/>
      <x:c r="B744" s="10"/>
      <x:c r="C744" s="10"/>
      <x:c r="D744" s="10"/>
      <x:c r="E744" s="10"/>
      <x:c r="F744" s="10"/>
      <x:c r="G744" s="10"/>
      <x:c r="H744" s="10"/>
    </x:row>
    <x:row r="745" ht="14.25" customHeight="1">
      <x:c r="A745" s="10"/>
      <x:c r="B745" s="10"/>
      <x:c r="C745" s="10"/>
      <x:c r="D745" s="10"/>
      <x:c r="E745" s="10"/>
      <x:c r="F745" s="10"/>
      <x:c r="G745" s="10"/>
      <x:c r="H745" s="10"/>
    </x:row>
    <x:row r="746" ht="14.25" customHeight="1">
      <x:c r="A746" s="10"/>
      <x:c r="B746" s="10"/>
      <x:c r="C746" s="10"/>
      <x:c r="D746" s="10"/>
      <x:c r="E746" s="10"/>
      <x:c r="F746" s="10"/>
      <x:c r="G746" s="10"/>
      <x:c r="H746" s="10"/>
    </x:row>
    <x:row r="747" ht="14.25" customHeight="1">
      <x:c r="A747" s="10"/>
      <x:c r="B747" s="10"/>
      <x:c r="C747" s="10"/>
      <x:c r="D747" s="10"/>
      <x:c r="E747" s="10"/>
      <x:c r="F747" s="10"/>
      <x:c r="G747" s="10"/>
      <x:c r="H747" s="10"/>
    </x:row>
    <x:row r="748" ht="14.25" customHeight="1">
      <x:c r="A748" s="10"/>
      <x:c r="B748" s="10"/>
      <x:c r="C748" s="10"/>
      <x:c r="D748" s="10"/>
      <x:c r="E748" s="10"/>
      <x:c r="F748" s="10"/>
      <x:c r="G748" s="10"/>
      <x:c r="H748" s="10"/>
    </x:row>
    <x:row r="749" ht="14.25" customHeight="1">
      <x:c r="A749" s="10"/>
      <x:c r="B749" s="10"/>
      <x:c r="C749" s="10"/>
      <x:c r="D749" s="10"/>
      <x:c r="E749" s="10"/>
      <x:c r="F749" s="10"/>
      <x:c r="G749" s="10"/>
      <x:c r="H749" s="10"/>
    </x:row>
    <x:row r="750" ht="14.25" customHeight="1">
      <x:c r="A750" s="10"/>
      <x:c r="B750" s="10"/>
      <x:c r="C750" s="10"/>
      <x:c r="D750" s="10"/>
      <x:c r="E750" s="10"/>
      <x:c r="F750" s="10"/>
      <x:c r="G750" s="10"/>
      <x:c r="H750" s="10"/>
    </x:row>
    <x:row r="751" ht="14.25" customHeight="1">
      <x:c r="A751" s="10"/>
      <x:c r="B751" s="10"/>
      <x:c r="C751" s="10"/>
      <x:c r="D751" s="10"/>
      <x:c r="E751" s="10"/>
      <x:c r="F751" s="10"/>
      <x:c r="G751" s="10"/>
      <x:c r="H751" s="10"/>
    </x:row>
    <x:row r="752" ht="14.25" customHeight="1">
      <x:c r="A752" s="10"/>
      <x:c r="B752" s="10"/>
      <x:c r="C752" s="10"/>
      <x:c r="D752" s="10"/>
      <x:c r="E752" s="10"/>
      <x:c r="F752" s="10"/>
      <x:c r="G752" s="10"/>
      <x:c r="H752" s="10"/>
    </x:row>
    <x:row r="753" ht="14.25" customHeight="1">
      <x:c r="A753" s="10"/>
      <x:c r="B753" s="10"/>
      <x:c r="C753" s="10"/>
      <x:c r="D753" s="10"/>
      <x:c r="E753" s="10"/>
      <x:c r="F753" s="10"/>
      <x:c r="G753" s="10"/>
      <x:c r="H753" s="10"/>
    </x:row>
    <x:row r="754" ht="14.25" customHeight="1">
      <x:c r="A754" s="10"/>
      <x:c r="B754" s="10"/>
      <x:c r="C754" s="10"/>
      <x:c r="D754" s="10"/>
      <x:c r="E754" s="10"/>
      <x:c r="F754" s="10"/>
      <x:c r="G754" s="10"/>
      <x:c r="H754" s="10"/>
    </x:row>
    <x:row r="755" ht="14.25" customHeight="1">
      <x:c r="A755" s="10"/>
      <x:c r="B755" s="10"/>
      <x:c r="C755" s="10"/>
      <x:c r="D755" s="10"/>
      <x:c r="E755" s="10"/>
      <x:c r="F755" s="10"/>
      <x:c r="G755" s="10"/>
      <x:c r="H755" s="10"/>
    </x:row>
    <x:row r="756" ht="14.25" customHeight="1">
      <x:c r="A756" s="10"/>
      <x:c r="B756" s="10"/>
      <x:c r="C756" s="10"/>
      <x:c r="D756" s="10"/>
      <x:c r="E756" s="10"/>
      <x:c r="F756" s="10"/>
      <x:c r="G756" s="10"/>
      <x:c r="H756" s="10"/>
    </x:row>
    <x:row r="757" ht="14.25" customHeight="1">
      <x:c r="A757" s="10"/>
      <x:c r="B757" s="10"/>
      <x:c r="C757" s="10"/>
      <x:c r="D757" s="10"/>
      <x:c r="E757" s="10"/>
      <x:c r="F757" s="10"/>
      <x:c r="G757" s="10"/>
      <x:c r="H757" s="10"/>
    </x:row>
    <x:row r="758" ht="14.25" customHeight="1">
      <x:c r="A758" s="10"/>
      <x:c r="B758" s="10"/>
      <x:c r="C758" s="10"/>
      <x:c r="D758" s="10"/>
      <x:c r="E758" s="10"/>
      <x:c r="F758" s="10"/>
      <x:c r="G758" s="10"/>
      <x:c r="H758" s="10"/>
    </x:row>
    <x:row r="759" ht="14.25" customHeight="1">
      <x:c r="A759" s="10"/>
      <x:c r="B759" s="10"/>
      <x:c r="C759" s="10"/>
      <x:c r="D759" s="10"/>
      <x:c r="E759" s="10"/>
      <x:c r="F759" s="10"/>
      <x:c r="G759" s="10"/>
      <x:c r="H759" s="10"/>
    </x:row>
    <x:row r="760" ht="14.25" customHeight="1">
      <x:c r="A760" s="10"/>
      <x:c r="B760" s="10"/>
      <x:c r="C760" s="10"/>
      <x:c r="D760" s="10"/>
      <x:c r="E760" s="10"/>
      <x:c r="F760" s="10"/>
      <x:c r="G760" s="10"/>
      <x:c r="H760" s="10"/>
    </x:row>
    <x:row r="761" ht="14.25" customHeight="1">
      <x:c r="A761" s="10"/>
      <x:c r="B761" s="10"/>
      <x:c r="C761" s="10"/>
      <x:c r="D761" s="10"/>
      <x:c r="E761" s="10"/>
      <x:c r="F761" s="10"/>
      <x:c r="G761" s="10"/>
      <x:c r="H761" s="10"/>
    </x:row>
    <x:row r="762" ht="14.25" customHeight="1">
      <x:c r="A762" s="10"/>
      <x:c r="B762" s="10"/>
      <x:c r="C762" s="10"/>
      <x:c r="D762" s="10"/>
      <x:c r="E762" s="10"/>
      <x:c r="F762" s="10"/>
      <x:c r="G762" s="10"/>
      <x:c r="H762" s="10"/>
    </x:row>
    <x:row r="763" ht="14.25" customHeight="1">
      <x:c r="A763" s="10"/>
      <x:c r="B763" s="10"/>
      <x:c r="C763" s="10"/>
      <x:c r="D763" s="10"/>
      <x:c r="E763" s="10"/>
      <x:c r="F763" s="10"/>
      <x:c r="G763" s="10"/>
      <x:c r="H763" s="10"/>
    </x:row>
    <x:row r="764" ht="14.25" customHeight="1">
      <x:c r="A764" s="10"/>
      <x:c r="B764" s="10"/>
      <x:c r="C764" s="10"/>
      <x:c r="D764" s="10"/>
      <x:c r="E764" s="10"/>
      <x:c r="F764" s="10"/>
      <x:c r="G764" s="10"/>
      <x:c r="H764" s="10"/>
    </x:row>
    <x:row r="765" ht="14.25" customHeight="1">
      <x:c r="A765" s="10"/>
      <x:c r="B765" s="10"/>
      <x:c r="C765" s="10"/>
      <x:c r="D765" s="10"/>
      <x:c r="E765" s="10"/>
      <x:c r="F765" s="10"/>
      <x:c r="G765" s="10"/>
      <x:c r="H765" s="10"/>
    </x:row>
    <x:row r="766" ht="14.25" customHeight="1">
      <x:c r="A766" s="10"/>
      <x:c r="B766" s="10"/>
      <x:c r="C766" s="10"/>
      <x:c r="D766" s="10"/>
      <x:c r="E766" s="10"/>
      <x:c r="F766" s="10"/>
      <x:c r="G766" s="10"/>
      <x:c r="H766" s="10"/>
    </x:row>
    <x:row r="767" ht="14.25" customHeight="1">
      <x:c r="A767" s="10"/>
      <x:c r="B767" s="10"/>
      <x:c r="C767" s="10"/>
      <x:c r="D767" s="10"/>
      <x:c r="E767" s="10"/>
      <x:c r="F767" s="10"/>
      <x:c r="G767" s="10"/>
      <x:c r="H767" s="10"/>
    </x:row>
    <x:row r="768" ht="14.25" customHeight="1">
      <x:c r="A768" s="10"/>
      <x:c r="B768" s="10"/>
      <x:c r="C768" s="10"/>
      <x:c r="D768" s="10"/>
      <x:c r="E768" s="10"/>
      <x:c r="F768" s="10"/>
      <x:c r="G768" s="10"/>
      <x:c r="H768" s="10"/>
    </x:row>
    <x:row r="769" ht="14.25" customHeight="1">
      <x:c r="A769" s="10"/>
      <x:c r="B769" s="10"/>
      <x:c r="C769" s="10"/>
      <x:c r="D769" s="10"/>
      <x:c r="E769" s="10"/>
      <x:c r="F769" s="10"/>
      <x:c r="G769" s="10"/>
      <x:c r="H769" s="10"/>
    </x:row>
    <x:row r="770" ht="14.25" customHeight="1">
      <x:c r="A770" s="10"/>
      <x:c r="B770" s="10"/>
      <x:c r="C770" s="10"/>
      <x:c r="D770" s="10"/>
      <x:c r="E770" s="10"/>
      <x:c r="F770" s="10"/>
      <x:c r="G770" s="10"/>
      <x:c r="H770" s="10"/>
    </x:row>
    <x:row r="771" ht="14.25" customHeight="1">
      <x:c r="A771" s="10"/>
      <x:c r="B771" s="10"/>
      <x:c r="C771" s="10"/>
      <x:c r="D771" s="10"/>
      <x:c r="E771" s="10"/>
      <x:c r="F771" s="10"/>
      <x:c r="G771" s="10"/>
      <x:c r="H771" s="10"/>
    </x:row>
    <x:row r="772" ht="14.25" customHeight="1">
      <x:c r="A772" s="10"/>
      <x:c r="B772" s="10"/>
      <x:c r="C772" s="10"/>
      <x:c r="D772" s="10"/>
      <x:c r="E772" s="10"/>
      <x:c r="F772" s="10"/>
      <x:c r="G772" s="10"/>
      <x:c r="H772" s="10"/>
    </x:row>
    <x:row r="773" ht="14.25" customHeight="1">
      <x:c r="A773" s="10"/>
      <x:c r="B773" s="10"/>
      <x:c r="C773" s="10"/>
      <x:c r="D773" s="10"/>
      <x:c r="E773" s="10"/>
      <x:c r="F773" s="10"/>
      <x:c r="G773" s="10"/>
      <x:c r="H773" s="10"/>
    </x:row>
    <x:row r="774" ht="14.25" customHeight="1">
      <x:c r="A774" s="10"/>
      <x:c r="B774" s="10"/>
      <x:c r="C774" s="10"/>
      <x:c r="D774" s="10"/>
      <x:c r="E774" s="10"/>
      <x:c r="F774" s="10"/>
      <x:c r="G774" s="10"/>
      <x:c r="H774" s="10"/>
    </x:row>
    <x:row r="775" ht="14.25" customHeight="1">
      <x:c r="A775" s="10"/>
      <x:c r="B775" s="10"/>
      <x:c r="C775" s="10"/>
      <x:c r="D775" s="10"/>
      <x:c r="E775" s="10"/>
      <x:c r="F775" s="10"/>
      <x:c r="G775" s="10"/>
      <x:c r="H775" s="10"/>
    </x:row>
    <x:row r="776" ht="14.25" customHeight="1">
      <x:c r="A776" s="10"/>
      <x:c r="B776" s="10"/>
      <x:c r="C776" s="10"/>
      <x:c r="D776" s="10"/>
      <x:c r="E776" s="10"/>
      <x:c r="F776" s="10"/>
      <x:c r="G776" s="10"/>
      <x:c r="H776" s="10"/>
    </x:row>
    <x:row r="777" ht="14.25" customHeight="1">
      <x:c r="A777" s="10"/>
      <x:c r="B777" s="10"/>
      <x:c r="C777" s="10"/>
      <x:c r="D777" s="10"/>
      <x:c r="E777" s="10"/>
      <x:c r="F777" s="10"/>
      <x:c r="G777" s="10"/>
      <x:c r="H777" s="10"/>
    </x:row>
    <x:row r="778" ht="14.25" customHeight="1">
      <x:c r="A778" s="10"/>
      <x:c r="B778" s="10"/>
      <x:c r="C778" s="10"/>
      <x:c r="D778" s="10"/>
      <x:c r="E778" s="10"/>
      <x:c r="F778" s="10"/>
      <x:c r="G778" s="10"/>
      <x:c r="H778" s="10"/>
    </x:row>
    <x:row r="779" ht="14.25" customHeight="1">
      <x:c r="A779" s="10"/>
      <x:c r="B779" s="10"/>
      <x:c r="C779" s="10"/>
      <x:c r="D779" s="10"/>
      <x:c r="E779" s="10"/>
      <x:c r="F779" s="10"/>
      <x:c r="G779" s="10"/>
      <x:c r="H779" s="10"/>
    </x:row>
    <x:row r="780" ht="14.25" customHeight="1">
      <x:c r="A780" s="10"/>
      <x:c r="B780" s="10"/>
      <x:c r="C780" s="10"/>
      <x:c r="D780" s="10"/>
      <x:c r="E780" s="10"/>
      <x:c r="F780" s="10"/>
      <x:c r="G780" s="10"/>
      <x:c r="H780" s="10"/>
    </x:row>
    <x:row r="781" ht="14.25" customHeight="1">
      <x:c r="A781" s="10"/>
      <x:c r="B781" s="10"/>
      <x:c r="C781" s="10"/>
      <x:c r="D781" s="10"/>
      <x:c r="E781" s="10"/>
      <x:c r="F781" s="10"/>
      <x:c r="G781" s="10"/>
      <x:c r="H781" s="10"/>
    </x:row>
    <x:row r="782" ht="14.25" customHeight="1">
      <x:c r="A782" s="10"/>
      <x:c r="B782" s="10"/>
      <x:c r="C782" s="10"/>
      <x:c r="D782" s="10"/>
      <x:c r="E782" s="10"/>
      <x:c r="F782" s="10"/>
      <x:c r="G782" s="10"/>
      <x:c r="H782" s="10"/>
    </x:row>
    <x:row r="783" ht="14.25" customHeight="1">
      <x:c r="A783" s="10"/>
      <x:c r="B783" s="10"/>
      <x:c r="C783" s="10"/>
      <x:c r="D783" s="10"/>
      <x:c r="E783" s="10"/>
      <x:c r="F783" s="10"/>
      <x:c r="G783" s="10"/>
      <x:c r="H783" s="10"/>
    </x:row>
    <x:row r="784" ht="14.25" customHeight="1">
      <x:c r="A784" s="10"/>
      <x:c r="B784" s="10"/>
      <x:c r="C784" s="10"/>
      <x:c r="D784" s="10"/>
      <x:c r="E784" s="10"/>
      <x:c r="F784" s="10"/>
      <x:c r="G784" s="10"/>
      <x:c r="H784" s="10"/>
    </x:row>
    <x:row r="785" ht="14.25" customHeight="1">
      <x:c r="A785" s="10"/>
      <x:c r="B785" s="10"/>
      <x:c r="C785" s="10"/>
      <x:c r="D785" s="10"/>
      <x:c r="E785" s="10"/>
      <x:c r="F785" s="10"/>
      <x:c r="G785" s="10"/>
      <x:c r="H785" s="10"/>
    </x:row>
    <x:row r="786" ht="14.25" customHeight="1">
      <x:c r="A786" s="10"/>
      <x:c r="B786" s="10"/>
      <x:c r="C786" s="10"/>
      <x:c r="D786" s="10"/>
      <x:c r="E786" s="10"/>
      <x:c r="F786" s="10"/>
      <x:c r="G786" s="10"/>
      <x:c r="H786" s="10"/>
    </x:row>
    <x:row r="787" ht="14.25" customHeight="1">
      <x:c r="A787" s="10"/>
      <x:c r="B787" s="10"/>
      <x:c r="C787" s="10"/>
      <x:c r="D787" s="10"/>
      <x:c r="E787" s="10"/>
      <x:c r="F787" s="10"/>
      <x:c r="G787" s="10"/>
      <x:c r="H787" s="10"/>
    </x:row>
    <x:row r="788" ht="14.25" customHeight="1">
      <x:c r="A788" s="10"/>
      <x:c r="B788" s="10"/>
      <x:c r="C788" s="10"/>
      <x:c r="D788" s="10"/>
      <x:c r="E788" s="10"/>
      <x:c r="F788" s="10"/>
      <x:c r="G788" s="10"/>
      <x:c r="H788" s="10"/>
    </x:row>
    <x:row r="789" ht="14.25" customHeight="1">
      <x:c r="A789" s="10"/>
      <x:c r="B789" s="10"/>
      <x:c r="C789" s="10"/>
      <x:c r="D789" s="10"/>
      <x:c r="E789" s="10"/>
      <x:c r="F789" s="10"/>
      <x:c r="G789" s="10"/>
      <x:c r="H789" s="10"/>
    </x:row>
    <x:row r="790" ht="14.25" customHeight="1">
      <x:c r="A790" s="10"/>
      <x:c r="B790" s="10"/>
      <x:c r="C790" s="10"/>
      <x:c r="D790" s="10"/>
      <x:c r="E790" s="10"/>
      <x:c r="F790" s="10"/>
      <x:c r="G790" s="10"/>
      <x:c r="H790" s="10"/>
    </x:row>
    <x:row r="791" ht="14.25" customHeight="1">
      <x:c r="A791" s="10"/>
      <x:c r="B791" s="10"/>
      <x:c r="C791" s="10"/>
      <x:c r="D791" s="10"/>
      <x:c r="E791" s="10"/>
      <x:c r="F791" s="10"/>
      <x:c r="G791" s="10"/>
      <x:c r="H791" s="10"/>
    </x:row>
    <x:row r="792" ht="14.25" customHeight="1">
      <x:c r="A792" s="10"/>
      <x:c r="B792" s="10"/>
      <x:c r="C792" s="10"/>
      <x:c r="D792" s="10"/>
      <x:c r="E792" s="10"/>
      <x:c r="F792" s="10"/>
      <x:c r="G792" s="10"/>
      <x:c r="H792" s="10"/>
    </x:row>
    <x:row r="793" ht="14.25" customHeight="1">
      <x:c r="A793" s="10"/>
      <x:c r="B793" s="10"/>
      <x:c r="C793" s="10"/>
      <x:c r="D793" s="10"/>
      <x:c r="E793" s="10"/>
      <x:c r="F793" s="10"/>
      <x:c r="G793" s="10"/>
      <x:c r="H793" s="10"/>
    </x:row>
    <x:row r="794" ht="14.25" customHeight="1">
      <x:c r="A794" s="10"/>
      <x:c r="B794" s="10"/>
      <x:c r="C794" s="10"/>
      <x:c r="D794" s="10"/>
      <x:c r="E794" s="10"/>
      <x:c r="F794" s="10"/>
      <x:c r="G794" s="10"/>
      <x:c r="H794" s="10"/>
    </x:row>
    <x:row r="795" ht="14.25" customHeight="1">
      <x:c r="A795" s="10"/>
      <x:c r="B795" s="10"/>
      <x:c r="C795" s="10"/>
      <x:c r="D795" s="10"/>
      <x:c r="E795" s="10"/>
      <x:c r="F795" s="10"/>
      <x:c r="G795" s="10"/>
      <x:c r="H795" s="10"/>
    </x:row>
    <x:row r="796" ht="14.25" customHeight="1">
      <x:c r="A796" s="10"/>
      <x:c r="B796" s="10"/>
      <x:c r="C796" s="10"/>
      <x:c r="D796" s="10"/>
      <x:c r="E796" s="10"/>
      <x:c r="F796" s="10"/>
      <x:c r="G796" s="10"/>
      <x:c r="H796" s="10"/>
    </x:row>
    <x:row r="797" ht="14.25" customHeight="1">
      <x:c r="A797" s="10"/>
      <x:c r="B797" s="10"/>
      <x:c r="C797" s="10"/>
      <x:c r="D797" s="10"/>
      <x:c r="E797" s="10"/>
      <x:c r="F797" s="10"/>
      <x:c r="G797" s="10"/>
      <x:c r="H797" s="10"/>
    </x:row>
    <x:row r="798" ht="14.25" customHeight="1">
      <x:c r="A798" s="10"/>
      <x:c r="B798" s="10"/>
      <x:c r="C798" s="10"/>
      <x:c r="D798" s="10"/>
      <x:c r="E798" s="10"/>
      <x:c r="F798" s="10"/>
      <x:c r="G798" s="10"/>
      <x:c r="H798" s="10"/>
    </x:row>
    <x:row r="799" ht="14.25" customHeight="1">
      <x:c r="A799" s="10"/>
      <x:c r="B799" s="10"/>
      <x:c r="C799" s="10"/>
      <x:c r="D799" s="10"/>
      <x:c r="E799" s="10"/>
      <x:c r="F799" s="10"/>
      <x:c r="G799" s="10"/>
      <x:c r="H799" s="10"/>
    </x:row>
    <x:row r="800" ht="14.25" customHeight="1">
      <x:c r="A800" s="10"/>
      <x:c r="B800" s="10"/>
      <x:c r="C800" s="10"/>
      <x:c r="D800" s="10"/>
      <x:c r="E800" s="10"/>
      <x:c r="F800" s="10"/>
      <x:c r="G800" s="10"/>
      <x:c r="H800" s="10"/>
    </x:row>
    <x:row r="801" ht="14.25" customHeight="1">
      <x:c r="A801" s="10"/>
      <x:c r="B801" s="10"/>
      <x:c r="C801" s="10"/>
      <x:c r="D801" s="10"/>
      <x:c r="E801" s="10"/>
      <x:c r="F801" s="10"/>
      <x:c r="G801" s="10"/>
      <x:c r="H801" s="10"/>
    </x:row>
    <x:row r="802" ht="14.25" customHeight="1">
      <x:c r="A802" s="10"/>
      <x:c r="B802" s="10"/>
      <x:c r="C802" s="10"/>
      <x:c r="D802" s="10"/>
      <x:c r="E802" s="10"/>
      <x:c r="F802" s="10"/>
      <x:c r="G802" s="10"/>
      <x:c r="H802" s="10"/>
    </x:row>
    <x:row r="803" ht="14.25" customHeight="1">
      <x:c r="A803" s="10"/>
      <x:c r="B803" s="10"/>
      <x:c r="C803" s="10"/>
      <x:c r="D803" s="10"/>
      <x:c r="E803" s="10"/>
      <x:c r="F803" s="10"/>
      <x:c r="G803" s="10"/>
      <x:c r="H803" s="10"/>
    </x:row>
    <x:row r="804" ht="14.25" customHeight="1">
      <x:c r="A804" s="10"/>
      <x:c r="B804" s="10"/>
      <x:c r="C804" s="10"/>
      <x:c r="D804" s="10"/>
      <x:c r="E804" s="10"/>
      <x:c r="F804" s="10"/>
      <x:c r="G804" s="10"/>
      <x:c r="H804" s="10"/>
    </x:row>
    <x:row r="805" ht="14.25" customHeight="1">
      <x:c r="A805" s="10"/>
      <x:c r="B805" s="10"/>
      <x:c r="C805" s="10"/>
      <x:c r="D805" s="10"/>
      <x:c r="E805" s="10"/>
      <x:c r="F805" s="10"/>
      <x:c r="G805" s="10"/>
      <x:c r="H805" s="10"/>
    </x:row>
    <x:row r="806" ht="14.25" customHeight="1">
      <x:c r="A806" s="10"/>
      <x:c r="B806" s="10"/>
      <x:c r="C806" s="10"/>
      <x:c r="D806" s="10"/>
      <x:c r="E806" s="10"/>
      <x:c r="F806" s="10"/>
      <x:c r="G806" s="10"/>
      <x:c r="H806" s="10"/>
    </x:row>
    <x:row r="807" ht="14.25" customHeight="1">
      <x:c r="A807" s="10"/>
      <x:c r="B807" s="10"/>
      <x:c r="C807" s="10"/>
      <x:c r="D807" s="10"/>
      <x:c r="E807" s="10"/>
      <x:c r="F807" s="10"/>
      <x:c r="G807" s="10"/>
      <x:c r="H807" s="10"/>
    </x:row>
    <x:row r="808" ht="14.25" customHeight="1">
      <x:c r="A808" s="10"/>
      <x:c r="B808" s="10"/>
      <x:c r="C808" s="10"/>
      <x:c r="D808" s="10"/>
      <x:c r="E808" s="10"/>
      <x:c r="F808" s="10"/>
      <x:c r="G808" s="10"/>
      <x:c r="H808" s="10"/>
    </x:row>
    <x:row r="809" ht="14.25" customHeight="1">
      <x:c r="A809" s="10"/>
      <x:c r="B809" s="10"/>
      <x:c r="C809" s="10"/>
      <x:c r="D809" s="10"/>
      <x:c r="E809" s="10"/>
      <x:c r="F809" s="10"/>
      <x:c r="G809" s="10"/>
      <x:c r="H809" s="10"/>
    </x:row>
    <x:row r="810" ht="14.25" customHeight="1">
      <x:c r="A810" s="10"/>
      <x:c r="B810" s="10"/>
      <x:c r="C810" s="10"/>
      <x:c r="D810" s="10"/>
      <x:c r="E810" s="10"/>
      <x:c r="F810" s="10"/>
      <x:c r="G810" s="10"/>
      <x:c r="H810" s="10"/>
    </x:row>
    <x:row r="811" ht="14.25" customHeight="1">
      <x:c r="A811" s="10"/>
      <x:c r="B811" s="10"/>
      <x:c r="C811" s="10"/>
      <x:c r="D811" s="10"/>
      <x:c r="E811" s="10"/>
      <x:c r="F811" s="10"/>
      <x:c r="G811" s="10"/>
      <x:c r="H811" s="10"/>
    </x:row>
    <x:row r="812" ht="14.25" customHeight="1">
      <x:c r="A812" s="10"/>
      <x:c r="B812" s="10"/>
      <x:c r="C812" s="10"/>
      <x:c r="D812" s="10"/>
      <x:c r="E812" s="10"/>
      <x:c r="F812" s="10"/>
      <x:c r="G812" s="10"/>
      <x:c r="H812" s="10"/>
    </x:row>
    <x:row r="813" ht="14.25" customHeight="1">
      <x:c r="A813" s="10"/>
      <x:c r="B813" s="10"/>
      <x:c r="C813" s="10"/>
      <x:c r="D813" s="10"/>
      <x:c r="E813" s="10"/>
      <x:c r="F813" s="10"/>
      <x:c r="G813" s="10"/>
      <x:c r="H813" s="10"/>
    </x:row>
    <x:row r="814" ht="14.25" customHeight="1">
      <x:c r="A814" s="10"/>
      <x:c r="B814" s="10"/>
      <x:c r="C814" s="10"/>
      <x:c r="D814" s="10"/>
      <x:c r="E814" s="10"/>
      <x:c r="F814" s="10"/>
      <x:c r="G814" s="10"/>
      <x:c r="H814" s="10"/>
    </x:row>
    <x:row r="815" ht="14.25" customHeight="1">
      <x:c r="A815" s="10"/>
      <x:c r="B815" s="10"/>
      <x:c r="C815" s="10"/>
      <x:c r="D815" s="10"/>
      <x:c r="E815" s="10"/>
      <x:c r="F815" s="10"/>
      <x:c r="G815" s="10"/>
      <x:c r="H815" s="10"/>
    </x:row>
    <x:row r="816" ht="14.25" customHeight="1">
      <x:c r="A816" s="10"/>
      <x:c r="B816" s="10"/>
      <x:c r="C816" s="10"/>
      <x:c r="D816" s="10"/>
      <x:c r="E816" s="10"/>
      <x:c r="F816" s="10"/>
      <x:c r="G816" s="10"/>
      <x:c r="H816" s="10"/>
    </x:row>
    <x:row r="817" ht="14.25" customHeight="1">
      <x:c r="A817" s="10"/>
      <x:c r="B817" s="10"/>
      <x:c r="C817" s="10"/>
      <x:c r="D817" s="10"/>
      <x:c r="E817" s="10"/>
      <x:c r="F817" s="10"/>
      <x:c r="G817" s="10"/>
      <x:c r="H817" s="10"/>
    </x:row>
    <x:row r="818" ht="14.25" customHeight="1">
      <x:c r="A818" s="10"/>
      <x:c r="B818" s="10"/>
      <x:c r="C818" s="10"/>
      <x:c r="D818" s="10"/>
      <x:c r="E818" s="10"/>
      <x:c r="F818" s="10"/>
      <x:c r="G818" s="10"/>
      <x:c r="H818" s="10"/>
    </x:row>
    <x:row r="819" ht="14.25" customHeight="1">
      <x:c r="A819" s="10"/>
      <x:c r="B819" s="10"/>
      <x:c r="C819" s="10"/>
      <x:c r="D819" s="10"/>
      <x:c r="E819" s="10"/>
      <x:c r="F819" s="10"/>
      <x:c r="G819" s="10"/>
      <x:c r="H819" s="10"/>
    </x:row>
    <x:row r="820" ht="14.25" customHeight="1">
      <x:c r="A820" s="10"/>
      <x:c r="B820" s="10"/>
      <x:c r="C820" s="10"/>
      <x:c r="D820" s="10"/>
      <x:c r="E820" s="10"/>
      <x:c r="F820" s="10"/>
      <x:c r="G820" s="10"/>
      <x:c r="H820" s="10"/>
    </x:row>
    <x:row r="821" ht="14.25" customHeight="1">
      <x:c r="A821" s="10"/>
      <x:c r="B821" s="10"/>
      <x:c r="C821" s="10"/>
      <x:c r="D821" s="10"/>
      <x:c r="E821" s="10"/>
      <x:c r="F821" s="10"/>
      <x:c r="G821" s="10"/>
      <x:c r="H821" s="10"/>
    </x:row>
    <x:row r="822" ht="14.25" customHeight="1">
      <x:c r="A822" s="10"/>
      <x:c r="B822" s="10"/>
      <x:c r="C822" s="10"/>
      <x:c r="D822" s="10"/>
      <x:c r="E822" s="10"/>
      <x:c r="F822" s="10"/>
      <x:c r="G822" s="10"/>
      <x:c r="H822" s="10"/>
    </x:row>
    <x:row r="823" ht="14.25" customHeight="1">
      <x:c r="A823" s="10"/>
      <x:c r="B823" s="10"/>
      <x:c r="C823" s="10"/>
      <x:c r="D823" s="10"/>
      <x:c r="E823" s="10"/>
      <x:c r="F823" s="10"/>
      <x:c r="G823" s="10"/>
      <x:c r="H823" s="10"/>
    </x:row>
    <x:row r="824" ht="14.25" customHeight="1">
      <x:c r="A824" s="10"/>
      <x:c r="B824" s="10"/>
      <x:c r="C824" s="10"/>
      <x:c r="D824" s="10"/>
      <x:c r="E824" s="10"/>
      <x:c r="F824" s="10"/>
      <x:c r="G824" s="10"/>
      <x:c r="H824" s="10"/>
    </x:row>
    <x:row r="825" ht="14.25" customHeight="1">
      <x:c r="A825" s="10"/>
      <x:c r="B825" s="10"/>
      <x:c r="C825" s="10"/>
      <x:c r="D825" s="10"/>
      <x:c r="E825" s="10"/>
      <x:c r="F825" s="10"/>
      <x:c r="G825" s="10"/>
      <x:c r="H825" s="10"/>
    </x:row>
    <x:row r="826" ht="14.25" customHeight="1">
      <x:c r="A826" s="10"/>
      <x:c r="B826" s="10"/>
      <x:c r="C826" s="10"/>
      <x:c r="D826" s="10"/>
      <x:c r="E826" s="10"/>
      <x:c r="F826" s="10"/>
      <x:c r="G826" s="10"/>
      <x:c r="H826" s="10"/>
    </x:row>
    <x:row r="827" ht="14.25" customHeight="1">
      <x:c r="A827" s="10"/>
      <x:c r="B827" s="10"/>
      <x:c r="C827" s="10"/>
      <x:c r="D827" s="10"/>
      <x:c r="E827" s="10"/>
      <x:c r="F827" s="10"/>
      <x:c r="G827" s="10"/>
      <x:c r="H827" s="10"/>
    </x:row>
    <x:row r="828" ht="14.25" customHeight="1">
      <x:c r="A828" s="10"/>
      <x:c r="B828" s="10"/>
      <x:c r="C828" s="10"/>
      <x:c r="D828" s="10"/>
      <x:c r="E828" s="10"/>
      <x:c r="F828" s="10"/>
      <x:c r="G828" s="10"/>
      <x:c r="H828" s="10"/>
    </x:row>
    <x:row r="829" ht="14.25" customHeight="1">
      <x:c r="A829" s="10"/>
      <x:c r="B829" s="10"/>
      <x:c r="C829" s="10"/>
      <x:c r="D829" s="10"/>
      <x:c r="E829" s="10"/>
      <x:c r="F829" s="10"/>
      <x:c r="G829" s="10"/>
      <x:c r="H829" s="10"/>
    </x:row>
    <x:row r="830" ht="14.25" customHeight="1">
      <x:c r="A830" s="10"/>
      <x:c r="B830" s="10"/>
      <x:c r="C830" s="10"/>
      <x:c r="D830" s="10"/>
      <x:c r="E830" s="10"/>
      <x:c r="F830" s="10"/>
      <x:c r="G830" s="10"/>
      <x:c r="H830" s="10"/>
    </x:row>
    <x:row r="831" ht="14.25" customHeight="1">
      <x:c r="A831" s="10"/>
      <x:c r="B831" s="10"/>
      <x:c r="C831" s="10"/>
      <x:c r="D831" s="10"/>
      <x:c r="E831" s="10"/>
      <x:c r="F831" s="10"/>
      <x:c r="G831" s="10"/>
      <x:c r="H831" s="10"/>
    </x:row>
    <x:row r="832" ht="14.25" customHeight="1">
      <x:c r="A832" s="10"/>
      <x:c r="B832" s="10"/>
      <x:c r="C832" s="10"/>
      <x:c r="D832" s="10"/>
      <x:c r="E832" s="10"/>
      <x:c r="F832" s="10"/>
      <x:c r="G832" s="10"/>
      <x:c r="H832" s="10"/>
    </x:row>
    <x:row r="833" ht="14.25" customHeight="1">
      <x:c r="A833" s="10"/>
      <x:c r="B833" s="10"/>
      <x:c r="C833" s="10"/>
      <x:c r="D833" s="10"/>
      <x:c r="E833" s="10"/>
      <x:c r="F833" s="10"/>
      <x:c r="G833" s="10"/>
      <x:c r="H833" s="10"/>
    </x:row>
    <x:row r="834" ht="14.25" customHeight="1">
      <x:c r="A834" s="10"/>
      <x:c r="B834" s="10"/>
      <x:c r="C834" s="10"/>
      <x:c r="D834" s="10"/>
      <x:c r="E834" s="10"/>
      <x:c r="F834" s="10"/>
      <x:c r="G834" s="10"/>
      <x:c r="H834" s="10"/>
    </x:row>
    <x:row r="835" ht="14.25" customHeight="1">
      <x:c r="A835" s="10"/>
      <x:c r="B835" s="10"/>
      <x:c r="C835" s="10"/>
      <x:c r="D835" s="10"/>
      <x:c r="E835" s="10"/>
      <x:c r="F835" s="10"/>
      <x:c r="G835" s="10"/>
      <x:c r="H835" s="10"/>
    </x:row>
    <x:row r="836" ht="14.25" customHeight="1">
      <x:c r="A836" s="10"/>
      <x:c r="B836" s="10"/>
      <x:c r="C836" s="10"/>
      <x:c r="D836" s="10"/>
      <x:c r="E836" s="10"/>
      <x:c r="F836" s="10"/>
      <x:c r="G836" s="10"/>
      <x:c r="H836" s="10"/>
    </x:row>
    <x:row r="837" ht="14.25" customHeight="1">
      <x:c r="A837" s="10"/>
      <x:c r="B837" s="10"/>
      <x:c r="C837" s="10"/>
      <x:c r="D837" s="10"/>
      <x:c r="E837" s="10"/>
      <x:c r="F837" s="10"/>
      <x:c r="G837" s="10"/>
      <x:c r="H837" s="10"/>
    </x:row>
    <x:row r="838" ht="14.25" customHeight="1">
      <x:c r="A838" s="10"/>
      <x:c r="B838" s="10"/>
      <x:c r="C838" s="10"/>
      <x:c r="D838" s="10"/>
      <x:c r="E838" s="10"/>
      <x:c r="F838" s="10"/>
      <x:c r="G838" s="10"/>
      <x:c r="H838" s="10"/>
    </x:row>
    <x:row r="839" ht="14.25" customHeight="1">
      <x:c r="A839" s="10"/>
      <x:c r="B839" s="10"/>
      <x:c r="C839" s="10"/>
      <x:c r="D839" s="10"/>
      <x:c r="E839" s="10"/>
      <x:c r="F839" s="10"/>
      <x:c r="G839" s="10"/>
      <x:c r="H839" s="10"/>
    </x:row>
    <x:row r="840" ht="14.25" customHeight="1">
      <x:c r="A840" s="10"/>
      <x:c r="B840" s="10"/>
      <x:c r="C840" s="10"/>
      <x:c r="D840" s="10"/>
      <x:c r="E840" s="10"/>
      <x:c r="F840" s="10"/>
      <x:c r="G840" s="10"/>
      <x:c r="H840" s="10"/>
    </x:row>
    <x:row r="841" ht="14.25" customHeight="1">
      <x:c r="A841" s="10"/>
      <x:c r="B841" s="10"/>
      <x:c r="C841" s="10"/>
      <x:c r="D841" s="10"/>
      <x:c r="E841" s="10"/>
      <x:c r="F841" s="10"/>
      <x:c r="G841" s="10"/>
      <x:c r="H841" s="10"/>
    </x:row>
    <x:row r="842" ht="14.25" customHeight="1">
      <x:c r="A842" s="10"/>
      <x:c r="B842" s="10"/>
      <x:c r="C842" s="10"/>
      <x:c r="D842" s="10"/>
      <x:c r="E842" s="10"/>
      <x:c r="F842" s="10"/>
      <x:c r="G842" s="10"/>
      <x:c r="H842" s="10"/>
    </x:row>
    <x:row r="843" ht="14.25" customHeight="1">
      <x:c r="A843" s="10"/>
      <x:c r="B843" s="10"/>
      <x:c r="C843" s="10"/>
      <x:c r="D843" s="10"/>
      <x:c r="E843" s="10"/>
      <x:c r="F843" s="10"/>
      <x:c r="G843" s="10"/>
      <x:c r="H843" s="10"/>
    </x:row>
    <x:row r="844" ht="14.25" customHeight="1">
      <x:c r="A844" s="10"/>
      <x:c r="B844" s="10"/>
      <x:c r="C844" s="10"/>
      <x:c r="D844" s="10"/>
      <x:c r="E844" s="10"/>
      <x:c r="F844" s="10"/>
      <x:c r="G844" s="10"/>
      <x:c r="H844" s="10"/>
    </x:row>
    <x:row r="845" ht="14.25" customHeight="1">
      <x:c r="A845" s="10"/>
      <x:c r="B845" s="10"/>
      <x:c r="C845" s="10"/>
      <x:c r="D845" s="10"/>
      <x:c r="E845" s="10"/>
      <x:c r="F845" s="10"/>
      <x:c r="G845" s="10"/>
      <x:c r="H845" s="10"/>
    </x:row>
    <x:row r="846" ht="14.25" customHeight="1">
      <x:c r="A846" s="10"/>
      <x:c r="B846" s="10"/>
      <x:c r="C846" s="10"/>
      <x:c r="D846" s="10"/>
      <x:c r="E846" s="10"/>
      <x:c r="F846" s="10"/>
      <x:c r="G846" s="10"/>
      <x:c r="H846" s="10"/>
    </x:row>
    <x:row r="847" ht="14.25" customHeight="1">
      <x:c r="A847" s="10"/>
      <x:c r="B847" s="10"/>
      <x:c r="C847" s="10"/>
      <x:c r="D847" s="10"/>
      <x:c r="E847" s="10"/>
      <x:c r="F847" s="10"/>
      <x:c r="G847" s="10"/>
      <x:c r="H847" s="10"/>
    </x:row>
    <x:row r="848" ht="14.25" customHeight="1">
      <x:c r="A848" s="10"/>
      <x:c r="B848" s="10"/>
      <x:c r="C848" s="10"/>
      <x:c r="D848" s="10"/>
      <x:c r="E848" s="10"/>
      <x:c r="F848" s="10"/>
      <x:c r="G848" s="10"/>
      <x:c r="H848" s="10"/>
    </x:row>
    <x:row r="849" ht="14.25" customHeight="1">
      <x:c r="A849" s="10"/>
      <x:c r="B849" s="10"/>
      <x:c r="C849" s="10"/>
      <x:c r="D849" s="10"/>
      <x:c r="E849" s="10"/>
      <x:c r="F849" s="10"/>
      <x:c r="G849" s="10"/>
      <x:c r="H849" s="10"/>
    </x:row>
    <x:row r="850" ht="14.25" customHeight="1">
      <x:c r="A850" s="10"/>
      <x:c r="B850" s="10"/>
      <x:c r="C850" s="10"/>
      <x:c r="D850" s="10"/>
      <x:c r="E850" s="10"/>
      <x:c r="F850" s="10"/>
      <x:c r="G850" s="10"/>
      <x:c r="H850" s="10"/>
    </x:row>
    <x:row r="851" ht="14.25" customHeight="1">
      <x:c r="A851" s="10"/>
      <x:c r="B851" s="10"/>
      <x:c r="C851" s="10"/>
      <x:c r="D851" s="10"/>
      <x:c r="E851" s="10"/>
      <x:c r="F851" s="10"/>
      <x:c r="G851" s="10"/>
      <x:c r="H851" s="10"/>
    </x:row>
    <x:row r="852" ht="14.25" customHeight="1">
      <x:c r="A852" s="10"/>
      <x:c r="B852" s="10"/>
      <x:c r="C852" s="10"/>
      <x:c r="D852" s="10"/>
      <x:c r="E852" s="10"/>
      <x:c r="F852" s="10"/>
      <x:c r="G852" s="10"/>
      <x:c r="H852" s="10"/>
    </x:row>
    <x:row r="853" ht="14.25" customHeight="1">
      <x:c r="A853" s="10"/>
      <x:c r="B853" s="10"/>
      <x:c r="C853" s="10"/>
      <x:c r="D853" s="10"/>
      <x:c r="E853" s="10"/>
      <x:c r="F853" s="10"/>
      <x:c r="G853" s="10"/>
      <x:c r="H853" s="10"/>
    </x:row>
    <x:row r="854" ht="14.25" customHeight="1">
      <x:c r="A854" s="10"/>
      <x:c r="B854" s="10"/>
      <x:c r="C854" s="10"/>
      <x:c r="D854" s="10"/>
      <x:c r="E854" s="10"/>
      <x:c r="F854" s="10"/>
      <x:c r="G854" s="10"/>
      <x:c r="H854" s="10"/>
    </x:row>
    <x:row r="855" ht="14.25" customHeight="1">
      <x:c r="A855" s="10"/>
      <x:c r="B855" s="10"/>
      <x:c r="C855" s="10"/>
      <x:c r="D855" s="10"/>
      <x:c r="E855" s="10"/>
      <x:c r="F855" s="10"/>
      <x:c r="G855" s="10"/>
      <x:c r="H855" s="10"/>
    </x:row>
    <x:row r="856" ht="14.25" customHeight="1">
      <x:c r="A856" s="10"/>
      <x:c r="B856" s="10"/>
      <x:c r="C856" s="10"/>
      <x:c r="D856" s="10"/>
      <x:c r="E856" s="10"/>
      <x:c r="F856" s="10"/>
      <x:c r="G856" s="10"/>
      <x:c r="H856" s="10"/>
    </x:row>
    <x:row r="857" ht="14.25" customHeight="1">
      <x:c r="A857" s="10"/>
      <x:c r="B857" s="10"/>
      <x:c r="C857" s="10"/>
      <x:c r="D857" s="10"/>
      <x:c r="E857" s="10"/>
      <x:c r="F857" s="10"/>
      <x:c r="G857" s="10"/>
      <x:c r="H857" s="10"/>
    </x:row>
    <x:row r="858" ht="14.25" customHeight="1">
      <x:c r="A858" s="10"/>
      <x:c r="B858" s="10"/>
      <x:c r="C858" s="10"/>
      <x:c r="D858" s="10"/>
      <x:c r="E858" s="10"/>
      <x:c r="F858" s="10"/>
      <x:c r="G858" s="10"/>
      <x:c r="H858" s="10"/>
    </x:row>
    <x:row r="859" ht="14.25" customHeight="1">
      <x:c r="A859" s="10"/>
      <x:c r="B859" s="10"/>
      <x:c r="C859" s="10"/>
      <x:c r="D859" s="10"/>
      <x:c r="E859" s="10"/>
      <x:c r="F859" s="10"/>
      <x:c r="G859" s="10"/>
      <x:c r="H859" s="10"/>
    </x:row>
    <x:row r="860" ht="14.25" customHeight="1">
      <x:c r="A860" s="10"/>
      <x:c r="B860" s="10"/>
      <x:c r="C860" s="10"/>
      <x:c r="D860" s="10"/>
      <x:c r="E860" s="10"/>
      <x:c r="F860" s="10"/>
      <x:c r="G860" s="10"/>
      <x:c r="H860" s="10"/>
    </x:row>
    <x:row r="861" ht="14.25" customHeight="1">
      <x:c r="A861" s="10"/>
      <x:c r="B861" s="10"/>
      <x:c r="C861" s="10"/>
      <x:c r="D861" s="10"/>
      <x:c r="E861" s="10"/>
      <x:c r="F861" s="10"/>
      <x:c r="G861" s="10"/>
      <x:c r="H861" s="10"/>
    </x:row>
    <x:row r="862" ht="14.25" customHeight="1">
      <x:c r="A862" s="10"/>
      <x:c r="B862" s="10"/>
      <x:c r="C862" s="10"/>
      <x:c r="D862" s="10"/>
      <x:c r="E862" s="10"/>
      <x:c r="F862" s="10"/>
      <x:c r="G862" s="10"/>
      <x:c r="H862" s="10"/>
    </x:row>
    <x:row r="863" ht="14.25" customHeight="1">
      <x:c r="A863" s="10"/>
      <x:c r="B863" s="10"/>
      <x:c r="C863" s="10"/>
      <x:c r="D863" s="10"/>
      <x:c r="E863" s="10"/>
      <x:c r="F863" s="10"/>
      <x:c r="G863" s="10"/>
      <x:c r="H863" s="10"/>
    </x:row>
    <x:row r="864" ht="14.25" customHeight="1">
      <x:c r="A864" s="10"/>
      <x:c r="B864" s="10"/>
      <x:c r="C864" s="10"/>
      <x:c r="D864" s="10"/>
      <x:c r="E864" s="10"/>
      <x:c r="F864" s="10"/>
      <x:c r="G864" s="10"/>
      <x:c r="H864" s="10"/>
    </x:row>
    <x:row r="865" ht="14.25" customHeight="1">
      <x:c r="A865" s="10"/>
      <x:c r="B865" s="10"/>
      <x:c r="C865" s="10"/>
      <x:c r="D865" s="10"/>
      <x:c r="E865" s="10"/>
      <x:c r="F865" s="10"/>
      <x:c r="G865" s="10"/>
      <x:c r="H865" s="10"/>
    </x:row>
    <x:row r="866" ht="14.25" customHeight="1">
      <x:c r="A866" s="10"/>
      <x:c r="B866" s="10"/>
      <x:c r="C866" s="10"/>
      <x:c r="D866" s="10"/>
      <x:c r="E866" s="10"/>
      <x:c r="F866" s="10"/>
      <x:c r="G866" s="10"/>
      <x:c r="H866" s="10"/>
    </x:row>
    <x:row r="867" ht="14.25" customHeight="1">
      <x:c r="A867" s="10"/>
      <x:c r="B867" s="10"/>
      <x:c r="C867" s="10"/>
      <x:c r="D867" s="10"/>
      <x:c r="E867" s="10"/>
      <x:c r="F867" s="10"/>
      <x:c r="G867" s="10"/>
      <x:c r="H867" s="10"/>
    </x:row>
    <x:row r="868" ht="14.25" customHeight="1">
      <x:c r="A868" s="10"/>
      <x:c r="B868" s="10"/>
      <x:c r="C868" s="10"/>
      <x:c r="D868" s="10"/>
      <x:c r="E868" s="10"/>
      <x:c r="F868" s="10"/>
      <x:c r="G868" s="10"/>
      <x:c r="H868" s="10"/>
    </x:row>
    <x:row r="869" ht="14.25" customHeight="1">
      <x:c r="A869" s="10"/>
      <x:c r="B869" s="10"/>
      <x:c r="C869" s="10"/>
      <x:c r="D869" s="10"/>
      <x:c r="E869" s="10"/>
      <x:c r="F869" s="10"/>
      <x:c r="G869" s="10"/>
      <x:c r="H869" s="10"/>
    </x:row>
    <x:row r="870" ht="14.25" customHeight="1">
      <x:c r="A870" s="10"/>
      <x:c r="B870" s="10"/>
      <x:c r="C870" s="10"/>
      <x:c r="D870" s="10"/>
      <x:c r="E870" s="10"/>
      <x:c r="F870" s="10"/>
      <x:c r="G870" s="10"/>
      <x:c r="H870" s="10"/>
    </x:row>
    <x:row r="871" ht="14.25" customHeight="1">
      <x:c r="A871" s="10"/>
      <x:c r="B871" s="10"/>
      <x:c r="C871" s="10"/>
      <x:c r="D871" s="10"/>
      <x:c r="E871" s="10"/>
      <x:c r="F871" s="10"/>
      <x:c r="G871" s="10"/>
      <x:c r="H871" s="10"/>
    </x:row>
    <x:row r="872" ht="14.25" customHeight="1">
      <x:c r="A872" s="10"/>
      <x:c r="B872" s="10"/>
      <x:c r="C872" s="10"/>
      <x:c r="D872" s="10"/>
      <x:c r="E872" s="10"/>
      <x:c r="F872" s="10"/>
      <x:c r="G872" s="10"/>
      <x:c r="H872" s="10"/>
    </x:row>
    <x:row r="873" ht="14.25" customHeight="1">
      <x:c r="A873" s="10"/>
      <x:c r="B873" s="10"/>
      <x:c r="C873" s="10"/>
      <x:c r="D873" s="10"/>
      <x:c r="E873" s="10"/>
      <x:c r="F873" s="10"/>
      <x:c r="G873" s="10"/>
      <x:c r="H873" s="10"/>
    </x:row>
    <x:row r="874" ht="14.25" customHeight="1">
      <x:c r="A874" s="10"/>
      <x:c r="B874" s="10"/>
      <x:c r="C874" s="10"/>
      <x:c r="D874" s="10"/>
      <x:c r="E874" s="10"/>
      <x:c r="F874" s="10"/>
      <x:c r="G874" s="10"/>
      <x:c r="H874" s="10"/>
    </x:row>
    <x:row r="875" ht="14.25" customHeight="1">
      <x:c r="A875" s="10"/>
      <x:c r="B875" s="10"/>
      <x:c r="C875" s="10"/>
      <x:c r="D875" s="10"/>
      <x:c r="E875" s="10"/>
      <x:c r="F875" s="10"/>
      <x:c r="G875" s="10"/>
      <x:c r="H875" s="10"/>
    </x:row>
    <x:row r="876" ht="14.25" customHeight="1">
      <x:c r="A876" s="10"/>
      <x:c r="B876" s="10"/>
      <x:c r="C876" s="10"/>
      <x:c r="D876" s="10"/>
      <x:c r="E876" s="10"/>
      <x:c r="F876" s="10"/>
      <x:c r="G876" s="10"/>
      <x:c r="H876" s="10"/>
    </x:row>
    <x:row r="877" ht="14.25" customHeight="1">
      <x:c r="A877" s="10"/>
      <x:c r="B877" s="10"/>
      <x:c r="C877" s="10"/>
      <x:c r="D877" s="10"/>
      <x:c r="E877" s="10"/>
      <x:c r="F877" s="10"/>
      <x:c r="G877" s="10"/>
      <x:c r="H877" s="10"/>
    </x:row>
    <x:row r="878" ht="14.25" customHeight="1">
      <x:c r="A878" s="10"/>
      <x:c r="B878" s="10"/>
      <x:c r="C878" s="10"/>
      <x:c r="D878" s="10"/>
      <x:c r="E878" s="10"/>
      <x:c r="F878" s="10"/>
      <x:c r="G878" s="10"/>
      <x:c r="H878" s="10"/>
    </x:row>
    <x:row r="879" ht="14.25" customHeight="1">
      <x:c r="A879" s="10"/>
      <x:c r="B879" s="10"/>
      <x:c r="C879" s="10"/>
      <x:c r="D879" s="10"/>
      <x:c r="E879" s="10"/>
      <x:c r="F879" s="10"/>
      <x:c r="G879" s="10"/>
      <x:c r="H879" s="10"/>
    </x:row>
    <x:row r="880" ht="14.25" customHeight="1">
      <x:c r="A880" s="10"/>
      <x:c r="B880" s="10"/>
      <x:c r="C880" s="10"/>
      <x:c r="D880" s="10"/>
      <x:c r="E880" s="10"/>
      <x:c r="F880" s="10"/>
      <x:c r="G880" s="10"/>
      <x:c r="H880" s="10"/>
    </x:row>
    <x:row r="881" ht="14.25" customHeight="1">
      <x:c r="A881" s="10"/>
      <x:c r="B881" s="10"/>
      <x:c r="C881" s="10"/>
      <x:c r="D881" s="10"/>
      <x:c r="E881" s="10"/>
      <x:c r="F881" s="10"/>
      <x:c r="G881" s="10"/>
      <x:c r="H881" s="10"/>
    </x:row>
    <x:row r="882" ht="14.25" customHeight="1">
      <x:c r="A882" s="10"/>
      <x:c r="B882" s="10"/>
      <x:c r="C882" s="10"/>
      <x:c r="D882" s="10"/>
      <x:c r="E882" s="10"/>
      <x:c r="F882" s="10"/>
      <x:c r="G882" s="10"/>
      <x:c r="H882" s="10"/>
    </x:row>
    <x:row r="883" ht="14.25" customHeight="1">
      <x:c r="A883" s="10"/>
      <x:c r="B883" s="10"/>
      <x:c r="C883" s="10"/>
      <x:c r="D883" s="10"/>
      <x:c r="E883" s="10"/>
      <x:c r="F883" s="10"/>
      <x:c r="G883" s="10"/>
      <x:c r="H883" s="10"/>
    </x:row>
    <x:row r="884" ht="14.25" customHeight="1">
      <x:c r="A884" s="10"/>
      <x:c r="B884" s="10"/>
      <x:c r="C884" s="10"/>
      <x:c r="D884" s="10"/>
      <x:c r="E884" s="10"/>
      <x:c r="F884" s="10"/>
      <x:c r="G884" s="10"/>
      <x:c r="H884" s="10"/>
    </x:row>
    <x:row r="885" ht="14.25" customHeight="1">
      <x:c r="A885" s="10"/>
      <x:c r="B885" s="10"/>
      <x:c r="C885" s="10"/>
      <x:c r="D885" s="10"/>
      <x:c r="E885" s="10"/>
      <x:c r="F885" s="10"/>
      <x:c r="G885" s="10"/>
      <x:c r="H885" s="10"/>
    </x:row>
    <x:row r="886" ht="14.25" customHeight="1">
      <x:c r="A886" s="10"/>
      <x:c r="B886" s="10"/>
      <x:c r="C886" s="10"/>
      <x:c r="D886" s="10"/>
      <x:c r="E886" s="10"/>
      <x:c r="F886" s="10"/>
      <x:c r="G886" s="10"/>
      <x:c r="H886" s="10"/>
    </x:row>
    <x:row r="887" ht="14.25" customHeight="1">
      <x:c r="A887" s="10"/>
      <x:c r="B887" s="10"/>
      <x:c r="C887" s="10"/>
      <x:c r="D887" s="10"/>
      <x:c r="E887" s="10"/>
      <x:c r="F887" s="10"/>
      <x:c r="G887" s="10"/>
      <x:c r="H887" s="10"/>
    </x:row>
    <x:row r="888" ht="14.25" customHeight="1">
      <x:c r="A888" s="10"/>
      <x:c r="B888" s="10"/>
      <x:c r="C888" s="10"/>
      <x:c r="D888" s="10"/>
      <x:c r="E888" s="10"/>
      <x:c r="F888" s="10"/>
      <x:c r="G888" s="10"/>
      <x:c r="H888" s="10"/>
    </x:row>
    <x:row r="889" ht="14.25" customHeight="1">
      <x:c r="A889" s="10"/>
      <x:c r="B889" s="10"/>
      <x:c r="C889" s="10"/>
      <x:c r="D889" s="10"/>
      <x:c r="E889" s="10"/>
      <x:c r="F889" s="10"/>
      <x:c r="G889" s="10"/>
      <x:c r="H889" s="10"/>
    </x:row>
    <x:row r="890" ht="14.25" customHeight="1">
      <x:c r="A890" s="10"/>
      <x:c r="B890" s="10"/>
      <x:c r="C890" s="10"/>
      <x:c r="D890" s="10"/>
      <x:c r="E890" s="10"/>
      <x:c r="F890" s="10"/>
      <x:c r="G890" s="10"/>
      <x:c r="H890" s="10"/>
    </x:row>
    <x:row r="891" ht="14.25" customHeight="1">
      <x:c r="A891" s="10"/>
      <x:c r="B891" s="10"/>
      <x:c r="C891" s="10"/>
      <x:c r="D891" s="10"/>
      <x:c r="E891" s="10"/>
      <x:c r="F891" s="10"/>
      <x:c r="G891" s="10"/>
      <x:c r="H891" s="10"/>
    </x:row>
    <x:row r="892" ht="14.25" customHeight="1">
      <x:c r="A892" s="10"/>
      <x:c r="B892" s="10"/>
      <x:c r="C892" s="10"/>
      <x:c r="D892" s="10"/>
      <x:c r="E892" s="10"/>
      <x:c r="F892" s="10"/>
      <x:c r="G892" s="10"/>
      <x:c r="H892" s="10"/>
    </x:row>
    <x:row r="893" ht="14.25" customHeight="1">
      <x:c r="A893" s="10"/>
      <x:c r="B893" s="10"/>
      <x:c r="C893" s="10"/>
      <x:c r="D893" s="10"/>
      <x:c r="E893" s="10"/>
      <x:c r="F893" s="10"/>
      <x:c r="G893" s="10"/>
      <x:c r="H893" s="10"/>
    </x:row>
    <x:row r="894" ht="14.25" customHeight="1">
      <x:c r="A894" s="10"/>
      <x:c r="B894" s="10"/>
      <x:c r="C894" s="10"/>
      <x:c r="D894" s="10"/>
      <x:c r="E894" s="10"/>
      <x:c r="F894" s="10"/>
      <x:c r="G894" s="10"/>
      <x:c r="H894" s="10"/>
    </x:row>
    <x:row r="895" ht="14.25" customHeight="1">
      <x:c r="A895" s="10"/>
      <x:c r="B895" s="10"/>
      <x:c r="C895" s="10"/>
      <x:c r="D895" s="10"/>
      <x:c r="E895" s="10"/>
      <x:c r="F895" s="10"/>
      <x:c r="G895" s="10"/>
      <x:c r="H895" s="10"/>
    </x:row>
    <x:row r="896" ht="14.25" customHeight="1">
      <x:c r="A896" s="10"/>
      <x:c r="B896" s="10"/>
      <x:c r="C896" s="10"/>
      <x:c r="D896" s="10"/>
      <x:c r="E896" s="10"/>
      <x:c r="F896" s="10"/>
      <x:c r="G896" s="10"/>
      <x:c r="H896" s="10"/>
    </x:row>
    <x:row r="897" ht="14.25" customHeight="1">
      <x:c r="A897" s="10"/>
      <x:c r="B897" s="10"/>
      <x:c r="C897" s="10"/>
      <x:c r="D897" s="10"/>
      <x:c r="E897" s="10"/>
      <x:c r="F897" s="10"/>
      <x:c r="G897" s="10"/>
      <x:c r="H897" s="10"/>
    </x:row>
    <x:row r="898" ht="14.25" customHeight="1">
      <x:c r="A898" s="10"/>
      <x:c r="B898" s="10"/>
      <x:c r="C898" s="10"/>
      <x:c r="D898" s="10"/>
      <x:c r="E898" s="10"/>
      <x:c r="F898" s="10"/>
      <x:c r="G898" s="10"/>
      <x:c r="H898" s="10"/>
    </x:row>
    <x:row r="899" ht="14.25" customHeight="1">
      <x:c r="A899" s="10"/>
      <x:c r="B899" s="10"/>
      <x:c r="C899" s="10"/>
      <x:c r="D899" s="10"/>
      <x:c r="E899" s="10"/>
      <x:c r="F899" s="10"/>
      <x:c r="G899" s="10"/>
      <x:c r="H899" s="10"/>
    </x:row>
    <x:row r="900" ht="14.25" customHeight="1">
      <x:c r="A900" s="10"/>
      <x:c r="B900" s="10"/>
      <x:c r="C900" s="10"/>
      <x:c r="D900" s="10"/>
      <x:c r="E900" s="10"/>
      <x:c r="F900" s="10"/>
      <x:c r="G900" s="10"/>
      <x:c r="H900" s="10"/>
    </x:row>
    <x:row r="901" ht="14.25" customHeight="1">
      <x:c r="A901" s="10"/>
      <x:c r="B901" s="10"/>
      <x:c r="C901" s="10"/>
      <x:c r="D901" s="10"/>
      <x:c r="E901" s="10"/>
      <x:c r="F901" s="10"/>
      <x:c r="G901" s="10"/>
      <x:c r="H901" s="10"/>
    </x:row>
    <x:row r="902" ht="14.25" customHeight="1">
      <x:c r="A902" s="10"/>
      <x:c r="B902" s="10"/>
      <x:c r="C902" s="10"/>
      <x:c r="D902" s="10"/>
      <x:c r="E902" s="10"/>
      <x:c r="F902" s="10"/>
      <x:c r="G902" s="10"/>
      <x:c r="H902" s="10"/>
    </x:row>
    <x:row r="903" ht="14.25" customHeight="1">
      <x:c r="A903" s="10"/>
      <x:c r="B903" s="10"/>
      <x:c r="C903" s="10"/>
      <x:c r="D903" s="10"/>
      <x:c r="E903" s="10"/>
      <x:c r="F903" s="10"/>
      <x:c r="G903" s="10"/>
      <x:c r="H903" s="10"/>
    </x:row>
    <x:row r="904" ht="14.25" customHeight="1">
      <x:c r="A904" s="10"/>
      <x:c r="B904" s="10"/>
      <x:c r="C904" s="10"/>
      <x:c r="D904" s="10"/>
      <x:c r="E904" s="10"/>
      <x:c r="F904" s="10"/>
      <x:c r="G904" s="10"/>
      <x:c r="H904" s="10"/>
    </x:row>
    <x:row r="905" ht="14.25" customHeight="1">
      <x:c r="A905" s="10"/>
      <x:c r="B905" s="10"/>
      <x:c r="C905" s="10"/>
      <x:c r="D905" s="10"/>
      <x:c r="E905" s="10"/>
      <x:c r="F905" s="10"/>
      <x:c r="G905" s="10"/>
      <x:c r="H905" s="10"/>
    </x:row>
    <x:row r="906" ht="14.25" customHeight="1">
      <x:c r="A906" s="10"/>
      <x:c r="B906" s="10"/>
      <x:c r="C906" s="10"/>
      <x:c r="D906" s="10"/>
      <x:c r="E906" s="10"/>
      <x:c r="F906" s="10"/>
      <x:c r="G906" s="10"/>
      <x:c r="H906" s="10"/>
    </x:row>
    <x:row r="907" ht="14.25" customHeight="1">
      <x:c r="A907" s="10"/>
      <x:c r="B907" s="10"/>
      <x:c r="C907" s="10"/>
      <x:c r="D907" s="10"/>
      <x:c r="E907" s="10"/>
      <x:c r="F907" s="10"/>
      <x:c r="G907" s="10"/>
      <x:c r="H907" s="10"/>
    </x:row>
    <x:row r="908" ht="14.25" customHeight="1">
      <x:c r="A908" s="10"/>
      <x:c r="B908" s="10"/>
      <x:c r="C908" s="10"/>
      <x:c r="D908" s="10"/>
      <x:c r="E908" s="10"/>
      <x:c r="F908" s="10"/>
      <x:c r="G908" s="10"/>
      <x:c r="H908" s="10"/>
    </x:row>
    <x:row r="909" ht="14.25" customHeight="1">
      <x:c r="A909" s="10"/>
      <x:c r="B909" s="10"/>
      <x:c r="C909" s="10"/>
      <x:c r="D909" s="10"/>
      <x:c r="E909" s="10"/>
      <x:c r="F909" s="10"/>
      <x:c r="G909" s="10"/>
      <x:c r="H909" s="10"/>
    </x:row>
    <x:row r="910" ht="14.25" customHeight="1">
      <x:c r="A910" s="10"/>
      <x:c r="B910" s="10"/>
      <x:c r="C910" s="10"/>
      <x:c r="D910" s="10"/>
      <x:c r="E910" s="10"/>
      <x:c r="F910" s="10"/>
      <x:c r="G910" s="10"/>
      <x:c r="H910" s="10"/>
    </x:row>
    <x:row r="911" ht="14.25" customHeight="1">
      <x:c r="A911" s="10"/>
      <x:c r="B911" s="10"/>
      <x:c r="C911" s="10"/>
      <x:c r="D911" s="10"/>
      <x:c r="E911" s="10"/>
      <x:c r="F911" s="10"/>
      <x:c r="G911" s="10"/>
      <x:c r="H911" s="10"/>
    </x:row>
    <x:row r="912" ht="14.25" customHeight="1">
      <x:c r="A912" s="10"/>
      <x:c r="B912" s="10"/>
      <x:c r="C912" s="10"/>
      <x:c r="D912" s="10"/>
      <x:c r="E912" s="10"/>
      <x:c r="F912" s="10"/>
      <x:c r="G912" s="10"/>
      <x:c r="H912" s="10"/>
    </x:row>
    <x:row r="913" ht="14.25" customHeight="1">
      <x:c r="A913" s="10"/>
      <x:c r="B913" s="10"/>
      <x:c r="C913" s="10"/>
      <x:c r="D913" s="10"/>
      <x:c r="E913" s="10"/>
      <x:c r="F913" s="10"/>
      <x:c r="G913" s="10"/>
      <x:c r="H913" s="10"/>
    </x:row>
    <x:row r="914" ht="14.25" customHeight="1">
      <x:c r="A914" s="10"/>
      <x:c r="B914" s="10"/>
      <x:c r="C914" s="10"/>
      <x:c r="D914" s="10"/>
      <x:c r="E914" s="10"/>
      <x:c r="F914" s="10"/>
      <x:c r="G914" s="10"/>
      <x:c r="H914" s="10"/>
    </x:row>
    <x:row r="915" ht="14.25" customHeight="1">
      <x:c r="A915" s="10"/>
      <x:c r="B915" s="10"/>
      <x:c r="C915" s="10"/>
      <x:c r="D915" s="10"/>
      <x:c r="E915" s="10"/>
      <x:c r="F915" s="10"/>
      <x:c r="G915" s="10"/>
      <x:c r="H915" s="10"/>
    </x:row>
    <x:row r="916" ht="14.25" customHeight="1">
      <x:c r="A916" s="10"/>
      <x:c r="B916" s="10"/>
      <x:c r="C916" s="10"/>
      <x:c r="D916" s="10"/>
      <x:c r="E916" s="10"/>
      <x:c r="F916" s="10"/>
      <x:c r="G916" s="10"/>
      <x:c r="H916" s="10"/>
    </x:row>
    <x:row r="917" ht="14.25" customHeight="1">
      <x:c r="A917" s="10"/>
      <x:c r="B917" s="10"/>
      <x:c r="C917" s="10"/>
      <x:c r="D917" s="10"/>
      <x:c r="E917" s="10"/>
      <x:c r="F917" s="10"/>
      <x:c r="G917" s="10"/>
      <x:c r="H917" s="10"/>
    </x:row>
    <x:row r="918" ht="14.25" customHeight="1">
      <x:c r="A918" s="10"/>
      <x:c r="B918" s="10"/>
      <x:c r="C918" s="10"/>
      <x:c r="D918" s="10"/>
      <x:c r="E918" s="10"/>
      <x:c r="F918" s="10"/>
      <x:c r="G918" s="10"/>
      <x:c r="H918" s="10"/>
    </x:row>
    <x:row r="919" ht="14.25" customHeight="1">
      <x:c r="A919" s="10"/>
      <x:c r="B919" s="10"/>
      <x:c r="C919" s="10"/>
      <x:c r="D919" s="10"/>
      <x:c r="E919" s="10"/>
      <x:c r="F919" s="10"/>
      <x:c r="G919" s="10"/>
      <x:c r="H919" s="10"/>
    </x:row>
    <x:row r="920" ht="14.25" customHeight="1">
      <x:c r="A920" s="10"/>
      <x:c r="B920" s="10"/>
      <x:c r="C920" s="10"/>
      <x:c r="D920" s="10"/>
      <x:c r="E920" s="10"/>
      <x:c r="F920" s="10"/>
      <x:c r="G920" s="10"/>
      <x:c r="H920" s="10"/>
    </x:row>
    <x:row r="921" ht="14.25" customHeight="1">
      <x:c r="A921" s="10"/>
      <x:c r="B921" s="10"/>
      <x:c r="C921" s="10"/>
      <x:c r="D921" s="10"/>
      <x:c r="E921" s="10"/>
      <x:c r="F921" s="10"/>
      <x:c r="G921" s="10"/>
      <x:c r="H921" s="10"/>
    </x:row>
    <x:row r="922" ht="14.25" customHeight="1">
      <x:c r="A922" s="10"/>
      <x:c r="B922" s="10"/>
      <x:c r="C922" s="10"/>
      <x:c r="D922" s="10"/>
      <x:c r="E922" s="10"/>
      <x:c r="F922" s="10"/>
      <x:c r="G922" s="10"/>
      <x:c r="H922" s="10"/>
    </x:row>
    <x:row r="923" ht="14.25" customHeight="1">
      <x:c r="A923" s="10"/>
      <x:c r="B923" s="10"/>
      <x:c r="C923" s="10"/>
      <x:c r="D923" s="10"/>
      <x:c r="E923" s="10"/>
      <x:c r="F923" s="10"/>
      <x:c r="G923" s="10"/>
      <x:c r="H923" s="10"/>
    </x:row>
    <x:row r="924" ht="14.25" customHeight="1">
      <x:c r="A924" s="10"/>
      <x:c r="B924" s="10"/>
      <x:c r="C924" s="10"/>
      <x:c r="D924" s="10"/>
      <x:c r="E924" s="10"/>
      <x:c r="F924" s="10"/>
      <x:c r="G924" s="10"/>
      <x:c r="H924" s="10"/>
    </x:row>
    <x:row r="925" ht="14.25" customHeight="1">
      <x:c r="A925" s="10"/>
      <x:c r="B925" s="10"/>
      <x:c r="C925" s="10"/>
      <x:c r="D925" s="10"/>
      <x:c r="E925" s="10"/>
      <x:c r="F925" s="10"/>
      <x:c r="G925" s="10"/>
      <x:c r="H925" s="10"/>
    </x:row>
    <x:row r="926" ht="14.25" customHeight="1">
      <x:c r="A926" s="10"/>
      <x:c r="B926" s="10"/>
      <x:c r="C926" s="10"/>
      <x:c r="D926" s="10"/>
      <x:c r="E926" s="10"/>
      <x:c r="F926" s="10"/>
      <x:c r="G926" s="10"/>
      <x:c r="H926" s="10"/>
    </x:row>
    <x:row r="927" ht="14.25" customHeight="1">
      <x:c r="A927" s="10"/>
      <x:c r="B927" s="10"/>
      <x:c r="C927" s="10"/>
      <x:c r="D927" s="10"/>
      <x:c r="E927" s="10"/>
      <x:c r="F927" s="10"/>
      <x:c r="G927" s="10"/>
      <x:c r="H927" s="10"/>
    </x:row>
    <x:row r="928" ht="14.25" customHeight="1">
      <x:c r="A928" s="10"/>
      <x:c r="B928" s="10"/>
      <x:c r="C928" s="10"/>
      <x:c r="D928" s="10"/>
      <x:c r="E928" s="10"/>
      <x:c r="F928" s="10"/>
      <x:c r="G928" s="10"/>
      <x:c r="H928" s="10"/>
    </x:row>
    <x:row r="929" ht="14.25" customHeight="1">
      <x:c r="A929" s="10"/>
      <x:c r="B929" s="10"/>
      <x:c r="C929" s="10"/>
      <x:c r="D929" s="10"/>
      <x:c r="E929" s="10"/>
      <x:c r="F929" s="10"/>
      <x:c r="G929" s="10"/>
      <x:c r="H929" s="10"/>
    </x:row>
    <x:row r="930" ht="14.25" customHeight="1">
      <x:c r="A930" s="10"/>
      <x:c r="B930" s="10"/>
      <x:c r="C930" s="10"/>
      <x:c r="D930" s="10"/>
      <x:c r="E930" s="10"/>
      <x:c r="F930" s="10"/>
      <x:c r="G930" s="10"/>
      <x:c r="H930" s="10"/>
    </x:row>
    <x:row r="931" ht="14.25" customHeight="1">
      <x:c r="A931" s="10"/>
      <x:c r="B931" s="10"/>
      <x:c r="C931" s="10"/>
      <x:c r="D931" s="10"/>
      <x:c r="E931" s="10"/>
      <x:c r="F931" s="10"/>
      <x:c r="G931" s="10"/>
      <x:c r="H931" s="10"/>
    </x:row>
    <x:row r="932" ht="14.25" customHeight="1">
      <x:c r="A932" s="10"/>
      <x:c r="B932" s="10"/>
      <x:c r="C932" s="10"/>
      <x:c r="D932" s="10"/>
      <x:c r="E932" s="10"/>
      <x:c r="F932" s="10"/>
      <x:c r="G932" s="10"/>
      <x:c r="H932" s="10"/>
    </x:row>
    <x:row r="933" ht="14.25" customHeight="1">
      <x:c r="A933" s="10"/>
      <x:c r="B933" s="10"/>
      <x:c r="C933" s="10"/>
      <x:c r="D933" s="10"/>
      <x:c r="E933" s="10"/>
      <x:c r="F933" s="10"/>
      <x:c r="G933" s="10"/>
      <x:c r="H933" s="10"/>
    </x:row>
    <x:row r="934" ht="14.25" customHeight="1">
      <x:c r="A934" s="10"/>
      <x:c r="B934" s="10"/>
      <x:c r="C934" s="10"/>
      <x:c r="D934" s="10"/>
      <x:c r="E934" s="10"/>
      <x:c r="F934" s="10"/>
      <x:c r="G934" s="10"/>
      <x:c r="H934" s="10"/>
    </x:row>
    <x:row r="935" ht="14.25" customHeight="1">
      <x:c r="A935" s="10"/>
      <x:c r="B935" s="10"/>
      <x:c r="C935" s="10"/>
      <x:c r="D935" s="10"/>
      <x:c r="E935" s="10"/>
      <x:c r="F935" s="10"/>
      <x:c r="G935" s="10"/>
      <x:c r="H935" s="10"/>
    </x:row>
    <x:row r="936" ht="14.25" customHeight="1">
      <x:c r="A936" s="10"/>
      <x:c r="B936" s="10"/>
      <x:c r="C936" s="10"/>
      <x:c r="D936" s="10"/>
      <x:c r="E936" s="10"/>
      <x:c r="F936" s="10"/>
      <x:c r="G936" s="10"/>
      <x:c r="H936" s="10"/>
    </x:row>
    <x:row r="937" ht="14.25" customHeight="1">
      <x:c r="A937" s="10"/>
      <x:c r="B937" s="10"/>
      <x:c r="C937" s="10"/>
      <x:c r="D937" s="10"/>
      <x:c r="E937" s="10"/>
      <x:c r="F937" s="10"/>
      <x:c r="G937" s="10"/>
      <x:c r="H937" s="10"/>
    </x:row>
    <x:row r="938" ht="14.25" customHeight="1">
      <x:c r="A938" s="10"/>
      <x:c r="B938" s="10"/>
      <x:c r="C938" s="10"/>
      <x:c r="D938" s="10"/>
      <x:c r="E938" s="10"/>
      <x:c r="F938" s="10"/>
      <x:c r="G938" s="10"/>
      <x:c r="H938" s="10"/>
    </x:row>
    <x:row r="939" ht="14.25" customHeight="1">
      <x:c r="A939" s="10"/>
      <x:c r="B939" s="10"/>
      <x:c r="C939" s="10"/>
      <x:c r="D939" s="10"/>
      <x:c r="E939" s="10"/>
      <x:c r="F939" s="10"/>
      <x:c r="G939" s="10"/>
      <x:c r="H939" s="10"/>
    </x:row>
    <x:row r="940" ht="14.25" customHeight="1">
      <x:c r="A940" s="10"/>
      <x:c r="B940" s="10"/>
      <x:c r="C940" s="10"/>
      <x:c r="D940" s="10"/>
      <x:c r="E940" s="10"/>
      <x:c r="F940" s="10"/>
      <x:c r="G940" s="10"/>
      <x:c r="H940" s="10"/>
    </x:row>
    <x:row r="941" ht="14.25" customHeight="1">
      <x:c r="A941" s="10"/>
      <x:c r="B941" s="10"/>
      <x:c r="C941" s="10"/>
      <x:c r="D941" s="10"/>
      <x:c r="E941" s="10"/>
      <x:c r="F941" s="10"/>
      <x:c r="G941" s="10"/>
      <x:c r="H941" s="10"/>
    </x:row>
    <x:row r="942" ht="14.25" customHeight="1">
      <x:c r="A942" s="10"/>
      <x:c r="B942" s="10"/>
      <x:c r="C942" s="10"/>
      <x:c r="D942" s="10"/>
      <x:c r="E942" s="10"/>
      <x:c r="F942" s="10"/>
      <x:c r="G942" s="10"/>
      <x:c r="H942" s="10"/>
    </x:row>
    <x:row r="943" ht="14.25" customHeight="1">
      <x:c r="A943" s="10"/>
      <x:c r="B943" s="10"/>
      <x:c r="C943" s="10"/>
      <x:c r="D943" s="10"/>
      <x:c r="E943" s="10"/>
      <x:c r="F943" s="10"/>
      <x:c r="G943" s="10"/>
      <x:c r="H943" s="10"/>
    </x:row>
    <x:row r="944" ht="14.25" customHeight="1">
      <x:c r="A944" s="10"/>
      <x:c r="B944" s="10"/>
      <x:c r="C944" s="10"/>
      <x:c r="D944" s="10"/>
      <x:c r="E944" s="10"/>
      <x:c r="F944" s="10"/>
      <x:c r="G944" s="10"/>
      <x:c r="H944" s="10"/>
    </x:row>
    <x:row r="945" ht="14.25" customHeight="1">
      <x:c r="A945" s="10"/>
      <x:c r="B945" s="10"/>
      <x:c r="C945" s="10"/>
      <x:c r="D945" s="10"/>
      <x:c r="E945" s="10"/>
      <x:c r="F945" s="10"/>
      <x:c r="G945" s="10"/>
      <x:c r="H945" s="10"/>
    </x:row>
    <x:row r="946" ht="14.25" customHeight="1">
      <x:c r="A946" s="10"/>
      <x:c r="B946" s="10"/>
      <x:c r="C946" s="10"/>
      <x:c r="D946" s="10"/>
      <x:c r="E946" s="10"/>
      <x:c r="F946" s="10"/>
      <x:c r="G946" s="10"/>
      <x:c r="H946" s="10"/>
    </x:row>
    <x:row r="947" ht="14.25" customHeight="1">
      <x:c r="A947" s="10"/>
      <x:c r="B947" s="10"/>
      <x:c r="C947" s="10"/>
      <x:c r="D947" s="10"/>
      <x:c r="E947" s="10"/>
      <x:c r="F947" s="10"/>
      <x:c r="G947" s="10"/>
      <x:c r="H947" s="10"/>
    </x:row>
    <x:row r="948" ht="14.25" customHeight="1">
      <x:c r="A948" s="10"/>
      <x:c r="B948" s="10"/>
      <x:c r="C948" s="10"/>
      <x:c r="D948" s="10"/>
      <x:c r="E948" s="10"/>
      <x:c r="F948" s="10"/>
      <x:c r="G948" s="10"/>
      <x:c r="H948" s="10"/>
    </x:row>
    <x:row r="949" ht="14.25" customHeight="1">
      <x:c r="A949" s="10"/>
      <x:c r="B949" s="10"/>
      <x:c r="C949" s="10"/>
      <x:c r="D949" s="10"/>
      <x:c r="E949" s="10"/>
      <x:c r="F949" s="10"/>
      <x:c r="G949" s="10"/>
      <x:c r="H949" s="10"/>
    </x:row>
    <x:row r="950" ht="14.25" customHeight="1">
      <x:c r="A950" s="10"/>
      <x:c r="B950" s="10"/>
      <x:c r="C950" s="10"/>
      <x:c r="D950" s="10"/>
      <x:c r="E950" s="10"/>
      <x:c r="F950" s="10"/>
      <x:c r="G950" s="10"/>
      <x:c r="H950" s="10"/>
    </x:row>
    <x:row r="951" ht="14.25" customHeight="1">
      <x:c r="A951" s="10"/>
      <x:c r="B951" s="10"/>
      <x:c r="C951" s="10"/>
      <x:c r="D951" s="10"/>
      <x:c r="E951" s="10"/>
      <x:c r="F951" s="10"/>
      <x:c r="G951" s="10"/>
      <x:c r="H951" s="10"/>
    </x:row>
    <x:row r="952" ht="14.25" customHeight="1">
      <x:c r="A952" s="10"/>
      <x:c r="B952" s="10"/>
      <x:c r="C952" s="10"/>
      <x:c r="D952" s="10"/>
      <x:c r="E952" s="10"/>
      <x:c r="F952" s="10"/>
      <x:c r="G952" s="10"/>
      <x:c r="H952" s="10"/>
    </x:row>
    <x:row r="953" ht="14.25" customHeight="1">
      <x:c r="A953" s="10"/>
      <x:c r="B953" s="10"/>
      <x:c r="C953" s="10"/>
      <x:c r="D953" s="10"/>
      <x:c r="E953" s="10"/>
      <x:c r="F953" s="10"/>
      <x:c r="G953" s="10"/>
      <x:c r="H953" s="10"/>
    </x:row>
    <x:row r="954" ht="14.25" customHeight="1">
      <x:c r="A954" s="10"/>
      <x:c r="B954" s="10"/>
      <x:c r="C954" s="10"/>
      <x:c r="D954" s="10"/>
      <x:c r="E954" s="10"/>
      <x:c r="F954" s="10"/>
      <x:c r="G954" s="10"/>
      <x:c r="H954" s="10"/>
    </x:row>
    <x:row r="955" ht="14.25" customHeight="1">
      <x:c r="A955" s="10"/>
      <x:c r="B955" s="10"/>
      <x:c r="C955" s="10"/>
      <x:c r="D955" s="10"/>
      <x:c r="E955" s="10"/>
      <x:c r="F955" s="10"/>
      <x:c r="G955" s="10"/>
      <x:c r="H955" s="10"/>
    </x:row>
    <x:row r="956" ht="14.25" customHeight="1">
      <x:c r="A956" s="10"/>
      <x:c r="B956" s="10"/>
      <x:c r="C956" s="10"/>
      <x:c r="D956" s="10"/>
      <x:c r="E956" s="10"/>
      <x:c r="F956" s="10"/>
      <x:c r="G956" s="10"/>
      <x:c r="H956" s="10"/>
    </x:row>
    <x:row r="957" ht="14.25" customHeight="1">
      <x:c r="A957" s="10"/>
      <x:c r="B957" s="10"/>
      <x:c r="C957" s="10"/>
      <x:c r="D957" s="10"/>
      <x:c r="E957" s="10"/>
      <x:c r="F957" s="10"/>
      <x:c r="G957" s="10"/>
      <x:c r="H957" s="10"/>
    </x:row>
    <x:row r="958" ht="14.25" customHeight="1">
      <x:c r="A958" s="10"/>
      <x:c r="B958" s="10"/>
      <x:c r="C958" s="10"/>
      <x:c r="D958" s="10"/>
      <x:c r="E958" s="10"/>
      <x:c r="F958" s="10"/>
      <x:c r="G958" s="10"/>
      <x:c r="H958" s="10"/>
    </x:row>
    <x:row r="959" ht="14.25" customHeight="1">
      <x:c r="A959" s="10"/>
      <x:c r="B959" s="10"/>
      <x:c r="C959" s="10"/>
      <x:c r="D959" s="10"/>
      <x:c r="E959" s="10"/>
      <x:c r="F959" s="10"/>
      <x:c r="G959" s="10"/>
      <x:c r="H959" s="10"/>
    </x:row>
    <x:row r="960" ht="14.25" customHeight="1">
      <x:c r="A960" s="10"/>
      <x:c r="B960" s="10"/>
      <x:c r="C960" s="10"/>
      <x:c r="D960" s="10"/>
      <x:c r="E960" s="10"/>
      <x:c r="F960" s="10"/>
      <x:c r="G960" s="10"/>
      <x:c r="H960" s="10"/>
    </x:row>
    <x:row r="961" ht="14.25" customHeight="1">
      <x:c r="A961" s="10"/>
      <x:c r="B961" s="10"/>
      <x:c r="C961" s="10"/>
      <x:c r="D961" s="10"/>
      <x:c r="E961" s="10"/>
      <x:c r="F961" s="10"/>
      <x:c r="G961" s="10"/>
      <x:c r="H961" s="10"/>
    </x:row>
    <x:row r="962" ht="14.25" customHeight="1">
      <x:c r="A962" s="10"/>
      <x:c r="B962" s="10"/>
      <x:c r="C962" s="10"/>
      <x:c r="D962" s="10"/>
      <x:c r="E962" s="10"/>
      <x:c r="F962" s="10"/>
      <x:c r="G962" s="10"/>
      <x:c r="H962" s="10"/>
    </x:row>
    <x:row r="963" ht="14.25" customHeight="1">
      <x:c r="A963" s="10"/>
      <x:c r="B963" s="10"/>
      <x:c r="C963" s="10"/>
      <x:c r="D963" s="10"/>
      <x:c r="E963" s="10"/>
      <x:c r="F963" s="10"/>
      <x:c r="G963" s="10"/>
      <x:c r="H963" s="10"/>
    </x:row>
    <x:row r="964" ht="14.25" customHeight="1">
      <x:c r="A964" s="10"/>
      <x:c r="B964" s="10"/>
      <x:c r="C964" s="10"/>
      <x:c r="D964" s="10"/>
      <x:c r="E964" s="10"/>
      <x:c r="F964" s="10"/>
      <x:c r="G964" s="10"/>
      <x:c r="H964" s="10"/>
    </x:row>
    <x:row r="965" ht="14.25" customHeight="1">
      <x:c r="A965" s="10"/>
      <x:c r="B965" s="10"/>
      <x:c r="C965" s="10"/>
      <x:c r="D965" s="10"/>
      <x:c r="E965" s="10"/>
      <x:c r="F965" s="10"/>
      <x:c r="G965" s="10"/>
      <x:c r="H965" s="10"/>
    </x:row>
    <x:row r="966" ht="14.25" customHeight="1">
      <x:c r="A966" s="10"/>
      <x:c r="B966" s="10"/>
      <x:c r="C966" s="10"/>
      <x:c r="D966" s="10"/>
      <x:c r="E966" s="10"/>
      <x:c r="F966" s="10"/>
      <x:c r="G966" s="10"/>
      <x:c r="H966" s="10"/>
    </x:row>
    <x:row r="967" ht="14.25" customHeight="1">
      <x:c r="A967" s="10"/>
      <x:c r="B967" s="10"/>
      <x:c r="C967" s="10"/>
      <x:c r="D967" s="10"/>
      <x:c r="E967" s="10"/>
      <x:c r="F967" s="10"/>
      <x:c r="G967" s="10"/>
      <x:c r="H967" s="10"/>
    </x:row>
    <x:row r="968" ht="14.25" customHeight="1">
      <x:c r="A968" s="10"/>
      <x:c r="B968" s="10"/>
      <x:c r="C968" s="10"/>
      <x:c r="D968" s="10"/>
      <x:c r="E968" s="10"/>
      <x:c r="F968" s="10"/>
      <x:c r="G968" s="10"/>
      <x:c r="H968" s="10"/>
    </x:row>
    <x:row r="969" ht="14.25" customHeight="1">
      <x:c r="A969" s="10"/>
      <x:c r="B969" s="10"/>
      <x:c r="C969" s="10"/>
      <x:c r="D969" s="10"/>
      <x:c r="E969" s="10"/>
      <x:c r="F969" s="10"/>
      <x:c r="G969" s="10"/>
      <x:c r="H969" s="10"/>
    </x:row>
    <x:row r="970" ht="14.25" customHeight="1">
      <x:c r="A970" s="10"/>
      <x:c r="B970" s="10"/>
      <x:c r="C970" s="10"/>
      <x:c r="D970" s="10"/>
      <x:c r="E970" s="10"/>
      <x:c r="F970" s="10"/>
      <x:c r="G970" s="10"/>
      <x:c r="H970" s="10"/>
    </x:row>
    <x:row r="971" ht="14.25" customHeight="1">
      <x:c r="A971" s="10"/>
      <x:c r="B971" s="10"/>
      <x:c r="C971" s="10"/>
      <x:c r="D971" s="10"/>
      <x:c r="E971" s="10"/>
      <x:c r="F971" s="10"/>
      <x:c r="G971" s="10"/>
      <x:c r="H971" s="10"/>
    </x:row>
    <x:row r="972" ht="14.25" customHeight="1">
      <x:c r="A972" s="10"/>
      <x:c r="B972" s="10"/>
      <x:c r="C972" s="10"/>
      <x:c r="D972" s="10"/>
      <x:c r="E972" s="10"/>
      <x:c r="F972" s="10"/>
      <x:c r="G972" s="10"/>
      <x:c r="H972" s="10"/>
    </x:row>
    <x:row r="973" ht="14.25" customHeight="1">
      <x:c r="A973" s="10"/>
      <x:c r="B973" s="10"/>
      <x:c r="C973" s="10"/>
      <x:c r="D973" s="10"/>
      <x:c r="E973" s="10"/>
      <x:c r="F973" s="10"/>
      <x:c r="G973" s="10"/>
      <x:c r="H973" s="10"/>
    </x:row>
    <x:row r="974" ht="14.25" customHeight="1">
      <x:c r="A974" s="10"/>
      <x:c r="B974" s="10"/>
      <x:c r="C974" s="10"/>
      <x:c r="D974" s="10"/>
      <x:c r="E974" s="10"/>
      <x:c r="F974" s="10"/>
      <x:c r="G974" s="10"/>
      <x:c r="H974" s="10"/>
    </x:row>
    <x:row r="975" ht="14.25" customHeight="1">
      <x:c r="A975" s="10"/>
      <x:c r="B975" s="10"/>
      <x:c r="C975" s="10"/>
      <x:c r="D975" s="10"/>
      <x:c r="E975" s="10"/>
      <x:c r="F975" s="10"/>
      <x:c r="G975" s="10"/>
      <x:c r="H975" s="10"/>
    </x:row>
    <x:row r="976" ht="14.25" customHeight="1">
      <x:c r="A976" s="10"/>
      <x:c r="B976" s="10"/>
      <x:c r="C976" s="10"/>
      <x:c r="D976" s="10"/>
      <x:c r="E976" s="10"/>
      <x:c r="F976" s="10"/>
      <x:c r="G976" s="10"/>
      <x:c r="H976" s="10"/>
    </x:row>
    <x:row r="977" ht="14.25" customHeight="1">
      <x:c r="A977" s="10"/>
      <x:c r="B977" s="10"/>
      <x:c r="C977" s="10"/>
      <x:c r="D977" s="10"/>
      <x:c r="E977" s="10"/>
      <x:c r="F977" s="10"/>
      <x:c r="G977" s="10"/>
      <x:c r="H977" s="10"/>
    </x:row>
    <x:row r="978" ht="14.25" customHeight="1">
      <x:c r="A978" s="10"/>
      <x:c r="B978" s="10"/>
      <x:c r="C978" s="10"/>
      <x:c r="D978" s="10"/>
      <x:c r="E978" s="10"/>
      <x:c r="F978" s="10"/>
      <x:c r="G978" s="10"/>
      <x:c r="H978" s="10"/>
    </x:row>
    <x:row r="979" ht="14.25" customHeight="1">
      <x:c r="A979" s="10"/>
      <x:c r="B979" s="10"/>
      <x:c r="C979" s="10"/>
      <x:c r="D979" s="10"/>
      <x:c r="E979" s="10"/>
      <x:c r="F979" s="10"/>
      <x:c r="G979" s="10"/>
      <x:c r="H979" s="10"/>
    </x:row>
    <x:row r="980" ht="14.25" customHeight="1">
      <x:c r="A980" s="10"/>
      <x:c r="B980" s="10"/>
      <x:c r="C980" s="10"/>
      <x:c r="D980" s="10"/>
      <x:c r="E980" s="10"/>
      <x:c r="F980" s="10"/>
      <x:c r="G980" s="10"/>
      <x:c r="H980" s="10"/>
    </x:row>
    <x:row r="981" ht="14.25" customHeight="1">
      <x:c r="A981" s="10"/>
      <x:c r="B981" s="10"/>
      <x:c r="C981" s="10"/>
      <x:c r="D981" s="10"/>
      <x:c r="E981" s="10"/>
      <x:c r="F981" s="10"/>
      <x:c r="G981" s="10"/>
      <x:c r="H981" s="10"/>
    </x:row>
    <x:row r="982" ht="14.25" customHeight="1">
      <x:c r="A982" s="10"/>
      <x:c r="B982" s="10"/>
      <x:c r="C982" s="10"/>
      <x:c r="D982" s="10"/>
      <x:c r="E982" s="10"/>
      <x:c r="F982" s="10"/>
      <x:c r="G982" s="10"/>
      <x:c r="H982" s="10"/>
    </x:row>
    <x:row r="983" ht="14.25" customHeight="1">
      <x:c r="A983" s="10"/>
      <x:c r="B983" s="10"/>
      <x:c r="C983" s="10"/>
      <x:c r="D983" s="10"/>
      <x:c r="E983" s="10"/>
      <x:c r="F983" s="10"/>
      <x:c r="G983" s="10"/>
      <x:c r="H983" s="10"/>
    </x:row>
    <x:row r="984" ht="14.25" customHeight="1">
      <x:c r="A984" s="10"/>
      <x:c r="B984" s="10"/>
      <x:c r="C984" s="10"/>
      <x:c r="D984" s="10"/>
      <x:c r="E984" s="10"/>
      <x:c r="F984" s="10"/>
      <x:c r="G984" s="10"/>
      <x:c r="H984" s="10"/>
    </x:row>
    <x:row r="985" ht="14.25" customHeight="1">
      <x:c r="A985" s="10"/>
      <x:c r="B985" s="10"/>
      <x:c r="C985" s="10"/>
      <x:c r="D985" s="10"/>
      <x:c r="E985" s="10"/>
      <x:c r="F985" s="10"/>
      <x:c r="G985" s="10"/>
      <x:c r="H985" s="10"/>
    </x:row>
    <x:row r="986" ht="14.25" customHeight="1">
      <x:c r="A986" s="10"/>
      <x:c r="B986" s="10"/>
      <x:c r="C986" s="10"/>
      <x:c r="D986" s="10"/>
      <x:c r="E986" s="10"/>
      <x:c r="F986" s="10"/>
      <x:c r="G986" s="10"/>
      <x:c r="H986" s="10"/>
    </x:row>
    <x:row r="987" ht="14.25" customHeight="1">
      <x:c r="A987" s="10"/>
      <x:c r="B987" s="10"/>
      <x:c r="C987" s="10"/>
      <x:c r="D987" s="10"/>
      <x:c r="E987" s="10"/>
      <x:c r="F987" s="10"/>
      <x:c r="G987" s="10"/>
      <x:c r="H987" s="10"/>
    </x:row>
    <x:row r="988" ht="14.25" customHeight="1">
      <x:c r="A988" s="10"/>
      <x:c r="B988" s="10"/>
      <x:c r="C988" s="10"/>
      <x:c r="D988" s="10"/>
      <x:c r="E988" s="10"/>
      <x:c r="F988" s="10"/>
      <x:c r="G988" s="10"/>
      <x:c r="H988" s="10"/>
    </x:row>
    <x:row r="989" ht="14.25" customHeight="1">
      <x:c r="A989" s="10"/>
      <x:c r="B989" s="10"/>
      <x:c r="C989" s="10"/>
      <x:c r="D989" s="10"/>
      <x:c r="E989" s="10"/>
      <x:c r="F989" s="10"/>
      <x:c r="G989" s="10"/>
      <x:c r="H989" s="10"/>
    </x:row>
    <x:row r="990" ht="14.25" customHeight="1">
      <x:c r="A990" s="10"/>
      <x:c r="B990" s="10"/>
      <x:c r="C990" s="10"/>
      <x:c r="D990" s="10"/>
      <x:c r="E990" s="10"/>
      <x:c r="F990" s="10"/>
      <x:c r="G990" s="10"/>
      <x:c r="H990" s="10"/>
    </x:row>
    <x:row r="991" ht="14.25" customHeight="1">
      <x:c r="A991" s="10"/>
      <x:c r="B991" s="10"/>
      <x:c r="C991" s="10"/>
      <x:c r="D991" s="10"/>
      <x:c r="E991" s="10"/>
      <x:c r="F991" s="10"/>
      <x:c r="G991" s="10"/>
      <x:c r="H991" s="10"/>
    </x:row>
    <x:row r="992" ht="14.25" customHeight="1">
      <x:c r="A992" s="10"/>
      <x:c r="B992" s="10"/>
      <x:c r="C992" s="10"/>
      <x:c r="D992" s="10"/>
      <x:c r="E992" s="10"/>
      <x:c r="F992" s="10"/>
      <x:c r="G992" s="10"/>
      <x:c r="H992" s="10"/>
    </x:row>
    <x:row r="993" ht="14.25" customHeight="1">
      <x:c r="A993" s="10"/>
      <x:c r="B993" s="10"/>
      <x:c r="C993" s="10"/>
      <x:c r="D993" s="10"/>
      <x:c r="E993" s="10"/>
      <x:c r="F993" s="10"/>
      <x:c r="G993" s="10"/>
      <x:c r="H993" s="10"/>
    </x:row>
    <x:row r="994" ht="14.25" customHeight="1">
      <x:c r="A994" s="10"/>
      <x:c r="B994" s="10"/>
      <x:c r="C994" s="10"/>
      <x:c r="D994" s="10"/>
      <x:c r="E994" s="10"/>
      <x:c r="F994" s="10"/>
      <x:c r="G994" s="10"/>
      <x:c r="H994" s="10"/>
    </x:row>
    <x:row r="995" ht="14.25" customHeight="1">
      <x:c r="A995" s="10"/>
      <x:c r="B995" s="10"/>
      <x:c r="C995" s="10"/>
      <x:c r="D995" s="10"/>
      <x:c r="E995" s="10"/>
      <x:c r="F995" s="10"/>
      <x:c r="G995" s="10"/>
      <x:c r="H995" s="10"/>
    </x:row>
    <x:row r="996" ht="14.25" customHeight="1">
      <x:c r="A996" s="10"/>
      <x:c r="B996" s="10"/>
      <x:c r="C996" s="10"/>
      <x:c r="D996" s="10"/>
      <x:c r="E996" s="10"/>
      <x:c r="F996" s="10"/>
      <x:c r="G996" s="10"/>
      <x:c r="H996" s="10"/>
    </x:row>
    <x:row r="997" ht="14.25" customHeight="1">
      <x:c r="A997" s="10"/>
      <x:c r="B997" s="10"/>
      <x:c r="C997" s="10"/>
      <x:c r="D997" s="10"/>
      <x:c r="E997" s="10"/>
      <x:c r="F997" s="10"/>
      <x:c r="G997" s="10"/>
      <x:c r="H997" s="10"/>
    </x:row>
    <x:row r="998" ht="14.25" customHeight="1">
      <x:c r="A998" s="10"/>
      <x:c r="B998" s="10"/>
      <x:c r="C998" s="10"/>
      <x:c r="D998" s="10"/>
      <x:c r="E998" s="10"/>
      <x:c r="F998" s="10"/>
      <x:c r="G998" s="10"/>
      <x:c r="H998" s="10"/>
    </x:row>
    <x:row r="999" ht="14.25" customHeight="1">
      <x:c r="A999" s="10"/>
      <x:c r="B999" s="10"/>
      <x:c r="C999" s="10"/>
      <x:c r="D999" s="10"/>
      <x:c r="E999" s="10"/>
      <x:c r="F999" s="10"/>
      <x:c r="G999" s="10"/>
      <x:c r="H999" s="10"/>
    </x:row>
    <x:row r="1000" ht="14.25" customHeight="1">
      <x:c r="A1000" s="10"/>
      <x:c r="B1000" s="10"/>
      <x:c r="C1000" s="10"/>
      <x:c r="D1000" s="10"/>
      <x:c r="E1000" s="10"/>
      <x:c r="F1000" s="10"/>
      <x:c r="G1000" s="10"/>
      <x:c r="H1000" s="10"/>
    </x:row>
  </x:sheetData>
  <x:pageMargins left="0.7" right="0.7" top="0.75" bottom="0.75" header="0.3" footer="0.3"/>
</x:worksheet>
</file>

<file path=xl/worksheets/sheet6.xml><?xml version="1.0" encoding="utf-8"?>
<x:worksheet xmlns:x="http://schemas.openxmlformats.org/spreadsheetml/2006/main">
  <x:sheetFormatPr defaultColWidth="14.453125" defaultRowHeight="15"/>
  <x:cols>
    <x:col min="1" max="1" width="34" customWidth="1"/>
    <x:col min="2" max="7" width="10" customWidth="1"/>
    <x:col min="8" max="26" width="8.54296875" customWidth="1"/>
  </x:cols>
  <x:sheetData>
    <x:row r="1" ht="15.75" customHeight="1">
      <x:c r="A1" s="11" t="s">
        <x:v>941</x:v>
      </x:c>
      <x:c r="B1" s="10"/>
      <x:c r="C1" s="10"/>
      <x:c r="D1" s="10"/>
      <x:c r="E1" s="10"/>
      <x:c r="F1" s="10"/>
      <x:c r="G1" s="10"/>
      <x:c r="H1" s="10"/>
    </x:row>
    <x:row r="2" ht="14.25" customHeight="1">
      <x:c r="A2" s="10"/>
      <x:c r="B2" s="10"/>
      <x:c r="C2" s="10"/>
      <x:c r="D2" s="10"/>
      <x:c r="E2" s="10"/>
      <x:c r="F2" s="10"/>
      <x:c r="G2" s="10"/>
      <x:c r="H2" s="10"/>
    </x:row>
    <x:row r="3" ht="15" customHeight="1">
      <x:c r="A3" s="13" t="s">
        <x:v>942</x:v>
      </x:c>
      <x:c r="B3" s="10"/>
      <x:c r="C3" s="10"/>
      <x:c r="D3" s="10"/>
      <x:c r="E3" s="10"/>
      <x:c r="F3" s="10"/>
      <x:c r="G3" s="10"/>
      <x:c r="H3" s="10"/>
    </x:row>
    <x:row r="4" ht="15" customHeight="1">
      <x:c r="A4" s="14" t="s">
        <x:v>918</x:v>
      </x:c>
      <x:c r="B4" s="14" t="s">
        <x:v>11</x:v>
      </x:c>
      <x:c r="C4" s="14" t="s">
        <x:v>92</x:v>
      </x:c>
      <x:c r="D4" s="14" t="s">
        <x:v>22</x:v>
      </x:c>
      <x:c r="E4" s="14" t="s">
        <x:v>37</x:v>
      </x:c>
      <x:c r="F4" s="14" t="s">
        <x:v>62</x:v>
      </x:c>
      <x:c r="G4" s="14" t="s">
        <x:v>908</x:v>
      </x:c>
      <x:c r="H4" s="10"/>
    </x:row>
    <x:row r="5" ht="26.25" customHeight="1">
      <x:c r="A5" s="22" t="s">
        <x:v>943</x:v>
      </x:c>
      <x:c r="B5" s="16" t="n">
        <x:f>SUMIFS('Data (parsed)'!$I$2:$I$235,'Data (parsed)'!$B$2:$B$235,"Conscience",'Data (parsed)'!$C$2:$C$235,$A5,'Data (parsed)'!$D$2:$D$235,B$4)</x:f>
        <x:v>1</x:v>
      </x:c>
      <x:c r="C5" s="16" t="n">
        <x:f>SUMIFS('Data (parsed)'!$I$2:$I$235,'Data (parsed)'!$B$2:$B$235,"Conscience",'Data (parsed)'!$C$2:$C$235,$A5,'Data (parsed)'!$D$2:$D$235,C$4)</x:f>
        <x:v>2</x:v>
      </x:c>
      <x:c r="D5" s="16" t="n">
        <x:f>SUMIFS('Data (parsed)'!$I$2:$I$235,'Data (parsed)'!$B$2:$B$235,"Conscience",'Data (parsed)'!$C$2:$C$235,$A5,'Data (parsed)'!$D$2:$D$235,D$4)</x:f>
        <x:v>0</x:v>
      </x:c>
      <x:c r="E5" s="16" t="n">
        <x:f>SUMIFS('Data (parsed)'!$I$2:$I$235,'Data (parsed)'!$B$2:$B$235,"Conscience",'Data (parsed)'!$C$2:$C$235,$A5,'Data (parsed)'!$D$2:$D$235,E$4)</x:f>
        <x:v>4</x:v>
      </x:c>
      <x:c r="F5" s="16" t="n">
        <x:f>SUMIFS('Data (parsed)'!$I$2:$I$235,'Data (parsed)'!$B$2:$B$235,"Conscience",'Data (parsed)'!$C$2:$C$235,$A5,'Data (parsed)'!$D$2:$D$235,F$4)</x:f>
        <x:v>2</x:v>
      </x:c>
      <x:c r="G5" s="18" t="n">
        <x:f t="shared" ref="G5:G15" si="0">SUM(B5:F5)</x:f>
        <x:v>9</x:v>
      </x:c>
      <x:c r="H5" s="10"/>
    </x:row>
    <x:row r="6" ht="15" customHeight="1">
      <x:c r="A6" s="22" t="s">
        <x:v>944</x:v>
      </x:c>
      <x:c r="B6" s="16" t="n">
        <x:f>SUMIFS('Data (parsed)'!$I$2:$I$235,'Data (parsed)'!$B$2:$B$235,"Conscience",'Data (parsed)'!$C$2:$C$235,$A6,'Data (parsed)'!$D$2:$D$235,B$4)</x:f>
        <x:v>0</x:v>
      </x:c>
      <x:c r="C6" s="16" t="n">
        <x:f>SUMIFS('Data (parsed)'!$I$2:$I$235,'Data (parsed)'!$B$2:$B$235,"Conscience",'Data (parsed)'!$C$2:$C$235,$A6,'Data (parsed)'!$D$2:$D$235,C$4)</x:f>
        <x:v>0</x:v>
      </x:c>
      <x:c r="D6" s="16" t="n">
        <x:f>SUMIFS('Data (parsed)'!$I$2:$I$235,'Data (parsed)'!$B$2:$B$235,"Conscience",'Data (parsed)'!$C$2:$C$235,$A6,'Data (parsed)'!$D$2:$D$235,D$4)</x:f>
        <x:v>1</x:v>
      </x:c>
      <x:c r="E6" s="16" t="n">
        <x:f>SUMIFS('Data (parsed)'!$I$2:$I$235,'Data (parsed)'!$B$2:$B$235,"Conscience",'Data (parsed)'!$C$2:$C$235,$A6,'Data (parsed)'!$D$2:$D$235,E$4)</x:f>
        <x:v>6</x:v>
      </x:c>
      <x:c r="F6" s="16" t="n">
        <x:f>SUMIFS('Data (parsed)'!$I$2:$I$235,'Data (parsed)'!$B$2:$B$235,"Conscience",'Data (parsed)'!$C$2:$C$235,$A6,'Data (parsed)'!$D$2:$D$235,F$4)</x:f>
        <x:v>1</x:v>
      </x:c>
      <x:c r="G6" s="18">
        <x:f t="shared" si="0"/>
        <x:v>8</x:v>
      </x:c>
      <x:c r="H6" s="10"/>
    </x:row>
    <x:row r="7" ht="15" customHeight="1">
      <x:c r="A7" s="22" t="s">
        <x:v>945</x:v>
      </x:c>
      <x:c r="B7" s="16" t="n">
        <x:f>SUMIFS('Data (parsed)'!$I$2:$I$235,'Data (parsed)'!$B$2:$B$235,"Conscience",'Data (parsed)'!$C$2:$C$235,$A7,'Data (parsed)'!$D$2:$D$235,B$4)</x:f>
        <x:v>0</x:v>
      </x:c>
      <x:c r="C7" s="16" t="n">
        <x:f>SUMIFS('Data (parsed)'!$I$2:$I$235,'Data (parsed)'!$B$2:$B$235,"Conscience",'Data (parsed)'!$C$2:$C$235,$A7,'Data (parsed)'!$D$2:$D$235,C$4)</x:f>
        <x:v>2</x:v>
      </x:c>
      <x:c r="D7" s="16" t="n">
        <x:f>SUMIFS('Data (parsed)'!$I$2:$I$235,'Data (parsed)'!$B$2:$B$235,"Conscience",'Data (parsed)'!$C$2:$C$235,$A7,'Data (parsed)'!$D$2:$D$235,D$4)</x:f>
        <x:v>2</x:v>
      </x:c>
      <x:c r="E7" s="16" t="n">
        <x:f>SUMIFS('Data (parsed)'!$I$2:$I$235,'Data (parsed)'!$B$2:$B$235,"Conscience",'Data (parsed)'!$C$2:$C$235,$A7,'Data (parsed)'!$D$2:$D$235,E$4)</x:f>
        <x:v>0</x:v>
      </x:c>
      <x:c r="F7" s="16" t="n">
        <x:f>SUMIFS('Data (parsed)'!$I$2:$I$235,'Data (parsed)'!$B$2:$B$235,"Conscience",'Data (parsed)'!$C$2:$C$235,$A7,'Data (parsed)'!$D$2:$D$235,F$4)</x:f>
        <x:v>3</x:v>
      </x:c>
      <x:c r="G7" s="18">
        <x:f t="shared" si="0"/>
        <x:v>7</x:v>
      </x:c>
      <x:c r="H7" s="10"/>
    </x:row>
    <x:row r="8" ht="15" customHeight="1">
      <x:c r="A8" s="22" t="s">
        <x:v>946</x:v>
      </x:c>
      <x:c r="B8" s="16" t="n">
        <x:f>SUMIFS('Data (parsed)'!$I$2:$I$235,'Data (parsed)'!$B$2:$B$235,"Conscience",'Data (parsed)'!$C$2:$C$235,$A8,'Data (parsed)'!$D$2:$D$235,B$4)</x:f>
        <x:v>0</x:v>
      </x:c>
      <x:c r="C8" s="16" t="n">
        <x:f>SUMIFS('Data (parsed)'!$I$2:$I$235,'Data (parsed)'!$B$2:$B$235,"Conscience",'Data (parsed)'!$C$2:$C$235,$A8,'Data (parsed)'!$D$2:$D$235,C$4)</x:f>
        <x:v>0</x:v>
      </x:c>
      <x:c r="D8" s="16" t="n">
        <x:f>SUMIFS('Data (parsed)'!$I$2:$I$235,'Data (parsed)'!$B$2:$B$235,"Conscience",'Data (parsed)'!$C$2:$C$235,$A8,'Data (parsed)'!$D$2:$D$235,D$4)</x:f>
        <x:v>0</x:v>
      </x:c>
      <x:c r="E8" s="16" t="n">
        <x:f>SUMIFS('Data (parsed)'!$I$2:$I$235,'Data (parsed)'!$B$2:$B$235,"Conscience",'Data (parsed)'!$C$2:$C$235,$A8,'Data (parsed)'!$D$2:$D$235,E$4)</x:f>
        <x:v>3</x:v>
      </x:c>
      <x:c r="F8" s="16" t="n">
        <x:f>SUMIFS('Data (parsed)'!$I$2:$I$235,'Data (parsed)'!$B$2:$B$235,"Conscience",'Data (parsed)'!$C$2:$C$235,$A8,'Data (parsed)'!$D$2:$D$235,F$4)</x:f>
        <x:v>1</x:v>
      </x:c>
      <x:c r="G8" s="18">
        <x:f t="shared" si="0"/>
        <x:v>4</x:v>
      </x:c>
      <x:c r="H8" s="10"/>
    </x:row>
    <x:row r="9" ht="15" customHeight="1">
      <x:c r="A9" s="22" t="s">
        <x:v>947</x:v>
      </x:c>
      <x:c r="B9" s="16" t="n">
        <x:f>SUMIFS('Data (parsed)'!$I$2:$I$235,'Data (parsed)'!$B$2:$B$235,"Conscience",'Data (parsed)'!$C$2:$C$235,$A9,'Data (parsed)'!$D$2:$D$235,B$4)</x:f>
        <x:v>0</x:v>
      </x:c>
      <x:c r="C9" s="16" t="n">
        <x:f>SUMIFS('Data (parsed)'!$I$2:$I$235,'Data (parsed)'!$B$2:$B$235,"Conscience",'Data (parsed)'!$C$2:$C$235,$A9,'Data (parsed)'!$D$2:$D$235,C$4)</x:f>
        <x:v>1</x:v>
      </x:c>
      <x:c r="D9" s="16" t="n">
        <x:f>SUMIFS('Data (parsed)'!$I$2:$I$235,'Data (parsed)'!$B$2:$B$235,"Conscience",'Data (parsed)'!$C$2:$C$235,$A9,'Data (parsed)'!$D$2:$D$235,D$4)</x:f>
        <x:v>0</x:v>
      </x:c>
      <x:c r="E9" s="16" t="n">
        <x:f>SUMIFS('Data (parsed)'!$I$2:$I$235,'Data (parsed)'!$B$2:$B$235,"Conscience",'Data (parsed)'!$C$2:$C$235,$A9,'Data (parsed)'!$D$2:$D$235,E$4)</x:f>
        <x:v>1</x:v>
      </x:c>
      <x:c r="F9" s="16" t="n">
        <x:f>SUMIFS('Data (parsed)'!$I$2:$I$235,'Data (parsed)'!$B$2:$B$235,"Conscience",'Data (parsed)'!$C$2:$C$235,$A9,'Data (parsed)'!$D$2:$D$235,F$4)</x:f>
        <x:v>1</x:v>
      </x:c>
      <x:c r="G9" s="18">
        <x:f t="shared" si="0"/>
        <x:v>3</x:v>
      </x:c>
      <x:c r="H9" s="10"/>
    </x:row>
    <x:row r="10" ht="15" customHeight="1">
      <x:c r="A10" s="22" t="s">
        <x:v>948</x:v>
      </x:c>
      <x:c r="B10" s="16" t="n">
        <x:f>SUMIFS('Data (parsed)'!$I$2:$I$235,'Data (parsed)'!$B$2:$B$235,"Conscience",'Data (parsed)'!$C$2:$C$235,$A10,'Data (parsed)'!$D$2:$D$235,B$4)</x:f>
        <x:v>0</x:v>
      </x:c>
      <x:c r="C10" s="16" t="n">
        <x:f>SUMIFS('Data (parsed)'!$I$2:$I$235,'Data (parsed)'!$B$2:$B$235,"Conscience",'Data (parsed)'!$C$2:$C$235,$A10,'Data (parsed)'!$D$2:$D$235,C$4)</x:f>
        <x:v>0</x:v>
      </x:c>
      <x:c r="D10" s="16" t="n">
        <x:f>SUMIFS('Data (parsed)'!$I$2:$I$235,'Data (parsed)'!$B$2:$B$235,"Conscience",'Data (parsed)'!$C$2:$C$235,$A10,'Data (parsed)'!$D$2:$D$235,D$4)</x:f>
        <x:v>0</x:v>
      </x:c>
      <x:c r="E10" s="16" t="n">
        <x:f>SUMIFS('Data (parsed)'!$I$2:$I$235,'Data (parsed)'!$B$2:$B$235,"Conscience",'Data (parsed)'!$C$2:$C$235,$A10,'Data (parsed)'!$D$2:$D$235,E$4)</x:f>
        <x:v>2</x:v>
      </x:c>
      <x:c r="F10" s="16" t="n">
        <x:f>SUMIFS('Data (parsed)'!$I$2:$I$235,'Data (parsed)'!$B$2:$B$235,"Conscience",'Data (parsed)'!$C$2:$C$235,$A10,'Data (parsed)'!$D$2:$D$235,F$4)</x:f>
        <x:v>0</x:v>
      </x:c>
      <x:c r="G10" s="18">
        <x:f t="shared" si="0"/>
        <x:v>2</x:v>
      </x:c>
      <x:c r="H10" s="10"/>
    </x:row>
    <x:row r="11" ht="15" customHeight="1">
      <x:c r="A11" s="22" t="s">
        <x:v>651</x:v>
      </x:c>
      <x:c r="B11" s="16" t="n">
        <x:f>SUMIFS('Data (parsed)'!$I$2:$I$235,'Data (parsed)'!$B$2:$B$235,"Conscience",'Data (parsed)'!$C$2:$C$235,$A11,'Data (parsed)'!$D$2:$D$235,B$4)</x:f>
        <x:v>1</x:v>
      </x:c>
      <x:c r="C11" s="16" t="n">
        <x:f>SUMIFS('Data (parsed)'!$I$2:$I$235,'Data (parsed)'!$B$2:$B$235,"Conscience",'Data (parsed)'!$C$2:$C$235,$A11,'Data (parsed)'!$D$2:$D$235,C$4)</x:f>
        <x:v>1</x:v>
      </x:c>
      <x:c r="D11" s="16" t="n">
        <x:f>SUMIFS('Data (parsed)'!$I$2:$I$235,'Data (parsed)'!$B$2:$B$235,"Conscience",'Data (parsed)'!$C$2:$C$235,$A11,'Data (parsed)'!$D$2:$D$235,D$4)</x:f>
        <x:v>0</x:v>
      </x:c>
      <x:c r="E11" s="16" t="n">
        <x:f>SUMIFS('Data (parsed)'!$I$2:$I$235,'Data (parsed)'!$B$2:$B$235,"Conscience",'Data (parsed)'!$C$2:$C$235,$A11,'Data (parsed)'!$D$2:$D$235,E$4)</x:f>
        <x:v>0</x:v>
      </x:c>
      <x:c r="F11" s="16" t="n">
        <x:f>SUMIFS('Data (parsed)'!$I$2:$I$235,'Data (parsed)'!$B$2:$B$235,"Conscience",'Data (parsed)'!$C$2:$C$235,$A11,'Data (parsed)'!$D$2:$D$235,F$4)</x:f>
        <x:v>0</x:v>
      </x:c>
      <x:c r="G11" s="18">
        <x:f t="shared" si="0"/>
        <x:v>2</x:v>
      </x:c>
      <x:c r="H11" s="10"/>
    </x:row>
    <x:row r="12" ht="15" customHeight="1">
      <x:c r="A12" s="22" t="s">
        <x:v>949</x:v>
      </x:c>
      <x:c r="B12" s="16" t="n">
        <x:f>SUMIFS('Data (parsed)'!$I$2:$I$235,'Data (parsed)'!$B$2:$B$235,"Conscience",'Data (parsed)'!$C$2:$C$235,$A12,'Data (parsed)'!$D$2:$D$235,B$4)</x:f>
        <x:v>0</x:v>
      </x:c>
      <x:c r="C12" s="16" t="n">
        <x:f>SUMIFS('Data (parsed)'!$I$2:$I$235,'Data (parsed)'!$B$2:$B$235,"Conscience",'Data (parsed)'!$C$2:$C$235,$A12,'Data (parsed)'!$D$2:$D$235,C$4)</x:f>
        <x:v>0</x:v>
      </x:c>
      <x:c r="D12" s="16" t="n">
        <x:f>SUMIFS('Data (parsed)'!$I$2:$I$235,'Data (parsed)'!$B$2:$B$235,"Conscience",'Data (parsed)'!$C$2:$C$235,$A12,'Data (parsed)'!$D$2:$D$235,D$4)</x:f>
        <x:v>1</x:v>
      </x:c>
      <x:c r="E12" s="16" t="n">
        <x:f>SUMIFS('Data (parsed)'!$I$2:$I$235,'Data (parsed)'!$B$2:$B$235,"Conscience",'Data (parsed)'!$C$2:$C$235,$A12,'Data (parsed)'!$D$2:$D$235,E$4)</x:f>
        <x:v>0</x:v>
      </x:c>
      <x:c r="F12" s="16" t="n">
        <x:f>SUMIFS('Data (parsed)'!$I$2:$I$235,'Data (parsed)'!$B$2:$B$235,"Conscience",'Data (parsed)'!$C$2:$C$235,$A12,'Data (parsed)'!$D$2:$D$235,F$4)</x:f>
        <x:v>0</x:v>
      </x:c>
      <x:c r="G12" s="18">
        <x:f t="shared" si="0"/>
        <x:v>1</x:v>
      </x:c>
      <x:c r="H12" s="10"/>
    </x:row>
    <x:row r="13" ht="15" customHeight="1">
      <x:c r="A13" s="22" t="s">
        <x:v>950</x:v>
      </x:c>
      <x:c r="B13" s="16" t="n">
        <x:f>SUMIFS('Data (parsed)'!$I$2:$I$235,'Data (parsed)'!$B$2:$B$235,"Conscience",'Data (parsed)'!$C$2:$C$235,$A13,'Data (parsed)'!$D$2:$D$235,B$4)</x:f>
        <x:v>0</x:v>
      </x:c>
      <x:c r="C13" s="16" t="n">
        <x:f>SUMIFS('Data (parsed)'!$I$2:$I$235,'Data (parsed)'!$B$2:$B$235,"Conscience",'Data (parsed)'!$C$2:$C$235,$A13,'Data (parsed)'!$D$2:$D$235,C$4)</x:f>
        <x:v>0</x:v>
      </x:c>
      <x:c r="D13" s="16" t="n">
        <x:f>SUMIFS('Data (parsed)'!$I$2:$I$235,'Data (parsed)'!$B$2:$B$235,"Conscience",'Data (parsed)'!$C$2:$C$235,$A13,'Data (parsed)'!$D$2:$D$235,D$4)</x:f>
        <x:v>0</x:v>
      </x:c>
      <x:c r="E13" s="16" t="n">
        <x:f>SUMIFS('Data (parsed)'!$I$2:$I$235,'Data (parsed)'!$B$2:$B$235,"Conscience",'Data (parsed)'!$C$2:$C$235,$A13,'Data (parsed)'!$D$2:$D$235,E$4)</x:f>
        <x:v>1</x:v>
      </x:c>
      <x:c r="F13" s="16" t="n">
        <x:f>SUMIFS('Data (parsed)'!$I$2:$I$235,'Data (parsed)'!$B$2:$B$235,"Conscience",'Data (parsed)'!$C$2:$C$235,$A13,'Data (parsed)'!$D$2:$D$235,F$4)</x:f>
        <x:v>0</x:v>
      </x:c>
      <x:c r="G13" s="18">
        <x:f t="shared" si="0"/>
        <x:v>1</x:v>
      </x:c>
      <x:c r="H13" s="10"/>
    </x:row>
    <x:row r="14" ht="15" customHeight="1">
      <x:c r="A14" s="22" t="s">
        <x:v>951</x:v>
      </x:c>
      <x:c r="B14" s="16" t="n">
        <x:f>SUMIFS('Data (parsed)'!$I$2:$I$235,'Data (parsed)'!$B$2:$B$235,"Conscience",'Data (parsed)'!$C$2:$C$235,$A14,'Data (parsed)'!$D$2:$D$235,B$4)</x:f>
        <x:v>1</x:v>
      </x:c>
      <x:c r="C14" s="16" t="n">
        <x:f>SUMIFS('Data (parsed)'!$I$2:$I$235,'Data (parsed)'!$B$2:$B$235,"Conscience",'Data (parsed)'!$C$2:$C$235,$A14,'Data (parsed)'!$D$2:$D$235,C$4)</x:f>
        <x:v>0</x:v>
      </x:c>
      <x:c r="D14" s="16" t="n">
        <x:f>SUMIFS('Data (parsed)'!$I$2:$I$235,'Data (parsed)'!$B$2:$B$235,"Conscience",'Data (parsed)'!$C$2:$C$235,$A14,'Data (parsed)'!$D$2:$D$235,D$4)</x:f>
        <x:v>0</x:v>
      </x:c>
      <x:c r="E14" s="16" t="n">
        <x:f>SUMIFS('Data (parsed)'!$I$2:$I$235,'Data (parsed)'!$B$2:$B$235,"Conscience",'Data (parsed)'!$C$2:$C$235,$A14,'Data (parsed)'!$D$2:$D$235,E$4)</x:f>
        <x:v>0</x:v>
      </x:c>
      <x:c r="F14" s="16" t="n">
        <x:f>SUMIFS('Data (parsed)'!$I$2:$I$235,'Data (parsed)'!$B$2:$B$235,"Conscience",'Data (parsed)'!$C$2:$C$235,$A14,'Data (parsed)'!$D$2:$D$235,F$4)</x:f>
        <x:v>0</x:v>
      </x:c>
      <x:c r="G14" s="18">
        <x:f t="shared" si="0"/>
        <x:v>1</x:v>
      </x:c>
      <x:c r="H14" s="10"/>
    </x:row>
    <x:row r="15" ht="15" customHeight="1">
      <x:c r="A15" s="22" t="s">
        <x:v>952</x:v>
      </x:c>
      <x:c r="B15" s="16" t="n">
        <x:f>SUMIFS('Data (parsed)'!$I$2:$I$235,'Data (parsed)'!$B$2:$B$235,"Conscience",'Data (parsed)'!$C$2:$C$235,$A15,'Data (parsed)'!$D$2:$D$235,B$4)</x:f>
        <x:v>0</x:v>
      </x:c>
      <x:c r="C15" s="16" t="n">
        <x:f>SUMIFS('Data (parsed)'!$I$2:$I$235,'Data (parsed)'!$B$2:$B$235,"Conscience",'Data (parsed)'!$C$2:$C$235,$A15,'Data (parsed)'!$D$2:$D$235,C$4)</x:f>
        <x:v>0</x:v>
      </x:c>
      <x:c r="D15" s="16" t="n">
        <x:f>SUMIFS('Data (parsed)'!$I$2:$I$235,'Data (parsed)'!$B$2:$B$235,"Conscience",'Data (parsed)'!$C$2:$C$235,$A15,'Data (parsed)'!$D$2:$D$235,D$4)</x:f>
        <x:v>1</x:v>
      </x:c>
      <x:c r="E15" s="16" t="n">
        <x:f>SUMIFS('Data (parsed)'!$I$2:$I$235,'Data (parsed)'!$B$2:$B$235,"Conscience",'Data (parsed)'!$C$2:$C$235,$A15,'Data (parsed)'!$D$2:$D$235,E$4)</x:f>
        <x:v>0</x:v>
      </x:c>
      <x:c r="F15" s="16" t="n">
        <x:f>SUMIFS('Data (parsed)'!$I$2:$I$235,'Data (parsed)'!$B$2:$B$235,"Conscience",'Data (parsed)'!$C$2:$C$235,$A15,'Data (parsed)'!$D$2:$D$235,F$4)</x:f>
        <x:v>0</x:v>
      </x:c>
      <x:c r="G15" s="18">
        <x:f t="shared" si="0"/>
        <x:v>1</x:v>
      </x:c>
      <x:c r="H15" s="10"/>
    </x:row>
    <x:row r="16" ht="15" customHeight="1">
      <x:c r="A16" s="17" t="s">
        <x:v>908</x:v>
      </x:c>
      <x:c r="B16" s="18" t="n">
        <x:f t="shared" ref="B16:G16" si="1">SUM(B5:B15)</x:f>
        <x:v>3</x:v>
      </x:c>
      <x:c r="C16" s="18">
        <x:f t="shared" si="1"/>
        <x:v>6</x:v>
      </x:c>
      <x:c r="D16" s="18">
        <x:f t="shared" si="1"/>
        <x:v>5</x:v>
      </x:c>
      <x:c r="E16" s="18">
        <x:f t="shared" si="1"/>
        <x:v>17</x:v>
      </x:c>
      <x:c r="F16" s="18">
        <x:f t="shared" si="1"/>
        <x:v>8</x:v>
      </x:c>
      <x:c r="G16" s="18">
        <x:f t="shared" si="1"/>
        <x:v>39</x:v>
      </x:c>
      <x:c r="H16" s="10"/>
    </x:row>
    <x:row r="17" ht="14.25" customHeight="1">
      <x:c r="A17" s="10"/>
      <x:c r="B17" s="10"/>
      <x:c r="C17" s="10"/>
      <x:c r="D17" s="10"/>
      <x:c r="E17" s="10"/>
      <x:c r="F17" s="10"/>
      <x:c r="G17" s="10"/>
      <x:c r="H17" s="10"/>
    </x:row>
    <x:row r="18" ht="15" customHeight="1">
      <x:c r="A18" s="13" t="s">
        <x:v>953</x:v>
      </x:c>
      <x:c r="B18" s="10"/>
      <x:c r="C18" s="10"/>
      <x:c r="D18" s="10"/>
      <x:c r="E18" s="10"/>
      <x:c r="F18" s="10"/>
      <x:c r="G18" s="10"/>
      <x:c r="H18" s="10"/>
    </x:row>
    <x:row r="19" ht="15" customHeight="1">
      <x:c r="A19" s="14" t="s">
        <x:v>918</x:v>
      </x:c>
      <x:c r="B19" s="14" t="s">
        <x:v>14</x:v>
      </x:c>
      <x:c r="C19" s="14" t="s">
        <x:v>95</x:v>
      </x:c>
      <x:c r="D19" s="14" t="s">
        <x:v>84</x:v>
      </x:c>
      <x:c r="E19" s="14" t="s">
        <x:v>89</x:v>
      </x:c>
      <x:c r="F19" s="14" t="s">
        <x:v>931</x:v>
      </x:c>
      <x:c r="G19" s="14" t="s">
        <x:v>903</x:v>
      </x:c>
      <x:c r="H19" s="10"/>
    </x:row>
    <x:row r="20" ht="26.25" customHeight="1">
      <x:c r="A20" s="22" t="s">
        <x:v>943</x:v>
      </x:c>
      <x:c r="B20" s="16" t="n">
        <x:f>COUNTIFS('Data (parsed)'!$E$2:$E$235,B$19,'Data (parsed)'!$B$2:$B$235,"Conscience",'Data (parsed)'!$C$2:$C$235,$A20)</x:f>
        <x:v>6</x:v>
      </x:c>
      <x:c r="C20" s="16" t="n">
        <x:f>COUNTIFS('Data (parsed)'!$E$2:$E$235,C$19,'Data (parsed)'!$B$2:$B$235,"Conscience",'Data (parsed)'!$C$2:$C$235,$A20)</x:f>
        <x:v>0</x:v>
      </x:c>
      <x:c r="D20" s="16" t="n">
        <x:f>COUNTIFS('Data (parsed)'!$E$2:$E$235,D$19,'Data (parsed)'!$B$2:$B$235,"Conscience",'Data (parsed)'!$C$2:$C$235,$A20)</x:f>
        <x:v>0</x:v>
      </x:c>
      <x:c r="E20" s="16" t="n">
        <x:f>COUNTIFS('Data (parsed)'!$E$2:$E$235,E$19,'Data (parsed)'!$B$2:$B$235,"Conscience",'Data (parsed)'!$C$2:$C$235,$A20)</x:f>
        <x:v>0</x:v>
      </x:c>
      <x:c r="F20" s="16" t="n">
        <x:f>SUMIFS('Data (parsed)'!$I$2:$I$235,'Data (parsed)'!$B$2:$B$235,"Conscience",'Data (parsed)'!$C$2:$C$235,$A20,'Data (parsed)'!$J$2:$J$235,0)</x:f>
        <x:v>3</x:v>
      </x:c>
      <x:c r="G20" s="18" t="n">
        <x:f>SUMIFS('Data (parsed)'!$I$2:$I$235,'Data (parsed)'!$B$2:$B$235,"Conscience",'Data (parsed)'!$C$2:$C$235,$A20)</x:f>
        <x:v>9</x:v>
      </x:c>
      <x:c r="H20" s="10"/>
    </x:row>
    <x:row r="21" ht="15" customHeight="1">
      <x:c r="A21" s="22" t="s">
        <x:v>944</x:v>
      </x:c>
      <x:c r="B21" s="16" t="n">
        <x:f>COUNTIFS('Data (parsed)'!$E$2:$E$235,B$19,'Data (parsed)'!$B$2:$B$235,"Conscience",'Data (parsed)'!$C$2:$C$235,$A21)</x:f>
        <x:v>5</x:v>
      </x:c>
      <x:c r="C21" s="16" t="n">
        <x:f>COUNTIFS('Data (parsed)'!$E$2:$E$235,C$19,'Data (parsed)'!$B$2:$B$235,"Conscience",'Data (parsed)'!$C$2:$C$235,$A21)</x:f>
        <x:v>0</x:v>
      </x:c>
      <x:c r="D21" s="16" t="n">
        <x:f>COUNTIFS('Data (parsed)'!$E$2:$E$235,D$19,'Data (parsed)'!$B$2:$B$235,"Conscience",'Data (parsed)'!$C$2:$C$235,$A21)</x:f>
        <x:v>2</x:v>
      </x:c>
      <x:c r="E21" s="16" t="n">
        <x:f>COUNTIFS('Data (parsed)'!$E$2:$E$235,E$19,'Data (parsed)'!$B$2:$B$235,"Conscience",'Data (parsed)'!$C$2:$C$235,$A21)</x:f>
        <x:v>0</x:v>
      </x:c>
      <x:c r="F21" s="16" t="n">
        <x:f>SUMIFS('Data (parsed)'!$I$2:$I$235,'Data (parsed)'!$B$2:$B$235,"Conscience",'Data (parsed)'!$C$2:$C$235,$A21,'Data (parsed)'!$J$2:$J$235,0)</x:f>
        <x:v>1</x:v>
      </x:c>
      <x:c r="G21" s="18" t="n">
        <x:f>SUMIFS('Data (parsed)'!$I$2:$I$235,'Data (parsed)'!$B$2:$B$235,"Conscience",'Data (parsed)'!$C$2:$C$235,$A21)</x:f>
        <x:v>8</x:v>
      </x:c>
      <x:c r="H21" s="10"/>
    </x:row>
    <x:row r="22" ht="15" customHeight="1">
      <x:c r="A22" s="22" t="s">
        <x:v>945</x:v>
      </x:c>
      <x:c r="B22" s="16" t="n">
        <x:f>COUNTIFS('Data (parsed)'!$E$2:$E$235,B$19,'Data (parsed)'!$B$2:$B$235,"Conscience",'Data (parsed)'!$C$2:$C$235,$A22)</x:f>
        <x:v>6</x:v>
      </x:c>
      <x:c r="C22" s="16" t="n">
        <x:f>COUNTIFS('Data (parsed)'!$E$2:$E$235,C$19,'Data (parsed)'!$B$2:$B$235,"Conscience",'Data (parsed)'!$C$2:$C$235,$A22)</x:f>
        <x:v>0</x:v>
      </x:c>
      <x:c r="D22" s="16" t="n">
        <x:f>COUNTIFS('Data (parsed)'!$E$2:$E$235,D$19,'Data (parsed)'!$B$2:$B$235,"Conscience",'Data (parsed)'!$C$2:$C$235,$A22)</x:f>
        <x:v>0</x:v>
      </x:c>
      <x:c r="E22" s="16" t="n">
        <x:f>COUNTIFS('Data (parsed)'!$E$2:$E$235,E$19,'Data (parsed)'!$B$2:$B$235,"Conscience",'Data (parsed)'!$C$2:$C$235,$A22)</x:f>
        <x:v>1</x:v>
      </x:c>
      <x:c r="F22" s="16" t="n">
        <x:f>SUMIFS('Data (parsed)'!$I$2:$I$235,'Data (parsed)'!$B$2:$B$235,"Conscience",'Data (parsed)'!$C$2:$C$235,$A22,'Data (parsed)'!$J$2:$J$235,0)</x:f>
        <x:v>0</x:v>
      </x:c>
      <x:c r="G22" s="18" t="n">
        <x:f>SUMIFS('Data (parsed)'!$I$2:$I$235,'Data (parsed)'!$B$2:$B$235,"Conscience",'Data (parsed)'!$C$2:$C$235,$A22)</x:f>
        <x:v>7</x:v>
      </x:c>
      <x:c r="H22" s="10"/>
    </x:row>
    <x:row r="23" ht="15" customHeight="1">
      <x:c r="A23" s="22" t="s">
        <x:v>946</x:v>
      </x:c>
      <x:c r="B23" s="16" t="n">
        <x:f>COUNTIFS('Data (parsed)'!$E$2:$E$235,B$19,'Data (parsed)'!$B$2:$B$235,"Conscience",'Data (parsed)'!$C$2:$C$235,$A23)</x:f>
        <x:v>3</x:v>
      </x:c>
      <x:c r="C23" s="16" t="n">
        <x:f>COUNTIFS('Data (parsed)'!$E$2:$E$235,C$19,'Data (parsed)'!$B$2:$B$235,"Conscience",'Data (parsed)'!$C$2:$C$235,$A23)</x:f>
        <x:v>0</x:v>
      </x:c>
      <x:c r="D23" s="16" t="n">
        <x:f>COUNTIFS('Data (parsed)'!$E$2:$E$235,D$19,'Data (parsed)'!$B$2:$B$235,"Conscience",'Data (parsed)'!$C$2:$C$235,$A23)</x:f>
        <x:v>0</x:v>
      </x:c>
      <x:c r="E23" s="16" t="n">
        <x:f>COUNTIFS('Data (parsed)'!$E$2:$E$235,E$19,'Data (parsed)'!$B$2:$B$235,"Conscience",'Data (parsed)'!$C$2:$C$235,$A23)</x:f>
        <x:v>0</x:v>
      </x:c>
      <x:c r="F23" s="16" t="n">
        <x:f>SUMIFS('Data (parsed)'!$I$2:$I$235,'Data (parsed)'!$B$2:$B$235,"Conscience",'Data (parsed)'!$C$2:$C$235,$A23,'Data (parsed)'!$J$2:$J$235,0)</x:f>
        <x:v>1</x:v>
      </x:c>
      <x:c r="G23" s="18" t="n">
        <x:f>SUMIFS('Data (parsed)'!$I$2:$I$235,'Data (parsed)'!$B$2:$B$235,"Conscience",'Data (parsed)'!$C$2:$C$235,$A23)</x:f>
        <x:v>4</x:v>
      </x:c>
      <x:c r="H23" s="10"/>
    </x:row>
    <x:row r="24" ht="15" customHeight="1">
      <x:c r="A24" s="22" t="s">
        <x:v>947</x:v>
      </x:c>
      <x:c r="B24" s="16" t="n">
        <x:f>COUNTIFS('Data (parsed)'!$E$2:$E$235,B$19,'Data (parsed)'!$B$2:$B$235,"Conscience",'Data (parsed)'!$C$2:$C$235,$A24)</x:f>
        <x:v>3</x:v>
      </x:c>
      <x:c r="C24" s="16" t="n">
        <x:f>COUNTIFS('Data (parsed)'!$E$2:$E$235,C$19,'Data (parsed)'!$B$2:$B$235,"Conscience",'Data (parsed)'!$C$2:$C$235,$A24)</x:f>
        <x:v>0</x:v>
      </x:c>
      <x:c r="D24" s="16" t="n">
        <x:f>COUNTIFS('Data (parsed)'!$E$2:$E$235,D$19,'Data (parsed)'!$B$2:$B$235,"Conscience",'Data (parsed)'!$C$2:$C$235,$A24)</x:f>
        <x:v>0</x:v>
      </x:c>
      <x:c r="E24" s="16" t="n">
        <x:f>COUNTIFS('Data (parsed)'!$E$2:$E$235,E$19,'Data (parsed)'!$B$2:$B$235,"Conscience",'Data (parsed)'!$C$2:$C$235,$A24)</x:f>
        <x:v>0</x:v>
      </x:c>
      <x:c r="F24" s="16" t="n">
        <x:f>SUMIFS('Data (parsed)'!$I$2:$I$235,'Data (parsed)'!$B$2:$B$235,"Conscience",'Data (parsed)'!$C$2:$C$235,$A24,'Data (parsed)'!$J$2:$J$235,0)</x:f>
        <x:v>0</x:v>
      </x:c>
      <x:c r="G24" s="18" t="n">
        <x:f>SUMIFS('Data (parsed)'!$I$2:$I$235,'Data (parsed)'!$B$2:$B$235,"Conscience",'Data (parsed)'!$C$2:$C$235,$A24)</x:f>
        <x:v>3</x:v>
      </x:c>
      <x:c r="H24" s="10"/>
    </x:row>
    <x:row r="25" ht="15" customHeight="1">
      <x:c r="A25" s="22" t="s">
        <x:v>948</x:v>
      </x:c>
      <x:c r="B25" s="16" t="n">
        <x:f>COUNTIFS('Data (parsed)'!$E$2:$E$235,B$19,'Data (parsed)'!$B$2:$B$235,"Conscience",'Data (parsed)'!$C$2:$C$235,$A25)</x:f>
        <x:v>2</x:v>
      </x:c>
      <x:c r="C25" s="16" t="n">
        <x:f>COUNTIFS('Data (parsed)'!$E$2:$E$235,C$19,'Data (parsed)'!$B$2:$B$235,"Conscience",'Data (parsed)'!$C$2:$C$235,$A25)</x:f>
        <x:v>0</x:v>
      </x:c>
      <x:c r="D25" s="16" t="n">
        <x:f>COUNTIFS('Data (parsed)'!$E$2:$E$235,D$19,'Data (parsed)'!$B$2:$B$235,"Conscience",'Data (parsed)'!$C$2:$C$235,$A25)</x:f>
        <x:v>0</x:v>
      </x:c>
      <x:c r="E25" s="16" t="n">
        <x:f>COUNTIFS('Data (parsed)'!$E$2:$E$235,E$19,'Data (parsed)'!$B$2:$B$235,"Conscience",'Data (parsed)'!$C$2:$C$235,$A25)</x:f>
        <x:v>0</x:v>
      </x:c>
      <x:c r="F25" s="16" t="n">
        <x:f>SUMIFS('Data (parsed)'!$I$2:$I$235,'Data (parsed)'!$B$2:$B$235,"Conscience",'Data (parsed)'!$C$2:$C$235,$A25,'Data (parsed)'!$J$2:$J$235,0)</x:f>
        <x:v>0</x:v>
      </x:c>
      <x:c r="G25" s="18" t="n">
        <x:f>SUMIFS('Data (parsed)'!$I$2:$I$235,'Data (parsed)'!$B$2:$B$235,"Conscience",'Data (parsed)'!$C$2:$C$235,$A25)</x:f>
        <x:v>2</x:v>
      </x:c>
      <x:c r="H25" s="10"/>
    </x:row>
    <x:row r="26" ht="15" customHeight="1">
      <x:c r="A26" s="22" t="s">
        <x:v>651</x:v>
      </x:c>
      <x:c r="B26" s="16" t="n">
        <x:f>COUNTIFS('Data (parsed)'!$E$2:$E$235,B$19,'Data (parsed)'!$B$2:$B$235,"Conscience",'Data (parsed)'!$C$2:$C$235,$A26)</x:f>
        <x:v>2</x:v>
      </x:c>
      <x:c r="C26" s="16" t="n">
        <x:f>COUNTIFS('Data (parsed)'!$E$2:$E$235,C$19,'Data (parsed)'!$B$2:$B$235,"Conscience",'Data (parsed)'!$C$2:$C$235,$A26)</x:f>
        <x:v>0</x:v>
      </x:c>
      <x:c r="D26" s="16" t="n">
        <x:f>COUNTIFS('Data (parsed)'!$E$2:$E$235,D$19,'Data (parsed)'!$B$2:$B$235,"Conscience",'Data (parsed)'!$C$2:$C$235,$A26)</x:f>
        <x:v>0</x:v>
      </x:c>
      <x:c r="E26" s="16" t="n">
        <x:f>COUNTIFS('Data (parsed)'!$E$2:$E$235,E$19,'Data (parsed)'!$B$2:$B$235,"Conscience",'Data (parsed)'!$C$2:$C$235,$A26)</x:f>
        <x:v>0</x:v>
      </x:c>
      <x:c r="F26" s="16" t="n">
        <x:f>SUMIFS('Data (parsed)'!$I$2:$I$235,'Data (parsed)'!$B$2:$B$235,"Conscience",'Data (parsed)'!$C$2:$C$235,$A26,'Data (parsed)'!$J$2:$J$235,0)</x:f>
        <x:v>0</x:v>
      </x:c>
      <x:c r="G26" s="18" t="n">
        <x:f>SUMIFS('Data (parsed)'!$I$2:$I$235,'Data (parsed)'!$B$2:$B$235,"Conscience",'Data (parsed)'!$C$2:$C$235,$A26)</x:f>
        <x:v>2</x:v>
      </x:c>
      <x:c r="H26" s="10"/>
    </x:row>
    <x:row r="27" ht="15" customHeight="1">
      <x:c r="A27" s="22" t="s">
        <x:v>949</x:v>
      </x:c>
      <x:c r="B27" s="16" t="n">
        <x:f>COUNTIFS('Data (parsed)'!$E$2:$E$235,B$19,'Data (parsed)'!$B$2:$B$235,"Conscience",'Data (parsed)'!$C$2:$C$235,$A27)</x:f>
        <x:v>1</x:v>
      </x:c>
      <x:c r="C27" s="16" t="n">
        <x:f>COUNTIFS('Data (parsed)'!$E$2:$E$235,C$19,'Data (parsed)'!$B$2:$B$235,"Conscience",'Data (parsed)'!$C$2:$C$235,$A27)</x:f>
        <x:v>0</x:v>
      </x:c>
      <x:c r="D27" s="16" t="n">
        <x:f>COUNTIFS('Data (parsed)'!$E$2:$E$235,D$19,'Data (parsed)'!$B$2:$B$235,"Conscience",'Data (parsed)'!$C$2:$C$235,$A27)</x:f>
        <x:v>0</x:v>
      </x:c>
      <x:c r="E27" s="16" t="n">
        <x:f>COUNTIFS('Data (parsed)'!$E$2:$E$235,E$19,'Data (parsed)'!$B$2:$B$235,"Conscience",'Data (parsed)'!$C$2:$C$235,$A27)</x:f>
        <x:v>0</x:v>
      </x:c>
      <x:c r="F27" s="16" t="n">
        <x:f>SUMIFS('Data (parsed)'!$I$2:$I$235,'Data (parsed)'!$B$2:$B$235,"Conscience",'Data (parsed)'!$C$2:$C$235,$A27,'Data (parsed)'!$J$2:$J$235,0)</x:f>
        <x:v>0</x:v>
      </x:c>
      <x:c r="G27" s="18" t="n">
        <x:f>SUMIFS('Data (parsed)'!$I$2:$I$235,'Data (parsed)'!$B$2:$B$235,"Conscience",'Data (parsed)'!$C$2:$C$235,$A27)</x:f>
        <x:v>1</x:v>
      </x:c>
      <x:c r="H27" s="10"/>
    </x:row>
    <x:row r="28" ht="15" customHeight="1">
      <x:c r="A28" s="22" t="s">
        <x:v>950</x:v>
      </x:c>
      <x:c r="B28" s="16" t="n">
        <x:f>COUNTIFS('Data (parsed)'!$E$2:$E$235,B$19,'Data (parsed)'!$B$2:$B$235,"Conscience",'Data (parsed)'!$C$2:$C$235,$A28)</x:f>
        <x:v>1</x:v>
      </x:c>
      <x:c r="C28" s="16" t="n">
        <x:f>COUNTIFS('Data (parsed)'!$E$2:$E$235,C$19,'Data (parsed)'!$B$2:$B$235,"Conscience",'Data (parsed)'!$C$2:$C$235,$A28)</x:f>
        <x:v>0</x:v>
      </x:c>
      <x:c r="D28" s="16" t="n">
        <x:f>COUNTIFS('Data (parsed)'!$E$2:$E$235,D$19,'Data (parsed)'!$B$2:$B$235,"Conscience",'Data (parsed)'!$C$2:$C$235,$A28)</x:f>
        <x:v>0</x:v>
      </x:c>
      <x:c r="E28" s="16" t="n">
        <x:f>COUNTIFS('Data (parsed)'!$E$2:$E$235,E$19,'Data (parsed)'!$B$2:$B$235,"Conscience",'Data (parsed)'!$C$2:$C$235,$A28)</x:f>
        <x:v>0</x:v>
      </x:c>
      <x:c r="F28" s="16" t="n">
        <x:f>SUMIFS('Data (parsed)'!$I$2:$I$235,'Data (parsed)'!$B$2:$B$235,"Conscience",'Data (parsed)'!$C$2:$C$235,$A28,'Data (parsed)'!$J$2:$J$235,0)</x:f>
        <x:v>0</x:v>
      </x:c>
      <x:c r="G28" s="18" t="n">
        <x:f>SUMIFS('Data (parsed)'!$I$2:$I$235,'Data (parsed)'!$B$2:$B$235,"Conscience",'Data (parsed)'!$C$2:$C$235,$A28)</x:f>
        <x:v>1</x:v>
      </x:c>
      <x:c r="H28" s="10"/>
    </x:row>
    <x:row r="29" ht="15" customHeight="1">
      <x:c r="A29" s="22" t="s">
        <x:v>951</x:v>
      </x:c>
      <x:c r="B29" s="16" t="n">
        <x:f>COUNTIFS('Data (parsed)'!$E$2:$E$235,B$19,'Data (parsed)'!$B$2:$B$235,"Conscience",'Data (parsed)'!$C$2:$C$235,$A29)</x:f>
        <x:v>1</x:v>
      </x:c>
      <x:c r="C29" s="16" t="n">
        <x:f>COUNTIFS('Data (parsed)'!$E$2:$E$235,C$19,'Data (parsed)'!$B$2:$B$235,"Conscience",'Data (parsed)'!$C$2:$C$235,$A29)</x:f>
        <x:v>0</x:v>
      </x:c>
      <x:c r="D29" s="16" t="n">
        <x:f>COUNTIFS('Data (parsed)'!$E$2:$E$235,D$19,'Data (parsed)'!$B$2:$B$235,"Conscience",'Data (parsed)'!$C$2:$C$235,$A29)</x:f>
        <x:v>0</x:v>
      </x:c>
      <x:c r="E29" s="16" t="n">
        <x:f>COUNTIFS('Data (parsed)'!$E$2:$E$235,E$19,'Data (parsed)'!$B$2:$B$235,"Conscience",'Data (parsed)'!$C$2:$C$235,$A29)</x:f>
        <x:v>0</x:v>
      </x:c>
      <x:c r="F29" s="16" t="n">
        <x:f>SUMIFS('Data (parsed)'!$I$2:$I$235,'Data (parsed)'!$B$2:$B$235,"Conscience",'Data (parsed)'!$C$2:$C$235,$A29,'Data (parsed)'!$J$2:$J$235,0)</x:f>
        <x:v>0</x:v>
      </x:c>
      <x:c r="G29" s="18" t="n">
        <x:f>SUMIFS('Data (parsed)'!$I$2:$I$235,'Data (parsed)'!$B$2:$B$235,"Conscience",'Data (parsed)'!$C$2:$C$235,$A29)</x:f>
        <x:v>1</x:v>
      </x:c>
      <x:c r="H29" s="10"/>
    </x:row>
    <x:row r="30" ht="15" customHeight="1">
      <x:c r="A30" s="22" t="s">
        <x:v>952</x:v>
      </x:c>
      <x:c r="B30" s="16" t="n">
        <x:f>COUNTIFS('Data (parsed)'!$E$2:$E$235,B$19,'Data (parsed)'!$B$2:$B$235,"Conscience",'Data (parsed)'!$C$2:$C$235,$A30)</x:f>
        <x:v>1</x:v>
      </x:c>
      <x:c r="C30" s="16" t="n">
        <x:f>COUNTIFS('Data (parsed)'!$E$2:$E$235,C$19,'Data (parsed)'!$B$2:$B$235,"Conscience",'Data (parsed)'!$C$2:$C$235,$A30)</x:f>
        <x:v>0</x:v>
      </x:c>
      <x:c r="D30" s="16" t="n">
        <x:f>COUNTIFS('Data (parsed)'!$E$2:$E$235,D$19,'Data (parsed)'!$B$2:$B$235,"Conscience",'Data (parsed)'!$C$2:$C$235,$A30)</x:f>
        <x:v>0</x:v>
      </x:c>
      <x:c r="E30" s="16" t="n">
        <x:f>COUNTIFS('Data (parsed)'!$E$2:$E$235,E$19,'Data (parsed)'!$B$2:$B$235,"Conscience",'Data (parsed)'!$C$2:$C$235,$A30)</x:f>
        <x:v>0</x:v>
      </x:c>
      <x:c r="F30" s="16" t="n">
        <x:f>SUMIFS('Data (parsed)'!$I$2:$I$235,'Data (parsed)'!$B$2:$B$235,"Conscience",'Data (parsed)'!$C$2:$C$235,$A30,'Data (parsed)'!$J$2:$J$235,0)</x:f>
        <x:v>0</x:v>
      </x:c>
      <x:c r="G30" s="18" t="n">
        <x:f>SUMIFS('Data (parsed)'!$I$2:$I$235,'Data (parsed)'!$B$2:$B$235,"Conscience",'Data (parsed)'!$C$2:$C$235,$A30)</x:f>
        <x:v>1</x:v>
      </x:c>
      <x:c r="H30" s="10"/>
    </x:row>
    <x:row r="31" ht="15" customHeight="1">
      <x:c r="A31" s="17" t="s">
        <x:v>908</x:v>
      </x:c>
      <x:c r="B31" s="18" t="n">
        <x:f t="shared" ref="B31:G31" si="2">SUM(B20:B30)</x:f>
        <x:v>31</x:v>
      </x:c>
      <x:c r="C31" s="18">
        <x:f t="shared" si="2"/>
        <x:v>0</x:v>
      </x:c>
      <x:c r="D31" s="18">
        <x:f t="shared" si="2"/>
        <x:v>2</x:v>
      </x:c>
      <x:c r="E31" s="18">
        <x:f t="shared" si="2"/>
        <x:v>1</x:v>
      </x:c>
      <x:c r="F31" s="18">
        <x:f t="shared" si="2"/>
        <x:v>5</x:v>
      </x:c>
      <x:c r="G31" s="18">
        <x:f t="shared" si="2"/>
        <x:v>39</x:v>
      </x:c>
      <x:c r="H31" s="10"/>
    </x:row>
    <x:row r="32" ht="14.25" customHeight="1">
      <x:c r="A32" s="10"/>
      <x:c r="B32" s="10"/>
      <x:c r="C32" s="10"/>
      <x:c r="D32" s="10"/>
      <x:c r="E32" s="10"/>
      <x:c r="F32" s="10"/>
      <x:c r="G32" s="10"/>
      <x:c r="H32" s="10"/>
    </x:row>
    <x:row r="33" ht="14.25" customHeight="1">
      <x:c r="A33" s="10"/>
      <x:c r="B33" s="10"/>
      <x:c r="C33" s="10"/>
      <x:c r="D33" s="10"/>
      <x:c r="E33" s="10"/>
      <x:c r="F33" s="10"/>
      <x:c r="G33" s="10"/>
      <x:c r="H33" s="10"/>
    </x:row>
    <x:row r="34" ht="14.25" customHeight="1">
      <x:c r="A34" s="10"/>
      <x:c r="B34" s="10"/>
      <x:c r="C34" s="10"/>
      <x:c r="D34" s="10"/>
      <x:c r="E34" s="10"/>
      <x:c r="F34" s="10"/>
      <x:c r="G34" s="10"/>
      <x:c r="H34" s="10"/>
    </x:row>
    <x:row r="35" ht="14.25" customHeight="1">
      <x:c r="A35" s="10"/>
      <x:c r="B35" s="10"/>
      <x:c r="C35" s="10"/>
      <x:c r="D35" s="10"/>
      <x:c r="E35" s="10"/>
      <x:c r="F35" s="10"/>
      <x:c r="G35" s="10"/>
      <x:c r="H35" s="10"/>
    </x:row>
    <x:row r="36" ht="14.25" customHeight="1">
      <x:c r="A36" s="10"/>
      <x:c r="B36" s="10"/>
      <x:c r="C36" s="10"/>
      <x:c r="D36" s="10"/>
      <x:c r="E36" s="10"/>
      <x:c r="F36" s="10"/>
      <x:c r="G36" s="10"/>
      <x:c r="H36" s="10"/>
    </x:row>
    <x:row r="37" ht="14.25" customHeight="1">
      <x:c r="A37" s="10"/>
      <x:c r="B37" s="10"/>
      <x:c r="C37" s="10"/>
      <x:c r="D37" s="10"/>
      <x:c r="E37" s="10"/>
      <x:c r="F37" s="10"/>
      <x:c r="G37" s="10"/>
      <x:c r="H37" s="10"/>
    </x:row>
    <x:row r="38" ht="14.25" customHeight="1">
      <x:c r="A38" s="10"/>
      <x:c r="B38" s="10"/>
      <x:c r="C38" s="10"/>
      <x:c r="D38" s="10"/>
      <x:c r="E38" s="10"/>
      <x:c r="F38" s="10"/>
      <x:c r="G38" s="10"/>
      <x:c r="H38" s="10"/>
    </x:row>
    <x:row r="39" ht="14.25" customHeight="1">
      <x:c r="A39" s="10"/>
      <x:c r="B39" s="10"/>
      <x:c r="C39" s="10"/>
      <x:c r="D39" s="10"/>
      <x:c r="E39" s="10"/>
      <x:c r="F39" s="10"/>
      <x:c r="G39" s="10"/>
      <x:c r="H39" s="10"/>
    </x:row>
    <x:row r="40" ht="14.25" customHeight="1">
      <x:c r="A40" s="10"/>
      <x:c r="B40" s="10"/>
      <x:c r="C40" s="10"/>
      <x:c r="D40" s="10"/>
      <x:c r="E40" s="10"/>
      <x:c r="F40" s="10"/>
      <x:c r="G40" s="10"/>
      <x:c r="H40" s="10"/>
    </x:row>
    <x:row r="41" ht="14.25" customHeight="1">
      <x:c r="A41" s="10"/>
      <x:c r="B41" s="10"/>
      <x:c r="C41" s="10"/>
      <x:c r="D41" s="10"/>
      <x:c r="E41" s="10"/>
      <x:c r="F41" s="10"/>
      <x:c r="G41" s="10"/>
      <x:c r="H41" s="10"/>
    </x:row>
    <x:row r="42" ht="14.25" customHeight="1">
      <x:c r="A42" s="10"/>
      <x:c r="B42" s="10"/>
      <x:c r="C42" s="10"/>
      <x:c r="D42" s="10"/>
      <x:c r="E42" s="10"/>
      <x:c r="F42" s="10"/>
      <x:c r="G42" s="10"/>
      <x:c r="H42" s="10"/>
    </x:row>
    <x:row r="43" ht="14.25" customHeight="1">
      <x:c r="A43" s="10"/>
      <x:c r="B43" s="10"/>
      <x:c r="C43" s="10"/>
      <x:c r="D43" s="10"/>
      <x:c r="E43" s="10"/>
      <x:c r="F43" s="10"/>
      <x:c r="G43" s="10"/>
      <x:c r="H43" s="10"/>
    </x:row>
    <x:row r="44" ht="14.25" customHeight="1">
      <x:c r="A44" s="10"/>
      <x:c r="B44" s="10"/>
      <x:c r="C44" s="10"/>
      <x:c r="D44" s="10"/>
      <x:c r="E44" s="10"/>
      <x:c r="F44" s="10"/>
      <x:c r="G44" s="10"/>
      <x:c r="H44" s="10"/>
    </x:row>
    <x:row r="45" ht="14.25" customHeight="1">
      <x:c r="A45" s="10"/>
      <x:c r="B45" s="10"/>
      <x:c r="C45" s="10"/>
      <x:c r="D45" s="10"/>
      <x:c r="E45" s="10"/>
      <x:c r="F45" s="10"/>
      <x:c r="G45" s="10"/>
      <x:c r="H45" s="10"/>
    </x:row>
    <x:row r="46" ht="14.25" customHeight="1">
      <x:c r="A46" s="10"/>
      <x:c r="B46" s="10"/>
      <x:c r="C46" s="10"/>
      <x:c r="D46" s="10"/>
      <x:c r="E46" s="10"/>
      <x:c r="F46" s="10"/>
      <x:c r="G46" s="10"/>
      <x:c r="H46" s="10"/>
    </x:row>
    <x:row r="47" ht="14.25" customHeight="1">
      <x:c r="A47" s="10"/>
      <x:c r="B47" s="10"/>
      <x:c r="C47" s="10"/>
      <x:c r="D47" s="10"/>
      <x:c r="E47" s="10"/>
      <x:c r="F47" s="10"/>
      <x:c r="G47" s="10"/>
      <x:c r="H47" s="10"/>
    </x:row>
    <x:row r="48" ht="14.25" customHeight="1">
      <x:c r="A48" s="10"/>
      <x:c r="B48" s="10"/>
      <x:c r="C48" s="10"/>
      <x:c r="D48" s="10"/>
      <x:c r="E48" s="10"/>
      <x:c r="F48" s="10"/>
      <x:c r="G48" s="10"/>
      <x:c r="H48" s="10"/>
    </x:row>
    <x:row r="49" ht="14.25" customHeight="1">
      <x:c r="A49" s="10"/>
      <x:c r="B49" s="10"/>
      <x:c r="C49" s="10"/>
      <x:c r="D49" s="10"/>
      <x:c r="E49" s="10"/>
      <x:c r="F49" s="10"/>
      <x:c r="G49" s="10"/>
      <x:c r="H49" s="10"/>
    </x:row>
    <x:row r="50" ht="14.25" customHeight="1">
      <x:c r="A50" s="10"/>
      <x:c r="B50" s="10"/>
      <x:c r="C50" s="10"/>
      <x:c r="D50" s="10"/>
      <x:c r="E50" s="10"/>
      <x:c r="F50" s="10"/>
      <x:c r="G50" s="10"/>
      <x:c r="H50" s="10"/>
    </x:row>
    <x:row r="51" ht="14.25" customHeight="1">
      <x:c r="A51" s="10"/>
      <x:c r="B51" s="10"/>
      <x:c r="C51" s="10"/>
      <x:c r="D51" s="10"/>
      <x:c r="E51" s="10"/>
      <x:c r="F51" s="10"/>
      <x:c r="G51" s="10"/>
      <x:c r="H51" s="10"/>
    </x:row>
    <x:row r="52" ht="14.25" customHeight="1">
      <x:c r="A52" s="10"/>
      <x:c r="B52" s="10"/>
      <x:c r="C52" s="10"/>
      <x:c r="D52" s="10"/>
      <x:c r="E52" s="10"/>
      <x:c r="F52" s="10"/>
      <x:c r="G52" s="10"/>
      <x:c r="H52" s="10"/>
    </x:row>
    <x:row r="53" ht="14.25" customHeight="1">
      <x:c r="A53" s="10"/>
      <x:c r="B53" s="10"/>
      <x:c r="C53" s="10"/>
      <x:c r="D53" s="10"/>
      <x:c r="E53" s="10"/>
      <x:c r="F53" s="10"/>
      <x:c r="G53" s="10"/>
      <x:c r="H53" s="10"/>
    </x:row>
    <x:row r="54" ht="14.25" customHeight="1">
      <x:c r="A54" s="10"/>
      <x:c r="B54" s="10"/>
      <x:c r="C54" s="10"/>
      <x:c r="D54" s="10"/>
      <x:c r="E54" s="10"/>
      <x:c r="F54" s="10"/>
      <x:c r="G54" s="10"/>
      <x:c r="H54" s="10"/>
    </x:row>
    <x:row r="55" ht="14.25" customHeight="1">
      <x:c r="A55" s="10"/>
      <x:c r="B55" s="10"/>
      <x:c r="C55" s="10"/>
      <x:c r="D55" s="10"/>
      <x:c r="E55" s="10"/>
      <x:c r="F55" s="10"/>
      <x:c r="G55" s="10"/>
      <x:c r="H55" s="10"/>
    </x:row>
    <x:row r="56" ht="14.25" customHeight="1">
      <x:c r="A56" s="10"/>
      <x:c r="B56" s="10"/>
      <x:c r="C56" s="10"/>
      <x:c r="D56" s="10"/>
      <x:c r="E56" s="10"/>
      <x:c r="F56" s="10"/>
      <x:c r="G56" s="10"/>
      <x:c r="H56" s="10"/>
    </x:row>
    <x:row r="57" ht="14.25" customHeight="1">
      <x:c r="A57" s="10"/>
      <x:c r="B57" s="10"/>
      <x:c r="C57" s="10"/>
      <x:c r="D57" s="10"/>
      <x:c r="E57" s="10"/>
      <x:c r="F57" s="10"/>
      <x:c r="G57" s="10"/>
      <x:c r="H57" s="10"/>
    </x:row>
    <x:row r="58" ht="14.25" customHeight="1">
      <x:c r="A58" s="10"/>
      <x:c r="B58" s="10"/>
      <x:c r="C58" s="10"/>
      <x:c r="D58" s="10"/>
      <x:c r="E58" s="10"/>
      <x:c r="F58" s="10"/>
      <x:c r="G58" s="10"/>
      <x:c r="H58" s="10"/>
    </x:row>
    <x:row r="59" ht="14.25" customHeight="1">
      <x:c r="A59" s="10"/>
      <x:c r="B59" s="10"/>
      <x:c r="C59" s="10"/>
      <x:c r="D59" s="10"/>
      <x:c r="E59" s="10"/>
      <x:c r="F59" s="10"/>
      <x:c r="G59" s="10"/>
      <x:c r="H59" s="10"/>
    </x:row>
    <x:row r="60" ht="14.25" customHeight="1">
      <x:c r="A60" s="10"/>
      <x:c r="B60" s="10"/>
      <x:c r="C60" s="10"/>
      <x:c r="D60" s="10"/>
      <x:c r="E60" s="10"/>
      <x:c r="F60" s="10"/>
      <x:c r="G60" s="10"/>
      <x:c r="H60" s="10"/>
    </x:row>
    <x:row r="61" ht="14.25" customHeight="1">
      <x:c r="A61" s="10"/>
      <x:c r="B61" s="10"/>
      <x:c r="C61" s="10"/>
      <x:c r="D61" s="10"/>
      <x:c r="E61" s="10"/>
      <x:c r="F61" s="10"/>
      <x:c r="G61" s="10"/>
      <x:c r="H61" s="10"/>
    </x:row>
    <x:row r="62" ht="14.25" customHeight="1">
      <x:c r="A62" s="10"/>
      <x:c r="B62" s="10"/>
      <x:c r="C62" s="10"/>
      <x:c r="D62" s="10"/>
      <x:c r="E62" s="10"/>
      <x:c r="F62" s="10"/>
      <x:c r="G62" s="10"/>
      <x:c r="H62" s="10"/>
    </x:row>
    <x:row r="63" ht="14.25" customHeight="1">
      <x:c r="A63" s="10"/>
      <x:c r="B63" s="10"/>
      <x:c r="C63" s="10"/>
      <x:c r="D63" s="10"/>
      <x:c r="E63" s="10"/>
      <x:c r="F63" s="10"/>
      <x:c r="G63" s="10"/>
      <x:c r="H63" s="10"/>
    </x:row>
    <x:row r="64" ht="14.25" customHeight="1">
      <x:c r="A64" s="10"/>
      <x:c r="B64" s="10"/>
      <x:c r="C64" s="10"/>
      <x:c r="D64" s="10"/>
      <x:c r="E64" s="10"/>
      <x:c r="F64" s="10"/>
      <x:c r="G64" s="10"/>
      <x:c r="H64" s="10"/>
    </x:row>
    <x:row r="65" ht="14.25" customHeight="1">
      <x:c r="A65" s="10"/>
      <x:c r="B65" s="10"/>
      <x:c r="C65" s="10"/>
      <x:c r="D65" s="10"/>
      <x:c r="E65" s="10"/>
      <x:c r="F65" s="10"/>
      <x:c r="G65" s="10"/>
      <x:c r="H65" s="10"/>
    </x:row>
    <x:row r="66" ht="14.25" customHeight="1">
      <x:c r="A66" s="10"/>
      <x:c r="B66" s="10"/>
      <x:c r="C66" s="10"/>
      <x:c r="D66" s="10"/>
      <x:c r="E66" s="10"/>
      <x:c r="F66" s="10"/>
      <x:c r="G66" s="10"/>
      <x:c r="H66" s="10"/>
    </x:row>
    <x:row r="67" ht="14.25" customHeight="1">
      <x:c r="A67" s="10"/>
      <x:c r="B67" s="10"/>
      <x:c r="C67" s="10"/>
      <x:c r="D67" s="10"/>
      <x:c r="E67" s="10"/>
      <x:c r="F67" s="10"/>
      <x:c r="G67" s="10"/>
      <x:c r="H67" s="10"/>
    </x:row>
    <x:row r="68" ht="14.25" customHeight="1">
      <x:c r="A68" s="10"/>
      <x:c r="B68" s="10"/>
      <x:c r="C68" s="10"/>
      <x:c r="D68" s="10"/>
      <x:c r="E68" s="10"/>
      <x:c r="F68" s="10"/>
      <x:c r="G68" s="10"/>
      <x:c r="H68" s="10"/>
    </x:row>
    <x:row r="69" ht="14.25" customHeight="1">
      <x:c r="A69" s="10"/>
      <x:c r="B69" s="10"/>
      <x:c r="C69" s="10"/>
      <x:c r="D69" s="10"/>
      <x:c r="E69" s="10"/>
      <x:c r="F69" s="10"/>
      <x:c r="G69" s="10"/>
      <x:c r="H69" s="10"/>
    </x:row>
    <x:row r="70" ht="14.25" customHeight="1">
      <x:c r="A70" s="10"/>
      <x:c r="B70" s="10"/>
      <x:c r="C70" s="10"/>
      <x:c r="D70" s="10"/>
      <x:c r="E70" s="10"/>
      <x:c r="F70" s="10"/>
      <x:c r="G70" s="10"/>
      <x:c r="H70" s="10"/>
    </x:row>
    <x:row r="71" ht="14.25" customHeight="1">
      <x:c r="A71" s="10"/>
      <x:c r="B71" s="10"/>
      <x:c r="C71" s="10"/>
      <x:c r="D71" s="10"/>
      <x:c r="E71" s="10"/>
      <x:c r="F71" s="10"/>
      <x:c r="G71" s="10"/>
      <x:c r="H71" s="10"/>
    </x:row>
    <x:row r="72" ht="14.25" customHeight="1">
      <x:c r="A72" s="10"/>
      <x:c r="B72" s="10"/>
      <x:c r="C72" s="10"/>
      <x:c r="D72" s="10"/>
      <x:c r="E72" s="10"/>
      <x:c r="F72" s="10"/>
      <x:c r="G72" s="10"/>
      <x:c r="H72" s="10"/>
    </x:row>
    <x:row r="73" ht="14.25" customHeight="1">
      <x:c r="A73" s="10"/>
      <x:c r="B73" s="10"/>
      <x:c r="C73" s="10"/>
      <x:c r="D73" s="10"/>
      <x:c r="E73" s="10"/>
      <x:c r="F73" s="10"/>
      <x:c r="G73" s="10"/>
      <x:c r="H73" s="10"/>
    </x:row>
    <x:row r="74" ht="14.25" customHeight="1">
      <x:c r="A74" s="10"/>
      <x:c r="B74" s="10"/>
      <x:c r="C74" s="10"/>
      <x:c r="D74" s="10"/>
      <x:c r="E74" s="10"/>
      <x:c r="F74" s="10"/>
      <x:c r="G74" s="10"/>
      <x:c r="H74" s="10"/>
    </x:row>
    <x:row r="75" ht="14.25" customHeight="1">
      <x:c r="A75" s="10"/>
      <x:c r="B75" s="10"/>
      <x:c r="C75" s="10"/>
      <x:c r="D75" s="10"/>
      <x:c r="E75" s="10"/>
      <x:c r="F75" s="10"/>
      <x:c r="G75" s="10"/>
      <x:c r="H75" s="10"/>
    </x:row>
    <x:row r="76" ht="14.25" customHeight="1">
      <x:c r="A76" s="10"/>
      <x:c r="B76" s="10"/>
      <x:c r="C76" s="10"/>
      <x:c r="D76" s="10"/>
      <x:c r="E76" s="10"/>
      <x:c r="F76" s="10"/>
      <x:c r="G76" s="10"/>
      <x:c r="H76" s="10"/>
    </x:row>
    <x:row r="77" ht="14.25" customHeight="1">
      <x:c r="A77" s="10"/>
      <x:c r="B77" s="10"/>
      <x:c r="C77" s="10"/>
      <x:c r="D77" s="10"/>
      <x:c r="E77" s="10"/>
      <x:c r="F77" s="10"/>
      <x:c r="G77" s="10"/>
      <x:c r="H77" s="10"/>
    </x:row>
    <x:row r="78" ht="14.25" customHeight="1">
      <x:c r="A78" s="10"/>
      <x:c r="B78" s="10"/>
      <x:c r="C78" s="10"/>
      <x:c r="D78" s="10"/>
      <x:c r="E78" s="10"/>
      <x:c r="F78" s="10"/>
      <x:c r="G78" s="10"/>
      <x:c r="H78" s="10"/>
    </x:row>
    <x:row r="79" ht="14.25" customHeight="1">
      <x:c r="A79" s="10"/>
      <x:c r="B79" s="10"/>
      <x:c r="C79" s="10"/>
      <x:c r="D79" s="10"/>
      <x:c r="E79" s="10"/>
      <x:c r="F79" s="10"/>
      <x:c r="G79" s="10"/>
      <x:c r="H79" s="10"/>
    </x:row>
    <x:row r="80" ht="14.25" customHeight="1">
      <x:c r="A80" s="10"/>
      <x:c r="B80" s="10"/>
      <x:c r="C80" s="10"/>
      <x:c r="D80" s="10"/>
      <x:c r="E80" s="10"/>
      <x:c r="F80" s="10"/>
      <x:c r="G80" s="10"/>
      <x:c r="H80" s="10"/>
    </x:row>
    <x:row r="81" ht="14.25" customHeight="1">
      <x:c r="A81" s="10"/>
      <x:c r="B81" s="10"/>
      <x:c r="C81" s="10"/>
      <x:c r="D81" s="10"/>
      <x:c r="E81" s="10"/>
      <x:c r="F81" s="10"/>
      <x:c r="G81" s="10"/>
      <x:c r="H81" s="10"/>
    </x:row>
    <x:row r="82" ht="14.25" customHeight="1">
      <x:c r="A82" s="10"/>
      <x:c r="B82" s="10"/>
      <x:c r="C82" s="10"/>
      <x:c r="D82" s="10"/>
      <x:c r="E82" s="10"/>
      <x:c r="F82" s="10"/>
      <x:c r="G82" s="10"/>
      <x:c r="H82" s="10"/>
    </x:row>
    <x:row r="83" ht="14.25" customHeight="1">
      <x:c r="A83" s="10"/>
      <x:c r="B83" s="10"/>
      <x:c r="C83" s="10"/>
      <x:c r="D83" s="10"/>
      <x:c r="E83" s="10"/>
      <x:c r="F83" s="10"/>
      <x:c r="G83" s="10"/>
      <x:c r="H83" s="10"/>
    </x:row>
    <x:row r="84" ht="14.25" customHeight="1">
      <x:c r="A84" s="10"/>
      <x:c r="B84" s="10"/>
      <x:c r="C84" s="10"/>
      <x:c r="D84" s="10"/>
      <x:c r="E84" s="10"/>
      <x:c r="F84" s="10"/>
      <x:c r="G84" s="10"/>
      <x:c r="H84" s="10"/>
    </x:row>
    <x:row r="85" ht="14.25" customHeight="1">
      <x:c r="A85" s="10"/>
      <x:c r="B85" s="10"/>
      <x:c r="C85" s="10"/>
      <x:c r="D85" s="10"/>
      <x:c r="E85" s="10"/>
      <x:c r="F85" s="10"/>
      <x:c r="G85" s="10"/>
      <x:c r="H85" s="10"/>
    </x:row>
    <x:row r="86" ht="14.25" customHeight="1">
      <x:c r="A86" s="10"/>
      <x:c r="B86" s="10"/>
      <x:c r="C86" s="10"/>
      <x:c r="D86" s="10"/>
      <x:c r="E86" s="10"/>
      <x:c r="F86" s="10"/>
      <x:c r="G86" s="10"/>
      <x:c r="H86" s="10"/>
    </x:row>
    <x:row r="87" ht="14.25" customHeight="1">
      <x:c r="A87" s="10"/>
      <x:c r="B87" s="10"/>
      <x:c r="C87" s="10"/>
      <x:c r="D87" s="10"/>
      <x:c r="E87" s="10"/>
      <x:c r="F87" s="10"/>
      <x:c r="G87" s="10"/>
      <x:c r="H87" s="10"/>
    </x:row>
    <x:row r="88" ht="14.25" customHeight="1">
      <x:c r="A88" s="10"/>
      <x:c r="B88" s="10"/>
      <x:c r="C88" s="10"/>
      <x:c r="D88" s="10"/>
      <x:c r="E88" s="10"/>
      <x:c r="F88" s="10"/>
      <x:c r="G88" s="10"/>
      <x:c r="H88" s="10"/>
    </x:row>
    <x:row r="89" ht="14.25" customHeight="1">
      <x:c r="A89" s="10"/>
      <x:c r="B89" s="10"/>
      <x:c r="C89" s="10"/>
      <x:c r="D89" s="10"/>
      <x:c r="E89" s="10"/>
      <x:c r="F89" s="10"/>
      <x:c r="G89" s="10"/>
      <x:c r="H89" s="10"/>
    </x:row>
    <x:row r="90" ht="14.25" customHeight="1">
      <x:c r="A90" s="10"/>
      <x:c r="B90" s="10"/>
      <x:c r="C90" s="10"/>
      <x:c r="D90" s="10"/>
      <x:c r="E90" s="10"/>
      <x:c r="F90" s="10"/>
      <x:c r="G90" s="10"/>
      <x:c r="H90" s="10"/>
    </x:row>
    <x:row r="91" ht="14.25" customHeight="1">
      <x:c r="A91" s="10"/>
      <x:c r="B91" s="10"/>
      <x:c r="C91" s="10"/>
      <x:c r="D91" s="10"/>
      <x:c r="E91" s="10"/>
      <x:c r="F91" s="10"/>
      <x:c r="G91" s="10"/>
      <x:c r="H91" s="10"/>
    </x:row>
    <x:row r="92" ht="14.25" customHeight="1">
      <x:c r="A92" s="10"/>
      <x:c r="B92" s="10"/>
      <x:c r="C92" s="10"/>
      <x:c r="D92" s="10"/>
      <x:c r="E92" s="10"/>
      <x:c r="F92" s="10"/>
      <x:c r="G92" s="10"/>
      <x:c r="H92" s="10"/>
    </x:row>
    <x:row r="93" ht="14.25" customHeight="1">
      <x:c r="A93" s="10"/>
      <x:c r="B93" s="10"/>
      <x:c r="C93" s="10"/>
      <x:c r="D93" s="10"/>
      <x:c r="E93" s="10"/>
      <x:c r="F93" s="10"/>
      <x:c r="G93" s="10"/>
      <x:c r="H93" s="10"/>
    </x:row>
    <x:row r="94" ht="14.25" customHeight="1">
      <x:c r="A94" s="10"/>
      <x:c r="B94" s="10"/>
      <x:c r="C94" s="10"/>
      <x:c r="D94" s="10"/>
      <x:c r="E94" s="10"/>
      <x:c r="F94" s="10"/>
      <x:c r="G94" s="10"/>
      <x:c r="H94" s="10"/>
    </x:row>
    <x:row r="95" ht="14.25" customHeight="1">
      <x:c r="A95" s="10"/>
      <x:c r="B95" s="10"/>
      <x:c r="C95" s="10"/>
      <x:c r="D95" s="10"/>
      <x:c r="E95" s="10"/>
      <x:c r="F95" s="10"/>
      <x:c r="G95" s="10"/>
      <x:c r="H95" s="10"/>
    </x:row>
    <x:row r="96" ht="14.25" customHeight="1">
      <x:c r="A96" s="10"/>
      <x:c r="B96" s="10"/>
      <x:c r="C96" s="10"/>
      <x:c r="D96" s="10"/>
      <x:c r="E96" s="10"/>
      <x:c r="F96" s="10"/>
      <x:c r="G96" s="10"/>
      <x:c r="H96" s="10"/>
    </x:row>
    <x:row r="97" ht="14.25" customHeight="1">
      <x:c r="A97" s="10"/>
      <x:c r="B97" s="10"/>
      <x:c r="C97" s="10"/>
      <x:c r="D97" s="10"/>
      <x:c r="E97" s="10"/>
      <x:c r="F97" s="10"/>
      <x:c r="G97" s="10"/>
      <x:c r="H97" s="10"/>
    </x:row>
    <x:row r="98" ht="14.25" customHeight="1">
      <x:c r="A98" s="10"/>
      <x:c r="B98" s="10"/>
      <x:c r="C98" s="10"/>
      <x:c r="D98" s="10"/>
      <x:c r="E98" s="10"/>
      <x:c r="F98" s="10"/>
      <x:c r="G98" s="10"/>
      <x:c r="H98" s="10"/>
    </x:row>
    <x:row r="99" ht="14.25" customHeight="1">
      <x:c r="A99" s="10"/>
      <x:c r="B99" s="10"/>
      <x:c r="C99" s="10"/>
      <x:c r="D99" s="10"/>
      <x:c r="E99" s="10"/>
      <x:c r="F99" s="10"/>
      <x:c r="G99" s="10"/>
      <x:c r="H99" s="10"/>
    </x:row>
    <x:row r="100" ht="14.25" customHeight="1">
      <x:c r="A100" s="10"/>
      <x:c r="B100" s="10"/>
      <x:c r="C100" s="10"/>
      <x:c r="D100" s="10"/>
      <x:c r="E100" s="10"/>
      <x:c r="F100" s="10"/>
      <x:c r="G100" s="10"/>
      <x:c r="H100" s="10"/>
    </x:row>
    <x:row r="101" ht="14.25" customHeight="1">
      <x:c r="A101" s="10"/>
      <x:c r="B101" s="10"/>
      <x:c r="C101" s="10"/>
      <x:c r="D101" s="10"/>
      <x:c r="E101" s="10"/>
      <x:c r="F101" s="10"/>
      <x:c r="G101" s="10"/>
      <x:c r="H101" s="10"/>
    </x:row>
    <x:row r="102" ht="14.25" customHeight="1">
      <x:c r="A102" s="10"/>
      <x:c r="B102" s="10"/>
      <x:c r="C102" s="10"/>
      <x:c r="D102" s="10"/>
      <x:c r="E102" s="10"/>
      <x:c r="F102" s="10"/>
      <x:c r="G102" s="10"/>
      <x:c r="H102" s="10"/>
    </x:row>
    <x:row r="103" ht="14.25" customHeight="1">
      <x:c r="A103" s="10"/>
      <x:c r="B103" s="10"/>
      <x:c r="C103" s="10"/>
      <x:c r="D103" s="10"/>
      <x:c r="E103" s="10"/>
      <x:c r="F103" s="10"/>
      <x:c r="G103" s="10"/>
      <x:c r="H103" s="10"/>
    </x:row>
    <x:row r="104" ht="14.25" customHeight="1">
      <x:c r="A104" s="10"/>
      <x:c r="B104" s="10"/>
      <x:c r="C104" s="10"/>
      <x:c r="D104" s="10"/>
      <x:c r="E104" s="10"/>
      <x:c r="F104" s="10"/>
      <x:c r="G104" s="10"/>
      <x:c r="H104" s="10"/>
    </x:row>
    <x:row r="105" ht="14.25" customHeight="1">
      <x:c r="A105" s="10"/>
      <x:c r="B105" s="10"/>
      <x:c r="C105" s="10"/>
      <x:c r="D105" s="10"/>
      <x:c r="E105" s="10"/>
      <x:c r="F105" s="10"/>
      <x:c r="G105" s="10"/>
      <x:c r="H105" s="10"/>
    </x:row>
    <x:row r="106" ht="14.25" customHeight="1">
      <x:c r="A106" s="10"/>
      <x:c r="B106" s="10"/>
      <x:c r="C106" s="10"/>
      <x:c r="D106" s="10"/>
      <x:c r="E106" s="10"/>
      <x:c r="F106" s="10"/>
      <x:c r="G106" s="10"/>
      <x:c r="H106" s="10"/>
    </x:row>
    <x:row r="107" ht="14.25" customHeight="1">
      <x:c r="A107" s="10"/>
      <x:c r="B107" s="10"/>
      <x:c r="C107" s="10"/>
      <x:c r="D107" s="10"/>
      <x:c r="E107" s="10"/>
      <x:c r="F107" s="10"/>
      <x:c r="G107" s="10"/>
      <x:c r="H107" s="10"/>
    </x:row>
    <x:row r="108" ht="14.25" customHeight="1">
      <x:c r="A108" s="10"/>
      <x:c r="B108" s="10"/>
      <x:c r="C108" s="10"/>
      <x:c r="D108" s="10"/>
      <x:c r="E108" s="10"/>
      <x:c r="F108" s="10"/>
      <x:c r="G108" s="10"/>
      <x:c r="H108" s="10"/>
    </x:row>
    <x:row r="109" ht="14.25" customHeight="1">
      <x:c r="A109" s="10"/>
      <x:c r="B109" s="10"/>
      <x:c r="C109" s="10"/>
      <x:c r="D109" s="10"/>
      <x:c r="E109" s="10"/>
      <x:c r="F109" s="10"/>
      <x:c r="G109" s="10"/>
      <x:c r="H109" s="10"/>
    </x:row>
    <x:row r="110" ht="14.25" customHeight="1">
      <x:c r="A110" s="10"/>
      <x:c r="B110" s="10"/>
      <x:c r="C110" s="10"/>
      <x:c r="D110" s="10"/>
      <x:c r="E110" s="10"/>
      <x:c r="F110" s="10"/>
      <x:c r="G110" s="10"/>
      <x:c r="H110" s="10"/>
    </x:row>
    <x:row r="111" ht="14.25" customHeight="1">
      <x:c r="A111" s="10"/>
      <x:c r="B111" s="10"/>
      <x:c r="C111" s="10"/>
      <x:c r="D111" s="10"/>
      <x:c r="E111" s="10"/>
      <x:c r="F111" s="10"/>
      <x:c r="G111" s="10"/>
      <x:c r="H111" s="10"/>
    </x:row>
    <x:row r="112" ht="14.25" customHeight="1">
      <x:c r="A112" s="10"/>
      <x:c r="B112" s="10"/>
      <x:c r="C112" s="10"/>
      <x:c r="D112" s="10"/>
      <x:c r="E112" s="10"/>
      <x:c r="F112" s="10"/>
      <x:c r="G112" s="10"/>
      <x:c r="H112" s="10"/>
    </x:row>
    <x:row r="113" ht="14.25" customHeight="1">
      <x:c r="A113" s="10"/>
      <x:c r="B113" s="10"/>
      <x:c r="C113" s="10"/>
      <x:c r="D113" s="10"/>
      <x:c r="E113" s="10"/>
      <x:c r="F113" s="10"/>
      <x:c r="G113" s="10"/>
      <x:c r="H113" s="10"/>
    </x:row>
    <x:row r="114" ht="14.25" customHeight="1">
      <x:c r="A114" s="10"/>
      <x:c r="B114" s="10"/>
      <x:c r="C114" s="10"/>
      <x:c r="D114" s="10"/>
      <x:c r="E114" s="10"/>
      <x:c r="F114" s="10"/>
      <x:c r="G114" s="10"/>
      <x:c r="H114" s="10"/>
    </x:row>
    <x:row r="115" ht="14.25" customHeight="1">
      <x:c r="A115" s="10"/>
      <x:c r="B115" s="10"/>
      <x:c r="C115" s="10"/>
      <x:c r="D115" s="10"/>
      <x:c r="E115" s="10"/>
      <x:c r="F115" s="10"/>
      <x:c r="G115" s="10"/>
      <x:c r="H115" s="10"/>
    </x:row>
    <x:row r="116" ht="14.25" customHeight="1">
      <x:c r="A116" s="10"/>
      <x:c r="B116" s="10"/>
      <x:c r="C116" s="10"/>
      <x:c r="D116" s="10"/>
      <x:c r="E116" s="10"/>
      <x:c r="F116" s="10"/>
      <x:c r="G116" s="10"/>
      <x:c r="H116" s="10"/>
    </x:row>
    <x:row r="117" ht="14.25" customHeight="1">
      <x:c r="A117" s="10"/>
      <x:c r="B117" s="10"/>
      <x:c r="C117" s="10"/>
      <x:c r="D117" s="10"/>
      <x:c r="E117" s="10"/>
      <x:c r="F117" s="10"/>
      <x:c r="G117" s="10"/>
      <x:c r="H117" s="10"/>
    </x:row>
    <x:row r="118" ht="14.25" customHeight="1">
      <x:c r="A118" s="10"/>
      <x:c r="B118" s="10"/>
      <x:c r="C118" s="10"/>
      <x:c r="D118" s="10"/>
      <x:c r="E118" s="10"/>
      <x:c r="F118" s="10"/>
      <x:c r="G118" s="10"/>
      <x:c r="H118" s="10"/>
    </x:row>
    <x:row r="119" ht="14.25" customHeight="1">
      <x:c r="A119" s="10"/>
      <x:c r="B119" s="10"/>
      <x:c r="C119" s="10"/>
      <x:c r="D119" s="10"/>
      <x:c r="E119" s="10"/>
      <x:c r="F119" s="10"/>
      <x:c r="G119" s="10"/>
      <x:c r="H119" s="10"/>
    </x:row>
    <x:row r="120" ht="14.25" customHeight="1">
      <x:c r="A120" s="10"/>
      <x:c r="B120" s="10"/>
      <x:c r="C120" s="10"/>
      <x:c r="D120" s="10"/>
      <x:c r="E120" s="10"/>
      <x:c r="F120" s="10"/>
      <x:c r="G120" s="10"/>
      <x:c r="H120" s="10"/>
    </x:row>
    <x:row r="121" ht="14.25" customHeight="1">
      <x:c r="A121" s="10"/>
      <x:c r="B121" s="10"/>
      <x:c r="C121" s="10"/>
      <x:c r="D121" s="10"/>
      <x:c r="E121" s="10"/>
      <x:c r="F121" s="10"/>
      <x:c r="G121" s="10"/>
      <x:c r="H121" s="10"/>
    </x:row>
    <x:row r="122" ht="14.25" customHeight="1">
      <x:c r="A122" s="10"/>
      <x:c r="B122" s="10"/>
      <x:c r="C122" s="10"/>
      <x:c r="D122" s="10"/>
      <x:c r="E122" s="10"/>
      <x:c r="F122" s="10"/>
      <x:c r="G122" s="10"/>
      <x:c r="H122" s="10"/>
    </x:row>
    <x:row r="123" ht="14.25" customHeight="1">
      <x:c r="A123" s="10"/>
      <x:c r="B123" s="10"/>
      <x:c r="C123" s="10"/>
      <x:c r="D123" s="10"/>
      <x:c r="E123" s="10"/>
      <x:c r="F123" s="10"/>
      <x:c r="G123" s="10"/>
      <x:c r="H123" s="10"/>
    </x:row>
    <x:row r="124" ht="14.25" customHeight="1">
      <x:c r="A124" s="10"/>
      <x:c r="B124" s="10"/>
      <x:c r="C124" s="10"/>
      <x:c r="D124" s="10"/>
      <x:c r="E124" s="10"/>
      <x:c r="F124" s="10"/>
      <x:c r="G124" s="10"/>
      <x:c r="H124" s="10"/>
    </x:row>
    <x:row r="125" ht="14.25" customHeight="1">
      <x:c r="A125" s="10"/>
      <x:c r="B125" s="10"/>
      <x:c r="C125" s="10"/>
      <x:c r="D125" s="10"/>
      <x:c r="E125" s="10"/>
      <x:c r="F125" s="10"/>
      <x:c r="G125" s="10"/>
      <x:c r="H125" s="10"/>
    </x:row>
    <x:row r="126" ht="14.25" customHeight="1">
      <x:c r="A126" s="10"/>
      <x:c r="B126" s="10"/>
      <x:c r="C126" s="10"/>
      <x:c r="D126" s="10"/>
      <x:c r="E126" s="10"/>
      <x:c r="F126" s="10"/>
      <x:c r="G126" s="10"/>
      <x:c r="H126" s="10"/>
    </x:row>
    <x:row r="127" ht="14.25" customHeight="1">
      <x:c r="A127" s="10"/>
      <x:c r="B127" s="10"/>
      <x:c r="C127" s="10"/>
      <x:c r="D127" s="10"/>
      <x:c r="E127" s="10"/>
      <x:c r="F127" s="10"/>
      <x:c r="G127" s="10"/>
      <x:c r="H127" s="10"/>
    </x:row>
    <x:row r="128" ht="14.25" customHeight="1">
      <x:c r="A128" s="10"/>
      <x:c r="B128" s="10"/>
      <x:c r="C128" s="10"/>
      <x:c r="D128" s="10"/>
      <x:c r="E128" s="10"/>
      <x:c r="F128" s="10"/>
      <x:c r="G128" s="10"/>
      <x:c r="H128" s="10"/>
    </x:row>
    <x:row r="129" ht="14.25" customHeight="1">
      <x:c r="A129" s="10"/>
      <x:c r="B129" s="10"/>
      <x:c r="C129" s="10"/>
      <x:c r="D129" s="10"/>
      <x:c r="E129" s="10"/>
      <x:c r="F129" s="10"/>
      <x:c r="G129" s="10"/>
      <x:c r="H129" s="10"/>
    </x:row>
    <x:row r="130" ht="14.25" customHeight="1">
      <x:c r="A130" s="10"/>
      <x:c r="B130" s="10"/>
      <x:c r="C130" s="10"/>
      <x:c r="D130" s="10"/>
      <x:c r="E130" s="10"/>
      <x:c r="F130" s="10"/>
      <x:c r="G130" s="10"/>
      <x:c r="H130" s="10"/>
    </x:row>
    <x:row r="131" ht="14.25" customHeight="1">
      <x:c r="A131" s="10"/>
      <x:c r="B131" s="10"/>
      <x:c r="C131" s="10"/>
      <x:c r="D131" s="10"/>
      <x:c r="E131" s="10"/>
      <x:c r="F131" s="10"/>
      <x:c r="G131" s="10"/>
      <x:c r="H131" s="10"/>
    </x:row>
    <x:row r="132" ht="14.25" customHeight="1">
      <x:c r="A132" s="10"/>
      <x:c r="B132" s="10"/>
      <x:c r="C132" s="10"/>
      <x:c r="D132" s="10"/>
      <x:c r="E132" s="10"/>
      <x:c r="F132" s="10"/>
      <x:c r="G132" s="10"/>
      <x:c r="H132" s="10"/>
    </x:row>
    <x:row r="133" ht="14.25" customHeight="1">
      <x:c r="A133" s="10"/>
      <x:c r="B133" s="10"/>
      <x:c r="C133" s="10"/>
      <x:c r="D133" s="10"/>
      <x:c r="E133" s="10"/>
      <x:c r="F133" s="10"/>
      <x:c r="G133" s="10"/>
      <x:c r="H133" s="10"/>
    </x:row>
    <x:row r="134" ht="14.25" customHeight="1">
      <x:c r="A134" s="10"/>
      <x:c r="B134" s="10"/>
      <x:c r="C134" s="10"/>
      <x:c r="D134" s="10"/>
      <x:c r="E134" s="10"/>
      <x:c r="F134" s="10"/>
      <x:c r="G134" s="10"/>
      <x:c r="H134" s="10"/>
    </x:row>
    <x:row r="135" ht="14.25" customHeight="1">
      <x:c r="A135" s="10"/>
      <x:c r="B135" s="10"/>
      <x:c r="C135" s="10"/>
      <x:c r="D135" s="10"/>
      <x:c r="E135" s="10"/>
      <x:c r="F135" s="10"/>
      <x:c r="G135" s="10"/>
      <x:c r="H135" s="10"/>
    </x:row>
    <x:row r="136" ht="14.25" customHeight="1">
      <x:c r="A136" s="10"/>
      <x:c r="B136" s="10"/>
      <x:c r="C136" s="10"/>
      <x:c r="D136" s="10"/>
      <x:c r="E136" s="10"/>
      <x:c r="F136" s="10"/>
      <x:c r="G136" s="10"/>
      <x:c r="H136" s="10"/>
    </x:row>
    <x:row r="137" ht="14.25" customHeight="1">
      <x:c r="A137" s="10"/>
      <x:c r="B137" s="10"/>
      <x:c r="C137" s="10"/>
      <x:c r="D137" s="10"/>
      <x:c r="E137" s="10"/>
      <x:c r="F137" s="10"/>
      <x:c r="G137" s="10"/>
      <x:c r="H137" s="10"/>
    </x:row>
    <x:row r="138" ht="14.25" customHeight="1">
      <x:c r="A138" s="10"/>
      <x:c r="B138" s="10"/>
      <x:c r="C138" s="10"/>
      <x:c r="D138" s="10"/>
      <x:c r="E138" s="10"/>
      <x:c r="F138" s="10"/>
      <x:c r="G138" s="10"/>
      <x:c r="H138" s="10"/>
    </x:row>
    <x:row r="139" ht="14.25" customHeight="1">
      <x:c r="A139" s="10"/>
      <x:c r="B139" s="10"/>
      <x:c r="C139" s="10"/>
      <x:c r="D139" s="10"/>
      <x:c r="E139" s="10"/>
      <x:c r="F139" s="10"/>
      <x:c r="G139" s="10"/>
      <x:c r="H139" s="10"/>
    </x:row>
    <x:row r="140" ht="14.25" customHeight="1">
      <x:c r="A140" s="10"/>
      <x:c r="B140" s="10"/>
      <x:c r="C140" s="10"/>
      <x:c r="D140" s="10"/>
      <x:c r="E140" s="10"/>
      <x:c r="F140" s="10"/>
      <x:c r="G140" s="10"/>
      <x:c r="H140" s="10"/>
    </x:row>
    <x:row r="141" ht="14.25" customHeight="1">
      <x:c r="A141" s="10"/>
      <x:c r="B141" s="10"/>
      <x:c r="C141" s="10"/>
      <x:c r="D141" s="10"/>
      <x:c r="E141" s="10"/>
      <x:c r="F141" s="10"/>
      <x:c r="G141" s="10"/>
      <x:c r="H141" s="10"/>
    </x:row>
    <x:row r="142" ht="14.25" customHeight="1">
      <x:c r="A142" s="10"/>
      <x:c r="B142" s="10"/>
      <x:c r="C142" s="10"/>
      <x:c r="D142" s="10"/>
      <x:c r="E142" s="10"/>
      <x:c r="F142" s="10"/>
      <x:c r="G142" s="10"/>
      <x:c r="H142" s="10"/>
    </x:row>
    <x:row r="143" ht="14.25" customHeight="1">
      <x:c r="A143" s="10"/>
      <x:c r="B143" s="10"/>
      <x:c r="C143" s="10"/>
      <x:c r="D143" s="10"/>
      <x:c r="E143" s="10"/>
      <x:c r="F143" s="10"/>
      <x:c r="G143" s="10"/>
      <x:c r="H143" s="10"/>
    </x:row>
    <x:row r="144" ht="14.25" customHeight="1">
      <x:c r="A144" s="10"/>
      <x:c r="B144" s="10"/>
      <x:c r="C144" s="10"/>
      <x:c r="D144" s="10"/>
      <x:c r="E144" s="10"/>
      <x:c r="F144" s="10"/>
      <x:c r="G144" s="10"/>
      <x:c r="H144" s="10"/>
    </x:row>
    <x:row r="145" ht="14.25" customHeight="1">
      <x:c r="A145" s="10"/>
      <x:c r="B145" s="10"/>
      <x:c r="C145" s="10"/>
      <x:c r="D145" s="10"/>
      <x:c r="E145" s="10"/>
      <x:c r="F145" s="10"/>
      <x:c r="G145" s="10"/>
      <x:c r="H145" s="10"/>
    </x:row>
    <x:row r="146" ht="14.25" customHeight="1">
      <x:c r="A146" s="10"/>
      <x:c r="B146" s="10"/>
      <x:c r="C146" s="10"/>
      <x:c r="D146" s="10"/>
      <x:c r="E146" s="10"/>
      <x:c r="F146" s="10"/>
      <x:c r="G146" s="10"/>
      <x:c r="H146" s="10"/>
    </x:row>
    <x:row r="147" ht="14.25" customHeight="1">
      <x:c r="A147" s="10"/>
      <x:c r="B147" s="10"/>
      <x:c r="C147" s="10"/>
      <x:c r="D147" s="10"/>
      <x:c r="E147" s="10"/>
      <x:c r="F147" s="10"/>
      <x:c r="G147" s="10"/>
      <x:c r="H147" s="10"/>
    </x:row>
    <x:row r="148" ht="14.25" customHeight="1">
      <x:c r="A148" s="10"/>
      <x:c r="B148" s="10"/>
      <x:c r="C148" s="10"/>
      <x:c r="D148" s="10"/>
      <x:c r="E148" s="10"/>
      <x:c r="F148" s="10"/>
      <x:c r="G148" s="10"/>
      <x:c r="H148" s="10"/>
    </x:row>
    <x:row r="149" ht="14.25" customHeight="1">
      <x:c r="A149" s="10"/>
      <x:c r="B149" s="10"/>
      <x:c r="C149" s="10"/>
      <x:c r="D149" s="10"/>
      <x:c r="E149" s="10"/>
      <x:c r="F149" s="10"/>
      <x:c r="G149" s="10"/>
      <x:c r="H149" s="10"/>
    </x:row>
    <x:row r="150" ht="14.25" customHeight="1">
      <x:c r="A150" s="10"/>
      <x:c r="B150" s="10"/>
      <x:c r="C150" s="10"/>
      <x:c r="D150" s="10"/>
      <x:c r="E150" s="10"/>
      <x:c r="F150" s="10"/>
      <x:c r="G150" s="10"/>
      <x:c r="H150" s="10"/>
    </x:row>
    <x:row r="151" ht="14.25" customHeight="1">
      <x:c r="A151" s="10"/>
      <x:c r="B151" s="10"/>
      <x:c r="C151" s="10"/>
      <x:c r="D151" s="10"/>
      <x:c r="E151" s="10"/>
      <x:c r="F151" s="10"/>
      <x:c r="G151" s="10"/>
      <x:c r="H151" s="10"/>
    </x:row>
    <x:row r="152" ht="14.25" customHeight="1">
      <x:c r="A152" s="10"/>
      <x:c r="B152" s="10"/>
      <x:c r="C152" s="10"/>
      <x:c r="D152" s="10"/>
      <x:c r="E152" s="10"/>
      <x:c r="F152" s="10"/>
      <x:c r="G152" s="10"/>
      <x:c r="H152" s="10"/>
    </x:row>
    <x:row r="153" ht="14.25" customHeight="1">
      <x:c r="A153" s="10"/>
      <x:c r="B153" s="10"/>
      <x:c r="C153" s="10"/>
      <x:c r="D153" s="10"/>
      <x:c r="E153" s="10"/>
      <x:c r="F153" s="10"/>
      <x:c r="G153" s="10"/>
      <x:c r="H153" s="10"/>
    </x:row>
    <x:row r="154" ht="14.25" customHeight="1">
      <x:c r="A154" s="10"/>
      <x:c r="B154" s="10"/>
      <x:c r="C154" s="10"/>
      <x:c r="D154" s="10"/>
      <x:c r="E154" s="10"/>
      <x:c r="F154" s="10"/>
      <x:c r="G154" s="10"/>
      <x:c r="H154" s="10"/>
    </x:row>
    <x:row r="155" ht="14.25" customHeight="1">
      <x:c r="A155" s="10"/>
      <x:c r="B155" s="10"/>
      <x:c r="C155" s="10"/>
      <x:c r="D155" s="10"/>
      <x:c r="E155" s="10"/>
      <x:c r="F155" s="10"/>
      <x:c r="G155" s="10"/>
      <x:c r="H155" s="10"/>
    </x:row>
    <x:row r="156" ht="14.25" customHeight="1">
      <x:c r="A156" s="10"/>
      <x:c r="B156" s="10"/>
      <x:c r="C156" s="10"/>
      <x:c r="D156" s="10"/>
      <x:c r="E156" s="10"/>
      <x:c r="F156" s="10"/>
      <x:c r="G156" s="10"/>
      <x:c r="H156" s="10"/>
    </x:row>
    <x:row r="157" ht="14.25" customHeight="1">
      <x:c r="A157" s="10"/>
      <x:c r="B157" s="10"/>
      <x:c r="C157" s="10"/>
      <x:c r="D157" s="10"/>
      <x:c r="E157" s="10"/>
      <x:c r="F157" s="10"/>
      <x:c r="G157" s="10"/>
      <x:c r="H157" s="10"/>
    </x:row>
    <x:row r="158" ht="14.25" customHeight="1">
      <x:c r="A158" s="10"/>
      <x:c r="B158" s="10"/>
      <x:c r="C158" s="10"/>
      <x:c r="D158" s="10"/>
      <x:c r="E158" s="10"/>
      <x:c r="F158" s="10"/>
      <x:c r="G158" s="10"/>
      <x:c r="H158" s="10"/>
    </x:row>
    <x:row r="159" ht="14.25" customHeight="1">
      <x:c r="A159" s="10"/>
      <x:c r="B159" s="10"/>
      <x:c r="C159" s="10"/>
      <x:c r="D159" s="10"/>
      <x:c r="E159" s="10"/>
      <x:c r="F159" s="10"/>
      <x:c r="G159" s="10"/>
      <x:c r="H159" s="10"/>
    </x:row>
    <x:row r="160" ht="14.25" customHeight="1">
      <x:c r="A160" s="10"/>
      <x:c r="B160" s="10"/>
      <x:c r="C160" s="10"/>
      <x:c r="D160" s="10"/>
      <x:c r="E160" s="10"/>
      <x:c r="F160" s="10"/>
      <x:c r="G160" s="10"/>
      <x:c r="H160" s="10"/>
    </x:row>
    <x:row r="161" ht="14.25" customHeight="1">
      <x:c r="A161" s="10"/>
      <x:c r="B161" s="10"/>
      <x:c r="C161" s="10"/>
      <x:c r="D161" s="10"/>
      <x:c r="E161" s="10"/>
      <x:c r="F161" s="10"/>
      <x:c r="G161" s="10"/>
      <x:c r="H161" s="10"/>
    </x:row>
    <x:row r="162" ht="14.25" customHeight="1">
      <x:c r="A162" s="10"/>
      <x:c r="B162" s="10"/>
      <x:c r="C162" s="10"/>
      <x:c r="D162" s="10"/>
      <x:c r="E162" s="10"/>
      <x:c r="F162" s="10"/>
      <x:c r="G162" s="10"/>
      <x:c r="H162" s="10"/>
    </x:row>
    <x:row r="163" ht="14.25" customHeight="1">
      <x:c r="A163" s="10"/>
      <x:c r="B163" s="10"/>
      <x:c r="C163" s="10"/>
      <x:c r="D163" s="10"/>
      <x:c r="E163" s="10"/>
      <x:c r="F163" s="10"/>
      <x:c r="G163" s="10"/>
      <x:c r="H163" s="10"/>
    </x:row>
    <x:row r="164" ht="14.25" customHeight="1">
      <x:c r="A164" s="10"/>
      <x:c r="B164" s="10"/>
      <x:c r="C164" s="10"/>
      <x:c r="D164" s="10"/>
      <x:c r="E164" s="10"/>
      <x:c r="F164" s="10"/>
      <x:c r="G164" s="10"/>
      <x:c r="H164" s="10"/>
    </x:row>
    <x:row r="165" ht="14.25" customHeight="1">
      <x:c r="A165" s="10"/>
      <x:c r="B165" s="10"/>
      <x:c r="C165" s="10"/>
      <x:c r="D165" s="10"/>
      <x:c r="E165" s="10"/>
      <x:c r="F165" s="10"/>
      <x:c r="G165" s="10"/>
      <x:c r="H165" s="10"/>
    </x:row>
    <x:row r="166" ht="14.25" customHeight="1">
      <x:c r="A166" s="10"/>
      <x:c r="B166" s="10"/>
      <x:c r="C166" s="10"/>
      <x:c r="D166" s="10"/>
      <x:c r="E166" s="10"/>
      <x:c r="F166" s="10"/>
      <x:c r="G166" s="10"/>
      <x:c r="H166" s="10"/>
    </x:row>
    <x:row r="167" ht="14.25" customHeight="1">
      <x:c r="A167" s="10"/>
      <x:c r="B167" s="10"/>
      <x:c r="C167" s="10"/>
      <x:c r="D167" s="10"/>
      <x:c r="E167" s="10"/>
      <x:c r="F167" s="10"/>
      <x:c r="G167" s="10"/>
      <x:c r="H167" s="10"/>
    </x:row>
    <x:row r="168" ht="14.25" customHeight="1">
      <x:c r="A168" s="10"/>
      <x:c r="B168" s="10"/>
      <x:c r="C168" s="10"/>
      <x:c r="D168" s="10"/>
      <x:c r="E168" s="10"/>
      <x:c r="F168" s="10"/>
      <x:c r="G168" s="10"/>
      <x:c r="H168" s="10"/>
    </x:row>
    <x:row r="169" ht="14.25" customHeight="1">
      <x:c r="A169" s="10"/>
      <x:c r="B169" s="10"/>
      <x:c r="C169" s="10"/>
      <x:c r="D169" s="10"/>
      <x:c r="E169" s="10"/>
      <x:c r="F169" s="10"/>
      <x:c r="G169" s="10"/>
      <x:c r="H169" s="10"/>
    </x:row>
    <x:row r="170" ht="14.25" customHeight="1">
      <x:c r="A170" s="10"/>
      <x:c r="B170" s="10"/>
      <x:c r="C170" s="10"/>
      <x:c r="D170" s="10"/>
      <x:c r="E170" s="10"/>
      <x:c r="F170" s="10"/>
      <x:c r="G170" s="10"/>
      <x:c r="H170" s="10"/>
    </x:row>
    <x:row r="171" ht="14.25" customHeight="1">
      <x:c r="A171" s="10"/>
      <x:c r="B171" s="10"/>
      <x:c r="C171" s="10"/>
      <x:c r="D171" s="10"/>
      <x:c r="E171" s="10"/>
      <x:c r="F171" s="10"/>
      <x:c r="G171" s="10"/>
      <x:c r="H171" s="10"/>
    </x:row>
    <x:row r="172" ht="14.25" customHeight="1">
      <x:c r="A172" s="10"/>
      <x:c r="B172" s="10"/>
      <x:c r="C172" s="10"/>
      <x:c r="D172" s="10"/>
      <x:c r="E172" s="10"/>
      <x:c r="F172" s="10"/>
      <x:c r="G172" s="10"/>
      <x:c r="H172" s="10"/>
    </x:row>
    <x:row r="173" ht="14.25" customHeight="1">
      <x:c r="A173" s="10"/>
      <x:c r="B173" s="10"/>
      <x:c r="C173" s="10"/>
      <x:c r="D173" s="10"/>
      <x:c r="E173" s="10"/>
      <x:c r="F173" s="10"/>
      <x:c r="G173" s="10"/>
      <x:c r="H173" s="10"/>
    </x:row>
    <x:row r="174" ht="14.25" customHeight="1">
      <x:c r="A174" s="10"/>
      <x:c r="B174" s="10"/>
      <x:c r="C174" s="10"/>
      <x:c r="D174" s="10"/>
      <x:c r="E174" s="10"/>
      <x:c r="F174" s="10"/>
      <x:c r="G174" s="10"/>
      <x:c r="H174" s="10"/>
    </x:row>
    <x:row r="175" ht="14.25" customHeight="1">
      <x:c r="A175" s="10"/>
      <x:c r="B175" s="10"/>
      <x:c r="C175" s="10"/>
      <x:c r="D175" s="10"/>
      <x:c r="E175" s="10"/>
      <x:c r="F175" s="10"/>
      <x:c r="G175" s="10"/>
      <x:c r="H175" s="10"/>
    </x:row>
    <x:row r="176" ht="14.25" customHeight="1">
      <x:c r="A176" s="10"/>
      <x:c r="B176" s="10"/>
      <x:c r="C176" s="10"/>
      <x:c r="D176" s="10"/>
      <x:c r="E176" s="10"/>
      <x:c r="F176" s="10"/>
      <x:c r="G176" s="10"/>
      <x:c r="H176" s="10"/>
    </x:row>
    <x:row r="177" ht="14.25" customHeight="1">
      <x:c r="A177" s="10"/>
      <x:c r="B177" s="10"/>
      <x:c r="C177" s="10"/>
      <x:c r="D177" s="10"/>
      <x:c r="E177" s="10"/>
      <x:c r="F177" s="10"/>
      <x:c r="G177" s="10"/>
      <x:c r="H177" s="10"/>
    </x:row>
    <x:row r="178" ht="14.25" customHeight="1">
      <x:c r="A178" s="10"/>
      <x:c r="B178" s="10"/>
      <x:c r="C178" s="10"/>
      <x:c r="D178" s="10"/>
      <x:c r="E178" s="10"/>
      <x:c r="F178" s="10"/>
      <x:c r="G178" s="10"/>
      <x:c r="H178" s="10"/>
    </x:row>
    <x:row r="179" ht="14.25" customHeight="1">
      <x:c r="A179" s="10"/>
      <x:c r="B179" s="10"/>
      <x:c r="C179" s="10"/>
      <x:c r="D179" s="10"/>
      <x:c r="E179" s="10"/>
      <x:c r="F179" s="10"/>
      <x:c r="G179" s="10"/>
      <x:c r="H179" s="10"/>
    </x:row>
    <x:row r="180" ht="14.25" customHeight="1">
      <x:c r="A180" s="10"/>
      <x:c r="B180" s="10"/>
      <x:c r="C180" s="10"/>
      <x:c r="D180" s="10"/>
      <x:c r="E180" s="10"/>
      <x:c r="F180" s="10"/>
      <x:c r="G180" s="10"/>
      <x:c r="H180" s="10"/>
    </x:row>
    <x:row r="181" ht="14.25" customHeight="1">
      <x:c r="A181" s="10"/>
      <x:c r="B181" s="10"/>
      <x:c r="C181" s="10"/>
      <x:c r="D181" s="10"/>
      <x:c r="E181" s="10"/>
      <x:c r="F181" s="10"/>
      <x:c r="G181" s="10"/>
      <x:c r="H181" s="10"/>
    </x:row>
    <x:row r="182" ht="14.25" customHeight="1">
      <x:c r="A182" s="10"/>
      <x:c r="B182" s="10"/>
      <x:c r="C182" s="10"/>
      <x:c r="D182" s="10"/>
      <x:c r="E182" s="10"/>
      <x:c r="F182" s="10"/>
      <x:c r="G182" s="10"/>
      <x:c r="H182" s="10"/>
    </x:row>
    <x:row r="183" ht="14.25" customHeight="1">
      <x:c r="A183" s="10"/>
      <x:c r="B183" s="10"/>
      <x:c r="C183" s="10"/>
      <x:c r="D183" s="10"/>
      <x:c r="E183" s="10"/>
      <x:c r="F183" s="10"/>
      <x:c r="G183" s="10"/>
      <x:c r="H183" s="10"/>
    </x:row>
    <x:row r="184" ht="14.25" customHeight="1">
      <x:c r="A184" s="10"/>
      <x:c r="B184" s="10"/>
      <x:c r="C184" s="10"/>
      <x:c r="D184" s="10"/>
      <x:c r="E184" s="10"/>
      <x:c r="F184" s="10"/>
      <x:c r="G184" s="10"/>
      <x:c r="H184" s="10"/>
    </x:row>
    <x:row r="185" ht="14.25" customHeight="1">
      <x:c r="A185" s="10"/>
      <x:c r="B185" s="10"/>
      <x:c r="C185" s="10"/>
      <x:c r="D185" s="10"/>
      <x:c r="E185" s="10"/>
      <x:c r="F185" s="10"/>
      <x:c r="G185" s="10"/>
      <x:c r="H185" s="10"/>
    </x:row>
    <x:row r="186" ht="14.25" customHeight="1">
      <x:c r="A186" s="10"/>
      <x:c r="B186" s="10"/>
      <x:c r="C186" s="10"/>
      <x:c r="D186" s="10"/>
      <x:c r="E186" s="10"/>
      <x:c r="F186" s="10"/>
      <x:c r="G186" s="10"/>
      <x:c r="H186" s="10"/>
    </x:row>
    <x:row r="187" ht="14.25" customHeight="1">
      <x:c r="A187" s="10"/>
      <x:c r="B187" s="10"/>
      <x:c r="C187" s="10"/>
      <x:c r="D187" s="10"/>
      <x:c r="E187" s="10"/>
      <x:c r="F187" s="10"/>
      <x:c r="G187" s="10"/>
      <x:c r="H187" s="10"/>
    </x:row>
    <x:row r="188" ht="14.25" customHeight="1">
      <x:c r="A188" s="10"/>
      <x:c r="B188" s="10"/>
      <x:c r="C188" s="10"/>
      <x:c r="D188" s="10"/>
      <x:c r="E188" s="10"/>
      <x:c r="F188" s="10"/>
      <x:c r="G188" s="10"/>
      <x:c r="H188" s="10"/>
    </x:row>
    <x:row r="189" ht="14.25" customHeight="1">
      <x:c r="A189" s="10"/>
      <x:c r="B189" s="10"/>
      <x:c r="C189" s="10"/>
      <x:c r="D189" s="10"/>
      <x:c r="E189" s="10"/>
      <x:c r="F189" s="10"/>
      <x:c r="G189" s="10"/>
      <x:c r="H189" s="10"/>
    </x:row>
    <x:row r="190" ht="14.25" customHeight="1">
      <x:c r="A190" s="10"/>
      <x:c r="B190" s="10"/>
      <x:c r="C190" s="10"/>
      <x:c r="D190" s="10"/>
      <x:c r="E190" s="10"/>
      <x:c r="F190" s="10"/>
      <x:c r="G190" s="10"/>
      <x:c r="H190" s="10"/>
    </x:row>
    <x:row r="191" ht="14.25" customHeight="1">
      <x:c r="A191" s="10"/>
      <x:c r="B191" s="10"/>
      <x:c r="C191" s="10"/>
      <x:c r="D191" s="10"/>
      <x:c r="E191" s="10"/>
      <x:c r="F191" s="10"/>
      <x:c r="G191" s="10"/>
      <x:c r="H191" s="10"/>
    </x:row>
    <x:row r="192" ht="14.25" customHeight="1">
      <x:c r="A192" s="10"/>
      <x:c r="B192" s="10"/>
      <x:c r="C192" s="10"/>
      <x:c r="D192" s="10"/>
      <x:c r="E192" s="10"/>
      <x:c r="F192" s="10"/>
      <x:c r="G192" s="10"/>
      <x:c r="H192" s="10"/>
    </x:row>
    <x:row r="193" ht="14.25" customHeight="1">
      <x:c r="A193" s="10"/>
      <x:c r="B193" s="10"/>
      <x:c r="C193" s="10"/>
      <x:c r="D193" s="10"/>
      <x:c r="E193" s="10"/>
      <x:c r="F193" s="10"/>
      <x:c r="G193" s="10"/>
      <x:c r="H193" s="10"/>
    </x:row>
    <x:row r="194" ht="14.25" customHeight="1">
      <x:c r="A194" s="10"/>
      <x:c r="B194" s="10"/>
      <x:c r="C194" s="10"/>
      <x:c r="D194" s="10"/>
      <x:c r="E194" s="10"/>
      <x:c r="F194" s="10"/>
      <x:c r="G194" s="10"/>
      <x:c r="H194" s="10"/>
    </x:row>
    <x:row r="195" ht="14.25" customHeight="1">
      <x:c r="A195" s="10"/>
      <x:c r="B195" s="10"/>
      <x:c r="C195" s="10"/>
      <x:c r="D195" s="10"/>
      <x:c r="E195" s="10"/>
      <x:c r="F195" s="10"/>
      <x:c r="G195" s="10"/>
      <x:c r="H195" s="10"/>
    </x:row>
    <x:row r="196" ht="14.25" customHeight="1">
      <x:c r="A196" s="10"/>
      <x:c r="B196" s="10"/>
      <x:c r="C196" s="10"/>
      <x:c r="D196" s="10"/>
      <x:c r="E196" s="10"/>
      <x:c r="F196" s="10"/>
      <x:c r="G196" s="10"/>
      <x:c r="H196" s="10"/>
    </x:row>
    <x:row r="197" ht="14.25" customHeight="1">
      <x:c r="A197" s="10"/>
      <x:c r="B197" s="10"/>
      <x:c r="C197" s="10"/>
      <x:c r="D197" s="10"/>
      <x:c r="E197" s="10"/>
      <x:c r="F197" s="10"/>
      <x:c r="G197" s="10"/>
      <x:c r="H197" s="10"/>
    </x:row>
    <x:row r="198" ht="14.25" customHeight="1">
      <x:c r="A198" s="10"/>
      <x:c r="B198" s="10"/>
      <x:c r="C198" s="10"/>
      <x:c r="D198" s="10"/>
      <x:c r="E198" s="10"/>
      <x:c r="F198" s="10"/>
      <x:c r="G198" s="10"/>
      <x:c r="H198" s="10"/>
    </x:row>
    <x:row r="199" ht="14.25" customHeight="1">
      <x:c r="A199" s="10"/>
      <x:c r="B199" s="10"/>
      <x:c r="C199" s="10"/>
      <x:c r="D199" s="10"/>
      <x:c r="E199" s="10"/>
      <x:c r="F199" s="10"/>
      <x:c r="G199" s="10"/>
      <x:c r="H199" s="10"/>
    </x:row>
    <x:row r="200" ht="14.25" customHeight="1">
      <x:c r="A200" s="10"/>
      <x:c r="B200" s="10"/>
      <x:c r="C200" s="10"/>
      <x:c r="D200" s="10"/>
      <x:c r="E200" s="10"/>
      <x:c r="F200" s="10"/>
      <x:c r="G200" s="10"/>
      <x:c r="H200" s="10"/>
    </x:row>
    <x:row r="201" ht="14.25" customHeight="1">
      <x:c r="A201" s="10"/>
      <x:c r="B201" s="10"/>
      <x:c r="C201" s="10"/>
      <x:c r="D201" s="10"/>
      <x:c r="E201" s="10"/>
      <x:c r="F201" s="10"/>
      <x:c r="G201" s="10"/>
      <x:c r="H201" s="10"/>
    </x:row>
    <x:row r="202" ht="14.25" customHeight="1">
      <x:c r="A202" s="10"/>
      <x:c r="B202" s="10"/>
      <x:c r="C202" s="10"/>
      <x:c r="D202" s="10"/>
      <x:c r="E202" s="10"/>
      <x:c r="F202" s="10"/>
      <x:c r="G202" s="10"/>
      <x:c r="H202" s="10"/>
    </x:row>
    <x:row r="203" ht="14.25" customHeight="1">
      <x:c r="A203" s="10"/>
      <x:c r="B203" s="10"/>
      <x:c r="C203" s="10"/>
      <x:c r="D203" s="10"/>
      <x:c r="E203" s="10"/>
      <x:c r="F203" s="10"/>
      <x:c r="G203" s="10"/>
      <x:c r="H203" s="10"/>
    </x:row>
    <x:row r="204" ht="14.25" customHeight="1">
      <x:c r="A204" s="10"/>
      <x:c r="B204" s="10"/>
      <x:c r="C204" s="10"/>
      <x:c r="D204" s="10"/>
      <x:c r="E204" s="10"/>
      <x:c r="F204" s="10"/>
      <x:c r="G204" s="10"/>
      <x:c r="H204" s="10"/>
    </x:row>
    <x:row r="205" ht="14.25" customHeight="1">
      <x:c r="A205" s="10"/>
      <x:c r="B205" s="10"/>
      <x:c r="C205" s="10"/>
      <x:c r="D205" s="10"/>
      <x:c r="E205" s="10"/>
      <x:c r="F205" s="10"/>
      <x:c r="G205" s="10"/>
      <x:c r="H205" s="10"/>
    </x:row>
    <x:row r="206" ht="14.25" customHeight="1">
      <x:c r="A206" s="10"/>
      <x:c r="B206" s="10"/>
      <x:c r="C206" s="10"/>
      <x:c r="D206" s="10"/>
      <x:c r="E206" s="10"/>
      <x:c r="F206" s="10"/>
      <x:c r="G206" s="10"/>
      <x:c r="H206" s="10"/>
    </x:row>
    <x:row r="207" ht="14.25" customHeight="1">
      <x:c r="A207" s="10"/>
      <x:c r="B207" s="10"/>
      <x:c r="C207" s="10"/>
      <x:c r="D207" s="10"/>
      <x:c r="E207" s="10"/>
      <x:c r="F207" s="10"/>
      <x:c r="G207" s="10"/>
      <x:c r="H207" s="10"/>
    </x:row>
    <x:row r="208" ht="14.25" customHeight="1">
      <x:c r="A208" s="10"/>
      <x:c r="B208" s="10"/>
      <x:c r="C208" s="10"/>
      <x:c r="D208" s="10"/>
      <x:c r="E208" s="10"/>
      <x:c r="F208" s="10"/>
      <x:c r="G208" s="10"/>
      <x:c r="H208" s="10"/>
    </x:row>
    <x:row r="209" ht="14.25" customHeight="1">
      <x:c r="A209" s="10"/>
      <x:c r="B209" s="10"/>
      <x:c r="C209" s="10"/>
      <x:c r="D209" s="10"/>
      <x:c r="E209" s="10"/>
      <x:c r="F209" s="10"/>
      <x:c r="G209" s="10"/>
      <x:c r="H209" s="10"/>
    </x:row>
    <x:row r="210" ht="14.25" customHeight="1">
      <x:c r="A210" s="10"/>
      <x:c r="B210" s="10"/>
      <x:c r="C210" s="10"/>
      <x:c r="D210" s="10"/>
      <x:c r="E210" s="10"/>
      <x:c r="F210" s="10"/>
      <x:c r="G210" s="10"/>
      <x:c r="H210" s="10"/>
    </x:row>
    <x:row r="211" ht="14.25" customHeight="1">
      <x:c r="A211" s="10"/>
      <x:c r="B211" s="10"/>
      <x:c r="C211" s="10"/>
      <x:c r="D211" s="10"/>
      <x:c r="E211" s="10"/>
      <x:c r="F211" s="10"/>
      <x:c r="G211" s="10"/>
      <x:c r="H211" s="10"/>
    </x:row>
    <x:row r="212" ht="14.25" customHeight="1">
      <x:c r="A212" s="10"/>
      <x:c r="B212" s="10"/>
      <x:c r="C212" s="10"/>
      <x:c r="D212" s="10"/>
      <x:c r="E212" s="10"/>
      <x:c r="F212" s="10"/>
      <x:c r="G212" s="10"/>
      <x:c r="H212" s="10"/>
    </x:row>
    <x:row r="213" ht="14.25" customHeight="1">
      <x:c r="A213" s="10"/>
      <x:c r="B213" s="10"/>
      <x:c r="C213" s="10"/>
      <x:c r="D213" s="10"/>
      <x:c r="E213" s="10"/>
      <x:c r="F213" s="10"/>
      <x:c r="G213" s="10"/>
      <x:c r="H213" s="10"/>
    </x:row>
    <x:row r="214" ht="14.25" customHeight="1">
      <x:c r="A214" s="10"/>
      <x:c r="B214" s="10"/>
      <x:c r="C214" s="10"/>
      <x:c r="D214" s="10"/>
      <x:c r="E214" s="10"/>
      <x:c r="F214" s="10"/>
      <x:c r="G214" s="10"/>
      <x:c r="H214" s="10"/>
    </x:row>
    <x:row r="215" ht="14.25" customHeight="1">
      <x:c r="A215" s="10"/>
      <x:c r="B215" s="10"/>
      <x:c r="C215" s="10"/>
      <x:c r="D215" s="10"/>
      <x:c r="E215" s="10"/>
      <x:c r="F215" s="10"/>
      <x:c r="G215" s="10"/>
      <x:c r="H215" s="10"/>
    </x:row>
    <x:row r="216" ht="14.25" customHeight="1">
      <x:c r="A216" s="10"/>
      <x:c r="B216" s="10"/>
      <x:c r="C216" s="10"/>
      <x:c r="D216" s="10"/>
      <x:c r="E216" s="10"/>
      <x:c r="F216" s="10"/>
      <x:c r="G216" s="10"/>
      <x:c r="H216" s="10"/>
    </x:row>
    <x:row r="217" ht="14.25" customHeight="1">
      <x:c r="A217" s="10"/>
      <x:c r="B217" s="10"/>
      <x:c r="C217" s="10"/>
      <x:c r="D217" s="10"/>
      <x:c r="E217" s="10"/>
      <x:c r="F217" s="10"/>
      <x:c r="G217" s="10"/>
      <x:c r="H217" s="10"/>
    </x:row>
    <x:row r="218" ht="14.25" customHeight="1">
      <x:c r="A218" s="10"/>
      <x:c r="B218" s="10"/>
      <x:c r="C218" s="10"/>
      <x:c r="D218" s="10"/>
      <x:c r="E218" s="10"/>
      <x:c r="F218" s="10"/>
      <x:c r="G218" s="10"/>
      <x:c r="H218" s="10"/>
    </x:row>
    <x:row r="219" ht="14.25" customHeight="1">
      <x:c r="A219" s="10"/>
      <x:c r="B219" s="10"/>
      <x:c r="C219" s="10"/>
      <x:c r="D219" s="10"/>
      <x:c r="E219" s="10"/>
      <x:c r="F219" s="10"/>
      <x:c r="G219" s="10"/>
      <x:c r="H219" s="10"/>
    </x:row>
    <x:row r="220" ht="14.25" customHeight="1">
      <x:c r="A220" s="10"/>
      <x:c r="B220" s="10"/>
      <x:c r="C220" s="10"/>
      <x:c r="D220" s="10"/>
      <x:c r="E220" s="10"/>
      <x:c r="F220" s="10"/>
      <x:c r="G220" s="10"/>
      <x:c r="H220" s="10"/>
    </x:row>
    <x:row r="221" ht="14.25" customHeight="1">
      <x:c r="A221" s="10"/>
      <x:c r="B221" s="10"/>
      <x:c r="C221" s="10"/>
      <x:c r="D221" s="10"/>
      <x:c r="E221" s="10"/>
      <x:c r="F221" s="10"/>
      <x:c r="G221" s="10"/>
      <x:c r="H221" s="10"/>
    </x:row>
    <x:row r="222" ht="14.25" customHeight="1">
      <x:c r="A222" s="10"/>
      <x:c r="B222" s="10"/>
      <x:c r="C222" s="10"/>
      <x:c r="D222" s="10"/>
      <x:c r="E222" s="10"/>
      <x:c r="F222" s="10"/>
      <x:c r="G222" s="10"/>
      <x:c r="H222" s="10"/>
    </x:row>
    <x:row r="223" ht="14.25" customHeight="1">
      <x:c r="A223" s="10"/>
      <x:c r="B223" s="10"/>
      <x:c r="C223" s="10"/>
      <x:c r="D223" s="10"/>
      <x:c r="E223" s="10"/>
      <x:c r="F223" s="10"/>
      <x:c r="G223" s="10"/>
      <x:c r="H223" s="10"/>
    </x:row>
    <x:row r="224" ht="14.25" customHeight="1">
      <x:c r="A224" s="10"/>
      <x:c r="B224" s="10"/>
      <x:c r="C224" s="10"/>
      <x:c r="D224" s="10"/>
      <x:c r="E224" s="10"/>
      <x:c r="F224" s="10"/>
      <x:c r="G224" s="10"/>
      <x:c r="H224" s="10"/>
    </x:row>
    <x:row r="225" ht="14.25" customHeight="1">
      <x:c r="A225" s="10"/>
      <x:c r="B225" s="10"/>
      <x:c r="C225" s="10"/>
      <x:c r="D225" s="10"/>
      <x:c r="E225" s="10"/>
      <x:c r="F225" s="10"/>
      <x:c r="G225" s="10"/>
      <x:c r="H225" s="10"/>
    </x:row>
    <x:row r="226" ht="14.25" customHeight="1">
      <x:c r="A226" s="10"/>
      <x:c r="B226" s="10"/>
      <x:c r="C226" s="10"/>
      <x:c r="D226" s="10"/>
      <x:c r="E226" s="10"/>
      <x:c r="F226" s="10"/>
      <x:c r="G226" s="10"/>
      <x:c r="H226" s="10"/>
    </x:row>
    <x:row r="227" ht="14.25" customHeight="1">
      <x:c r="A227" s="10"/>
      <x:c r="B227" s="10"/>
      <x:c r="C227" s="10"/>
      <x:c r="D227" s="10"/>
      <x:c r="E227" s="10"/>
      <x:c r="F227" s="10"/>
      <x:c r="G227" s="10"/>
      <x:c r="H227" s="10"/>
    </x:row>
    <x:row r="228" ht="14.25" customHeight="1">
      <x:c r="A228" s="10"/>
      <x:c r="B228" s="10"/>
      <x:c r="C228" s="10"/>
      <x:c r="D228" s="10"/>
      <x:c r="E228" s="10"/>
      <x:c r="F228" s="10"/>
      <x:c r="G228" s="10"/>
      <x:c r="H228" s="10"/>
    </x:row>
    <x:row r="229" ht="14.25" customHeight="1">
      <x:c r="A229" s="10"/>
      <x:c r="B229" s="10"/>
      <x:c r="C229" s="10"/>
      <x:c r="D229" s="10"/>
      <x:c r="E229" s="10"/>
      <x:c r="F229" s="10"/>
      <x:c r="G229" s="10"/>
      <x:c r="H229" s="10"/>
    </x:row>
    <x:row r="230" ht="14.25" customHeight="1">
      <x:c r="A230" s="10"/>
      <x:c r="B230" s="10"/>
      <x:c r="C230" s="10"/>
      <x:c r="D230" s="10"/>
      <x:c r="E230" s="10"/>
      <x:c r="F230" s="10"/>
      <x:c r="G230" s="10"/>
      <x:c r="H230" s="10"/>
    </x:row>
    <x:row r="231" ht="14.25" customHeight="1">
      <x:c r="A231" s="10"/>
      <x:c r="B231" s="10"/>
      <x:c r="C231" s="10"/>
      <x:c r="D231" s="10"/>
      <x:c r="E231" s="10"/>
      <x:c r="F231" s="10"/>
      <x:c r="G231" s="10"/>
      <x:c r="H231" s="10"/>
    </x:row>
    <x:row r="232" ht="14.25" customHeight="1">
      <x:c r="A232" s="10"/>
      <x:c r="B232" s="10"/>
      <x:c r="C232" s="10"/>
      <x:c r="D232" s="10"/>
      <x:c r="E232" s="10"/>
      <x:c r="F232" s="10"/>
      <x:c r="G232" s="10"/>
      <x:c r="H232" s="10"/>
    </x:row>
    <x:row r="233" ht="14.25" customHeight="1">
      <x:c r="A233" s="10"/>
      <x:c r="B233" s="10"/>
      <x:c r="C233" s="10"/>
      <x:c r="D233" s="10"/>
      <x:c r="E233" s="10"/>
      <x:c r="F233" s="10"/>
      <x:c r="G233" s="10"/>
      <x:c r="H233" s="10"/>
    </x:row>
    <x:row r="234" ht="14.25" customHeight="1">
      <x:c r="A234" s="10"/>
      <x:c r="B234" s="10"/>
      <x:c r="C234" s="10"/>
      <x:c r="D234" s="10"/>
      <x:c r="E234" s="10"/>
      <x:c r="F234" s="10"/>
      <x:c r="G234" s="10"/>
      <x:c r="H234" s="10"/>
    </x:row>
    <x:row r="235" ht="14.25" customHeight="1">
      <x:c r="A235" s="10"/>
      <x:c r="B235" s="10"/>
      <x:c r="C235" s="10"/>
      <x:c r="D235" s="10"/>
      <x:c r="E235" s="10"/>
      <x:c r="F235" s="10"/>
      <x:c r="G235" s="10"/>
      <x:c r="H235" s="10"/>
    </x:row>
    <x:row r="236" ht="14.25" customHeight="1">
      <x:c r="A236" s="10"/>
      <x:c r="B236" s="10"/>
      <x:c r="C236" s="10"/>
      <x:c r="D236" s="10"/>
      <x:c r="E236" s="10"/>
      <x:c r="F236" s="10"/>
      <x:c r="G236" s="10"/>
      <x:c r="H236" s="10"/>
    </x:row>
    <x:row r="237" ht="14.25" customHeight="1">
      <x:c r="A237" s="10"/>
      <x:c r="B237" s="10"/>
      <x:c r="C237" s="10"/>
      <x:c r="D237" s="10"/>
      <x:c r="E237" s="10"/>
      <x:c r="F237" s="10"/>
      <x:c r="G237" s="10"/>
      <x:c r="H237" s="10"/>
    </x:row>
    <x:row r="238" ht="14.25" customHeight="1">
      <x:c r="A238" s="10"/>
      <x:c r="B238" s="10"/>
      <x:c r="C238" s="10"/>
      <x:c r="D238" s="10"/>
      <x:c r="E238" s="10"/>
      <x:c r="F238" s="10"/>
      <x:c r="G238" s="10"/>
      <x:c r="H238" s="10"/>
    </x:row>
    <x:row r="239" ht="14.25" customHeight="1">
      <x:c r="A239" s="10"/>
      <x:c r="B239" s="10"/>
      <x:c r="C239" s="10"/>
      <x:c r="D239" s="10"/>
      <x:c r="E239" s="10"/>
      <x:c r="F239" s="10"/>
      <x:c r="G239" s="10"/>
      <x:c r="H239" s="10"/>
    </x:row>
    <x:row r="240" ht="14.25" customHeight="1">
      <x:c r="A240" s="10"/>
      <x:c r="B240" s="10"/>
      <x:c r="C240" s="10"/>
      <x:c r="D240" s="10"/>
      <x:c r="E240" s="10"/>
      <x:c r="F240" s="10"/>
      <x:c r="G240" s="10"/>
      <x:c r="H240" s="10"/>
    </x:row>
    <x:row r="241" ht="14.25" customHeight="1">
      <x:c r="A241" s="10"/>
      <x:c r="B241" s="10"/>
      <x:c r="C241" s="10"/>
      <x:c r="D241" s="10"/>
      <x:c r="E241" s="10"/>
      <x:c r="F241" s="10"/>
      <x:c r="G241" s="10"/>
      <x:c r="H241" s="10"/>
    </x:row>
    <x:row r="242" ht="14.25" customHeight="1">
      <x:c r="A242" s="10"/>
      <x:c r="B242" s="10"/>
      <x:c r="C242" s="10"/>
      <x:c r="D242" s="10"/>
      <x:c r="E242" s="10"/>
      <x:c r="F242" s="10"/>
      <x:c r="G242" s="10"/>
      <x:c r="H242" s="10"/>
    </x:row>
    <x:row r="243" ht="14.25" customHeight="1">
      <x:c r="A243" s="10"/>
      <x:c r="B243" s="10"/>
      <x:c r="C243" s="10"/>
      <x:c r="D243" s="10"/>
      <x:c r="E243" s="10"/>
      <x:c r="F243" s="10"/>
      <x:c r="G243" s="10"/>
      <x:c r="H243" s="10"/>
    </x:row>
    <x:row r="244" ht="14.25" customHeight="1">
      <x:c r="A244" s="10"/>
      <x:c r="B244" s="10"/>
      <x:c r="C244" s="10"/>
      <x:c r="D244" s="10"/>
      <x:c r="E244" s="10"/>
      <x:c r="F244" s="10"/>
      <x:c r="G244" s="10"/>
      <x:c r="H244" s="10"/>
    </x:row>
    <x:row r="245" ht="14.25" customHeight="1">
      <x:c r="A245" s="10"/>
      <x:c r="B245" s="10"/>
      <x:c r="C245" s="10"/>
      <x:c r="D245" s="10"/>
      <x:c r="E245" s="10"/>
      <x:c r="F245" s="10"/>
      <x:c r="G245" s="10"/>
      <x:c r="H245" s="10"/>
    </x:row>
    <x:row r="246" ht="14.25" customHeight="1">
      <x:c r="A246" s="10"/>
      <x:c r="B246" s="10"/>
      <x:c r="C246" s="10"/>
      <x:c r="D246" s="10"/>
      <x:c r="E246" s="10"/>
      <x:c r="F246" s="10"/>
      <x:c r="G246" s="10"/>
      <x:c r="H246" s="10"/>
    </x:row>
    <x:row r="247" ht="14.25" customHeight="1">
      <x:c r="A247" s="10"/>
      <x:c r="B247" s="10"/>
      <x:c r="C247" s="10"/>
      <x:c r="D247" s="10"/>
      <x:c r="E247" s="10"/>
      <x:c r="F247" s="10"/>
      <x:c r="G247" s="10"/>
      <x:c r="H247" s="10"/>
    </x:row>
    <x:row r="248" ht="14.25" customHeight="1">
      <x:c r="A248" s="10"/>
      <x:c r="B248" s="10"/>
      <x:c r="C248" s="10"/>
      <x:c r="D248" s="10"/>
      <x:c r="E248" s="10"/>
      <x:c r="F248" s="10"/>
      <x:c r="G248" s="10"/>
      <x:c r="H248" s="10"/>
    </x:row>
    <x:row r="249" ht="14.25" customHeight="1">
      <x:c r="A249" s="10"/>
      <x:c r="B249" s="10"/>
      <x:c r="C249" s="10"/>
      <x:c r="D249" s="10"/>
      <x:c r="E249" s="10"/>
      <x:c r="F249" s="10"/>
      <x:c r="G249" s="10"/>
      <x:c r="H249" s="10"/>
    </x:row>
    <x:row r="250" ht="14.25" customHeight="1">
      <x:c r="A250" s="10"/>
      <x:c r="B250" s="10"/>
      <x:c r="C250" s="10"/>
      <x:c r="D250" s="10"/>
      <x:c r="E250" s="10"/>
      <x:c r="F250" s="10"/>
      <x:c r="G250" s="10"/>
      <x:c r="H250" s="10"/>
    </x:row>
    <x:row r="251" ht="14.25" customHeight="1">
      <x:c r="A251" s="10"/>
      <x:c r="B251" s="10"/>
      <x:c r="C251" s="10"/>
      <x:c r="D251" s="10"/>
      <x:c r="E251" s="10"/>
      <x:c r="F251" s="10"/>
      <x:c r="G251" s="10"/>
      <x:c r="H251" s="10"/>
    </x:row>
    <x:row r="252" ht="14.25" customHeight="1">
      <x:c r="A252" s="10"/>
      <x:c r="B252" s="10"/>
      <x:c r="C252" s="10"/>
      <x:c r="D252" s="10"/>
      <x:c r="E252" s="10"/>
      <x:c r="F252" s="10"/>
      <x:c r="G252" s="10"/>
      <x:c r="H252" s="10"/>
    </x:row>
    <x:row r="253" ht="14.25" customHeight="1">
      <x:c r="A253" s="10"/>
      <x:c r="B253" s="10"/>
      <x:c r="C253" s="10"/>
      <x:c r="D253" s="10"/>
      <x:c r="E253" s="10"/>
      <x:c r="F253" s="10"/>
      <x:c r="G253" s="10"/>
      <x:c r="H253" s="10"/>
    </x:row>
    <x:row r="254" ht="14.25" customHeight="1">
      <x:c r="A254" s="10"/>
      <x:c r="B254" s="10"/>
      <x:c r="C254" s="10"/>
      <x:c r="D254" s="10"/>
      <x:c r="E254" s="10"/>
      <x:c r="F254" s="10"/>
      <x:c r="G254" s="10"/>
      <x:c r="H254" s="10"/>
    </x:row>
    <x:row r="255" ht="14.25" customHeight="1">
      <x:c r="A255" s="10"/>
      <x:c r="B255" s="10"/>
      <x:c r="C255" s="10"/>
      <x:c r="D255" s="10"/>
      <x:c r="E255" s="10"/>
      <x:c r="F255" s="10"/>
      <x:c r="G255" s="10"/>
      <x:c r="H255" s="10"/>
    </x:row>
    <x:row r="256" ht="14.25" customHeight="1">
      <x:c r="A256" s="10"/>
      <x:c r="B256" s="10"/>
      <x:c r="C256" s="10"/>
      <x:c r="D256" s="10"/>
      <x:c r="E256" s="10"/>
      <x:c r="F256" s="10"/>
      <x:c r="G256" s="10"/>
      <x:c r="H256" s="10"/>
    </x:row>
    <x:row r="257" ht="14.25" customHeight="1">
      <x:c r="A257" s="10"/>
      <x:c r="B257" s="10"/>
      <x:c r="C257" s="10"/>
      <x:c r="D257" s="10"/>
      <x:c r="E257" s="10"/>
      <x:c r="F257" s="10"/>
      <x:c r="G257" s="10"/>
      <x:c r="H257" s="10"/>
    </x:row>
    <x:row r="258" ht="14.25" customHeight="1">
      <x:c r="A258" s="10"/>
      <x:c r="B258" s="10"/>
      <x:c r="C258" s="10"/>
      <x:c r="D258" s="10"/>
      <x:c r="E258" s="10"/>
      <x:c r="F258" s="10"/>
      <x:c r="G258" s="10"/>
      <x:c r="H258" s="10"/>
    </x:row>
    <x:row r="259" ht="14.25" customHeight="1">
      <x:c r="A259" s="10"/>
      <x:c r="B259" s="10"/>
      <x:c r="C259" s="10"/>
      <x:c r="D259" s="10"/>
      <x:c r="E259" s="10"/>
      <x:c r="F259" s="10"/>
      <x:c r="G259" s="10"/>
      <x:c r="H259" s="10"/>
    </x:row>
    <x:row r="260" ht="14.25" customHeight="1">
      <x:c r="A260" s="10"/>
      <x:c r="B260" s="10"/>
      <x:c r="C260" s="10"/>
      <x:c r="D260" s="10"/>
      <x:c r="E260" s="10"/>
      <x:c r="F260" s="10"/>
      <x:c r="G260" s="10"/>
      <x:c r="H260" s="10"/>
    </x:row>
    <x:row r="261" ht="14.25" customHeight="1">
      <x:c r="A261" s="10"/>
      <x:c r="B261" s="10"/>
      <x:c r="C261" s="10"/>
      <x:c r="D261" s="10"/>
      <x:c r="E261" s="10"/>
      <x:c r="F261" s="10"/>
      <x:c r="G261" s="10"/>
      <x:c r="H261" s="10"/>
    </x:row>
    <x:row r="262" ht="14.25" customHeight="1">
      <x:c r="A262" s="10"/>
      <x:c r="B262" s="10"/>
      <x:c r="C262" s="10"/>
      <x:c r="D262" s="10"/>
      <x:c r="E262" s="10"/>
      <x:c r="F262" s="10"/>
      <x:c r="G262" s="10"/>
      <x:c r="H262" s="10"/>
    </x:row>
    <x:row r="263" ht="14.25" customHeight="1">
      <x:c r="A263" s="10"/>
      <x:c r="B263" s="10"/>
      <x:c r="C263" s="10"/>
      <x:c r="D263" s="10"/>
      <x:c r="E263" s="10"/>
      <x:c r="F263" s="10"/>
      <x:c r="G263" s="10"/>
      <x:c r="H263" s="10"/>
    </x:row>
    <x:row r="264" ht="14.25" customHeight="1">
      <x:c r="A264" s="10"/>
      <x:c r="B264" s="10"/>
      <x:c r="C264" s="10"/>
      <x:c r="D264" s="10"/>
      <x:c r="E264" s="10"/>
      <x:c r="F264" s="10"/>
      <x:c r="G264" s="10"/>
      <x:c r="H264" s="10"/>
    </x:row>
    <x:row r="265" ht="14.25" customHeight="1">
      <x:c r="A265" s="10"/>
      <x:c r="B265" s="10"/>
      <x:c r="C265" s="10"/>
      <x:c r="D265" s="10"/>
      <x:c r="E265" s="10"/>
      <x:c r="F265" s="10"/>
      <x:c r="G265" s="10"/>
      <x:c r="H265" s="10"/>
    </x:row>
    <x:row r="266" ht="14.25" customHeight="1">
      <x:c r="A266" s="10"/>
      <x:c r="B266" s="10"/>
      <x:c r="C266" s="10"/>
      <x:c r="D266" s="10"/>
      <x:c r="E266" s="10"/>
      <x:c r="F266" s="10"/>
      <x:c r="G266" s="10"/>
      <x:c r="H266" s="10"/>
    </x:row>
    <x:row r="267" ht="14.25" customHeight="1">
      <x:c r="A267" s="10"/>
      <x:c r="B267" s="10"/>
      <x:c r="C267" s="10"/>
      <x:c r="D267" s="10"/>
      <x:c r="E267" s="10"/>
      <x:c r="F267" s="10"/>
      <x:c r="G267" s="10"/>
      <x:c r="H267" s="10"/>
    </x:row>
    <x:row r="268" ht="14.25" customHeight="1">
      <x:c r="A268" s="10"/>
      <x:c r="B268" s="10"/>
      <x:c r="C268" s="10"/>
      <x:c r="D268" s="10"/>
      <x:c r="E268" s="10"/>
      <x:c r="F268" s="10"/>
      <x:c r="G268" s="10"/>
      <x:c r="H268" s="10"/>
    </x:row>
    <x:row r="269" ht="14.25" customHeight="1">
      <x:c r="A269" s="10"/>
      <x:c r="B269" s="10"/>
      <x:c r="C269" s="10"/>
      <x:c r="D269" s="10"/>
      <x:c r="E269" s="10"/>
      <x:c r="F269" s="10"/>
      <x:c r="G269" s="10"/>
      <x:c r="H269" s="10"/>
    </x:row>
    <x:row r="270" ht="14.25" customHeight="1">
      <x:c r="A270" s="10"/>
      <x:c r="B270" s="10"/>
      <x:c r="C270" s="10"/>
      <x:c r="D270" s="10"/>
      <x:c r="E270" s="10"/>
      <x:c r="F270" s="10"/>
      <x:c r="G270" s="10"/>
      <x:c r="H270" s="10"/>
    </x:row>
    <x:row r="271" ht="14.25" customHeight="1">
      <x:c r="A271" s="10"/>
      <x:c r="B271" s="10"/>
      <x:c r="C271" s="10"/>
      <x:c r="D271" s="10"/>
      <x:c r="E271" s="10"/>
      <x:c r="F271" s="10"/>
      <x:c r="G271" s="10"/>
      <x:c r="H271" s="10"/>
    </x:row>
    <x:row r="272" ht="14.25" customHeight="1">
      <x:c r="A272" s="10"/>
      <x:c r="B272" s="10"/>
      <x:c r="C272" s="10"/>
      <x:c r="D272" s="10"/>
      <x:c r="E272" s="10"/>
      <x:c r="F272" s="10"/>
      <x:c r="G272" s="10"/>
      <x:c r="H272" s="10"/>
    </x:row>
    <x:row r="273" ht="14.25" customHeight="1">
      <x:c r="A273" s="10"/>
      <x:c r="B273" s="10"/>
      <x:c r="C273" s="10"/>
      <x:c r="D273" s="10"/>
      <x:c r="E273" s="10"/>
      <x:c r="F273" s="10"/>
      <x:c r="G273" s="10"/>
      <x:c r="H273" s="10"/>
    </x:row>
    <x:row r="274" ht="14.25" customHeight="1">
      <x:c r="A274" s="10"/>
      <x:c r="B274" s="10"/>
      <x:c r="C274" s="10"/>
      <x:c r="D274" s="10"/>
      <x:c r="E274" s="10"/>
      <x:c r="F274" s="10"/>
      <x:c r="G274" s="10"/>
      <x:c r="H274" s="10"/>
    </x:row>
    <x:row r="275" ht="14.25" customHeight="1">
      <x:c r="A275" s="10"/>
      <x:c r="B275" s="10"/>
      <x:c r="C275" s="10"/>
      <x:c r="D275" s="10"/>
      <x:c r="E275" s="10"/>
      <x:c r="F275" s="10"/>
      <x:c r="G275" s="10"/>
      <x:c r="H275" s="10"/>
    </x:row>
    <x:row r="276" ht="14.25" customHeight="1">
      <x:c r="A276" s="10"/>
      <x:c r="B276" s="10"/>
      <x:c r="C276" s="10"/>
      <x:c r="D276" s="10"/>
      <x:c r="E276" s="10"/>
      <x:c r="F276" s="10"/>
      <x:c r="G276" s="10"/>
      <x:c r="H276" s="10"/>
    </x:row>
    <x:row r="277" ht="14.25" customHeight="1">
      <x:c r="A277" s="10"/>
      <x:c r="B277" s="10"/>
      <x:c r="C277" s="10"/>
      <x:c r="D277" s="10"/>
      <x:c r="E277" s="10"/>
      <x:c r="F277" s="10"/>
      <x:c r="G277" s="10"/>
      <x:c r="H277" s="10"/>
    </x:row>
    <x:row r="278" ht="14.25" customHeight="1">
      <x:c r="A278" s="10"/>
      <x:c r="B278" s="10"/>
      <x:c r="C278" s="10"/>
      <x:c r="D278" s="10"/>
      <x:c r="E278" s="10"/>
      <x:c r="F278" s="10"/>
      <x:c r="G278" s="10"/>
      <x:c r="H278" s="10"/>
    </x:row>
    <x:row r="279" ht="14.25" customHeight="1">
      <x:c r="A279" s="10"/>
      <x:c r="B279" s="10"/>
      <x:c r="C279" s="10"/>
      <x:c r="D279" s="10"/>
      <x:c r="E279" s="10"/>
      <x:c r="F279" s="10"/>
      <x:c r="G279" s="10"/>
      <x:c r="H279" s="10"/>
    </x:row>
    <x:row r="280" ht="14.25" customHeight="1">
      <x:c r="A280" s="10"/>
      <x:c r="B280" s="10"/>
      <x:c r="C280" s="10"/>
      <x:c r="D280" s="10"/>
      <x:c r="E280" s="10"/>
      <x:c r="F280" s="10"/>
      <x:c r="G280" s="10"/>
      <x:c r="H280" s="10"/>
    </x:row>
    <x:row r="281" ht="14.25" customHeight="1">
      <x:c r="A281" s="10"/>
      <x:c r="B281" s="10"/>
      <x:c r="C281" s="10"/>
      <x:c r="D281" s="10"/>
      <x:c r="E281" s="10"/>
      <x:c r="F281" s="10"/>
      <x:c r="G281" s="10"/>
      <x:c r="H281" s="10"/>
    </x:row>
    <x:row r="282" ht="14.25" customHeight="1">
      <x:c r="A282" s="10"/>
      <x:c r="B282" s="10"/>
      <x:c r="C282" s="10"/>
      <x:c r="D282" s="10"/>
      <x:c r="E282" s="10"/>
      <x:c r="F282" s="10"/>
      <x:c r="G282" s="10"/>
      <x:c r="H282" s="10"/>
    </x:row>
    <x:row r="283" ht="14.25" customHeight="1">
      <x:c r="A283" s="10"/>
      <x:c r="B283" s="10"/>
      <x:c r="C283" s="10"/>
      <x:c r="D283" s="10"/>
      <x:c r="E283" s="10"/>
      <x:c r="F283" s="10"/>
      <x:c r="G283" s="10"/>
      <x:c r="H283" s="10"/>
    </x:row>
    <x:row r="284" ht="14.25" customHeight="1">
      <x:c r="A284" s="10"/>
      <x:c r="B284" s="10"/>
      <x:c r="C284" s="10"/>
      <x:c r="D284" s="10"/>
      <x:c r="E284" s="10"/>
      <x:c r="F284" s="10"/>
      <x:c r="G284" s="10"/>
      <x:c r="H284" s="10"/>
    </x:row>
    <x:row r="285" ht="14.25" customHeight="1">
      <x:c r="A285" s="10"/>
      <x:c r="B285" s="10"/>
      <x:c r="C285" s="10"/>
      <x:c r="D285" s="10"/>
      <x:c r="E285" s="10"/>
      <x:c r="F285" s="10"/>
      <x:c r="G285" s="10"/>
      <x:c r="H285" s="10"/>
    </x:row>
    <x:row r="286" ht="14.25" customHeight="1">
      <x:c r="A286" s="10"/>
      <x:c r="B286" s="10"/>
      <x:c r="C286" s="10"/>
      <x:c r="D286" s="10"/>
      <x:c r="E286" s="10"/>
      <x:c r="F286" s="10"/>
      <x:c r="G286" s="10"/>
      <x:c r="H286" s="10"/>
    </x:row>
    <x:row r="287" ht="14.25" customHeight="1">
      <x:c r="A287" s="10"/>
      <x:c r="B287" s="10"/>
      <x:c r="C287" s="10"/>
      <x:c r="D287" s="10"/>
      <x:c r="E287" s="10"/>
      <x:c r="F287" s="10"/>
      <x:c r="G287" s="10"/>
      <x:c r="H287" s="10"/>
    </x:row>
    <x:row r="288" ht="14.25" customHeight="1">
      <x:c r="A288" s="10"/>
      <x:c r="B288" s="10"/>
      <x:c r="C288" s="10"/>
      <x:c r="D288" s="10"/>
      <x:c r="E288" s="10"/>
      <x:c r="F288" s="10"/>
      <x:c r="G288" s="10"/>
      <x:c r="H288" s="10"/>
    </x:row>
    <x:row r="289" ht="14.25" customHeight="1">
      <x:c r="A289" s="10"/>
      <x:c r="B289" s="10"/>
      <x:c r="C289" s="10"/>
      <x:c r="D289" s="10"/>
      <x:c r="E289" s="10"/>
      <x:c r="F289" s="10"/>
      <x:c r="G289" s="10"/>
      <x:c r="H289" s="10"/>
    </x:row>
    <x:row r="290" ht="14.25" customHeight="1">
      <x:c r="A290" s="10"/>
      <x:c r="B290" s="10"/>
      <x:c r="C290" s="10"/>
      <x:c r="D290" s="10"/>
      <x:c r="E290" s="10"/>
      <x:c r="F290" s="10"/>
      <x:c r="G290" s="10"/>
      <x:c r="H290" s="10"/>
    </x:row>
    <x:row r="291" ht="14.25" customHeight="1">
      <x:c r="A291" s="10"/>
      <x:c r="B291" s="10"/>
      <x:c r="C291" s="10"/>
      <x:c r="D291" s="10"/>
      <x:c r="E291" s="10"/>
      <x:c r="F291" s="10"/>
      <x:c r="G291" s="10"/>
      <x:c r="H291" s="10"/>
    </x:row>
    <x:row r="292" ht="14.25" customHeight="1">
      <x:c r="A292" s="10"/>
      <x:c r="B292" s="10"/>
      <x:c r="C292" s="10"/>
      <x:c r="D292" s="10"/>
      <x:c r="E292" s="10"/>
      <x:c r="F292" s="10"/>
      <x:c r="G292" s="10"/>
      <x:c r="H292" s="10"/>
    </x:row>
    <x:row r="293" ht="14.25" customHeight="1">
      <x:c r="A293" s="10"/>
      <x:c r="B293" s="10"/>
      <x:c r="C293" s="10"/>
      <x:c r="D293" s="10"/>
      <x:c r="E293" s="10"/>
      <x:c r="F293" s="10"/>
      <x:c r="G293" s="10"/>
      <x:c r="H293" s="10"/>
    </x:row>
    <x:row r="294" ht="14.25" customHeight="1">
      <x:c r="A294" s="10"/>
      <x:c r="B294" s="10"/>
      <x:c r="C294" s="10"/>
      <x:c r="D294" s="10"/>
      <x:c r="E294" s="10"/>
      <x:c r="F294" s="10"/>
      <x:c r="G294" s="10"/>
      <x:c r="H294" s="10"/>
    </x:row>
    <x:row r="295" ht="14.25" customHeight="1">
      <x:c r="A295" s="10"/>
      <x:c r="B295" s="10"/>
      <x:c r="C295" s="10"/>
      <x:c r="D295" s="10"/>
      <x:c r="E295" s="10"/>
      <x:c r="F295" s="10"/>
      <x:c r="G295" s="10"/>
      <x:c r="H295" s="10"/>
    </x:row>
    <x:row r="296" ht="14.25" customHeight="1">
      <x:c r="A296" s="10"/>
      <x:c r="B296" s="10"/>
      <x:c r="C296" s="10"/>
      <x:c r="D296" s="10"/>
      <x:c r="E296" s="10"/>
      <x:c r="F296" s="10"/>
      <x:c r="G296" s="10"/>
      <x:c r="H296" s="10"/>
    </x:row>
    <x:row r="297" ht="14.25" customHeight="1">
      <x:c r="A297" s="10"/>
      <x:c r="B297" s="10"/>
      <x:c r="C297" s="10"/>
      <x:c r="D297" s="10"/>
      <x:c r="E297" s="10"/>
      <x:c r="F297" s="10"/>
      <x:c r="G297" s="10"/>
      <x:c r="H297" s="10"/>
    </x:row>
    <x:row r="298" ht="14.25" customHeight="1">
      <x:c r="A298" s="10"/>
      <x:c r="B298" s="10"/>
      <x:c r="C298" s="10"/>
      <x:c r="D298" s="10"/>
      <x:c r="E298" s="10"/>
      <x:c r="F298" s="10"/>
      <x:c r="G298" s="10"/>
      <x:c r="H298" s="10"/>
    </x:row>
    <x:row r="299" ht="14.25" customHeight="1">
      <x:c r="A299" s="10"/>
      <x:c r="B299" s="10"/>
      <x:c r="C299" s="10"/>
      <x:c r="D299" s="10"/>
      <x:c r="E299" s="10"/>
      <x:c r="F299" s="10"/>
      <x:c r="G299" s="10"/>
      <x:c r="H299" s="10"/>
    </x:row>
    <x:row r="300" ht="14.25" customHeight="1">
      <x:c r="A300" s="10"/>
      <x:c r="B300" s="10"/>
      <x:c r="C300" s="10"/>
      <x:c r="D300" s="10"/>
      <x:c r="E300" s="10"/>
      <x:c r="F300" s="10"/>
      <x:c r="G300" s="10"/>
      <x:c r="H300" s="10"/>
    </x:row>
    <x:row r="301" ht="14.25" customHeight="1">
      <x:c r="A301" s="10"/>
      <x:c r="B301" s="10"/>
      <x:c r="C301" s="10"/>
      <x:c r="D301" s="10"/>
      <x:c r="E301" s="10"/>
      <x:c r="F301" s="10"/>
      <x:c r="G301" s="10"/>
      <x:c r="H301" s="10"/>
    </x:row>
    <x:row r="302" ht="14.25" customHeight="1">
      <x:c r="A302" s="10"/>
      <x:c r="B302" s="10"/>
      <x:c r="C302" s="10"/>
      <x:c r="D302" s="10"/>
      <x:c r="E302" s="10"/>
      <x:c r="F302" s="10"/>
      <x:c r="G302" s="10"/>
      <x:c r="H302" s="10"/>
    </x:row>
    <x:row r="303" ht="14.25" customHeight="1">
      <x:c r="A303" s="10"/>
      <x:c r="B303" s="10"/>
      <x:c r="C303" s="10"/>
      <x:c r="D303" s="10"/>
      <x:c r="E303" s="10"/>
      <x:c r="F303" s="10"/>
      <x:c r="G303" s="10"/>
      <x:c r="H303" s="10"/>
    </x:row>
    <x:row r="304" ht="14.25" customHeight="1">
      <x:c r="A304" s="10"/>
      <x:c r="B304" s="10"/>
      <x:c r="C304" s="10"/>
      <x:c r="D304" s="10"/>
      <x:c r="E304" s="10"/>
      <x:c r="F304" s="10"/>
      <x:c r="G304" s="10"/>
      <x:c r="H304" s="10"/>
    </x:row>
    <x:row r="305" ht="14.25" customHeight="1">
      <x:c r="A305" s="10"/>
      <x:c r="B305" s="10"/>
      <x:c r="C305" s="10"/>
      <x:c r="D305" s="10"/>
      <x:c r="E305" s="10"/>
      <x:c r="F305" s="10"/>
      <x:c r="G305" s="10"/>
      <x:c r="H305" s="10"/>
    </x:row>
    <x:row r="306" ht="14.25" customHeight="1">
      <x:c r="A306" s="10"/>
      <x:c r="B306" s="10"/>
      <x:c r="C306" s="10"/>
      <x:c r="D306" s="10"/>
      <x:c r="E306" s="10"/>
      <x:c r="F306" s="10"/>
      <x:c r="G306" s="10"/>
      <x:c r="H306" s="10"/>
    </x:row>
    <x:row r="307" ht="14.25" customHeight="1">
      <x:c r="A307" s="10"/>
      <x:c r="B307" s="10"/>
      <x:c r="C307" s="10"/>
      <x:c r="D307" s="10"/>
      <x:c r="E307" s="10"/>
      <x:c r="F307" s="10"/>
      <x:c r="G307" s="10"/>
      <x:c r="H307" s="10"/>
    </x:row>
    <x:row r="308" ht="14.25" customHeight="1">
      <x:c r="A308" s="10"/>
      <x:c r="B308" s="10"/>
      <x:c r="C308" s="10"/>
      <x:c r="D308" s="10"/>
      <x:c r="E308" s="10"/>
      <x:c r="F308" s="10"/>
      <x:c r="G308" s="10"/>
      <x:c r="H308" s="10"/>
    </x:row>
    <x:row r="309" ht="14.25" customHeight="1">
      <x:c r="A309" s="10"/>
      <x:c r="B309" s="10"/>
      <x:c r="C309" s="10"/>
      <x:c r="D309" s="10"/>
      <x:c r="E309" s="10"/>
      <x:c r="F309" s="10"/>
      <x:c r="G309" s="10"/>
      <x:c r="H309" s="10"/>
    </x:row>
    <x:row r="310" ht="14.25" customHeight="1">
      <x:c r="A310" s="10"/>
      <x:c r="B310" s="10"/>
      <x:c r="C310" s="10"/>
      <x:c r="D310" s="10"/>
      <x:c r="E310" s="10"/>
      <x:c r="F310" s="10"/>
      <x:c r="G310" s="10"/>
      <x:c r="H310" s="10"/>
    </x:row>
    <x:row r="311" ht="14.25" customHeight="1">
      <x:c r="A311" s="10"/>
      <x:c r="B311" s="10"/>
      <x:c r="C311" s="10"/>
      <x:c r="D311" s="10"/>
      <x:c r="E311" s="10"/>
      <x:c r="F311" s="10"/>
      <x:c r="G311" s="10"/>
      <x:c r="H311" s="10"/>
    </x:row>
    <x:row r="312" ht="14.25" customHeight="1">
      <x:c r="A312" s="10"/>
      <x:c r="B312" s="10"/>
      <x:c r="C312" s="10"/>
      <x:c r="D312" s="10"/>
      <x:c r="E312" s="10"/>
      <x:c r="F312" s="10"/>
      <x:c r="G312" s="10"/>
      <x:c r="H312" s="10"/>
    </x:row>
    <x:row r="313" ht="14.25" customHeight="1">
      <x:c r="A313" s="10"/>
      <x:c r="B313" s="10"/>
      <x:c r="C313" s="10"/>
      <x:c r="D313" s="10"/>
      <x:c r="E313" s="10"/>
      <x:c r="F313" s="10"/>
      <x:c r="G313" s="10"/>
      <x:c r="H313" s="10"/>
    </x:row>
    <x:row r="314" ht="14.25" customHeight="1">
      <x:c r="A314" s="10"/>
      <x:c r="B314" s="10"/>
      <x:c r="C314" s="10"/>
      <x:c r="D314" s="10"/>
      <x:c r="E314" s="10"/>
      <x:c r="F314" s="10"/>
      <x:c r="G314" s="10"/>
      <x:c r="H314" s="10"/>
    </x:row>
    <x:row r="315" ht="14.25" customHeight="1">
      <x:c r="A315" s="10"/>
      <x:c r="B315" s="10"/>
      <x:c r="C315" s="10"/>
      <x:c r="D315" s="10"/>
      <x:c r="E315" s="10"/>
      <x:c r="F315" s="10"/>
      <x:c r="G315" s="10"/>
      <x:c r="H315" s="10"/>
    </x:row>
    <x:row r="316" ht="14.25" customHeight="1">
      <x:c r="A316" s="10"/>
      <x:c r="B316" s="10"/>
      <x:c r="C316" s="10"/>
      <x:c r="D316" s="10"/>
      <x:c r="E316" s="10"/>
      <x:c r="F316" s="10"/>
      <x:c r="G316" s="10"/>
      <x:c r="H316" s="10"/>
    </x:row>
    <x:row r="317" ht="14.25" customHeight="1">
      <x:c r="A317" s="10"/>
      <x:c r="B317" s="10"/>
      <x:c r="C317" s="10"/>
      <x:c r="D317" s="10"/>
      <x:c r="E317" s="10"/>
      <x:c r="F317" s="10"/>
      <x:c r="G317" s="10"/>
      <x:c r="H317" s="10"/>
    </x:row>
    <x:row r="318" ht="14.25" customHeight="1">
      <x:c r="A318" s="10"/>
      <x:c r="B318" s="10"/>
      <x:c r="C318" s="10"/>
      <x:c r="D318" s="10"/>
      <x:c r="E318" s="10"/>
      <x:c r="F318" s="10"/>
      <x:c r="G318" s="10"/>
      <x:c r="H318" s="10"/>
    </x:row>
    <x:row r="319" ht="14.25" customHeight="1">
      <x:c r="A319" s="10"/>
      <x:c r="B319" s="10"/>
      <x:c r="C319" s="10"/>
      <x:c r="D319" s="10"/>
      <x:c r="E319" s="10"/>
      <x:c r="F319" s="10"/>
      <x:c r="G319" s="10"/>
      <x:c r="H319" s="10"/>
    </x:row>
    <x:row r="320" ht="14.25" customHeight="1">
      <x:c r="A320" s="10"/>
      <x:c r="B320" s="10"/>
      <x:c r="C320" s="10"/>
      <x:c r="D320" s="10"/>
      <x:c r="E320" s="10"/>
      <x:c r="F320" s="10"/>
      <x:c r="G320" s="10"/>
      <x:c r="H320" s="10"/>
    </x:row>
    <x:row r="321" ht="14.25" customHeight="1">
      <x:c r="A321" s="10"/>
      <x:c r="B321" s="10"/>
      <x:c r="C321" s="10"/>
      <x:c r="D321" s="10"/>
      <x:c r="E321" s="10"/>
      <x:c r="F321" s="10"/>
      <x:c r="G321" s="10"/>
      <x:c r="H321" s="10"/>
    </x:row>
    <x:row r="322" ht="14.25" customHeight="1">
      <x:c r="A322" s="10"/>
      <x:c r="B322" s="10"/>
      <x:c r="C322" s="10"/>
      <x:c r="D322" s="10"/>
      <x:c r="E322" s="10"/>
      <x:c r="F322" s="10"/>
      <x:c r="G322" s="10"/>
      <x:c r="H322" s="10"/>
    </x:row>
    <x:row r="323" ht="14.25" customHeight="1">
      <x:c r="A323" s="10"/>
      <x:c r="B323" s="10"/>
      <x:c r="C323" s="10"/>
      <x:c r="D323" s="10"/>
      <x:c r="E323" s="10"/>
      <x:c r="F323" s="10"/>
      <x:c r="G323" s="10"/>
      <x:c r="H323" s="10"/>
    </x:row>
    <x:row r="324" ht="14.25" customHeight="1">
      <x:c r="A324" s="10"/>
      <x:c r="B324" s="10"/>
      <x:c r="C324" s="10"/>
      <x:c r="D324" s="10"/>
      <x:c r="E324" s="10"/>
      <x:c r="F324" s="10"/>
      <x:c r="G324" s="10"/>
      <x:c r="H324" s="10"/>
    </x:row>
    <x:row r="325" ht="14.25" customHeight="1">
      <x:c r="A325" s="10"/>
      <x:c r="B325" s="10"/>
      <x:c r="C325" s="10"/>
      <x:c r="D325" s="10"/>
      <x:c r="E325" s="10"/>
      <x:c r="F325" s="10"/>
      <x:c r="G325" s="10"/>
      <x:c r="H325" s="10"/>
    </x:row>
    <x:row r="326" ht="14.25" customHeight="1">
      <x:c r="A326" s="10"/>
      <x:c r="B326" s="10"/>
      <x:c r="C326" s="10"/>
      <x:c r="D326" s="10"/>
      <x:c r="E326" s="10"/>
      <x:c r="F326" s="10"/>
      <x:c r="G326" s="10"/>
      <x:c r="H326" s="10"/>
    </x:row>
    <x:row r="327" ht="14.25" customHeight="1">
      <x:c r="A327" s="10"/>
      <x:c r="B327" s="10"/>
      <x:c r="C327" s="10"/>
      <x:c r="D327" s="10"/>
      <x:c r="E327" s="10"/>
      <x:c r="F327" s="10"/>
      <x:c r="G327" s="10"/>
      <x:c r="H327" s="10"/>
    </x:row>
    <x:row r="328" ht="14.25" customHeight="1">
      <x:c r="A328" s="10"/>
      <x:c r="B328" s="10"/>
      <x:c r="C328" s="10"/>
      <x:c r="D328" s="10"/>
      <x:c r="E328" s="10"/>
      <x:c r="F328" s="10"/>
      <x:c r="G328" s="10"/>
      <x:c r="H328" s="10"/>
    </x:row>
    <x:row r="329" ht="14.25" customHeight="1">
      <x:c r="A329" s="10"/>
      <x:c r="B329" s="10"/>
      <x:c r="C329" s="10"/>
      <x:c r="D329" s="10"/>
      <x:c r="E329" s="10"/>
      <x:c r="F329" s="10"/>
      <x:c r="G329" s="10"/>
      <x:c r="H329" s="10"/>
    </x:row>
    <x:row r="330" ht="14.25" customHeight="1">
      <x:c r="A330" s="10"/>
      <x:c r="B330" s="10"/>
      <x:c r="C330" s="10"/>
      <x:c r="D330" s="10"/>
      <x:c r="E330" s="10"/>
      <x:c r="F330" s="10"/>
      <x:c r="G330" s="10"/>
      <x:c r="H330" s="10"/>
    </x:row>
    <x:row r="331" ht="14.25" customHeight="1">
      <x:c r="A331" s="10"/>
      <x:c r="B331" s="10"/>
      <x:c r="C331" s="10"/>
      <x:c r="D331" s="10"/>
      <x:c r="E331" s="10"/>
      <x:c r="F331" s="10"/>
      <x:c r="G331" s="10"/>
      <x:c r="H331" s="10"/>
    </x:row>
    <x:row r="332" ht="14.25" customHeight="1">
      <x:c r="A332" s="10"/>
      <x:c r="B332" s="10"/>
      <x:c r="C332" s="10"/>
      <x:c r="D332" s="10"/>
      <x:c r="E332" s="10"/>
      <x:c r="F332" s="10"/>
      <x:c r="G332" s="10"/>
      <x:c r="H332" s="10"/>
    </x:row>
    <x:row r="333" ht="14.25" customHeight="1">
      <x:c r="A333" s="10"/>
      <x:c r="B333" s="10"/>
      <x:c r="C333" s="10"/>
      <x:c r="D333" s="10"/>
      <x:c r="E333" s="10"/>
      <x:c r="F333" s="10"/>
      <x:c r="G333" s="10"/>
      <x:c r="H333" s="10"/>
    </x:row>
    <x:row r="334" ht="14.25" customHeight="1">
      <x:c r="A334" s="10"/>
      <x:c r="B334" s="10"/>
      <x:c r="C334" s="10"/>
      <x:c r="D334" s="10"/>
      <x:c r="E334" s="10"/>
      <x:c r="F334" s="10"/>
      <x:c r="G334" s="10"/>
      <x:c r="H334" s="10"/>
    </x:row>
    <x:row r="335" ht="14.25" customHeight="1">
      <x:c r="A335" s="10"/>
      <x:c r="B335" s="10"/>
      <x:c r="C335" s="10"/>
      <x:c r="D335" s="10"/>
      <x:c r="E335" s="10"/>
      <x:c r="F335" s="10"/>
      <x:c r="G335" s="10"/>
      <x:c r="H335" s="10"/>
    </x:row>
    <x:row r="336" ht="14.25" customHeight="1">
      <x:c r="A336" s="10"/>
      <x:c r="B336" s="10"/>
      <x:c r="C336" s="10"/>
      <x:c r="D336" s="10"/>
      <x:c r="E336" s="10"/>
      <x:c r="F336" s="10"/>
      <x:c r="G336" s="10"/>
      <x:c r="H336" s="10"/>
    </x:row>
    <x:row r="337" ht="14.25" customHeight="1">
      <x:c r="A337" s="10"/>
      <x:c r="B337" s="10"/>
      <x:c r="C337" s="10"/>
      <x:c r="D337" s="10"/>
      <x:c r="E337" s="10"/>
      <x:c r="F337" s="10"/>
      <x:c r="G337" s="10"/>
      <x:c r="H337" s="10"/>
    </x:row>
    <x:row r="338" ht="14.25" customHeight="1">
      <x:c r="A338" s="10"/>
      <x:c r="B338" s="10"/>
      <x:c r="C338" s="10"/>
      <x:c r="D338" s="10"/>
      <x:c r="E338" s="10"/>
      <x:c r="F338" s="10"/>
      <x:c r="G338" s="10"/>
      <x:c r="H338" s="10"/>
    </x:row>
    <x:row r="339" ht="14.25" customHeight="1">
      <x:c r="A339" s="10"/>
      <x:c r="B339" s="10"/>
      <x:c r="C339" s="10"/>
      <x:c r="D339" s="10"/>
      <x:c r="E339" s="10"/>
      <x:c r="F339" s="10"/>
      <x:c r="G339" s="10"/>
      <x:c r="H339" s="10"/>
    </x:row>
    <x:row r="340" ht="14.25" customHeight="1">
      <x:c r="A340" s="10"/>
      <x:c r="B340" s="10"/>
      <x:c r="C340" s="10"/>
      <x:c r="D340" s="10"/>
      <x:c r="E340" s="10"/>
      <x:c r="F340" s="10"/>
      <x:c r="G340" s="10"/>
      <x:c r="H340" s="10"/>
    </x:row>
    <x:row r="341" ht="14.25" customHeight="1">
      <x:c r="A341" s="10"/>
      <x:c r="B341" s="10"/>
      <x:c r="C341" s="10"/>
      <x:c r="D341" s="10"/>
      <x:c r="E341" s="10"/>
      <x:c r="F341" s="10"/>
      <x:c r="G341" s="10"/>
      <x:c r="H341" s="10"/>
    </x:row>
    <x:row r="342" ht="14.25" customHeight="1">
      <x:c r="A342" s="10"/>
      <x:c r="B342" s="10"/>
      <x:c r="C342" s="10"/>
      <x:c r="D342" s="10"/>
      <x:c r="E342" s="10"/>
      <x:c r="F342" s="10"/>
      <x:c r="G342" s="10"/>
      <x:c r="H342" s="10"/>
    </x:row>
    <x:row r="343" ht="14.25" customHeight="1">
      <x:c r="A343" s="10"/>
      <x:c r="B343" s="10"/>
      <x:c r="C343" s="10"/>
      <x:c r="D343" s="10"/>
      <x:c r="E343" s="10"/>
      <x:c r="F343" s="10"/>
      <x:c r="G343" s="10"/>
      <x:c r="H343" s="10"/>
    </x:row>
    <x:row r="344" ht="14.25" customHeight="1">
      <x:c r="A344" s="10"/>
      <x:c r="B344" s="10"/>
      <x:c r="C344" s="10"/>
      <x:c r="D344" s="10"/>
      <x:c r="E344" s="10"/>
      <x:c r="F344" s="10"/>
      <x:c r="G344" s="10"/>
      <x:c r="H344" s="10"/>
    </x:row>
    <x:row r="345" ht="14.25" customHeight="1">
      <x:c r="A345" s="10"/>
      <x:c r="B345" s="10"/>
      <x:c r="C345" s="10"/>
      <x:c r="D345" s="10"/>
      <x:c r="E345" s="10"/>
      <x:c r="F345" s="10"/>
      <x:c r="G345" s="10"/>
      <x:c r="H345" s="10"/>
    </x:row>
    <x:row r="346" ht="14.25" customHeight="1">
      <x:c r="A346" s="10"/>
      <x:c r="B346" s="10"/>
      <x:c r="C346" s="10"/>
      <x:c r="D346" s="10"/>
      <x:c r="E346" s="10"/>
      <x:c r="F346" s="10"/>
      <x:c r="G346" s="10"/>
      <x:c r="H346" s="10"/>
    </x:row>
    <x:row r="347" ht="14.25" customHeight="1">
      <x:c r="A347" s="10"/>
      <x:c r="B347" s="10"/>
      <x:c r="C347" s="10"/>
      <x:c r="D347" s="10"/>
      <x:c r="E347" s="10"/>
      <x:c r="F347" s="10"/>
      <x:c r="G347" s="10"/>
      <x:c r="H347" s="10"/>
    </x:row>
    <x:row r="348" ht="14.25" customHeight="1">
      <x:c r="A348" s="10"/>
      <x:c r="B348" s="10"/>
      <x:c r="C348" s="10"/>
      <x:c r="D348" s="10"/>
      <x:c r="E348" s="10"/>
      <x:c r="F348" s="10"/>
      <x:c r="G348" s="10"/>
      <x:c r="H348" s="10"/>
    </x:row>
    <x:row r="349" ht="14.25" customHeight="1">
      <x:c r="A349" s="10"/>
      <x:c r="B349" s="10"/>
      <x:c r="C349" s="10"/>
      <x:c r="D349" s="10"/>
      <x:c r="E349" s="10"/>
      <x:c r="F349" s="10"/>
      <x:c r="G349" s="10"/>
      <x:c r="H349" s="10"/>
    </x:row>
    <x:row r="350" ht="14.25" customHeight="1">
      <x:c r="A350" s="10"/>
      <x:c r="B350" s="10"/>
      <x:c r="C350" s="10"/>
      <x:c r="D350" s="10"/>
      <x:c r="E350" s="10"/>
      <x:c r="F350" s="10"/>
      <x:c r="G350" s="10"/>
      <x:c r="H350" s="10"/>
    </x:row>
    <x:row r="351" ht="14.25" customHeight="1">
      <x:c r="A351" s="10"/>
      <x:c r="B351" s="10"/>
      <x:c r="C351" s="10"/>
      <x:c r="D351" s="10"/>
      <x:c r="E351" s="10"/>
      <x:c r="F351" s="10"/>
      <x:c r="G351" s="10"/>
      <x:c r="H351" s="10"/>
    </x:row>
    <x:row r="352" ht="14.25" customHeight="1">
      <x:c r="A352" s="10"/>
      <x:c r="B352" s="10"/>
      <x:c r="C352" s="10"/>
      <x:c r="D352" s="10"/>
      <x:c r="E352" s="10"/>
      <x:c r="F352" s="10"/>
      <x:c r="G352" s="10"/>
      <x:c r="H352" s="10"/>
    </x:row>
    <x:row r="353" ht="14.25" customHeight="1">
      <x:c r="A353" s="10"/>
      <x:c r="B353" s="10"/>
      <x:c r="C353" s="10"/>
      <x:c r="D353" s="10"/>
      <x:c r="E353" s="10"/>
      <x:c r="F353" s="10"/>
      <x:c r="G353" s="10"/>
      <x:c r="H353" s="10"/>
    </x:row>
    <x:row r="354" ht="14.25" customHeight="1">
      <x:c r="A354" s="10"/>
      <x:c r="B354" s="10"/>
      <x:c r="C354" s="10"/>
      <x:c r="D354" s="10"/>
      <x:c r="E354" s="10"/>
      <x:c r="F354" s="10"/>
      <x:c r="G354" s="10"/>
      <x:c r="H354" s="10"/>
    </x:row>
    <x:row r="355" ht="14.25" customHeight="1">
      <x:c r="A355" s="10"/>
      <x:c r="B355" s="10"/>
      <x:c r="C355" s="10"/>
      <x:c r="D355" s="10"/>
      <x:c r="E355" s="10"/>
      <x:c r="F355" s="10"/>
      <x:c r="G355" s="10"/>
      <x:c r="H355" s="10"/>
    </x:row>
    <x:row r="356" ht="14.25" customHeight="1">
      <x:c r="A356" s="10"/>
      <x:c r="B356" s="10"/>
      <x:c r="C356" s="10"/>
      <x:c r="D356" s="10"/>
      <x:c r="E356" s="10"/>
      <x:c r="F356" s="10"/>
      <x:c r="G356" s="10"/>
      <x:c r="H356" s="10"/>
    </x:row>
    <x:row r="357" ht="14.25" customHeight="1">
      <x:c r="A357" s="10"/>
      <x:c r="B357" s="10"/>
      <x:c r="C357" s="10"/>
      <x:c r="D357" s="10"/>
      <x:c r="E357" s="10"/>
      <x:c r="F357" s="10"/>
      <x:c r="G357" s="10"/>
      <x:c r="H357" s="10"/>
    </x:row>
    <x:row r="358" ht="14.25" customHeight="1">
      <x:c r="A358" s="10"/>
      <x:c r="B358" s="10"/>
      <x:c r="C358" s="10"/>
      <x:c r="D358" s="10"/>
      <x:c r="E358" s="10"/>
      <x:c r="F358" s="10"/>
      <x:c r="G358" s="10"/>
      <x:c r="H358" s="10"/>
    </x:row>
    <x:row r="359" ht="14.25" customHeight="1">
      <x:c r="A359" s="10"/>
      <x:c r="B359" s="10"/>
      <x:c r="C359" s="10"/>
      <x:c r="D359" s="10"/>
      <x:c r="E359" s="10"/>
      <x:c r="F359" s="10"/>
      <x:c r="G359" s="10"/>
      <x:c r="H359" s="10"/>
    </x:row>
    <x:row r="360" ht="14.25" customHeight="1">
      <x:c r="A360" s="10"/>
      <x:c r="B360" s="10"/>
      <x:c r="C360" s="10"/>
      <x:c r="D360" s="10"/>
      <x:c r="E360" s="10"/>
      <x:c r="F360" s="10"/>
      <x:c r="G360" s="10"/>
      <x:c r="H360" s="10"/>
    </x:row>
    <x:row r="361" ht="14.25" customHeight="1">
      <x:c r="A361" s="10"/>
      <x:c r="B361" s="10"/>
      <x:c r="C361" s="10"/>
      <x:c r="D361" s="10"/>
      <x:c r="E361" s="10"/>
      <x:c r="F361" s="10"/>
      <x:c r="G361" s="10"/>
      <x:c r="H361" s="10"/>
    </x:row>
    <x:row r="362" ht="14.25" customHeight="1">
      <x:c r="A362" s="10"/>
      <x:c r="B362" s="10"/>
      <x:c r="C362" s="10"/>
      <x:c r="D362" s="10"/>
      <x:c r="E362" s="10"/>
      <x:c r="F362" s="10"/>
      <x:c r="G362" s="10"/>
      <x:c r="H362" s="10"/>
    </x:row>
    <x:row r="363" ht="14.25" customHeight="1">
      <x:c r="A363" s="10"/>
      <x:c r="B363" s="10"/>
      <x:c r="C363" s="10"/>
      <x:c r="D363" s="10"/>
      <x:c r="E363" s="10"/>
      <x:c r="F363" s="10"/>
      <x:c r="G363" s="10"/>
      <x:c r="H363" s="10"/>
    </x:row>
    <x:row r="364" ht="14.25" customHeight="1">
      <x:c r="A364" s="10"/>
      <x:c r="B364" s="10"/>
      <x:c r="C364" s="10"/>
      <x:c r="D364" s="10"/>
      <x:c r="E364" s="10"/>
      <x:c r="F364" s="10"/>
      <x:c r="G364" s="10"/>
      <x:c r="H364" s="10"/>
    </x:row>
    <x:row r="365" ht="14.25" customHeight="1">
      <x:c r="A365" s="10"/>
      <x:c r="B365" s="10"/>
      <x:c r="C365" s="10"/>
      <x:c r="D365" s="10"/>
      <x:c r="E365" s="10"/>
      <x:c r="F365" s="10"/>
      <x:c r="G365" s="10"/>
      <x:c r="H365" s="10"/>
    </x:row>
    <x:row r="366" ht="14.25" customHeight="1">
      <x:c r="A366" s="10"/>
      <x:c r="B366" s="10"/>
      <x:c r="C366" s="10"/>
      <x:c r="D366" s="10"/>
      <x:c r="E366" s="10"/>
      <x:c r="F366" s="10"/>
      <x:c r="G366" s="10"/>
      <x:c r="H366" s="10"/>
    </x:row>
    <x:row r="367" ht="14.25" customHeight="1">
      <x:c r="A367" s="10"/>
      <x:c r="B367" s="10"/>
      <x:c r="C367" s="10"/>
      <x:c r="D367" s="10"/>
      <x:c r="E367" s="10"/>
      <x:c r="F367" s="10"/>
      <x:c r="G367" s="10"/>
      <x:c r="H367" s="10"/>
    </x:row>
    <x:row r="368" ht="14.25" customHeight="1">
      <x:c r="A368" s="10"/>
      <x:c r="B368" s="10"/>
      <x:c r="C368" s="10"/>
      <x:c r="D368" s="10"/>
      <x:c r="E368" s="10"/>
      <x:c r="F368" s="10"/>
      <x:c r="G368" s="10"/>
      <x:c r="H368" s="10"/>
    </x:row>
    <x:row r="369" ht="14.25" customHeight="1">
      <x:c r="A369" s="10"/>
      <x:c r="B369" s="10"/>
      <x:c r="C369" s="10"/>
      <x:c r="D369" s="10"/>
      <x:c r="E369" s="10"/>
      <x:c r="F369" s="10"/>
      <x:c r="G369" s="10"/>
      <x:c r="H369" s="10"/>
    </x:row>
    <x:row r="370" ht="14.25" customHeight="1">
      <x:c r="A370" s="10"/>
      <x:c r="B370" s="10"/>
      <x:c r="C370" s="10"/>
      <x:c r="D370" s="10"/>
      <x:c r="E370" s="10"/>
      <x:c r="F370" s="10"/>
      <x:c r="G370" s="10"/>
      <x:c r="H370" s="10"/>
    </x:row>
    <x:row r="371" ht="14.25" customHeight="1">
      <x:c r="A371" s="10"/>
      <x:c r="B371" s="10"/>
      <x:c r="C371" s="10"/>
      <x:c r="D371" s="10"/>
      <x:c r="E371" s="10"/>
      <x:c r="F371" s="10"/>
      <x:c r="G371" s="10"/>
      <x:c r="H371" s="10"/>
    </x:row>
    <x:row r="372" ht="14.25" customHeight="1">
      <x:c r="A372" s="10"/>
      <x:c r="B372" s="10"/>
      <x:c r="C372" s="10"/>
      <x:c r="D372" s="10"/>
      <x:c r="E372" s="10"/>
      <x:c r="F372" s="10"/>
      <x:c r="G372" s="10"/>
      <x:c r="H372" s="10"/>
    </x:row>
    <x:row r="373" ht="14.25" customHeight="1">
      <x:c r="A373" s="10"/>
      <x:c r="B373" s="10"/>
      <x:c r="C373" s="10"/>
      <x:c r="D373" s="10"/>
      <x:c r="E373" s="10"/>
      <x:c r="F373" s="10"/>
      <x:c r="G373" s="10"/>
      <x:c r="H373" s="10"/>
    </x:row>
    <x:row r="374" ht="14.25" customHeight="1">
      <x:c r="A374" s="10"/>
      <x:c r="B374" s="10"/>
      <x:c r="C374" s="10"/>
      <x:c r="D374" s="10"/>
      <x:c r="E374" s="10"/>
      <x:c r="F374" s="10"/>
      <x:c r="G374" s="10"/>
      <x:c r="H374" s="10"/>
    </x:row>
    <x:row r="375" ht="14.25" customHeight="1">
      <x:c r="A375" s="10"/>
      <x:c r="B375" s="10"/>
      <x:c r="C375" s="10"/>
      <x:c r="D375" s="10"/>
      <x:c r="E375" s="10"/>
      <x:c r="F375" s="10"/>
      <x:c r="G375" s="10"/>
      <x:c r="H375" s="10"/>
    </x:row>
    <x:row r="376" ht="14.25" customHeight="1">
      <x:c r="A376" s="10"/>
      <x:c r="B376" s="10"/>
      <x:c r="C376" s="10"/>
      <x:c r="D376" s="10"/>
      <x:c r="E376" s="10"/>
      <x:c r="F376" s="10"/>
      <x:c r="G376" s="10"/>
      <x:c r="H376" s="10"/>
    </x:row>
    <x:row r="377" ht="14.25" customHeight="1">
      <x:c r="A377" s="10"/>
      <x:c r="B377" s="10"/>
      <x:c r="C377" s="10"/>
      <x:c r="D377" s="10"/>
      <x:c r="E377" s="10"/>
      <x:c r="F377" s="10"/>
      <x:c r="G377" s="10"/>
      <x:c r="H377" s="10"/>
    </x:row>
    <x:row r="378" ht="14.25" customHeight="1">
      <x:c r="A378" s="10"/>
      <x:c r="B378" s="10"/>
      <x:c r="C378" s="10"/>
      <x:c r="D378" s="10"/>
      <x:c r="E378" s="10"/>
      <x:c r="F378" s="10"/>
      <x:c r="G378" s="10"/>
      <x:c r="H378" s="10"/>
    </x:row>
    <x:row r="379" ht="14.25" customHeight="1">
      <x:c r="A379" s="10"/>
      <x:c r="B379" s="10"/>
      <x:c r="C379" s="10"/>
      <x:c r="D379" s="10"/>
      <x:c r="E379" s="10"/>
      <x:c r="F379" s="10"/>
      <x:c r="G379" s="10"/>
      <x:c r="H379" s="10"/>
    </x:row>
    <x:row r="380" ht="14.25" customHeight="1">
      <x:c r="A380" s="10"/>
      <x:c r="B380" s="10"/>
      <x:c r="C380" s="10"/>
      <x:c r="D380" s="10"/>
      <x:c r="E380" s="10"/>
      <x:c r="F380" s="10"/>
      <x:c r="G380" s="10"/>
      <x:c r="H380" s="10"/>
    </x:row>
    <x:row r="381" ht="14.25" customHeight="1">
      <x:c r="A381" s="10"/>
      <x:c r="B381" s="10"/>
      <x:c r="C381" s="10"/>
      <x:c r="D381" s="10"/>
      <x:c r="E381" s="10"/>
      <x:c r="F381" s="10"/>
      <x:c r="G381" s="10"/>
      <x:c r="H381" s="10"/>
    </x:row>
    <x:row r="382" ht="14.25" customHeight="1">
      <x:c r="A382" s="10"/>
      <x:c r="B382" s="10"/>
      <x:c r="C382" s="10"/>
      <x:c r="D382" s="10"/>
      <x:c r="E382" s="10"/>
      <x:c r="F382" s="10"/>
      <x:c r="G382" s="10"/>
      <x:c r="H382" s="10"/>
    </x:row>
    <x:row r="383" ht="14.25" customHeight="1">
      <x:c r="A383" s="10"/>
      <x:c r="B383" s="10"/>
      <x:c r="C383" s="10"/>
      <x:c r="D383" s="10"/>
      <x:c r="E383" s="10"/>
      <x:c r="F383" s="10"/>
      <x:c r="G383" s="10"/>
      <x:c r="H383" s="10"/>
    </x:row>
    <x:row r="384" ht="14.25" customHeight="1">
      <x:c r="A384" s="10"/>
      <x:c r="B384" s="10"/>
      <x:c r="C384" s="10"/>
      <x:c r="D384" s="10"/>
      <x:c r="E384" s="10"/>
      <x:c r="F384" s="10"/>
      <x:c r="G384" s="10"/>
      <x:c r="H384" s="10"/>
    </x:row>
    <x:row r="385" ht="14.25" customHeight="1">
      <x:c r="A385" s="10"/>
      <x:c r="B385" s="10"/>
      <x:c r="C385" s="10"/>
      <x:c r="D385" s="10"/>
      <x:c r="E385" s="10"/>
      <x:c r="F385" s="10"/>
      <x:c r="G385" s="10"/>
      <x:c r="H385" s="10"/>
    </x:row>
    <x:row r="386" ht="14.25" customHeight="1">
      <x:c r="A386" s="10"/>
      <x:c r="B386" s="10"/>
      <x:c r="C386" s="10"/>
      <x:c r="D386" s="10"/>
      <x:c r="E386" s="10"/>
      <x:c r="F386" s="10"/>
      <x:c r="G386" s="10"/>
      <x:c r="H386" s="10"/>
    </x:row>
    <x:row r="387" ht="14.25" customHeight="1">
      <x:c r="A387" s="10"/>
      <x:c r="B387" s="10"/>
      <x:c r="C387" s="10"/>
      <x:c r="D387" s="10"/>
      <x:c r="E387" s="10"/>
      <x:c r="F387" s="10"/>
      <x:c r="G387" s="10"/>
      <x:c r="H387" s="10"/>
    </x:row>
    <x:row r="388" ht="14.25" customHeight="1">
      <x:c r="A388" s="10"/>
      <x:c r="B388" s="10"/>
      <x:c r="C388" s="10"/>
      <x:c r="D388" s="10"/>
      <x:c r="E388" s="10"/>
      <x:c r="F388" s="10"/>
      <x:c r="G388" s="10"/>
      <x:c r="H388" s="10"/>
    </x:row>
    <x:row r="389" ht="14.25" customHeight="1">
      <x:c r="A389" s="10"/>
      <x:c r="B389" s="10"/>
      <x:c r="C389" s="10"/>
      <x:c r="D389" s="10"/>
      <x:c r="E389" s="10"/>
      <x:c r="F389" s="10"/>
      <x:c r="G389" s="10"/>
      <x:c r="H389" s="10"/>
    </x:row>
    <x:row r="390" ht="14.25" customHeight="1">
      <x:c r="A390" s="10"/>
      <x:c r="B390" s="10"/>
      <x:c r="C390" s="10"/>
      <x:c r="D390" s="10"/>
      <x:c r="E390" s="10"/>
      <x:c r="F390" s="10"/>
      <x:c r="G390" s="10"/>
      <x:c r="H390" s="10"/>
    </x:row>
    <x:row r="391" ht="14.25" customHeight="1">
      <x:c r="A391" s="10"/>
      <x:c r="B391" s="10"/>
      <x:c r="C391" s="10"/>
      <x:c r="D391" s="10"/>
      <x:c r="E391" s="10"/>
      <x:c r="F391" s="10"/>
      <x:c r="G391" s="10"/>
      <x:c r="H391" s="10"/>
    </x:row>
    <x:row r="392" ht="14.25" customHeight="1">
      <x:c r="A392" s="10"/>
      <x:c r="B392" s="10"/>
      <x:c r="C392" s="10"/>
      <x:c r="D392" s="10"/>
      <x:c r="E392" s="10"/>
      <x:c r="F392" s="10"/>
      <x:c r="G392" s="10"/>
      <x:c r="H392" s="10"/>
    </x:row>
    <x:row r="393" ht="14.25" customHeight="1">
      <x:c r="A393" s="10"/>
      <x:c r="B393" s="10"/>
      <x:c r="C393" s="10"/>
      <x:c r="D393" s="10"/>
      <x:c r="E393" s="10"/>
      <x:c r="F393" s="10"/>
      <x:c r="G393" s="10"/>
      <x:c r="H393" s="10"/>
    </x:row>
    <x:row r="394" ht="14.25" customHeight="1">
      <x:c r="A394" s="10"/>
      <x:c r="B394" s="10"/>
      <x:c r="C394" s="10"/>
      <x:c r="D394" s="10"/>
      <x:c r="E394" s="10"/>
      <x:c r="F394" s="10"/>
      <x:c r="G394" s="10"/>
      <x:c r="H394" s="10"/>
    </x:row>
    <x:row r="395" ht="14.25" customHeight="1">
      <x:c r="A395" s="10"/>
      <x:c r="B395" s="10"/>
      <x:c r="C395" s="10"/>
      <x:c r="D395" s="10"/>
      <x:c r="E395" s="10"/>
      <x:c r="F395" s="10"/>
      <x:c r="G395" s="10"/>
      <x:c r="H395" s="10"/>
    </x:row>
    <x:row r="396" ht="14.25" customHeight="1">
      <x:c r="A396" s="10"/>
      <x:c r="B396" s="10"/>
      <x:c r="C396" s="10"/>
      <x:c r="D396" s="10"/>
      <x:c r="E396" s="10"/>
      <x:c r="F396" s="10"/>
      <x:c r="G396" s="10"/>
      <x:c r="H396" s="10"/>
    </x:row>
    <x:row r="397" ht="14.25" customHeight="1">
      <x:c r="A397" s="10"/>
      <x:c r="B397" s="10"/>
      <x:c r="C397" s="10"/>
      <x:c r="D397" s="10"/>
      <x:c r="E397" s="10"/>
      <x:c r="F397" s="10"/>
      <x:c r="G397" s="10"/>
      <x:c r="H397" s="10"/>
    </x:row>
    <x:row r="398" ht="14.25" customHeight="1">
      <x:c r="A398" s="10"/>
      <x:c r="B398" s="10"/>
      <x:c r="C398" s="10"/>
      <x:c r="D398" s="10"/>
      <x:c r="E398" s="10"/>
      <x:c r="F398" s="10"/>
      <x:c r="G398" s="10"/>
      <x:c r="H398" s="10"/>
    </x:row>
    <x:row r="399" ht="14.25" customHeight="1">
      <x:c r="A399" s="10"/>
      <x:c r="B399" s="10"/>
      <x:c r="C399" s="10"/>
      <x:c r="D399" s="10"/>
      <x:c r="E399" s="10"/>
      <x:c r="F399" s="10"/>
      <x:c r="G399" s="10"/>
      <x:c r="H399" s="10"/>
    </x:row>
    <x:row r="400" ht="14.25" customHeight="1">
      <x:c r="A400" s="10"/>
      <x:c r="B400" s="10"/>
      <x:c r="C400" s="10"/>
      <x:c r="D400" s="10"/>
      <x:c r="E400" s="10"/>
      <x:c r="F400" s="10"/>
      <x:c r="G400" s="10"/>
      <x:c r="H400" s="10"/>
    </x:row>
    <x:row r="401" ht="14.25" customHeight="1">
      <x:c r="A401" s="10"/>
      <x:c r="B401" s="10"/>
      <x:c r="C401" s="10"/>
      <x:c r="D401" s="10"/>
      <x:c r="E401" s="10"/>
      <x:c r="F401" s="10"/>
      <x:c r="G401" s="10"/>
      <x:c r="H401" s="10"/>
    </x:row>
    <x:row r="402" ht="14.25" customHeight="1">
      <x:c r="A402" s="10"/>
      <x:c r="B402" s="10"/>
      <x:c r="C402" s="10"/>
      <x:c r="D402" s="10"/>
      <x:c r="E402" s="10"/>
      <x:c r="F402" s="10"/>
      <x:c r="G402" s="10"/>
      <x:c r="H402" s="10"/>
    </x:row>
    <x:row r="403" ht="14.25" customHeight="1">
      <x:c r="A403" s="10"/>
      <x:c r="B403" s="10"/>
      <x:c r="C403" s="10"/>
      <x:c r="D403" s="10"/>
      <x:c r="E403" s="10"/>
      <x:c r="F403" s="10"/>
      <x:c r="G403" s="10"/>
      <x:c r="H403" s="10"/>
    </x:row>
    <x:row r="404" ht="14.25" customHeight="1">
      <x:c r="A404" s="10"/>
      <x:c r="B404" s="10"/>
      <x:c r="C404" s="10"/>
      <x:c r="D404" s="10"/>
      <x:c r="E404" s="10"/>
      <x:c r="F404" s="10"/>
      <x:c r="G404" s="10"/>
      <x:c r="H404" s="10"/>
    </x:row>
    <x:row r="405" ht="14.25" customHeight="1">
      <x:c r="A405" s="10"/>
      <x:c r="B405" s="10"/>
      <x:c r="C405" s="10"/>
      <x:c r="D405" s="10"/>
      <x:c r="E405" s="10"/>
      <x:c r="F405" s="10"/>
      <x:c r="G405" s="10"/>
      <x:c r="H405" s="10"/>
    </x:row>
    <x:row r="406" ht="14.25" customHeight="1">
      <x:c r="A406" s="10"/>
      <x:c r="B406" s="10"/>
      <x:c r="C406" s="10"/>
      <x:c r="D406" s="10"/>
      <x:c r="E406" s="10"/>
      <x:c r="F406" s="10"/>
      <x:c r="G406" s="10"/>
      <x:c r="H406" s="10"/>
    </x:row>
    <x:row r="407" ht="14.25" customHeight="1">
      <x:c r="A407" s="10"/>
      <x:c r="B407" s="10"/>
      <x:c r="C407" s="10"/>
      <x:c r="D407" s="10"/>
      <x:c r="E407" s="10"/>
      <x:c r="F407" s="10"/>
      <x:c r="G407" s="10"/>
      <x:c r="H407" s="10"/>
    </x:row>
    <x:row r="408" ht="14.25" customHeight="1">
      <x:c r="A408" s="10"/>
      <x:c r="B408" s="10"/>
      <x:c r="C408" s="10"/>
      <x:c r="D408" s="10"/>
      <x:c r="E408" s="10"/>
      <x:c r="F408" s="10"/>
      <x:c r="G408" s="10"/>
      <x:c r="H408" s="10"/>
    </x:row>
    <x:row r="409" ht="14.25" customHeight="1">
      <x:c r="A409" s="10"/>
      <x:c r="B409" s="10"/>
      <x:c r="C409" s="10"/>
      <x:c r="D409" s="10"/>
      <x:c r="E409" s="10"/>
      <x:c r="F409" s="10"/>
      <x:c r="G409" s="10"/>
      <x:c r="H409" s="10"/>
    </x:row>
    <x:row r="410" ht="14.25" customHeight="1">
      <x:c r="A410" s="10"/>
      <x:c r="B410" s="10"/>
      <x:c r="C410" s="10"/>
      <x:c r="D410" s="10"/>
      <x:c r="E410" s="10"/>
      <x:c r="F410" s="10"/>
      <x:c r="G410" s="10"/>
      <x:c r="H410" s="10"/>
    </x:row>
    <x:row r="411" ht="14.25" customHeight="1">
      <x:c r="A411" s="10"/>
      <x:c r="B411" s="10"/>
      <x:c r="C411" s="10"/>
      <x:c r="D411" s="10"/>
      <x:c r="E411" s="10"/>
      <x:c r="F411" s="10"/>
      <x:c r="G411" s="10"/>
      <x:c r="H411" s="10"/>
    </x:row>
    <x:row r="412" ht="14.25" customHeight="1">
      <x:c r="A412" s="10"/>
      <x:c r="B412" s="10"/>
      <x:c r="C412" s="10"/>
      <x:c r="D412" s="10"/>
      <x:c r="E412" s="10"/>
      <x:c r="F412" s="10"/>
      <x:c r="G412" s="10"/>
      <x:c r="H412" s="10"/>
    </x:row>
    <x:row r="413" ht="14.25" customHeight="1">
      <x:c r="A413" s="10"/>
      <x:c r="B413" s="10"/>
      <x:c r="C413" s="10"/>
      <x:c r="D413" s="10"/>
      <x:c r="E413" s="10"/>
      <x:c r="F413" s="10"/>
      <x:c r="G413" s="10"/>
      <x:c r="H413" s="10"/>
    </x:row>
    <x:row r="414" ht="14.25" customHeight="1">
      <x:c r="A414" s="10"/>
      <x:c r="B414" s="10"/>
      <x:c r="C414" s="10"/>
      <x:c r="D414" s="10"/>
      <x:c r="E414" s="10"/>
      <x:c r="F414" s="10"/>
      <x:c r="G414" s="10"/>
      <x:c r="H414" s="10"/>
    </x:row>
    <x:row r="415" ht="14.25" customHeight="1">
      <x:c r="A415" s="10"/>
      <x:c r="B415" s="10"/>
      <x:c r="C415" s="10"/>
      <x:c r="D415" s="10"/>
      <x:c r="E415" s="10"/>
      <x:c r="F415" s="10"/>
      <x:c r="G415" s="10"/>
      <x:c r="H415" s="10"/>
    </x:row>
    <x:row r="416" ht="14.25" customHeight="1">
      <x:c r="A416" s="10"/>
      <x:c r="B416" s="10"/>
      <x:c r="C416" s="10"/>
      <x:c r="D416" s="10"/>
      <x:c r="E416" s="10"/>
      <x:c r="F416" s="10"/>
      <x:c r="G416" s="10"/>
      <x:c r="H416" s="10"/>
    </x:row>
    <x:row r="417" ht="14.25" customHeight="1">
      <x:c r="A417" s="10"/>
      <x:c r="B417" s="10"/>
      <x:c r="C417" s="10"/>
      <x:c r="D417" s="10"/>
      <x:c r="E417" s="10"/>
      <x:c r="F417" s="10"/>
      <x:c r="G417" s="10"/>
      <x:c r="H417" s="10"/>
    </x:row>
    <x:row r="418" ht="14.25" customHeight="1">
      <x:c r="A418" s="10"/>
      <x:c r="B418" s="10"/>
      <x:c r="C418" s="10"/>
      <x:c r="D418" s="10"/>
      <x:c r="E418" s="10"/>
      <x:c r="F418" s="10"/>
      <x:c r="G418" s="10"/>
      <x:c r="H418" s="10"/>
    </x:row>
    <x:row r="419" ht="14.25" customHeight="1">
      <x:c r="A419" s="10"/>
      <x:c r="B419" s="10"/>
      <x:c r="C419" s="10"/>
      <x:c r="D419" s="10"/>
      <x:c r="E419" s="10"/>
      <x:c r="F419" s="10"/>
      <x:c r="G419" s="10"/>
      <x:c r="H419" s="10"/>
    </x:row>
    <x:row r="420" ht="14.25" customHeight="1">
      <x:c r="A420" s="10"/>
      <x:c r="B420" s="10"/>
      <x:c r="C420" s="10"/>
      <x:c r="D420" s="10"/>
      <x:c r="E420" s="10"/>
      <x:c r="F420" s="10"/>
      <x:c r="G420" s="10"/>
      <x:c r="H420" s="10"/>
    </x:row>
    <x:row r="421" ht="14.25" customHeight="1">
      <x:c r="A421" s="10"/>
      <x:c r="B421" s="10"/>
      <x:c r="C421" s="10"/>
      <x:c r="D421" s="10"/>
      <x:c r="E421" s="10"/>
      <x:c r="F421" s="10"/>
      <x:c r="G421" s="10"/>
      <x:c r="H421" s="10"/>
    </x:row>
    <x:row r="422" ht="14.25" customHeight="1">
      <x:c r="A422" s="10"/>
      <x:c r="B422" s="10"/>
      <x:c r="C422" s="10"/>
      <x:c r="D422" s="10"/>
      <x:c r="E422" s="10"/>
      <x:c r="F422" s="10"/>
      <x:c r="G422" s="10"/>
      <x:c r="H422" s="10"/>
    </x:row>
    <x:row r="423" ht="14.25" customHeight="1">
      <x:c r="A423" s="10"/>
      <x:c r="B423" s="10"/>
      <x:c r="C423" s="10"/>
      <x:c r="D423" s="10"/>
      <x:c r="E423" s="10"/>
      <x:c r="F423" s="10"/>
      <x:c r="G423" s="10"/>
      <x:c r="H423" s="10"/>
    </x:row>
    <x:row r="424" ht="14.25" customHeight="1">
      <x:c r="A424" s="10"/>
      <x:c r="B424" s="10"/>
      <x:c r="C424" s="10"/>
      <x:c r="D424" s="10"/>
      <x:c r="E424" s="10"/>
      <x:c r="F424" s="10"/>
      <x:c r="G424" s="10"/>
      <x:c r="H424" s="10"/>
    </x:row>
    <x:row r="425" ht="14.25" customHeight="1">
      <x:c r="A425" s="10"/>
      <x:c r="B425" s="10"/>
      <x:c r="C425" s="10"/>
      <x:c r="D425" s="10"/>
      <x:c r="E425" s="10"/>
      <x:c r="F425" s="10"/>
      <x:c r="G425" s="10"/>
      <x:c r="H425" s="10"/>
    </x:row>
    <x:row r="426" ht="14.25" customHeight="1">
      <x:c r="A426" s="10"/>
      <x:c r="B426" s="10"/>
      <x:c r="C426" s="10"/>
      <x:c r="D426" s="10"/>
      <x:c r="E426" s="10"/>
      <x:c r="F426" s="10"/>
      <x:c r="G426" s="10"/>
      <x:c r="H426" s="10"/>
    </x:row>
    <x:row r="427" ht="14.25" customHeight="1">
      <x:c r="A427" s="10"/>
      <x:c r="B427" s="10"/>
      <x:c r="C427" s="10"/>
      <x:c r="D427" s="10"/>
      <x:c r="E427" s="10"/>
      <x:c r="F427" s="10"/>
      <x:c r="G427" s="10"/>
      <x:c r="H427" s="10"/>
    </x:row>
    <x:row r="428" ht="14.25" customHeight="1">
      <x:c r="A428" s="10"/>
      <x:c r="B428" s="10"/>
      <x:c r="C428" s="10"/>
      <x:c r="D428" s="10"/>
      <x:c r="E428" s="10"/>
      <x:c r="F428" s="10"/>
      <x:c r="G428" s="10"/>
      <x:c r="H428" s="10"/>
    </x:row>
    <x:row r="429" ht="14.25" customHeight="1">
      <x:c r="A429" s="10"/>
      <x:c r="B429" s="10"/>
      <x:c r="C429" s="10"/>
      <x:c r="D429" s="10"/>
      <x:c r="E429" s="10"/>
      <x:c r="F429" s="10"/>
      <x:c r="G429" s="10"/>
      <x:c r="H429" s="10"/>
    </x:row>
    <x:row r="430" ht="14.25" customHeight="1">
      <x:c r="A430" s="10"/>
      <x:c r="B430" s="10"/>
      <x:c r="C430" s="10"/>
      <x:c r="D430" s="10"/>
      <x:c r="E430" s="10"/>
      <x:c r="F430" s="10"/>
      <x:c r="G430" s="10"/>
      <x:c r="H430" s="10"/>
    </x:row>
    <x:row r="431" ht="14.25" customHeight="1">
      <x:c r="A431" s="10"/>
      <x:c r="B431" s="10"/>
      <x:c r="C431" s="10"/>
      <x:c r="D431" s="10"/>
      <x:c r="E431" s="10"/>
      <x:c r="F431" s="10"/>
      <x:c r="G431" s="10"/>
      <x:c r="H431" s="10"/>
    </x:row>
    <x:row r="432" ht="14.25" customHeight="1">
      <x:c r="A432" s="10"/>
      <x:c r="B432" s="10"/>
      <x:c r="C432" s="10"/>
      <x:c r="D432" s="10"/>
      <x:c r="E432" s="10"/>
      <x:c r="F432" s="10"/>
      <x:c r="G432" s="10"/>
      <x:c r="H432" s="10"/>
    </x:row>
    <x:row r="433" ht="14.25" customHeight="1">
      <x:c r="A433" s="10"/>
      <x:c r="B433" s="10"/>
      <x:c r="C433" s="10"/>
      <x:c r="D433" s="10"/>
      <x:c r="E433" s="10"/>
      <x:c r="F433" s="10"/>
      <x:c r="G433" s="10"/>
      <x:c r="H433" s="10"/>
    </x:row>
    <x:row r="434" ht="14.25" customHeight="1">
      <x:c r="A434" s="10"/>
      <x:c r="B434" s="10"/>
      <x:c r="C434" s="10"/>
      <x:c r="D434" s="10"/>
      <x:c r="E434" s="10"/>
      <x:c r="F434" s="10"/>
      <x:c r="G434" s="10"/>
      <x:c r="H434" s="10"/>
    </x:row>
    <x:row r="435" ht="14.25" customHeight="1">
      <x:c r="A435" s="10"/>
      <x:c r="B435" s="10"/>
      <x:c r="C435" s="10"/>
      <x:c r="D435" s="10"/>
      <x:c r="E435" s="10"/>
      <x:c r="F435" s="10"/>
      <x:c r="G435" s="10"/>
      <x:c r="H435" s="10"/>
    </x:row>
    <x:row r="436" ht="14.25" customHeight="1">
      <x:c r="A436" s="10"/>
      <x:c r="B436" s="10"/>
      <x:c r="C436" s="10"/>
      <x:c r="D436" s="10"/>
      <x:c r="E436" s="10"/>
      <x:c r="F436" s="10"/>
      <x:c r="G436" s="10"/>
      <x:c r="H436" s="10"/>
    </x:row>
    <x:row r="437" ht="14.25" customHeight="1">
      <x:c r="A437" s="10"/>
      <x:c r="B437" s="10"/>
      <x:c r="C437" s="10"/>
      <x:c r="D437" s="10"/>
      <x:c r="E437" s="10"/>
      <x:c r="F437" s="10"/>
      <x:c r="G437" s="10"/>
      <x:c r="H437" s="10"/>
    </x:row>
    <x:row r="438" ht="14.25" customHeight="1">
      <x:c r="A438" s="10"/>
      <x:c r="B438" s="10"/>
      <x:c r="C438" s="10"/>
      <x:c r="D438" s="10"/>
      <x:c r="E438" s="10"/>
      <x:c r="F438" s="10"/>
      <x:c r="G438" s="10"/>
      <x:c r="H438" s="10"/>
    </x:row>
    <x:row r="439" ht="14.25" customHeight="1">
      <x:c r="A439" s="10"/>
      <x:c r="B439" s="10"/>
      <x:c r="C439" s="10"/>
      <x:c r="D439" s="10"/>
      <x:c r="E439" s="10"/>
      <x:c r="F439" s="10"/>
      <x:c r="G439" s="10"/>
      <x:c r="H439" s="10"/>
    </x:row>
    <x:row r="440" ht="14.25" customHeight="1">
      <x:c r="A440" s="10"/>
      <x:c r="B440" s="10"/>
      <x:c r="C440" s="10"/>
      <x:c r="D440" s="10"/>
      <x:c r="E440" s="10"/>
      <x:c r="F440" s="10"/>
      <x:c r="G440" s="10"/>
      <x:c r="H440" s="10"/>
    </x:row>
    <x:row r="441" ht="14.25" customHeight="1">
      <x:c r="A441" s="10"/>
      <x:c r="B441" s="10"/>
      <x:c r="C441" s="10"/>
      <x:c r="D441" s="10"/>
      <x:c r="E441" s="10"/>
      <x:c r="F441" s="10"/>
      <x:c r="G441" s="10"/>
      <x:c r="H441" s="10"/>
    </x:row>
    <x:row r="442" ht="14.25" customHeight="1">
      <x:c r="A442" s="10"/>
      <x:c r="B442" s="10"/>
      <x:c r="C442" s="10"/>
      <x:c r="D442" s="10"/>
      <x:c r="E442" s="10"/>
      <x:c r="F442" s="10"/>
      <x:c r="G442" s="10"/>
      <x:c r="H442" s="10"/>
    </x:row>
    <x:row r="443" ht="14.25" customHeight="1">
      <x:c r="A443" s="10"/>
      <x:c r="B443" s="10"/>
      <x:c r="C443" s="10"/>
      <x:c r="D443" s="10"/>
      <x:c r="E443" s="10"/>
      <x:c r="F443" s="10"/>
      <x:c r="G443" s="10"/>
      <x:c r="H443" s="10"/>
    </x:row>
    <x:row r="444" ht="14.25" customHeight="1">
      <x:c r="A444" s="10"/>
      <x:c r="B444" s="10"/>
      <x:c r="C444" s="10"/>
      <x:c r="D444" s="10"/>
      <x:c r="E444" s="10"/>
      <x:c r="F444" s="10"/>
      <x:c r="G444" s="10"/>
      <x:c r="H444" s="10"/>
    </x:row>
    <x:row r="445" ht="14.25" customHeight="1">
      <x:c r="A445" s="10"/>
      <x:c r="B445" s="10"/>
      <x:c r="C445" s="10"/>
      <x:c r="D445" s="10"/>
      <x:c r="E445" s="10"/>
      <x:c r="F445" s="10"/>
      <x:c r="G445" s="10"/>
      <x:c r="H445" s="10"/>
    </x:row>
    <x:row r="446" ht="14.25" customHeight="1">
      <x:c r="A446" s="10"/>
      <x:c r="B446" s="10"/>
      <x:c r="C446" s="10"/>
      <x:c r="D446" s="10"/>
      <x:c r="E446" s="10"/>
      <x:c r="F446" s="10"/>
      <x:c r="G446" s="10"/>
      <x:c r="H446" s="10"/>
    </x:row>
    <x:row r="447" ht="14.25" customHeight="1">
      <x:c r="A447" s="10"/>
      <x:c r="B447" s="10"/>
      <x:c r="C447" s="10"/>
      <x:c r="D447" s="10"/>
      <x:c r="E447" s="10"/>
      <x:c r="F447" s="10"/>
      <x:c r="G447" s="10"/>
      <x:c r="H447" s="10"/>
    </x:row>
    <x:row r="448" ht="14.25" customHeight="1">
      <x:c r="A448" s="10"/>
      <x:c r="B448" s="10"/>
      <x:c r="C448" s="10"/>
      <x:c r="D448" s="10"/>
      <x:c r="E448" s="10"/>
      <x:c r="F448" s="10"/>
      <x:c r="G448" s="10"/>
      <x:c r="H448" s="10"/>
    </x:row>
    <x:row r="449" ht="14.25" customHeight="1">
      <x:c r="A449" s="10"/>
      <x:c r="B449" s="10"/>
      <x:c r="C449" s="10"/>
      <x:c r="D449" s="10"/>
      <x:c r="E449" s="10"/>
      <x:c r="F449" s="10"/>
      <x:c r="G449" s="10"/>
      <x:c r="H449" s="10"/>
    </x:row>
    <x:row r="450" ht="14.25" customHeight="1">
      <x:c r="A450" s="10"/>
      <x:c r="B450" s="10"/>
      <x:c r="C450" s="10"/>
      <x:c r="D450" s="10"/>
      <x:c r="E450" s="10"/>
      <x:c r="F450" s="10"/>
      <x:c r="G450" s="10"/>
      <x:c r="H450" s="10"/>
    </x:row>
    <x:row r="451" ht="14.25" customHeight="1">
      <x:c r="A451" s="10"/>
      <x:c r="B451" s="10"/>
      <x:c r="C451" s="10"/>
      <x:c r="D451" s="10"/>
      <x:c r="E451" s="10"/>
      <x:c r="F451" s="10"/>
      <x:c r="G451" s="10"/>
      <x:c r="H451" s="10"/>
    </x:row>
    <x:row r="452" ht="14.25" customHeight="1">
      <x:c r="A452" s="10"/>
      <x:c r="B452" s="10"/>
      <x:c r="C452" s="10"/>
      <x:c r="D452" s="10"/>
      <x:c r="E452" s="10"/>
      <x:c r="F452" s="10"/>
      <x:c r="G452" s="10"/>
      <x:c r="H452" s="10"/>
    </x:row>
    <x:row r="453" ht="14.25" customHeight="1">
      <x:c r="A453" s="10"/>
      <x:c r="B453" s="10"/>
      <x:c r="C453" s="10"/>
      <x:c r="D453" s="10"/>
      <x:c r="E453" s="10"/>
      <x:c r="F453" s="10"/>
      <x:c r="G453" s="10"/>
      <x:c r="H453" s="10"/>
    </x:row>
    <x:row r="454" ht="14.25" customHeight="1">
      <x:c r="A454" s="10"/>
      <x:c r="B454" s="10"/>
      <x:c r="C454" s="10"/>
      <x:c r="D454" s="10"/>
      <x:c r="E454" s="10"/>
      <x:c r="F454" s="10"/>
      <x:c r="G454" s="10"/>
      <x:c r="H454" s="10"/>
    </x:row>
    <x:row r="455" ht="14.25" customHeight="1">
      <x:c r="A455" s="10"/>
      <x:c r="B455" s="10"/>
      <x:c r="C455" s="10"/>
      <x:c r="D455" s="10"/>
      <x:c r="E455" s="10"/>
      <x:c r="F455" s="10"/>
      <x:c r="G455" s="10"/>
      <x:c r="H455" s="10"/>
    </x:row>
    <x:row r="456" ht="14.25" customHeight="1">
      <x:c r="A456" s="10"/>
      <x:c r="B456" s="10"/>
      <x:c r="C456" s="10"/>
      <x:c r="D456" s="10"/>
      <x:c r="E456" s="10"/>
      <x:c r="F456" s="10"/>
      <x:c r="G456" s="10"/>
      <x:c r="H456" s="10"/>
    </x:row>
    <x:row r="457" ht="14.25" customHeight="1">
      <x:c r="A457" s="10"/>
      <x:c r="B457" s="10"/>
      <x:c r="C457" s="10"/>
      <x:c r="D457" s="10"/>
      <x:c r="E457" s="10"/>
      <x:c r="F457" s="10"/>
      <x:c r="G457" s="10"/>
      <x:c r="H457" s="10"/>
    </x:row>
    <x:row r="458" ht="14.25" customHeight="1">
      <x:c r="A458" s="10"/>
      <x:c r="B458" s="10"/>
      <x:c r="C458" s="10"/>
      <x:c r="D458" s="10"/>
      <x:c r="E458" s="10"/>
      <x:c r="F458" s="10"/>
      <x:c r="G458" s="10"/>
      <x:c r="H458" s="10"/>
    </x:row>
    <x:row r="459" ht="14.25" customHeight="1">
      <x:c r="A459" s="10"/>
      <x:c r="B459" s="10"/>
      <x:c r="C459" s="10"/>
      <x:c r="D459" s="10"/>
      <x:c r="E459" s="10"/>
      <x:c r="F459" s="10"/>
      <x:c r="G459" s="10"/>
      <x:c r="H459" s="10"/>
    </x:row>
    <x:row r="460" ht="14.25" customHeight="1">
      <x:c r="A460" s="10"/>
      <x:c r="B460" s="10"/>
      <x:c r="C460" s="10"/>
      <x:c r="D460" s="10"/>
      <x:c r="E460" s="10"/>
      <x:c r="F460" s="10"/>
      <x:c r="G460" s="10"/>
      <x:c r="H460" s="10"/>
    </x:row>
    <x:row r="461" ht="14.25" customHeight="1">
      <x:c r="A461" s="10"/>
      <x:c r="B461" s="10"/>
      <x:c r="C461" s="10"/>
      <x:c r="D461" s="10"/>
      <x:c r="E461" s="10"/>
      <x:c r="F461" s="10"/>
      <x:c r="G461" s="10"/>
      <x:c r="H461" s="10"/>
    </x:row>
    <x:row r="462" ht="14.25" customHeight="1">
      <x:c r="A462" s="10"/>
      <x:c r="B462" s="10"/>
      <x:c r="C462" s="10"/>
      <x:c r="D462" s="10"/>
      <x:c r="E462" s="10"/>
      <x:c r="F462" s="10"/>
      <x:c r="G462" s="10"/>
      <x:c r="H462" s="10"/>
    </x:row>
    <x:row r="463" ht="14.25" customHeight="1">
      <x:c r="A463" s="10"/>
      <x:c r="B463" s="10"/>
      <x:c r="C463" s="10"/>
      <x:c r="D463" s="10"/>
      <x:c r="E463" s="10"/>
      <x:c r="F463" s="10"/>
      <x:c r="G463" s="10"/>
      <x:c r="H463" s="10"/>
    </x:row>
    <x:row r="464" ht="14.25" customHeight="1">
      <x:c r="A464" s="10"/>
      <x:c r="B464" s="10"/>
      <x:c r="C464" s="10"/>
      <x:c r="D464" s="10"/>
      <x:c r="E464" s="10"/>
      <x:c r="F464" s="10"/>
      <x:c r="G464" s="10"/>
      <x:c r="H464" s="10"/>
    </x:row>
    <x:row r="465" ht="14.25" customHeight="1">
      <x:c r="A465" s="10"/>
      <x:c r="B465" s="10"/>
      <x:c r="C465" s="10"/>
      <x:c r="D465" s="10"/>
      <x:c r="E465" s="10"/>
      <x:c r="F465" s="10"/>
      <x:c r="G465" s="10"/>
      <x:c r="H465" s="10"/>
    </x:row>
    <x:row r="466" ht="14.25" customHeight="1">
      <x:c r="A466" s="10"/>
      <x:c r="B466" s="10"/>
      <x:c r="C466" s="10"/>
      <x:c r="D466" s="10"/>
      <x:c r="E466" s="10"/>
      <x:c r="F466" s="10"/>
      <x:c r="G466" s="10"/>
      <x:c r="H466" s="10"/>
    </x:row>
    <x:row r="467" ht="14.25" customHeight="1">
      <x:c r="A467" s="10"/>
      <x:c r="B467" s="10"/>
      <x:c r="C467" s="10"/>
      <x:c r="D467" s="10"/>
      <x:c r="E467" s="10"/>
      <x:c r="F467" s="10"/>
      <x:c r="G467" s="10"/>
      <x:c r="H467" s="10"/>
    </x:row>
    <x:row r="468" ht="14.25" customHeight="1">
      <x:c r="A468" s="10"/>
      <x:c r="B468" s="10"/>
      <x:c r="C468" s="10"/>
      <x:c r="D468" s="10"/>
      <x:c r="E468" s="10"/>
      <x:c r="F468" s="10"/>
      <x:c r="G468" s="10"/>
      <x:c r="H468" s="10"/>
    </x:row>
    <x:row r="469" ht="14.25" customHeight="1">
      <x:c r="A469" s="10"/>
      <x:c r="B469" s="10"/>
      <x:c r="C469" s="10"/>
      <x:c r="D469" s="10"/>
      <x:c r="E469" s="10"/>
      <x:c r="F469" s="10"/>
      <x:c r="G469" s="10"/>
      <x:c r="H469" s="10"/>
    </x:row>
    <x:row r="470" ht="14.25" customHeight="1">
      <x:c r="A470" s="10"/>
      <x:c r="B470" s="10"/>
      <x:c r="C470" s="10"/>
      <x:c r="D470" s="10"/>
      <x:c r="E470" s="10"/>
      <x:c r="F470" s="10"/>
      <x:c r="G470" s="10"/>
      <x:c r="H470" s="10"/>
    </x:row>
    <x:row r="471" ht="14.25" customHeight="1">
      <x:c r="A471" s="10"/>
      <x:c r="B471" s="10"/>
      <x:c r="C471" s="10"/>
      <x:c r="D471" s="10"/>
      <x:c r="E471" s="10"/>
      <x:c r="F471" s="10"/>
      <x:c r="G471" s="10"/>
      <x:c r="H471" s="10"/>
    </x:row>
    <x:row r="472" ht="14.25" customHeight="1">
      <x:c r="A472" s="10"/>
      <x:c r="B472" s="10"/>
      <x:c r="C472" s="10"/>
      <x:c r="D472" s="10"/>
      <x:c r="E472" s="10"/>
      <x:c r="F472" s="10"/>
      <x:c r="G472" s="10"/>
      <x:c r="H472" s="10"/>
    </x:row>
    <x:row r="473" ht="14.25" customHeight="1">
      <x:c r="A473" s="10"/>
      <x:c r="B473" s="10"/>
      <x:c r="C473" s="10"/>
      <x:c r="D473" s="10"/>
      <x:c r="E473" s="10"/>
      <x:c r="F473" s="10"/>
      <x:c r="G473" s="10"/>
      <x:c r="H473" s="10"/>
    </x:row>
    <x:row r="474" ht="14.25" customHeight="1">
      <x:c r="A474" s="10"/>
      <x:c r="B474" s="10"/>
      <x:c r="C474" s="10"/>
      <x:c r="D474" s="10"/>
      <x:c r="E474" s="10"/>
      <x:c r="F474" s="10"/>
      <x:c r="G474" s="10"/>
      <x:c r="H474" s="10"/>
    </x:row>
    <x:row r="475" ht="14.25" customHeight="1">
      <x:c r="A475" s="10"/>
      <x:c r="B475" s="10"/>
      <x:c r="C475" s="10"/>
      <x:c r="D475" s="10"/>
      <x:c r="E475" s="10"/>
      <x:c r="F475" s="10"/>
      <x:c r="G475" s="10"/>
      <x:c r="H475" s="10"/>
    </x:row>
    <x:row r="476" ht="14.25" customHeight="1">
      <x:c r="A476" s="10"/>
      <x:c r="B476" s="10"/>
      <x:c r="C476" s="10"/>
      <x:c r="D476" s="10"/>
      <x:c r="E476" s="10"/>
      <x:c r="F476" s="10"/>
      <x:c r="G476" s="10"/>
      <x:c r="H476" s="10"/>
    </x:row>
    <x:row r="477" ht="14.25" customHeight="1">
      <x:c r="A477" s="10"/>
      <x:c r="B477" s="10"/>
      <x:c r="C477" s="10"/>
      <x:c r="D477" s="10"/>
      <x:c r="E477" s="10"/>
      <x:c r="F477" s="10"/>
      <x:c r="G477" s="10"/>
      <x:c r="H477" s="10"/>
    </x:row>
    <x:row r="478" ht="14.25" customHeight="1">
      <x:c r="A478" s="10"/>
      <x:c r="B478" s="10"/>
      <x:c r="C478" s="10"/>
      <x:c r="D478" s="10"/>
      <x:c r="E478" s="10"/>
      <x:c r="F478" s="10"/>
      <x:c r="G478" s="10"/>
      <x:c r="H478" s="10"/>
    </x:row>
    <x:row r="479" ht="14.25" customHeight="1">
      <x:c r="A479" s="10"/>
      <x:c r="B479" s="10"/>
      <x:c r="C479" s="10"/>
      <x:c r="D479" s="10"/>
      <x:c r="E479" s="10"/>
      <x:c r="F479" s="10"/>
      <x:c r="G479" s="10"/>
      <x:c r="H479" s="10"/>
    </x:row>
    <x:row r="480" ht="14.25" customHeight="1">
      <x:c r="A480" s="10"/>
      <x:c r="B480" s="10"/>
      <x:c r="C480" s="10"/>
      <x:c r="D480" s="10"/>
      <x:c r="E480" s="10"/>
      <x:c r="F480" s="10"/>
      <x:c r="G480" s="10"/>
      <x:c r="H480" s="10"/>
    </x:row>
    <x:row r="481" ht="14.25" customHeight="1">
      <x:c r="A481" s="10"/>
      <x:c r="B481" s="10"/>
      <x:c r="C481" s="10"/>
      <x:c r="D481" s="10"/>
      <x:c r="E481" s="10"/>
      <x:c r="F481" s="10"/>
      <x:c r="G481" s="10"/>
      <x:c r="H481" s="10"/>
    </x:row>
    <x:row r="482" ht="14.25" customHeight="1">
      <x:c r="A482" s="10"/>
      <x:c r="B482" s="10"/>
      <x:c r="C482" s="10"/>
      <x:c r="D482" s="10"/>
      <x:c r="E482" s="10"/>
      <x:c r="F482" s="10"/>
      <x:c r="G482" s="10"/>
      <x:c r="H482" s="10"/>
    </x:row>
    <x:row r="483" ht="14.25" customHeight="1">
      <x:c r="A483" s="10"/>
      <x:c r="B483" s="10"/>
      <x:c r="C483" s="10"/>
      <x:c r="D483" s="10"/>
      <x:c r="E483" s="10"/>
      <x:c r="F483" s="10"/>
      <x:c r="G483" s="10"/>
      <x:c r="H483" s="10"/>
    </x:row>
    <x:row r="484" ht="14.25" customHeight="1">
      <x:c r="A484" s="10"/>
      <x:c r="B484" s="10"/>
      <x:c r="C484" s="10"/>
      <x:c r="D484" s="10"/>
      <x:c r="E484" s="10"/>
      <x:c r="F484" s="10"/>
      <x:c r="G484" s="10"/>
      <x:c r="H484" s="10"/>
    </x:row>
    <x:row r="485" ht="14.25" customHeight="1">
      <x:c r="A485" s="10"/>
      <x:c r="B485" s="10"/>
      <x:c r="C485" s="10"/>
      <x:c r="D485" s="10"/>
      <x:c r="E485" s="10"/>
      <x:c r="F485" s="10"/>
      <x:c r="G485" s="10"/>
      <x:c r="H485" s="10"/>
    </x:row>
    <x:row r="486" ht="14.25" customHeight="1">
      <x:c r="A486" s="10"/>
      <x:c r="B486" s="10"/>
      <x:c r="C486" s="10"/>
      <x:c r="D486" s="10"/>
      <x:c r="E486" s="10"/>
      <x:c r="F486" s="10"/>
      <x:c r="G486" s="10"/>
      <x:c r="H486" s="10"/>
    </x:row>
    <x:row r="487" ht="14.25" customHeight="1">
      <x:c r="A487" s="10"/>
      <x:c r="B487" s="10"/>
      <x:c r="C487" s="10"/>
      <x:c r="D487" s="10"/>
      <x:c r="E487" s="10"/>
      <x:c r="F487" s="10"/>
      <x:c r="G487" s="10"/>
      <x:c r="H487" s="10"/>
    </x:row>
    <x:row r="488" ht="14.25" customHeight="1">
      <x:c r="A488" s="10"/>
      <x:c r="B488" s="10"/>
      <x:c r="C488" s="10"/>
      <x:c r="D488" s="10"/>
      <x:c r="E488" s="10"/>
      <x:c r="F488" s="10"/>
      <x:c r="G488" s="10"/>
      <x:c r="H488" s="10"/>
    </x:row>
    <x:row r="489" ht="14.25" customHeight="1">
      <x:c r="A489" s="10"/>
      <x:c r="B489" s="10"/>
      <x:c r="C489" s="10"/>
      <x:c r="D489" s="10"/>
      <x:c r="E489" s="10"/>
      <x:c r="F489" s="10"/>
      <x:c r="G489" s="10"/>
      <x:c r="H489" s="10"/>
    </x:row>
    <x:row r="490" ht="14.25" customHeight="1">
      <x:c r="A490" s="10"/>
      <x:c r="B490" s="10"/>
      <x:c r="C490" s="10"/>
      <x:c r="D490" s="10"/>
      <x:c r="E490" s="10"/>
      <x:c r="F490" s="10"/>
      <x:c r="G490" s="10"/>
      <x:c r="H490" s="10"/>
    </x:row>
    <x:row r="491" ht="14.25" customHeight="1">
      <x:c r="A491" s="10"/>
      <x:c r="B491" s="10"/>
      <x:c r="C491" s="10"/>
      <x:c r="D491" s="10"/>
      <x:c r="E491" s="10"/>
      <x:c r="F491" s="10"/>
      <x:c r="G491" s="10"/>
      <x:c r="H491" s="10"/>
    </x:row>
    <x:row r="492" ht="14.25" customHeight="1">
      <x:c r="A492" s="10"/>
      <x:c r="B492" s="10"/>
      <x:c r="C492" s="10"/>
      <x:c r="D492" s="10"/>
      <x:c r="E492" s="10"/>
      <x:c r="F492" s="10"/>
      <x:c r="G492" s="10"/>
      <x:c r="H492" s="10"/>
    </x:row>
    <x:row r="493" ht="14.25" customHeight="1">
      <x:c r="A493" s="10"/>
      <x:c r="B493" s="10"/>
      <x:c r="C493" s="10"/>
      <x:c r="D493" s="10"/>
      <x:c r="E493" s="10"/>
      <x:c r="F493" s="10"/>
      <x:c r="G493" s="10"/>
      <x:c r="H493" s="10"/>
    </x:row>
    <x:row r="494" ht="14.25" customHeight="1">
      <x:c r="A494" s="10"/>
      <x:c r="B494" s="10"/>
      <x:c r="C494" s="10"/>
      <x:c r="D494" s="10"/>
      <x:c r="E494" s="10"/>
      <x:c r="F494" s="10"/>
      <x:c r="G494" s="10"/>
      <x:c r="H494" s="10"/>
    </x:row>
    <x:row r="495" ht="14.25" customHeight="1">
      <x:c r="A495" s="10"/>
      <x:c r="B495" s="10"/>
      <x:c r="C495" s="10"/>
      <x:c r="D495" s="10"/>
      <x:c r="E495" s="10"/>
      <x:c r="F495" s="10"/>
      <x:c r="G495" s="10"/>
      <x:c r="H495" s="10"/>
    </x:row>
    <x:row r="496" ht="14.25" customHeight="1">
      <x:c r="A496" s="10"/>
      <x:c r="B496" s="10"/>
      <x:c r="C496" s="10"/>
      <x:c r="D496" s="10"/>
      <x:c r="E496" s="10"/>
      <x:c r="F496" s="10"/>
      <x:c r="G496" s="10"/>
      <x:c r="H496" s="10"/>
    </x:row>
    <x:row r="497" ht="14.25" customHeight="1">
      <x:c r="A497" s="10"/>
      <x:c r="B497" s="10"/>
      <x:c r="C497" s="10"/>
      <x:c r="D497" s="10"/>
      <x:c r="E497" s="10"/>
      <x:c r="F497" s="10"/>
      <x:c r="G497" s="10"/>
      <x:c r="H497" s="10"/>
    </x:row>
    <x:row r="498" ht="14.25" customHeight="1">
      <x:c r="A498" s="10"/>
      <x:c r="B498" s="10"/>
      <x:c r="C498" s="10"/>
      <x:c r="D498" s="10"/>
      <x:c r="E498" s="10"/>
      <x:c r="F498" s="10"/>
      <x:c r="G498" s="10"/>
      <x:c r="H498" s="10"/>
    </x:row>
    <x:row r="499" ht="14.25" customHeight="1">
      <x:c r="A499" s="10"/>
      <x:c r="B499" s="10"/>
      <x:c r="C499" s="10"/>
      <x:c r="D499" s="10"/>
      <x:c r="E499" s="10"/>
      <x:c r="F499" s="10"/>
      <x:c r="G499" s="10"/>
      <x:c r="H499" s="10"/>
    </x:row>
    <x:row r="500" ht="14.25" customHeight="1">
      <x:c r="A500" s="10"/>
      <x:c r="B500" s="10"/>
      <x:c r="C500" s="10"/>
      <x:c r="D500" s="10"/>
      <x:c r="E500" s="10"/>
      <x:c r="F500" s="10"/>
      <x:c r="G500" s="10"/>
      <x:c r="H500" s="10"/>
    </x:row>
    <x:row r="501" ht="14.25" customHeight="1">
      <x:c r="A501" s="10"/>
      <x:c r="B501" s="10"/>
      <x:c r="C501" s="10"/>
      <x:c r="D501" s="10"/>
      <x:c r="E501" s="10"/>
      <x:c r="F501" s="10"/>
      <x:c r="G501" s="10"/>
      <x:c r="H501" s="10"/>
    </x:row>
    <x:row r="502" ht="14.25" customHeight="1">
      <x:c r="A502" s="10"/>
      <x:c r="B502" s="10"/>
      <x:c r="C502" s="10"/>
      <x:c r="D502" s="10"/>
      <x:c r="E502" s="10"/>
      <x:c r="F502" s="10"/>
      <x:c r="G502" s="10"/>
      <x:c r="H502" s="10"/>
    </x:row>
    <x:row r="503" ht="14.25" customHeight="1">
      <x:c r="A503" s="10"/>
      <x:c r="B503" s="10"/>
      <x:c r="C503" s="10"/>
      <x:c r="D503" s="10"/>
      <x:c r="E503" s="10"/>
      <x:c r="F503" s="10"/>
      <x:c r="G503" s="10"/>
      <x:c r="H503" s="10"/>
    </x:row>
    <x:row r="504" ht="14.25" customHeight="1">
      <x:c r="A504" s="10"/>
      <x:c r="B504" s="10"/>
      <x:c r="C504" s="10"/>
      <x:c r="D504" s="10"/>
      <x:c r="E504" s="10"/>
      <x:c r="F504" s="10"/>
      <x:c r="G504" s="10"/>
      <x:c r="H504" s="10"/>
    </x:row>
    <x:row r="505" ht="14.25" customHeight="1">
      <x:c r="A505" s="10"/>
      <x:c r="B505" s="10"/>
      <x:c r="C505" s="10"/>
      <x:c r="D505" s="10"/>
      <x:c r="E505" s="10"/>
      <x:c r="F505" s="10"/>
      <x:c r="G505" s="10"/>
      <x:c r="H505" s="10"/>
    </x:row>
    <x:row r="506" ht="14.25" customHeight="1">
      <x:c r="A506" s="10"/>
      <x:c r="B506" s="10"/>
      <x:c r="C506" s="10"/>
      <x:c r="D506" s="10"/>
      <x:c r="E506" s="10"/>
      <x:c r="F506" s="10"/>
      <x:c r="G506" s="10"/>
      <x:c r="H506" s="10"/>
    </x:row>
    <x:row r="507" ht="14.25" customHeight="1">
      <x:c r="A507" s="10"/>
      <x:c r="B507" s="10"/>
      <x:c r="C507" s="10"/>
      <x:c r="D507" s="10"/>
      <x:c r="E507" s="10"/>
      <x:c r="F507" s="10"/>
      <x:c r="G507" s="10"/>
      <x:c r="H507" s="10"/>
    </x:row>
    <x:row r="508" ht="14.25" customHeight="1">
      <x:c r="A508" s="10"/>
      <x:c r="B508" s="10"/>
      <x:c r="C508" s="10"/>
      <x:c r="D508" s="10"/>
      <x:c r="E508" s="10"/>
      <x:c r="F508" s="10"/>
      <x:c r="G508" s="10"/>
      <x:c r="H508" s="10"/>
    </x:row>
    <x:row r="509" ht="14.25" customHeight="1">
      <x:c r="A509" s="10"/>
      <x:c r="B509" s="10"/>
      <x:c r="C509" s="10"/>
      <x:c r="D509" s="10"/>
      <x:c r="E509" s="10"/>
      <x:c r="F509" s="10"/>
      <x:c r="G509" s="10"/>
      <x:c r="H509" s="10"/>
    </x:row>
    <x:row r="510" ht="14.25" customHeight="1">
      <x:c r="A510" s="10"/>
      <x:c r="B510" s="10"/>
      <x:c r="C510" s="10"/>
      <x:c r="D510" s="10"/>
      <x:c r="E510" s="10"/>
      <x:c r="F510" s="10"/>
      <x:c r="G510" s="10"/>
      <x:c r="H510" s="10"/>
    </x:row>
    <x:row r="511" ht="14.25" customHeight="1">
      <x:c r="A511" s="10"/>
      <x:c r="B511" s="10"/>
      <x:c r="C511" s="10"/>
      <x:c r="D511" s="10"/>
      <x:c r="E511" s="10"/>
      <x:c r="F511" s="10"/>
      <x:c r="G511" s="10"/>
      <x:c r="H511" s="10"/>
    </x:row>
    <x:row r="512" ht="14.25" customHeight="1">
      <x:c r="A512" s="10"/>
      <x:c r="B512" s="10"/>
      <x:c r="C512" s="10"/>
      <x:c r="D512" s="10"/>
      <x:c r="E512" s="10"/>
      <x:c r="F512" s="10"/>
      <x:c r="G512" s="10"/>
      <x:c r="H512" s="10"/>
    </x:row>
    <x:row r="513" ht="14.25" customHeight="1">
      <x:c r="A513" s="10"/>
      <x:c r="B513" s="10"/>
      <x:c r="C513" s="10"/>
      <x:c r="D513" s="10"/>
      <x:c r="E513" s="10"/>
      <x:c r="F513" s="10"/>
      <x:c r="G513" s="10"/>
      <x:c r="H513" s="10"/>
    </x:row>
    <x:row r="514" ht="14.25" customHeight="1">
      <x:c r="A514" s="10"/>
      <x:c r="B514" s="10"/>
      <x:c r="C514" s="10"/>
      <x:c r="D514" s="10"/>
      <x:c r="E514" s="10"/>
      <x:c r="F514" s="10"/>
      <x:c r="G514" s="10"/>
      <x:c r="H514" s="10"/>
    </x:row>
    <x:row r="515" ht="14.25" customHeight="1">
      <x:c r="A515" s="10"/>
      <x:c r="B515" s="10"/>
      <x:c r="C515" s="10"/>
      <x:c r="D515" s="10"/>
      <x:c r="E515" s="10"/>
      <x:c r="F515" s="10"/>
      <x:c r="G515" s="10"/>
      <x:c r="H515" s="10"/>
    </x:row>
    <x:row r="516" ht="14.25" customHeight="1">
      <x:c r="A516" s="10"/>
      <x:c r="B516" s="10"/>
      <x:c r="C516" s="10"/>
      <x:c r="D516" s="10"/>
      <x:c r="E516" s="10"/>
      <x:c r="F516" s="10"/>
      <x:c r="G516" s="10"/>
      <x:c r="H516" s="10"/>
    </x:row>
    <x:row r="517" ht="14.25" customHeight="1">
      <x:c r="A517" s="10"/>
      <x:c r="B517" s="10"/>
      <x:c r="C517" s="10"/>
      <x:c r="D517" s="10"/>
      <x:c r="E517" s="10"/>
      <x:c r="F517" s="10"/>
      <x:c r="G517" s="10"/>
      <x:c r="H517" s="10"/>
    </x:row>
    <x:row r="518" ht="14.25" customHeight="1">
      <x:c r="A518" s="10"/>
      <x:c r="B518" s="10"/>
      <x:c r="C518" s="10"/>
      <x:c r="D518" s="10"/>
      <x:c r="E518" s="10"/>
      <x:c r="F518" s="10"/>
      <x:c r="G518" s="10"/>
      <x:c r="H518" s="10"/>
    </x:row>
    <x:row r="519" ht="14.25" customHeight="1">
      <x:c r="A519" s="10"/>
      <x:c r="B519" s="10"/>
      <x:c r="C519" s="10"/>
      <x:c r="D519" s="10"/>
      <x:c r="E519" s="10"/>
      <x:c r="F519" s="10"/>
      <x:c r="G519" s="10"/>
      <x:c r="H519" s="10"/>
    </x:row>
    <x:row r="520" ht="14.25" customHeight="1">
      <x:c r="A520" s="10"/>
      <x:c r="B520" s="10"/>
      <x:c r="C520" s="10"/>
      <x:c r="D520" s="10"/>
      <x:c r="E520" s="10"/>
      <x:c r="F520" s="10"/>
      <x:c r="G520" s="10"/>
      <x:c r="H520" s="10"/>
    </x:row>
    <x:row r="521" ht="14.25" customHeight="1">
      <x:c r="A521" s="10"/>
      <x:c r="B521" s="10"/>
      <x:c r="C521" s="10"/>
      <x:c r="D521" s="10"/>
      <x:c r="E521" s="10"/>
      <x:c r="F521" s="10"/>
      <x:c r="G521" s="10"/>
      <x:c r="H521" s="10"/>
    </x:row>
    <x:row r="522" ht="14.25" customHeight="1">
      <x:c r="A522" s="10"/>
      <x:c r="B522" s="10"/>
      <x:c r="C522" s="10"/>
      <x:c r="D522" s="10"/>
      <x:c r="E522" s="10"/>
      <x:c r="F522" s="10"/>
      <x:c r="G522" s="10"/>
      <x:c r="H522" s="10"/>
    </x:row>
    <x:row r="523" ht="14.25" customHeight="1">
      <x:c r="A523" s="10"/>
      <x:c r="B523" s="10"/>
      <x:c r="C523" s="10"/>
      <x:c r="D523" s="10"/>
      <x:c r="E523" s="10"/>
      <x:c r="F523" s="10"/>
      <x:c r="G523" s="10"/>
      <x:c r="H523" s="10"/>
    </x:row>
    <x:row r="524" ht="14.25" customHeight="1">
      <x:c r="A524" s="10"/>
      <x:c r="B524" s="10"/>
      <x:c r="C524" s="10"/>
      <x:c r="D524" s="10"/>
      <x:c r="E524" s="10"/>
      <x:c r="F524" s="10"/>
      <x:c r="G524" s="10"/>
      <x:c r="H524" s="10"/>
    </x:row>
    <x:row r="525" ht="14.25" customHeight="1">
      <x:c r="A525" s="10"/>
      <x:c r="B525" s="10"/>
      <x:c r="C525" s="10"/>
      <x:c r="D525" s="10"/>
      <x:c r="E525" s="10"/>
      <x:c r="F525" s="10"/>
      <x:c r="G525" s="10"/>
      <x:c r="H525" s="10"/>
    </x:row>
    <x:row r="526" ht="14.25" customHeight="1">
      <x:c r="A526" s="10"/>
      <x:c r="B526" s="10"/>
      <x:c r="C526" s="10"/>
      <x:c r="D526" s="10"/>
      <x:c r="E526" s="10"/>
      <x:c r="F526" s="10"/>
      <x:c r="G526" s="10"/>
      <x:c r="H526" s="10"/>
    </x:row>
    <x:row r="527" ht="14.25" customHeight="1">
      <x:c r="A527" s="10"/>
      <x:c r="B527" s="10"/>
      <x:c r="C527" s="10"/>
      <x:c r="D527" s="10"/>
      <x:c r="E527" s="10"/>
      <x:c r="F527" s="10"/>
      <x:c r="G527" s="10"/>
      <x:c r="H527" s="10"/>
    </x:row>
    <x:row r="528" ht="14.25" customHeight="1">
      <x:c r="A528" s="10"/>
      <x:c r="B528" s="10"/>
      <x:c r="C528" s="10"/>
      <x:c r="D528" s="10"/>
      <x:c r="E528" s="10"/>
      <x:c r="F528" s="10"/>
      <x:c r="G528" s="10"/>
      <x:c r="H528" s="10"/>
    </x:row>
    <x:row r="529" ht="14.25" customHeight="1">
      <x:c r="A529" s="10"/>
      <x:c r="B529" s="10"/>
      <x:c r="C529" s="10"/>
      <x:c r="D529" s="10"/>
      <x:c r="E529" s="10"/>
      <x:c r="F529" s="10"/>
      <x:c r="G529" s="10"/>
      <x:c r="H529" s="10"/>
    </x:row>
    <x:row r="530" ht="14.25" customHeight="1">
      <x:c r="A530" s="10"/>
      <x:c r="B530" s="10"/>
      <x:c r="C530" s="10"/>
      <x:c r="D530" s="10"/>
      <x:c r="E530" s="10"/>
      <x:c r="F530" s="10"/>
      <x:c r="G530" s="10"/>
      <x:c r="H530" s="10"/>
    </x:row>
    <x:row r="531" ht="14.25" customHeight="1">
      <x:c r="A531" s="10"/>
      <x:c r="B531" s="10"/>
      <x:c r="C531" s="10"/>
      <x:c r="D531" s="10"/>
      <x:c r="E531" s="10"/>
      <x:c r="F531" s="10"/>
      <x:c r="G531" s="10"/>
      <x:c r="H531" s="10"/>
    </x:row>
    <x:row r="532" ht="14.25" customHeight="1">
      <x:c r="A532" s="10"/>
      <x:c r="B532" s="10"/>
      <x:c r="C532" s="10"/>
      <x:c r="D532" s="10"/>
      <x:c r="E532" s="10"/>
      <x:c r="F532" s="10"/>
      <x:c r="G532" s="10"/>
      <x:c r="H532" s="10"/>
    </x:row>
    <x:row r="533" ht="14.25" customHeight="1">
      <x:c r="A533" s="10"/>
      <x:c r="B533" s="10"/>
      <x:c r="C533" s="10"/>
      <x:c r="D533" s="10"/>
      <x:c r="E533" s="10"/>
      <x:c r="F533" s="10"/>
      <x:c r="G533" s="10"/>
      <x:c r="H533" s="10"/>
    </x:row>
    <x:row r="534" ht="14.25" customHeight="1">
      <x:c r="A534" s="10"/>
      <x:c r="B534" s="10"/>
      <x:c r="C534" s="10"/>
      <x:c r="D534" s="10"/>
      <x:c r="E534" s="10"/>
      <x:c r="F534" s="10"/>
      <x:c r="G534" s="10"/>
      <x:c r="H534" s="10"/>
    </x:row>
    <x:row r="535" ht="14.25" customHeight="1">
      <x:c r="A535" s="10"/>
      <x:c r="B535" s="10"/>
      <x:c r="C535" s="10"/>
      <x:c r="D535" s="10"/>
      <x:c r="E535" s="10"/>
      <x:c r="F535" s="10"/>
      <x:c r="G535" s="10"/>
      <x:c r="H535" s="10"/>
    </x:row>
    <x:row r="536" ht="14.25" customHeight="1">
      <x:c r="A536" s="10"/>
      <x:c r="B536" s="10"/>
      <x:c r="C536" s="10"/>
      <x:c r="D536" s="10"/>
      <x:c r="E536" s="10"/>
      <x:c r="F536" s="10"/>
      <x:c r="G536" s="10"/>
      <x:c r="H536" s="10"/>
    </x:row>
    <x:row r="537" ht="14.25" customHeight="1">
      <x:c r="A537" s="10"/>
      <x:c r="B537" s="10"/>
      <x:c r="C537" s="10"/>
      <x:c r="D537" s="10"/>
      <x:c r="E537" s="10"/>
      <x:c r="F537" s="10"/>
      <x:c r="G537" s="10"/>
      <x:c r="H537" s="10"/>
    </x:row>
    <x:row r="538" ht="14.25" customHeight="1">
      <x:c r="A538" s="10"/>
      <x:c r="B538" s="10"/>
      <x:c r="C538" s="10"/>
      <x:c r="D538" s="10"/>
      <x:c r="E538" s="10"/>
      <x:c r="F538" s="10"/>
      <x:c r="G538" s="10"/>
      <x:c r="H538" s="10"/>
    </x:row>
    <x:row r="539" ht="14.25" customHeight="1">
      <x:c r="A539" s="10"/>
      <x:c r="B539" s="10"/>
      <x:c r="C539" s="10"/>
      <x:c r="D539" s="10"/>
      <x:c r="E539" s="10"/>
      <x:c r="F539" s="10"/>
      <x:c r="G539" s="10"/>
      <x:c r="H539" s="10"/>
    </x:row>
    <x:row r="540" ht="14.25" customHeight="1">
      <x:c r="A540" s="10"/>
      <x:c r="B540" s="10"/>
      <x:c r="C540" s="10"/>
      <x:c r="D540" s="10"/>
      <x:c r="E540" s="10"/>
      <x:c r="F540" s="10"/>
      <x:c r="G540" s="10"/>
      <x:c r="H540" s="10"/>
    </x:row>
    <x:row r="541" ht="14.25" customHeight="1">
      <x:c r="A541" s="10"/>
      <x:c r="B541" s="10"/>
      <x:c r="C541" s="10"/>
      <x:c r="D541" s="10"/>
      <x:c r="E541" s="10"/>
      <x:c r="F541" s="10"/>
      <x:c r="G541" s="10"/>
      <x:c r="H541" s="10"/>
    </x:row>
    <x:row r="542" ht="14.25" customHeight="1">
      <x:c r="A542" s="10"/>
      <x:c r="B542" s="10"/>
      <x:c r="C542" s="10"/>
      <x:c r="D542" s="10"/>
      <x:c r="E542" s="10"/>
      <x:c r="F542" s="10"/>
      <x:c r="G542" s="10"/>
      <x:c r="H542" s="10"/>
    </x:row>
    <x:row r="543" ht="14.25" customHeight="1">
      <x:c r="A543" s="10"/>
      <x:c r="B543" s="10"/>
      <x:c r="C543" s="10"/>
      <x:c r="D543" s="10"/>
      <x:c r="E543" s="10"/>
      <x:c r="F543" s="10"/>
      <x:c r="G543" s="10"/>
      <x:c r="H543" s="10"/>
    </x:row>
    <x:row r="544" ht="14.25" customHeight="1">
      <x:c r="A544" s="10"/>
      <x:c r="B544" s="10"/>
      <x:c r="C544" s="10"/>
      <x:c r="D544" s="10"/>
      <x:c r="E544" s="10"/>
      <x:c r="F544" s="10"/>
      <x:c r="G544" s="10"/>
      <x:c r="H544" s="10"/>
    </x:row>
    <x:row r="545" ht="14.25" customHeight="1">
      <x:c r="A545" s="10"/>
      <x:c r="B545" s="10"/>
      <x:c r="C545" s="10"/>
      <x:c r="D545" s="10"/>
      <x:c r="E545" s="10"/>
      <x:c r="F545" s="10"/>
      <x:c r="G545" s="10"/>
      <x:c r="H545" s="10"/>
    </x:row>
    <x:row r="546" ht="14.25" customHeight="1">
      <x:c r="A546" s="10"/>
      <x:c r="B546" s="10"/>
      <x:c r="C546" s="10"/>
      <x:c r="D546" s="10"/>
      <x:c r="E546" s="10"/>
      <x:c r="F546" s="10"/>
      <x:c r="G546" s="10"/>
      <x:c r="H546" s="10"/>
    </x:row>
    <x:row r="547" ht="14.25" customHeight="1">
      <x:c r="A547" s="10"/>
      <x:c r="B547" s="10"/>
      <x:c r="C547" s="10"/>
      <x:c r="D547" s="10"/>
      <x:c r="E547" s="10"/>
      <x:c r="F547" s="10"/>
      <x:c r="G547" s="10"/>
      <x:c r="H547" s="10"/>
    </x:row>
    <x:row r="548" ht="14.25" customHeight="1">
      <x:c r="A548" s="10"/>
      <x:c r="B548" s="10"/>
      <x:c r="C548" s="10"/>
      <x:c r="D548" s="10"/>
      <x:c r="E548" s="10"/>
      <x:c r="F548" s="10"/>
      <x:c r="G548" s="10"/>
      <x:c r="H548" s="10"/>
    </x:row>
    <x:row r="549" ht="14.25" customHeight="1">
      <x:c r="A549" s="10"/>
      <x:c r="B549" s="10"/>
      <x:c r="C549" s="10"/>
      <x:c r="D549" s="10"/>
      <x:c r="E549" s="10"/>
      <x:c r="F549" s="10"/>
      <x:c r="G549" s="10"/>
      <x:c r="H549" s="10"/>
    </x:row>
    <x:row r="550" ht="14.25" customHeight="1">
      <x:c r="A550" s="10"/>
      <x:c r="B550" s="10"/>
      <x:c r="C550" s="10"/>
      <x:c r="D550" s="10"/>
      <x:c r="E550" s="10"/>
      <x:c r="F550" s="10"/>
      <x:c r="G550" s="10"/>
      <x:c r="H550" s="10"/>
    </x:row>
    <x:row r="551" ht="14.25" customHeight="1">
      <x:c r="A551" s="10"/>
      <x:c r="B551" s="10"/>
      <x:c r="C551" s="10"/>
      <x:c r="D551" s="10"/>
      <x:c r="E551" s="10"/>
      <x:c r="F551" s="10"/>
      <x:c r="G551" s="10"/>
      <x:c r="H551" s="10"/>
    </x:row>
    <x:row r="552" ht="14.25" customHeight="1">
      <x:c r="A552" s="10"/>
      <x:c r="B552" s="10"/>
      <x:c r="C552" s="10"/>
      <x:c r="D552" s="10"/>
      <x:c r="E552" s="10"/>
      <x:c r="F552" s="10"/>
      <x:c r="G552" s="10"/>
      <x:c r="H552" s="10"/>
    </x:row>
    <x:row r="553" ht="14.25" customHeight="1">
      <x:c r="A553" s="10"/>
      <x:c r="B553" s="10"/>
      <x:c r="C553" s="10"/>
      <x:c r="D553" s="10"/>
      <x:c r="E553" s="10"/>
      <x:c r="F553" s="10"/>
      <x:c r="G553" s="10"/>
      <x:c r="H553" s="10"/>
    </x:row>
    <x:row r="554" ht="14.25" customHeight="1">
      <x:c r="A554" s="10"/>
      <x:c r="B554" s="10"/>
      <x:c r="C554" s="10"/>
      <x:c r="D554" s="10"/>
      <x:c r="E554" s="10"/>
      <x:c r="F554" s="10"/>
      <x:c r="G554" s="10"/>
      <x:c r="H554" s="10"/>
    </x:row>
    <x:row r="555" ht="14.25" customHeight="1">
      <x:c r="A555" s="10"/>
      <x:c r="B555" s="10"/>
      <x:c r="C555" s="10"/>
      <x:c r="D555" s="10"/>
      <x:c r="E555" s="10"/>
      <x:c r="F555" s="10"/>
      <x:c r="G555" s="10"/>
      <x:c r="H555" s="10"/>
    </x:row>
    <x:row r="556" ht="14.25" customHeight="1">
      <x:c r="A556" s="10"/>
      <x:c r="B556" s="10"/>
      <x:c r="C556" s="10"/>
      <x:c r="D556" s="10"/>
      <x:c r="E556" s="10"/>
      <x:c r="F556" s="10"/>
      <x:c r="G556" s="10"/>
      <x:c r="H556" s="10"/>
    </x:row>
    <x:row r="557" ht="14.25" customHeight="1">
      <x:c r="A557" s="10"/>
      <x:c r="B557" s="10"/>
      <x:c r="C557" s="10"/>
      <x:c r="D557" s="10"/>
      <x:c r="E557" s="10"/>
      <x:c r="F557" s="10"/>
      <x:c r="G557" s="10"/>
      <x:c r="H557" s="10"/>
    </x:row>
    <x:row r="558" ht="14.25" customHeight="1">
      <x:c r="A558" s="10"/>
      <x:c r="B558" s="10"/>
      <x:c r="C558" s="10"/>
      <x:c r="D558" s="10"/>
      <x:c r="E558" s="10"/>
      <x:c r="F558" s="10"/>
      <x:c r="G558" s="10"/>
      <x:c r="H558" s="10"/>
    </x:row>
    <x:row r="559" ht="14.25" customHeight="1">
      <x:c r="A559" s="10"/>
      <x:c r="B559" s="10"/>
      <x:c r="C559" s="10"/>
      <x:c r="D559" s="10"/>
      <x:c r="E559" s="10"/>
      <x:c r="F559" s="10"/>
      <x:c r="G559" s="10"/>
      <x:c r="H559" s="10"/>
    </x:row>
    <x:row r="560" ht="14.25" customHeight="1">
      <x:c r="A560" s="10"/>
      <x:c r="B560" s="10"/>
      <x:c r="C560" s="10"/>
      <x:c r="D560" s="10"/>
      <x:c r="E560" s="10"/>
      <x:c r="F560" s="10"/>
      <x:c r="G560" s="10"/>
      <x:c r="H560" s="10"/>
    </x:row>
    <x:row r="561" ht="14.25" customHeight="1">
      <x:c r="A561" s="10"/>
      <x:c r="B561" s="10"/>
      <x:c r="C561" s="10"/>
      <x:c r="D561" s="10"/>
      <x:c r="E561" s="10"/>
      <x:c r="F561" s="10"/>
      <x:c r="G561" s="10"/>
      <x:c r="H561" s="10"/>
    </x:row>
    <x:row r="562" ht="14.25" customHeight="1">
      <x:c r="A562" s="10"/>
      <x:c r="B562" s="10"/>
      <x:c r="C562" s="10"/>
      <x:c r="D562" s="10"/>
      <x:c r="E562" s="10"/>
      <x:c r="F562" s="10"/>
      <x:c r="G562" s="10"/>
      <x:c r="H562" s="10"/>
    </x:row>
    <x:row r="563" ht="14.25" customHeight="1">
      <x:c r="A563" s="10"/>
      <x:c r="B563" s="10"/>
      <x:c r="C563" s="10"/>
      <x:c r="D563" s="10"/>
      <x:c r="E563" s="10"/>
      <x:c r="F563" s="10"/>
      <x:c r="G563" s="10"/>
      <x:c r="H563" s="10"/>
    </x:row>
    <x:row r="564" ht="14.25" customHeight="1">
      <x:c r="A564" s="10"/>
      <x:c r="B564" s="10"/>
      <x:c r="C564" s="10"/>
      <x:c r="D564" s="10"/>
      <x:c r="E564" s="10"/>
      <x:c r="F564" s="10"/>
      <x:c r="G564" s="10"/>
      <x:c r="H564" s="10"/>
    </x:row>
    <x:row r="565" ht="14.25" customHeight="1">
      <x:c r="A565" s="10"/>
      <x:c r="B565" s="10"/>
      <x:c r="C565" s="10"/>
      <x:c r="D565" s="10"/>
      <x:c r="E565" s="10"/>
      <x:c r="F565" s="10"/>
      <x:c r="G565" s="10"/>
      <x:c r="H565" s="10"/>
    </x:row>
    <x:row r="566" ht="14.25" customHeight="1">
      <x:c r="A566" s="10"/>
      <x:c r="B566" s="10"/>
      <x:c r="C566" s="10"/>
      <x:c r="D566" s="10"/>
      <x:c r="E566" s="10"/>
      <x:c r="F566" s="10"/>
      <x:c r="G566" s="10"/>
      <x:c r="H566" s="10"/>
    </x:row>
    <x:row r="567" ht="14.25" customHeight="1">
      <x:c r="A567" s="10"/>
      <x:c r="B567" s="10"/>
      <x:c r="C567" s="10"/>
      <x:c r="D567" s="10"/>
      <x:c r="E567" s="10"/>
      <x:c r="F567" s="10"/>
      <x:c r="G567" s="10"/>
      <x:c r="H567" s="10"/>
    </x:row>
    <x:row r="568" ht="14.25" customHeight="1">
      <x:c r="A568" s="10"/>
      <x:c r="B568" s="10"/>
      <x:c r="C568" s="10"/>
      <x:c r="D568" s="10"/>
      <x:c r="E568" s="10"/>
      <x:c r="F568" s="10"/>
      <x:c r="G568" s="10"/>
      <x:c r="H568" s="10"/>
    </x:row>
    <x:row r="569" ht="14.25" customHeight="1">
      <x:c r="A569" s="10"/>
      <x:c r="B569" s="10"/>
      <x:c r="C569" s="10"/>
      <x:c r="D569" s="10"/>
      <x:c r="E569" s="10"/>
      <x:c r="F569" s="10"/>
      <x:c r="G569" s="10"/>
      <x:c r="H569" s="10"/>
    </x:row>
    <x:row r="570" ht="14.25" customHeight="1">
      <x:c r="A570" s="10"/>
      <x:c r="B570" s="10"/>
      <x:c r="C570" s="10"/>
      <x:c r="D570" s="10"/>
      <x:c r="E570" s="10"/>
      <x:c r="F570" s="10"/>
      <x:c r="G570" s="10"/>
      <x:c r="H570" s="10"/>
    </x:row>
    <x:row r="571" ht="14.25" customHeight="1">
      <x:c r="A571" s="10"/>
      <x:c r="B571" s="10"/>
      <x:c r="C571" s="10"/>
      <x:c r="D571" s="10"/>
      <x:c r="E571" s="10"/>
      <x:c r="F571" s="10"/>
      <x:c r="G571" s="10"/>
      <x:c r="H571" s="10"/>
    </x:row>
    <x:row r="572" ht="14.25" customHeight="1">
      <x:c r="A572" s="10"/>
      <x:c r="B572" s="10"/>
      <x:c r="C572" s="10"/>
      <x:c r="D572" s="10"/>
      <x:c r="E572" s="10"/>
      <x:c r="F572" s="10"/>
      <x:c r="G572" s="10"/>
      <x:c r="H572" s="10"/>
    </x:row>
    <x:row r="573" ht="14.25" customHeight="1">
      <x:c r="A573" s="10"/>
      <x:c r="B573" s="10"/>
      <x:c r="C573" s="10"/>
      <x:c r="D573" s="10"/>
      <x:c r="E573" s="10"/>
      <x:c r="F573" s="10"/>
      <x:c r="G573" s="10"/>
      <x:c r="H573" s="10"/>
    </x:row>
    <x:row r="574" ht="14.25" customHeight="1">
      <x:c r="A574" s="10"/>
      <x:c r="B574" s="10"/>
      <x:c r="C574" s="10"/>
      <x:c r="D574" s="10"/>
      <x:c r="E574" s="10"/>
      <x:c r="F574" s="10"/>
      <x:c r="G574" s="10"/>
      <x:c r="H574" s="10"/>
    </x:row>
    <x:row r="575" ht="14.25" customHeight="1">
      <x:c r="A575" s="10"/>
      <x:c r="B575" s="10"/>
      <x:c r="C575" s="10"/>
      <x:c r="D575" s="10"/>
      <x:c r="E575" s="10"/>
      <x:c r="F575" s="10"/>
      <x:c r="G575" s="10"/>
      <x:c r="H575" s="10"/>
    </x:row>
    <x:row r="576" ht="14.25" customHeight="1">
      <x:c r="A576" s="10"/>
      <x:c r="B576" s="10"/>
      <x:c r="C576" s="10"/>
      <x:c r="D576" s="10"/>
      <x:c r="E576" s="10"/>
      <x:c r="F576" s="10"/>
      <x:c r="G576" s="10"/>
      <x:c r="H576" s="10"/>
    </x:row>
    <x:row r="577" ht="14.25" customHeight="1">
      <x:c r="A577" s="10"/>
      <x:c r="B577" s="10"/>
      <x:c r="C577" s="10"/>
      <x:c r="D577" s="10"/>
      <x:c r="E577" s="10"/>
      <x:c r="F577" s="10"/>
      <x:c r="G577" s="10"/>
      <x:c r="H577" s="10"/>
    </x:row>
    <x:row r="578" ht="14.25" customHeight="1">
      <x:c r="A578" s="10"/>
      <x:c r="B578" s="10"/>
      <x:c r="C578" s="10"/>
      <x:c r="D578" s="10"/>
      <x:c r="E578" s="10"/>
      <x:c r="F578" s="10"/>
      <x:c r="G578" s="10"/>
      <x:c r="H578" s="10"/>
    </x:row>
    <x:row r="579" ht="14.25" customHeight="1">
      <x:c r="A579" s="10"/>
      <x:c r="B579" s="10"/>
      <x:c r="C579" s="10"/>
      <x:c r="D579" s="10"/>
      <x:c r="E579" s="10"/>
      <x:c r="F579" s="10"/>
      <x:c r="G579" s="10"/>
      <x:c r="H579" s="10"/>
    </x:row>
    <x:row r="580" ht="14.25" customHeight="1">
      <x:c r="A580" s="10"/>
      <x:c r="B580" s="10"/>
      <x:c r="C580" s="10"/>
      <x:c r="D580" s="10"/>
      <x:c r="E580" s="10"/>
      <x:c r="F580" s="10"/>
      <x:c r="G580" s="10"/>
      <x:c r="H580" s="10"/>
    </x:row>
    <x:row r="581" ht="14.25" customHeight="1">
      <x:c r="A581" s="10"/>
      <x:c r="B581" s="10"/>
      <x:c r="C581" s="10"/>
      <x:c r="D581" s="10"/>
      <x:c r="E581" s="10"/>
      <x:c r="F581" s="10"/>
      <x:c r="G581" s="10"/>
      <x:c r="H581" s="10"/>
    </x:row>
    <x:row r="582" ht="14.25" customHeight="1">
      <x:c r="A582" s="10"/>
      <x:c r="B582" s="10"/>
      <x:c r="C582" s="10"/>
      <x:c r="D582" s="10"/>
      <x:c r="E582" s="10"/>
      <x:c r="F582" s="10"/>
      <x:c r="G582" s="10"/>
      <x:c r="H582" s="10"/>
    </x:row>
    <x:row r="583" ht="14.25" customHeight="1">
      <x:c r="A583" s="10"/>
      <x:c r="B583" s="10"/>
      <x:c r="C583" s="10"/>
      <x:c r="D583" s="10"/>
      <x:c r="E583" s="10"/>
      <x:c r="F583" s="10"/>
      <x:c r="G583" s="10"/>
      <x:c r="H583" s="10"/>
    </x:row>
    <x:row r="584" ht="14.25" customHeight="1">
      <x:c r="A584" s="10"/>
      <x:c r="B584" s="10"/>
      <x:c r="C584" s="10"/>
      <x:c r="D584" s="10"/>
      <x:c r="E584" s="10"/>
      <x:c r="F584" s="10"/>
      <x:c r="G584" s="10"/>
      <x:c r="H584" s="10"/>
    </x:row>
    <x:row r="585" ht="14.25" customHeight="1">
      <x:c r="A585" s="10"/>
      <x:c r="B585" s="10"/>
      <x:c r="C585" s="10"/>
      <x:c r="D585" s="10"/>
      <x:c r="E585" s="10"/>
      <x:c r="F585" s="10"/>
      <x:c r="G585" s="10"/>
      <x:c r="H585" s="10"/>
    </x:row>
    <x:row r="586" ht="14.25" customHeight="1">
      <x:c r="A586" s="10"/>
      <x:c r="B586" s="10"/>
      <x:c r="C586" s="10"/>
      <x:c r="D586" s="10"/>
      <x:c r="E586" s="10"/>
      <x:c r="F586" s="10"/>
      <x:c r="G586" s="10"/>
      <x:c r="H586" s="10"/>
    </x:row>
    <x:row r="587" ht="14.25" customHeight="1">
      <x:c r="A587" s="10"/>
      <x:c r="B587" s="10"/>
      <x:c r="C587" s="10"/>
      <x:c r="D587" s="10"/>
      <x:c r="E587" s="10"/>
      <x:c r="F587" s="10"/>
      <x:c r="G587" s="10"/>
      <x:c r="H587" s="10"/>
    </x:row>
    <x:row r="588" ht="14.25" customHeight="1">
      <x:c r="A588" s="10"/>
      <x:c r="B588" s="10"/>
      <x:c r="C588" s="10"/>
      <x:c r="D588" s="10"/>
      <x:c r="E588" s="10"/>
      <x:c r="F588" s="10"/>
      <x:c r="G588" s="10"/>
      <x:c r="H588" s="10"/>
    </x:row>
    <x:row r="589" ht="14.25" customHeight="1">
      <x:c r="A589" s="10"/>
      <x:c r="B589" s="10"/>
      <x:c r="C589" s="10"/>
      <x:c r="D589" s="10"/>
      <x:c r="E589" s="10"/>
      <x:c r="F589" s="10"/>
      <x:c r="G589" s="10"/>
      <x:c r="H589" s="10"/>
    </x:row>
    <x:row r="590" ht="14.25" customHeight="1">
      <x:c r="A590" s="10"/>
      <x:c r="B590" s="10"/>
      <x:c r="C590" s="10"/>
      <x:c r="D590" s="10"/>
      <x:c r="E590" s="10"/>
      <x:c r="F590" s="10"/>
      <x:c r="G590" s="10"/>
      <x:c r="H590" s="10"/>
    </x:row>
    <x:row r="591" ht="14.25" customHeight="1">
      <x:c r="A591" s="10"/>
      <x:c r="B591" s="10"/>
      <x:c r="C591" s="10"/>
      <x:c r="D591" s="10"/>
      <x:c r="E591" s="10"/>
      <x:c r="F591" s="10"/>
      <x:c r="G591" s="10"/>
      <x:c r="H591" s="10"/>
    </x:row>
    <x:row r="592" ht="14.25" customHeight="1">
      <x:c r="A592" s="10"/>
      <x:c r="B592" s="10"/>
      <x:c r="C592" s="10"/>
      <x:c r="D592" s="10"/>
      <x:c r="E592" s="10"/>
      <x:c r="F592" s="10"/>
      <x:c r="G592" s="10"/>
      <x:c r="H592" s="10"/>
    </x:row>
    <x:row r="593" ht="14.25" customHeight="1">
      <x:c r="A593" s="10"/>
      <x:c r="B593" s="10"/>
      <x:c r="C593" s="10"/>
      <x:c r="D593" s="10"/>
      <x:c r="E593" s="10"/>
      <x:c r="F593" s="10"/>
      <x:c r="G593" s="10"/>
      <x:c r="H593" s="10"/>
    </x:row>
    <x:row r="594" ht="14.25" customHeight="1">
      <x:c r="A594" s="10"/>
      <x:c r="B594" s="10"/>
      <x:c r="C594" s="10"/>
      <x:c r="D594" s="10"/>
      <x:c r="E594" s="10"/>
      <x:c r="F594" s="10"/>
      <x:c r="G594" s="10"/>
      <x:c r="H594" s="10"/>
    </x:row>
    <x:row r="595" ht="14.25" customHeight="1">
      <x:c r="A595" s="10"/>
      <x:c r="B595" s="10"/>
      <x:c r="C595" s="10"/>
      <x:c r="D595" s="10"/>
      <x:c r="E595" s="10"/>
      <x:c r="F595" s="10"/>
      <x:c r="G595" s="10"/>
      <x:c r="H595" s="10"/>
    </x:row>
    <x:row r="596" ht="14.25" customHeight="1">
      <x:c r="A596" s="10"/>
      <x:c r="B596" s="10"/>
      <x:c r="C596" s="10"/>
      <x:c r="D596" s="10"/>
      <x:c r="E596" s="10"/>
      <x:c r="F596" s="10"/>
      <x:c r="G596" s="10"/>
      <x:c r="H596" s="10"/>
    </x:row>
    <x:row r="597" ht="14.25" customHeight="1">
      <x:c r="A597" s="10"/>
      <x:c r="B597" s="10"/>
      <x:c r="C597" s="10"/>
      <x:c r="D597" s="10"/>
      <x:c r="E597" s="10"/>
      <x:c r="F597" s="10"/>
      <x:c r="G597" s="10"/>
      <x:c r="H597" s="10"/>
    </x:row>
    <x:row r="598" ht="14.25" customHeight="1">
      <x:c r="A598" s="10"/>
      <x:c r="B598" s="10"/>
      <x:c r="C598" s="10"/>
      <x:c r="D598" s="10"/>
      <x:c r="E598" s="10"/>
      <x:c r="F598" s="10"/>
      <x:c r="G598" s="10"/>
      <x:c r="H598" s="10"/>
    </x:row>
    <x:row r="599" ht="14.25" customHeight="1">
      <x:c r="A599" s="10"/>
      <x:c r="B599" s="10"/>
      <x:c r="C599" s="10"/>
      <x:c r="D599" s="10"/>
      <x:c r="E599" s="10"/>
      <x:c r="F599" s="10"/>
      <x:c r="G599" s="10"/>
      <x:c r="H599" s="10"/>
    </x:row>
    <x:row r="600" ht="14.25" customHeight="1">
      <x:c r="A600" s="10"/>
      <x:c r="B600" s="10"/>
      <x:c r="C600" s="10"/>
      <x:c r="D600" s="10"/>
      <x:c r="E600" s="10"/>
      <x:c r="F600" s="10"/>
      <x:c r="G600" s="10"/>
      <x:c r="H600" s="10"/>
    </x:row>
    <x:row r="601" ht="14.25" customHeight="1">
      <x:c r="A601" s="10"/>
      <x:c r="B601" s="10"/>
      <x:c r="C601" s="10"/>
      <x:c r="D601" s="10"/>
      <x:c r="E601" s="10"/>
      <x:c r="F601" s="10"/>
      <x:c r="G601" s="10"/>
      <x:c r="H601" s="10"/>
    </x:row>
    <x:row r="602" ht="14.25" customHeight="1">
      <x:c r="A602" s="10"/>
      <x:c r="B602" s="10"/>
      <x:c r="C602" s="10"/>
      <x:c r="D602" s="10"/>
      <x:c r="E602" s="10"/>
      <x:c r="F602" s="10"/>
      <x:c r="G602" s="10"/>
      <x:c r="H602" s="10"/>
    </x:row>
    <x:row r="603" ht="14.25" customHeight="1">
      <x:c r="A603" s="10"/>
      <x:c r="B603" s="10"/>
      <x:c r="C603" s="10"/>
      <x:c r="D603" s="10"/>
      <x:c r="E603" s="10"/>
      <x:c r="F603" s="10"/>
      <x:c r="G603" s="10"/>
      <x:c r="H603" s="10"/>
    </x:row>
    <x:row r="604" ht="14.25" customHeight="1">
      <x:c r="A604" s="10"/>
      <x:c r="B604" s="10"/>
      <x:c r="C604" s="10"/>
      <x:c r="D604" s="10"/>
      <x:c r="E604" s="10"/>
      <x:c r="F604" s="10"/>
      <x:c r="G604" s="10"/>
      <x:c r="H604" s="10"/>
    </x:row>
    <x:row r="605" ht="14.25" customHeight="1">
      <x:c r="A605" s="10"/>
      <x:c r="B605" s="10"/>
      <x:c r="C605" s="10"/>
      <x:c r="D605" s="10"/>
      <x:c r="E605" s="10"/>
      <x:c r="F605" s="10"/>
      <x:c r="G605" s="10"/>
      <x:c r="H605" s="10"/>
    </x:row>
    <x:row r="606" ht="14.25" customHeight="1">
      <x:c r="A606" s="10"/>
      <x:c r="B606" s="10"/>
      <x:c r="C606" s="10"/>
      <x:c r="D606" s="10"/>
      <x:c r="E606" s="10"/>
      <x:c r="F606" s="10"/>
      <x:c r="G606" s="10"/>
      <x:c r="H606" s="10"/>
    </x:row>
    <x:row r="607" ht="14.25" customHeight="1">
      <x:c r="A607" s="10"/>
      <x:c r="B607" s="10"/>
      <x:c r="C607" s="10"/>
      <x:c r="D607" s="10"/>
      <x:c r="E607" s="10"/>
      <x:c r="F607" s="10"/>
      <x:c r="G607" s="10"/>
      <x:c r="H607" s="10"/>
    </x:row>
    <x:row r="608" ht="14.25" customHeight="1">
      <x:c r="A608" s="10"/>
      <x:c r="B608" s="10"/>
      <x:c r="C608" s="10"/>
      <x:c r="D608" s="10"/>
      <x:c r="E608" s="10"/>
      <x:c r="F608" s="10"/>
      <x:c r="G608" s="10"/>
      <x:c r="H608" s="10"/>
    </x:row>
    <x:row r="609" ht="14.25" customHeight="1">
      <x:c r="A609" s="10"/>
      <x:c r="B609" s="10"/>
      <x:c r="C609" s="10"/>
      <x:c r="D609" s="10"/>
      <x:c r="E609" s="10"/>
      <x:c r="F609" s="10"/>
      <x:c r="G609" s="10"/>
      <x:c r="H609" s="10"/>
    </x:row>
    <x:row r="610" ht="14.25" customHeight="1">
      <x:c r="A610" s="10"/>
      <x:c r="B610" s="10"/>
      <x:c r="C610" s="10"/>
      <x:c r="D610" s="10"/>
      <x:c r="E610" s="10"/>
      <x:c r="F610" s="10"/>
      <x:c r="G610" s="10"/>
      <x:c r="H610" s="10"/>
    </x:row>
    <x:row r="611" ht="14.25" customHeight="1">
      <x:c r="A611" s="10"/>
      <x:c r="B611" s="10"/>
      <x:c r="C611" s="10"/>
      <x:c r="D611" s="10"/>
      <x:c r="E611" s="10"/>
      <x:c r="F611" s="10"/>
      <x:c r="G611" s="10"/>
      <x:c r="H611" s="10"/>
    </x:row>
    <x:row r="612" ht="14.25" customHeight="1">
      <x:c r="A612" s="10"/>
      <x:c r="B612" s="10"/>
      <x:c r="C612" s="10"/>
      <x:c r="D612" s="10"/>
      <x:c r="E612" s="10"/>
      <x:c r="F612" s="10"/>
      <x:c r="G612" s="10"/>
      <x:c r="H612" s="10"/>
    </x:row>
    <x:row r="613" ht="14.25" customHeight="1">
      <x:c r="A613" s="10"/>
      <x:c r="B613" s="10"/>
      <x:c r="C613" s="10"/>
      <x:c r="D613" s="10"/>
      <x:c r="E613" s="10"/>
      <x:c r="F613" s="10"/>
      <x:c r="G613" s="10"/>
      <x:c r="H613" s="10"/>
    </x:row>
    <x:row r="614" ht="14.25" customHeight="1">
      <x:c r="A614" s="10"/>
      <x:c r="B614" s="10"/>
      <x:c r="C614" s="10"/>
      <x:c r="D614" s="10"/>
      <x:c r="E614" s="10"/>
      <x:c r="F614" s="10"/>
      <x:c r="G614" s="10"/>
      <x:c r="H614" s="10"/>
    </x:row>
    <x:row r="615" ht="14.25" customHeight="1">
      <x:c r="A615" s="10"/>
      <x:c r="B615" s="10"/>
      <x:c r="C615" s="10"/>
      <x:c r="D615" s="10"/>
      <x:c r="E615" s="10"/>
      <x:c r="F615" s="10"/>
      <x:c r="G615" s="10"/>
      <x:c r="H615" s="10"/>
    </x:row>
    <x:row r="616" ht="14.25" customHeight="1">
      <x:c r="A616" s="10"/>
      <x:c r="B616" s="10"/>
      <x:c r="C616" s="10"/>
      <x:c r="D616" s="10"/>
      <x:c r="E616" s="10"/>
      <x:c r="F616" s="10"/>
      <x:c r="G616" s="10"/>
      <x:c r="H616" s="10"/>
    </x:row>
    <x:row r="617" ht="14.25" customHeight="1">
      <x:c r="A617" s="10"/>
      <x:c r="B617" s="10"/>
      <x:c r="C617" s="10"/>
      <x:c r="D617" s="10"/>
      <x:c r="E617" s="10"/>
      <x:c r="F617" s="10"/>
      <x:c r="G617" s="10"/>
      <x:c r="H617" s="10"/>
    </x:row>
    <x:row r="618" ht="14.25" customHeight="1">
      <x:c r="A618" s="10"/>
      <x:c r="B618" s="10"/>
      <x:c r="C618" s="10"/>
      <x:c r="D618" s="10"/>
      <x:c r="E618" s="10"/>
      <x:c r="F618" s="10"/>
      <x:c r="G618" s="10"/>
      <x:c r="H618" s="10"/>
    </x:row>
    <x:row r="619" ht="14.25" customHeight="1">
      <x:c r="A619" s="10"/>
      <x:c r="B619" s="10"/>
      <x:c r="C619" s="10"/>
      <x:c r="D619" s="10"/>
      <x:c r="E619" s="10"/>
      <x:c r="F619" s="10"/>
      <x:c r="G619" s="10"/>
      <x:c r="H619" s="10"/>
    </x:row>
    <x:row r="620" ht="14.25" customHeight="1">
      <x:c r="A620" s="10"/>
      <x:c r="B620" s="10"/>
      <x:c r="C620" s="10"/>
      <x:c r="D620" s="10"/>
      <x:c r="E620" s="10"/>
      <x:c r="F620" s="10"/>
      <x:c r="G620" s="10"/>
      <x:c r="H620" s="10"/>
    </x:row>
    <x:row r="621" ht="14.25" customHeight="1">
      <x:c r="A621" s="10"/>
      <x:c r="B621" s="10"/>
      <x:c r="C621" s="10"/>
      <x:c r="D621" s="10"/>
      <x:c r="E621" s="10"/>
      <x:c r="F621" s="10"/>
      <x:c r="G621" s="10"/>
      <x:c r="H621" s="10"/>
    </x:row>
    <x:row r="622" ht="14.25" customHeight="1">
      <x:c r="A622" s="10"/>
      <x:c r="B622" s="10"/>
      <x:c r="C622" s="10"/>
      <x:c r="D622" s="10"/>
      <x:c r="E622" s="10"/>
      <x:c r="F622" s="10"/>
      <x:c r="G622" s="10"/>
      <x:c r="H622" s="10"/>
    </x:row>
    <x:row r="623" ht="14.25" customHeight="1">
      <x:c r="A623" s="10"/>
      <x:c r="B623" s="10"/>
      <x:c r="C623" s="10"/>
      <x:c r="D623" s="10"/>
      <x:c r="E623" s="10"/>
      <x:c r="F623" s="10"/>
      <x:c r="G623" s="10"/>
      <x:c r="H623" s="10"/>
    </x:row>
    <x:row r="624" ht="14.25" customHeight="1">
      <x:c r="A624" s="10"/>
      <x:c r="B624" s="10"/>
      <x:c r="C624" s="10"/>
      <x:c r="D624" s="10"/>
      <x:c r="E624" s="10"/>
      <x:c r="F624" s="10"/>
      <x:c r="G624" s="10"/>
      <x:c r="H624" s="10"/>
    </x:row>
    <x:row r="625" ht="14.25" customHeight="1">
      <x:c r="A625" s="10"/>
      <x:c r="B625" s="10"/>
      <x:c r="C625" s="10"/>
      <x:c r="D625" s="10"/>
      <x:c r="E625" s="10"/>
      <x:c r="F625" s="10"/>
      <x:c r="G625" s="10"/>
      <x:c r="H625" s="10"/>
    </x:row>
    <x:row r="626" ht="14.25" customHeight="1">
      <x:c r="A626" s="10"/>
      <x:c r="B626" s="10"/>
      <x:c r="C626" s="10"/>
      <x:c r="D626" s="10"/>
      <x:c r="E626" s="10"/>
      <x:c r="F626" s="10"/>
      <x:c r="G626" s="10"/>
      <x:c r="H626" s="10"/>
    </x:row>
    <x:row r="627" ht="14.25" customHeight="1">
      <x:c r="A627" s="10"/>
      <x:c r="B627" s="10"/>
      <x:c r="C627" s="10"/>
      <x:c r="D627" s="10"/>
      <x:c r="E627" s="10"/>
      <x:c r="F627" s="10"/>
      <x:c r="G627" s="10"/>
      <x:c r="H627" s="10"/>
    </x:row>
    <x:row r="628" ht="14.25" customHeight="1">
      <x:c r="A628" s="10"/>
      <x:c r="B628" s="10"/>
      <x:c r="C628" s="10"/>
      <x:c r="D628" s="10"/>
      <x:c r="E628" s="10"/>
      <x:c r="F628" s="10"/>
      <x:c r="G628" s="10"/>
      <x:c r="H628" s="10"/>
    </x:row>
    <x:row r="629" ht="14.25" customHeight="1">
      <x:c r="A629" s="10"/>
      <x:c r="B629" s="10"/>
      <x:c r="C629" s="10"/>
      <x:c r="D629" s="10"/>
      <x:c r="E629" s="10"/>
      <x:c r="F629" s="10"/>
      <x:c r="G629" s="10"/>
      <x:c r="H629" s="10"/>
    </x:row>
    <x:row r="630" ht="14.25" customHeight="1">
      <x:c r="A630" s="10"/>
      <x:c r="B630" s="10"/>
      <x:c r="C630" s="10"/>
      <x:c r="D630" s="10"/>
      <x:c r="E630" s="10"/>
      <x:c r="F630" s="10"/>
      <x:c r="G630" s="10"/>
      <x:c r="H630" s="10"/>
    </x:row>
    <x:row r="631" ht="14.25" customHeight="1">
      <x:c r="A631" s="10"/>
      <x:c r="B631" s="10"/>
      <x:c r="C631" s="10"/>
      <x:c r="D631" s="10"/>
      <x:c r="E631" s="10"/>
      <x:c r="F631" s="10"/>
      <x:c r="G631" s="10"/>
      <x:c r="H631" s="10"/>
    </x:row>
    <x:row r="632" ht="14.25" customHeight="1">
      <x:c r="A632" s="10"/>
      <x:c r="B632" s="10"/>
      <x:c r="C632" s="10"/>
      <x:c r="D632" s="10"/>
      <x:c r="E632" s="10"/>
      <x:c r="F632" s="10"/>
      <x:c r="G632" s="10"/>
      <x:c r="H632" s="10"/>
    </x:row>
    <x:row r="633" ht="14.25" customHeight="1">
      <x:c r="A633" s="10"/>
      <x:c r="B633" s="10"/>
      <x:c r="C633" s="10"/>
      <x:c r="D633" s="10"/>
      <x:c r="E633" s="10"/>
      <x:c r="F633" s="10"/>
      <x:c r="G633" s="10"/>
      <x:c r="H633" s="10"/>
    </x:row>
    <x:row r="634" ht="14.25" customHeight="1">
      <x:c r="A634" s="10"/>
      <x:c r="B634" s="10"/>
      <x:c r="C634" s="10"/>
      <x:c r="D634" s="10"/>
      <x:c r="E634" s="10"/>
      <x:c r="F634" s="10"/>
      <x:c r="G634" s="10"/>
      <x:c r="H634" s="10"/>
    </x:row>
    <x:row r="635" ht="14.25" customHeight="1">
      <x:c r="A635" s="10"/>
      <x:c r="B635" s="10"/>
      <x:c r="C635" s="10"/>
      <x:c r="D635" s="10"/>
      <x:c r="E635" s="10"/>
      <x:c r="F635" s="10"/>
      <x:c r="G635" s="10"/>
      <x:c r="H635" s="10"/>
    </x:row>
    <x:row r="636" ht="14.25" customHeight="1">
      <x:c r="A636" s="10"/>
      <x:c r="B636" s="10"/>
      <x:c r="C636" s="10"/>
      <x:c r="D636" s="10"/>
      <x:c r="E636" s="10"/>
      <x:c r="F636" s="10"/>
      <x:c r="G636" s="10"/>
      <x:c r="H636" s="10"/>
    </x:row>
    <x:row r="637" ht="14.25" customHeight="1">
      <x:c r="A637" s="10"/>
      <x:c r="B637" s="10"/>
      <x:c r="C637" s="10"/>
      <x:c r="D637" s="10"/>
      <x:c r="E637" s="10"/>
      <x:c r="F637" s="10"/>
      <x:c r="G637" s="10"/>
      <x:c r="H637" s="10"/>
    </x:row>
    <x:row r="638" ht="14.25" customHeight="1">
      <x:c r="A638" s="10"/>
      <x:c r="B638" s="10"/>
      <x:c r="C638" s="10"/>
      <x:c r="D638" s="10"/>
      <x:c r="E638" s="10"/>
      <x:c r="F638" s="10"/>
      <x:c r="G638" s="10"/>
      <x:c r="H638" s="10"/>
    </x:row>
    <x:row r="639" ht="14.25" customHeight="1">
      <x:c r="A639" s="10"/>
      <x:c r="B639" s="10"/>
      <x:c r="C639" s="10"/>
      <x:c r="D639" s="10"/>
      <x:c r="E639" s="10"/>
      <x:c r="F639" s="10"/>
      <x:c r="G639" s="10"/>
      <x:c r="H639" s="10"/>
    </x:row>
    <x:row r="640" ht="14.25" customHeight="1">
      <x:c r="A640" s="10"/>
      <x:c r="B640" s="10"/>
      <x:c r="C640" s="10"/>
      <x:c r="D640" s="10"/>
      <x:c r="E640" s="10"/>
      <x:c r="F640" s="10"/>
      <x:c r="G640" s="10"/>
      <x:c r="H640" s="10"/>
    </x:row>
    <x:row r="641" ht="14.25" customHeight="1">
      <x:c r="A641" s="10"/>
      <x:c r="B641" s="10"/>
      <x:c r="C641" s="10"/>
      <x:c r="D641" s="10"/>
      <x:c r="E641" s="10"/>
      <x:c r="F641" s="10"/>
      <x:c r="G641" s="10"/>
      <x:c r="H641" s="10"/>
    </x:row>
    <x:row r="642" ht="14.25" customHeight="1">
      <x:c r="A642" s="10"/>
      <x:c r="B642" s="10"/>
      <x:c r="C642" s="10"/>
      <x:c r="D642" s="10"/>
      <x:c r="E642" s="10"/>
      <x:c r="F642" s="10"/>
      <x:c r="G642" s="10"/>
      <x:c r="H642" s="10"/>
    </x:row>
    <x:row r="643" ht="14.25" customHeight="1">
      <x:c r="A643" s="10"/>
      <x:c r="B643" s="10"/>
      <x:c r="C643" s="10"/>
      <x:c r="D643" s="10"/>
      <x:c r="E643" s="10"/>
      <x:c r="F643" s="10"/>
      <x:c r="G643" s="10"/>
      <x:c r="H643" s="10"/>
    </x:row>
    <x:row r="644" ht="14.25" customHeight="1">
      <x:c r="A644" s="10"/>
      <x:c r="B644" s="10"/>
      <x:c r="C644" s="10"/>
      <x:c r="D644" s="10"/>
      <x:c r="E644" s="10"/>
      <x:c r="F644" s="10"/>
      <x:c r="G644" s="10"/>
      <x:c r="H644" s="10"/>
    </x:row>
    <x:row r="645" ht="14.25" customHeight="1">
      <x:c r="A645" s="10"/>
      <x:c r="B645" s="10"/>
      <x:c r="C645" s="10"/>
      <x:c r="D645" s="10"/>
      <x:c r="E645" s="10"/>
      <x:c r="F645" s="10"/>
      <x:c r="G645" s="10"/>
      <x:c r="H645" s="10"/>
    </x:row>
    <x:row r="646" ht="14.25" customHeight="1">
      <x:c r="A646" s="10"/>
      <x:c r="B646" s="10"/>
      <x:c r="C646" s="10"/>
      <x:c r="D646" s="10"/>
      <x:c r="E646" s="10"/>
      <x:c r="F646" s="10"/>
      <x:c r="G646" s="10"/>
      <x:c r="H646" s="10"/>
    </x:row>
    <x:row r="647" ht="14.25" customHeight="1">
      <x:c r="A647" s="10"/>
      <x:c r="B647" s="10"/>
      <x:c r="C647" s="10"/>
      <x:c r="D647" s="10"/>
      <x:c r="E647" s="10"/>
      <x:c r="F647" s="10"/>
      <x:c r="G647" s="10"/>
      <x:c r="H647" s="10"/>
    </x:row>
    <x:row r="648" ht="14.25" customHeight="1">
      <x:c r="A648" s="10"/>
      <x:c r="B648" s="10"/>
      <x:c r="C648" s="10"/>
      <x:c r="D648" s="10"/>
      <x:c r="E648" s="10"/>
      <x:c r="F648" s="10"/>
      <x:c r="G648" s="10"/>
      <x:c r="H648" s="10"/>
    </x:row>
    <x:row r="649" ht="14.25" customHeight="1">
      <x:c r="A649" s="10"/>
      <x:c r="B649" s="10"/>
      <x:c r="C649" s="10"/>
      <x:c r="D649" s="10"/>
      <x:c r="E649" s="10"/>
      <x:c r="F649" s="10"/>
      <x:c r="G649" s="10"/>
      <x:c r="H649" s="10"/>
    </x:row>
    <x:row r="650" ht="14.25" customHeight="1">
      <x:c r="A650" s="10"/>
      <x:c r="B650" s="10"/>
      <x:c r="C650" s="10"/>
      <x:c r="D650" s="10"/>
      <x:c r="E650" s="10"/>
      <x:c r="F650" s="10"/>
      <x:c r="G650" s="10"/>
      <x:c r="H650" s="10"/>
    </x:row>
    <x:row r="651" ht="14.25" customHeight="1">
      <x:c r="A651" s="10"/>
      <x:c r="B651" s="10"/>
      <x:c r="C651" s="10"/>
      <x:c r="D651" s="10"/>
      <x:c r="E651" s="10"/>
      <x:c r="F651" s="10"/>
      <x:c r="G651" s="10"/>
      <x:c r="H651" s="10"/>
    </x:row>
    <x:row r="652" ht="14.25" customHeight="1">
      <x:c r="A652" s="10"/>
      <x:c r="B652" s="10"/>
      <x:c r="C652" s="10"/>
      <x:c r="D652" s="10"/>
      <x:c r="E652" s="10"/>
      <x:c r="F652" s="10"/>
      <x:c r="G652" s="10"/>
      <x:c r="H652" s="10"/>
    </x:row>
    <x:row r="653" ht="14.25" customHeight="1">
      <x:c r="A653" s="10"/>
      <x:c r="B653" s="10"/>
      <x:c r="C653" s="10"/>
      <x:c r="D653" s="10"/>
      <x:c r="E653" s="10"/>
      <x:c r="F653" s="10"/>
      <x:c r="G653" s="10"/>
      <x:c r="H653" s="10"/>
    </x:row>
    <x:row r="654" ht="14.25" customHeight="1">
      <x:c r="A654" s="10"/>
      <x:c r="B654" s="10"/>
      <x:c r="C654" s="10"/>
      <x:c r="D654" s="10"/>
      <x:c r="E654" s="10"/>
      <x:c r="F654" s="10"/>
      <x:c r="G654" s="10"/>
      <x:c r="H654" s="10"/>
    </x:row>
    <x:row r="655" ht="14.25" customHeight="1">
      <x:c r="A655" s="10"/>
      <x:c r="B655" s="10"/>
      <x:c r="C655" s="10"/>
      <x:c r="D655" s="10"/>
      <x:c r="E655" s="10"/>
      <x:c r="F655" s="10"/>
      <x:c r="G655" s="10"/>
      <x:c r="H655" s="10"/>
    </x:row>
    <x:row r="656" ht="14.25" customHeight="1">
      <x:c r="A656" s="10"/>
      <x:c r="B656" s="10"/>
      <x:c r="C656" s="10"/>
      <x:c r="D656" s="10"/>
      <x:c r="E656" s="10"/>
      <x:c r="F656" s="10"/>
      <x:c r="G656" s="10"/>
      <x:c r="H656" s="10"/>
    </x:row>
    <x:row r="657" ht="14.25" customHeight="1">
      <x:c r="A657" s="10"/>
      <x:c r="B657" s="10"/>
      <x:c r="C657" s="10"/>
      <x:c r="D657" s="10"/>
      <x:c r="E657" s="10"/>
      <x:c r="F657" s="10"/>
      <x:c r="G657" s="10"/>
      <x:c r="H657" s="10"/>
    </x:row>
    <x:row r="658" ht="14.25" customHeight="1">
      <x:c r="A658" s="10"/>
      <x:c r="B658" s="10"/>
      <x:c r="C658" s="10"/>
      <x:c r="D658" s="10"/>
      <x:c r="E658" s="10"/>
      <x:c r="F658" s="10"/>
      <x:c r="G658" s="10"/>
      <x:c r="H658" s="10"/>
    </x:row>
    <x:row r="659" ht="14.25" customHeight="1">
      <x:c r="A659" s="10"/>
      <x:c r="B659" s="10"/>
      <x:c r="C659" s="10"/>
      <x:c r="D659" s="10"/>
      <x:c r="E659" s="10"/>
      <x:c r="F659" s="10"/>
      <x:c r="G659" s="10"/>
      <x:c r="H659" s="10"/>
    </x:row>
    <x:row r="660" ht="14.25" customHeight="1">
      <x:c r="A660" s="10"/>
      <x:c r="B660" s="10"/>
      <x:c r="C660" s="10"/>
      <x:c r="D660" s="10"/>
      <x:c r="E660" s="10"/>
      <x:c r="F660" s="10"/>
      <x:c r="G660" s="10"/>
      <x:c r="H660" s="10"/>
    </x:row>
    <x:row r="661" ht="14.25" customHeight="1">
      <x:c r="A661" s="10"/>
      <x:c r="B661" s="10"/>
      <x:c r="C661" s="10"/>
      <x:c r="D661" s="10"/>
      <x:c r="E661" s="10"/>
      <x:c r="F661" s="10"/>
      <x:c r="G661" s="10"/>
      <x:c r="H661" s="10"/>
    </x:row>
    <x:row r="662" ht="14.25" customHeight="1">
      <x:c r="A662" s="10"/>
      <x:c r="B662" s="10"/>
      <x:c r="C662" s="10"/>
      <x:c r="D662" s="10"/>
      <x:c r="E662" s="10"/>
      <x:c r="F662" s="10"/>
      <x:c r="G662" s="10"/>
      <x:c r="H662" s="10"/>
    </x:row>
    <x:row r="663" ht="14.25" customHeight="1">
      <x:c r="A663" s="10"/>
      <x:c r="B663" s="10"/>
      <x:c r="C663" s="10"/>
      <x:c r="D663" s="10"/>
      <x:c r="E663" s="10"/>
      <x:c r="F663" s="10"/>
      <x:c r="G663" s="10"/>
      <x:c r="H663" s="10"/>
    </x:row>
    <x:row r="664" ht="14.25" customHeight="1">
      <x:c r="A664" s="10"/>
      <x:c r="B664" s="10"/>
      <x:c r="C664" s="10"/>
      <x:c r="D664" s="10"/>
      <x:c r="E664" s="10"/>
      <x:c r="F664" s="10"/>
      <x:c r="G664" s="10"/>
      <x:c r="H664" s="10"/>
    </x:row>
    <x:row r="665" ht="14.25" customHeight="1">
      <x:c r="A665" s="10"/>
      <x:c r="B665" s="10"/>
      <x:c r="C665" s="10"/>
      <x:c r="D665" s="10"/>
      <x:c r="E665" s="10"/>
      <x:c r="F665" s="10"/>
      <x:c r="G665" s="10"/>
      <x:c r="H665" s="10"/>
    </x:row>
    <x:row r="666" ht="14.25" customHeight="1">
      <x:c r="A666" s="10"/>
      <x:c r="B666" s="10"/>
      <x:c r="C666" s="10"/>
      <x:c r="D666" s="10"/>
      <x:c r="E666" s="10"/>
      <x:c r="F666" s="10"/>
      <x:c r="G666" s="10"/>
      <x:c r="H666" s="10"/>
    </x:row>
    <x:row r="667" ht="14.25" customHeight="1">
      <x:c r="A667" s="10"/>
      <x:c r="B667" s="10"/>
      <x:c r="C667" s="10"/>
      <x:c r="D667" s="10"/>
      <x:c r="E667" s="10"/>
      <x:c r="F667" s="10"/>
      <x:c r="G667" s="10"/>
      <x:c r="H667" s="10"/>
    </x:row>
    <x:row r="668" ht="14.25" customHeight="1">
      <x:c r="A668" s="10"/>
      <x:c r="B668" s="10"/>
      <x:c r="C668" s="10"/>
      <x:c r="D668" s="10"/>
      <x:c r="E668" s="10"/>
      <x:c r="F668" s="10"/>
      <x:c r="G668" s="10"/>
      <x:c r="H668" s="10"/>
    </x:row>
    <x:row r="669" ht="14.25" customHeight="1">
      <x:c r="A669" s="10"/>
      <x:c r="B669" s="10"/>
      <x:c r="C669" s="10"/>
      <x:c r="D669" s="10"/>
      <x:c r="E669" s="10"/>
      <x:c r="F669" s="10"/>
      <x:c r="G669" s="10"/>
      <x:c r="H669" s="10"/>
    </x:row>
    <x:row r="670" ht="14.25" customHeight="1">
      <x:c r="A670" s="10"/>
      <x:c r="B670" s="10"/>
      <x:c r="C670" s="10"/>
      <x:c r="D670" s="10"/>
      <x:c r="E670" s="10"/>
      <x:c r="F670" s="10"/>
      <x:c r="G670" s="10"/>
      <x:c r="H670" s="10"/>
    </x:row>
    <x:row r="671" ht="14.25" customHeight="1">
      <x:c r="A671" s="10"/>
      <x:c r="B671" s="10"/>
      <x:c r="C671" s="10"/>
      <x:c r="D671" s="10"/>
      <x:c r="E671" s="10"/>
      <x:c r="F671" s="10"/>
      <x:c r="G671" s="10"/>
      <x:c r="H671" s="10"/>
    </x:row>
    <x:row r="672" ht="14.25" customHeight="1">
      <x:c r="A672" s="10"/>
      <x:c r="B672" s="10"/>
      <x:c r="C672" s="10"/>
      <x:c r="D672" s="10"/>
      <x:c r="E672" s="10"/>
      <x:c r="F672" s="10"/>
      <x:c r="G672" s="10"/>
      <x:c r="H672" s="10"/>
    </x:row>
    <x:row r="673" ht="14.25" customHeight="1">
      <x:c r="A673" s="10"/>
      <x:c r="B673" s="10"/>
      <x:c r="C673" s="10"/>
      <x:c r="D673" s="10"/>
      <x:c r="E673" s="10"/>
      <x:c r="F673" s="10"/>
      <x:c r="G673" s="10"/>
      <x:c r="H673" s="10"/>
    </x:row>
    <x:row r="674" ht="14.25" customHeight="1">
      <x:c r="A674" s="10"/>
      <x:c r="B674" s="10"/>
      <x:c r="C674" s="10"/>
      <x:c r="D674" s="10"/>
      <x:c r="E674" s="10"/>
      <x:c r="F674" s="10"/>
      <x:c r="G674" s="10"/>
      <x:c r="H674" s="10"/>
    </x:row>
    <x:row r="675" ht="14.25" customHeight="1">
      <x:c r="A675" s="10"/>
      <x:c r="B675" s="10"/>
      <x:c r="C675" s="10"/>
      <x:c r="D675" s="10"/>
      <x:c r="E675" s="10"/>
      <x:c r="F675" s="10"/>
      <x:c r="G675" s="10"/>
      <x:c r="H675" s="10"/>
    </x:row>
    <x:row r="676" ht="14.25" customHeight="1">
      <x:c r="A676" s="10"/>
      <x:c r="B676" s="10"/>
      <x:c r="C676" s="10"/>
      <x:c r="D676" s="10"/>
      <x:c r="E676" s="10"/>
      <x:c r="F676" s="10"/>
      <x:c r="G676" s="10"/>
      <x:c r="H676" s="10"/>
    </x:row>
    <x:row r="677" ht="14.25" customHeight="1">
      <x:c r="A677" s="10"/>
      <x:c r="B677" s="10"/>
      <x:c r="C677" s="10"/>
      <x:c r="D677" s="10"/>
      <x:c r="E677" s="10"/>
      <x:c r="F677" s="10"/>
      <x:c r="G677" s="10"/>
      <x:c r="H677" s="10"/>
    </x:row>
    <x:row r="678" ht="14.25" customHeight="1">
      <x:c r="A678" s="10"/>
      <x:c r="B678" s="10"/>
      <x:c r="C678" s="10"/>
      <x:c r="D678" s="10"/>
      <x:c r="E678" s="10"/>
      <x:c r="F678" s="10"/>
      <x:c r="G678" s="10"/>
      <x:c r="H678" s="10"/>
    </x:row>
    <x:row r="679" ht="14.25" customHeight="1">
      <x:c r="A679" s="10"/>
      <x:c r="B679" s="10"/>
      <x:c r="C679" s="10"/>
      <x:c r="D679" s="10"/>
      <x:c r="E679" s="10"/>
      <x:c r="F679" s="10"/>
      <x:c r="G679" s="10"/>
      <x:c r="H679" s="10"/>
    </x:row>
    <x:row r="680" ht="14.25" customHeight="1">
      <x:c r="A680" s="10"/>
      <x:c r="B680" s="10"/>
      <x:c r="C680" s="10"/>
      <x:c r="D680" s="10"/>
      <x:c r="E680" s="10"/>
      <x:c r="F680" s="10"/>
      <x:c r="G680" s="10"/>
      <x:c r="H680" s="10"/>
    </x:row>
    <x:row r="681" ht="14.25" customHeight="1">
      <x:c r="A681" s="10"/>
      <x:c r="B681" s="10"/>
      <x:c r="C681" s="10"/>
      <x:c r="D681" s="10"/>
      <x:c r="E681" s="10"/>
      <x:c r="F681" s="10"/>
      <x:c r="G681" s="10"/>
      <x:c r="H681" s="10"/>
    </x:row>
    <x:row r="682" ht="14.25" customHeight="1">
      <x:c r="A682" s="10"/>
      <x:c r="B682" s="10"/>
      <x:c r="C682" s="10"/>
      <x:c r="D682" s="10"/>
      <x:c r="E682" s="10"/>
      <x:c r="F682" s="10"/>
      <x:c r="G682" s="10"/>
      <x:c r="H682" s="10"/>
    </x:row>
    <x:row r="683" ht="14.25" customHeight="1">
      <x:c r="A683" s="10"/>
      <x:c r="B683" s="10"/>
      <x:c r="C683" s="10"/>
      <x:c r="D683" s="10"/>
      <x:c r="E683" s="10"/>
      <x:c r="F683" s="10"/>
      <x:c r="G683" s="10"/>
      <x:c r="H683" s="10"/>
    </x:row>
    <x:row r="684" ht="14.25" customHeight="1">
      <x:c r="A684" s="10"/>
      <x:c r="B684" s="10"/>
      <x:c r="C684" s="10"/>
      <x:c r="D684" s="10"/>
      <x:c r="E684" s="10"/>
      <x:c r="F684" s="10"/>
      <x:c r="G684" s="10"/>
      <x:c r="H684" s="10"/>
    </x:row>
    <x:row r="685" ht="14.25" customHeight="1">
      <x:c r="A685" s="10"/>
      <x:c r="B685" s="10"/>
      <x:c r="C685" s="10"/>
      <x:c r="D685" s="10"/>
      <x:c r="E685" s="10"/>
      <x:c r="F685" s="10"/>
      <x:c r="G685" s="10"/>
      <x:c r="H685" s="10"/>
    </x:row>
    <x:row r="686" ht="14.25" customHeight="1">
      <x:c r="A686" s="10"/>
      <x:c r="B686" s="10"/>
      <x:c r="C686" s="10"/>
      <x:c r="D686" s="10"/>
      <x:c r="E686" s="10"/>
      <x:c r="F686" s="10"/>
      <x:c r="G686" s="10"/>
      <x:c r="H686" s="10"/>
    </x:row>
    <x:row r="687" ht="14.25" customHeight="1">
      <x:c r="A687" s="10"/>
      <x:c r="B687" s="10"/>
      <x:c r="C687" s="10"/>
      <x:c r="D687" s="10"/>
      <x:c r="E687" s="10"/>
      <x:c r="F687" s="10"/>
      <x:c r="G687" s="10"/>
      <x:c r="H687" s="10"/>
    </x:row>
    <x:row r="688" ht="14.25" customHeight="1">
      <x:c r="A688" s="10"/>
      <x:c r="B688" s="10"/>
      <x:c r="C688" s="10"/>
      <x:c r="D688" s="10"/>
      <x:c r="E688" s="10"/>
      <x:c r="F688" s="10"/>
      <x:c r="G688" s="10"/>
      <x:c r="H688" s="10"/>
    </x:row>
    <x:row r="689" ht="14.25" customHeight="1">
      <x:c r="A689" s="10"/>
      <x:c r="B689" s="10"/>
      <x:c r="C689" s="10"/>
      <x:c r="D689" s="10"/>
      <x:c r="E689" s="10"/>
      <x:c r="F689" s="10"/>
      <x:c r="G689" s="10"/>
      <x:c r="H689" s="10"/>
    </x:row>
    <x:row r="690" ht="14.25" customHeight="1">
      <x:c r="A690" s="10"/>
      <x:c r="B690" s="10"/>
      <x:c r="C690" s="10"/>
      <x:c r="D690" s="10"/>
      <x:c r="E690" s="10"/>
      <x:c r="F690" s="10"/>
      <x:c r="G690" s="10"/>
      <x:c r="H690" s="10"/>
    </x:row>
    <x:row r="691" ht="14.25" customHeight="1">
      <x:c r="A691" s="10"/>
      <x:c r="B691" s="10"/>
      <x:c r="C691" s="10"/>
      <x:c r="D691" s="10"/>
      <x:c r="E691" s="10"/>
      <x:c r="F691" s="10"/>
      <x:c r="G691" s="10"/>
      <x:c r="H691" s="10"/>
    </x:row>
    <x:row r="692" ht="14.25" customHeight="1">
      <x:c r="A692" s="10"/>
      <x:c r="B692" s="10"/>
      <x:c r="C692" s="10"/>
      <x:c r="D692" s="10"/>
      <x:c r="E692" s="10"/>
      <x:c r="F692" s="10"/>
      <x:c r="G692" s="10"/>
      <x:c r="H692" s="10"/>
    </x:row>
    <x:row r="693" ht="14.25" customHeight="1">
      <x:c r="A693" s="10"/>
      <x:c r="B693" s="10"/>
      <x:c r="C693" s="10"/>
      <x:c r="D693" s="10"/>
      <x:c r="E693" s="10"/>
      <x:c r="F693" s="10"/>
      <x:c r="G693" s="10"/>
      <x:c r="H693" s="10"/>
    </x:row>
    <x:row r="694" ht="14.25" customHeight="1">
      <x:c r="A694" s="10"/>
      <x:c r="B694" s="10"/>
      <x:c r="C694" s="10"/>
      <x:c r="D694" s="10"/>
      <x:c r="E694" s="10"/>
      <x:c r="F694" s="10"/>
      <x:c r="G694" s="10"/>
      <x:c r="H694" s="10"/>
    </x:row>
    <x:row r="695" ht="14.25" customHeight="1">
      <x:c r="A695" s="10"/>
      <x:c r="B695" s="10"/>
      <x:c r="C695" s="10"/>
      <x:c r="D695" s="10"/>
      <x:c r="E695" s="10"/>
      <x:c r="F695" s="10"/>
      <x:c r="G695" s="10"/>
      <x:c r="H695" s="10"/>
    </x:row>
    <x:row r="696" ht="14.25" customHeight="1">
      <x:c r="A696" s="10"/>
      <x:c r="B696" s="10"/>
      <x:c r="C696" s="10"/>
      <x:c r="D696" s="10"/>
      <x:c r="E696" s="10"/>
      <x:c r="F696" s="10"/>
      <x:c r="G696" s="10"/>
      <x:c r="H696" s="10"/>
    </x:row>
    <x:row r="697" ht="14.25" customHeight="1">
      <x:c r="A697" s="10"/>
      <x:c r="B697" s="10"/>
      <x:c r="C697" s="10"/>
      <x:c r="D697" s="10"/>
      <x:c r="E697" s="10"/>
      <x:c r="F697" s="10"/>
      <x:c r="G697" s="10"/>
      <x:c r="H697" s="10"/>
    </x:row>
    <x:row r="698" ht="14.25" customHeight="1">
      <x:c r="A698" s="10"/>
      <x:c r="B698" s="10"/>
      <x:c r="C698" s="10"/>
      <x:c r="D698" s="10"/>
      <x:c r="E698" s="10"/>
      <x:c r="F698" s="10"/>
      <x:c r="G698" s="10"/>
      <x:c r="H698" s="10"/>
    </x:row>
    <x:row r="699" ht="14.25" customHeight="1">
      <x:c r="A699" s="10"/>
      <x:c r="B699" s="10"/>
      <x:c r="C699" s="10"/>
      <x:c r="D699" s="10"/>
      <x:c r="E699" s="10"/>
      <x:c r="F699" s="10"/>
      <x:c r="G699" s="10"/>
      <x:c r="H699" s="10"/>
    </x:row>
    <x:row r="700" ht="14.25" customHeight="1">
      <x:c r="A700" s="10"/>
      <x:c r="B700" s="10"/>
      <x:c r="C700" s="10"/>
      <x:c r="D700" s="10"/>
      <x:c r="E700" s="10"/>
      <x:c r="F700" s="10"/>
      <x:c r="G700" s="10"/>
      <x:c r="H700" s="10"/>
    </x:row>
    <x:row r="701" ht="14.25" customHeight="1">
      <x:c r="A701" s="10"/>
      <x:c r="B701" s="10"/>
      <x:c r="C701" s="10"/>
      <x:c r="D701" s="10"/>
      <x:c r="E701" s="10"/>
      <x:c r="F701" s="10"/>
      <x:c r="G701" s="10"/>
      <x:c r="H701" s="10"/>
    </x:row>
    <x:row r="702" ht="14.25" customHeight="1">
      <x:c r="A702" s="10"/>
      <x:c r="B702" s="10"/>
      <x:c r="C702" s="10"/>
      <x:c r="D702" s="10"/>
      <x:c r="E702" s="10"/>
      <x:c r="F702" s="10"/>
      <x:c r="G702" s="10"/>
      <x:c r="H702" s="10"/>
    </x:row>
    <x:row r="703" ht="14.25" customHeight="1">
      <x:c r="A703" s="10"/>
      <x:c r="B703" s="10"/>
      <x:c r="C703" s="10"/>
      <x:c r="D703" s="10"/>
      <x:c r="E703" s="10"/>
      <x:c r="F703" s="10"/>
      <x:c r="G703" s="10"/>
      <x:c r="H703" s="10"/>
    </x:row>
    <x:row r="704" ht="14.25" customHeight="1">
      <x:c r="A704" s="10"/>
      <x:c r="B704" s="10"/>
      <x:c r="C704" s="10"/>
      <x:c r="D704" s="10"/>
      <x:c r="E704" s="10"/>
      <x:c r="F704" s="10"/>
      <x:c r="G704" s="10"/>
      <x:c r="H704" s="10"/>
    </x:row>
    <x:row r="705" ht="14.25" customHeight="1">
      <x:c r="A705" s="10"/>
      <x:c r="B705" s="10"/>
      <x:c r="C705" s="10"/>
      <x:c r="D705" s="10"/>
      <x:c r="E705" s="10"/>
      <x:c r="F705" s="10"/>
      <x:c r="G705" s="10"/>
      <x:c r="H705" s="10"/>
    </x:row>
    <x:row r="706" ht="14.25" customHeight="1">
      <x:c r="A706" s="10"/>
      <x:c r="B706" s="10"/>
      <x:c r="C706" s="10"/>
      <x:c r="D706" s="10"/>
      <x:c r="E706" s="10"/>
      <x:c r="F706" s="10"/>
      <x:c r="G706" s="10"/>
      <x:c r="H706" s="10"/>
    </x:row>
    <x:row r="707" ht="14.25" customHeight="1">
      <x:c r="A707" s="10"/>
      <x:c r="B707" s="10"/>
      <x:c r="C707" s="10"/>
      <x:c r="D707" s="10"/>
      <x:c r="E707" s="10"/>
      <x:c r="F707" s="10"/>
      <x:c r="G707" s="10"/>
      <x:c r="H707" s="10"/>
    </x:row>
    <x:row r="708" ht="14.25" customHeight="1">
      <x:c r="A708" s="10"/>
      <x:c r="B708" s="10"/>
      <x:c r="C708" s="10"/>
      <x:c r="D708" s="10"/>
      <x:c r="E708" s="10"/>
      <x:c r="F708" s="10"/>
      <x:c r="G708" s="10"/>
      <x:c r="H708" s="10"/>
    </x:row>
    <x:row r="709" ht="14.25" customHeight="1">
      <x:c r="A709" s="10"/>
      <x:c r="B709" s="10"/>
      <x:c r="C709" s="10"/>
      <x:c r="D709" s="10"/>
      <x:c r="E709" s="10"/>
      <x:c r="F709" s="10"/>
      <x:c r="G709" s="10"/>
      <x:c r="H709" s="10"/>
    </x:row>
    <x:row r="710" ht="14.25" customHeight="1">
      <x:c r="A710" s="10"/>
      <x:c r="B710" s="10"/>
      <x:c r="C710" s="10"/>
      <x:c r="D710" s="10"/>
      <x:c r="E710" s="10"/>
      <x:c r="F710" s="10"/>
      <x:c r="G710" s="10"/>
      <x:c r="H710" s="10"/>
    </x:row>
    <x:row r="711" ht="14.25" customHeight="1">
      <x:c r="A711" s="10"/>
      <x:c r="B711" s="10"/>
      <x:c r="C711" s="10"/>
      <x:c r="D711" s="10"/>
      <x:c r="E711" s="10"/>
      <x:c r="F711" s="10"/>
      <x:c r="G711" s="10"/>
      <x:c r="H711" s="10"/>
    </x:row>
    <x:row r="712" ht="14.25" customHeight="1">
      <x:c r="A712" s="10"/>
      <x:c r="B712" s="10"/>
      <x:c r="C712" s="10"/>
      <x:c r="D712" s="10"/>
      <x:c r="E712" s="10"/>
      <x:c r="F712" s="10"/>
      <x:c r="G712" s="10"/>
      <x:c r="H712" s="10"/>
    </x:row>
    <x:row r="713" ht="14.25" customHeight="1">
      <x:c r="A713" s="10"/>
      <x:c r="B713" s="10"/>
      <x:c r="C713" s="10"/>
      <x:c r="D713" s="10"/>
      <x:c r="E713" s="10"/>
      <x:c r="F713" s="10"/>
      <x:c r="G713" s="10"/>
      <x:c r="H713" s="10"/>
    </x:row>
    <x:row r="714" ht="14.25" customHeight="1">
      <x:c r="A714" s="10"/>
      <x:c r="B714" s="10"/>
      <x:c r="C714" s="10"/>
      <x:c r="D714" s="10"/>
      <x:c r="E714" s="10"/>
      <x:c r="F714" s="10"/>
      <x:c r="G714" s="10"/>
      <x:c r="H714" s="10"/>
    </x:row>
    <x:row r="715" ht="14.25" customHeight="1">
      <x:c r="A715" s="10"/>
      <x:c r="B715" s="10"/>
      <x:c r="C715" s="10"/>
      <x:c r="D715" s="10"/>
      <x:c r="E715" s="10"/>
      <x:c r="F715" s="10"/>
      <x:c r="G715" s="10"/>
      <x:c r="H715" s="10"/>
    </x:row>
    <x:row r="716" ht="14.25" customHeight="1">
      <x:c r="A716" s="10"/>
      <x:c r="B716" s="10"/>
      <x:c r="C716" s="10"/>
      <x:c r="D716" s="10"/>
      <x:c r="E716" s="10"/>
      <x:c r="F716" s="10"/>
      <x:c r="G716" s="10"/>
      <x:c r="H716" s="10"/>
    </x:row>
    <x:row r="717" ht="14.25" customHeight="1">
      <x:c r="A717" s="10"/>
      <x:c r="B717" s="10"/>
      <x:c r="C717" s="10"/>
      <x:c r="D717" s="10"/>
      <x:c r="E717" s="10"/>
      <x:c r="F717" s="10"/>
      <x:c r="G717" s="10"/>
      <x:c r="H717" s="10"/>
    </x:row>
    <x:row r="718" ht="14.25" customHeight="1">
      <x:c r="A718" s="10"/>
      <x:c r="B718" s="10"/>
      <x:c r="C718" s="10"/>
      <x:c r="D718" s="10"/>
      <x:c r="E718" s="10"/>
      <x:c r="F718" s="10"/>
      <x:c r="G718" s="10"/>
      <x:c r="H718" s="10"/>
    </x:row>
    <x:row r="719" ht="14.25" customHeight="1">
      <x:c r="A719" s="10"/>
      <x:c r="B719" s="10"/>
      <x:c r="C719" s="10"/>
      <x:c r="D719" s="10"/>
      <x:c r="E719" s="10"/>
      <x:c r="F719" s="10"/>
      <x:c r="G719" s="10"/>
      <x:c r="H719" s="10"/>
    </x:row>
    <x:row r="720" ht="14.25" customHeight="1">
      <x:c r="A720" s="10"/>
      <x:c r="B720" s="10"/>
      <x:c r="C720" s="10"/>
      <x:c r="D720" s="10"/>
      <x:c r="E720" s="10"/>
      <x:c r="F720" s="10"/>
      <x:c r="G720" s="10"/>
      <x:c r="H720" s="10"/>
    </x:row>
    <x:row r="721" ht="14.25" customHeight="1">
      <x:c r="A721" s="10"/>
      <x:c r="B721" s="10"/>
      <x:c r="C721" s="10"/>
      <x:c r="D721" s="10"/>
      <x:c r="E721" s="10"/>
      <x:c r="F721" s="10"/>
      <x:c r="G721" s="10"/>
      <x:c r="H721" s="10"/>
    </x:row>
    <x:row r="722" ht="14.25" customHeight="1">
      <x:c r="A722" s="10"/>
      <x:c r="B722" s="10"/>
      <x:c r="C722" s="10"/>
      <x:c r="D722" s="10"/>
      <x:c r="E722" s="10"/>
      <x:c r="F722" s="10"/>
      <x:c r="G722" s="10"/>
      <x:c r="H722" s="10"/>
    </x:row>
    <x:row r="723" ht="14.25" customHeight="1">
      <x:c r="A723" s="10"/>
      <x:c r="B723" s="10"/>
      <x:c r="C723" s="10"/>
      <x:c r="D723" s="10"/>
      <x:c r="E723" s="10"/>
      <x:c r="F723" s="10"/>
      <x:c r="G723" s="10"/>
      <x:c r="H723" s="10"/>
    </x:row>
    <x:row r="724" ht="14.25" customHeight="1">
      <x:c r="A724" s="10"/>
      <x:c r="B724" s="10"/>
      <x:c r="C724" s="10"/>
      <x:c r="D724" s="10"/>
      <x:c r="E724" s="10"/>
      <x:c r="F724" s="10"/>
      <x:c r="G724" s="10"/>
      <x:c r="H724" s="10"/>
    </x:row>
    <x:row r="725" ht="14.25" customHeight="1">
      <x:c r="A725" s="10"/>
      <x:c r="B725" s="10"/>
      <x:c r="C725" s="10"/>
      <x:c r="D725" s="10"/>
      <x:c r="E725" s="10"/>
      <x:c r="F725" s="10"/>
      <x:c r="G725" s="10"/>
      <x:c r="H725" s="10"/>
    </x:row>
    <x:row r="726" ht="14.25" customHeight="1">
      <x:c r="A726" s="10"/>
      <x:c r="B726" s="10"/>
      <x:c r="C726" s="10"/>
      <x:c r="D726" s="10"/>
      <x:c r="E726" s="10"/>
      <x:c r="F726" s="10"/>
      <x:c r="G726" s="10"/>
      <x:c r="H726" s="10"/>
    </x:row>
    <x:row r="727" ht="14.25" customHeight="1">
      <x:c r="A727" s="10"/>
      <x:c r="B727" s="10"/>
      <x:c r="C727" s="10"/>
      <x:c r="D727" s="10"/>
      <x:c r="E727" s="10"/>
      <x:c r="F727" s="10"/>
      <x:c r="G727" s="10"/>
      <x:c r="H727" s="10"/>
    </x:row>
    <x:row r="728" ht="14.25" customHeight="1">
      <x:c r="A728" s="10"/>
      <x:c r="B728" s="10"/>
      <x:c r="C728" s="10"/>
      <x:c r="D728" s="10"/>
      <x:c r="E728" s="10"/>
      <x:c r="F728" s="10"/>
      <x:c r="G728" s="10"/>
      <x:c r="H728" s="10"/>
    </x:row>
    <x:row r="729" ht="14.25" customHeight="1">
      <x:c r="A729" s="10"/>
      <x:c r="B729" s="10"/>
      <x:c r="C729" s="10"/>
      <x:c r="D729" s="10"/>
      <x:c r="E729" s="10"/>
      <x:c r="F729" s="10"/>
      <x:c r="G729" s="10"/>
      <x:c r="H729" s="10"/>
    </x:row>
    <x:row r="730" ht="14.25" customHeight="1">
      <x:c r="A730" s="10"/>
      <x:c r="B730" s="10"/>
      <x:c r="C730" s="10"/>
      <x:c r="D730" s="10"/>
      <x:c r="E730" s="10"/>
      <x:c r="F730" s="10"/>
      <x:c r="G730" s="10"/>
      <x:c r="H730" s="10"/>
    </x:row>
    <x:row r="731" ht="14.25" customHeight="1">
      <x:c r="A731" s="10"/>
      <x:c r="B731" s="10"/>
      <x:c r="C731" s="10"/>
      <x:c r="D731" s="10"/>
      <x:c r="E731" s="10"/>
      <x:c r="F731" s="10"/>
      <x:c r="G731" s="10"/>
      <x:c r="H731" s="10"/>
    </x:row>
    <x:row r="732" ht="14.25" customHeight="1">
      <x:c r="A732" s="10"/>
      <x:c r="B732" s="10"/>
      <x:c r="C732" s="10"/>
      <x:c r="D732" s="10"/>
      <x:c r="E732" s="10"/>
      <x:c r="F732" s="10"/>
      <x:c r="G732" s="10"/>
      <x:c r="H732" s="10"/>
    </x:row>
    <x:row r="733" ht="14.25" customHeight="1">
      <x:c r="A733" s="10"/>
      <x:c r="B733" s="10"/>
      <x:c r="C733" s="10"/>
      <x:c r="D733" s="10"/>
      <x:c r="E733" s="10"/>
      <x:c r="F733" s="10"/>
      <x:c r="G733" s="10"/>
      <x:c r="H733" s="10"/>
    </x:row>
    <x:row r="734" ht="14.25" customHeight="1">
      <x:c r="A734" s="10"/>
      <x:c r="B734" s="10"/>
      <x:c r="C734" s="10"/>
      <x:c r="D734" s="10"/>
      <x:c r="E734" s="10"/>
      <x:c r="F734" s="10"/>
      <x:c r="G734" s="10"/>
      <x:c r="H734" s="10"/>
    </x:row>
    <x:row r="735" ht="14.25" customHeight="1">
      <x:c r="A735" s="10"/>
      <x:c r="B735" s="10"/>
      <x:c r="C735" s="10"/>
      <x:c r="D735" s="10"/>
      <x:c r="E735" s="10"/>
      <x:c r="F735" s="10"/>
      <x:c r="G735" s="10"/>
      <x:c r="H735" s="10"/>
    </x:row>
    <x:row r="736" ht="14.25" customHeight="1">
      <x:c r="A736" s="10"/>
      <x:c r="B736" s="10"/>
      <x:c r="C736" s="10"/>
      <x:c r="D736" s="10"/>
      <x:c r="E736" s="10"/>
      <x:c r="F736" s="10"/>
      <x:c r="G736" s="10"/>
      <x:c r="H736" s="10"/>
    </x:row>
    <x:row r="737" ht="14.25" customHeight="1">
      <x:c r="A737" s="10"/>
      <x:c r="B737" s="10"/>
      <x:c r="C737" s="10"/>
      <x:c r="D737" s="10"/>
      <x:c r="E737" s="10"/>
      <x:c r="F737" s="10"/>
      <x:c r="G737" s="10"/>
      <x:c r="H737" s="10"/>
    </x:row>
    <x:row r="738" ht="14.25" customHeight="1">
      <x:c r="A738" s="10"/>
      <x:c r="B738" s="10"/>
      <x:c r="C738" s="10"/>
      <x:c r="D738" s="10"/>
      <x:c r="E738" s="10"/>
      <x:c r="F738" s="10"/>
      <x:c r="G738" s="10"/>
      <x:c r="H738" s="10"/>
    </x:row>
    <x:row r="739" ht="14.25" customHeight="1">
      <x:c r="A739" s="10"/>
      <x:c r="B739" s="10"/>
      <x:c r="C739" s="10"/>
      <x:c r="D739" s="10"/>
      <x:c r="E739" s="10"/>
      <x:c r="F739" s="10"/>
      <x:c r="G739" s="10"/>
      <x:c r="H739" s="10"/>
    </x:row>
    <x:row r="740" ht="14.25" customHeight="1">
      <x:c r="A740" s="10"/>
      <x:c r="B740" s="10"/>
      <x:c r="C740" s="10"/>
      <x:c r="D740" s="10"/>
      <x:c r="E740" s="10"/>
      <x:c r="F740" s="10"/>
      <x:c r="G740" s="10"/>
      <x:c r="H740" s="10"/>
    </x:row>
    <x:row r="741" ht="14.25" customHeight="1">
      <x:c r="A741" s="10"/>
      <x:c r="B741" s="10"/>
      <x:c r="C741" s="10"/>
      <x:c r="D741" s="10"/>
      <x:c r="E741" s="10"/>
      <x:c r="F741" s="10"/>
      <x:c r="G741" s="10"/>
      <x:c r="H741" s="10"/>
    </x:row>
    <x:row r="742" ht="14.25" customHeight="1">
      <x:c r="A742" s="10"/>
      <x:c r="B742" s="10"/>
      <x:c r="C742" s="10"/>
      <x:c r="D742" s="10"/>
      <x:c r="E742" s="10"/>
      <x:c r="F742" s="10"/>
      <x:c r="G742" s="10"/>
      <x:c r="H742" s="10"/>
    </x:row>
    <x:row r="743" ht="14.25" customHeight="1">
      <x:c r="A743" s="10"/>
      <x:c r="B743" s="10"/>
      <x:c r="C743" s="10"/>
      <x:c r="D743" s="10"/>
      <x:c r="E743" s="10"/>
      <x:c r="F743" s="10"/>
      <x:c r="G743" s="10"/>
      <x:c r="H743" s="10"/>
    </x:row>
    <x:row r="744" ht="14.25" customHeight="1">
      <x:c r="A744" s="10"/>
      <x:c r="B744" s="10"/>
      <x:c r="C744" s="10"/>
      <x:c r="D744" s="10"/>
      <x:c r="E744" s="10"/>
      <x:c r="F744" s="10"/>
      <x:c r="G744" s="10"/>
      <x:c r="H744" s="10"/>
    </x:row>
    <x:row r="745" ht="14.25" customHeight="1">
      <x:c r="A745" s="10"/>
      <x:c r="B745" s="10"/>
      <x:c r="C745" s="10"/>
      <x:c r="D745" s="10"/>
      <x:c r="E745" s="10"/>
      <x:c r="F745" s="10"/>
      <x:c r="G745" s="10"/>
      <x:c r="H745" s="10"/>
    </x:row>
    <x:row r="746" ht="14.25" customHeight="1">
      <x:c r="A746" s="10"/>
      <x:c r="B746" s="10"/>
      <x:c r="C746" s="10"/>
      <x:c r="D746" s="10"/>
      <x:c r="E746" s="10"/>
      <x:c r="F746" s="10"/>
      <x:c r="G746" s="10"/>
      <x:c r="H746" s="10"/>
    </x:row>
    <x:row r="747" ht="14.25" customHeight="1">
      <x:c r="A747" s="10"/>
      <x:c r="B747" s="10"/>
      <x:c r="C747" s="10"/>
      <x:c r="D747" s="10"/>
      <x:c r="E747" s="10"/>
      <x:c r="F747" s="10"/>
      <x:c r="G747" s="10"/>
      <x:c r="H747" s="10"/>
    </x:row>
    <x:row r="748" ht="14.25" customHeight="1">
      <x:c r="A748" s="10"/>
      <x:c r="B748" s="10"/>
      <x:c r="C748" s="10"/>
      <x:c r="D748" s="10"/>
      <x:c r="E748" s="10"/>
      <x:c r="F748" s="10"/>
      <x:c r="G748" s="10"/>
      <x:c r="H748" s="10"/>
    </x:row>
    <x:row r="749" ht="14.25" customHeight="1">
      <x:c r="A749" s="10"/>
      <x:c r="B749" s="10"/>
      <x:c r="C749" s="10"/>
      <x:c r="D749" s="10"/>
      <x:c r="E749" s="10"/>
      <x:c r="F749" s="10"/>
      <x:c r="G749" s="10"/>
      <x:c r="H749" s="10"/>
    </x:row>
    <x:row r="750" ht="14.25" customHeight="1">
      <x:c r="A750" s="10"/>
      <x:c r="B750" s="10"/>
      <x:c r="C750" s="10"/>
      <x:c r="D750" s="10"/>
      <x:c r="E750" s="10"/>
      <x:c r="F750" s="10"/>
      <x:c r="G750" s="10"/>
      <x:c r="H750" s="10"/>
    </x:row>
    <x:row r="751" ht="14.25" customHeight="1">
      <x:c r="A751" s="10"/>
      <x:c r="B751" s="10"/>
      <x:c r="C751" s="10"/>
      <x:c r="D751" s="10"/>
      <x:c r="E751" s="10"/>
      <x:c r="F751" s="10"/>
      <x:c r="G751" s="10"/>
      <x:c r="H751" s="10"/>
    </x:row>
    <x:row r="752" ht="14.25" customHeight="1">
      <x:c r="A752" s="10"/>
      <x:c r="B752" s="10"/>
      <x:c r="C752" s="10"/>
      <x:c r="D752" s="10"/>
      <x:c r="E752" s="10"/>
      <x:c r="F752" s="10"/>
      <x:c r="G752" s="10"/>
      <x:c r="H752" s="10"/>
    </x:row>
    <x:row r="753" ht="14.25" customHeight="1">
      <x:c r="A753" s="10"/>
      <x:c r="B753" s="10"/>
      <x:c r="C753" s="10"/>
      <x:c r="D753" s="10"/>
      <x:c r="E753" s="10"/>
      <x:c r="F753" s="10"/>
      <x:c r="G753" s="10"/>
      <x:c r="H753" s="10"/>
    </x:row>
    <x:row r="754" ht="14.25" customHeight="1">
      <x:c r="A754" s="10"/>
      <x:c r="B754" s="10"/>
      <x:c r="C754" s="10"/>
      <x:c r="D754" s="10"/>
      <x:c r="E754" s="10"/>
      <x:c r="F754" s="10"/>
      <x:c r="G754" s="10"/>
      <x:c r="H754" s="10"/>
    </x:row>
    <x:row r="755" ht="14.25" customHeight="1">
      <x:c r="A755" s="10"/>
      <x:c r="B755" s="10"/>
      <x:c r="C755" s="10"/>
      <x:c r="D755" s="10"/>
      <x:c r="E755" s="10"/>
      <x:c r="F755" s="10"/>
      <x:c r="G755" s="10"/>
      <x:c r="H755" s="10"/>
    </x:row>
    <x:row r="756" ht="14.25" customHeight="1">
      <x:c r="A756" s="10"/>
      <x:c r="B756" s="10"/>
      <x:c r="C756" s="10"/>
      <x:c r="D756" s="10"/>
      <x:c r="E756" s="10"/>
      <x:c r="F756" s="10"/>
      <x:c r="G756" s="10"/>
      <x:c r="H756" s="10"/>
    </x:row>
    <x:row r="757" ht="14.25" customHeight="1">
      <x:c r="A757" s="10"/>
      <x:c r="B757" s="10"/>
      <x:c r="C757" s="10"/>
      <x:c r="D757" s="10"/>
      <x:c r="E757" s="10"/>
      <x:c r="F757" s="10"/>
      <x:c r="G757" s="10"/>
      <x:c r="H757" s="10"/>
    </x:row>
    <x:row r="758" ht="14.25" customHeight="1">
      <x:c r="A758" s="10"/>
      <x:c r="B758" s="10"/>
      <x:c r="C758" s="10"/>
      <x:c r="D758" s="10"/>
      <x:c r="E758" s="10"/>
      <x:c r="F758" s="10"/>
      <x:c r="G758" s="10"/>
      <x:c r="H758" s="10"/>
    </x:row>
    <x:row r="759" ht="14.25" customHeight="1">
      <x:c r="A759" s="10"/>
      <x:c r="B759" s="10"/>
      <x:c r="C759" s="10"/>
      <x:c r="D759" s="10"/>
      <x:c r="E759" s="10"/>
      <x:c r="F759" s="10"/>
      <x:c r="G759" s="10"/>
      <x:c r="H759" s="10"/>
    </x:row>
    <x:row r="760" ht="14.25" customHeight="1">
      <x:c r="A760" s="10"/>
      <x:c r="B760" s="10"/>
      <x:c r="C760" s="10"/>
      <x:c r="D760" s="10"/>
      <x:c r="E760" s="10"/>
      <x:c r="F760" s="10"/>
      <x:c r="G760" s="10"/>
      <x:c r="H760" s="10"/>
    </x:row>
    <x:row r="761" ht="14.25" customHeight="1">
      <x:c r="A761" s="10"/>
      <x:c r="B761" s="10"/>
      <x:c r="C761" s="10"/>
      <x:c r="D761" s="10"/>
      <x:c r="E761" s="10"/>
      <x:c r="F761" s="10"/>
      <x:c r="G761" s="10"/>
      <x:c r="H761" s="10"/>
    </x:row>
    <x:row r="762" ht="14.25" customHeight="1">
      <x:c r="A762" s="10"/>
      <x:c r="B762" s="10"/>
      <x:c r="C762" s="10"/>
      <x:c r="D762" s="10"/>
      <x:c r="E762" s="10"/>
      <x:c r="F762" s="10"/>
      <x:c r="G762" s="10"/>
      <x:c r="H762" s="10"/>
    </x:row>
    <x:row r="763" ht="14.25" customHeight="1">
      <x:c r="A763" s="10"/>
      <x:c r="B763" s="10"/>
      <x:c r="C763" s="10"/>
      <x:c r="D763" s="10"/>
      <x:c r="E763" s="10"/>
      <x:c r="F763" s="10"/>
      <x:c r="G763" s="10"/>
      <x:c r="H763" s="10"/>
    </x:row>
    <x:row r="764" ht="14.25" customHeight="1">
      <x:c r="A764" s="10"/>
      <x:c r="B764" s="10"/>
      <x:c r="C764" s="10"/>
      <x:c r="D764" s="10"/>
      <x:c r="E764" s="10"/>
      <x:c r="F764" s="10"/>
      <x:c r="G764" s="10"/>
      <x:c r="H764" s="10"/>
    </x:row>
    <x:row r="765" ht="14.25" customHeight="1">
      <x:c r="A765" s="10"/>
      <x:c r="B765" s="10"/>
      <x:c r="C765" s="10"/>
      <x:c r="D765" s="10"/>
      <x:c r="E765" s="10"/>
      <x:c r="F765" s="10"/>
      <x:c r="G765" s="10"/>
      <x:c r="H765" s="10"/>
    </x:row>
    <x:row r="766" ht="14.25" customHeight="1">
      <x:c r="A766" s="10"/>
      <x:c r="B766" s="10"/>
      <x:c r="C766" s="10"/>
      <x:c r="D766" s="10"/>
      <x:c r="E766" s="10"/>
      <x:c r="F766" s="10"/>
      <x:c r="G766" s="10"/>
      <x:c r="H766" s="10"/>
    </x:row>
    <x:row r="767" ht="14.25" customHeight="1">
      <x:c r="A767" s="10"/>
      <x:c r="B767" s="10"/>
      <x:c r="C767" s="10"/>
      <x:c r="D767" s="10"/>
      <x:c r="E767" s="10"/>
      <x:c r="F767" s="10"/>
      <x:c r="G767" s="10"/>
      <x:c r="H767" s="10"/>
    </x:row>
    <x:row r="768" ht="14.25" customHeight="1">
      <x:c r="A768" s="10"/>
      <x:c r="B768" s="10"/>
      <x:c r="C768" s="10"/>
      <x:c r="D768" s="10"/>
      <x:c r="E768" s="10"/>
      <x:c r="F768" s="10"/>
      <x:c r="G768" s="10"/>
      <x:c r="H768" s="10"/>
    </x:row>
    <x:row r="769" ht="14.25" customHeight="1">
      <x:c r="A769" s="10"/>
      <x:c r="B769" s="10"/>
      <x:c r="C769" s="10"/>
      <x:c r="D769" s="10"/>
      <x:c r="E769" s="10"/>
      <x:c r="F769" s="10"/>
      <x:c r="G769" s="10"/>
      <x:c r="H769" s="10"/>
    </x:row>
    <x:row r="770" ht="14.25" customHeight="1">
      <x:c r="A770" s="10"/>
      <x:c r="B770" s="10"/>
      <x:c r="C770" s="10"/>
      <x:c r="D770" s="10"/>
      <x:c r="E770" s="10"/>
      <x:c r="F770" s="10"/>
      <x:c r="G770" s="10"/>
      <x:c r="H770" s="10"/>
    </x:row>
    <x:row r="771" ht="14.25" customHeight="1">
      <x:c r="A771" s="10"/>
      <x:c r="B771" s="10"/>
      <x:c r="C771" s="10"/>
      <x:c r="D771" s="10"/>
      <x:c r="E771" s="10"/>
      <x:c r="F771" s="10"/>
      <x:c r="G771" s="10"/>
      <x:c r="H771" s="10"/>
    </x:row>
    <x:row r="772" ht="14.25" customHeight="1">
      <x:c r="A772" s="10"/>
      <x:c r="B772" s="10"/>
      <x:c r="C772" s="10"/>
      <x:c r="D772" s="10"/>
      <x:c r="E772" s="10"/>
      <x:c r="F772" s="10"/>
      <x:c r="G772" s="10"/>
      <x:c r="H772" s="10"/>
    </x:row>
    <x:row r="773" ht="14.25" customHeight="1">
      <x:c r="A773" s="10"/>
      <x:c r="B773" s="10"/>
      <x:c r="C773" s="10"/>
      <x:c r="D773" s="10"/>
      <x:c r="E773" s="10"/>
      <x:c r="F773" s="10"/>
      <x:c r="G773" s="10"/>
      <x:c r="H773" s="10"/>
    </x:row>
    <x:row r="774" ht="14.25" customHeight="1">
      <x:c r="A774" s="10"/>
      <x:c r="B774" s="10"/>
      <x:c r="C774" s="10"/>
      <x:c r="D774" s="10"/>
      <x:c r="E774" s="10"/>
      <x:c r="F774" s="10"/>
      <x:c r="G774" s="10"/>
      <x:c r="H774" s="10"/>
    </x:row>
    <x:row r="775" ht="14.25" customHeight="1">
      <x:c r="A775" s="10"/>
      <x:c r="B775" s="10"/>
      <x:c r="C775" s="10"/>
      <x:c r="D775" s="10"/>
      <x:c r="E775" s="10"/>
      <x:c r="F775" s="10"/>
      <x:c r="G775" s="10"/>
      <x:c r="H775" s="10"/>
    </x:row>
    <x:row r="776" ht="14.25" customHeight="1">
      <x:c r="A776" s="10"/>
      <x:c r="B776" s="10"/>
      <x:c r="C776" s="10"/>
      <x:c r="D776" s="10"/>
      <x:c r="E776" s="10"/>
      <x:c r="F776" s="10"/>
      <x:c r="G776" s="10"/>
      <x:c r="H776" s="10"/>
    </x:row>
    <x:row r="777" ht="14.25" customHeight="1">
      <x:c r="A777" s="10"/>
      <x:c r="B777" s="10"/>
      <x:c r="C777" s="10"/>
      <x:c r="D777" s="10"/>
      <x:c r="E777" s="10"/>
      <x:c r="F777" s="10"/>
      <x:c r="G777" s="10"/>
      <x:c r="H777" s="10"/>
    </x:row>
    <x:row r="778" ht="14.25" customHeight="1">
      <x:c r="A778" s="10"/>
      <x:c r="B778" s="10"/>
      <x:c r="C778" s="10"/>
      <x:c r="D778" s="10"/>
      <x:c r="E778" s="10"/>
      <x:c r="F778" s="10"/>
      <x:c r="G778" s="10"/>
      <x:c r="H778" s="10"/>
    </x:row>
    <x:row r="779" ht="14.25" customHeight="1">
      <x:c r="A779" s="10"/>
      <x:c r="B779" s="10"/>
      <x:c r="C779" s="10"/>
      <x:c r="D779" s="10"/>
      <x:c r="E779" s="10"/>
      <x:c r="F779" s="10"/>
      <x:c r="G779" s="10"/>
      <x:c r="H779" s="10"/>
    </x:row>
    <x:row r="780" ht="14.25" customHeight="1">
      <x:c r="A780" s="10"/>
      <x:c r="B780" s="10"/>
      <x:c r="C780" s="10"/>
      <x:c r="D780" s="10"/>
      <x:c r="E780" s="10"/>
      <x:c r="F780" s="10"/>
      <x:c r="G780" s="10"/>
      <x:c r="H780" s="10"/>
    </x:row>
    <x:row r="781" ht="14.25" customHeight="1">
      <x:c r="A781" s="10"/>
      <x:c r="B781" s="10"/>
      <x:c r="C781" s="10"/>
      <x:c r="D781" s="10"/>
      <x:c r="E781" s="10"/>
      <x:c r="F781" s="10"/>
      <x:c r="G781" s="10"/>
      <x:c r="H781" s="10"/>
    </x:row>
    <x:row r="782" ht="14.25" customHeight="1">
      <x:c r="A782" s="10"/>
      <x:c r="B782" s="10"/>
      <x:c r="C782" s="10"/>
      <x:c r="D782" s="10"/>
      <x:c r="E782" s="10"/>
      <x:c r="F782" s="10"/>
      <x:c r="G782" s="10"/>
      <x:c r="H782" s="10"/>
    </x:row>
    <x:row r="783" ht="14.25" customHeight="1">
      <x:c r="A783" s="10"/>
      <x:c r="B783" s="10"/>
      <x:c r="C783" s="10"/>
      <x:c r="D783" s="10"/>
      <x:c r="E783" s="10"/>
      <x:c r="F783" s="10"/>
      <x:c r="G783" s="10"/>
      <x:c r="H783" s="10"/>
    </x:row>
    <x:row r="784" ht="14.25" customHeight="1">
      <x:c r="A784" s="10"/>
      <x:c r="B784" s="10"/>
      <x:c r="C784" s="10"/>
      <x:c r="D784" s="10"/>
      <x:c r="E784" s="10"/>
      <x:c r="F784" s="10"/>
      <x:c r="G784" s="10"/>
      <x:c r="H784" s="10"/>
    </x:row>
    <x:row r="785" ht="14.25" customHeight="1">
      <x:c r="A785" s="10"/>
      <x:c r="B785" s="10"/>
      <x:c r="C785" s="10"/>
      <x:c r="D785" s="10"/>
      <x:c r="E785" s="10"/>
      <x:c r="F785" s="10"/>
      <x:c r="G785" s="10"/>
      <x:c r="H785" s="10"/>
    </x:row>
    <x:row r="786" ht="14.25" customHeight="1">
      <x:c r="A786" s="10"/>
      <x:c r="B786" s="10"/>
      <x:c r="C786" s="10"/>
      <x:c r="D786" s="10"/>
      <x:c r="E786" s="10"/>
      <x:c r="F786" s="10"/>
      <x:c r="G786" s="10"/>
      <x:c r="H786" s="10"/>
    </x:row>
    <x:row r="787" ht="14.25" customHeight="1">
      <x:c r="A787" s="10"/>
      <x:c r="B787" s="10"/>
      <x:c r="C787" s="10"/>
      <x:c r="D787" s="10"/>
      <x:c r="E787" s="10"/>
      <x:c r="F787" s="10"/>
      <x:c r="G787" s="10"/>
      <x:c r="H787" s="10"/>
    </x:row>
    <x:row r="788" ht="14.25" customHeight="1">
      <x:c r="A788" s="10"/>
      <x:c r="B788" s="10"/>
      <x:c r="C788" s="10"/>
      <x:c r="D788" s="10"/>
      <x:c r="E788" s="10"/>
      <x:c r="F788" s="10"/>
      <x:c r="G788" s="10"/>
      <x:c r="H788" s="10"/>
    </x:row>
    <x:row r="789" ht="14.25" customHeight="1">
      <x:c r="A789" s="10"/>
      <x:c r="B789" s="10"/>
      <x:c r="C789" s="10"/>
      <x:c r="D789" s="10"/>
      <x:c r="E789" s="10"/>
      <x:c r="F789" s="10"/>
      <x:c r="G789" s="10"/>
      <x:c r="H789" s="10"/>
    </x:row>
    <x:row r="790" ht="14.25" customHeight="1">
      <x:c r="A790" s="10"/>
      <x:c r="B790" s="10"/>
      <x:c r="C790" s="10"/>
      <x:c r="D790" s="10"/>
      <x:c r="E790" s="10"/>
      <x:c r="F790" s="10"/>
      <x:c r="G790" s="10"/>
      <x:c r="H790" s="10"/>
    </x:row>
    <x:row r="791" ht="14.25" customHeight="1">
      <x:c r="A791" s="10"/>
      <x:c r="B791" s="10"/>
      <x:c r="C791" s="10"/>
      <x:c r="D791" s="10"/>
      <x:c r="E791" s="10"/>
      <x:c r="F791" s="10"/>
      <x:c r="G791" s="10"/>
      <x:c r="H791" s="10"/>
    </x:row>
    <x:row r="792" ht="14.25" customHeight="1">
      <x:c r="A792" s="10"/>
      <x:c r="B792" s="10"/>
      <x:c r="C792" s="10"/>
      <x:c r="D792" s="10"/>
      <x:c r="E792" s="10"/>
      <x:c r="F792" s="10"/>
      <x:c r="G792" s="10"/>
      <x:c r="H792" s="10"/>
    </x:row>
    <x:row r="793" ht="14.25" customHeight="1">
      <x:c r="A793" s="10"/>
      <x:c r="B793" s="10"/>
      <x:c r="C793" s="10"/>
      <x:c r="D793" s="10"/>
      <x:c r="E793" s="10"/>
      <x:c r="F793" s="10"/>
      <x:c r="G793" s="10"/>
      <x:c r="H793" s="10"/>
    </x:row>
    <x:row r="794" ht="14.25" customHeight="1">
      <x:c r="A794" s="10"/>
      <x:c r="B794" s="10"/>
      <x:c r="C794" s="10"/>
      <x:c r="D794" s="10"/>
      <x:c r="E794" s="10"/>
      <x:c r="F794" s="10"/>
      <x:c r="G794" s="10"/>
      <x:c r="H794" s="10"/>
    </x:row>
    <x:row r="795" ht="14.25" customHeight="1">
      <x:c r="A795" s="10"/>
      <x:c r="B795" s="10"/>
      <x:c r="C795" s="10"/>
      <x:c r="D795" s="10"/>
      <x:c r="E795" s="10"/>
      <x:c r="F795" s="10"/>
      <x:c r="G795" s="10"/>
      <x:c r="H795" s="10"/>
    </x:row>
    <x:row r="796" ht="14.25" customHeight="1">
      <x:c r="A796" s="10"/>
      <x:c r="B796" s="10"/>
      <x:c r="C796" s="10"/>
      <x:c r="D796" s="10"/>
      <x:c r="E796" s="10"/>
      <x:c r="F796" s="10"/>
      <x:c r="G796" s="10"/>
      <x:c r="H796" s="10"/>
    </x:row>
    <x:row r="797" ht="14.25" customHeight="1">
      <x:c r="A797" s="10"/>
      <x:c r="B797" s="10"/>
      <x:c r="C797" s="10"/>
      <x:c r="D797" s="10"/>
      <x:c r="E797" s="10"/>
      <x:c r="F797" s="10"/>
      <x:c r="G797" s="10"/>
      <x:c r="H797" s="10"/>
    </x:row>
    <x:row r="798" ht="14.25" customHeight="1">
      <x:c r="A798" s="10"/>
      <x:c r="B798" s="10"/>
      <x:c r="C798" s="10"/>
      <x:c r="D798" s="10"/>
      <x:c r="E798" s="10"/>
      <x:c r="F798" s="10"/>
      <x:c r="G798" s="10"/>
      <x:c r="H798" s="10"/>
    </x:row>
    <x:row r="799" ht="14.25" customHeight="1">
      <x:c r="A799" s="10"/>
      <x:c r="B799" s="10"/>
      <x:c r="C799" s="10"/>
      <x:c r="D799" s="10"/>
      <x:c r="E799" s="10"/>
      <x:c r="F799" s="10"/>
      <x:c r="G799" s="10"/>
      <x:c r="H799" s="10"/>
    </x:row>
    <x:row r="800" ht="14.25" customHeight="1">
      <x:c r="A800" s="10"/>
      <x:c r="B800" s="10"/>
      <x:c r="C800" s="10"/>
      <x:c r="D800" s="10"/>
      <x:c r="E800" s="10"/>
      <x:c r="F800" s="10"/>
      <x:c r="G800" s="10"/>
      <x:c r="H800" s="10"/>
    </x:row>
    <x:row r="801" ht="14.25" customHeight="1">
      <x:c r="A801" s="10"/>
      <x:c r="B801" s="10"/>
      <x:c r="C801" s="10"/>
      <x:c r="D801" s="10"/>
      <x:c r="E801" s="10"/>
      <x:c r="F801" s="10"/>
      <x:c r="G801" s="10"/>
      <x:c r="H801" s="10"/>
    </x:row>
    <x:row r="802" ht="14.25" customHeight="1">
      <x:c r="A802" s="10"/>
      <x:c r="B802" s="10"/>
      <x:c r="C802" s="10"/>
      <x:c r="D802" s="10"/>
      <x:c r="E802" s="10"/>
      <x:c r="F802" s="10"/>
      <x:c r="G802" s="10"/>
      <x:c r="H802" s="10"/>
    </x:row>
    <x:row r="803" ht="14.25" customHeight="1">
      <x:c r="A803" s="10"/>
      <x:c r="B803" s="10"/>
      <x:c r="C803" s="10"/>
      <x:c r="D803" s="10"/>
      <x:c r="E803" s="10"/>
      <x:c r="F803" s="10"/>
      <x:c r="G803" s="10"/>
      <x:c r="H803" s="10"/>
    </x:row>
    <x:row r="804" ht="14.25" customHeight="1">
      <x:c r="A804" s="10"/>
      <x:c r="B804" s="10"/>
      <x:c r="C804" s="10"/>
      <x:c r="D804" s="10"/>
      <x:c r="E804" s="10"/>
      <x:c r="F804" s="10"/>
      <x:c r="G804" s="10"/>
      <x:c r="H804" s="10"/>
    </x:row>
    <x:row r="805" ht="14.25" customHeight="1">
      <x:c r="A805" s="10"/>
      <x:c r="B805" s="10"/>
      <x:c r="C805" s="10"/>
      <x:c r="D805" s="10"/>
      <x:c r="E805" s="10"/>
      <x:c r="F805" s="10"/>
      <x:c r="G805" s="10"/>
      <x:c r="H805" s="10"/>
    </x:row>
    <x:row r="806" ht="14.25" customHeight="1">
      <x:c r="A806" s="10"/>
      <x:c r="B806" s="10"/>
      <x:c r="C806" s="10"/>
      <x:c r="D806" s="10"/>
      <x:c r="E806" s="10"/>
      <x:c r="F806" s="10"/>
      <x:c r="G806" s="10"/>
      <x:c r="H806" s="10"/>
    </x:row>
    <x:row r="807" ht="14.25" customHeight="1">
      <x:c r="A807" s="10"/>
      <x:c r="B807" s="10"/>
      <x:c r="C807" s="10"/>
      <x:c r="D807" s="10"/>
      <x:c r="E807" s="10"/>
      <x:c r="F807" s="10"/>
      <x:c r="G807" s="10"/>
      <x:c r="H807" s="10"/>
    </x:row>
    <x:row r="808" ht="14.25" customHeight="1">
      <x:c r="A808" s="10"/>
      <x:c r="B808" s="10"/>
      <x:c r="C808" s="10"/>
      <x:c r="D808" s="10"/>
      <x:c r="E808" s="10"/>
      <x:c r="F808" s="10"/>
      <x:c r="G808" s="10"/>
      <x:c r="H808" s="10"/>
    </x:row>
    <x:row r="809" ht="14.25" customHeight="1">
      <x:c r="A809" s="10"/>
      <x:c r="B809" s="10"/>
      <x:c r="C809" s="10"/>
      <x:c r="D809" s="10"/>
      <x:c r="E809" s="10"/>
      <x:c r="F809" s="10"/>
      <x:c r="G809" s="10"/>
      <x:c r="H809" s="10"/>
    </x:row>
    <x:row r="810" ht="14.25" customHeight="1">
      <x:c r="A810" s="10"/>
      <x:c r="B810" s="10"/>
      <x:c r="C810" s="10"/>
      <x:c r="D810" s="10"/>
      <x:c r="E810" s="10"/>
      <x:c r="F810" s="10"/>
      <x:c r="G810" s="10"/>
      <x:c r="H810" s="10"/>
    </x:row>
    <x:row r="811" ht="14.25" customHeight="1">
      <x:c r="A811" s="10"/>
      <x:c r="B811" s="10"/>
      <x:c r="C811" s="10"/>
      <x:c r="D811" s="10"/>
      <x:c r="E811" s="10"/>
      <x:c r="F811" s="10"/>
      <x:c r="G811" s="10"/>
      <x:c r="H811" s="10"/>
    </x:row>
    <x:row r="812" ht="14.25" customHeight="1">
      <x:c r="A812" s="10"/>
      <x:c r="B812" s="10"/>
      <x:c r="C812" s="10"/>
      <x:c r="D812" s="10"/>
      <x:c r="E812" s="10"/>
      <x:c r="F812" s="10"/>
      <x:c r="G812" s="10"/>
      <x:c r="H812" s="10"/>
    </x:row>
    <x:row r="813" ht="14.25" customHeight="1">
      <x:c r="A813" s="10"/>
      <x:c r="B813" s="10"/>
      <x:c r="C813" s="10"/>
      <x:c r="D813" s="10"/>
      <x:c r="E813" s="10"/>
      <x:c r="F813" s="10"/>
      <x:c r="G813" s="10"/>
      <x:c r="H813" s="10"/>
    </x:row>
    <x:row r="814" ht="14.25" customHeight="1">
      <x:c r="A814" s="10"/>
      <x:c r="B814" s="10"/>
      <x:c r="C814" s="10"/>
      <x:c r="D814" s="10"/>
      <x:c r="E814" s="10"/>
      <x:c r="F814" s="10"/>
      <x:c r="G814" s="10"/>
      <x:c r="H814" s="10"/>
    </x:row>
    <x:row r="815" ht="14.25" customHeight="1">
      <x:c r="A815" s="10"/>
      <x:c r="B815" s="10"/>
      <x:c r="C815" s="10"/>
      <x:c r="D815" s="10"/>
      <x:c r="E815" s="10"/>
      <x:c r="F815" s="10"/>
      <x:c r="G815" s="10"/>
      <x:c r="H815" s="10"/>
    </x:row>
    <x:row r="816" ht="14.25" customHeight="1">
      <x:c r="A816" s="10"/>
      <x:c r="B816" s="10"/>
      <x:c r="C816" s="10"/>
      <x:c r="D816" s="10"/>
      <x:c r="E816" s="10"/>
      <x:c r="F816" s="10"/>
      <x:c r="G816" s="10"/>
      <x:c r="H816" s="10"/>
    </x:row>
    <x:row r="817" ht="14.25" customHeight="1">
      <x:c r="A817" s="10"/>
      <x:c r="B817" s="10"/>
      <x:c r="C817" s="10"/>
      <x:c r="D817" s="10"/>
      <x:c r="E817" s="10"/>
      <x:c r="F817" s="10"/>
      <x:c r="G817" s="10"/>
      <x:c r="H817" s="10"/>
    </x:row>
    <x:row r="818" ht="14.25" customHeight="1">
      <x:c r="A818" s="10"/>
      <x:c r="B818" s="10"/>
      <x:c r="C818" s="10"/>
      <x:c r="D818" s="10"/>
      <x:c r="E818" s="10"/>
      <x:c r="F818" s="10"/>
      <x:c r="G818" s="10"/>
      <x:c r="H818" s="10"/>
    </x:row>
    <x:row r="819" ht="14.25" customHeight="1">
      <x:c r="A819" s="10"/>
      <x:c r="B819" s="10"/>
      <x:c r="C819" s="10"/>
      <x:c r="D819" s="10"/>
      <x:c r="E819" s="10"/>
      <x:c r="F819" s="10"/>
      <x:c r="G819" s="10"/>
      <x:c r="H819" s="10"/>
    </x:row>
    <x:row r="820" ht="14.25" customHeight="1">
      <x:c r="A820" s="10"/>
      <x:c r="B820" s="10"/>
      <x:c r="C820" s="10"/>
      <x:c r="D820" s="10"/>
      <x:c r="E820" s="10"/>
      <x:c r="F820" s="10"/>
      <x:c r="G820" s="10"/>
      <x:c r="H820" s="10"/>
    </x:row>
    <x:row r="821" ht="14.25" customHeight="1">
      <x:c r="A821" s="10"/>
      <x:c r="B821" s="10"/>
      <x:c r="C821" s="10"/>
      <x:c r="D821" s="10"/>
      <x:c r="E821" s="10"/>
      <x:c r="F821" s="10"/>
      <x:c r="G821" s="10"/>
      <x:c r="H821" s="10"/>
    </x:row>
    <x:row r="822" ht="14.25" customHeight="1">
      <x:c r="A822" s="10"/>
      <x:c r="B822" s="10"/>
      <x:c r="C822" s="10"/>
      <x:c r="D822" s="10"/>
      <x:c r="E822" s="10"/>
      <x:c r="F822" s="10"/>
      <x:c r="G822" s="10"/>
      <x:c r="H822" s="10"/>
    </x:row>
    <x:row r="823" ht="14.25" customHeight="1">
      <x:c r="A823" s="10"/>
      <x:c r="B823" s="10"/>
      <x:c r="C823" s="10"/>
      <x:c r="D823" s="10"/>
      <x:c r="E823" s="10"/>
      <x:c r="F823" s="10"/>
      <x:c r="G823" s="10"/>
      <x:c r="H823" s="10"/>
    </x:row>
    <x:row r="824" ht="14.25" customHeight="1">
      <x:c r="A824" s="10"/>
      <x:c r="B824" s="10"/>
      <x:c r="C824" s="10"/>
      <x:c r="D824" s="10"/>
      <x:c r="E824" s="10"/>
      <x:c r="F824" s="10"/>
      <x:c r="G824" s="10"/>
      <x:c r="H824" s="10"/>
    </x:row>
    <x:row r="825" ht="14.25" customHeight="1">
      <x:c r="A825" s="10"/>
      <x:c r="B825" s="10"/>
      <x:c r="C825" s="10"/>
      <x:c r="D825" s="10"/>
      <x:c r="E825" s="10"/>
      <x:c r="F825" s="10"/>
      <x:c r="G825" s="10"/>
      <x:c r="H825" s="10"/>
    </x:row>
    <x:row r="826" ht="14.25" customHeight="1">
      <x:c r="A826" s="10"/>
      <x:c r="B826" s="10"/>
      <x:c r="C826" s="10"/>
      <x:c r="D826" s="10"/>
      <x:c r="E826" s="10"/>
      <x:c r="F826" s="10"/>
      <x:c r="G826" s="10"/>
      <x:c r="H826" s="10"/>
    </x:row>
    <x:row r="827" ht="14.25" customHeight="1">
      <x:c r="A827" s="10"/>
      <x:c r="B827" s="10"/>
      <x:c r="C827" s="10"/>
      <x:c r="D827" s="10"/>
      <x:c r="E827" s="10"/>
      <x:c r="F827" s="10"/>
      <x:c r="G827" s="10"/>
      <x:c r="H827" s="10"/>
    </x:row>
    <x:row r="828" ht="14.25" customHeight="1">
      <x:c r="A828" s="10"/>
      <x:c r="B828" s="10"/>
      <x:c r="C828" s="10"/>
      <x:c r="D828" s="10"/>
      <x:c r="E828" s="10"/>
      <x:c r="F828" s="10"/>
      <x:c r="G828" s="10"/>
      <x:c r="H828" s="10"/>
    </x:row>
    <x:row r="829" ht="14.25" customHeight="1">
      <x:c r="A829" s="10"/>
      <x:c r="B829" s="10"/>
      <x:c r="C829" s="10"/>
      <x:c r="D829" s="10"/>
      <x:c r="E829" s="10"/>
      <x:c r="F829" s="10"/>
      <x:c r="G829" s="10"/>
      <x:c r="H829" s="10"/>
    </x:row>
    <x:row r="830" ht="14.25" customHeight="1">
      <x:c r="A830" s="10"/>
      <x:c r="B830" s="10"/>
      <x:c r="C830" s="10"/>
      <x:c r="D830" s="10"/>
      <x:c r="E830" s="10"/>
      <x:c r="F830" s="10"/>
      <x:c r="G830" s="10"/>
      <x:c r="H830" s="10"/>
    </x:row>
    <x:row r="831" ht="14.25" customHeight="1">
      <x:c r="A831" s="10"/>
      <x:c r="B831" s="10"/>
      <x:c r="C831" s="10"/>
      <x:c r="D831" s="10"/>
      <x:c r="E831" s="10"/>
      <x:c r="F831" s="10"/>
      <x:c r="G831" s="10"/>
      <x:c r="H831" s="10"/>
    </x:row>
    <x:row r="832" ht="14.25" customHeight="1">
      <x:c r="A832" s="10"/>
      <x:c r="B832" s="10"/>
      <x:c r="C832" s="10"/>
      <x:c r="D832" s="10"/>
      <x:c r="E832" s="10"/>
      <x:c r="F832" s="10"/>
      <x:c r="G832" s="10"/>
      <x:c r="H832" s="10"/>
    </x:row>
    <x:row r="833" ht="14.25" customHeight="1">
      <x:c r="A833" s="10"/>
      <x:c r="B833" s="10"/>
      <x:c r="C833" s="10"/>
      <x:c r="D833" s="10"/>
      <x:c r="E833" s="10"/>
      <x:c r="F833" s="10"/>
      <x:c r="G833" s="10"/>
      <x:c r="H833" s="10"/>
    </x:row>
    <x:row r="834" ht="14.25" customHeight="1">
      <x:c r="A834" s="10"/>
      <x:c r="B834" s="10"/>
      <x:c r="C834" s="10"/>
      <x:c r="D834" s="10"/>
      <x:c r="E834" s="10"/>
      <x:c r="F834" s="10"/>
      <x:c r="G834" s="10"/>
      <x:c r="H834" s="10"/>
    </x:row>
    <x:row r="835" ht="14.25" customHeight="1">
      <x:c r="A835" s="10"/>
      <x:c r="B835" s="10"/>
      <x:c r="C835" s="10"/>
      <x:c r="D835" s="10"/>
      <x:c r="E835" s="10"/>
      <x:c r="F835" s="10"/>
      <x:c r="G835" s="10"/>
      <x:c r="H835" s="10"/>
    </x:row>
    <x:row r="836" ht="14.25" customHeight="1">
      <x:c r="A836" s="10"/>
      <x:c r="B836" s="10"/>
      <x:c r="C836" s="10"/>
      <x:c r="D836" s="10"/>
      <x:c r="E836" s="10"/>
      <x:c r="F836" s="10"/>
      <x:c r="G836" s="10"/>
      <x:c r="H836" s="10"/>
    </x:row>
    <x:row r="837" ht="14.25" customHeight="1">
      <x:c r="A837" s="10"/>
      <x:c r="B837" s="10"/>
      <x:c r="C837" s="10"/>
      <x:c r="D837" s="10"/>
      <x:c r="E837" s="10"/>
      <x:c r="F837" s="10"/>
      <x:c r="G837" s="10"/>
      <x:c r="H837" s="10"/>
    </x:row>
    <x:row r="838" ht="14.25" customHeight="1">
      <x:c r="A838" s="10"/>
      <x:c r="B838" s="10"/>
      <x:c r="C838" s="10"/>
      <x:c r="D838" s="10"/>
      <x:c r="E838" s="10"/>
      <x:c r="F838" s="10"/>
      <x:c r="G838" s="10"/>
      <x:c r="H838" s="10"/>
    </x:row>
    <x:row r="839" ht="14.25" customHeight="1">
      <x:c r="A839" s="10"/>
      <x:c r="B839" s="10"/>
      <x:c r="C839" s="10"/>
      <x:c r="D839" s="10"/>
      <x:c r="E839" s="10"/>
      <x:c r="F839" s="10"/>
      <x:c r="G839" s="10"/>
      <x:c r="H839" s="10"/>
    </x:row>
    <x:row r="840" ht="14.25" customHeight="1">
      <x:c r="A840" s="10"/>
      <x:c r="B840" s="10"/>
      <x:c r="C840" s="10"/>
      <x:c r="D840" s="10"/>
      <x:c r="E840" s="10"/>
      <x:c r="F840" s="10"/>
      <x:c r="G840" s="10"/>
      <x:c r="H840" s="10"/>
    </x:row>
    <x:row r="841" ht="14.25" customHeight="1">
      <x:c r="A841" s="10"/>
      <x:c r="B841" s="10"/>
      <x:c r="C841" s="10"/>
      <x:c r="D841" s="10"/>
      <x:c r="E841" s="10"/>
      <x:c r="F841" s="10"/>
      <x:c r="G841" s="10"/>
      <x:c r="H841" s="10"/>
    </x:row>
    <x:row r="842" ht="14.25" customHeight="1">
      <x:c r="A842" s="10"/>
      <x:c r="B842" s="10"/>
      <x:c r="C842" s="10"/>
      <x:c r="D842" s="10"/>
      <x:c r="E842" s="10"/>
      <x:c r="F842" s="10"/>
      <x:c r="G842" s="10"/>
      <x:c r="H842" s="10"/>
    </x:row>
    <x:row r="843" ht="14.25" customHeight="1">
      <x:c r="A843" s="10"/>
      <x:c r="B843" s="10"/>
      <x:c r="C843" s="10"/>
      <x:c r="D843" s="10"/>
      <x:c r="E843" s="10"/>
      <x:c r="F843" s="10"/>
      <x:c r="G843" s="10"/>
      <x:c r="H843" s="10"/>
    </x:row>
    <x:row r="844" ht="14.25" customHeight="1">
      <x:c r="A844" s="10"/>
      <x:c r="B844" s="10"/>
      <x:c r="C844" s="10"/>
      <x:c r="D844" s="10"/>
      <x:c r="E844" s="10"/>
      <x:c r="F844" s="10"/>
      <x:c r="G844" s="10"/>
      <x:c r="H844" s="10"/>
    </x:row>
    <x:row r="845" ht="14.25" customHeight="1">
      <x:c r="A845" s="10"/>
      <x:c r="B845" s="10"/>
      <x:c r="C845" s="10"/>
      <x:c r="D845" s="10"/>
      <x:c r="E845" s="10"/>
      <x:c r="F845" s="10"/>
      <x:c r="G845" s="10"/>
      <x:c r="H845" s="10"/>
    </x:row>
    <x:row r="846" ht="14.25" customHeight="1">
      <x:c r="A846" s="10"/>
      <x:c r="B846" s="10"/>
      <x:c r="C846" s="10"/>
      <x:c r="D846" s="10"/>
      <x:c r="E846" s="10"/>
      <x:c r="F846" s="10"/>
      <x:c r="G846" s="10"/>
      <x:c r="H846" s="10"/>
    </x:row>
    <x:row r="847" ht="14.25" customHeight="1">
      <x:c r="A847" s="10"/>
      <x:c r="B847" s="10"/>
      <x:c r="C847" s="10"/>
      <x:c r="D847" s="10"/>
      <x:c r="E847" s="10"/>
      <x:c r="F847" s="10"/>
      <x:c r="G847" s="10"/>
      <x:c r="H847" s="10"/>
    </x:row>
    <x:row r="848" ht="14.25" customHeight="1">
      <x:c r="A848" s="10"/>
      <x:c r="B848" s="10"/>
      <x:c r="C848" s="10"/>
      <x:c r="D848" s="10"/>
      <x:c r="E848" s="10"/>
      <x:c r="F848" s="10"/>
      <x:c r="G848" s="10"/>
      <x:c r="H848" s="10"/>
    </x:row>
    <x:row r="849" ht="14.25" customHeight="1">
      <x:c r="A849" s="10"/>
      <x:c r="B849" s="10"/>
      <x:c r="C849" s="10"/>
      <x:c r="D849" s="10"/>
      <x:c r="E849" s="10"/>
      <x:c r="F849" s="10"/>
      <x:c r="G849" s="10"/>
      <x:c r="H849" s="10"/>
    </x:row>
    <x:row r="850" ht="14.25" customHeight="1">
      <x:c r="A850" s="10"/>
      <x:c r="B850" s="10"/>
      <x:c r="C850" s="10"/>
      <x:c r="D850" s="10"/>
      <x:c r="E850" s="10"/>
      <x:c r="F850" s="10"/>
      <x:c r="G850" s="10"/>
      <x:c r="H850" s="10"/>
    </x:row>
    <x:row r="851" ht="14.25" customHeight="1">
      <x:c r="A851" s="10"/>
      <x:c r="B851" s="10"/>
      <x:c r="C851" s="10"/>
      <x:c r="D851" s="10"/>
      <x:c r="E851" s="10"/>
      <x:c r="F851" s="10"/>
      <x:c r="G851" s="10"/>
      <x:c r="H851" s="10"/>
    </x:row>
    <x:row r="852" ht="14.25" customHeight="1">
      <x:c r="A852" s="10"/>
      <x:c r="B852" s="10"/>
      <x:c r="C852" s="10"/>
      <x:c r="D852" s="10"/>
      <x:c r="E852" s="10"/>
      <x:c r="F852" s="10"/>
      <x:c r="G852" s="10"/>
      <x:c r="H852" s="10"/>
    </x:row>
    <x:row r="853" ht="14.25" customHeight="1">
      <x:c r="A853" s="10"/>
      <x:c r="B853" s="10"/>
      <x:c r="C853" s="10"/>
      <x:c r="D853" s="10"/>
      <x:c r="E853" s="10"/>
      <x:c r="F853" s="10"/>
      <x:c r="G853" s="10"/>
      <x:c r="H853" s="10"/>
    </x:row>
    <x:row r="854" ht="14.25" customHeight="1">
      <x:c r="A854" s="10"/>
      <x:c r="B854" s="10"/>
      <x:c r="C854" s="10"/>
      <x:c r="D854" s="10"/>
      <x:c r="E854" s="10"/>
      <x:c r="F854" s="10"/>
      <x:c r="G854" s="10"/>
      <x:c r="H854" s="10"/>
    </x:row>
    <x:row r="855" ht="14.25" customHeight="1">
      <x:c r="A855" s="10"/>
      <x:c r="B855" s="10"/>
      <x:c r="C855" s="10"/>
      <x:c r="D855" s="10"/>
      <x:c r="E855" s="10"/>
      <x:c r="F855" s="10"/>
      <x:c r="G855" s="10"/>
      <x:c r="H855" s="10"/>
    </x:row>
    <x:row r="856" ht="14.25" customHeight="1">
      <x:c r="A856" s="10"/>
      <x:c r="B856" s="10"/>
      <x:c r="C856" s="10"/>
      <x:c r="D856" s="10"/>
      <x:c r="E856" s="10"/>
      <x:c r="F856" s="10"/>
      <x:c r="G856" s="10"/>
      <x:c r="H856" s="10"/>
    </x:row>
    <x:row r="857" ht="14.25" customHeight="1">
      <x:c r="A857" s="10"/>
      <x:c r="B857" s="10"/>
      <x:c r="C857" s="10"/>
      <x:c r="D857" s="10"/>
      <x:c r="E857" s="10"/>
      <x:c r="F857" s="10"/>
      <x:c r="G857" s="10"/>
      <x:c r="H857" s="10"/>
    </x:row>
    <x:row r="858" ht="14.25" customHeight="1">
      <x:c r="A858" s="10"/>
      <x:c r="B858" s="10"/>
      <x:c r="C858" s="10"/>
      <x:c r="D858" s="10"/>
      <x:c r="E858" s="10"/>
      <x:c r="F858" s="10"/>
      <x:c r="G858" s="10"/>
      <x:c r="H858" s="10"/>
    </x:row>
    <x:row r="859" ht="14.25" customHeight="1">
      <x:c r="A859" s="10"/>
      <x:c r="B859" s="10"/>
      <x:c r="C859" s="10"/>
      <x:c r="D859" s="10"/>
      <x:c r="E859" s="10"/>
      <x:c r="F859" s="10"/>
      <x:c r="G859" s="10"/>
      <x:c r="H859" s="10"/>
    </x:row>
    <x:row r="860" ht="14.25" customHeight="1">
      <x:c r="A860" s="10"/>
      <x:c r="B860" s="10"/>
      <x:c r="C860" s="10"/>
      <x:c r="D860" s="10"/>
      <x:c r="E860" s="10"/>
      <x:c r="F860" s="10"/>
      <x:c r="G860" s="10"/>
      <x:c r="H860" s="10"/>
    </x:row>
    <x:row r="861" ht="14.25" customHeight="1">
      <x:c r="A861" s="10"/>
      <x:c r="B861" s="10"/>
      <x:c r="C861" s="10"/>
      <x:c r="D861" s="10"/>
      <x:c r="E861" s="10"/>
      <x:c r="F861" s="10"/>
      <x:c r="G861" s="10"/>
      <x:c r="H861" s="10"/>
    </x:row>
    <x:row r="862" ht="14.25" customHeight="1">
      <x:c r="A862" s="10"/>
      <x:c r="B862" s="10"/>
      <x:c r="C862" s="10"/>
      <x:c r="D862" s="10"/>
      <x:c r="E862" s="10"/>
      <x:c r="F862" s="10"/>
      <x:c r="G862" s="10"/>
      <x:c r="H862" s="10"/>
    </x:row>
    <x:row r="863" ht="14.25" customHeight="1">
      <x:c r="A863" s="10"/>
      <x:c r="B863" s="10"/>
      <x:c r="C863" s="10"/>
      <x:c r="D863" s="10"/>
      <x:c r="E863" s="10"/>
      <x:c r="F863" s="10"/>
      <x:c r="G863" s="10"/>
      <x:c r="H863" s="10"/>
    </x:row>
    <x:row r="864" ht="14.25" customHeight="1">
      <x:c r="A864" s="10"/>
      <x:c r="B864" s="10"/>
      <x:c r="C864" s="10"/>
      <x:c r="D864" s="10"/>
      <x:c r="E864" s="10"/>
      <x:c r="F864" s="10"/>
      <x:c r="G864" s="10"/>
      <x:c r="H864" s="10"/>
    </x:row>
    <x:row r="865" ht="14.25" customHeight="1">
      <x:c r="A865" s="10"/>
      <x:c r="B865" s="10"/>
      <x:c r="C865" s="10"/>
      <x:c r="D865" s="10"/>
      <x:c r="E865" s="10"/>
      <x:c r="F865" s="10"/>
      <x:c r="G865" s="10"/>
      <x:c r="H865" s="10"/>
    </x:row>
    <x:row r="866" ht="14.25" customHeight="1">
      <x:c r="A866" s="10"/>
      <x:c r="B866" s="10"/>
      <x:c r="C866" s="10"/>
      <x:c r="D866" s="10"/>
      <x:c r="E866" s="10"/>
      <x:c r="F866" s="10"/>
      <x:c r="G866" s="10"/>
      <x:c r="H866" s="10"/>
    </x:row>
    <x:row r="867" ht="14.25" customHeight="1">
      <x:c r="A867" s="10"/>
      <x:c r="B867" s="10"/>
      <x:c r="C867" s="10"/>
      <x:c r="D867" s="10"/>
      <x:c r="E867" s="10"/>
      <x:c r="F867" s="10"/>
      <x:c r="G867" s="10"/>
      <x:c r="H867" s="10"/>
    </x:row>
    <x:row r="868" ht="14.25" customHeight="1">
      <x:c r="A868" s="10"/>
      <x:c r="B868" s="10"/>
      <x:c r="C868" s="10"/>
      <x:c r="D868" s="10"/>
      <x:c r="E868" s="10"/>
      <x:c r="F868" s="10"/>
      <x:c r="G868" s="10"/>
      <x:c r="H868" s="10"/>
    </x:row>
    <x:row r="869" ht="14.25" customHeight="1">
      <x:c r="A869" s="10"/>
      <x:c r="B869" s="10"/>
      <x:c r="C869" s="10"/>
      <x:c r="D869" s="10"/>
      <x:c r="E869" s="10"/>
      <x:c r="F869" s="10"/>
      <x:c r="G869" s="10"/>
      <x:c r="H869" s="10"/>
    </x:row>
    <x:row r="870" ht="14.25" customHeight="1">
      <x:c r="A870" s="10"/>
      <x:c r="B870" s="10"/>
      <x:c r="C870" s="10"/>
      <x:c r="D870" s="10"/>
      <x:c r="E870" s="10"/>
      <x:c r="F870" s="10"/>
      <x:c r="G870" s="10"/>
      <x:c r="H870" s="10"/>
    </x:row>
    <x:row r="871" ht="14.25" customHeight="1">
      <x:c r="A871" s="10"/>
      <x:c r="B871" s="10"/>
      <x:c r="C871" s="10"/>
      <x:c r="D871" s="10"/>
      <x:c r="E871" s="10"/>
      <x:c r="F871" s="10"/>
      <x:c r="G871" s="10"/>
      <x:c r="H871" s="10"/>
    </x:row>
    <x:row r="872" ht="14.25" customHeight="1">
      <x:c r="A872" s="10"/>
      <x:c r="B872" s="10"/>
      <x:c r="C872" s="10"/>
      <x:c r="D872" s="10"/>
      <x:c r="E872" s="10"/>
      <x:c r="F872" s="10"/>
      <x:c r="G872" s="10"/>
      <x:c r="H872" s="10"/>
    </x:row>
    <x:row r="873" ht="14.25" customHeight="1">
      <x:c r="A873" s="10"/>
      <x:c r="B873" s="10"/>
      <x:c r="C873" s="10"/>
      <x:c r="D873" s="10"/>
      <x:c r="E873" s="10"/>
      <x:c r="F873" s="10"/>
      <x:c r="G873" s="10"/>
      <x:c r="H873" s="10"/>
    </x:row>
    <x:row r="874" ht="14.25" customHeight="1">
      <x:c r="A874" s="10"/>
      <x:c r="B874" s="10"/>
      <x:c r="C874" s="10"/>
      <x:c r="D874" s="10"/>
      <x:c r="E874" s="10"/>
      <x:c r="F874" s="10"/>
      <x:c r="G874" s="10"/>
      <x:c r="H874" s="10"/>
    </x:row>
    <x:row r="875" ht="14.25" customHeight="1">
      <x:c r="A875" s="10"/>
      <x:c r="B875" s="10"/>
      <x:c r="C875" s="10"/>
      <x:c r="D875" s="10"/>
      <x:c r="E875" s="10"/>
      <x:c r="F875" s="10"/>
      <x:c r="G875" s="10"/>
      <x:c r="H875" s="10"/>
    </x:row>
    <x:row r="876" ht="14.25" customHeight="1">
      <x:c r="A876" s="10"/>
      <x:c r="B876" s="10"/>
      <x:c r="C876" s="10"/>
      <x:c r="D876" s="10"/>
      <x:c r="E876" s="10"/>
      <x:c r="F876" s="10"/>
      <x:c r="G876" s="10"/>
      <x:c r="H876" s="10"/>
    </x:row>
    <x:row r="877" ht="14.25" customHeight="1">
      <x:c r="A877" s="10"/>
      <x:c r="B877" s="10"/>
      <x:c r="C877" s="10"/>
      <x:c r="D877" s="10"/>
      <x:c r="E877" s="10"/>
      <x:c r="F877" s="10"/>
      <x:c r="G877" s="10"/>
      <x:c r="H877" s="10"/>
    </x:row>
    <x:row r="878" ht="14.25" customHeight="1">
      <x:c r="A878" s="10"/>
      <x:c r="B878" s="10"/>
      <x:c r="C878" s="10"/>
      <x:c r="D878" s="10"/>
      <x:c r="E878" s="10"/>
      <x:c r="F878" s="10"/>
      <x:c r="G878" s="10"/>
      <x:c r="H878" s="10"/>
    </x:row>
    <x:row r="879" ht="14.25" customHeight="1">
      <x:c r="A879" s="10"/>
      <x:c r="B879" s="10"/>
      <x:c r="C879" s="10"/>
      <x:c r="D879" s="10"/>
      <x:c r="E879" s="10"/>
      <x:c r="F879" s="10"/>
      <x:c r="G879" s="10"/>
      <x:c r="H879" s="10"/>
    </x:row>
    <x:row r="880" ht="14.25" customHeight="1">
      <x:c r="A880" s="10"/>
      <x:c r="B880" s="10"/>
      <x:c r="C880" s="10"/>
      <x:c r="D880" s="10"/>
      <x:c r="E880" s="10"/>
      <x:c r="F880" s="10"/>
      <x:c r="G880" s="10"/>
      <x:c r="H880" s="10"/>
    </x:row>
    <x:row r="881" ht="14.25" customHeight="1">
      <x:c r="A881" s="10"/>
      <x:c r="B881" s="10"/>
      <x:c r="C881" s="10"/>
      <x:c r="D881" s="10"/>
      <x:c r="E881" s="10"/>
      <x:c r="F881" s="10"/>
      <x:c r="G881" s="10"/>
      <x:c r="H881" s="10"/>
    </x:row>
    <x:row r="882" ht="14.25" customHeight="1">
      <x:c r="A882" s="10"/>
      <x:c r="B882" s="10"/>
      <x:c r="C882" s="10"/>
      <x:c r="D882" s="10"/>
      <x:c r="E882" s="10"/>
      <x:c r="F882" s="10"/>
      <x:c r="G882" s="10"/>
      <x:c r="H882" s="10"/>
    </x:row>
    <x:row r="883" ht="14.25" customHeight="1">
      <x:c r="A883" s="10"/>
      <x:c r="B883" s="10"/>
      <x:c r="C883" s="10"/>
      <x:c r="D883" s="10"/>
      <x:c r="E883" s="10"/>
      <x:c r="F883" s="10"/>
      <x:c r="G883" s="10"/>
      <x:c r="H883" s="10"/>
    </x:row>
    <x:row r="884" ht="14.25" customHeight="1">
      <x:c r="A884" s="10"/>
      <x:c r="B884" s="10"/>
      <x:c r="C884" s="10"/>
      <x:c r="D884" s="10"/>
      <x:c r="E884" s="10"/>
      <x:c r="F884" s="10"/>
      <x:c r="G884" s="10"/>
      <x:c r="H884" s="10"/>
    </x:row>
    <x:row r="885" ht="14.25" customHeight="1">
      <x:c r="A885" s="10"/>
      <x:c r="B885" s="10"/>
      <x:c r="C885" s="10"/>
      <x:c r="D885" s="10"/>
      <x:c r="E885" s="10"/>
      <x:c r="F885" s="10"/>
      <x:c r="G885" s="10"/>
      <x:c r="H885" s="10"/>
    </x:row>
    <x:row r="886" ht="14.25" customHeight="1">
      <x:c r="A886" s="10"/>
      <x:c r="B886" s="10"/>
      <x:c r="C886" s="10"/>
      <x:c r="D886" s="10"/>
      <x:c r="E886" s="10"/>
      <x:c r="F886" s="10"/>
      <x:c r="G886" s="10"/>
      <x:c r="H886" s="10"/>
    </x:row>
    <x:row r="887" ht="14.25" customHeight="1">
      <x:c r="A887" s="10"/>
      <x:c r="B887" s="10"/>
      <x:c r="C887" s="10"/>
      <x:c r="D887" s="10"/>
      <x:c r="E887" s="10"/>
      <x:c r="F887" s="10"/>
      <x:c r="G887" s="10"/>
      <x:c r="H887" s="10"/>
    </x:row>
    <x:row r="888" ht="14.25" customHeight="1">
      <x:c r="A888" s="10"/>
      <x:c r="B888" s="10"/>
      <x:c r="C888" s="10"/>
      <x:c r="D888" s="10"/>
      <x:c r="E888" s="10"/>
      <x:c r="F888" s="10"/>
      <x:c r="G888" s="10"/>
      <x:c r="H888" s="10"/>
    </x:row>
    <x:row r="889" ht="14.25" customHeight="1">
      <x:c r="A889" s="10"/>
      <x:c r="B889" s="10"/>
      <x:c r="C889" s="10"/>
      <x:c r="D889" s="10"/>
      <x:c r="E889" s="10"/>
      <x:c r="F889" s="10"/>
      <x:c r="G889" s="10"/>
      <x:c r="H889" s="10"/>
    </x:row>
    <x:row r="890" ht="14.25" customHeight="1">
      <x:c r="A890" s="10"/>
      <x:c r="B890" s="10"/>
      <x:c r="C890" s="10"/>
      <x:c r="D890" s="10"/>
      <x:c r="E890" s="10"/>
      <x:c r="F890" s="10"/>
      <x:c r="G890" s="10"/>
      <x:c r="H890" s="10"/>
    </x:row>
    <x:row r="891" ht="14.25" customHeight="1">
      <x:c r="A891" s="10"/>
      <x:c r="B891" s="10"/>
      <x:c r="C891" s="10"/>
      <x:c r="D891" s="10"/>
      <x:c r="E891" s="10"/>
      <x:c r="F891" s="10"/>
      <x:c r="G891" s="10"/>
      <x:c r="H891" s="10"/>
    </x:row>
    <x:row r="892" ht="14.25" customHeight="1">
      <x:c r="A892" s="10"/>
      <x:c r="B892" s="10"/>
      <x:c r="C892" s="10"/>
      <x:c r="D892" s="10"/>
      <x:c r="E892" s="10"/>
      <x:c r="F892" s="10"/>
      <x:c r="G892" s="10"/>
      <x:c r="H892" s="10"/>
    </x:row>
    <x:row r="893" ht="14.25" customHeight="1">
      <x:c r="A893" s="10"/>
      <x:c r="B893" s="10"/>
      <x:c r="C893" s="10"/>
      <x:c r="D893" s="10"/>
      <x:c r="E893" s="10"/>
      <x:c r="F893" s="10"/>
      <x:c r="G893" s="10"/>
      <x:c r="H893" s="10"/>
    </x:row>
    <x:row r="894" ht="14.25" customHeight="1">
      <x:c r="A894" s="10"/>
      <x:c r="B894" s="10"/>
      <x:c r="C894" s="10"/>
      <x:c r="D894" s="10"/>
      <x:c r="E894" s="10"/>
      <x:c r="F894" s="10"/>
      <x:c r="G894" s="10"/>
      <x:c r="H894" s="10"/>
    </x:row>
    <x:row r="895" ht="14.25" customHeight="1">
      <x:c r="A895" s="10"/>
      <x:c r="B895" s="10"/>
      <x:c r="C895" s="10"/>
      <x:c r="D895" s="10"/>
      <x:c r="E895" s="10"/>
      <x:c r="F895" s="10"/>
      <x:c r="G895" s="10"/>
      <x:c r="H895" s="10"/>
    </x:row>
    <x:row r="896" ht="14.25" customHeight="1">
      <x:c r="A896" s="10"/>
      <x:c r="B896" s="10"/>
      <x:c r="C896" s="10"/>
      <x:c r="D896" s="10"/>
      <x:c r="E896" s="10"/>
      <x:c r="F896" s="10"/>
      <x:c r="G896" s="10"/>
      <x:c r="H896" s="10"/>
    </x:row>
    <x:row r="897" ht="14.25" customHeight="1">
      <x:c r="A897" s="10"/>
      <x:c r="B897" s="10"/>
      <x:c r="C897" s="10"/>
      <x:c r="D897" s="10"/>
      <x:c r="E897" s="10"/>
      <x:c r="F897" s="10"/>
      <x:c r="G897" s="10"/>
      <x:c r="H897" s="10"/>
    </x:row>
    <x:row r="898" ht="14.25" customHeight="1">
      <x:c r="A898" s="10"/>
      <x:c r="B898" s="10"/>
      <x:c r="C898" s="10"/>
      <x:c r="D898" s="10"/>
      <x:c r="E898" s="10"/>
      <x:c r="F898" s="10"/>
      <x:c r="G898" s="10"/>
      <x:c r="H898" s="10"/>
    </x:row>
    <x:row r="899" ht="14.25" customHeight="1">
      <x:c r="A899" s="10"/>
      <x:c r="B899" s="10"/>
      <x:c r="C899" s="10"/>
      <x:c r="D899" s="10"/>
      <x:c r="E899" s="10"/>
      <x:c r="F899" s="10"/>
      <x:c r="G899" s="10"/>
      <x:c r="H899" s="10"/>
    </x:row>
    <x:row r="900" ht="14.25" customHeight="1">
      <x:c r="A900" s="10"/>
      <x:c r="B900" s="10"/>
      <x:c r="C900" s="10"/>
      <x:c r="D900" s="10"/>
      <x:c r="E900" s="10"/>
      <x:c r="F900" s="10"/>
      <x:c r="G900" s="10"/>
      <x:c r="H900" s="10"/>
    </x:row>
    <x:row r="901" ht="14.25" customHeight="1">
      <x:c r="A901" s="10"/>
      <x:c r="B901" s="10"/>
      <x:c r="C901" s="10"/>
      <x:c r="D901" s="10"/>
      <x:c r="E901" s="10"/>
      <x:c r="F901" s="10"/>
      <x:c r="G901" s="10"/>
      <x:c r="H901" s="10"/>
    </x:row>
    <x:row r="902" ht="14.25" customHeight="1">
      <x:c r="A902" s="10"/>
      <x:c r="B902" s="10"/>
      <x:c r="C902" s="10"/>
      <x:c r="D902" s="10"/>
      <x:c r="E902" s="10"/>
      <x:c r="F902" s="10"/>
      <x:c r="G902" s="10"/>
      <x:c r="H902" s="10"/>
    </x:row>
    <x:row r="903" ht="14.25" customHeight="1">
      <x:c r="A903" s="10"/>
      <x:c r="B903" s="10"/>
      <x:c r="C903" s="10"/>
      <x:c r="D903" s="10"/>
      <x:c r="E903" s="10"/>
      <x:c r="F903" s="10"/>
      <x:c r="G903" s="10"/>
      <x:c r="H903" s="10"/>
    </x:row>
    <x:row r="904" ht="14.25" customHeight="1">
      <x:c r="A904" s="10"/>
      <x:c r="B904" s="10"/>
      <x:c r="C904" s="10"/>
      <x:c r="D904" s="10"/>
      <x:c r="E904" s="10"/>
      <x:c r="F904" s="10"/>
      <x:c r="G904" s="10"/>
      <x:c r="H904" s="10"/>
    </x:row>
    <x:row r="905" ht="14.25" customHeight="1">
      <x:c r="A905" s="10"/>
      <x:c r="B905" s="10"/>
      <x:c r="C905" s="10"/>
      <x:c r="D905" s="10"/>
      <x:c r="E905" s="10"/>
      <x:c r="F905" s="10"/>
      <x:c r="G905" s="10"/>
      <x:c r="H905" s="10"/>
    </x:row>
    <x:row r="906" ht="14.25" customHeight="1">
      <x:c r="A906" s="10"/>
      <x:c r="B906" s="10"/>
      <x:c r="C906" s="10"/>
      <x:c r="D906" s="10"/>
      <x:c r="E906" s="10"/>
      <x:c r="F906" s="10"/>
      <x:c r="G906" s="10"/>
      <x:c r="H906" s="10"/>
    </x:row>
    <x:row r="907" ht="14.25" customHeight="1">
      <x:c r="A907" s="10"/>
      <x:c r="B907" s="10"/>
      <x:c r="C907" s="10"/>
      <x:c r="D907" s="10"/>
      <x:c r="E907" s="10"/>
      <x:c r="F907" s="10"/>
      <x:c r="G907" s="10"/>
      <x:c r="H907" s="10"/>
    </x:row>
    <x:row r="908" ht="14.25" customHeight="1">
      <x:c r="A908" s="10"/>
      <x:c r="B908" s="10"/>
      <x:c r="C908" s="10"/>
      <x:c r="D908" s="10"/>
      <x:c r="E908" s="10"/>
      <x:c r="F908" s="10"/>
      <x:c r="G908" s="10"/>
      <x:c r="H908" s="10"/>
    </x:row>
    <x:row r="909" ht="14.25" customHeight="1">
      <x:c r="A909" s="10"/>
      <x:c r="B909" s="10"/>
      <x:c r="C909" s="10"/>
      <x:c r="D909" s="10"/>
      <x:c r="E909" s="10"/>
      <x:c r="F909" s="10"/>
      <x:c r="G909" s="10"/>
      <x:c r="H909" s="10"/>
    </x:row>
    <x:row r="910" ht="14.25" customHeight="1">
      <x:c r="A910" s="10"/>
      <x:c r="B910" s="10"/>
      <x:c r="C910" s="10"/>
      <x:c r="D910" s="10"/>
      <x:c r="E910" s="10"/>
      <x:c r="F910" s="10"/>
      <x:c r="G910" s="10"/>
      <x:c r="H910" s="10"/>
    </x:row>
    <x:row r="911" ht="14.25" customHeight="1">
      <x:c r="A911" s="10"/>
      <x:c r="B911" s="10"/>
      <x:c r="C911" s="10"/>
      <x:c r="D911" s="10"/>
      <x:c r="E911" s="10"/>
      <x:c r="F911" s="10"/>
      <x:c r="G911" s="10"/>
      <x:c r="H911" s="10"/>
    </x:row>
    <x:row r="912" ht="14.25" customHeight="1">
      <x:c r="A912" s="10"/>
      <x:c r="B912" s="10"/>
      <x:c r="C912" s="10"/>
      <x:c r="D912" s="10"/>
      <x:c r="E912" s="10"/>
      <x:c r="F912" s="10"/>
      <x:c r="G912" s="10"/>
      <x:c r="H912" s="10"/>
    </x:row>
    <x:row r="913" ht="14.25" customHeight="1">
      <x:c r="A913" s="10"/>
      <x:c r="B913" s="10"/>
      <x:c r="C913" s="10"/>
      <x:c r="D913" s="10"/>
      <x:c r="E913" s="10"/>
      <x:c r="F913" s="10"/>
      <x:c r="G913" s="10"/>
      <x:c r="H913" s="10"/>
    </x:row>
    <x:row r="914" ht="14.25" customHeight="1">
      <x:c r="A914" s="10"/>
      <x:c r="B914" s="10"/>
      <x:c r="C914" s="10"/>
      <x:c r="D914" s="10"/>
      <x:c r="E914" s="10"/>
      <x:c r="F914" s="10"/>
      <x:c r="G914" s="10"/>
      <x:c r="H914" s="10"/>
    </x:row>
    <x:row r="915" ht="14.25" customHeight="1">
      <x:c r="A915" s="10"/>
      <x:c r="B915" s="10"/>
      <x:c r="C915" s="10"/>
      <x:c r="D915" s="10"/>
      <x:c r="E915" s="10"/>
      <x:c r="F915" s="10"/>
      <x:c r="G915" s="10"/>
      <x:c r="H915" s="10"/>
    </x:row>
    <x:row r="916" ht="14.25" customHeight="1">
      <x:c r="A916" s="10"/>
      <x:c r="B916" s="10"/>
      <x:c r="C916" s="10"/>
      <x:c r="D916" s="10"/>
      <x:c r="E916" s="10"/>
      <x:c r="F916" s="10"/>
      <x:c r="G916" s="10"/>
      <x:c r="H916" s="10"/>
    </x:row>
    <x:row r="917" ht="14.25" customHeight="1">
      <x:c r="A917" s="10"/>
      <x:c r="B917" s="10"/>
      <x:c r="C917" s="10"/>
      <x:c r="D917" s="10"/>
      <x:c r="E917" s="10"/>
      <x:c r="F917" s="10"/>
      <x:c r="G917" s="10"/>
      <x:c r="H917" s="10"/>
    </x:row>
    <x:row r="918" ht="14.25" customHeight="1">
      <x:c r="A918" s="10"/>
      <x:c r="B918" s="10"/>
      <x:c r="C918" s="10"/>
      <x:c r="D918" s="10"/>
      <x:c r="E918" s="10"/>
      <x:c r="F918" s="10"/>
      <x:c r="G918" s="10"/>
      <x:c r="H918" s="10"/>
    </x:row>
    <x:row r="919" ht="14.25" customHeight="1">
      <x:c r="A919" s="10"/>
      <x:c r="B919" s="10"/>
      <x:c r="C919" s="10"/>
      <x:c r="D919" s="10"/>
      <x:c r="E919" s="10"/>
      <x:c r="F919" s="10"/>
      <x:c r="G919" s="10"/>
      <x:c r="H919" s="10"/>
    </x:row>
    <x:row r="920" ht="14.25" customHeight="1">
      <x:c r="A920" s="10"/>
      <x:c r="B920" s="10"/>
      <x:c r="C920" s="10"/>
      <x:c r="D920" s="10"/>
      <x:c r="E920" s="10"/>
      <x:c r="F920" s="10"/>
      <x:c r="G920" s="10"/>
      <x:c r="H920" s="10"/>
    </x:row>
    <x:row r="921" ht="14.25" customHeight="1">
      <x:c r="A921" s="10"/>
      <x:c r="B921" s="10"/>
      <x:c r="C921" s="10"/>
      <x:c r="D921" s="10"/>
      <x:c r="E921" s="10"/>
      <x:c r="F921" s="10"/>
      <x:c r="G921" s="10"/>
      <x:c r="H921" s="10"/>
    </x:row>
    <x:row r="922" ht="14.25" customHeight="1">
      <x:c r="A922" s="10"/>
      <x:c r="B922" s="10"/>
      <x:c r="C922" s="10"/>
      <x:c r="D922" s="10"/>
      <x:c r="E922" s="10"/>
      <x:c r="F922" s="10"/>
      <x:c r="G922" s="10"/>
      <x:c r="H922" s="10"/>
    </x:row>
    <x:row r="923" ht="14.25" customHeight="1">
      <x:c r="A923" s="10"/>
      <x:c r="B923" s="10"/>
      <x:c r="C923" s="10"/>
      <x:c r="D923" s="10"/>
      <x:c r="E923" s="10"/>
      <x:c r="F923" s="10"/>
      <x:c r="G923" s="10"/>
      <x:c r="H923" s="10"/>
    </x:row>
    <x:row r="924" ht="14.25" customHeight="1">
      <x:c r="A924" s="10"/>
      <x:c r="B924" s="10"/>
      <x:c r="C924" s="10"/>
      <x:c r="D924" s="10"/>
      <x:c r="E924" s="10"/>
      <x:c r="F924" s="10"/>
      <x:c r="G924" s="10"/>
      <x:c r="H924" s="10"/>
    </x:row>
    <x:row r="925" ht="14.25" customHeight="1">
      <x:c r="A925" s="10"/>
      <x:c r="B925" s="10"/>
      <x:c r="C925" s="10"/>
      <x:c r="D925" s="10"/>
      <x:c r="E925" s="10"/>
      <x:c r="F925" s="10"/>
      <x:c r="G925" s="10"/>
      <x:c r="H925" s="10"/>
    </x:row>
    <x:row r="926" ht="14.25" customHeight="1">
      <x:c r="A926" s="10"/>
      <x:c r="B926" s="10"/>
      <x:c r="C926" s="10"/>
      <x:c r="D926" s="10"/>
      <x:c r="E926" s="10"/>
      <x:c r="F926" s="10"/>
      <x:c r="G926" s="10"/>
      <x:c r="H926" s="10"/>
    </x:row>
    <x:row r="927" ht="14.25" customHeight="1">
      <x:c r="A927" s="10"/>
      <x:c r="B927" s="10"/>
      <x:c r="C927" s="10"/>
      <x:c r="D927" s="10"/>
      <x:c r="E927" s="10"/>
      <x:c r="F927" s="10"/>
      <x:c r="G927" s="10"/>
      <x:c r="H927" s="10"/>
    </x:row>
    <x:row r="928" ht="14.25" customHeight="1">
      <x:c r="A928" s="10"/>
      <x:c r="B928" s="10"/>
      <x:c r="C928" s="10"/>
      <x:c r="D928" s="10"/>
      <x:c r="E928" s="10"/>
      <x:c r="F928" s="10"/>
      <x:c r="G928" s="10"/>
      <x:c r="H928" s="10"/>
    </x:row>
    <x:row r="929" ht="14.25" customHeight="1">
      <x:c r="A929" s="10"/>
      <x:c r="B929" s="10"/>
      <x:c r="C929" s="10"/>
      <x:c r="D929" s="10"/>
      <x:c r="E929" s="10"/>
      <x:c r="F929" s="10"/>
      <x:c r="G929" s="10"/>
      <x:c r="H929" s="10"/>
    </x:row>
    <x:row r="930" ht="14.25" customHeight="1">
      <x:c r="A930" s="10"/>
      <x:c r="B930" s="10"/>
      <x:c r="C930" s="10"/>
      <x:c r="D930" s="10"/>
      <x:c r="E930" s="10"/>
      <x:c r="F930" s="10"/>
      <x:c r="G930" s="10"/>
      <x:c r="H930" s="10"/>
    </x:row>
    <x:row r="931" ht="14.25" customHeight="1">
      <x:c r="A931" s="10"/>
      <x:c r="B931" s="10"/>
      <x:c r="C931" s="10"/>
      <x:c r="D931" s="10"/>
      <x:c r="E931" s="10"/>
      <x:c r="F931" s="10"/>
      <x:c r="G931" s="10"/>
      <x:c r="H931" s="10"/>
    </x:row>
    <x:row r="932" ht="14.25" customHeight="1">
      <x:c r="A932" s="10"/>
      <x:c r="B932" s="10"/>
      <x:c r="C932" s="10"/>
      <x:c r="D932" s="10"/>
      <x:c r="E932" s="10"/>
      <x:c r="F932" s="10"/>
      <x:c r="G932" s="10"/>
      <x:c r="H932" s="10"/>
    </x:row>
    <x:row r="933" ht="14.25" customHeight="1">
      <x:c r="A933" s="10"/>
      <x:c r="B933" s="10"/>
      <x:c r="C933" s="10"/>
      <x:c r="D933" s="10"/>
      <x:c r="E933" s="10"/>
      <x:c r="F933" s="10"/>
      <x:c r="G933" s="10"/>
      <x:c r="H933" s="10"/>
    </x:row>
    <x:row r="934" ht="14.25" customHeight="1">
      <x:c r="A934" s="10"/>
      <x:c r="B934" s="10"/>
      <x:c r="C934" s="10"/>
      <x:c r="D934" s="10"/>
      <x:c r="E934" s="10"/>
      <x:c r="F934" s="10"/>
      <x:c r="G934" s="10"/>
      <x:c r="H934" s="10"/>
    </x:row>
    <x:row r="935" ht="14.25" customHeight="1">
      <x:c r="A935" s="10"/>
      <x:c r="B935" s="10"/>
      <x:c r="C935" s="10"/>
      <x:c r="D935" s="10"/>
      <x:c r="E935" s="10"/>
      <x:c r="F935" s="10"/>
      <x:c r="G935" s="10"/>
      <x:c r="H935" s="10"/>
    </x:row>
    <x:row r="936" ht="14.25" customHeight="1">
      <x:c r="A936" s="10"/>
      <x:c r="B936" s="10"/>
      <x:c r="C936" s="10"/>
      <x:c r="D936" s="10"/>
      <x:c r="E936" s="10"/>
      <x:c r="F936" s="10"/>
      <x:c r="G936" s="10"/>
      <x:c r="H936" s="10"/>
    </x:row>
    <x:row r="937" ht="14.25" customHeight="1">
      <x:c r="A937" s="10"/>
      <x:c r="B937" s="10"/>
      <x:c r="C937" s="10"/>
      <x:c r="D937" s="10"/>
      <x:c r="E937" s="10"/>
      <x:c r="F937" s="10"/>
      <x:c r="G937" s="10"/>
      <x:c r="H937" s="10"/>
    </x:row>
    <x:row r="938" ht="14.25" customHeight="1">
      <x:c r="A938" s="10"/>
      <x:c r="B938" s="10"/>
      <x:c r="C938" s="10"/>
      <x:c r="D938" s="10"/>
      <x:c r="E938" s="10"/>
      <x:c r="F938" s="10"/>
      <x:c r="G938" s="10"/>
      <x:c r="H938" s="10"/>
    </x:row>
    <x:row r="939" ht="14.25" customHeight="1">
      <x:c r="A939" s="10"/>
      <x:c r="B939" s="10"/>
      <x:c r="C939" s="10"/>
      <x:c r="D939" s="10"/>
      <x:c r="E939" s="10"/>
      <x:c r="F939" s="10"/>
      <x:c r="G939" s="10"/>
      <x:c r="H939" s="10"/>
    </x:row>
    <x:row r="940" ht="14.25" customHeight="1">
      <x:c r="A940" s="10"/>
      <x:c r="B940" s="10"/>
      <x:c r="C940" s="10"/>
      <x:c r="D940" s="10"/>
      <x:c r="E940" s="10"/>
      <x:c r="F940" s="10"/>
      <x:c r="G940" s="10"/>
      <x:c r="H940" s="10"/>
    </x:row>
    <x:row r="941" ht="14.25" customHeight="1">
      <x:c r="A941" s="10"/>
      <x:c r="B941" s="10"/>
      <x:c r="C941" s="10"/>
      <x:c r="D941" s="10"/>
      <x:c r="E941" s="10"/>
      <x:c r="F941" s="10"/>
      <x:c r="G941" s="10"/>
      <x:c r="H941" s="10"/>
    </x:row>
    <x:row r="942" ht="14.25" customHeight="1">
      <x:c r="A942" s="10"/>
      <x:c r="B942" s="10"/>
      <x:c r="C942" s="10"/>
      <x:c r="D942" s="10"/>
      <x:c r="E942" s="10"/>
      <x:c r="F942" s="10"/>
      <x:c r="G942" s="10"/>
      <x:c r="H942" s="10"/>
    </x:row>
    <x:row r="943" ht="14.25" customHeight="1">
      <x:c r="A943" s="10"/>
      <x:c r="B943" s="10"/>
      <x:c r="C943" s="10"/>
      <x:c r="D943" s="10"/>
      <x:c r="E943" s="10"/>
      <x:c r="F943" s="10"/>
      <x:c r="G943" s="10"/>
      <x:c r="H943" s="10"/>
    </x:row>
    <x:row r="944" ht="14.25" customHeight="1">
      <x:c r="A944" s="10"/>
      <x:c r="B944" s="10"/>
      <x:c r="C944" s="10"/>
      <x:c r="D944" s="10"/>
      <x:c r="E944" s="10"/>
      <x:c r="F944" s="10"/>
      <x:c r="G944" s="10"/>
      <x:c r="H944" s="10"/>
    </x:row>
    <x:row r="945" ht="14.25" customHeight="1">
      <x:c r="A945" s="10"/>
      <x:c r="B945" s="10"/>
      <x:c r="C945" s="10"/>
      <x:c r="D945" s="10"/>
      <x:c r="E945" s="10"/>
      <x:c r="F945" s="10"/>
      <x:c r="G945" s="10"/>
      <x:c r="H945" s="10"/>
    </x:row>
    <x:row r="946" ht="14.25" customHeight="1">
      <x:c r="A946" s="10"/>
      <x:c r="B946" s="10"/>
      <x:c r="C946" s="10"/>
      <x:c r="D946" s="10"/>
      <x:c r="E946" s="10"/>
      <x:c r="F946" s="10"/>
      <x:c r="G946" s="10"/>
      <x:c r="H946" s="10"/>
    </x:row>
    <x:row r="947" ht="14.25" customHeight="1">
      <x:c r="A947" s="10"/>
      <x:c r="B947" s="10"/>
      <x:c r="C947" s="10"/>
      <x:c r="D947" s="10"/>
      <x:c r="E947" s="10"/>
      <x:c r="F947" s="10"/>
      <x:c r="G947" s="10"/>
      <x:c r="H947" s="10"/>
    </x:row>
    <x:row r="948" ht="14.25" customHeight="1">
      <x:c r="A948" s="10"/>
      <x:c r="B948" s="10"/>
      <x:c r="C948" s="10"/>
      <x:c r="D948" s="10"/>
      <x:c r="E948" s="10"/>
      <x:c r="F948" s="10"/>
      <x:c r="G948" s="10"/>
      <x:c r="H948" s="10"/>
    </x:row>
    <x:row r="949" ht="14.25" customHeight="1">
      <x:c r="A949" s="10"/>
      <x:c r="B949" s="10"/>
      <x:c r="C949" s="10"/>
      <x:c r="D949" s="10"/>
      <x:c r="E949" s="10"/>
      <x:c r="F949" s="10"/>
      <x:c r="G949" s="10"/>
      <x:c r="H949" s="10"/>
    </x:row>
    <x:row r="950" ht="14.25" customHeight="1">
      <x:c r="A950" s="10"/>
      <x:c r="B950" s="10"/>
      <x:c r="C950" s="10"/>
      <x:c r="D950" s="10"/>
      <x:c r="E950" s="10"/>
      <x:c r="F950" s="10"/>
      <x:c r="G950" s="10"/>
      <x:c r="H950" s="10"/>
    </x:row>
    <x:row r="951" ht="14.25" customHeight="1">
      <x:c r="A951" s="10"/>
      <x:c r="B951" s="10"/>
      <x:c r="C951" s="10"/>
      <x:c r="D951" s="10"/>
      <x:c r="E951" s="10"/>
      <x:c r="F951" s="10"/>
      <x:c r="G951" s="10"/>
      <x:c r="H951" s="10"/>
    </x:row>
    <x:row r="952" ht="14.25" customHeight="1">
      <x:c r="A952" s="10"/>
      <x:c r="B952" s="10"/>
      <x:c r="C952" s="10"/>
      <x:c r="D952" s="10"/>
      <x:c r="E952" s="10"/>
      <x:c r="F952" s="10"/>
      <x:c r="G952" s="10"/>
      <x:c r="H952" s="10"/>
    </x:row>
    <x:row r="953" ht="14.25" customHeight="1">
      <x:c r="A953" s="10"/>
      <x:c r="B953" s="10"/>
      <x:c r="C953" s="10"/>
      <x:c r="D953" s="10"/>
      <x:c r="E953" s="10"/>
      <x:c r="F953" s="10"/>
      <x:c r="G953" s="10"/>
      <x:c r="H953" s="10"/>
    </x:row>
    <x:row r="954" ht="14.25" customHeight="1">
      <x:c r="A954" s="10"/>
      <x:c r="B954" s="10"/>
      <x:c r="C954" s="10"/>
      <x:c r="D954" s="10"/>
      <x:c r="E954" s="10"/>
      <x:c r="F954" s="10"/>
      <x:c r="G954" s="10"/>
      <x:c r="H954" s="10"/>
    </x:row>
    <x:row r="955" ht="14.25" customHeight="1">
      <x:c r="A955" s="10"/>
      <x:c r="B955" s="10"/>
      <x:c r="C955" s="10"/>
      <x:c r="D955" s="10"/>
      <x:c r="E955" s="10"/>
      <x:c r="F955" s="10"/>
      <x:c r="G955" s="10"/>
      <x:c r="H955" s="10"/>
    </x:row>
    <x:row r="956" ht="14.25" customHeight="1">
      <x:c r="A956" s="10"/>
      <x:c r="B956" s="10"/>
      <x:c r="C956" s="10"/>
      <x:c r="D956" s="10"/>
      <x:c r="E956" s="10"/>
      <x:c r="F956" s="10"/>
      <x:c r="G956" s="10"/>
      <x:c r="H956" s="10"/>
    </x:row>
    <x:row r="957" ht="14.25" customHeight="1">
      <x:c r="A957" s="10"/>
      <x:c r="B957" s="10"/>
      <x:c r="C957" s="10"/>
      <x:c r="D957" s="10"/>
      <x:c r="E957" s="10"/>
      <x:c r="F957" s="10"/>
      <x:c r="G957" s="10"/>
      <x:c r="H957" s="10"/>
    </x:row>
    <x:row r="958" ht="14.25" customHeight="1">
      <x:c r="A958" s="10"/>
      <x:c r="B958" s="10"/>
      <x:c r="C958" s="10"/>
      <x:c r="D958" s="10"/>
      <x:c r="E958" s="10"/>
      <x:c r="F958" s="10"/>
      <x:c r="G958" s="10"/>
      <x:c r="H958" s="10"/>
    </x:row>
    <x:row r="959" ht="14.25" customHeight="1">
      <x:c r="A959" s="10"/>
      <x:c r="B959" s="10"/>
      <x:c r="C959" s="10"/>
      <x:c r="D959" s="10"/>
      <x:c r="E959" s="10"/>
      <x:c r="F959" s="10"/>
      <x:c r="G959" s="10"/>
      <x:c r="H959" s="10"/>
    </x:row>
    <x:row r="960" ht="14.25" customHeight="1">
      <x:c r="A960" s="10"/>
      <x:c r="B960" s="10"/>
      <x:c r="C960" s="10"/>
      <x:c r="D960" s="10"/>
      <x:c r="E960" s="10"/>
      <x:c r="F960" s="10"/>
      <x:c r="G960" s="10"/>
      <x:c r="H960" s="10"/>
    </x:row>
    <x:row r="961" ht="14.25" customHeight="1">
      <x:c r="A961" s="10"/>
      <x:c r="B961" s="10"/>
      <x:c r="C961" s="10"/>
      <x:c r="D961" s="10"/>
      <x:c r="E961" s="10"/>
      <x:c r="F961" s="10"/>
      <x:c r="G961" s="10"/>
      <x:c r="H961" s="10"/>
    </x:row>
    <x:row r="962" ht="14.25" customHeight="1">
      <x:c r="A962" s="10"/>
      <x:c r="B962" s="10"/>
      <x:c r="C962" s="10"/>
      <x:c r="D962" s="10"/>
      <x:c r="E962" s="10"/>
      <x:c r="F962" s="10"/>
      <x:c r="G962" s="10"/>
      <x:c r="H962" s="10"/>
    </x:row>
    <x:row r="963" ht="14.25" customHeight="1">
      <x:c r="A963" s="10"/>
      <x:c r="B963" s="10"/>
      <x:c r="C963" s="10"/>
      <x:c r="D963" s="10"/>
      <x:c r="E963" s="10"/>
      <x:c r="F963" s="10"/>
      <x:c r="G963" s="10"/>
      <x:c r="H963" s="10"/>
    </x:row>
    <x:row r="964" ht="14.25" customHeight="1">
      <x:c r="A964" s="10"/>
      <x:c r="B964" s="10"/>
      <x:c r="C964" s="10"/>
      <x:c r="D964" s="10"/>
      <x:c r="E964" s="10"/>
      <x:c r="F964" s="10"/>
      <x:c r="G964" s="10"/>
      <x:c r="H964" s="10"/>
    </x:row>
    <x:row r="965" ht="14.25" customHeight="1">
      <x:c r="A965" s="10"/>
      <x:c r="B965" s="10"/>
      <x:c r="C965" s="10"/>
      <x:c r="D965" s="10"/>
      <x:c r="E965" s="10"/>
      <x:c r="F965" s="10"/>
      <x:c r="G965" s="10"/>
      <x:c r="H965" s="10"/>
    </x:row>
    <x:row r="966" ht="14.25" customHeight="1">
      <x:c r="A966" s="10"/>
      <x:c r="B966" s="10"/>
      <x:c r="C966" s="10"/>
      <x:c r="D966" s="10"/>
      <x:c r="E966" s="10"/>
      <x:c r="F966" s="10"/>
      <x:c r="G966" s="10"/>
      <x:c r="H966" s="10"/>
    </x:row>
    <x:row r="967" ht="14.25" customHeight="1">
      <x:c r="A967" s="10"/>
      <x:c r="B967" s="10"/>
      <x:c r="C967" s="10"/>
      <x:c r="D967" s="10"/>
      <x:c r="E967" s="10"/>
      <x:c r="F967" s="10"/>
      <x:c r="G967" s="10"/>
      <x:c r="H967" s="10"/>
    </x:row>
    <x:row r="968" ht="14.25" customHeight="1">
      <x:c r="A968" s="10"/>
      <x:c r="B968" s="10"/>
      <x:c r="C968" s="10"/>
      <x:c r="D968" s="10"/>
      <x:c r="E968" s="10"/>
      <x:c r="F968" s="10"/>
      <x:c r="G968" s="10"/>
      <x:c r="H968" s="10"/>
    </x:row>
    <x:row r="969" ht="14.25" customHeight="1">
      <x:c r="A969" s="10"/>
      <x:c r="B969" s="10"/>
      <x:c r="C969" s="10"/>
      <x:c r="D969" s="10"/>
      <x:c r="E969" s="10"/>
      <x:c r="F969" s="10"/>
      <x:c r="G969" s="10"/>
      <x:c r="H969" s="10"/>
    </x:row>
    <x:row r="970" ht="14.25" customHeight="1">
      <x:c r="A970" s="10"/>
      <x:c r="B970" s="10"/>
      <x:c r="C970" s="10"/>
      <x:c r="D970" s="10"/>
      <x:c r="E970" s="10"/>
      <x:c r="F970" s="10"/>
      <x:c r="G970" s="10"/>
      <x:c r="H970" s="10"/>
    </x:row>
    <x:row r="971" ht="14.25" customHeight="1">
      <x:c r="A971" s="10"/>
      <x:c r="B971" s="10"/>
      <x:c r="C971" s="10"/>
      <x:c r="D971" s="10"/>
      <x:c r="E971" s="10"/>
      <x:c r="F971" s="10"/>
      <x:c r="G971" s="10"/>
      <x:c r="H971" s="10"/>
    </x:row>
    <x:row r="972" ht="14.25" customHeight="1">
      <x:c r="A972" s="10"/>
      <x:c r="B972" s="10"/>
      <x:c r="C972" s="10"/>
      <x:c r="D972" s="10"/>
      <x:c r="E972" s="10"/>
      <x:c r="F972" s="10"/>
      <x:c r="G972" s="10"/>
      <x:c r="H972" s="10"/>
    </x:row>
    <x:row r="973" ht="14.25" customHeight="1">
      <x:c r="A973" s="10"/>
      <x:c r="B973" s="10"/>
      <x:c r="C973" s="10"/>
      <x:c r="D973" s="10"/>
      <x:c r="E973" s="10"/>
      <x:c r="F973" s="10"/>
      <x:c r="G973" s="10"/>
      <x:c r="H973" s="10"/>
    </x:row>
    <x:row r="974" ht="14.25" customHeight="1">
      <x:c r="A974" s="10"/>
      <x:c r="B974" s="10"/>
      <x:c r="C974" s="10"/>
      <x:c r="D974" s="10"/>
      <x:c r="E974" s="10"/>
      <x:c r="F974" s="10"/>
      <x:c r="G974" s="10"/>
      <x:c r="H974" s="10"/>
    </x:row>
    <x:row r="975" ht="14.25" customHeight="1">
      <x:c r="A975" s="10"/>
      <x:c r="B975" s="10"/>
      <x:c r="C975" s="10"/>
      <x:c r="D975" s="10"/>
      <x:c r="E975" s="10"/>
      <x:c r="F975" s="10"/>
      <x:c r="G975" s="10"/>
      <x:c r="H975" s="10"/>
    </x:row>
    <x:row r="976" ht="14.25" customHeight="1">
      <x:c r="A976" s="10"/>
      <x:c r="B976" s="10"/>
      <x:c r="C976" s="10"/>
      <x:c r="D976" s="10"/>
      <x:c r="E976" s="10"/>
      <x:c r="F976" s="10"/>
      <x:c r="G976" s="10"/>
      <x:c r="H976" s="10"/>
    </x:row>
    <x:row r="977" ht="14.25" customHeight="1">
      <x:c r="A977" s="10"/>
      <x:c r="B977" s="10"/>
      <x:c r="C977" s="10"/>
      <x:c r="D977" s="10"/>
      <x:c r="E977" s="10"/>
      <x:c r="F977" s="10"/>
      <x:c r="G977" s="10"/>
      <x:c r="H977" s="10"/>
    </x:row>
    <x:row r="978" ht="14.25" customHeight="1">
      <x:c r="A978" s="10"/>
      <x:c r="B978" s="10"/>
      <x:c r="C978" s="10"/>
      <x:c r="D978" s="10"/>
      <x:c r="E978" s="10"/>
      <x:c r="F978" s="10"/>
      <x:c r="G978" s="10"/>
      <x:c r="H978" s="10"/>
    </x:row>
    <x:row r="979" ht="14.25" customHeight="1">
      <x:c r="A979" s="10"/>
      <x:c r="B979" s="10"/>
      <x:c r="C979" s="10"/>
      <x:c r="D979" s="10"/>
      <x:c r="E979" s="10"/>
      <x:c r="F979" s="10"/>
      <x:c r="G979" s="10"/>
      <x:c r="H979" s="10"/>
    </x:row>
    <x:row r="980" ht="14.25" customHeight="1">
      <x:c r="A980" s="10"/>
      <x:c r="B980" s="10"/>
      <x:c r="C980" s="10"/>
      <x:c r="D980" s="10"/>
      <x:c r="E980" s="10"/>
      <x:c r="F980" s="10"/>
      <x:c r="G980" s="10"/>
      <x:c r="H980" s="10"/>
    </x:row>
    <x:row r="981" ht="14.25" customHeight="1">
      <x:c r="A981" s="10"/>
      <x:c r="B981" s="10"/>
      <x:c r="C981" s="10"/>
      <x:c r="D981" s="10"/>
      <x:c r="E981" s="10"/>
      <x:c r="F981" s="10"/>
      <x:c r="G981" s="10"/>
      <x:c r="H981" s="10"/>
    </x:row>
    <x:row r="982" ht="14.25" customHeight="1">
      <x:c r="A982" s="10"/>
      <x:c r="B982" s="10"/>
      <x:c r="C982" s="10"/>
      <x:c r="D982" s="10"/>
      <x:c r="E982" s="10"/>
      <x:c r="F982" s="10"/>
      <x:c r="G982" s="10"/>
      <x:c r="H982" s="10"/>
    </x:row>
    <x:row r="983" ht="14.25" customHeight="1">
      <x:c r="A983" s="10"/>
      <x:c r="B983" s="10"/>
      <x:c r="C983" s="10"/>
      <x:c r="D983" s="10"/>
      <x:c r="E983" s="10"/>
      <x:c r="F983" s="10"/>
      <x:c r="G983" s="10"/>
      <x:c r="H983" s="10"/>
    </x:row>
    <x:row r="984" ht="14.25" customHeight="1">
      <x:c r="A984" s="10"/>
      <x:c r="B984" s="10"/>
      <x:c r="C984" s="10"/>
      <x:c r="D984" s="10"/>
      <x:c r="E984" s="10"/>
      <x:c r="F984" s="10"/>
      <x:c r="G984" s="10"/>
      <x:c r="H984" s="10"/>
    </x:row>
    <x:row r="985" ht="14.25" customHeight="1">
      <x:c r="A985" s="10"/>
      <x:c r="B985" s="10"/>
      <x:c r="C985" s="10"/>
      <x:c r="D985" s="10"/>
      <x:c r="E985" s="10"/>
      <x:c r="F985" s="10"/>
      <x:c r="G985" s="10"/>
      <x:c r="H985" s="10"/>
    </x:row>
    <x:row r="986" ht="14.25" customHeight="1">
      <x:c r="A986" s="10"/>
      <x:c r="B986" s="10"/>
      <x:c r="C986" s="10"/>
      <x:c r="D986" s="10"/>
      <x:c r="E986" s="10"/>
      <x:c r="F986" s="10"/>
      <x:c r="G986" s="10"/>
      <x:c r="H986" s="10"/>
    </x:row>
    <x:row r="987" ht="14.25" customHeight="1">
      <x:c r="A987" s="10"/>
      <x:c r="B987" s="10"/>
      <x:c r="C987" s="10"/>
      <x:c r="D987" s="10"/>
      <x:c r="E987" s="10"/>
      <x:c r="F987" s="10"/>
      <x:c r="G987" s="10"/>
      <x:c r="H987" s="10"/>
    </x:row>
    <x:row r="988" ht="14.25" customHeight="1">
      <x:c r="A988" s="10"/>
      <x:c r="B988" s="10"/>
      <x:c r="C988" s="10"/>
      <x:c r="D988" s="10"/>
      <x:c r="E988" s="10"/>
      <x:c r="F988" s="10"/>
      <x:c r="G988" s="10"/>
      <x:c r="H988" s="10"/>
    </x:row>
    <x:row r="989" ht="14.25" customHeight="1">
      <x:c r="A989" s="10"/>
      <x:c r="B989" s="10"/>
      <x:c r="C989" s="10"/>
      <x:c r="D989" s="10"/>
      <x:c r="E989" s="10"/>
      <x:c r="F989" s="10"/>
      <x:c r="G989" s="10"/>
      <x:c r="H989" s="10"/>
    </x:row>
    <x:row r="990" ht="14.25" customHeight="1">
      <x:c r="A990" s="10"/>
      <x:c r="B990" s="10"/>
      <x:c r="C990" s="10"/>
      <x:c r="D990" s="10"/>
      <x:c r="E990" s="10"/>
      <x:c r="F990" s="10"/>
      <x:c r="G990" s="10"/>
      <x:c r="H990" s="10"/>
    </x:row>
    <x:row r="991" ht="14.25" customHeight="1">
      <x:c r="A991" s="10"/>
      <x:c r="B991" s="10"/>
      <x:c r="C991" s="10"/>
      <x:c r="D991" s="10"/>
      <x:c r="E991" s="10"/>
      <x:c r="F991" s="10"/>
      <x:c r="G991" s="10"/>
      <x:c r="H991" s="10"/>
    </x:row>
    <x:row r="992" ht="14.25" customHeight="1">
      <x:c r="A992" s="10"/>
      <x:c r="B992" s="10"/>
      <x:c r="C992" s="10"/>
      <x:c r="D992" s="10"/>
      <x:c r="E992" s="10"/>
      <x:c r="F992" s="10"/>
      <x:c r="G992" s="10"/>
      <x:c r="H992" s="10"/>
    </x:row>
    <x:row r="993" ht="14.25" customHeight="1">
      <x:c r="A993" s="10"/>
      <x:c r="B993" s="10"/>
      <x:c r="C993" s="10"/>
      <x:c r="D993" s="10"/>
      <x:c r="E993" s="10"/>
      <x:c r="F993" s="10"/>
      <x:c r="G993" s="10"/>
      <x:c r="H993" s="10"/>
    </x:row>
    <x:row r="994" ht="14.25" customHeight="1">
      <x:c r="A994" s="10"/>
      <x:c r="B994" s="10"/>
      <x:c r="C994" s="10"/>
      <x:c r="D994" s="10"/>
      <x:c r="E994" s="10"/>
      <x:c r="F994" s="10"/>
      <x:c r="G994" s="10"/>
      <x:c r="H994" s="10"/>
    </x:row>
    <x:row r="995" ht="14.25" customHeight="1">
      <x:c r="A995" s="10"/>
      <x:c r="B995" s="10"/>
      <x:c r="C995" s="10"/>
      <x:c r="D995" s="10"/>
      <x:c r="E995" s="10"/>
      <x:c r="F995" s="10"/>
      <x:c r="G995" s="10"/>
      <x:c r="H995" s="10"/>
    </x:row>
    <x:row r="996" ht="14.25" customHeight="1">
      <x:c r="A996" s="10"/>
      <x:c r="B996" s="10"/>
      <x:c r="C996" s="10"/>
      <x:c r="D996" s="10"/>
      <x:c r="E996" s="10"/>
      <x:c r="F996" s="10"/>
      <x:c r="G996" s="10"/>
      <x:c r="H996" s="10"/>
    </x:row>
    <x:row r="997" ht="14.25" customHeight="1">
      <x:c r="A997" s="10"/>
      <x:c r="B997" s="10"/>
      <x:c r="C997" s="10"/>
      <x:c r="D997" s="10"/>
      <x:c r="E997" s="10"/>
      <x:c r="F997" s="10"/>
      <x:c r="G997" s="10"/>
      <x:c r="H997" s="10"/>
    </x:row>
    <x:row r="998" ht="14.25" customHeight="1">
      <x:c r="A998" s="10"/>
      <x:c r="B998" s="10"/>
      <x:c r="C998" s="10"/>
      <x:c r="D998" s="10"/>
      <x:c r="E998" s="10"/>
      <x:c r="F998" s="10"/>
      <x:c r="G998" s="10"/>
      <x:c r="H998" s="10"/>
    </x:row>
    <x:row r="999" ht="14.25" customHeight="1">
      <x:c r="A999" s="10"/>
      <x:c r="B999" s="10"/>
      <x:c r="C999" s="10"/>
      <x:c r="D999" s="10"/>
      <x:c r="E999" s="10"/>
      <x:c r="F999" s="10"/>
      <x:c r="G999" s="10"/>
      <x:c r="H999" s="10"/>
    </x:row>
    <x:row r="1000" ht="14.25" customHeight="1">
      <x:c r="A1000" s="10"/>
      <x:c r="B1000" s="10"/>
      <x:c r="C1000" s="10"/>
      <x:c r="D1000" s="10"/>
      <x:c r="E1000" s="10"/>
      <x:c r="F1000" s="10"/>
      <x:c r="G1000" s="10"/>
      <x:c r="H1000" s="10"/>
    </x:row>
  </x:sheetData>
  <x:pageMargins left="0.7" right="0.7" top="0.75" bottom="0.75" header="0.3" footer="0.3"/>
</x:worksheet>
</file>

<file path=xl/worksheets/sheet7.xml><?xml version="1.0" encoding="utf-8"?>
<x:worksheet xmlns:x="http://schemas.openxmlformats.org/spreadsheetml/2006/main">
  <x:sheetFormatPr defaultColWidth="14.453125" defaultRowHeight="15"/>
  <x:cols>
    <x:col min="1" max="1" width="34" customWidth="1"/>
    <x:col min="2" max="7" width="10" customWidth="1"/>
    <x:col min="8" max="26" width="8.54296875" customWidth="1"/>
  </x:cols>
  <x:sheetData>
    <x:row r="1" ht="15.75" customHeight="1">
      <x:c r="A1" s="11" t="s">
        <x:v>954</x:v>
      </x:c>
      <x:c r="B1" s="10"/>
      <x:c r="C1" s="10"/>
      <x:c r="D1" s="10"/>
      <x:c r="E1" s="10"/>
      <x:c r="F1" s="10"/>
      <x:c r="G1" s="10"/>
      <x:c r="H1" s="10"/>
    </x:row>
    <x:row r="2" ht="14.25" customHeight="1">
      <x:c r="A2" s="10"/>
      <x:c r="B2" s="10"/>
      <x:c r="C2" s="10"/>
      <x:c r="D2" s="10"/>
      <x:c r="E2" s="10"/>
      <x:c r="F2" s="10"/>
      <x:c r="G2" s="10"/>
      <x:c r="H2" s="10"/>
    </x:row>
    <x:row r="3" ht="15" customHeight="1">
      <x:c r="A3" s="13" t="s">
        <x:v>955</x:v>
      </x:c>
      <x:c r="B3" s="10"/>
      <x:c r="C3" s="10"/>
      <x:c r="D3" s="10"/>
      <x:c r="E3" s="10"/>
      <x:c r="F3" s="10"/>
      <x:c r="G3" s="10"/>
      <x:c r="H3" s="10"/>
    </x:row>
    <x:row r="4" ht="15" customHeight="1">
      <x:c r="A4" s="14" t="s">
        <x:v>918</x:v>
      </x:c>
      <x:c r="B4" s="14" t="s">
        <x:v>11</x:v>
      </x:c>
      <x:c r="C4" s="14" t="s">
        <x:v>92</x:v>
      </x:c>
      <x:c r="D4" s="14" t="s">
        <x:v>22</x:v>
      </x:c>
      <x:c r="E4" s="14" t="s">
        <x:v>37</x:v>
      </x:c>
      <x:c r="F4" s="14" t="s">
        <x:v>62</x:v>
      </x:c>
      <x:c r="G4" s="14" t="s">
        <x:v>908</x:v>
      </x:c>
      <x:c r="H4" s="10"/>
    </x:row>
    <x:row r="5" ht="15" customHeight="1">
      <x:c r="A5" s="22" t="s">
        <x:v>744</x:v>
      </x:c>
      <x:c r="B5" s="16" t="n">
        <x:f>SUMIFS('Data (parsed)'!$I$2:$I$235,'Data (parsed)'!$B$2:$B$235,"Honor",'Data (parsed)'!$C$2:$C$235,$A5,'Data (parsed)'!$D$2:$D$235,B$4)</x:f>
        <x:v>0</x:v>
      </x:c>
      <x:c r="C5" s="16" t="n">
        <x:f>SUMIFS('Data (parsed)'!$I$2:$I$235,'Data (parsed)'!$B$2:$B$235,"Honor",'Data (parsed)'!$C$2:$C$235,$A5,'Data (parsed)'!$D$2:$D$235,C$4)</x:f>
        <x:v>1</x:v>
      </x:c>
      <x:c r="D5" s="16" t="n">
        <x:f>SUMIFS('Data (parsed)'!$I$2:$I$235,'Data (parsed)'!$B$2:$B$235,"Honor",'Data (parsed)'!$C$2:$C$235,$A5,'Data (parsed)'!$D$2:$D$235,D$4)</x:f>
        <x:v>2</x:v>
      </x:c>
      <x:c r="E5" s="16" t="n">
        <x:f>SUMIFS('Data (parsed)'!$I$2:$I$235,'Data (parsed)'!$B$2:$B$235,"Honor",'Data (parsed)'!$C$2:$C$235,$A5,'Data (parsed)'!$D$2:$D$235,E$4)</x:f>
        <x:v>17</x:v>
      </x:c>
      <x:c r="F5" s="16" t="n">
        <x:f>SUMIFS('Data (parsed)'!$I$2:$I$235,'Data (parsed)'!$B$2:$B$235,"Honor",'Data (parsed)'!$C$2:$C$235,$A5,'Data (parsed)'!$D$2:$D$235,F$4)</x:f>
        <x:v>7</x:v>
      </x:c>
      <x:c r="G5" s="18" t="n">
        <x:f t="shared" ref="G5:G11" si="0">SUM(B5:F5)</x:f>
        <x:v>27</x:v>
      </x:c>
      <x:c r="H5" s="10"/>
    </x:row>
    <x:row r="6" ht="15" customHeight="1">
      <x:c r="A6" s="22" t="s">
        <x:v>956</x:v>
      </x:c>
      <x:c r="B6" s="16" t="n">
        <x:f>SUMIFS('Data (parsed)'!$I$2:$I$235,'Data (parsed)'!$B$2:$B$235,"Honor",'Data (parsed)'!$C$2:$C$235,$A6,'Data (parsed)'!$D$2:$D$235,B$4)</x:f>
        <x:v>2</x:v>
      </x:c>
      <x:c r="C6" s="16" t="n">
        <x:f>SUMIFS('Data (parsed)'!$I$2:$I$235,'Data (parsed)'!$B$2:$B$235,"Honor",'Data (parsed)'!$C$2:$C$235,$A6,'Data (parsed)'!$D$2:$D$235,C$4)</x:f>
        <x:v>1</x:v>
      </x:c>
      <x:c r="D6" s="16" t="n">
        <x:f>SUMIFS('Data (parsed)'!$I$2:$I$235,'Data (parsed)'!$B$2:$B$235,"Honor",'Data (parsed)'!$C$2:$C$235,$A6,'Data (parsed)'!$D$2:$D$235,D$4)</x:f>
        <x:v>0</x:v>
      </x:c>
      <x:c r="E6" s="16" t="n">
        <x:f>SUMIFS('Data (parsed)'!$I$2:$I$235,'Data (parsed)'!$B$2:$B$235,"Honor",'Data (parsed)'!$C$2:$C$235,$A6,'Data (parsed)'!$D$2:$D$235,E$4)</x:f>
        <x:v>5</x:v>
      </x:c>
      <x:c r="F6" s="16" t="n">
        <x:f>SUMIFS('Data (parsed)'!$I$2:$I$235,'Data (parsed)'!$B$2:$B$235,"Honor",'Data (parsed)'!$C$2:$C$235,$A6,'Data (parsed)'!$D$2:$D$235,F$4)</x:f>
        <x:v>3</x:v>
      </x:c>
      <x:c r="G6" s="18">
        <x:f t="shared" si="0"/>
        <x:v>11</x:v>
      </x:c>
      <x:c r="H6" s="10"/>
    </x:row>
    <x:row r="7" ht="15" customHeight="1">
      <x:c r="A7" s="22" t="s">
        <x:v>957</x:v>
      </x:c>
      <x:c r="B7" s="16" t="n">
        <x:f>SUMIFS('Data (parsed)'!$I$2:$I$235,'Data (parsed)'!$B$2:$B$235,"Honor",'Data (parsed)'!$C$2:$C$235,$A7,'Data (parsed)'!$D$2:$D$235,B$4)</x:f>
        <x:v>3</x:v>
      </x:c>
      <x:c r="C7" s="16" t="n">
        <x:f>SUMIFS('Data (parsed)'!$I$2:$I$235,'Data (parsed)'!$B$2:$B$235,"Honor",'Data (parsed)'!$C$2:$C$235,$A7,'Data (parsed)'!$D$2:$D$235,C$4)</x:f>
        <x:v>2</x:v>
      </x:c>
      <x:c r="D7" s="16" t="n">
        <x:f>SUMIFS('Data (parsed)'!$I$2:$I$235,'Data (parsed)'!$B$2:$B$235,"Honor",'Data (parsed)'!$C$2:$C$235,$A7,'Data (parsed)'!$D$2:$D$235,D$4)</x:f>
        <x:v>0</x:v>
      </x:c>
      <x:c r="E7" s="16" t="n">
        <x:f>SUMIFS('Data (parsed)'!$I$2:$I$235,'Data (parsed)'!$B$2:$B$235,"Honor",'Data (parsed)'!$C$2:$C$235,$A7,'Data (parsed)'!$D$2:$D$235,E$4)</x:f>
        <x:v>1</x:v>
      </x:c>
      <x:c r="F7" s="16" t="n">
        <x:f>SUMIFS('Data (parsed)'!$I$2:$I$235,'Data (parsed)'!$B$2:$B$235,"Honor",'Data (parsed)'!$C$2:$C$235,$A7,'Data (parsed)'!$D$2:$D$235,F$4)</x:f>
        <x:v>0</x:v>
      </x:c>
      <x:c r="G7" s="18">
        <x:f t="shared" si="0"/>
        <x:v>6</x:v>
      </x:c>
      <x:c r="H7" s="10"/>
    </x:row>
    <x:row r="8" ht="15" customHeight="1">
      <x:c r="A8" s="22" t="s">
        <x:v>958</x:v>
      </x:c>
      <x:c r="B8" s="16" t="n">
        <x:f>SUMIFS('Data (parsed)'!$I$2:$I$235,'Data (parsed)'!$B$2:$B$235,"Honor",'Data (parsed)'!$C$2:$C$235,$A8,'Data (parsed)'!$D$2:$D$235,B$4)</x:f>
        <x:v>0</x:v>
      </x:c>
      <x:c r="C8" s="16" t="n">
        <x:f>SUMIFS('Data (parsed)'!$I$2:$I$235,'Data (parsed)'!$B$2:$B$235,"Honor",'Data (parsed)'!$C$2:$C$235,$A8,'Data (parsed)'!$D$2:$D$235,C$4)</x:f>
        <x:v>1</x:v>
      </x:c>
      <x:c r="D8" s="16" t="n">
        <x:f>SUMIFS('Data (parsed)'!$I$2:$I$235,'Data (parsed)'!$B$2:$B$235,"Honor",'Data (parsed)'!$C$2:$C$235,$A8,'Data (parsed)'!$D$2:$D$235,D$4)</x:f>
        <x:v>0</x:v>
      </x:c>
      <x:c r="E8" s="16" t="n">
        <x:f>SUMIFS('Data (parsed)'!$I$2:$I$235,'Data (parsed)'!$B$2:$B$235,"Honor",'Data (parsed)'!$C$2:$C$235,$A8,'Data (parsed)'!$D$2:$D$235,E$4)</x:f>
        <x:v>4</x:v>
      </x:c>
      <x:c r="F8" s="16" t="n">
        <x:f>SUMIFS('Data (parsed)'!$I$2:$I$235,'Data (parsed)'!$B$2:$B$235,"Honor",'Data (parsed)'!$C$2:$C$235,$A8,'Data (parsed)'!$D$2:$D$235,F$4)</x:f>
        <x:v>0</x:v>
      </x:c>
      <x:c r="G8" s="18">
        <x:f t="shared" si="0"/>
        <x:v>5</x:v>
      </x:c>
      <x:c r="H8" s="10"/>
    </x:row>
    <x:row r="9" ht="15" customHeight="1">
      <x:c r="A9" s="22" t="s">
        <x:v>959</x:v>
      </x:c>
      <x:c r="B9" s="16" t="n">
        <x:f>SUMIFS('Data (parsed)'!$I$2:$I$235,'Data (parsed)'!$B$2:$B$235,"Honor",'Data (parsed)'!$C$2:$C$235,$A9,'Data (parsed)'!$D$2:$D$235,B$4)</x:f>
        <x:v>1</x:v>
      </x:c>
      <x:c r="C9" s="16" t="n">
        <x:f>SUMIFS('Data (parsed)'!$I$2:$I$235,'Data (parsed)'!$B$2:$B$235,"Honor",'Data (parsed)'!$C$2:$C$235,$A9,'Data (parsed)'!$D$2:$D$235,C$4)</x:f>
        <x:v>0</x:v>
      </x:c>
      <x:c r="D9" s="16" t="n">
        <x:f>SUMIFS('Data (parsed)'!$I$2:$I$235,'Data (parsed)'!$B$2:$B$235,"Honor",'Data (parsed)'!$C$2:$C$235,$A9,'Data (parsed)'!$D$2:$D$235,D$4)</x:f>
        <x:v>0</x:v>
      </x:c>
      <x:c r="E9" s="16" t="n">
        <x:f>SUMIFS('Data (parsed)'!$I$2:$I$235,'Data (parsed)'!$B$2:$B$235,"Honor",'Data (parsed)'!$C$2:$C$235,$A9,'Data (parsed)'!$D$2:$D$235,E$4)</x:f>
        <x:v>2</x:v>
      </x:c>
      <x:c r="F9" s="16" t="n">
        <x:f>SUMIFS('Data (parsed)'!$I$2:$I$235,'Data (parsed)'!$B$2:$B$235,"Honor",'Data (parsed)'!$C$2:$C$235,$A9,'Data (parsed)'!$D$2:$D$235,F$4)</x:f>
        <x:v>2</x:v>
      </x:c>
      <x:c r="G9" s="18">
        <x:f t="shared" si="0"/>
        <x:v>5</x:v>
      </x:c>
      <x:c r="H9" s="10"/>
    </x:row>
    <x:row r="10" ht="15" customHeight="1">
      <x:c r="A10" s="22" t="s">
        <x:v>892</x:v>
      </x:c>
      <x:c r="B10" s="16" t="n">
        <x:f>SUMIFS('Data (parsed)'!$I$2:$I$235,'Data (parsed)'!$B$2:$B$235,"Honor",'Data (parsed)'!$C$2:$C$235,$A10,'Data (parsed)'!$D$2:$D$235,B$4)</x:f>
        <x:v>0</x:v>
      </x:c>
      <x:c r="C10" s="16" t="n">
        <x:f>SUMIFS('Data (parsed)'!$I$2:$I$235,'Data (parsed)'!$B$2:$B$235,"Honor",'Data (parsed)'!$C$2:$C$235,$A10,'Data (parsed)'!$D$2:$D$235,C$4)</x:f>
        <x:v>0</x:v>
      </x:c>
      <x:c r="D10" s="16" t="n">
        <x:f>SUMIFS('Data (parsed)'!$I$2:$I$235,'Data (parsed)'!$B$2:$B$235,"Honor",'Data (parsed)'!$C$2:$C$235,$A10,'Data (parsed)'!$D$2:$D$235,D$4)</x:f>
        <x:v>0</x:v>
      </x:c>
      <x:c r="E10" s="16" t="n">
        <x:f>SUMIFS('Data (parsed)'!$I$2:$I$235,'Data (parsed)'!$B$2:$B$235,"Honor",'Data (parsed)'!$C$2:$C$235,$A10,'Data (parsed)'!$D$2:$D$235,E$4)</x:f>
        <x:v>2</x:v>
      </x:c>
      <x:c r="F10" s="16" t="n">
        <x:f>SUMIFS('Data (parsed)'!$I$2:$I$235,'Data (parsed)'!$B$2:$B$235,"Honor",'Data (parsed)'!$C$2:$C$235,$A10,'Data (parsed)'!$D$2:$D$235,F$4)</x:f>
        <x:v>0</x:v>
      </x:c>
      <x:c r="G10" s="18">
        <x:f t="shared" si="0"/>
        <x:v>2</x:v>
      </x:c>
      <x:c r="H10" s="10"/>
    </x:row>
    <x:row r="11" ht="15" customHeight="1">
      <x:c r="A11" s="22" t="s">
        <x:v>960</x:v>
      </x:c>
      <x:c r="B11" s="16" t="n">
        <x:f>SUMIFS('Data (parsed)'!$I$2:$I$235,'Data (parsed)'!$B$2:$B$235,"Honor",'Data (parsed)'!$C$2:$C$235,$A11,'Data (parsed)'!$D$2:$D$235,B$4)</x:f>
        <x:v>0</x:v>
      </x:c>
      <x:c r="C11" s="16" t="n">
        <x:f>SUMIFS('Data (parsed)'!$I$2:$I$235,'Data (parsed)'!$B$2:$B$235,"Honor",'Data (parsed)'!$C$2:$C$235,$A11,'Data (parsed)'!$D$2:$D$235,C$4)</x:f>
        <x:v>0</x:v>
      </x:c>
      <x:c r="D11" s="16" t="n">
        <x:f>SUMIFS('Data (parsed)'!$I$2:$I$235,'Data (parsed)'!$B$2:$B$235,"Honor",'Data (parsed)'!$C$2:$C$235,$A11,'Data (parsed)'!$D$2:$D$235,D$4)</x:f>
        <x:v>0</x:v>
      </x:c>
      <x:c r="E11" s="16" t="n">
        <x:f>SUMIFS('Data (parsed)'!$I$2:$I$235,'Data (parsed)'!$B$2:$B$235,"Honor",'Data (parsed)'!$C$2:$C$235,$A11,'Data (parsed)'!$D$2:$D$235,E$4)</x:f>
        <x:v>0</x:v>
      </x:c>
      <x:c r="F11" s="16" t="n">
        <x:f>SUMIFS('Data (parsed)'!$I$2:$I$235,'Data (parsed)'!$B$2:$B$235,"Honor",'Data (parsed)'!$C$2:$C$235,$A11,'Data (parsed)'!$D$2:$D$235,F$4)</x:f>
        <x:v>1</x:v>
      </x:c>
      <x:c r="G11" s="18">
        <x:f t="shared" si="0"/>
        <x:v>1</x:v>
      </x:c>
      <x:c r="H11" s="10"/>
    </x:row>
    <x:row r="12" ht="15" customHeight="1">
      <x:c r="A12" s="17" t="s">
        <x:v>908</x:v>
      </x:c>
      <x:c r="B12" s="18" t="n">
        <x:f t="shared" ref="B12:G12" si="1">SUM(B5:B11)</x:f>
        <x:v>6</x:v>
      </x:c>
      <x:c r="C12" s="18">
        <x:f t="shared" si="1"/>
        <x:v>5</x:v>
      </x:c>
      <x:c r="D12" s="18">
        <x:f t="shared" si="1"/>
        <x:v>2</x:v>
      </x:c>
      <x:c r="E12" s="18">
        <x:f t="shared" si="1"/>
        <x:v>31</x:v>
      </x:c>
      <x:c r="F12" s="18">
        <x:f t="shared" si="1"/>
        <x:v>13</x:v>
      </x:c>
      <x:c r="G12" s="18">
        <x:f t="shared" si="1"/>
        <x:v>57</x:v>
      </x:c>
      <x:c r="H12" s="10"/>
    </x:row>
    <x:row r="13" ht="14.25" customHeight="1">
      <x:c r="A13" s="10"/>
      <x:c r="B13" s="10"/>
      <x:c r="C13" s="10"/>
      <x:c r="D13" s="10"/>
      <x:c r="E13" s="10"/>
      <x:c r="F13" s="10"/>
      <x:c r="G13" s="10"/>
      <x:c r="H13" s="10"/>
    </x:row>
    <x:row r="14" ht="15" customHeight="1">
      <x:c r="A14" s="13" t="s">
        <x:v>961</x:v>
      </x:c>
      <x:c r="B14" s="10"/>
      <x:c r="C14" s="10"/>
      <x:c r="D14" s="10"/>
      <x:c r="E14" s="10"/>
      <x:c r="F14" s="10"/>
      <x:c r="G14" s="10"/>
      <x:c r="H14" s="10"/>
    </x:row>
    <x:row r="15" ht="15" customHeight="1">
      <x:c r="A15" s="14" t="s">
        <x:v>918</x:v>
      </x:c>
      <x:c r="B15" s="14" t="s">
        <x:v>14</x:v>
      </x:c>
      <x:c r="C15" s="14" t="s">
        <x:v>95</x:v>
      </x:c>
      <x:c r="D15" s="14" t="s">
        <x:v>84</x:v>
      </x:c>
      <x:c r="E15" s="14" t="s">
        <x:v>89</x:v>
      </x:c>
      <x:c r="F15" s="14" t="s">
        <x:v>931</x:v>
      </x:c>
      <x:c r="G15" s="14" t="s">
        <x:v>903</x:v>
      </x:c>
      <x:c r="H15" s="10"/>
    </x:row>
    <x:row r="16" ht="15" customHeight="1">
      <x:c r="A16" s="22" t="s">
        <x:v>744</x:v>
      </x:c>
      <x:c r="B16" s="16" t="n">
        <x:f>COUNTIFS('Data (parsed)'!$E$2:$E$235,B$15,'Data (parsed)'!$B$2:$B$235,"Honor",'Data (parsed)'!$C$2:$C$235,$A16)</x:f>
        <x:v>6</x:v>
      </x:c>
      <x:c r="C16" s="16" t="n">
        <x:f>COUNTIFS('Data (parsed)'!$E$2:$E$235,C$15,'Data (parsed)'!$B$2:$B$235,"Honor",'Data (parsed)'!$C$2:$C$235,$A16)</x:f>
        <x:v>18</x:v>
      </x:c>
      <x:c r="D16" s="16" t="n">
        <x:f>COUNTIFS('Data (parsed)'!$E$2:$E$235,D$15,'Data (parsed)'!$B$2:$B$235,"Honor",'Data (parsed)'!$C$2:$C$235,$A16)</x:f>
        <x:v>2</x:v>
      </x:c>
      <x:c r="E16" s="16" t="n">
        <x:f>COUNTIFS('Data (parsed)'!$E$2:$E$235,E$15,'Data (parsed)'!$B$2:$B$235,"Honor",'Data (parsed)'!$C$2:$C$235,$A16)</x:f>
        <x:v>0</x:v>
      </x:c>
      <x:c r="F16" s="16" t="n">
        <x:f>SUMIFS('Data (parsed)'!$I$2:$I$235,'Data (parsed)'!$B$2:$B$235,"Honor",'Data (parsed)'!$C$2:$C$235,$A16,'Data (parsed)'!$J$2:$J$235,0)</x:f>
        <x:v>1</x:v>
      </x:c>
      <x:c r="G16" s="18" t="n">
        <x:f>SUMIFS('Data (parsed)'!$I$2:$I$235,'Data (parsed)'!$B$2:$B$235,"Honor",'Data (parsed)'!$C$2:$C$235,$A16)</x:f>
        <x:v>27</x:v>
      </x:c>
      <x:c r="H16" s="10"/>
    </x:row>
    <x:row r="17" ht="15" customHeight="1">
      <x:c r="A17" s="22" t="s">
        <x:v>956</x:v>
      </x:c>
      <x:c r="B17" s="16" t="n">
        <x:f>COUNTIFS('Data (parsed)'!$E$2:$E$235,B$15,'Data (parsed)'!$B$2:$B$235,"Honor",'Data (parsed)'!$C$2:$C$235,$A17)</x:f>
        <x:v>2</x:v>
      </x:c>
      <x:c r="C17" s="16" t="n">
        <x:f>COUNTIFS('Data (parsed)'!$E$2:$E$235,C$15,'Data (parsed)'!$B$2:$B$235,"Honor",'Data (parsed)'!$C$2:$C$235,$A17)</x:f>
        <x:v>3</x:v>
      </x:c>
      <x:c r="D17" s="16" t="n">
        <x:f>COUNTIFS('Data (parsed)'!$E$2:$E$235,D$15,'Data (parsed)'!$B$2:$B$235,"Honor",'Data (parsed)'!$C$2:$C$235,$A17)</x:f>
        <x:v>1</x:v>
      </x:c>
      <x:c r="E17" s="16" t="n">
        <x:f>COUNTIFS('Data (parsed)'!$E$2:$E$235,E$15,'Data (parsed)'!$B$2:$B$235,"Honor",'Data (parsed)'!$C$2:$C$235,$A17)</x:f>
        <x:v>0</x:v>
      </x:c>
      <x:c r="F17" s="16" t="n">
        <x:f>SUMIFS('Data (parsed)'!$I$2:$I$235,'Data (parsed)'!$B$2:$B$235,"Honor",'Data (parsed)'!$C$2:$C$235,$A17,'Data (parsed)'!$J$2:$J$235,0)</x:f>
        <x:v>5</x:v>
      </x:c>
      <x:c r="G17" s="18" t="n">
        <x:f>SUMIFS('Data (parsed)'!$I$2:$I$235,'Data (parsed)'!$B$2:$B$235,"Honor",'Data (parsed)'!$C$2:$C$235,$A17)</x:f>
        <x:v>11</x:v>
      </x:c>
      <x:c r="H17" s="10"/>
    </x:row>
    <x:row r="18" ht="15" customHeight="1">
      <x:c r="A18" s="22" t="s">
        <x:v>957</x:v>
      </x:c>
      <x:c r="B18" s="16" t="n">
        <x:f>COUNTIFS('Data (parsed)'!$E$2:$E$235,B$15,'Data (parsed)'!$B$2:$B$235,"Honor",'Data (parsed)'!$C$2:$C$235,$A18)</x:f>
        <x:v>0</x:v>
      </x:c>
      <x:c r="C18" s="16" t="n">
        <x:f>COUNTIFS('Data (parsed)'!$E$2:$E$235,C$15,'Data (parsed)'!$B$2:$B$235,"Honor",'Data (parsed)'!$C$2:$C$235,$A18)</x:f>
        <x:v>1</x:v>
      </x:c>
      <x:c r="D18" s="16" t="n">
        <x:f>COUNTIFS('Data (parsed)'!$E$2:$E$235,D$15,'Data (parsed)'!$B$2:$B$235,"Honor",'Data (parsed)'!$C$2:$C$235,$A18)</x:f>
        <x:v>1</x:v>
      </x:c>
      <x:c r="E18" s="16" t="n">
        <x:f>COUNTIFS('Data (parsed)'!$E$2:$E$235,E$15,'Data (parsed)'!$B$2:$B$235,"Honor",'Data (parsed)'!$C$2:$C$235,$A18)</x:f>
        <x:v>0</x:v>
      </x:c>
      <x:c r="F18" s="16" t="n">
        <x:f>SUMIFS('Data (parsed)'!$I$2:$I$235,'Data (parsed)'!$B$2:$B$235,"Honor",'Data (parsed)'!$C$2:$C$235,$A18,'Data (parsed)'!$J$2:$J$235,0)</x:f>
        <x:v>4</x:v>
      </x:c>
      <x:c r="G18" s="18" t="n">
        <x:f>SUMIFS('Data (parsed)'!$I$2:$I$235,'Data (parsed)'!$B$2:$B$235,"Honor",'Data (parsed)'!$C$2:$C$235,$A18)</x:f>
        <x:v>6</x:v>
      </x:c>
      <x:c r="H18" s="10"/>
    </x:row>
    <x:row r="19" ht="15" customHeight="1">
      <x:c r="A19" s="22" t="s">
        <x:v>958</x:v>
      </x:c>
      <x:c r="B19" s="16" t="n">
        <x:f>COUNTIFS('Data (parsed)'!$E$2:$E$235,B$15,'Data (parsed)'!$B$2:$B$235,"Honor",'Data (parsed)'!$C$2:$C$235,$A19)</x:f>
        <x:v>0</x:v>
      </x:c>
      <x:c r="C19" s="16" t="n">
        <x:f>COUNTIFS('Data (parsed)'!$E$2:$E$235,C$15,'Data (parsed)'!$B$2:$B$235,"Honor",'Data (parsed)'!$C$2:$C$235,$A19)</x:f>
        <x:v>3</x:v>
      </x:c>
      <x:c r="D19" s="16" t="n">
        <x:f>COUNTIFS('Data (parsed)'!$E$2:$E$235,D$15,'Data (parsed)'!$B$2:$B$235,"Honor",'Data (parsed)'!$C$2:$C$235,$A19)</x:f>
        <x:v>1</x:v>
      </x:c>
      <x:c r="E19" s="16" t="n">
        <x:f>COUNTIFS('Data (parsed)'!$E$2:$E$235,E$15,'Data (parsed)'!$B$2:$B$235,"Honor",'Data (parsed)'!$C$2:$C$235,$A19)</x:f>
        <x:v>0</x:v>
      </x:c>
      <x:c r="F19" s="16" t="n">
        <x:f>SUMIFS('Data (parsed)'!$I$2:$I$235,'Data (parsed)'!$B$2:$B$235,"Honor",'Data (parsed)'!$C$2:$C$235,$A19,'Data (parsed)'!$J$2:$J$235,0)</x:f>
        <x:v>1</x:v>
      </x:c>
      <x:c r="G19" s="18" t="n">
        <x:f>SUMIFS('Data (parsed)'!$I$2:$I$235,'Data (parsed)'!$B$2:$B$235,"Honor",'Data (parsed)'!$C$2:$C$235,$A19)</x:f>
        <x:v>5</x:v>
      </x:c>
      <x:c r="H19" s="10"/>
    </x:row>
    <x:row r="20" ht="15" customHeight="1">
      <x:c r="A20" s="22" t="s">
        <x:v>959</x:v>
      </x:c>
      <x:c r="B20" s="16" t="n">
        <x:f>COUNTIFS('Data (parsed)'!$E$2:$E$235,B$15,'Data (parsed)'!$B$2:$B$235,"Honor",'Data (parsed)'!$C$2:$C$235,$A20)</x:f>
        <x:v>1</x:v>
      </x:c>
      <x:c r="C20" s="16" t="n">
        <x:f>COUNTIFS('Data (parsed)'!$E$2:$E$235,C$15,'Data (parsed)'!$B$2:$B$235,"Honor",'Data (parsed)'!$C$2:$C$235,$A20)</x:f>
        <x:v>2</x:v>
      </x:c>
      <x:c r="D20" s="16" t="n">
        <x:f>COUNTIFS('Data (parsed)'!$E$2:$E$235,D$15,'Data (parsed)'!$B$2:$B$235,"Honor",'Data (parsed)'!$C$2:$C$235,$A20)</x:f>
        <x:v>2</x:v>
      </x:c>
      <x:c r="E20" s="16" t="n">
        <x:f>COUNTIFS('Data (parsed)'!$E$2:$E$235,E$15,'Data (parsed)'!$B$2:$B$235,"Honor",'Data (parsed)'!$C$2:$C$235,$A20)</x:f>
        <x:v>0</x:v>
      </x:c>
      <x:c r="F20" s="16" t="n">
        <x:f>SUMIFS('Data (parsed)'!$I$2:$I$235,'Data (parsed)'!$B$2:$B$235,"Honor",'Data (parsed)'!$C$2:$C$235,$A20,'Data (parsed)'!$J$2:$J$235,0)</x:f>
        <x:v>1</x:v>
      </x:c>
      <x:c r="G20" s="18" t="n">
        <x:f>SUMIFS('Data (parsed)'!$I$2:$I$235,'Data (parsed)'!$B$2:$B$235,"Honor",'Data (parsed)'!$C$2:$C$235,$A20)</x:f>
        <x:v>5</x:v>
      </x:c>
      <x:c r="H20" s="10"/>
    </x:row>
    <x:row r="21" ht="15" customHeight="1">
      <x:c r="A21" s="22" t="s">
        <x:v>892</x:v>
      </x:c>
      <x:c r="B21" s="16" t="n">
        <x:f>COUNTIFS('Data (parsed)'!$E$2:$E$235,B$15,'Data (parsed)'!$B$2:$B$235,"Honor",'Data (parsed)'!$C$2:$C$235,$A21)</x:f>
        <x:v>0</x:v>
      </x:c>
      <x:c r="C21" s="16" t="n">
        <x:f>COUNTIFS('Data (parsed)'!$E$2:$E$235,C$15,'Data (parsed)'!$B$2:$B$235,"Honor",'Data (parsed)'!$C$2:$C$235,$A21)</x:f>
        <x:v>1</x:v>
      </x:c>
      <x:c r="D21" s="16" t="n">
        <x:f>COUNTIFS('Data (parsed)'!$E$2:$E$235,D$15,'Data (parsed)'!$B$2:$B$235,"Honor",'Data (parsed)'!$C$2:$C$235,$A21)</x:f>
        <x:v>1</x:v>
      </x:c>
      <x:c r="E21" s="16" t="n">
        <x:f>COUNTIFS('Data (parsed)'!$E$2:$E$235,E$15,'Data (parsed)'!$B$2:$B$235,"Honor",'Data (parsed)'!$C$2:$C$235,$A21)</x:f>
        <x:v>0</x:v>
      </x:c>
      <x:c r="F21" s="16" t="n">
        <x:f>SUMIFS('Data (parsed)'!$I$2:$I$235,'Data (parsed)'!$B$2:$B$235,"Honor",'Data (parsed)'!$C$2:$C$235,$A21,'Data (parsed)'!$J$2:$J$235,0)</x:f>
        <x:v>0</x:v>
      </x:c>
      <x:c r="G21" s="18" t="n">
        <x:f>SUMIFS('Data (parsed)'!$I$2:$I$235,'Data (parsed)'!$B$2:$B$235,"Honor",'Data (parsed)'!$C$2:$C$235,$A21)</x:f>
        <x:v>2</x:v>
      </x:c>
      <x:c r="H21" s="10"/>
    </x:row>
    <x:row r="22" ht="15" customHeight="1">
      <x:c r="A22" s="22" t="s">
        <x:v>960</x:v>
      </x:c>
      <x:c r="B22" s="16" t="n">
        <x:f>COUNTIFS('Data (parsed)'!$E$2:$E$235,B$15,'Data (parsed)'!$B$2:$B$235,"Honor",'Data (parsed)'!$C$2:$C$235,$A22)</x:f>
        <x:v>0</x:v>
      </x:c>
      <x:c r="C22" s="16" t="n">
        <x:f>COUNTIFS('Data (parsed)'!$E$2:$E$235,C$15,'Data (parsed)'!$B$2:$B$235,"Honor",'Data (parsed)'!$C$2:$C$235,$A22)</x:f>
        <x:v>0</x:v>
      </x:c>
      <x:c r="D22" s="16" t="n">
        <x:f>COUNTIFS('Data (parsed)'!$E$2:$E$235,D$15,'Data (parsed)'!$B$2:$B$235,"Honor",'Data (parsed)'!$C$2:$C$235,$A22)</x:f>
        <x:v>0</x:v>
      </x:c>
      <x:c r="E22" s="16" t="n">
        <x:f>COUNTIFS('Data (parsed)'!$E$2:$E$235,E$15,'Data (parsed)'!$B$2:$B$235,"Honor",'Data (parsed)'!$C$2:$C$235,$A22)</x:f>
        <x:v>1</x:v>
      </x:c>
      <x:c r="F22" s="16" t="n">
        <x:f>SUMIFS('Data (parsed)'!$I$2:$I$235,'Data (parsed)'!$B$2:$B$235,"Honor",'Data (parsed)'!$C$2:$C$235,$A22,'Data (parsed)'!$J$2:$J$235,0)</x:f>
        <x:v>0</x:v>
      </x:c>
      <x:c r="G22" s="18" t="n">
        <x:f>SUMIFS('Data (parsed)'!$I$2:$I$235,'Data (parsed)'!$B$2:$B$235,"Honor",'Data (parsed)'!$C$2:$C$235,$A22)</x:f>
        <x:v>1</x:v>
      </x:c>
      <x:c r="H22" s="10"/>
    </x:row>
    <x:row r="23" ht="15" customHeight="1">
      <x:c r="A23" s="17" t="s">
        <x:v>908</x:v>
      </x:c>
      <x:c r="B23" s="18" t="n">
        <x:f t="shared" ref="B23:G23" si="2">SUM(B16:B22)</x:f>
        <x:v>9</x:v>
      </x:c>
      <x:c r="C23" s="18">
        <x:f t="shared" si="2"/>
        <x:v>28</x:v>
      </x:c>
      <x:c r="D23" s="18">
        <x:f t="shared" si="2"/>
        <x:v>8</x:v>
      </x:c>
      <x:c r="E23" s="18">
        <x:f t="shared" si="2"/>
        <x:v>1</x:v>
      </x:c>
      <x:c r="F23" s="18">
        <x:f t="shared" si="2"/>
        <x:v>12</x:v>
      </x:c>
      <x:c r="G23" s="18">
        <x:f t="shared" si="2"/>
        <x:v>57</x:v>
      </x:c>
      <x:c r="H23" s="10"/>
    </x:row>
    <x:row r="24" ht="14.25" customHeight="1">
      <x:c r="A24" s="10"/>
      <x:c r="B24" s="10"/>
      <x:c r="C24" s="10"/>
      <x:c r="D24" s="10"/>
      <x:c r="E24" s="10"/>
      <x:c r="F24" s="10"/>
      <x:c r="G24" s="10"/>
      <x:c r="H24" s="10"/>
    </x:row>
    <x:row r="25" ht="14.25" customHeight="1">
      <x:c r="A25" s="10"/>
      <x:c r="B25" s="10"/>
      <x:c r="C25" s="10"/>
      <x:c r="D25" s="10"/>
      <x:c r="E25" s="10"/>
      <x:c r="F25" s="10"/>
      <x:c r="G25" s="10"/>
      <x:c r="H25" s="10"/>
    </x:row>
    <x:row r="26" ht="14.25" customHeight="1">
      <x:c r="A26" s="10"/>
      <x:c r="B26" s="10"/>
      <x:c r="C26" s="10"/>
      <x:c r="D26" s="10"/>
      <x:c r="E26" s="10"/>
      <x:c r="F26" s="10"/>
      <x:c r="G26" s="10"/>
      <x:c r="H26" s="10"/>
    </x:row>
    <x:row r="27" ht="14.25" customHeight="1">
      <x:c r="A27" s="10"/>
      <x:c r="B27" s="10"/>
      <x:c r="C27" s="10"/>
      <x:c r="D27" s="10"/>
      <x:c r="E27" s="10"/>
      <x:c r="F27" s="10"/>
      <x:c r="G27" s="10"/>
      <x:c r="H27" s="10"/>
    </x:row>
    <x:row r="28" ht="14.25" customHeight="1">
      <x:c r="A28" s="10"/>
      <x:c r="B28" s="10"/>
      <x:c r="C28" s="10"/>
      <x:c r="D28" s="10"/>
      <x:c r="E28" s="10"/>
      <x:c r="F28" s="10"/>
      <x:c r="G28" s="10"/>
      <x:c r="H28" s="10"/>
    </x:row>
    <x:row r="29" ht="14.25" customHeight="1">
      <x:c r="A29" s="10"/>
      <x:c r="B29" s="10"/>
      <x:c r="C29" s="10"/>
      <x:c r="D29" s="10"/>
      <x:c r="E29" s="10"/>
      <x:c r="F29" s="10"/>
      <x:c r="G29" s="10"/>
      <x:c r="H29" s="10"/>
    </x:row>
    <x:row r="30" ht="14.25" customHeight="1">
      <x:c r="A30" s="10"/>
      <x:c r="B30" s="10"/>
      <x:c r="C30" s="10"/>
      <x:c r="D30" s="10"/>
      <x:c r="E30" s="10"/>
      <x:c r="F30" s="10"/>
      <x:c r="G30" s="10"/>
      <x:c r="H30" s="10"/>
    </x:row>
    <x:row r="31" ht="14.25" customHeight="1">
      <x:c r="A31" s="10"/>
      <x:c r="B31" s="10"/>
      <x:c r="C31" s="10"/>
      <x:c r="D31" s="10"/>
      <x:c r="E31" s="10"/>
      <x:c r="F31" s="10"/>
      <x:c r="G31" s="10"/>
      <x:c r="H31" s="10"/>
    </x:row>
    <x:row r="32" ht="14.25" customHeight="1">
      <x:c r="A32" s="10"/>
      <x:c r="B32" s="10"/>
      <x:c r="C32" s="10"/>
      <x:c r="D32" s="10"/>
      <x:c r="E32" s="10"/>
      <x:c r="F32" s="10"/>
      <x:c r="G32" s="10"/>
      <x:c r="H32" s="10"/>
    </x:row>
    <x:row r="33" ht="14.25" customHeight="1">
      <x:c r="A33" s="10"/>
      <x:c r="B33" s="10"/>
      <x:c r="C33" s="10"/>
      <x:c r="D33" s="10"/>
      <x:c r="E33" s="10"/>
      <x:c r="F33" s="10"/>
      <x:c r="G33" s="10"/>
      <x:c r="H33" s="10"/>
    </x:row>
    <x:row r="34" ht="14.25" customHeight="1">
      <x:c r="A34" s="10"/>
      <x:c r="B34" s="10"/>
      <x:c r="C34" s="10"/>
      <x:c r="D34" s="10"/>
      <x:c r="E34" s="10"/>
      <x:c r="F34" s="10"/>
      <x:c r="G34" s="10"/>
      <x:c r="H34" s="10"/>
    </x:row>
    <x:row r="35" ht="14.25" customHeight="1">
      <x:c r="A35" s="10"/>
      <x:c r="B35" s="10"/>
      <x:c r="C35" s="10"/>
      <x:c r="D35" s="10"/>
      <x:c r="E35" s="10"/>
      <x:c r="F35" s="10"/>
      <x:c r="G35" s="10"/>
      <x:c r="H35" s="10"/>
    </x:row>
    <x:row r="36" ht="14.25" customHeight="1">
      <x:c r="A36" s="10"/>
      <x:c r="B36" s="10"/>
      <x:c r="C36" s="10"/>
      <x:c r="D36" s="10"/>
      <x:c r="E36" s="10"/>
      <x:c r="F36" s="10"/>
      <x:c r="G36" s="10"/>
      <x:c r="H36" s="10"/>
    </x:row>
    <x:row r="37" ht="14.25" customHeight="1">
      <x:c r="A37" s="10"/>
      <x:c r="B37" s="10"/>
      <x:c r="C37" s="10"/>
      <x:c r="D37" s="10"/>
      <x:c r="E37" s="10"/>
      <x:c r="F37" s="10"/>
      <x:c r="G37" s="10"/>
      <x:c r="H37" s="10"/>
    </x:row>
    <x:row r="38" ht="14.25" customHeight="1">
      <x:c r="A38" s="10"/>
      <x:c r="B38" s="10"/>
      <x:c r="C38" s="10"/>
      <x:c r="D38" s="10"/>
      <x:c r="E38" s="10"/>
      <x:c r="F38" s="10"/>
      <x:c r="G38" s="10"/>
      <x:c r="H38" s="10"/>
    </x:row>
    <x:row r="39" ht="14.25" customHeight="1">
      <x:c r="A39" s="10"/>
      <x:c r="B39" s="10"/>
      <x:c r="C39" s="10"/>
      <x:c r="D39" s="10"/>
      <x:c r="E39" s="10"/>
      <x:c r="F39" s="10"/>
      <x:c r="G39" s="10"/>
      <x:c r="H39" s="10"/>
    </x:row>
    <x:row r="40" ht="14.25" customHeight="1">
      <x:c r="A40" s="10"/>
      <x:c r="B40" s="10"/>
      <x:c r="C40" s="10"/>
      <x:c r="D40" s="10"/>
      <x:c r="E40" s="10"/>
      <x:c r="F40" s="10"/>
      <x:c r="G40" s="10"/>
      <x:c r="H40" s="10"/>
    </x:row>
    <x:row r="41" ht="14.25" customHeight="1">
      <x:c r="A41" s="10"/>
      <x:c r="B41" s="10"/>
      <x:c r="C41" s="10"/>
      <x:c r="D41" s="10"/>
      <x:c r="E41" s="10"/>
      <x:c r="F41" s="10"/>
      <x:c r="G41" s="10"/>
      <x:c r="H41" s="10"/>
    </x:row>
    <x:row r="42" ht="14.25" customHeight="1">
      <x:c r="A42" s="10"/>
      <x:c r="B42" s="10"/>
      <x:c r="C42" s="10"/>
      <x:c r="D42" s="10"/>
      <x:c r="E42" s="10"/>
      <x:c r="F42" s="10"/>
      <x:c r="G42" s="10"/>
      <x:c r="H42" s="10"/>
    </x:row>
    <x:row r="43" ht="14.25" customHeight="1">
      <x:c r="A43" s="10"/>
      <x:c r="B43" s="10"/>
      <x:c r="C43" s="10"/>
      <x:c r="D43" s="10"/>
      <x:c r="E43" s="10"/>
      <x:c r="F43" s="10"/>
      <x:c r="G43" s="10"/>
      <x:c r="H43" s="10"/>
    </x:row>
    <x:row r="44" ht="14.25" customHeight="1">
      <x:c r="A44" s="10"/>
      <x:c r="B44" s="10"/>
      <x:c r="C44" s="10"/>
      <x:c r="D44" s="10"/>
      <x:c r="E44" s="10"/>
      <x:c r="F44" s="10"/>
      <x:c r="G44" s="10"/>
      <x:c r="H44" s="10"/>
    </x:row>
    <x:row r="45" ht="14.25" customHeight="1">
      <x:c r="A45" s="10"/>
      <x:c r="B45" s="10"/>
      <x:c r="C45" s="10"/>
      <x:c r="D45" s="10"/>
      <x:c r="E45" s="10"/>
      <x:c r="F45" s="10"/>
      <x:c r="G45" s="10"/>
      <x:c r="H45" s="10"/>
    </x:row>
    <x:row r="46" ht="14.25" customHeight="1">
      <x:c r="A46" s="10"/>
      <x:c r="B46" s="10"/>
      <x:c r="C46" s="10"/>
      <x:c r="D46" s="10"/>
      <x:c r="E46" s="10"/>
      <x:c r="F46" s="10"/>
      <x:c r="G46" s="10"/>
      <x:c r="H46" s="10"/>
    </x:row>
    <x:row r="47" ht="14.25" customHeight="1">
      <x:c r="A47" s="10"/>
      <x:c r="B47" s="10"/>
      <x:c r="C47" s="10"/>
      <x:c r="D47" s="10"/>
      <x:c r="E47" s="10"/>
      <x:c r="F47" s="10"/>
      <x:c r="G47" s="10"/>
      <x:c r="H47" s="10"/>
    </x:row>
    <x:row r="48" ht="14.25" customHeight="1">
      <x:c r="A48" s="10"/>
      <x:c r="B48" s="10"/>
      <x:c r="C48" s="10"/>
      <x:c r="D48" s="10"/>
      <x:c r="E48" s="10"/>
      <x:c r="F48" s="10"/>
      <x:c r="G48" s="10"/>
      <x:c r="H48" s="10"/>
    </x:row>
    <x:row r="49" ht="14.25" customHeight="1">
      <x:c r="A49" s="10"/>
      <x:c r="B49" s="10"/>
      <x:c r="C49" s="10"/>
      <x:c r="D49" s="10"/>
      <x:c r="E49" s="10"/>
      <x:c r="F49" s="10"/>
      <x:c r="G49" s="10"/>
      <x:c r="H49" s="10"/>
    </x:row>
    <x:row r="50" ht="14.25" customHeight="1">
      <x:c r="A50" s="10"/>
      <x:c r="B50" s="10"/>
      <x:c r="C50" s="10"/>
      <x:c r="D50" s="10"/>
      <x:c r="E50" s="10"/>
      <x:c r="F50" s="10"/>
      <x:c r="G50" s="10"/>
      <x:c r="H50" s="10"/>
    </x:row>
    <x:row r="51" ht="14.25" customHeight="1">
      <x:c r="A51" s="10"/>
      <x:c r="B51" s="10"/>
      <x:c r="C51" s="10"/>
      <x:c r="D51" s="10"/>
      <x:c r="E51" s="10"/>
      <x:c r="F51" s="10"/>
      <x:c r="G51" s="10"/>
      <x:c r="H51" s="10"/>
    </x:row>
    <x:row r="52" ht="14.25" customHeight="1">
      <x:c r="A52" s="10"/>
      <x:c r="B52" s="10"/>
      <x:c r="C52" s="10"/>
      <x:c r="D52" s="10"/>
      <x:c r="E52" s="10"/>
      <x:c r="F52" s="10"/>
      <x:c r="G52" s="10"/>
      <x:c r="H52" s="10"/>
    </x:row>
    <x:row r="53" ht="14.25" customHeight="1">
      <x:c r="A53" s="10"/>
      <x:c r="B53" s="10"/>
      <x:c r="C53" s="10"/>
      <x:c r="D53" s="10"/>
      <x:c r="E53" s="10"/>
      <x:c r="F53" s="10"/>
      <x:c r="G53" s="10"/>
      <x:c r="H53" s="10"/>
    </x:row>
    <x:row r="54" ht="14.25" customHeight="1">
      <x:c r="A54" s="10"/>
      <x:c r="B54" s="10"/>
      <x:c r="C54" s="10"/>
      <x:c r="D54" s="10"/>
      <x:c r="E54" s="10"/>
      <x:c r="F54" s="10"/>
      <x:c r="G54" s="10"/>
      <x:c r="H54" s="10"/>
    </x:row>
    <x:row r="55" ht="14.25" customHeight="1">
      <x:c r="A55" s="10"/>
      <x:c r="B55" s="10"/>
      <x:c r="C55" s="10"/>
      <x:c r="D55" s="10"/>
      <x:c r="E55" s="10"/>
      <x:c r="F55" s="10"/>
      <x:c r="G55" s="10"/>
      <x:c r="H55" s="10"/>
    </x:row>
    <x:row r="56" ht="14.25" customHeight="1">
      <x:c r="A56" s="10"/>
      <x:c r="B56" s="10"/>
      <x:c r="C56" s="10"/>
      <x:c r="D56" s="10"/>
      <x:c r="E56" s="10"/>
      <x:c r="F56" s="10"/>
      <x:c r="G56" s="10"/>
      <x:c r="H56" s="10"/>
    </x:row>
    <x:row r="57" ht="14.25" customHeight="1">
      <x:c r="A57" s="10"/>
      <x:c r="B57" s="10"/>
      <x:c r="C57" s="10"/>
      <x:c r="D57" s="10"/>
      <x:c r="E57" s="10"/>
      <x:c r="F57" s="10"/>
      <x:c r="G57" s="10"/>
      <x:c r="H57" s="10"/>
    </x:row>
    <x:row r="58" ht="14.25" customHeight="1">
      <x:c r="A58" s="10"/>
      <x:c r="B58" s="10"/>
      <x:c r="C58" s="10"/>
      <x:c r="D58" s="10"/>
      <x:c r="E58" s="10"/>
      <x:c r="F58" s="10"/>
      <x:c r="G58" s="10"/>
      <x:c r="H58" s="10"/>
    </x:row>
    <x:row r="59" ht="14.25" customHeight="1">
      <x:c r="A59" s="10"/>
      <x:c r="B59" s="10"/>
      <x:c r="C59" s="10"/>
      <x:c r="D59" s="10"/>
      <x:c r="E59" s="10"/>
      <x:c r="F59" s="10"/>
      <x:c r="G59" s="10"/>
      <x:c r="H59" s="10"/>
    </x:row>
    <x:row r="60" ht="14.25" customHeight="1">
      <x:c r="A60" s="10"/>
      <x:c r="B60" s="10"/>
      <x:c r="C60" s="10"/>
      <x:c r="D60" s="10"/>
      <x:c r="E60" s="10"/>
      <x:c r="F60" s="10"/>
      <x:c r="G60" s="10"/>
      <x:c r="H60" s="10"/>
    </x:row>
    <x:row r="61" ht="14.25" customHeight="1">
      <x:c r="A61" s="10"/>
      <x:c r="B61" s="10"/>
      <x:c r="C61" s="10"/>
      <x:c r="D61" s="10"/>
      <x:c r="E61" s="10"/>
      <x:c r="F61" s="10"/>
      <x:c r="G61" s="10"/>
      <x:c r="H61" s="10"/>
    </x:row>
    <x:row r="62" ht="14.25" customHeight="1">
      <x:c r="A62" s="10"/>
      <x:c r="B62" s="10"/>
      <x:c r="C62" s="10"/>
      <x:c r="D62" s="10"/>
      <x:c r="E62" s="10"/>
      <x:c r="F62" s="10"/>
      <x:c r="G62" s="10"/>
      <x:c r="H62" s="10"/>
    </x:row>
    <x:row r="63" ht="14.25" customHeight="1">
      <x:c r="A63" s="10"/>
      <x:c r="B63" s="10"/>
      <x:c r="C63" s="10"/>
      <x:c r="D63" s="10"/>
      <x:c r="E63" s="10"/>
      <x:c r="F63" s="10"/>
      <x:c r="G63" s="10"/>
      <x:c r="H63" s="10"/>
    </x:row>
    <x:row r="64" ht="14.25" customHeight="1">
      <x:c r="A64" s="10"/>
      <x:c r="B64" s="10"/>
      <x:c r="C64" s="10"/>
      <x:c r="D64" s="10"/>
      <x:c r="E64" s="10"/>
      <x:c r="F64" s="10"/>
      <x:c r="G64" s="10"/>
      <x:c r="H64" s="10"/>
    </x:row>
    <x:row r="65" ht="14.25" customHeight="1">
      <x:c r="A65" s="10"/>
      <x:c r="B65" s="10"/>
      <x:c r="C65" s="10"/>
      <x:c r="D65" s="10"/>
      <x:c r="E65" s="10"/>
      <x:c r="F65" s="10"/>
      <x:c r="G65" s="10"/>
      <x:c r="H65" s="10"/>
    </x:row>
    <x:row r="66" ht="14.25" customHeight="1">
      <x:c r="A66" s="10"/>
      <x:c r="B66" s="10"/>
      <x:c r="C66" s="10"/>
      <x:c r="D66" s="10"/>
      <x:c r="E66" s="10"/>
      <x:c r="F66" s="10"/>
      <x:c r="G66" s="10"/>
      <x:c r="H66" s="10"/>
    </x:row>
    <x:row r="67" ht="14.25" customHeight="1">
      <x:c r="A67" s="10"/>
      <x:c r="B67" s="10"/>
      <x:c r="C67" s="10"/>
      <x:c r="D67" s="10"/>
      <x:c r="E67" s="10"/>
      <x:c r="F67" s="10"/>
      <x:c r="G67" s="10"/>
      <x:c r="H67" s="10"/>
    </x:row>
    <x:row r="68" ht="14.25" customHeight="1">
      <x:c r="A68" s="10"/>
      <x:c r="B68" s="10"/>
      <x:c r="C68" s="10"/>
      <x:c r="D68" s="10"/>
      <x:c r="E68" s="10"/>
      <x:c r="F68" s="10"/>
      <x:c r="G68" s="10"/>
      <x:c r="H68" s="10"/>
    </x:row>
    <x:row r="69" ht="14.25" customHeight="1">
      <x:c r="A69" s="10"/>
      <x:c r="B69" s="10"/>
      <x:c r="C69" s="10"/>
      <x:c r="D69" s="10"/>
      <x:c r="E69" s="10"/>
      <x:c r="F69" s="10"/>
      <x:c r="G69" s="10"/>
      <x:c r="H69" s="10"/>
    </x:row>
    <x:row r="70" ht="14.25" customHeight="1">
      <x:c r="A70" s="10"/>
      <x:c r="B70" s="10"/>
      <x:c r="C70" s="10"/>
      <x:c r="D70" s="10"/>
      <x:c r="E70" s="10"/>
      <x:c r="F70" s="10"/>
      <x:c r="G70" s="10"/>
      <x:c r="H70" s="10"/>
    </x:row>
    <x:row r="71" ht="14.25" customHeight="1">
      <x:c r="A71" s="10"/>
      <x:c r="B71" s="10"/>
      <x:c r="C71" s="10"/>
      <x:c r="D71" s="10"/>
      <x:c r="E71" s="10"/>
      <x:c r="F71" s="10"/>
      <x:c r="G71" s="10"/>
      <x:c r="H71" s="10"/>
    </x:row>
    <x:row r="72" ht="14.25" customHeight="1">
      <x:c r="A72" s="10"/>
      <x:c r="B72" s="10"/>
      <x:c r="C72" s="10"/>
      <x:c r="D72" s="10"/>
      <x:c r="E72" s="10"/>
      <x:c r="F72" s="10"/>
      <x:c r="G72" s="10"/>
      <x:c r="H72" s="10"/>
    </x:row>
    <x:row r="73" ht="14.25" customHeight="1">
      <x:c r="A73" s="10"/>
      <x:c r="B73" s="10"/>
      <x:c r="C73" s="10"/>
      <x:c r="D73" s="10"/>
      <x:c r="E73" s="10"/>
      <x:c r="F73" s="10"/>
      <x:c r="G73" s="10"/>
      <x:c r="H73" s="10"/>
    </x:row>
    <x:row r="74" ht="14.25" customHeight="1">
      <x:c r="A74" s="10"/>
      <x:c r="B74" s="10"/>
      <x:c r="C74" s="10"/>
      <x:c r="D74" s="10"/>
      <x:c r="E74" s="10"/>
      <x:c r="F74" s="10"/>
      <x:c r="G74" s="10"/>
      <x:c r="H74" s="10"/>
    </x:row>
    <x:row r="75" ht="14.25" customHeight="1">
      <x:c r="A75" s="10"/>
      <x:c r="B75" s="10"/>
      <x:c r="C75" s="10"/>
      <x:c r="D75" s="10"/>
      <x:c r="E75" s="10"/>
      <x:c r="F75" s="10"/>
      <x:c r="G75" s="10"/>
      <x:c r="H75" s="10"/>
    </x:row>
    <x:row r="76" ht="14.25" customHeight="1">
      <x:c r="A76" s="10"/>
      <x:c r="B76" s="10"/>
      <x:c r="C76" s="10"/>
      <x:c r="D76" s="10"/>
      <x:c r="E76" s="10"/>
      <x:c r="F76" s="10"/>
      <x:c r="G76" s="10"/>
      <x:c r="H76" s="10"/>
    </x:row>
    <x:row r="77" ht="14.25" customHeight="1">
      <x:c r="A77" s="10"/>
      <x:c r="B77" s="10"/>
      <x:c r="C77" s="10"/>
      <x:c r="D77" s="10"/>
      <x:c r="E77" s="10"/>
      <x:c r="F77" s="10"/>
      <x:c r="G77" s="10"/>
      <x:c r="H77" s="10"/>
    </x:row>
    <x:row r="78" ht="14.25" customHeight="1">
      <x:c r="A78" s="10"/>
      <x:c r="B78" s="10"/>
      <x:c r="C78" s="10"/>
      <x:c r="D78" s="10"/>
      <x:c r="E78" s="10"/>
      <x:c r="F78" s="10"/>
      <x:c r="G78" s="10"/>
      <x:c r="H78" s="10"/>
    </x:row>
    <x:row r="79" ht="14.25" customHeight="1">
      <x:c r="A79" s="10"/>
      <x:c r="B79" s="10"/>
      <x:c r="C79" s="10"/>
      <x:c r="D79" s="10"/>
      <x:c r="E79" s="10"/>
      <x:c r="F79" s="10"/>
      <x:c r="G79" s="10"/>
      <x:c r="H79" s="10"/>
    </x:row>
    <x:row r="80" ht="14.25" customHeight="1">
      <x:c r="A80" s="10"/>
      <x:c r="B80" s="10"/>
      <x:c r="C80" s="10"/>
      <x:c r="D80" s="10"/>
      <x:c r="E80" s="10"/>
      <x:c r="F80" s="10"/>
      <x:c r="G80" s="10"/>
      <x:c r="H80" s="10"/>
    </x:row>
    <x:row r="81" ht="14.25" customHeight="1">
      <x:c r="A81" s="10"/>
      <x:c r="B81" s="10"/>
      <x:c r="C81" s="10"/>
      <x:c r="D81" s="10"/>
      <x:c r="E81" s="10"/>
      <x:c r="F81" s="10"/>
      <x:c r="G81" s="10"/>
      <x:c r="H81" s="10"/>
    </x:row>
    <x:row r="82" ht="14.25" customHeight="1">
      <x:c r="A82" s="10"/>
      <x:c r="B82" s="10"/>
      <x:c r="C82" s="10"/>
      <x:c r="D82" s="10"/>
      <x:c r="E82" s="10"/>
      <x:c r="F82" s="10"/>
      <x:c r="G82" s="10"/>
      <x:c r="H82" s="10"/>
    </x:row>
    <x:row r="83" ht="14.25" customHeight="1">
      <x:c r="A83" s="10"/>
      <x:c r="B83" s="10"/>
      <x:c r="C83" s="10"/>
      <x:c r="D83" s="10"/>
      <x:c r="E83" s="10"/>
      <x:c r="F83" s="10"/>
      <x:c r="G83" s="10"/>
      <x:c r="H83" s="10"/>
    </x:row>
    <x:row r="84" ht="14.25" customHeight="1">
      <x:c r="A84" s="10"/>
      <x:c r="B84" s="10"/>
      <x:c r="C84" s="10"/>
      <x:c r="D84" s="10"/>
      <x:c r="E84" s="10"/>
      <x:c r="F84" s="10"/>
      <x:c r="G84" s="10"/>
      <x:c r="H84" s="10"/>
    </x:row>
    <x:row r="85" ht="14.25" customHeight="1">
      <x:c r="A85" s="10"/>
      <x:c r="B85" s="10"/>
      <x:c r="C85" s="10"/>
      <x:c r="D85" s="10"/>
      <x:c r="E85" s="10"/>
      <x:c r="F85" s="10"/>
      <x:c r="G85" s="10"/>
      <x:c r="H85" s="10"/>
    </x:row>
    <x:row r="86" ht="14.25" customHeight="1">
      <x:c r="A86" s="10"/>
      <x:c r="B86" s="10"/>
      <x:c r="C86" s="10"/>
      <x:c r="D86" s="10"/>
      <x:c r="E86" s="10"/>
      <x:c r="F86" s="10"/>
      <x:c r="G86" s="10"/>
      <x:c r="H86" s="10"/>
    </x:row>
    <x:row r="87" ht="14.25" customHeight="1">
      <x:c r="A87" s="10"/>
      <x:c r="B87" s="10"/>
      <x:c r="C87" s="10"/>
      <x:c r="D87" s="10"/>
      <x:c r="E87" s="10"/>
      <x:c r="F87" s="10"/>
      <x:c r="G87" s="10"/>
      <x:c r="H87" s="10"/>
    </x:row>
    <x:row r="88" ht="14.25" customHeight="1">
      <x:c r="A88" s="10"/>
      <x:c r="B88" s="10"/>
      <x:c r="C88" s="10"/>
      <x:c r="D88" s="10"/>
      <x:c r="E88" s="10"/>
      <x:c r="F88" s="10"/>
      <x:c r="G88" s="10"/>
      <x:c r="H88" s="10"/>
    </x:row>
    <x:row r="89" ht="14.25" customHeight="1">
      <x:c r="A89" s="10"/>
      <x:c r="B89" s="10"/>
      <x:c r="C89" s="10"/>
      <x:c r="D89" s="10"/>
      <x:c r="E89" s="10"/>
      <x:c r="F89" s="10"/>
      <x:c r="G89" s="10"/>
      <x:c r="H89" s="10"/>
    </x:row>
    <x:row r="90" ht="14.25" customHeight="1">
      <x:c r="A90" s="10"/>
      <x:c r="B90" s="10"/>
      <x:c r="C90" s="10"/>
      <x:c r="D90" s="10"/>
      <x:c r="E90" s="10"/>
      <x:c r="F90" s="10"/>
      <x:c r="G90" s="10"/>
      <x:c r="H90" s="10"/>
    </x:row>
    <x:row r="91" ht="14.25" customHeight="1">
      <x:c r="A91" s="10"/>
      <x:c r="B91" s="10"/>
      <x:c r="C91" s="10"/>
      <x:c r="D91" s="10"/>
      <x:c r="E91" s="10"/>
      <x:c r="F91" s="10"/>
      <x:c r="G91" s="10"/>
      <x:c r="H91" s="10"/>
    </x:row>
    <x:row r="92" ht="14.25" customHeight="1">
      <x:c r="A92" s="10"/>
      <x:c r="B92" s="10"/>
      <x:c r="C92" s="10"/>
      <x:c r="D92" s="10"/>
      <x:c r="E92" s="10"/>
      <x:c r="F92" s="10"/>
      <x:c r="G92" s="10"/>
      <x:c r="H92" s="10"/>
    </x:row>
    <x:row r="93" ht="14.25" customHeight="1">
      <x:c r="A93" s="10"/>
      <x:c r="B93" s="10"/>
      <x:c r="C93" s="10"/>
      <x:c r="D93" s="10"/>
      <x:c r="E93" s="10"/>
      <x:c r="F93" s="10"/>
      <x:c r="G93" s="10"/>
      <x:c r="H93" s="10"/>
    </x:row>
    <x:row r="94" ht="14.25" customHeight="1">
      <x:c r="A94" s="10"/>
      <x:c r="B94" s="10"/>
      <x:c r="C94" s="10"/>
      <x:c r="D94" s="10"/>
      <x:c r="E94" s="10"/>
      <x:c r="F94" s="10"/>
      <x:c r="G94" s="10"/>
      <x:c r="H94" s="10"/>
    </x:row>
    <x:row r="95" ht="14.25" customHeight="1">
      <x:c r="A95" s="10"/>
      <x:c r="B95" s="10"/>
      <x:c r="C95" s="10"/>
      <x:c r="D95" s="10"/>
      <x:c r="E95" s="10"/>
      <x:c r="F95" s="10"/>
      <x:c r="G95" s="10"/>
      <x:c r="H95" s="10"/>
    </x:row>
    <x:row r="96" ht="14.25" customHeight="1">
      <x:c r="A96" s="10"/>
      <x:c r="B96" s="10"/>
      <x:c r="C96" s="10"/>
      <x:c r="D96" s="10"/>
      <x:c r="E96" s="10"/>
      <x:c r="F96" s="10"/>
      <x:c r="G96" s="10"/>
      <x:c r="H96" s="10"/>
    </x:row>
    <x:row r="97" ht="14.25" customHeight="1">
      <x:c r="A97" s="10"/>
      <x:c r="B97" s="10"/>
      <x:c r="C97" s="10"/>
      <x:c r="D97" s="10"/>
      <x:c r="E97" s="10"/>
      <x:c r="F97" s="10"/>
      <x:c r="G97" s="10"/>
      <x:c r="H97" s="10"/>
    </x:row>
    <x:row r="98" ht="14.25" customHeight="1">
      <x:c r="A98" s="10"/>
      <x:c r="B98" s="10"/>
      <x:c r="C98" s="10"/>
      <x:c r="D98" s="10"/>
      <x:c r="E98" s="10"/>
      <x:c r="F98" s="10"/>
      <x:c r="G98" s="10"/>
      <x:c r="H98" s="10"/>
    </x:row>
    <x:row r="99" ht="14.25" customHeight="1">
      <x:c r="A99" s="10"/>
      <x:c r="B99" s="10"/>
      <x:c r="C99" s="10"/>
      <x:c r="D99" s="10"/>
      <x:c r="E99" s="10"/>
      <x:c r="F99" s="10"/>
      <x:c r="G99" s="10"/>
      <x:c r="H99" s="10"/>
    </x:row>
    <x:row r="100" ht="14.25" customHeight="1">
      <x:c r="A100" s="10"/>
      <x:c r="B100" s="10"/>
      <x:c r="C100" s="10"/>
      <x:c r="D100" s="10"/>
      <x:c r="E100" s="10"/>
      <x:c r="F100" s="10"/>
      <x:c r="G100" s="10"/>
      <x:c r="H100" s="10"/>
    </x:row>
    <x:row r="101" ht="14.25" customHeight="1">
      <x:c r="A101" s="10"/>
      <x:c r="B101" s="10"/>
      <x:c r="C101" s="10"/>
      <x:c r="D101" s="10"/>
      <x:c r="E101" s="10"/>
      <x:c r="F101" s="10"/>
      <x:c r="G101" s="10"/>
      <x:c r="H101" s="10"/>
    </x:row>
    <x:row r="102" ht="14.25" customHeight="1">
      <x:c r="A102" s="10"/>
      <x:c r="B102" s="10"/>
      <x:c r="C102" s="10"/>
      <x:c r="D102" s="10"/>
      <x:c r="E102" s="10"/>
      <x:c r="F102" s="10"/>
      <x:c r="G102" s="10"/>
      <x:c r="H102" s="10"/>
    </x:row>
    <x:row r="103" ht="14.25" customHeight="1">
      <x:c r="A103" s="10"/>
      <x:c r="B103" s="10"/>
      <x:c r="C103" s="10"/>
      <x:c r="D103" s="10"/>
      <x:c r="E103" s="10"/>
      <x:c r="F103" s="10"/>
      <x:c r="G103" s="10"/>
      <x:c r="H103" s="10"/>
    </x:row>
    <x:row r="104" ht="14.25" customHeight="1">
      <x:c r="A104" s="10"/>
      <x:c r="B104" s="10"/>
      <x:c r="C104" s="10"/>
      <x:c r="D104" s="10"/>
      <x:c r="E104" s="10"/>
      <x:c r="F104" s="10"/>
      <x:c r="G104" s="10"/>
      <x:c r="H104" s="10"/>
    </x:row>
    <x:row r="105" ht="14.25" customHeight="1">
      <x:c r="A105" s="10"/>
      <x:c r="B105" s="10"/>
      <x:c r="C105" s="10"/>
      <x:c r="D105" s="10"/>
      <x:c r="E105" s="10"/>
      <x:c r="F105" s="10"/>
      <x:c r="G105" s="10"/>
      <x:c r="H105" s="10"/>
    </x:row>
    <x:row r="106" ht="14.25" customHeight="1">
      <x:c r="A106" s="10"/>
      <x:c r="B106" s="10"/>
      <x:c r="C106" s="10"/>
      <x:c r="D106" s="10"/>
      <x:c r="E106" s="10"/>
      <x:c r="F106" s="10"/>
      <x:c r="G106" s="10"/>
      <x:c r="H106" s="10"/>
    </x:row>
    <x:row r="107" ht="14.25" customHeight="1">
      <x:c r="A107" s="10"/>
      <x:c r="B107" s="10"/>
      <x:c r="C107" s="10"/>
      <x:c r="D107" s="10"/>
      <x:c r="E107" s="10"/>
      <x:c r="F107" s="10"/>
      <x:c r="G107" s="10"/>
      <x:c r="H107" s="10"/>
    </x:row>
    <x:row r="108" ht="14.25" customHeight="1">
      <x:c r="A108" s="10"/>
      <x:c r="B108" s="10"/>
      <x:c r="C108" s="10"/>
      <x:c r="D108" s="10"/>
      <x:c r="E108" s="10"/>
      <x:c r="F108" s="10"/>
      <x:c r="G108" s="10"/>
      <x:c r="H108" s="10"/>
    </x:row>
    <x:row r="109" ht="14.25" customHeight="1">
      <x:c r="A109" s="10"/>
      <x:c r="B109" s="10"/>
      <x:c r="C109" s="10"/>
      <x:c r="D109" s="10"/>
      <x:c r="E109" s="10"/>
      <x:c r="F109" s="10"/>
      <x:c r="G109" s="10"/>
      <x:c r="H109" s="10"/>
    </x:row>
    <x:row r="110" ht="14.25" customHeight="1">
      <x:c r="A110" s="10"/>
      <x:c r="B110" s="10"/>
      <x:c r="C110" s="10"/>
      <x:c r="D110" s="10"/>
      <x:c r="E110" s="10"/>
      <x:c r="F110" s="10"/>
      <x:c r="G110" s="10"/>
      <x:c r="H110" s="10"/>
    </x:row>
    <x:row r="111" ht="14.25" customHeight="1">
      <x:c r="A111" s="10"/>
      <x:c r="B111" s="10"/>
      <x:c r="C111" s="10"/>
      <x:c r="D111" s="10"/>
      <x:c r="E111" s="10"/>
      <x:c r="F111" s="10"/>
      <x:c r="G111" s="10"/>
      <x:c r="H111" s="10"/>
    </x:row>
    <x:row r="112" ht="14.25" customHeight="1">
      <x:c r="A112" s="10"/>
      <x:c r="B112" s="10"/>
      <x:c r="C112" s="10"/>
      <x:c r="D112" s="10"/>
      <x:c r="E112" s="10"/>
      <x:c r="F112" s="10"/>
      <x:c r="G112" s="10"/>
      <x:c r="H112" s="10"/>
    </x:row>
    <x:row r="113" ht="14.25" customHeight="1">
      <x:c r="A113" s="10"/>
      <x:c r="B113" s="10"/>
      <x:c r="C113" s="10"/>
      <x:c r="D113" s="10"/>
      <x:c r="E113" s="10"/>
      <x:c r="F113" s="10"/>
      <x:c r="G113" s="10"/>
      <x:c r="H113" s="10"/>
    </x:row>
    <x:row r="114" ht="14.25" customHeight="1">
      <x:c r="A114" s="10"/>
      <x:c r="B114" s="10"/>
      <x:c r="C114" s="10"/>
      <x:c r="D114" s="10"/>
      <x:c r="E114" s="10"/>
      <x:c r="F114" s="10"/>
      <x:c r="G114" s="10"/>
      <x:c r="H114" s="10"/>
    </x:row>
    <x:row r="115" ht="14.25" customHeight="1">
      <x:c r="A115" s="10"/>
      <x:c r="B115" s="10"/>
      <x:c r="C115" s="10"/>
      <x:c r="D115" s="10"/>
      <x:c r="E115" s="10"/>
      <x:c r="F115" s="10"/>
      <x:c r="G115" s="10"/>
      <x:c r="H115" s="10"/>
    </x:row>
    <x:row r="116" ht="14.25" customHeight="1">
      <x:c r="A116" s="10"/>
      <x:c r="B116" s="10"/>
      <x:c r="C116" s="10"/>
      <x:c r="D116" s="10"/>
      <x:c r="E116" s="10"/>
      <x:c r="F116" s="10"/>
      <x:c r="G116" s="10"/>
      <x:c r="H116" s="10"/>
    </x:row>
    <x:row r="117" ht="14.25" customHeight="1">
      <x:c r="A117" s="10"/>
      <x:c r="B117" s="10"/>
      <x:c r="C117" s="10"/>
      <x:c r="D117" s="10"/>
      <x:c r="E117" s="10"/>
      <x:c r="F117" s="10"/>
      <x:c r="G117" s="10"/>
      <x:c r="H117" s="10"/>
    </x:row>
    <x:row r="118" ht="14.25" customHeight="1">
      <x:c r="A118" s="10"/>
      <x:c r="B118" s="10"/>
      <x:c r="C118" s="10"/>
      <x:c r="D118" s="10"/>
      <x:c r="E118" s="10"/>
      <x:c r="F118" s="10"/>
      <x:c r="G118" s="10"/>
      <x:c r="H118" s="10"/>
    </x:row>
    <x:row r="119" ht="14.25" customHeight="1">
      <x:c r="A119" s="10"/>
      <x:c r="B119" s="10"/>
      <x:c r="C119" s="10"/>
      <x:c r="D119" s="10"/>
      <x:c r="E119" s="10"/>
      <x:c r="F119" s="10"/>
      <x:c r="G119" s="10"/>
      <x:c r="H119" s="10"/>
    </x:row>
    <x:row r="120" ht="14.25" customHeight="1">
      <x:c r="A120" s="10"/>
      <x:c r="B120" s="10"/>
      <x:c r="C120" s="10"/>
      <x:c r="D120" s="10"/>
      <x:c r="E120" s="10"/>
      <x:c r="F120" s="10"/>
      <x:c r="G120" s="10"/>
      <x:c r="H120" s="10"/>
    </x:row>
    <x:row r="121" ht="14.25" customHeight="1">
      <x:c r="A121" s="10"/>
      <x:c r="B121" s="10"/>
      <x:c r="C121" s="10"/>
      <x:c r="D121" s="10"/>
      <x:c r="E121" s="10"/>
      <x:c r="F121" s="10"/>
      <x:c r="G121" s="10"/>
      <x:c r="H121" s="10"/>
    </x:row>
    <x:row r="122" ht="14.25" customHeight="1">
      <x:c r="A122" s="10"/>
      <x:c r="B122" s="10"/>
      <x:c r="C122" s="10"/>
      <x:c r="D122" s="10"/>
      <x:c r="E122" s="10"/>
      <x:c r="F122" s="10"/>
      <x:c r="G122" s="10"/>
      <x:c r="H122" s="10"/>
    </x:row>
    <x:row r="123" ht="14.25" customHeight="1">
      <x:c r="A123" s="10"/>
      <x:c r="B123" s="10"/>
      <x:c r="C123" s="10"/>
      <x:c r="D123" s="10"/>
      <x:c r="E123" s="10"/>
      <x:c r="F123" s="10"/>
      <x:c r="G123" s="10"/>
      <x:c r="H123" s="10"/>
    </x:row>
    <x:row r="124" ht="14.25" customHeight="1">
      <x:c r="A124" s="10"/>
      <x:c r="B124" s="10"/>
      <x:c r="C124" s="10"/>
      <x:c r="D124" s="10"/>
      <x:c r="E124" s="10"/>
      <x:c r="F124" s="10"/>
      <x:c r="G124" s="10"/>
      <x:c r="H124" s="10"/>
    </x:row>
    <x:row r="125" ht="14.25" customHeight="1">
      <x:c r="A125" s="10"/>
      <x:c r="B125" s="10"/>
      <x:c r="C125" s="10"/>
      <x:c r="D125" s="10"/>
      <x:c r="E125" s="10"/>
      <x:c r="F125" s="10"/>
      <x:c r="G125" s="10"/>
      <x:c r="H125" s="10"/>
    </x:row>
    <x:row r="126" ht="14.25" customHeight="1">
      <x:c r="A126" s="10"/>
      <x:c r="B126" s="10"/>
      <x:c r="C126" s="10"/>
      <x:c r="D126" s="10"/>
      <x:c r="E126" s="10"/>
      <x:c r="F126" s="10"/>
      <x:c r="G126" s="10"/>
      <x:c r="H126" s="10"/>
    </x:row>
    <x:row r="127" ht="14.25" customHeight="1">
      <x:c r="A127" s="10"/>
      <x:c r="B127" s="10"/>
      <x:c r="C127" s="10"/>
      <x:c r="D127" s="10"/>
      <x:c r="E127" s="10"/>
      <x:c r="F127" s="10"/>
      <x:c r="G127" s="10"/>
      <x:c r="H127" s="10"/>
    </x:row>
    <x:row r="128" ht="14.25" customHeight="1">
      <x:c r="A128" s="10"/>
      <x:c r="B128" s="10"/>
      <x:c r="C128" s="10"/>
      <x:c r="D128" s="10"/>
      <x:c r="E128" s="10"/>
      <x:c r="F128" s="10"/>
      <x:c r="G128" s="10"/>
      <x:c r="H128" s="10"/>
    </x:row>
    <x:row r="129" ht="14.25" customHeight="1">
      <x:c r="A129" s="10"/>
      <x:c r="B129" s="10"/>
      <x:c r="C129" s="10"/>
      <x:c r="D129" s="10"/>
      <x:c r="E129" s="10"/>
      <x:c r="F129" s="10"/>
      <x:c r="G129" s="10"/>
      <x:c r="H129" s="10"/>
    </x:row>
    <x:row r="130" ht="14.25" customHeight="1">
      <x:c r="A130" s="10"/>
      <x:c r="B130" s="10"/>
      <x:c r="C130" s="10"/>
      <x:c r="D130" s="10"/>
      <x:c r="E130" s="10"/>
      <x:c r="F130" s="10"/>
      <x:c r="G130" s="10"/>
      <x:c r="H130" s="10"/>
    </x:row>
    <x:row r="131" ht="14.25" customHeight="1">
      <x:c r="A131" s="10"/>
      <x:c r="B131" s="10"/>
      <x:c r="C131" s="10"/>
      <x:c r="D131" s="10"/>
      <x:c r="E131" s="10"/>
      <x:c r="F131" s="10"/>
      <x:c r="G131" s="10"/>
      <x:c r="H131" s="10"/>
    </x:row>
    <x:row r="132" ht="14.25" customHeight="1">
      <x:c r="A132" s="10"/>
      <x:c r="B132" s="10"/>
      <x:c r="C132" s="10"/>
      <x:c r="D132" s="10"/>
      <x:c r="E132" s="10"/>
      <x:c r="F132" s="10"/>
      <x:c r="G132" s="10"/>
      <x:c r="H132" s="10"/>
    </x:row>
    <x:row r="133" ht="14.25" customHeight="1">
      <x:c r="A133" s="10"/>
      <x:c r="B133" s="10"/>
      <x:c r="C133" s="10"/>
      <x:c r="D133" s="10"/>
      <x:c r="E133" s="10"/>
      <x:c r="F133" s="10"/>
      <x:c r="G133" s="10"/>
      <x:c r="H133" s="10"/>
    </x:row>
    <x:row r="134" ht="14.25" customHeight="1">
      <x:c r="A134" s="10"/>
      <x:c r="B134" s="10"/>
      <x:c r="C134" s="10"/>
      <x:c r="D134" s="10"/>
      <x:c r="E134" s="10"/>
      <x:c r="F134" s="10"/>
      <x:c r="G134" s="10"/>
      <x:c r="H134" s="10"/>
    </x:row>
    <x:row r="135" ht="14.25" customHeight="1">
      <x:c r="A135" s="10"/>
      <x:c r="B135" s="10"/>
      <x:c r="C135" s="10"/>
      <x:c r="D135" s="10"/>
      <x:c r="E135" s="10"/>
      <x:c r="F135" s="10"/>
      <x:c r="G135" s="10"/>
      <x:c r="H135" s="10"/>
    </x:row>
    <x:row r="136" ht="14.25" customHeight="1">
      <x:c r="A136" s="10"/>
      <x:c r="B136" s="10"/>
      <x:c r="C136" s="10"/>
      <x:c r="D136" s="10"/>
      <x:c r="E136" s="10"/>
      <x:c r="F136" s="10"/>
      <x:c r="G136" s="10"/>
      <x:c r="H136" s="10"/>
    </x:row>
    <x:row r="137" ht="14.25" customHeight="1">
      <x:c r="A137" s="10"/>
      <x:c r="B137" s="10"/>
      <x:c r="C137" s="10"/>
      <x:c r="D137" s="10"/>
      <x:c r="E137" s="10"/>
      <x:c r="F137" s="10"/>
      <x:c r="G137" s="10"/>
      <x:c r="H137" s="10"/>
    </x:row>
    <x:row r="138" ht="14.25" customHeight="1">
      <x:c r="A138" s="10"/>
      <x:c r="B138" s="10"/>
      <x:c r="C138" s="10"/>
      <x:c r="D138" s="10"/>
      <x:c r="E138" s="10"/>
      <x:c r="F138" s="10"/>
      <x:c r="G138" s="10"/>
      <x:c r="H138" s="10"/>
    </x:row>
    <x:row r="139" ht="14.25" customHeight="1">
      <x:c r="A139" s="10"/>
      <x:c r="B139" s="10"/>
      <x:c r="C139" s="10"/>
      <x:c r="D139" s="10"/>
      <x:c r="E139" s="10"/>
      <x:c r="F139" s="10"/>
      <x:c r="G139" s="10"/>
      <x:c r="H139" s="10"/>
    </x:row>
    <x:row r="140" ht="14.25" customHeight="1">
      <x:c r="A140" s="10"/>
      <x:c r="B140" s="10"/>
      <x:c r="C140" s="10"/>
      <x:c r="D140" s="10"/>
      <x:c r="E140" s="10"/>
      <x:c r="F140" s="10"/>
      <x:c r="G140" s="10"/>
      <x:c r="H140" s="10"/>
    </x:row>
    <x:row r="141" ht="14.25" customHeight="1">
      <x:c r="A141" s="10"/>
      <x:c r="B141" s="10"/>
      <x:c r="C141" s="10"/>
      <x:c r="D141" s="10"/>
      <x:c r="E141" s="10"/>
      <x:c r="F141" s="10"/>
      <x:c r="G141" s="10"/>
      <x:c r="H141" s="10"/>
    </x:row>
    <x:row r="142" ht="14.25" customHeight="1">
      <x:c r="A142" s="10"/>
      <x:c r="B142" s="10"/>
      <x:c r="C142" s="10"/>
      <x:c r="D142" s="10"/>
      <x:c r="E142" s="10"/>
      <x:c r="F142" s="10"/>
      <x:c r="G142" s="10"/>
      <x:c r="H142" s="10"/>
    </x:row>
    <x:row r="143" ht="14.25" customHeight="1">
      <x:c r="A143" s="10"/>
      <x:c r="B143" s="10"/>
      <x:c r="C143" s="10"/>
      <x:c r="D143" s="10"/>
      <x:c r="E143" s="10"/>
      <x:c r="F143" s="10"/>
      <x:c r="G143" s="10"/>
      <x:c r="H143" s="10"/>
    </x:row>
    <x:row r="144" ht="14.25" customHeight="1">
      <x:c r="A144" s="10"/>
      <x:c r="B144" s="10"/>
      <x:c r="C144" s="10"/>
      <x:c r="D144" s="10"/>
      <x:c r="E144" s="10"/>
      <x:c r="F144" s="10"/>
      <x:c r="G144" s="10"/>
      <x:c r="H144" s="10"/>
    </x:row>
    <x:row r="145" ht="14.25" customHeight="1">
      <x:c r="A145" s="10"/>
      <x:c r="B145" s="10"/>
      <x:c r="C145" s="10"/>
      <x:c r="D145" s="10"/>
      <x:c r="E145" s="10"/>
      <x:c r="F145" s="10"/>
      <x:c r="G145" s="10"/>
      <x:c r="H145" s="10"/>
    </x:row>
    <x:row r="146" ht="14.25" customHeight="1">
      <x:c r="A146" s="10"/>
      <x:c r="B146" s="10"/>
      <x:c r="C146" s="10"/>
      <x:c r="D146" s="10"/>
      <x:c r="E146" s="10"/>
      <x:c r="F146" s="10"/>
      <x:c r="G146" s="10"/>
      <x:c r="H146" s="10"/>
    </x:row>
    <x:row r="147" ht="14.25" customHeight="1">
      <x:c r="A147" s="10"/>
      <x:c r="B147" s="10"/>
      <x:c r="C147" s="10"/>
      <x:c r="D147" s="10"/>
      <x:c r="E147" s="10"/>
      <x:c r="F147" s="10"/>
      <x:c r="G147" s="10"/>
      <x:c r="H147" s="10"/>
    </x:row>
    <x:row r="148" ht="14.25" customHeight="1">
      <x:c r="A148" s="10"/>
      <x:c r="B148" s="10"/>
      <x:c r="C148" s="10"/>
      <x:c r="D148" s="10"/>
      <x:c r="E148" s="10"/>
      <x:c r="F148" s="10"/>
      <x:c r="G148" s="10"/>
      <x:c r="H148" s="10"/>
    </x:row>
    <x:row r="149" ht="14.25" customHeight="1">
      <x:c r="A149" s="10"/>
      <x:c r="B149" s="10"/>
      <x:c r="C149" s="10"/>
      <x:c r="D149" s="10"/>
      <x:c r="E149" s="10"/>
      <x:c r="F149" s="10"/>
      <x:c r="G149" s="10"/>
      <x:c r="H149" s="10"/>
    </x:row>
    <x:row r="150" ht="14.25" customHeight="1">
      <x:c r="A150" s="10"/>
      <x:c r="B150" s="10"/>
      <x:c r="C150" s="10"/>
      <x:c r="D150" s="10"/>
      <x:c r="E150" s="10"/>
      <x:c r="F150" s="10"/>
      <x:c r="G150" s="10"/>
      <x:c r="H150" s="10"/>
    </x:row>
    <x:row r="151" ht="14.25" customHeight="1">
      <x:c r="A151" s="10"/>
      <x:c r="B151" s="10"/>
      <x:c r="C151" s="10"/>
      <x:c r="D151" s="10"/>
      <x:c r="E151" s="10"/>
      <x:c r="F151" s="10"/>
      <x:c r="G151" s="10"/>
      <x:c r="H151" s="10"/>
    </x:row>
    <x:row r="152" ht="14.25" customHeight="1">
      <x:c r="A152" s="10"/>
      <x:c r="B152" s="10"/>
      <x:c r="C152" s="10"/>
      <x:c r="D152" s="10"/>
      <x:c r="E152" s="10"/>
      <x:c r="F152" s="10"/>
      <x:c r="G152" s="10"/>
      <x:c r="H152" s="10"/>
    </x:row>
    <x:row r="153" ht="14.25" customHeight="1">
      <x:c r="A153" s="10"/>
      <x:c r="B153" s="10"/>
      <x:c r="C153" s="10"/>
      <x:c r="D153" s="10"/>
      <x:c r="E153" s="10"/>
      <x:c r="F153" s="10"/>
      <x:c r="G153" s="10"/>
      <x:c r="H153" s="10"/>
    </x:row>
    <x:row r="154" ht="14.25" customHeight="1">
      <x:c r="A154" s="10"/>
      <x:c r="B154" s="10"/>
      <x:c r="C154" s="10"/>
      <x:c r="D154" s="10"/>
      <x:c r="E154" s="10"/>
      <x:c r="F154" s="10"/>
      <x:c r="G154" s="10"/>
      <x:c r="H154" s="10"/>
    </x:row>
    <x:row r="155" ht="14.25" customHeight="1">
      <x:c r="A155" s="10"/>
      <x:c r="B155" s="10"/>
      <x:c r="C155" s="10"/>
      <x:c r="D155" s="10"/>
      <x:c r="E155" s="10"/>
      <x:c r="F155" s="10"/>
      <x:c r="G155" s="10"/>
      <x:c r="H155" s="10"/>
    </x:row>
    <x:row r="156" ht="14.25" customHeight="1">
      <x:c r="A156" s="10"/>
      <x:c r="B156" s="10"/>
      <x:c r="C156" s="10"/>
      <x:c r="D156" s="10"/>
      <x:c r="E156" s="10"/>
      <x:c r="F156" s="10"/>
      <x:c r="G156" s="10"/>
      <x:c r="H156" s="10"/>
    </x:row>
    <x:row r="157" ht="14.25" customHeight="1">
      <x:c r="A157" s="10"/>
      <x:c r="B157" s="10"/>
      <x:c r="C157" s="10"/>
      <x:c r="D157" s="10"/>
      <x:c r="E157" s="10"/>
      <x:c r="F157" s="10"/>
      <x:c r="G157" s="10"/>
      <x:c r="H157" s="10"/>
    </x:row>
    <x:row r="158" ht="14.25" customHeight="1">
      <x:c r="A158" s="10"/>
      <x:c r="B158" s="10"/>
      <x:c r="C158" s="10"/>
      <x:c r="D158" s="10"/>
      <x:c r="E158" s="10"/>
      <x:c r="F158" s="10"/>
      <x:c r="G158" s="10"/>
      <x:c r="H158" s="10"/>
    </x:row>
    <x:row r="159" ht="14.25" customHeight="1">
      <x:c r="A159" s="10"/>
      <x:c r="B159" s="10"/>
      <x:c r="C159" s="10"/>
      <x:c r="D159" s="10"/>
      <x:c r="E159" s="10"/>
      <x:c r="F159" s="10"/>
      <x:c r="G159" s="10"/>
      <x:c r="H159" s="10"/>
    </x:row>
    <x:row r="160" ht="14.25" customHeight="1">
      <x:c r="A160" s="10"/>
      <x:c r="B160" s="10"/>
      <x:c r="C160" s="10"/>
      <x:c r="D160" s="10"/>
      <x:c r="E160" s="10"/>
      <x:c r="F160" s="10"/>
      <x:c r="G160" s="10"/>
      <x:c r="H160" s="10"/>
    </x:row>
    <x:row r="161" ht="14.25" customHeight="1">
      <x:c r="A161" s="10"/>
      <x:c r="B161" s="10"/>
      <x:c r="C161" s="10"/>
      <x:c r="D161" s="10"/>
      <x:c r="E161" s="10"/>
      <x:c r="F161" s="10"/>
      <x:c r="G161" s="10"/>
      <x:c r="H161" s="10"/>
    </x:row>
    <x:row r="162" ht="14.25" customHeight="1">
      <x:c r="A162" s="10"/>
      <x:c r="B162" s="10"/>
      <x:c r="C162" s="10"/>
      <x:c r="D162" s="10"/>
      <x:c r="E162" s="10"/>
      <x:c r="F162" s="10"/>
      <x:c r="G162" s="10"/>
      <x:c r="H162" s="10"/>
    </x:row>
    <x:row r="163" ht="14.25" customHeight="1">
      <x:c r="A163" s="10"/>
      <x:c r="B163" s="10"/>
      <x:c r="C163" s="10"/>
      <x:c r="D163" s="10"/>
      <x:c r="E163" s="10"/>
      <x:c r="F163" s="10"/>
      <x:c r="G163" s="10"/>
      <x:c r="H163" s="10"/>
    </x:row>
    <x:row r="164" ht="14.25" customHeight="1">
      <x:c r="A164" s="10"/>
      <x:c r="B164" s="10"/>
      <x:c r="C164" s="10"/>
      <x:c r="D164" s="10"/>
      <x:c r="E164" s="10"/>
      <x:c r="F164" s="10"/>
      <x:c r="G164" s="10"/>
      <x:c r="H164" s="10"/>
    </x:row>
    <x:row r="165" ht="14.25" customHeight="1">
      <x:c r="A165" s="10"/>
      <x:c r="B165" s="10"/>
      <x:c r="C165" s="10"/>
      <x:c r="D165" s="10"/>
      <x:c r="E165" s="10"/>
      <x:c r="F165" s="10"/>
      <x:c r="G165" s="10"/>
      <x:c r="H165" s="10"/>
    </x:row>
    <x:row r="166" ht="14.25" customHeight="1">
      <x:c r="A166" s="10"/>
      <x:c r="B166" s="10"/>
      <x:c r="C166" s="10"/>
      <x:c r="D166" s="10"/>
      <x:c r="E166" s="10"/>
      <x:c r="F166" s="10"/>
      <x:c r="G166" s="10"/>
      <x:c r="H166" s="10"/>
    </x:row>
    <x:row r="167" ht="14.25" customHeight="1">
      <x:c r="A167" s="10"/>
      <x:c r="B167" s="10"/>
      <x:c r="C167" s="10"/>
      <x:c r="D167" s="10"/>
      <x:c r="E167" s="10"/>
      <x:c r="F167" s="10"/>
      <x:c r="G167" s="10"/>
      <x:c r="H167" s="10"/>
    </x:row>
    <x:row r="168" ht="14.25" customHeight="1">
      <x:c r="A168" s="10"/>
      <x:c r="B168" s="10"/>
      <x:c r="C168" s="10"/>
      <x:c r="D168" s="10"/>
      <x:c r="E168" s="10"/>
      <x:c r="F168" s="10"/>
      <x:c r="G168" s="10"/>
      <x:c r="H168" s="10"/>
    </x:row>
    <x:row r="169" ht="14.25" customHeight="1">
      <x:c r="A169" s="10"/>
      <x:c r="B169" s="10"/>
      <x:c r="C169" s="10"/>
      <x:c r="D169" s="10"/>
      <x:c r="E169" s="10"/>
      <x:c r="F169" s="10"/>
      <x:c r="G169" s="10"/>
      <x:c r="H169" s="10"/>
    </x:row>
    <x:row r="170" ht="14.25" customHeight="1">
      <x:c r="A170" s="10"/>
      <x:c r="B170" s="10"/>
      <x:c r="C170" s="10"/>
      <x:c r="D170" s="10"/>
      <x:c r="E170" s="10"/>
      <x:c r="F170" s="10"/>
      <x:c r="G170" s="10"/>
      <x:c r="H170" s="10"/>
    </x:row>
    <x:row r="171" ht="14.25" customHeight="1">
      <x:c r="A171" s="10"/>
      <x:c r="B171" s="10"/>
      <x:c r="C171" s="10"/>
      <x:c r="D171" s="10"/>
      <x:c r="E171" s="10"/>
      <x:c r="F171" s="10"/>
      <x:c r="G171" s="10"/>
      <x:c r="H171" s="10"/>
    </x:row>
    <x:row r="172" ht="14.25" customHeight="1">
      <x:c r="A172" s="10"/>
      <x:c r="B172" s="10"/>
      <x:c r="C172" s="10"/>
      <x:c r="D172" s="10"/>
      <x:c r="E172" s="10"/>
      <x:c r="F172" s="10"/>
      <x:c r="G172" s="10"/>
      <x:c r="H172" s="10"/>
    </x:row>
    <x:row r="173" ht="14.25" customHeight="1">
      <x:c r="A173" s="10"/>
      <x:c r="B173" s="10"/>
      <x:c r="C173" s="10"/>
      <x:c r="D173" s="10"/>
      <x:c r="E173" s="10"/>
      <x:c r="F173" s="10"/>
      <x:c r="G173" s="10"/>
      <x:c r="H173" s="10"/>
    </x:row>
    <x:row r="174" ht="14.25" customHeight="1">
      <x:c r="A174" s="10"/>
      <x:c r="B174" s="10"/>
      <x:c r="C174" s="10"/>
      <x:c r="D174" s="10"/>
      <x:c r="E174" s="10"/>
      <x:c r="F174" s="10"/>
      <x:c r="G174" s="10"/>
      <x:c r="H174" s="10"/>
    </x:row>
    <x:row r="175" ht="14.25" customHeight="1">
      <x:c r="A175" s="10"/>
      <x:c r="B175" s="10"/>
      <x:c r="C175" s="10"/>
      <x:c r="D175" s="10"/>
      <x:c r="E175" s="10"/>
      <x:c r="F175" s="10"/>
      <x:c r="G175" s="10"/>
      <x:c r="H175" s="10"/>
    </x:row>
    <x:row r="176" ht="14.25" customHeight="1">
      <x:c r="A176" s="10"/>
      <x:c r="B176" s="10"/>
      <x:c r="C176" s="10"/>
      <x:c r="D176" s="10"/>
      <x:c r="E176" s="10"/>
      <x:c r="F176" s="10"/>
      <x:c r="G176" s="10"/>
      <x:c r="H176" s="10"/>
    </x:row>
    <x:row r="177" ht="14.25" customHeight="1">
      <x:c r="A177" s="10"/>
      <x:c r="B177" s="10"/>
      <x:c r="C177" s="10"/>
      <x:c r="D177" s="10"/>
      <x:c r="E177" s="10"/>
      <x:c r="F177" s="10"/>
      <x:c r="G177" s="10"/>
      <x:c r="H177" s="10"/>
    </x:row>
    <x:row r="178" ht="14.25" customHeight="1">
      <x:c r="A178" s="10"/>
      <x:c r="B178" s="10"/>
      <x:c r="C178" s="10"/>
      <x:c r="D178" s="10"/>
      <x:c r="E178" s="10"/>
      <x:c r="F178" s="10"/>
      <x:c r="G178" s="10"/>
      <x:c r="H178" s="10"/>
    </x:row>
    <x:row r="179" ht="14.25" customHeight="1">
      <x:c r="A179" s="10"/>
      <x:c r="B179" s="10"/>
      <x:c r="C179" s="10"/>
      <x:c r="D179" s="10"/>
      <x:c r="E179" s="10"/>
      <x:c r="F179" s="10"/>
      <x:c r="G179" s="10"/>
      <x:c r="H179" s="10"/>
    </x:row>
    <x:row r="180" ht="14.25" customHeight="1">
      <x:c r="A180" s="10"/>
      <x:c r="B180" s="10"/>
      <x:c r="C180" s="10"/>
      <x:c r="D180" s="10"/>
      <x:c r="E180" s="10"/>
      <x:c r="F180" s="10"/>
      <x:c r="G180" s="10"/>
      <x:c r="H180" s="10"/>
    </x:row>
    <x:row r="181" ht="14.25" customHeight="1">
      <x:c r="A181" s="10"/>
      <x:c r="B181" s="10"/>
      <x:c r="C181" s="10"/>
      <x:c r="D181" s="10"/>
      <x:c r="E181" s="10"/>
      <x:c r="F181" s="10"/>
      <x:c r="G181" s="10"/>
      <x:c r="H181" s="10"/>
    </x:row>
    <x:row r="182" ht="14.25" customHeight="1">
      <x:c r="A182" s="10"/>
      <x:c r="B182" s="10"/>
      <x:c r="C182" s="10"/>
      <x:c r="D182" s="10"/>
      <x:c r="E182" s="10"/>
      <x:c r="F182" s="10"/>
      <x:c r="G182" s="10"/>
      <x:c r="H182" s="10"/>
    </x:row>
    <x:row r="183" ht="14.25" customHeight="1">
      <x:c r="A183" s="10"/>
      <x:c r="B183" s="10"/>
      <x:c r="C183" s="10"/>
      <x:c r="D183" s="10"/>
      <x:c r="E183" s="10"/>
      <x:c r="F183" s="10"/>
      <x:c r="G183" s="10"/>
      <x:c r="H183" s="10"/>
    </x:row>
    <x:row r="184" ht="14.25" customHeight="1">
      <x:c r="A184" s="10"/>
      <x:c r="B184" s="10"/>
      <x:c r="C184" s="10"/>
      <x:c r="D184" s="10"/>
      <x:c r="E184" s="10"/>
      <x:c r="F184" s="10"/>
      <x:c r="G184" s="10"/>
      <x:c r="H184" s="10"/>
    </x:row>
    <x:row r="185" ht="14.25" customHeight="1">
      <x:c r="A185" s="10"/>
      <x:c r="B185" s="10"/>
      <x:c r="C185" s="10"/>
      <x:c r="D185" s="10"/>
      <x:c r="E185" s="10"/>
      <x:c r="F185" s="10"/>
      <x:c r="G185" s="10"/>
      <x:c r="H185" s="10"/>
    </x:row>
    <x:row r="186" ht="14.25" customHeight="1">
      <x:c r="A186" s="10"/>
      <x:c r="B186" s="10"/>
      <x:c r="C186" s="10"/>
      <x:c r="D186" s="10"/>
      <x:c r="E186" s="10"/>
      <x:c r="F186" s="10"/>
      <x:c r="G186" s="10"/>
      <x:c r="H186" s="10"/>
    </x:row>
    <x:row r="187" ht="14.25" customHeight="1">
      <x:c r="A187" s="10"/>
      <x:c r="B187" s="10"/>
      <x:c r="C187" s="10"/>
      <x:c r="D187" s="10"/>
      <x:c r="E187" s="10"/>
      <x:c r="F187" s="10"/>
      <x:c r="G187" s="10"/>
      <x:c r="H187" s="10"/>
    </x:row>
    <x:row r="188" ht="14.25" customHeight="1">
      <x:c r="A188" s="10"/>
      <x:c r="B188" s="10"/>
      <x:c r="C188" s="10"/>
      <x:c r="D188" s="10"/>
      <x:c r="E188" s="10"/>
      <x:c r="F188" s="10"/>
      <x:c r="G188" s="10"/>
      <x:c r="H188" s="10"/>
    </x:row>
    <x:row r="189" ht="14.25" customHeight="1">
      <x:c r="A189" s="10"/>
      <x:c r="B189" s="10"/>
      <x:c r="C189" s="10"/>
      <x:c r="D189" s="10"/>
      <x:c r="E189" s="10"/>
      <x:c r="F189" s="10"/>
      <x:c r="G189" s="10"/>
      <x:c r="H189" s="10"/>
    </x:row>
    <x:row r="190" ht="14.25" customHeight="1">
      <x:c r="A190" s="10"/>
      <x:c r="B190" s="10"/>
      <x:c r="C190" s="10"/>
      <x:c r="D190" s="10"/>
      <x:c r="E190" s="10"/>
      <x:c r="F190" s="10"/>
      <x:c r="G190" s="10"/>
      <x:c r="H190" s="10"/>
    </x:row>
    <x:row r="191" ht="14.25" customHeight="1">
      <x:c r="A191" s="10"/>
      <x:c r="B191" s="10"/>
      <x:c r="C191" s="10"/>
      <x:c r="D191" s="10"/>
      <x:c r="E191" s="10"/>
      <x:c r="F191" s="10"/>
      <x:c r="G191" s="10"/>
      <x:c r="H191" s="10"/>
    </x:row>
    <x:row r="192" ht="14.25" customHeight="1">
      <x:c r="A192" s="10"/>
      <x:c r="B192" s="10"/>
      <x:c r="C192" s="10"/>
      <x:c r="D192" s="10"/>
      <x:c r="E192" s="10"/>
      <x:c r="F192" s="10"/>
      <x:c r="G192" s="10"/>
      <x:c r="H192" s="10"/>
    </x:row>
    <x:row r="193" ht="14.25" customHeight="1">
      <x:c r="A193" s="10"/>
      <x:c r="B193" s="10"/>
      <x:c r="C193" s="10"/>
      <x:c r="D193" s="10"/>
      <x:c r="E193" s="10"/>
      <x:c r="F193" s="10"/>
      <x:c r="G193" s="10"/>
      <x:c r="H193" s="10"/>
    </x:row>
    <x:row r="194" ht="14.25" customHeight="1">
      <x:c r="A194" s="10"/>
      <x:c r="B194" s="10"/>
      <x:c r="C194" s="10"/>
      <x:c r="D194" s="10"/>
      <x:c r="E194" s="10"/>
      <x:c r="F194" s="10"/>
      <x:c r="G194" s="10"/>
      <x:c r="H194" s="10"/>
    </x:row>
    <x:row r="195" ht="14.25" customHeight="1">
      <x:c r="A195" s="10"/>
      <x:c r="B195" s="10"/>
      <x:c r="C195" s="10"/>
      <x:c r="D195" s="10"/>
      <x:c r="E195" s="10"/>
      <x:c r="F195" s="10"/>
      <x:c r="G195" s="10"/>
      <x:c r="H195" s="10"/>
    </x:row>
    <x:row r="196" ht="14.25" customHeight="1">
      <x:c r="A196" s="10"/>
      <x:c r="B196" s="10"/>
      <x:c r="C196" s="10"/>
      <x:c r="D196" s="10"/>
      <x:c r="E196" s="10"/>
      <x:c r="F196" s="10"/>
      <x:c r="G196" s="10"/>
      <x:c r="H196" s="10"/>
    </x:row>
    <x:row r="197" ht="14.25" customHeight="1">
      <x:c r="A197" s="10"/>
      <x:c r="B197" s="10"/>
      <x:c r="C197" s="10"/>
      <x:c r="D197" s="10"/>
      <x:c r="E197" s="10"/>
      <x:c r="F197" s="10"/>
      <x:c r="G197" s="10"/>
      <x:c r="H197" s="10"/>
    </x:row>
    <x:row r="198" ht="14.25" customHeight="1">
      <x:c r="A198" s="10"/>
      <x:c r="B198" s="10"/>
      <x:c r="C198" s="10"/>
      <x:c r="D198" s="10"/>
      <x:c r="E198" s="10"/>
      <x:c r="F198" s="10"/>
      <x:c r="G198" s="10"/>
      <x:c r="H198" s="10"/>
    </x:row>
    <x:row r="199" ht="14.25" customHeight="1">
      <x:c r="A199" s="10"/>
      <x:c r="B199" s="10"/>
      <x:c r="C199" s="10"/>
      <x:c r="D199" s="10"/>
      <x:c r="E199" s="10"/>
      <x:c r="F199" s="10"/>
      <x:c r="G199" s="10"/>
      <x:c r="H199" s="10"/>
    </x:row>
    <x:row r="200" ht="14.25" customHeight="1">
      <x:c r="A200" s="10"/>
      <x:c r="B200" s="10"/>
      <x:c r="C200" s="10"/>
      <x:c r="D200" s="10"/>
      <x:c r="E200" s="10"/>
      <x:c r="F200" s="10"/>
      <x:c r="G200" s="10"/>
      <x:c r="H200" s="10"/>
    </x:row>
    <x:row r="201" ht="14.25" customHeight="1">
      <x:c r="A201" s="10"/>
      <x:c r="B201" s="10"/>
      <x:c r="C201" s="10"/>
      <x:c r="D201" s="10"/>
      <x:c r="E201" s="10"/>
      <x:c r="F201" s="10"/>
      <x:c r="G201" s="10"/>
      <x:c r="H201" s="10"/>
    </x:row>
    <x:row r="202" ht="14.25" customHeight="1">
      <x:c r="A202" s="10"/>
      <x:c r="B202" s="10"/>
      <x:c r="C202" s="10"/>
      <x:c r="D202" s="10"/>
      <x:c r="E202" s="10"/>
      <x:c r="F202" s="10"/>
      <x:c r="G202" s="10"/>
      <x:c r="H202" s="10"/>
    </x:row>
    <x:row r="203" ht="14.25" customHeight="1">
      <x:c r="A203" s="10"/>
      <x:c r="B203" s="10"/>
      <x:c r="C203" s="10"/>
      <x:c r="D203" s="10"/>
      <x:c r="E203" s="10"/>
      <x:c r="F203" s="10"/>
      <x:c r="G203" s="10"/>
      <x:c r="H203" s="10"/>
    </x:row>
    <x:row r="204" ht="14.25" customHeight="1">
      <x:c r="A204" s="10"/>
      <x:c r="B204" s="10"/>
      <x:c r="C204" s="10"/>
      <x:c r="D204" s="10"/>
      <x:c r="E204" s="10"/>
      <x:c r="F204" s="10"/>
      <x:c r="G204" s="10"/>
      <x:c r="H204" s="10"/>
    </x:row>
    <x:row r="205" ht="14.25" customHeight="1">
      <x:c r="A205" s="10"/>
      <x:c r="B205" s="10"/>
      <x:c r="C205" s="10"/>
      <x:c r="D205" s="10"/>
      <x:c r="E205" s="10"/>
      <x:c r="F205" s="10"/>
      <x:c r="G205" s="10"/>
      <x:c r="H205" s="10"/>
    </x:row>
    <x:row r="206" ht="14.25" customHeight="1">
      <x:c r="A206" s="10"/>
      <x:c r="B206" s="10"/>
      <x:c r="C206" s="10"/>
      <x:c r="D206" s="10"/>
      <x:c r="E206" s="10"/>
      <x:c r="F206" s="10"/>
      <x:c r="G206" s="10"/>
      <x:c r="H206" s="10"/>
    </x:row>
    <x:row r="207" ht="14.25" customHeight="1">
      <x:c r="A207" s="10"/>
      <x:c r="B207" s="10"/>
      <x:c r="C207" s="10"/>
      <x:c r="D207" s="10"/>
      <x:c r="E207" s="10"/>
      <x:c r="F207" s="10"/>
      <x:c r="G207" s="10"/>
      <x:c r="H207" s="10"/>
    </x:row>
    <x:row r="208" ht="14.25" customHeight="1">
      <x:c r="A208" s="10"/>
      <x:c r="B208" s="10"/>
      <x:c r="C208" s="10"/>
      <x:c r="D208" s="10"/>
      <x:c r="E208" s="10"/>
      <x:c r="F208" s="10"/>
      <x:c r="G208" s="10"/>
      <x:c r="H208" s="10"/>
    </x:row>
    <x:row r="209" ht="14.25" customHeight="1">
      <x:c r="A209" s="10"/>
      <x:c r="B209" s="10"/>
      <x:c r="C209" s="10"/>
      <x:c r="D209" s="10"/>
      <x:c r="E209" s="10"/>
      <x:c r="F209" s="10"/>
      <x:c r="G209" s="10"/>
      <x:c r="H209" s="10"/>
    </x:row>
    <x:row r="210" ht="14.25" customHeight="1">
      <x:c r="A210" s="10"/>
      <x:c r="B210" s="10"/>
      <x:c r="C210" s="10"/>
      <x:c r="D210" s="10"/>
      <x:c r="E210" s="10"/>
      <x:c r="F210" s="10"/>
      <x:c r="G210" s="10"/>
      <x:c r="H210" s="10"/>
    </x:row>
    <x:row r="211" ht="14.25" customHeight="1">
      <x:c r="A211" s="10"/>
      <x:c r="B211" s="10"/>
      <x:c r="C211" s="10"/>
      <x:c r="D211" s="10"/>
      <x:c r="E211" s="10"/>
      <x:c r="F211" s="10"/>
      <x:c r="G211" s="10"/>
      <x:c r="H211" s="10"/>
    </x:row>
    <x:row r="212" ht="14.25" customHeight="1">
      <x:c r="A212" s="10"/>
      <x:c r="B212" s="10"/>
      <x:c r="C212" s="10"/>
      <x:c r="D212" s="10"/>
      <x:c r="E212" s="10"/>
      <x:c r="F212" s="10"/>
      <x:c r="G212" s="10"/>
      <x:c r="H212" s="10"/>
    </x:row>
    <x:row r="213" ht="14.25" customHeight="1">
      <x:c r="A213" s="10"/>
      <x:c r="B213" s="10"/>
      <x:c r="C213" s="10"/>
      <x:c r="D213" s="10"/>
      <x:c r="E213" s="10"/>
      <x:c r="F213" s="10"/>
      <x:c r="G213" s="10"/>
      <x:c r="H213" s="10"/>
    </x:row>
    <x:row r="214" ht="14.25" customHeight="1">
      <x:c r="A214" s="10"/>
      <x:c r="B214" s="10"/>
      <x:c r="C214" s="10"/>
      <x:c r="D214" s="10"/>
      <x:c r="E214" s="10"/>
      <x:c r="F214" s="10"/>
      <x:c r="G214" s="10"/>
      <x:c r="H214" s="10"/>
    </x:row>
    <x:row r="215" ht="14.25" customHeight="1">
      <x:c r="A215" s="10"/>
      <x:c r="B215" s="10"/>
      <x:c r="C215" s="10"/>
      <x:c r="D215" s="10"/>
      <x:c r="E215" s="10"/>
      <x:c r="F215" s="10"/>
      <x:c r="G215" s="10"/>
      <x:c r="H215" s="10"/>
    </x:row>
    <x:row r="216" ht="14.25" customHeight="1">
      <x:c r="A216" s="10"/>
      <x:c r="B216" s="10"/>
      <x:c r="C216" s="10"/>
      <x:c r="D216" s="10"/>
      <x:c r="E216" s="10"/>
      <x:c r="F216" s="10"/>
      <x:c r="G216" s="10"/>
      <x:c r="H216" s="10"/>
    </x:row>
    <x:row r="217" ht="14.25" customHeight="1">
      <x:c r="A217" s="10"/>
      <x:c r="B217" s="10"/>
      <x:c r="C217" s="10"/>
      <x:c r="D217" s="10"/>
      <x:c r="E217" s="10"/>
      <x:c r="F217" s="10"/>
      <x:c r="G217" s="10"/>
      <x:c r="H217" s="10"/>
    </x:row>
    <x:row r="218" ht="14.25" customHeight="1">
      <x:c r="A218" s="10"/>
      <x:c r="B218" s="10"/>
      <x:c r="C218" s="10"/>
      <x:c r="D218" s="10"/>
      <x:c r="E218" s="10"/>
      <x:c r="F218" s="10"/>
      <x:c r="G218" s="10"/>
      <x:c r="H218" s="10"/>
    </x:row>
    <x:row r="219" ht="14.25" customHeight="1">
      <x:c r="A219" s="10"/>
      <x:c r="B219" s="10"/>
      <x:c r="C219" s="10"/>
      <x:c r="D219" s="10"/>
      <x:c r="E219" s="10"/>
      <x:c r="F219" s="10"/>
      <x:c r="G219" s="10"/>
      <x:c r="H219" s="10"/>
    </x:row>
    <x:row r="220" ht="14.25" customHeight="1">
      <x:c r="A220" s="10"/>
      <x:c r="B220" s="10"/>
      <x:c r="C220" s="10"/>
      <x:c r="D220" s="10"/>
      <x:c r="E220" s="10"/>
      <x:c r="F220" s="10"/>
      <x:c r="G220" s="10"/>
      <x:c r="H220" s="10"/>
    </x:row>
    <x:row r="221" ht="14.25" customHeight="1">
      <x:c r="A221" s="10"/>
      <x:c r="B221" s="10"/>
      <x:c r="C221" s="10"/>
      <x:c r="D221" s="10"/>
      <x:c r="E221" s="10"/>
      <x:c r="F221" s="10"/>
      <x:c r="G221" s="10"/>
      <x:c r="H221" s="10"/>
    </x:row>
    <x:row r="222" ht="14.25" customHeight="1">
      <x:c r="A222" s="10"/>
      <x:c r="B222" s="10"/>
      <x:c r="C222" s="10"/>
      <x:c r="D222" s="10"/>
      <x:c r="E222" s="10"/>
      <x:c r="F222" s="10"/>
      <x:c r="G222" s="10"/>
      <x:c r="H222" s="10"/>
    </x:row>
    <x:row r="223" ht="14.25" customHeight="1">
      <x:c r="A223" s="10"/>
      <x:c r="B223" s="10"/>
      <x:c r="C223" s="10"/>
      <x:c r="D223" s="10"/>
      <x:c r="E223" s="10"/>
      <x:c r="F223" s="10"/>
      <x:c r="G223" s="10"/>
      <x:c r="H223" s="10"/>
    </x:row>
    <x:row r="224" ht="14.25" customHeight="1">
      <x:c r="A224" s="10"/>
      <x:c r="B224" s="10"/>
      <x:c r="C224" s="10"/>
      <x:c r="D224" s="10"/>
      <x:c r="E224" s="10"/>
      <x:c r="F224" s="10"/>
      <x:c r="G224" s="10"/>
      <x:c r="H224" s="10"/>
    </x:row>
    <x:row r="225" ht="14.25" customHeight="1">
      <x:c r="A225" s="10"/>
      <x:c r="B225" s="10"/>
      <x:c r="C225" s="10"/>
      <x:c r="D225" s="10"/>
      <x:c r="E225" s="10"/>
      <x:c r="F225" s="10"/>
      <x:c r="G225" s="10"/>
      <x:c r="H225" s="10"/>
    </x:row>
    <x:row r="226" ht="14.25" customHeight="1">
      <x:c r="A226" s="10"/>
      <x:c r="B226" s="10"/>
      <x:c r="C226" s="10"/>
      <x:c r="D226" s="10"/>
      <x:c r="E226" s="10"/>
      <x:c r="F226" s="10"/>
      <x:c r="G226" s="10"/>
      <x:c r="H226" s="10"/>
    </x:row>
    <x:row r="227" ht="14.25" customHeight="1">
      <x:c r="A227" s="10"/>
      <x:c r="B227" s="10"/>
      <x:c r="C227" s="10"/>
      <x:c r="D227" s="10"/>
      <x:c r="E227" s="10"/>
      <x:c r="F227" s="10"/>
      <x:c r="G227" s="10"/>
      <x:c r="H227" s="10"/>
    </x:row>
    <x:row r="228" ht="14.25" customHeight="1">
      <x:c r="A228" s="10"/>
      <x:c r="B228" s="10"/>
      <x:c r="C228" s="10"/>
      <x:c r="D228" s="10"/>
      <x:c r="E228" s="10"/>
      <x:c r="F228" s="10"/>
      <x:c r="G228" s="10"/>
      <x:c r="H228" s="10"/>
    </x:row>
    <x:row r="229" ht="14.25" customHeight="1">
      <x:c r="A229" s="10"/>
      <x:c r="B229" s="10"/>
      <x:c r="C229" s="10"/>
      <x:c r="D229" s="10"/>
      <x:c r="E229" s="10"/>
      <x:c r="F229" s="10"/>
      <x:c r="G229" s="10"/>
      <x:c r="H229" s="10"/>
    </x:row>
    <x:row r="230" ht="14.25" customHeight="1">
      <x:c r="A230" s="10"/>
      <x:c r="B230" s="10"/>
      <x:c r="C230" s="10"/>
      <x:c r="D230" s="10"/>
      <x:c r="E230" s="10"/>
      <x:c r="F230" s="10"/>
      <x:c r="G230" s="10"/>
      <x:c r="H230" s="10"/>
    </x:row>
    <x:row r="231" ht="14.25" customHeight="1">
      <x:c r="A231" s="10"/>
      <x:c r="B231" s="10"/>
      <x:c r="C231" s="10"/>
      <x:c r="D231" s="10"/>
      <x:c r="E231" s="10"/>
      <x:c r="F231" s="10"/>
      <x:c r="G231" s="10"/>
      <x:c r="H231" s="10"/>
    </x:row>
    <x:row r="232" ht="14.25" customHeight="1">
      <x:c r="A232" s="10"/>
      <x:c r="B232" s="10"/>
      <x:c r="C232" s="10"/>
      <x:c r="D232" s="10"/>
      <x:c r="E232" s="10"/>
      <x:c r="F232" s="10"/>
      <x:c r="G232" s="10"/>
      <x:c r="H232" s="10"/>
    </x:row>
    <x:row r="233" ht="14.25" customHeight="1">
      <x:c r="A233" s="10"/>
      <x:c r="B233" s="10"/>
      <x:c r="C233" s="10"/>
      <x:c r="D233" s="10"/>
      <x:c r="E233" s="10"/>
      <x:c r="F233" s="10"/>
      <x:c r="G233" s="10"/>
      <x:c r="H233" s="10"/>
    </x:row>
    <x:row r="234" ht="14.25" customHeight="1">
      <x:c r="A234" s="10"/>
      <x:c r="B234" s="10"/>
      <x:c r="C234" s="10"/>
      <x:c r="D234" s="10"/>
      <x:c r="E234" s="10"/>
      <x:c r="F234" s="10"/>
      <x:c r="G234" s="10"/>
      <x:c r="H234" s="10"/>
    </x:row>
    <x:row r="235" ht="14.25" customHeight="1">
      <x:c r="A235" s="10"/>
      <x:c r="B235" s="10"/>
      <x:c r="C235" s="10"/>
      <x:c r="D235" s="10"/>
      <x:c r="E235" s="10"/>
      <x:c r="F235" s="10"/>
      <x:c r="G235" s="10"/>
      <x:c r="H235" s="10"/>
    </x:row>
    <x:row r="236" ht="14.25" customHeight="1">
      <x:c r="A236" s="10"/>
      <x:c r="B236" s="10"/>
      <x:c r="C236" s="10"/>
      <x:c r="D236" s="10"/>
      <x:c r="E236" s="10"/>
      <x:c r="F236" s="10"/>
      <x:c r="G236" s="10"/>
      <x:c r="H236" s="10"/>
    </x:row>
    <x:row r="237" ht="14.25" customHeight="1">
      <x:c r="A237" s="10"/>
      <x:c r="B237" s="10"/>
      <x:c r="C237" s="10"/>
      <x:c r="D237" s="10"/>
      <x:c r="E237" s="10"/>
      <x:c r="F237" s="10"/>
      <x:c r="G237" s="10"/>
      <x:c r="H237" s="10"/>
    </x:row>
    <x:row r="238" ht="14.25" customHeight="1">
      <x:c r="A238" s="10"/>
      <x:c r="B238" s="10"/>
      <x:c r="C238" s="10"/>
      <x:c r="D238" s="10"/>
      <x:c r="E238" s="10"/>
      <x:c r="F238" s="10"/>
      <x:c r="G238" s="10"/>
      <x:c r="H238" s="10"/>
    </x:row>
    <x:row r="239" ht="14.25" customHeight="1">
      <x:c r="A239" s="10"/>
      <x:c r="B239" s="10"/>
      <x:c r="C239" s="10"/>
      <x:c r="D239" s="10"/>
      <x:c r="E239" s="10"/>
      <x:c r="F239" s="10"/>
      <x:c r="G239" s="10"/>
      <x:c r="H239" s="10"/>
    </x:row>
    <x:row r="240" ht="14.25" customHeight="1">
      <x:c r="A240" s="10"/>
      <x:c r="B240" s="10"/>
      <x:c r="C240" s="10"/>
      <x:c r="D240" s="10"/>
      <x:c r="E240" s="10"/>
      <x:c r="F240" s="10"/>
      <x:c r="G240" s="10"/>
      <x:c r="H240" s="10"/>
    </x:row>
    <x:row r="241" ht="14.25" customHeight="1">
      <x:c r="A241" s="10"/>
      <x:c r="B241" s="10"/>
      <x:c r="C241" s="10"/>
      <x:c r="D241" s="10"/>
      <x:c r="E241" s="10"/>
      <x:c r="F241" s="10"/>
      <x:c r="G241" s="10"/>
      <x:c r="H241" s="10"/>
    </x:row>
    <x:row r="242" ht="14.25" customHeight="1">
      <x:c r="A242" s="10"/>
      <x:c r="B242" s="10"/>
      <x:c r="C242" s="10"/>
      <x:c r="D242" s="10"/>
      <x:c r="E242" s="10"/>
      <x:c r="F242" s="10"/>
      <x:c r="G242" s="10"/>
      <x:c r="H242" s="10"/>
    </x:row>
    <x:row r="243" ht="14.25" customHeight="1">
      <x:c r="A243" s="10"/>
      <x:c r="B243" s="10"/>
      <x:c r="C243" s="10"/>
      <x:c r="D243" s="10"/>
      <x:c r="E243" s="10"/>
      <x:c r="F243" s="10"/>
      <x:c r="G243" s="10"/>
      <x:c r="H243" s="10"/>
    </x:row>
    <x:row r="244" ht="14.25" customHeight="1">
      <x:c r="A244" s="10"/>
      <x:c r="B244" s="10"/>
      <x:c r="C244" s="10"/>
      <x:c r="D244" s="10"/>
      <x:c r="E244" s="10"/>
      <x:c r="F244" s="10"/>
      <x:c r="G244" s="10"/>
      <x:c r="H244" s="10"/>
    </x:row>
    <x:row r="245" ht="14.25" customHeight="1">
      <x:c r="A245" s="10"/>
      <x:c r="B245" s="10"/>
      <x:c r="C245" s="10"/>
      <x:c r="D245" s="10"/>
      <x:c r="E245" s="10"/>
      <x:c r="F245" s="10"/>
      <x:c r="G245" s="10"/>
      <x:c r="H245" s="10"/>
    </x:row>
    <x:row r="246" ht="14.25" customHeight="1">
      <x:c r="A246" s="10"/>
      <x:c r="B246" s="10"/>
      <x:c r="C246" s="10"/>
      <x:c r="D246" s="10"/>
      <x:c r="E246" s="10"/>
      <x:c r="F246" s="10"/>
      <x:c r="G246" s="10"/>
      <x:c r="H246" s="10"/>
    </x:row>
    <x:row r="247" ht="14.25" customHeight="1">
      <x:c r="A247" s="10"/>
      <x:c r="B247" s="10"/>
      <x:c r="C247" s="10"/>
      <x:c r="D247" s="10"/>
      <x:c r="E247" s="10"/>
      <x:c r="F247" s="10"/>
      <x:c r="G247" s="10"/>
      <x:c r="H247" s="10"/>
    </x:row>
    <x:row r="248" ht="14.25" customHeight="1">
      <x:c r="A248" s="10"/>
      <x:c r="B248" s="10"/>
      <x:c r="C248" s="10"/>
      <x:c r="D248" s="10"/>
      <x:c r="E248" s="10"/>
      <x:c r="F248" s="10"/>
      <x:c r="G248" s="10"/>
      <x:c r="H248" s="10"/>
    </x:row>
    <x:row r="249" ht="14.25" customHeight="1">
      <x:c r="A249" s="10"/>
      <x:c r="B249" s="10"/>
      <x:c r="C249" s="10"/>
      <x:c r="D249" s="10"/>
      <x:c r="E249" s="10"/>
      <x:c r="F249" s="10"/>
      <x:c r="G249" s="10"/>
      <x:c r="H249" s="10"/>
    </x:row>
    <x:row r="250" ht="14.25" customHeight="1">
      <x:c r="A250" s="10"/>
      <x:c r="B250" s="10"/>
      <x:c r="C250" s="10"/>
      <x:c r="D250" s="10"/>
      <x:c r="E250" s="10"/>
      <x:c r="F250" s="10"/>
      <x:c r="G250" s="10"/>
      <x:c r="H250" s="10"/>
    </x:row>
    <x:row r="251" ht="14.25" customHeight="1">
      <x:c r="A251" s="10"/>
      <x:c r="B251" s="10"/>
      <x:c r="C251" s="10"/>
      <x:c r="D251" s="10"/>
      <x:c r="E251" s="10"/>
      <x:c r="F251" s="10"/>
      <x:c r="G251" s="10"/>
      <x:c r="H251" s="10"/>
    </x:row>
    <x:row r="252" ht="14.25" customHeight="1">
      <x:c r="A252" s="10"/>
      <x:c r="B252" s="10"/>
      <x:c r="C252" s="10"/>
      <x:c r="D252" s="10"/>
      <x:c r="E252" s="10"/>
      <x:c r="F252" s="10"/>
      <x:c r="G252" s="10"/>
      <x:c r="H252" s="10"/>
    </x:row>
    <x:row r="253" ht="14.25" customHeight="1">
      <x:c r="A253" s="10"/>
      <x:c r="B253" s="10"/>
      <x:c r="C253" s="10"/>
      <x:c r="D253" s="10"/>
      <x:c r="E253" s="10"/>
      <x:c r="F253" s="10"/>
      <x:c r="G253" s="10"/>
      <x:c r="H253" s="10"/>
    </x:row>
    <x:row r="254" ht="14.25" customHeight="1">
      <x:c r="A254" s="10"/>
      <x:c r="B254" s="10"/>
      <x:c r="C254" s="10"/>
      <x:c r="D254" s="10"/>
      <x:c r="E254" s="10"/>
      <x:c r="F254" s="10"/>
      <x:c r="G254" s="10"/>
      <x:c r="H254" s="10"/>
    </x:row>
    <x:row r="255" ht="14.25" customHeight="1">
      <x:c r="A255" s="10"/>
      <x:c r="B255" s="10"/>
      <x:c r="C255" s="10"/>
      <x:c r="D255" s="10"/>
      <x:c r="E255" s="10"/>
      <x:c r="F255" s="10"/>
      <x:c r="G255" s="10"/>
      <x:c r="H255" s="10"/>
    </x:row>
    <x:row r="256" ht="14.25" customHeight="1">
      <x:c r="A256" s="10"/>
      <x:c r="B256" s="10"/>
      <x:c r="C256" s="10"/>
      <x:c r="D256" s="10"/>
      <x:c r="E256" s="10"/>
      <x:c r="F256" s="10"/>
      <x:c r="G256" s="10"/>
      <x:c r="H256" s="10"/>
    </x:row>
    <x:row r="257" ht="14.25" customHeight="1">
      <x:c r="A257" s="10"/>
      <x:c r="B257" s="10"/>
      <x:c r="C257" s="10"/>
      <x:c r="D257" s="10"/>
      <x:c r="E257" s="10"/>
      <x:c r="F257" s="10"/>
      <x:c r="G257" s="10"/>
      <x:c r="H257" s="10"/>
    </x:row>
    <x:row r="258" ht="14.25" customHeight="1">
      <x:c r="A258" s="10"/>
      <x:c r="B258" s="10"/>
      <x:c r="C258" s="10"/>
      <x:c r="D258" s="10"/>
      <x:c r="E258" s="10"/>
      <x:c r="F258" s="10"/>
      <x:c r="G258" s="10"/>
      <x:c r="H258" s="10"/>
    </x:row>
    <x:row r="259" ht="14.25" customHeight="1">
      <x:c r="A259" s="10"/>
      <x:c r="B259" s="10"/>
      <x:c r="C259" s="10"/>
      <x:c r="D259" s="10"/>
      <x:c r="E259" s="10"/>
      <x:c r="F259" s="10"/>
      <x:c r="G259" s="10"/>
      <x:c r="H259" s="10"/>
    </x:row>
    <x:row r="260" ht="14.25" customHeight="1">
      <x:c r="A260" s="10"/>
      <x:c r="B260" s="10"/>
      <x:c r="C260" s="10"/>
      <x:c r="D260" s="10"/>
      <x:c r="E260" s="10"/>
      <x:c r="F260" s="10"/>
      <x:c r="G260" s="10"/>
      <x:c r="H260" s="10"/>
    </x:row>
    <x:row r="261" ht="14.25" customHeight="1">
      <x:c r="A261" s="10"/>
      <x:c r="B261" s="10"/>
      <x:c r="C261" s="10"/>
      <x:c r="D261" s="10"/>
      <x:c r="E261" s="10"/>
      <x:c r="F261" s="10"/>
      <x:c r="G261" s="10"/>
      <x:c r="H261" s="10"/>
    </x:row>
    <x:row r="262" ht="14.25" customHeight="1">
      <x:c r="A262" s="10"/>
      <x:c r="B262" s="10"/>
      <x:c r="C262" s="10"/>
      <x:c r="D262" s="10"/>
      <x:c r="E262" s="10"/>
      <x:c r="F262" s="10"/>
      <x:c r="G262" s="10"/>
      <x:c r="H262" s="10"/>
    </x:row>
    <x:row r="263" ht="14.25" customHeight="1">
      <x:c r="A263" s="10"/>
      <x:c r="B263" s="10"/>
      <x:c r="C263" s="10"/>
      <x:c r="D263" s="10"/>
      <x:c r="E263" s="10"/>
      <x:c r="F263" s="10"/>
      <x:c r="G263" s="10"/>
      <x:c r="H263" s="10"/>
    </x:row>
    <x:row r="264" ht="14.25" customHeight="1">
      <x:c r="A264" s="10"/>
      <x:c r="B264" s="10"/>
      <x:c r="C264" s="10"/>
      <x:c r="D264" s="10"/>
      <x:c r="E264" s="10"/>
      <x:c r="F264" s="10"/>
      <x:c r="G264" s="10"/>
      <x:c r="H264" s="10"/>
    </x:row>
    <x:row r="265" ht="14.25" customHeight="1">
      <x:c r="A265" s="10"/>
      <x:c r="B265" s="10"/>
      <x:c r="C265" s="10"/>
      <x:c r="D265" s="10"/>
      <x:c r="E265" s="10"/>
      <x:c r="F265" s="10"/>
      <x:c r="G265" s="10"/>
      <x:c r="H265" s="10"/>
    </x:row>
    <x:row r="266" ht="14.25" customHeight="1">
      <x:c r="A266" s="10"/>
      <x:c r="B266" s="10"/>
      <x:c r="C266" s="10"/>
      <x:c r="D266" s="10"/>
      <x:c r="E266" s="10"/>
      <x:c r="F266" s="10"/>
      <x:c r="G266" s="10"/>
      <x:c r="H266" s="10"/>
    </x:row>
    <x:row r="267" ht="14.25" customHeight="1">
      <x:c r="A267" s="10"/>
      <x:c r="B267" s="10"/>
      <x:c r="C267" s="10"/>
      <x:c r="D267" s="10"/>
      <x:c r="E267" s="10"/>
      <x:c r="F267" s="10"/>
      <x:c r="G267" s="10"/>
      <x:c r="H267" s="10"/>
    </x:row>
    <x:row r="268" ht="14.25" customHeight="1">
      <x:c r="A268" s="10"/>
      <x:c r="B268" s="10"/>
      <x:c r="C268" s="10"/>
      <x:c r="D268" s="10"/>
      <x:c r="E268" s="10"/>
      <x:c r="F268" s="10"/>
      <x:c r="G268" s="10"/>
      <x:c r="H268" s="10"/>
    </x:row>
    <x:row r="269" ht="14.25" customHeight="1">
      <x:c r="A269" s="10"/>
      <x:c r="B269" s="10"/>
      <x:c r="C269" s="10"/>
      <x:c r="D269" s="10"/>
      <x:c r="E269" s="10"/>
      <x:c r="F269" s="10"/>
      <x:c r="G269" s="10"/>
      <x:c r="H269" s="10"/>
    </x:row>
    <x:row r="270" ht="14.25" customHeight="1">
      <x:c r="A270" s="10"/>
      <x:c r="B270" s="10"/>
      <x:c r="C270" s="10"/>
      <x:c r="D270" s="10"/>
      <x:c r="E270" s="10"/>
      <x:c r="F270" s="10"/>
      <x:c r="G270" s="10"/>
      <x:c r="H270" s="10"/>
    </x:row>
    <x:row r="271" ht="14.25" customHeight="1">
      <x:c r="A271" s="10"/>
      <x:c r="B271" s="10"/>
      <x:c r="C271" s="10"/>
      <x:c r="D271" s="10"/>
      <x:c r="E271" s="10"/>
      <x:c r="F271" s="10"/>
      <x:c r="G271" s="10"/>
      <x:c r="H271" s="10"/>
    </x:row>
    <x:row r="272" ht="14.25" customHeight="1">
      <x:c r="A272" s="10"/>
      <x:c r="B272" s="10"/>
      <x:c r="C272" s="10"/>
      <x:c r="D272" s="10"/>
      <x:c r="E272" s="10"/>
      <x:c r="F272" s="10"/>
      <x:c r="G272" s="10"/>
      <x:c r="H272" s="10"/>
    </x:row>
    <x:row r="273" ht="14.25" customHeight="1">
      <x:c r="A273" s="10"/>
      <x:c r="B273" s="10"/>
      <x:c r="C273" s="10"/>
      <x:c r="D273" s="10"/>
      <x:c r="E273" s="10"/>
      <x:c r="F273" s="10"/>
      <x:c r="G273" s="10"/>
      <x:c r="H273" s="10"/>
    </x:row>
    <x:row r="274" ht="14.25" customHeight="1">
      <x:c r="A274" s="10"/>
      <x:c r="B274" s="10"/>
      <x:c r="C274" s="10"/>
      <x:c r="D274" s="10"/>
      <x:c r="E274" s="10"/>
      <x:c r="F274" s="10"/>
      <x:c r="G274" s="10"/>
      <x:c r="H274" s="10"/>
    </x:row>
    <x:row r="275" ht="14.25" customHeight="1">
      <x:c r="A275" s="10"/>
      <x:c r="B275" s="10"/>
      <x:c r="C275" s="10"/>
      <x:c r="D275" s="10"/>
      <x:c r="E275" s="10"/>
      <x:c r="F275" s="10"/>
      <x:c r="G275" s="10"/>
      <x:c r="H275" s="10"/>
    </x:row>
    <x:row r="276" ht="14.25" customHeight="1">
      <x:c r="A276" s="10"/>
      <x:c r="B276" s="10"/>
      <x:c r="C276" s="10"/>
      <x:c r="D276" s="10"/>
      <x:c r="E276" s="10"/>
      <x:c r="F276" s="10"/>
      <x:c r="G276" s="10"/>
      <x:c r="H276" s="10"/>
    </x:row>
    <x:row r="277" ht="14.25" customHeight="1">
      <x:c r="A277" s="10"/>
      <x:c r="B277" s="10"/>
      <x:c r="C277" s="10"/>
      <x:c r="D277" s="10"/>
      <x:c r="E277" s="10"/>
      <x:c r="F277" s="10"/>
      <x:c r="G277" s="10"/>
      <x:c r="H277" s="10"/>
    </x:row>
    <x:row r="278" ht="14.25" customHeight="1">
      <x:c r="A278" s="10"/>
      <x:c r="B278" s="10"/>
      <x:c r="C278" s="10"/>
      <x:c r="D278" s="10"/>
      <x:c r="E278" s="10"/>
      <x:c r="F278" s="10"/>
      <x:c r="G278" s="10"/>
      <x:c r="H278" s="10"/>
    </x:row>
    <x:row r="279" ht="14.25" customHeight="1">
      <x:c r="A279" s="10"/>
      <x:c r="B279" s="10"/>
      <x:c r="C279" s="10"/>
      <x:c r="D279" s="10"/>
      <x:c r="E279" s="10"/>
      <x:c r="F279" s="10"/>
      <x:c r="G279" s="10"/>
      <x:c r="H279" s="10"/>
    </x:row>
    <x:row r="280" ht="14.25" customHeight="1">
      <x:c r="A280" s="10"/>
      <x:c r="B280" s="10"/>
      <x:c r="C280" s="10"/>
      <x:c r="D280" s="10"/>
      <x:c r="E280" s="10"/>
      <x:c r="F280" s="10"/>
      <x:c r="G280" s="10"/>
      <x:c r="H280" s="10"/>
    </x:row>
    <x:row r="281" ht="14.25" customHeight="1">
      <x:c r="A281" s="10"/>
      <x:c r="B281" s="10"/>
      <x:c r="C281" s="10"/>
      <x:c r="D281" s="10"/>
      <x:c r="E281" s="10"/>
      <x:c r="F281" s="10"/>
      <x:c r="G281" s="10"/>
      <x:c r="H281" s="10"/>
    </x:row>
    <x:row r="282" ht="14.25" customHeight="1">
      <x:c r="A282" s="10"/>
      <x:c r="B282" s="10"/>
      <x:c r="C282" s="10"/>
      <x:c r="D282" s="10"/>
      <x:c r="E282" s="10"/>
      <x:c r="F282" s="10"/>
      <x:c r="G282" s="10"/>
      <x:c r="H282" s="10"/>
    </x:row>
    <x:row r="283" ht="14.25" customHeight="1">
      <x:c r="A283" s="10"/>
      <x:c r="B283" s="10"/>
      <x:c r="C283" s="10"/>
      <x:c r="D283" s="10"/>
      <x:c r="E283" s="10"/>
      <x:c r="F283" s="10"/>
      <x:c r="G283" s="10"/>
      <x:c r="H283" s="10"/>
    </x:row>
    <x:row r="284" ht="14.25" customHeight="1">
      <x:c r="A284" s="10"/>
      <x:c r="B284" s="10"/>
      <x:c r="C284" s="10"/>
      <x:c r="D284" s="10"/>
      <x:c r="E284" s="10"/>
      <x:c r="F284" s="10"/>
      <x:c r="G284" s="10"/>
      <x:c r="H284" s="10"/>
    </x:row>
    <x:row r="285" ht="14.25" customHeight="1">
      <x:c r="A285" s="10"/>
      <x:c r="B285" s="10"/>
      <x:c r="C285" s="10"/>
      <x:c r="D285" s="10"/>
      <x:c r="E285" s="10"/>
      <x:c r="F285" s="10"/>
      <x:c r="G285" s="10"/>
      <x:c r="H285" s="10"/>
    </x:row>
    <x:row r="286" ht="14.25" customHeight="1">
      <x:c r="A286" s="10"/>
      <x:c r="B286" s="10"/>
      <x:c r="C286" s="10"/>
      <x:c r="D286" s="10"/>
      <x:c r="E286" s="10"/>
      <x:c r="F286" s="10"/>
      <x:c r="G286" s="10"/>
      <x:c r="H286" s="10"/>
    </x:row>
    <x:row r="287" ht="14.25" customHeight="1">
      <x:c r="A287" s="10"/>
      <x:c r="B287" s="10"/>
      <x:c r="C287" s="10"/>
      <x:c r="D287" s="10"/>
      <x:c r="E287" s="10"/>
      <x:c r="F287" s="10"/>
      <x:c r="G287" s="10"/>
      <x:c r="H287" s="10"/>
    </x:row>
    <x:row r="288" ht="14.25" customHeight="1">
      <x:c r="A288" s="10"/>
      <x:c r="B288" s="10"/>
      <x:c r="C288" s="10"/>
      <x:c r="D288" s="10"/>
      <x:c r="E288" s="10"/>
      <x:c r="F288" s="10"/>
      <x:c r="G288" s="10"/>
      <x:c r="H288" s="10"/>
    </x:row>
    <x:row r="289" ht="14.25" customHeight="1">
      <x:c r="A289" s="10"/>
      <x:c r="B289" s="10"/>
      <x:c r="C289" s="10"/>
      <x:c r="D289" s="10"/>
      <x:c r="E289" s="10"/>
      <x:c r="F289" s="10"/>
      <x:c r="G289" s="10"/>
      <x:c r="H289" s="10"/>
    </x:row>
    <x:row r="290" ht="14.25" customHeight="1">
      <x:c r="A290" s="10"/>
      <x:c r="B290" s="10"/>
      <x:c r="C290" s="10"/>
      <x:c r="D290" s="10"/>
      <x:c r="E290" s="10"/>
      <x:c r="F290" s="10"/>
      <x:c r="G290" s="10"/>
      <x:c r="H290" s="10"/>
    </x:row>
    <x:row r="291" ht="14.25" customHeight="1">
      <x:c r="A291" s="10"/>
      <x:c r="B291" s="10"/>
      <x:c r="C291" s="10"/>
      <x:c r="D291" s="10"/>
      <x:c r="E291" s="10"/>
      <x:c r="F291" s="10"/>
      <x:c r="G291" s="10"/>
      <x:c r="H291" s="10"/>
    </x:row>
    <x:row r="292" ht="14.25" customHeight="1">
      <x:c r="A292" s="10"/>
      <x:c r="B292" s="10"/>
      <x:c r="C292" s="10"/>
      <x:c r="D292" s="10"/>
      <x:c r="E292" s="10"/>
      <x:c r="F292" s="10"/>
      <x:c r="G292" s="10"/>
      <x:c r="H292" s="10"/>
    </x:row>
    <x:row r="293" ht="14.25" customHeight="1">
      <x:c r="A293" s="10"/>
      <x:c r="B293" s="10"/>
      <x:c r="C293" s="10"/>
      <x:c r="D293" s="10"/>
      <x:c r="E293" s="10"/>
      <x:c r="F293" s="10"/>
      <x:c r="G293" s="10"/>
      <x:c r="H293" s="10"/>
    </x:row>
    <x:row r="294" ht="14.25" customHeight="1">
      <x:c r="A294" s="10"/>
      <x:c r="B294" s="10"/>
      <x:c r="C294" s="10"/>
      <x:c r="D294" s="10"/>
      <x:c r="E294" s="10"/>
      <x:c r="F294" s="10"/>
      <x:c r="G294" s="10"/>
      <x:c r="H294" s="10"/>
    </x:row>
    <x:row r="295" ht="14.25" customHeight="1">
      <x:c r="A295" s="10"/>
      <x:c r="B295" s="10"/>
      <x:c r="C295" s="10"/>
      <x:c r="D295" s="10"/>
      <x:c r="E295" s="10"/>
      <x:c r="F295" s="10"/>
      <x:c r="G295" s="10"/>
      <x:c r="H295" s="10"/>
    </x:row>
    <x:row r="296" ht="14.25" customHeight="1">
      <x:c r="A296" s="10"/>
      <x:c r="B296" s="10"/>
      <x:c r="C296" s="10"/>
      <x:c r="D296" s="10"/>
      <x:c r="E296" s="10"/>
      <x:c r="F296" s="10"/>
      <x:c r="G296" s="10"/>
      <x:c r="H296" s="10"/>
    </x:row>
    <x:row r="297" ht="14.25" customHeight="1">
      <x:c r="A297" s="10"/>
      <x:c r="B297" s="10"/>
      <x:c r="C297" s="10"/>
      <x:c r="D297" s="10"/>
      <x:c r="E297" s="10"/>
      <x:c r="F297" s="10"/>
      <x:c r="G297" s="10"/>
      <x:c r="H297" s="10"/>
    </x:row>
    <x:row r="298" ht="14.25" customHeight="1">
      <x:c r="A298" s="10"/>
      <x:c r="B298" s="10"/>
      <x:c r="C298" s="10"/>
      <x:c r="D298" s="10"/>
      <x:c r="E298" s="10"/>
      <x:c r="F298" s="10"/>
      <x:c r="G298" s="10"/>
      <x:c r="H298" s="10"/>
    </x:row>
    <x:row r="299" ht="14.25" customHeight="1">
      <x:c r="A299" s="10"/>
      <x:c r="B299" s="10"/>
      <x:c r="C299" s="10"/>
      <x:c r="D299" s="10"/>
      <x:c r="E299" s="10"/>
      <x:c r="F299" s="10"/>
      <x:c r="G299" s="10"/>
      <x:c r="H299" s="10"/>
    </x:row>
    <x:row r="300" ht="14.25" customHeight="1">
      <x:c r="A300" s="10"/>
      <x:c r="B300" s="10"/>
      <x:c r="C300" s="10"/>
      <x:c r="D300" s="10"/>
      <x:c r="E300" s="10"/>
      <x:c r="F300" s="10"/>
      <x:c r="G300" s="10"/>
      <x:c r="H300" s="10"/>
    </x:row>
    <x:row r="301" ht="14.25" customHeight="1">
      <x:c r="A301" s="10"/>
      <x:c r="B301" s="10"/>
      <x:c r="C301" s="10"/>
      <x:c r="D301" s="10"/>
      <x:c r="E301" s="10"/>
      <x:c r="F301" s="10"/>
      <x:c r="G301" s="10"/>
      <x:c r="H301" s="10"/>
    </x:row>
    <x:row r="302" ht="14.25" customHeight="1">
      <x:c r="A302" s="10"/>
      <x:c r="B302" s="10"/>
      <x:c r="C302" s="10"/>
      <x:c r="D302" s="10"/>
      <x:c r="E302" s="10"/>
      <x:c r="F302" s="10"/>
      <x:c r="G302" s="10"/>
      <x:c r="H302" s="10"/>
    </x:row>
    <x:row r="303" ht="14.25" customHeight="1">
      <x:c r="A303" s="10"/>
      <x:c r="B303" s="10"/>
      <x:c r="C303" s="10"/>
      <x:c r="D303" s="10"/>
      <x:c r="E303" s="10"/>
      <x:c r="F303" s="10"/>
      <x:c r="G303" s="10"/>
      <x:c r="H303" s="10"/>
    </x:row>
    <x:row r="304" ht="14.25" customHeight="1">
      <x:c r="A304" s="10"/>
      <x:c r="B304" s="10"/>
      <x:c r="C304" s="10"/>
      <x:c r="D304" s="10"/>
      <x:c r="E304" s="10"/>
      <x:c r="F304" s="10"/>
      <x:c r="G304" s="10"/>
      <x:c r="H304" s="10"/>
    </x:row>
    <x:row r="305" ht="14.25" customHeight="1">
      <x:c r="A305" s="10"/>
      <x:c r="B305" s="10"/>
      <x:c r="C305" s="10"/>
      <x:c r="D305" s="10"/>
      <x:c r="E305" s="10"/>
      <x:c r="F305" s="10"/>
      <x:c r="G305" s="10"/>
      <x:c r="H305" s="10"/>
    </x:row>
    <x:row r="306" ht="14.25" customHeight="1">
      <x:c r="A306" s="10"/>
      <x:c r="B306" s="10"/>
      <x:c r="C306" s="10"/>
      <x:c r="D306" s="10"/>
      <x:c r="E306" s="10"/>
      <x:c r="F306" s="10"/>
      <x:c r="G306" s="10"/>
      <x:c r="H306" s="10"/>
    </x:row>
    <x:row r="307" ht="14.25" customHeight="1">
      <x:c r="A307" s="10"/>
      <x:c r="B307" s="10"/>
      <x:c r="C307" s="10"/>
      <x:c r="D307" s="10"/>
      <x:c r="E307" s="10"/>
      <x:c r="F307" s="10"/>
      <x:c r="G307" s="10"/>
      <x:c r="H307" s="10"/>
    </x:row>
    <x:row r="308" ht="14.25" customHeight="1">
      <x:c r="A308" s="10"/>
      <x:c r="B308" s="10"/>
      <x:c r="C308" s="10"/>
      <x:c r="D308" s="10"/>
      <x:c r="E308" s="10"/>
      <x:c r="F308" s="10"/>
      <x:c r="G308" s="10"/>
      <x:c r="H308" s="10"/>
    </x:row>
    <x:row r="309" ht="14.25" customHeight="1">
      <x:c r="A309" s="10"/>
      <x:c r="B309" s="10"/>
      <x:c r="C309" s="10"/>
      <x:c r="D309" s="10"/>
      <x:c r="E309" s="10"/>
      <x:c r="F309" s="10"/>
      <x:c r="G309" s="10"/>
      <x:c r="H309" s="10"/>
    </x:row>
    <x:row r="310" ht="14.25" customHeight="1">
      <x:c r="A310" s="10"/>
      <x:c r="B310" s="10"/>
      <x:c r="C310" s="10"/>
      <x:c r="D310" s="10"/>
      <x:c r="E310" s="10"/>
      <x:c r="F310" s="10"/>
      <x:c r="G310" s="10"/>
      <x:c r="H310" s="10"/>
    </x:row>
    <x:row r="311" ht="14.25" customHeight="1">
      <x:c r="A311" s="10"/>
      <x:c r="B311" s="10"/>
      <x:c r="C311" s="10"/>
      <x:c r="D311" s="10"/>
      <x:c r="E311" s="10"/>
      <x:c r="F311" s="10"/>
      <x:c r="G311" s="10"/>
      <x:c r="H311" s="10"/>
    </x:row>
    <x:row r="312" ht="14.25" customHeight="1">
      <x:c r="A312" s="10"/>
      <x:c r="B312" s="10"/>
      <x:c r="C312" s="10"/>
      <x:c r="D312" s="10"/>
      <x:c r="E312" s="10"/>
      <x:c r="F312" s="10"/>
      <x:c r="G312" s="10"/>
      <x:c r="H312" s="10"/>
    </x:row>
    <x:row r="313" ht="14.25" customHeight="1">
      <x:c r="A313" s="10"/>
      <x:c r="B313" s="10"/>
      <x:c r="C313" s="10"/>
      <x:c r="D313" s="10"/>
      <x:c r="E313" s="10"/>
      <x:c r="F313" s="10"/>
      <x:c r="G313" s="10"/>
      <x:c r="H313" s="10"/>
    </x:row>
    <x:row r="314" ht="14.25" customHeight="1">
      <x:c r="A314" s="10"/>
      <x:c r="B314" s="10"/>
      <x:c r="C314" s="10"/>
      <x:c r="D314" s="10"/>
      <x:c r="E314" s="10"/>
      <x:c r="F314" s="10"/>
      <x:c r="G314" s="10"/>
      <x:c r="H314" s="10"/>
    </x:row>
    <x:row r="315" ht="14.25" customHeight="1">
      <x:c r="A315" s="10"/>
      <x:c r="B315" s="10"/>
      <x:c r="C315" s="10"/>
      <x:c r="D315" s="10"/>
      <x:c r="E315" s="10"/>
      <x:c r="F315" s="10"/>
      <x:c r="G315" s="10"/>
      <x:c r="H315" s="10"/>
    </x:row>
    <x:row r="316" ht="14.25" customHeight="1">
      <x:c r="A316" s="10"/>
      <x:c r="B316" s="10"/>
      <x:c r="C316" s="10"/>
      <x:c r="D316" s="10"/>
      <x:c r="E316" s="10"/>
      <x:c r="F316" s="10"/>
      <x:c r="G316" s="10"/>
      <x:c r="H316" s="10"/>
    </x:row>
    <x:row r="317" ht="14.25" customHeight="1">
      <x:c r="A317" s="10"/>
      <x:c r="B317" s="10"/>
      <x:c r="C317" s="10"/>
      <x:c r="D317" s="10"/>
      <x:c r="E317" s="10"/>
      <x:c r="F317" s="10"/>
      <x:c r="G317" s="10"/>
      <x:c r="H317" s="10"/>
    </x:row>
    <x:row r="318" ht="14.25" customHeight="1">
      <x:c r="A318" s="10"/>
      <x:c r="B318" s="10"/>
      <x:c r="C318" s="10"/>
      <x:c r="D318" s="10"/>
      <x:c r="E318" s="10"/>
      <x:c r="F318" s="10"/>
      <x:c r="G318" s="10"/>
      <x:c r="H318" s="10"/>
    </x:row>
    <x:row r="319" ht="14.25" customHeight="1">
      <x:c r="A319" s="10"/>
      <x:c r="B319" s="10"/>
      <x:c r="C319" s="10"/>
      <x:c r="D319" s="10"/>
      <x:c r="E319" s="10"/>
      <x:c r="F319" s="10"/>
      <x:c r="G319" s="10"/>
      <x:c r="H319" s="10"/>
    </x:row>
    <x:row r="320" ht="14.25" customHeight="1">
      <x:c r="A320" s="10"/>
      <x:c r="B320" s="10"/>
      <x:c r="C320" s="10"/>
      <x:c r="D320" s="10"/>
      <x:c r="E320" s="10"/>
      <x:c r="F320" s="10"/>
      <x:c r="G320" s="10"/>
      <x:c r="H320" s="10"/>
    </x:row>
    <x:row r="321" ht="14.25" customHeight="1">
      <x:c r="A321" s="10"/>
      <x:c r="B321" s="10"/>
      <x:c r="C321" s="10"/>
      <x:c r="D321" s="10"/>
      <x:c r="E321" s="10"/>
      <x:c r="F321" s="10"/>
      <x:c r="G321" s="10"/>
      <x:c r="H321" s="10"/>
    </x:row>
    <x:row r="322" ht="14.25" customHeight="1">
      <x:c r="A322" s="10"/>
      <x:c r="B322" s="10"/>
      <x:c r="C322" s="10"/>
      <x:c r="D322" s="10"/>
      <x:c r="E322" s="10"/>
      <x:c r="F322" s="10"/>
      <x:c r="G322" s="10"/>
      <x:c r="H322" s="10"/>
    </x:row>
    <x:row r="323" ht="14.25" customHeight="1">
      <x:c r="A323" s="10"/>
      <x:c r="B323" s="10"/>
      <x:c r="C323" s="10"/>
      <x:c r="D323" s="10"/>
      <x:c r="E323" s="10"/>
      <x:c r="F323" s="10"/>
      <x:c r="G323" s="10"/>
      <x:c r="H323" s="10"/>
    </x:row>
    <x:row r="324" ht="14.25" customHeight="1">
      <x:c r="A324" s="10"/>
      <x:c r="B324" s="10"/>
      <x:c r="C324" s="10"/>
      <x:c r="D324" s="10"/>
      <x:c r="E324" s="10"/>
      <x:c r="F324" s="10"/>
      <x:c r="G324" s="10"/>
      <x:c r="H324" s="10"/>
    </x:row>
    <x:row r="325" ht="14.25" customHeight="1">
      <x:c r="A325" s="10"/>
      <x:c r="B325" s="10"/>
      <x:c r="C325" s="10"/>
      <x:c r="D325" s="10"/>
      <x:c r="E325" s="10"/>
      <x:c r="F325" s="10"/>
      <x:c r="G325" s="10"/>
      <x:c r="H325" s="10"/>
    </x:row>
    <x:row r="326" ht="14.25" customHeight="1">
      <x:c r="A326" s="10"/>
      <x:c r="B326" s="10"/>
      <x:c r="C326" s="10"/>
      <x:c r="D326" s="10"/>
      <x:c r="E326" s="10"/>
      <x:c r="F326" s="10"/>
      <x:c r="G326" s="10"/>
      <x:c r="H326" s="10"/>
    </x:row>
    <x:row r="327" ht="14.25" customHeight="1">
      <x:c r="A327" s="10"/>
      <x:c r="B327" s="10"/>
      <x:c r="C327" s="10"/>
      <x:c r="D327" s="10"/>
      <x:c r="E327" s="10"/>
      <x:c r="F327" s="10"/>
      <x:c r="G327" s="10"/>
      <x:c r="H327" s="10"/>
    </x:row>
    <x:row r="328" ht="14.25" customHeight="1">
      <x:c r="A328" s="10"/>
      <x:c r="B328" s="10"/>
      <x:c r="C328" s="10"/>
      <x:c r="D328" s="10"/>
      <x:c r="E328" s="10"/>
      <x:c r="F328" s="10"/>
      <x:c r="G328" s="10"/>
      <x:c r="H328" s="10"/>
    </x:row>
    <x:row r="329" ht="14.25" customHeight="1">
      <x:c r="A329" s="10"/>
      <x:c r="B329" s="10"/>
      <x:c r="C329" s="10"/>
      <x:c r="D329" s="10"/>
      <x:c r="E329" s="10"/>
      <x:c r="F329" s="10"/>
      <x:c r="G329" s="10"/>
      <x:c r="H329" s="10"/>
    </x:row>
    <x:row r="330" ht="14.25" customHeight="1">
      <x:c r="A330" s="10"/>
      <x:c r="B330" s="10"/>
      <x:c r="C330" s="10"/>
      <x:c r="D330" s="10"/>
      <x:c r="E330" s="10"/>
      <x:c r="F330" s="10"/>
      <x:c r="G330" s="10"/>
      <x:c r="H330" s="10"/>
    </x:row>
    <x:row r="331" ht="14.25" customHeight="1">
      <x:c r="A331" s="10"/>
      <x:c r="B331" s="10"/>
      <x:c r="C331" s="10"/>
      <x:c r="D331" s="10"/>
      <x:c r="E331" s="10"/>
      <x:c r="F331" s="10"/>
      <x:c r="G331" s="10"/>
      <x:c r="H331" s="10"/>
    </x:row>
    <x:row r="332" ht="14.25" customHeight="1">
      <x:c r="A332" s="10"/>
      <x:c r="B332" s="10"/>
      <x:c r="C332" s="10"/>
      <x:c r="D332" s="10"/>
      <x:c r="E332" s="10"/>
      <x:c r="F332" s="10"/>
      <x:c r="G332" s="10"/>
      <x:c r="H332" s="10"/>
    </x:row>
    <x:row r="333" ht="14.25" customHeight="1">
      <x:c r="A333" s="10"/>
      <x:c r="B333" s="10"/>
      <x:c r="C333" s="10"/>
      <x:c r="D333" s="10"/>
      <x:c r="E333" s="10"/>
      <x:c r="F333" s="10"/>
      <x:c r="G333" s="10"/>
      <x:c r="H333" s="10"/>
    </x:row>
    <x:row r="334" ht="14.25" customHeight="1">
      <x:c r="A334" s="10"/>
      <x:c r="B334" s="10"/>
      <x:c r="C334" s="10"/>
      <x:c r="D334" s="10"/>
      <x:c r="E334" s="10"/>
      <x:c r="F334" s="10"/>
      <x:c r="G334" s="10"/>
      <x:c r="H334" s="10"/>
    </x:row>
    <x:row r="335" ht="14.25" customHeight="1">
      <x:c r="A335" s="10"/>
      <x:c r="B335" s="10"/>
      <x:c r="C335" s="10"/>
      <x:c r="D335" s="10"/>
      <x:c r="E335" s="10"/>
      <x:c r="F335" s="10"/>
      <x:c r="G335" s="10"/>
      <x:c r="H335" s="10"/>
    </x:row>
    <x:row r="336" ht="14.25" customHeight="1">
      <x:c r="A336" s="10"/>
      <x:c r="B336" s="10"/>
      <x:c r="C336" s="10"/>
      <x:c r="D336" s="10"/>
      <x:c r="E336" s="10"/>
      <x:c r="F336" s="10"/>
      <x:c r="G336" s="10"/>
      <x:c r="H336" s="10"/>
    </x:row>
    <x:row r="337" ht="14.25" customHeight="1">
      <x:c r="A337" s="10"/>
      <x:c r="B337" s="10"/>
      <x:c r="C337" s="10"/>
      <x:c r="D337" s="10"/>
      <x:c r="E337" s="10"/>
      <x:c r="F337" s="10"/>
      <x:c r="G337" s="10"/>
      <x:c r="H337" s="10"/>
    </x:row>
    <x:row r="338" ht="14.25" customHeight="1">
      <x:c r="A338" s="10"/>
      <x:c r="B338" s="10"/>
      <x:c r="C338" s="10"/>
      <x:c r="D338" s="10"/>
      <x:c r="E338" s="10"/>
      <x:c r="F338" s="10"/>
      <x:c r="G338" s="10"/>
      <x:c r="H338" s="10"/>
    </x:row>
    <x:row r="339" ht="14.25" customHeight="1">
      <x:c r="A339" s="10"/>
      <x:c r="B339" s="10"/>
      <x:c r="C339" s="10"/>
      <x:c r="D339" s="10"/>
      <x:c r="E339" s="10"/>
      <x:c r="F339" s="10"/>
      <x:c r="G339" s="10"/>
      <x:c r="H339" s="10"/>
    </x:row>
    <x:row r="340" ht="14.25" customHeight="1">
      <x:c r="A340" s="10"/>
      <x:c r="B340" s="10"/>
      <x:c r="C340" s="10"/>
      <x:c r="D340" s="10"/>
      <x:c r="E340" s="10"/>
      <x:c r="F340" s="10"/>
      <x:c r="G340" s="10"/>
      <x:c r="H340" s="10"/>
    </x:row>
    <x:row r="341" ht="14.25" customHeight="1">
      <x:c r="A341" s="10"/>
      <x:c r="B341" s="10"/>
      <x:c r="C341" s="10"/>
      <x:c r="D341" s="10"/>
      <x:c r="E341" s="10"/>
      <x:c r="F341" s="10"/>
      <x:c r="G341" s="10"/>
      <x:c r="H341" s="10"/>
    </x:row>
    <x:row r="342" ht="14.25" customHeight="1">
      <x:c r="A342" s="10"/>
      <x:c r="B342" s="10"/>
      <x:c r="C342" s="10"/>
      <x:c r="D342" s="10"/>
      <x:c r="E342" s="10"/>
      <x:c r="F342" s="10"/>
      <x:c r="G342" s="10"/>
      <x:c r="H342" s="10"/>
    </x:row>
    <x:row r="343" ht="14.25" customHeight="1">
      <x:c r="A343" s="10"/>
      <x:c r="B343" s="10"/>
      <x:c r="C343" s="10"/>
      <x:c r="D343" s="10"/>
      <x:c r="E343" s="10"/>
      <x:c r="F343" s="10"/>
      <x:c r="G343" s="10"/>
      <x:c r="H343" s="10"/>
    </x:row>
    <x:row r="344" ht="14.25" customHeight="1">
      <x:c r="A344" s="10"/>
      <x:c r="B344" s="10"/>
      <x:c r="C344" s="10"/>
      <x:c r="D344" s="10"/>
      <x:c r="E344" s="10"/>
      <x:c r="F344" s="10"/>
      <x:c r="G344" s="10"/>
      <x:c r="H344" s="10"/>
    </x:row>
    <x:row r="345" ht="14.25" customHeight="1">
      <x:c r="A345" s="10"/>
      <x:c r="B345" s="10"/>
      <x:c r="C345" s="10"/>
      <x:c r="D345" s="10"/>
      <x:c r="E345" s="10"/>
      <x:c r="F345" s="10"/>
      <x:c r="G345" s="10"/>
      <x:c r="H345" s="10"/>
    </x:row>
    <x:row r="346" ht="14.25" customHeight="1">
      <x:c r="A346" s="10"/>
      <x:c r="B346" s="10"/>
      <x:c r="C346" s="10"/>
      <x:c r="D346" s="10"/>
      <x:c r="E346" s="10"/>
      <x:c r="F346" s="10"/>
      <x:c r="G346" s="10"/>
      <x:c r="H346" s="10"/>
    </x:row>
    <x:row r="347" ht="14.25" customHeight="1">
      <x:c r="A347" s="10"/>
      <x:c r="B347" s="10"/>
      <x:c r="C347" s="10"/>
      <x:c r="D347" s="10"/>
      <x:c r="E347" s="10"/>
      <x:c r="F347" s="10"/>
      <x:c r="G347" s="10"/>
      <x:c r="H347" s="10"/>
    </x:row>
    <x:row r="348" ht="14.25" customHeight="1">
      <x:c r="A348" s="10"/>
      <x:c r="B348" s="10"/>
      <x:c r="C348" s="10"/>
      <x:c r="D348" s="10"/>
      <x:c r="E348" s="10"/>
      <x:c r="F348" s="10"/>
      <x:c r="G348" s="10"/>
      <x:c r="H348" s="10"/>
    </x:row>
    <x:row r="349" ht="14.25" customHeight="1">
      <x:c r="A349" s="10"/>
      <x:c r="B349" s="10"/>
      <x:c r="C349" s="10"/>
      <x:c r="D349" s="10"/>
      <x:c r="E349" s="10"/>
      <x:c r="F349" s="10"/>
      <x:c r="G349" s="10"/>
      <x:c r="H349" s="10"/>
    </x:row>
    <x:row r="350" ht="14.25" customHeight="1">
      <x:c r="A350" s="10"/>
      <x:c r="B350" s="10"/>
      <x:c r="C350" s="10"/>
      <x:c r="D350" s="10"/>
      <x:c r="E350" s="10"/>
      <x:c r="F350" s="10"/>
      <x:c r="G350" s="10"/>
      <x:c r="H350" s="10"/>
    </x:row>
    <x:row r="351" ht="14.25" customHeight="1">
      <x:c r="A351" s="10"/>
      <x:c r="B351" s="10"/>
      <x:c r="C351" s="10"/>
      <x:c r="D351" s="10"/>
      <x:c r="E351" s="10"/>
      <x:c r="F351" s="10"/>
      <x:c r="G351" s="10"/>
      <x:c r="H351" s="10"/>
    </x:row>
    <x:row r="352" ht="14.25" customHeight="1">
      <x:c r="A352" s="10"/>
      <x:c r="B352" s="10"/>
      <x:c r="C352" s="10"/>
      <x:c r="D352" s="10"/>
      <x:c r="E352" s="10"/>
      <x:c r="F352" s="10"/>
      <x:c r="G352" s="10"/>
      <x:c r="H352" s="10"/>
    </x:row>
    <x:row r="353" ht="14.25" customHeight="1">
      <x:c r="A353" s="10"/>
      <x:c r="B353" s="10"/>
      <x:c r="C353" s="10"/>
      <x:c r="D353" s="10"/>
      <x:c r="E353" s="10"/>
      <x:c r="F353" s="10"/>
      <x:c r="G353" s="10"/>
      <x:c r="H353" s="10"/>
    </x:row>
    <x:row r="354" ht="14.25" customHeight="1">
      <x:c r="A354" s="10"/>
      <x:c r="B354" s="10"/>
      <x:c r="C354" s="10"/>
      <x:c r="D354" s="10"/>
      <x:c r="E354" s="10"/>
      <x:c r="F354" s="10"/>
      <x:c r="G354" s="10"/>
      <x:c r="H354" s="10"/>
    </x:row>
    <x:row r="355" ht="14.25" customHeight="1">
      <x:c r="A355" s="10"/>
      <x:c r="B355" s="10"/>
      <x:c r="C355" s="10"/>
      <x:c r="D355" s="10"/>
      <x:c r="E355" s="10"/>
      <x:c r="F355" s="10"/>
      <x:c r="G355" s="10"/>
      <x:c r="H355" s="10"/>
    </x:row>
    <x:row r="356" ht="14.25" customHeight="1">
      <x:c r="A356" s="10"/>
      <x:c r="B356" s="10"/>
      <x:c r="C356" s="10"/>
      <x:c r="D356" s="10"/>
      <x:c r="E356" s="10"/>
      <x:c r="F356" s="10"/>
      <x:c r="G356" s="10"/>
      <x:c r="H356" s="10"/>
    </x:row>
    <x:row r="357" ht="14.25" customHeight="1">
      <x:c r="A357" s="10"/>
      <x:c r="B357" s="10"/>
      <x:c r="C357" s="10"/>
      <x:c r="D357" s="10"/>
      <x:c r="E357" s="10"/>
      <x:c r="F357" s="10"/>
      <x:c r="G357" s="10"/>
      <x:c r="H357" s="10"/>
    </x:row>
    <x:row r="358" ht="14.25" customHeight="1">
      <x:c r="A358" s="10"/>
      <x:c r="B358" s="10"/>
      <x:c r="C358" s="10"/>
      <x:c r="D358" s="10"/>
      <x:c r="E358" s="10"/>
      <x:c r="F358" s="10"/>
      <x:c r="G358" s="10"/>
      <x:c r="H358" s="10"/>
    </x:row>
    <x:row r="359" ht="14.25" customHeight="1">
      <x:c r="A359" s="10"/>
      <x:c r="B359" s="10"/>
      <x:c r="C359" s="10"/>
      <x:c r="D359" s="10"/>
      <x:c r="E359" s="10"/>
      <x:c r="F359" s="10"/>
      <x:c r="G359" s="10"/>
      <x:c r="H359" s="10"/>
    </x:row>
    <x:row r="360" ht="14.25" customHeight="1">
      <x:c r="A360" s="10"/>
      <x:c r="B360" s="10"/>
      <x:c r="C360" s="10"/>
      <x:c r="D360" s="10"/>
      <x:c r="E360" s="10"/>
      <x:c r="F360" s="10"/>
      <x:c r="G360" s="10"/>
      <x:c r="H360" s="10"/>
    </x:row>
    <x:row r="361" ht="14.25" customHeight="1">
      <x:c r="A361" s="10"/>
      <x:c r="B361" s="10"/>
      <x:c r="C361" s="10"/>
      <x:c r="D361" s="10"/>
      <x:c r="E361" s="10"/>
      <x:c r="F361" s="10"/>
      <x:c r="G361" s="10"/>
      <x:c r="H361" s="10"/>
    </x:row>
    <x:row r="362" ht="14.25" customHeight="1">
      <x:c r="A362" s="10"/>
      <x:c r="B362" s="10"/>
      <x:c r="C362" s="10"/>
      <x:c r="D362" s="10"/>
      <x:c r="E362" s="10"/>
      <x:c r="F362" s="10"/>
      <x:c r="G362" s="10"/>
      <x:c r="H362" s="10"/>
    </x:row>
    <x:row r="363" ht="14.25" customHeight="1">
      <x:c r="A363" s="10"/>
      <x:c r="B363" s="10"/>
      <x:c r="C363" s="10"/>
      <x:c r="D363" s="10"/>
      <x:c r="E363" s="10"/>
      <x:c r="F363" s="10"/>
      <x:c r="G363" s="10"/>
      <x:c r="H363" s="10"/>
    </x:row>
    <x:row r="364" ht="14.25" customHeight="1">
      <x:c r="A364" s="10"/>
      <x:c r="B364" s="10"/>
      <x:c r="C364" s="10"/>
      <x:c r="D364" s="10"/>
      <x:c r="E364" s="10"/>
      <x:c r="F364" s="10"/>
      <x:c r="G364" s="10"/>
      <x:c r="H364" s="10"/>
    </x:row>
    <x:row r="365" ht="14.25" customHeight="1">
      <x:c r="A365" s="10"/>
      <x:c r="B365" s="10"/>
      <x:c r="C365" s="10"/>
      <x:c r="D365" s="10"/>
      <x:c r="E365" s="10"/>
      <x:c r="F365" s="10"/>
      <x:c r="G365" s="10"/>
      <x:c r="H365" s="10"/>
    </x:row>
    <x:row r="366" ht="14.25" customHeight="1">
      <x:c r="A366" s="10"/>
      <x:c r="B366" s="10"/>
      <x:c r="C366" s="10"/>
      <x:c r="D366" s="10"/>
      <x:c r="E366" s="10"/>
      <x:c r="F366" s="10"/>
      <x:c r="G366" s="10"/>
      <x:c r="H366" s="10"/>
    </x:row>
    <x:row r="367" ht="14.25" customHeight="1">
      <x:c r="A367" s="10"/>
      <x:c r="B367" s="10"/>
      <x:c r="C367" s="10"/>
      <x:c r="D367" s="10"/>
      <x:c r="E367" s="10"/>
      <x:c r="F367" s="10"/>
      <x:c r="G367" s="10"/>
      <x:c r="H367" s="10"/>
    </x:row>
    <x:row r="368" ht="14.25" customHeight="1">
      <x:c r="A368" s="10"/>
      <x:c r="B368" s="10"/>
      <x:c r="C368" s="10"/>
      <x:c r="D368" s="10"/>
      <x:c r="E368" s="10"/>
      <x:c r="F368" s="10"/>
      <x:c r="G368" s="10"/>
      <x:c r="H368" s="10"/>
    </x:row>
    <x:row r="369" ht="14.25" customHeight="1">
      <x:c r="A369" s="10"/>
      <x:c r="B369" s="10"/>
      <x:c r="C369" s="10"/>
      <x:c r="D369" s="10"/>
      <x:c r="E369" s="10"/>
      <x:c r="F369" s="10"/>
      <x:c r="G369" s="10"/>
      <x:c r="H369" s="10"/>
    </x:row>
    <x:row r="370" ht="14.25" customHeight="1">
      <x:c r="A370" s="10"/>
      <x:c r="B370" s="10"/>
      <x:c r="C370" s="10"/>
      <x:c r="D370" s="10"/>
      <x:c r="E370" s="10"/>
      <x:c r="F370" s="10"/>
      <x:c r="G370" s="10"/>
      <x:c r="H370" s="10"/>
    </x:row>
    <x:row r="371" ht="14.25" customHeight="1">
      <x:c r="A371" s="10"/>
      <x:c r="B371" s="10"/>
      <x:c r="C371" s="10"/>
      <x:c r="D371" s="10"/>
      <x:c r="E371" s="10"/>
      <x:c r="F371" s="10"/>
      <x:c r="G371" s="10"/>
      <x:c r="H371" s="10"/>
    </x:row>
    <x:row r="372" ht="14.25" customHeight="1">
      <x:c r="A372" s="10"/>
      <x:c r="B372" s="10"/>
      <x:c r="C372" s="10"/>
      <x:c r="D372" s="10"/>
      <x:c r="E372" s="10"/>
      <x:c r="F372" s="10"/>
      <x:c r="G372" s="10"/>
      <x:c r="H372" s="10"/>
    </x:row>
    <x:row r="373" ht="14.25" customHeight="1">
      <x:c r="A373" s="10"/>
      <x:c r="B373" s="10"/>
      <x:c r="C373" s="10"/>
      <x:c r="D373" s="10"/>
      <x:c r="E373" s="10"/>
      <x:c r="F373" s="10"/>
      <x:c r="G373" s="10"/>
      <x:c r="H373" s="10"/>
    </x:row>
    <x:row r="374" ht="14.25" customHeight="1">
      <x:c r="A374" s="10"/>
      <x:c r="B374" s="10"/>
      <x:c r="C374" s="10"/>
      <x:c r="D374" s="10"/>
      <x:c r="E374" s="10"/>
      <x:c r="F374" s="10"/>
      <x:c r="G374" s="10"/>
      <x:c r="H374" s="10"/>
    </x:row>
    <x:row r="375" ht="14.25" customHeight="1">
      <x:c r="A375" s="10"/>
      <x:c r="B375" s="10"/>
      <x:c r="C375" s="10"/>
      <x:c r="D375" s="10"/>
      <x:c r="E375" s="10"/>
      <x:c r="F375" s="10"/>
      <x:c r="G375" s="10"/>
      <x:c r="H375" s="10"/>
    </x:row>
    <x:row r="376" ht="14.25" customHeight="1">
      <x:c r="A376" s="10"/>
      <x:c r="B376" s="10"/>
      <x:c r="C376" s="10"/>
      <x:c r="D376" s="10"/>
      <x:c r="E376" s="10"/>
      <x:c r="F376" s="10"/>
      <x:c r="G376" s="10"/>
      <x:c r="H376" s="10"/>
    </x:row>
    <x:row r="377" ht="14.25" customHeight="1">
      <x:c r="A377" s="10"/>
      <x:c r="B377" s="10"/>
      <x:c r="C377" s="10"/>
      <x:c r="D377" s="10"/>
      <x:c r="E377" s="10"/>
      <x:c r="F377" s="10"/>
      <x:c r="G377" s="10"/>
      <x:c r="H377" s="10"/>
    </x:row>
    <x:row r="378" ht="14.25" customHeight="1">
      <x:c r="A378" s="10"/>
      <x:c r="B378" s="10"/>
      <x:c r="C378" s="10"/>
      <x:c r="D378" s="10"/>
      <x:c r="E378" s="10"/>
      <x:c r="F378" s="10"/>
      <x:c r="G378" s="10"/>
      <x:c r="H378" s="10"/>
    </x:row>
    <x:row r="379" ht="14.25" customHeight="1">
      <x:c r="A379" s="10"/>
      <x:c r="B379" s="10"/>
      <x:c r="C379" s="10"/>
      <x:c r="D379" s="10"/>
      <x:c r="E379" s="10"/>
      <x:c r="F379" s="10"/>
      <x:c r="G379" s="10"/>
      <x:c r="H379" s="10"/>
    </x:row>
    <x:row r="380" ht="14.25" customHeight="1">
      <x:c r="A380" s="10"/>
      <x:c r="B380" s="10"/>
      <x:c r="C380" s="10"/>
      <x:c r="D380" s="10"/>
      <x:c r="E380" s="10"/>
      <x:c r="F380" s="10"/>
      <x:c r="G380" s="10"/>
      <x:c r="H380" s="10"/>
    </x:row>
    <x:row r="381" ht="14.25" customHeight="1">
      <x:c r="A381" s="10"/>
      <x:c r="B381" s="10"/>
      <x:c r="C381" s="10"/>
      <x:c r="D381" s="10"/>
      <x:c r="E381" s="10"/>
      <x:c r="F381" s="10"/>
      <x:c r="G381" s="10"/>
      <x:c r="H381" s="10"/>
    </x:row>
    <x:row r="382" ht="14.25" customHeight="1">
      <x:c r="A382" s="10"/>
      <x:c r="B382" s="10"/>
      <x:c r="C382" s="10"/>
      <x:c r="D382" s="10"/>
      <x:c r="E382" s="10"/>
      <x:c r="F382" s="10"/>
      <x:c r="G382" s="10"/>
      <x:c r="H382" s="10"/>
    </x:row>
    <x:row r="383" ht="14.25" customHeight="1">
      <x:c r="A383" s="10"/>
      <x:c r="B383" s="10"/>
      <x:c r="C383" s="10"/>
      <x:c r="D383" s="10"/>
      <x:c r="E383" s="10"/>
      <x:c r="F383" s="10"/>
      <x:c r="G383" s="10"/>
      <x:c r="H383" s="10"/>
    </x:row>
    <x:row r="384" ht="14.25" customHeight="1">
      <x:c r="A384" s="10"/>
      <x:c r="B384" s="10"/>
      <x:c r="C384" s="10"/>
      <x:c r="D384" s="10"/>
      <x:c r="E384" s="10"/>
      <x:c r="F384" s="10"/>
      <x:c r="G384" s="10"/>
      <x:c r="H384" s="10"/>
    </x:row>
    <x:row r="385" ht="14.25" customHeight="1">
      <x:c r="A385" s="10"/>
      <x:c r="B385" s="10"/>
      <x:c r="C385" s="10"/>
      <x:c r="D385" s="10"/>
      <x:c r="E385" s="10"/>
      <x:c r="F385" s="10"/>
      <x:c r="G385" s="10"/>
      <x:c r="H385" s="10"/>
    </x:row>
    <x:row r="386" ht="14.25" customHeight="1">
      <x:c r="A386" s="10"/>
      <x:c r="B386" s="10"/>
      <x:c r="C386" s="10"/>
      <x:c r="D386" s="10"/>
      <x:c r="E386" s="10"/>
      <x:c r="F386" s="10"/>
      <x:c r="G386" s="10"/>
      <x:c r="H386" s="10"/>
    </x:row>
    <x:row r="387" ht="14.25" customHeight="1">
      <x:c r="A387" s="10"/>
      <x:c r="B387" s="10"/>
      <x:c r="C387" s="10"/>
      <x:c r="D387" s="10"/>
      <x:c r="E387" s="10"/>
      <x:c r="F387" s="10"/>
      <x:c r="G387" s="10"/>
      <x:c r="H387" s="10"/>
    </x:row>
    <x:row r="388" ht="14.25" customHeight="1">
      <x:c r="A388" s="10"/>
      <x:c r="B388" s="10"/>
      <x:c r="C388" s="10"/>
      <x:c r="D388" s="10"/>
      <x:c r="E388" s="10"/>
      <x:c r="F388" s="10"/>
      <x:c r="G388" s="10"/>
      <x:c r="H388" s="10"/>
    </x:row>
    <x:row r="389" ht="14.25" customHeight="1">
      <x:c r="A389" s="10"/>
      <x:c r="B389" s="10"/>
      <x:c r="C389" s="10"/>
      <x:c r="D389" s="10"/>
      <x:c r="E389" s="10"/>
      <x:c r="F389" s="10"/>
      <x:c r="G389" s="10"/>
      <x:c r="H389" s="10"/>
    </x:row>
    <x:row r="390" ht="14.25" customHeight="1">
      <x:c r="A390" s="10"/>
      <x:c r="B390" s="10"/>
      <x:c r="C390" s="10"/>
      <x:c r="D390" s="10"/>
      <x:c r="E390" s="10"/>
      <x:c r="F390" s="10"/>
      <x:c r="G390" s="10"/>
      <x:c r="H390" s="10"/>
    </x:row>
    <x:row r="391" ht="14.25" customHeight="1">
      <x:c r="A391" s="10"/>
      <x:c r="B391" s="10"/>
      <x:c r="C391" s="10"/>
      <x:c r="D391" s="10"/>
      <x:c r="E391" s="10"/>
      <x:c r="F391" s="10"/>
      <x:c r="G391" s="10"/>
      <x:c r="H391" s="10"/>
    </x:row>
    <x:row r="392" ht="14.25" customHeight="1">
      <x:c r="A392" s="10"/>
      <x:c r="B392" s="10"/>
      <x:c r="C392" s="10"/>
      <x:c r="D392" s="10"/>
      <x:c r="E392" s="10"/>
      <x:c r="F392" s="10"/>
      <x:c r="G392" s="10"/>
      <x:c r="H392" s="10"/>
    </x:row>
    <x:row r="393" ht="14.25" customHeight="1">
      <x:c r="A393" s="10"/>
      <x:c r="B393" s="10"/>
      <x:c r="C393" s="10"/>
      <x:c r="D393" s="10"/>
      <x:c r="E393" s="10"/>
      <x:c r="F393" s="10"/>
      <x:c r="G393" s="10"/>
      <x:c r="H393" s="10"/>
    </x:row>
    <x:row r="394" ht="14.25" customHeight="1">
      <x:c r="A394" s="10"/>
      <x:c r="B394" s="10"/>
      <x:c r="C394" s="10"/>
      <x:c r="D394" s="10"/>
      <x:c r="E394" s="10"/>
      <x:c r="F394" s="10"/>
      <x:c r="G394" s="10"/>
      <x:c r="H394" s="10"/>
    </x:row>
    <x:row r="395" ht="14.25" customHeight="1">
      <x:c r="A395" s="10"/>
      <x:c r="B395" s="10"/>
      <x:c r="C395" s="10"/>
      <x:c r="D395" s="10"/>
      <x:c r="E395" s="10"/>
      <x:c r="F395" s="10"/>
      <x:c r="G395" s="10"/>
      <x:c r="H395" s="10"/>
    </x:row>
    <x:row r="396" ht="14.25" customHeight="1">
      <x:c r="A396" s="10"/>
      <x:c r="B396" s="10"/>
      <x:c r="C396" s="10"/>
      <x:c r="D396" s="10"/>
      <x:c r="E396" s="10"/>
      <x:c r="F396" s="10"/>
      <x:c r="G396" s="10"/>
      <x:c r="H396" s="10"/>
    </x:row>
    <x:row r="397" ht="14.25" customHeight="1">
      <x:c r="A397" s="10"/>
      <x:c r="B397" s="10"/>
      <x:c r="C397" s="10"/>
      <x:c r="D397" s="10"/>
      <x:c r="E397" s="10"/>
      <x:c r="F397" s="10"/>
      <x:c r="G397" s="10"/>
      <x:c r="H397" s="10"/>
    </x:row>
    <x:row r="398" ht="14.25" customHeight="1">
      <x:c r="A398" s="10"/>
      <x:c r="B398" s="10"/>
      <x:c r="C398" s="10"/>
      <x:c r="D398" s="10"/>
      <x:c r="E398" s="10"/>
      <x:c r="F398" s="10"/>
      <x:c r="G398" s="10"/>
      <x:c r="H398" s="10"/>
    </x:row>
    <x:row r="399" ht="14.25" customHeight="1">
      <x:c r="A399" s="10"/>
      <x:c r="B399" s="10"/>
      <x:c r="C399" s="10"/>
      <x:c r="D399" s="10"/>
      <x:c r="E399" s="10"/>
      <x:c r="F399" s="10"/>
      <x:c r="G399" s="10"/>
      <x:c r="H399" s="10"/>
    </x:row>
    <x:row r="400" ht="14.25" customHeight="1">
      <x:c r="A400" s="10"/>
      <x:c r="B400" s="10"/>
      <x:c r="C400" s="10"/>
      <x:c r="D400" s="10"/>
      <x:c r="E400" s="10"/>
      <x:c r="F400" s="10"/>
      <x:c r="G400" s="10"/>
      <x:c r="H400" s="10"/>
    </x:row>
    <x:row r="401" ht="14.25" customHeight="1">
      <x:c r="A401" s="10"/>
      <x:c r="B401" s="10"/>
      <x:c r="C401" s="10"/>
      <x:c r="D401" s="10"/>
      <x:c r="E401" s="10"/>
      <x:c r="F401" s="10"/>
      <x:c r="G401" s="10"/>
      <x:c r="H401" s="10"/>
    </x:row>
    <x:row r="402" ht="14.25" customHeight="1">
      <x:c r="A402" s="10"/>
      <x:c r="B402" s="10"/>
      <x:c r="C402" s="10"/>
      <x:c r="D402" s="10"/>
      <x:c r="E402" s="10"/>
      <x:c r="F402" s="10"/>
      <x:c r="G402" s="10"/>
      <x:c r="H402" s="10"/>
    </x:row>
    <x:row r="403" ht="14.25" customHeight="1">
      <x:c r="A403" s="10"/>
      <x:c r="B403" s="10"/>
      <x:c r="C403" s="10"/>
      <x:c r="D403" s="10"/>
      <x:c r="E403" s="10"/>
      <x:c r="F403" s="10"/>
      <x:c r="G403" s="10"/>
      <x:c r="H403" s="10"/>
    </x:row>
    <x:row r="404" ht="14.25" customHeight="1">
      <x:c r="A404" s="10"/>
      <x:c r="B404" s="10"/>
      <x:c r="C404" s="10"/>
      <x:c r="D404" s="10"/>
      <x:c r="E404" s="10"/>
      <x:c r="F404" s="10"/>
      <x:c r="G404" s="10"/>
      <x:c r="H404" s="10"/>
    </x:row>
    <x:row r="405" ht="14.25" customHeight="1">
      <x:c r="A405" s="10"/>
      <x:c r="B405" s="10"/>
      <x:c r="C405" s="10"/>
      <x:c r="D405" s="10"/>
      <x:c r="E405" s="10"/>
      <x:c r="F405" s="10"/>
      <x:c r="G405" s="10"/>
      <x:c r="H405" s="10"/>
    </x:row>
    <x:row r="406" ht="14.25" customHeight="1">
      <x:c r="A406" s="10"/>
      <x:c r="B406" s="10"/>
      <x:c r="C406" s="10"/>
      <x:c r="D406" s="10"/>
      <x:c r="E406" s="10"/>
      <x:c r="F406" s="10"/>
      <x:c r="G406" s="10"/>
      <x:c r="H406" s="10"/>
    </x:row>
    <x:row r="407" ht="14.25" customHeight="1">
      <x:c r="A407" s="10"/>
      <x:c r="B407" s="10"/>
      <x:c r="C407" s="10"/>
      <x:c r="D407" s="10"/>
      <x:c r="E407" s="10"/>
      <x:c r="F407" s="10"/>
      <x:c r="G407" s="10"/>
      <x:c r="H407" s="10"/>
    </x:row>
    <x:row r="408" ht="14.25" customHeight="1">
      <x:c r="A408" s="10"/>
      <x:c r="B408" s="10"/>
      <x:c r="C408" s="10"/>
      <x:c r="D408" s="10"/>
      <x:c r="E408" s="10"/>
      <x:c r="F408" s="10"/>
      <x:c r="G408" s="10"/>
      <x:c r="H408" s="10"/>
    </x:row>
    <x:row r="409" ht="14.25" customHeight="1">
      <x:c r="A409" s="10"/>
      <x:c r="B409" s="10"/>
      <x:c r="C409" s="10"/>
      <x:c r="D409" s="10"/>
      <x:c r="E409" s="10"/>
      <x:c r="F409" s="10"/>
      <x:c r="G409" s="10"/>
      <x:c r="H409" s="10"/>
    </x:row>
    <x:row r="410" ht="14.25" customHeight="1">
      <x:c r="A410" s="10"/>
      <x:c r="B410" s="10"/>
      <x:c r="C410" s="10"/>
      <x:c r="D410" s="10"/>
      <x:c r="E410" s="10"/>
      <x:c r="F410" s="10"/>
      <x:c r="G410" s="10"/>
      <x:c r="H410" s="10"/>
    </x:row>
    <x:row r="411" ht="14.25" customHeight="1">
      <x:c r="A411" s="10"/>
      <x:c r="B411" s="10"/>
      <x:c r="C411" s="10"/>
      <x:c r="D411" s="10"/>
      <x:c r="E411" s="10"/>
      <x:c r="F411" s="10"/>
      <x:c r="G411" s="10"/>
      <x:c r="H411" s="10"/>
    </x:row>
    <x:row r="412" ht="14.25" customHeight="1">
      <x:c r="A412" s="10"/>
      <x:c r="B412" s="10"/>
      <x:c r="C412" s="10"/>
      <x:c r="D412" s="10"/>
      <x:c r="E412" s="10"/>
      <x:c r="F412" s="10"/>
      <x:c r="G412" s="10"/>
      <x:c r="H412" s="10"/>
    </x:row>
    <x:row r="413" ht="14.25" customHeight="1">
      <x:c r="A413" s="10"/>
      <x:c r="B413" s="10"/>
      <x:c r="C413" s="10"/>
      <x:c r="D413" s="10"/>
      <x:c r="E413" s="10"/>
      <x:c r="F413" s="10"/>
      <x:c r="G413" s="10"/>
      <x:c r="H413" s="10"/>
    </x:row>
    <x:row r="414" ht="14.25" customHeight="1">
      <x:c r="A414" s="10"/>
      <x:c r="B414" s="10"/>
      <x:c r="C414" s="10"/>
      <x:c r="D414" s="10"/>
      <x:c r="E414" s="10"/>
      <x:c r="F414" s="10"/>
      <x:c r="G414" s="10"/>
      <x:c r="H414" s="10"/>
    </x:row>
    <x:row r="415" ht="14.25" customHeight="1">
      <x:c r="A415" s="10"/>
      <x:c r="B415" s="10"/>
      <x:c r="C415" s="10"/>
      <x:c r="D415" s="10"/>
      <x:c r="E415" s="10"/>
      <x:c r="F415" s="10"/>
      <x:c r="G415" s="10"/>
      <x:c r="H415" s="10"/>
    </x:row>
    <x:row r="416" ht="14.25" customHeight="1">
      <x:c r="A416" s="10"/>
      <x:c r="B416" s="10"/>
      <x:c r="C416" s="10"/>
      <x:c r="D416" s="10"/>
      <x:c r="E416" s="10"/>
      <x:c r="F416" s="10"/>
      <x:c r="G416" s="10"/>
      <x:c r="H416" s="10"/>
    </x:row>
    <x:row r="417" ht="14.25" customHeight="1">
      <x:c r="A417" s="10"/>
      <x:c r="B417" s="10"/>
      <x:c r="C417" s="10"/>
      <x:c r="D417" s="10"/>
      <x:c r="E417" s="10"/>
      <x:c r="F417" s="10"/>
      <x:c r="G417" s="10"/>
      <x:c r="H417" s="10"/>
    </x:row>
    <x:row r="418" ht="14.25" customHeight="1">
      <x:c r="A418" s="10"/>
      <x:c r="B418" s="10"/>
      <x:c r="C418" s="10"/>
      <x:c r="D418" s="10"/>
      <x:c r="E418" s="10"/>
      <x:c r="F418" s="10"/>
      <x:c r="G418" s="10"/>
      <x:c r="H418" s="10"/>
    </x:row>
    <x:row r="419" ht="14.25" customHeight="1">
      <x:c r="A419" s="10"/>
      <x:c r="B419" s="10"/>
      <x:c r="C419" s="10"/>
      <x:c r="D419" s="10"/>
      <x:c r="E419" s="10"/>
      <x:c r="F419" s="10"/>
      <x:c r="G419" s="10"/>
      <x:c r="H419" s="10"/>
    </x:row>
    <x:row r="420" ht="14.25" customHeight="1">
      <x:c r="A420" s="10"/>
      <x:c r="B420" s="10"/>
      <x:c r="C420" s="10"/>
      <x:c r="D420" s="10"/>
      <x:c r="E420" s="10"/>
      <x:c r="F420" s="10"/>
      <x:c r="G420" s="10"/>
      <x:c r="H420" s="10"/>
    </x:row>
    <x:row r="421" ht="14.25" customHeight="1">
      <x:c r="A421" s="10"/>
      <x:c r="B421" s="10"/>
      <x:c r="C421" s="10"/>
      <x:c r="D421" s="10"/>
      <x:c r="E421" s="10"/>
      <x:c r="F421" s="10"/>
      <x:c r="G421" s="10"/>
      <x:c r="H421" s="10"/>
    </x:row>
    <x:row r="422" ht="14.25" customHeight="1">
      <x:c r="A422" s="10"/>
      <x:c r="B422" s="10"/>
      <x:c r="C422" s="10"/>
      <x:c r="D422" s="10"/>
      <x:c r="E422" s="10"/>
      <x:c r="F422" s="10"/>
      <x:c r="G422" s="10"/>
      <x:c r="H422" s="10"/>
    </x:row>
    <x:row r="423" ht="14.25" customHeight="1">
      <x:c r="A423" s="10"/>
      <x:c r="B423" s="10"/>
      <x:c r="C423" s="10"/>
      <x:c r="D423" s="10"/>
      <x:c r="E423" s="10"/>
      <x:c r="F423" s="10"/>
      <x:c r="G423" s="10"/>
      <x:c r="H423" s="10"/>
    </x:row>
    <x:row r="424" ht="14.25" customHeight="1">
      <x:c r="A424" s="10"/>
      <x:c r="B424" s="10"/>
      <x:c r="C424" s="10"/>
      <x:c r="D424" s="10"/>
      <x:c r="E424" s="10"/>
      <x:c r="F424" s="10"/>
      <x:c r="G424" s="10"/>
      <x:c r="H424" s="10"/>
    </x:row>
    <x:row r="425" ht="14.25" customHeight="1">
      <x:c r="A425" s="10"/>
      <x:c r="B425" s="10"/>
      <x:c r="C425" s="10"/>
      <x:c r="D425" s="10"/>
      <x:c r="E425" s="10"/>
      <x:c r="F425" s="10"/>
      <x:c r="G425" s="10"/>
      <x:c r="H425" s="10"/>
    </x:row>
    <x:row r="426" ht="14.25" customHeight="1">
      <x:c r="A426" s="10"/>
      <x:c r="B426" s="10"/>
      <x:c r="C426" s="10"/>
      <x:c r="D426" s="10"/>
      <x:c r="E426" s="10"/>
      <x:c r="F426" s="10"/>
      <x:c r="G426" s="10"/>
      <x:c r="H426" s="10"/>
    </x:row>
    <x:row r="427" ht="14.25" customHeight="1">
      <x:c r="A427" s="10"/>
      <x:c r="B427" s="10"/>
      <x:c r="C427" s="10"/>
      <x:c r="D427" s="10"/>
      <x:c r="E427" s="10"/>
      <x:c r="F427" s="10"/>
      <x:c r="G427" s="10"/>
      <x:c r="H427" s="10"/>
    </x:row>
    <x:row r="428" ht="14.25" customHeight="1">
      <x:c r="A428" s="10"/>
      <x:c r="B428" s="10"/>
      <x:c r="C428" s="10"/>
      <x:c r="D428" s="10"/>
      <x:c r="E428" s="10"/>
      <x:c r="F428" s="10"/>
      <x:c r="G428" s="10"/>
      <x:c r="H428" s="10"/>
    </x:row>
    <x:row r="429" ht="14.25" customHeight="1">
      <x:c r="A429" s="10"/>
      <x:c r="B429" s="10"/>
      <x:c r="C429" s="10"/>
      <x:c r="D429" s="10"/>
      <x:c r="E429" s="10"/>
      <x:c r="F429" s="10"/>
      <x:c r="G429" s="10"/>
      <x:c r="H429" s="10"/>
    </x:row>
    <x:row r="430" ht="14.25" customHeight="1">
      <x:c r="A430" s="10"/>
      <x:c r="B430" s="10"/>
      <x:c r="C430" s="10"/>
      <x:c r="D430" s="10"/>
      <x:c r="E430" s="10"/>
      <x:c r="F430" s="10"/>
      <x:c r="G430" s="10"/>
      <x:c r="H430" s="10"/>
    </x:row>
    <x:row r="431" ht="14.25" customHeight="1">
      <x:c r="A431" s="10"/>
      <x:c r="B431" s="10"/>
      <x:c r="C431" s="10"/>
      <x:c r="D431" s="10"/>
      <x:c r="E431" s="10"/>
      <x:c r="F431" s="10"/>
      <x:c r="G431" s="10"/>
      <x:c r="H431" s="10"/>
    </x:row>
    <x:row r="432" ht="14.25" customHeight="1">
      <x:c r="A432" s="10"/>
      <x:c r="B432" s="10"/>
      <x:c r="C432" s="10"/>
      <x:c r="D432" s="10"/>
      <x:c r="E432" s="10"/>
      <x:c r="F432" s="10"/>
      <x:c r="G432" s="10"/>
      <x:c r="H432" s="10"/>
    </x:row>
    <x:row r="433" ht="14.25" customHeight="1">
      <x:c r="A433" s="10"/>
      <x:c r="B433" s="10"/>
      <x:c r="C433" s="10"/>
      <x:c r="D433" s="10"/>
      <x:c r="E433" s="10"/>
      <x:c r="F433" s="10"/>
      <x:c r="G433" s="10"/>
      <x:c r="H433" s="10"/>
    </x:row>
    <x:row r="434" ht="14.25" customHeight="1">
      <x:c r="A434" s="10"/>
      <x:c r="B434" s="10"/>
      <x:c r="C434" s="10"/>
      <x:c r="D434" s="10"/>
      <x:c r="E434" s="10"/>
      <x:c r="F434" s="10"/>
      <x:c r="G434" s="10"/>
      <x:c r="H434" s="10"/>
    </x:row>
    <x:row r="435" ht="14.25" customHeight="1">
      <x:c r="A435" s="10"/>
      <x:c r="B435" s="10"/>
      <x:c r="C435" s="10"/>
      <x:c r="D435" s="10"/>
      <x:c r="E435" s="10"/>
      <x:c r="F435" s="10"/>
      <x:c r="G435" s="10"/>
      <x:c r="H435" s="10"/>
    </x:row>
    <x:row r="436" ht="14.25" customHeight="1">
      <x:c r="A436" s="10"/>
      <x:c r="B436" s="10"/>
      <x:c r="C436" s="10"/>
      <x:c r="D436" s="10"/>
      <x:c r="E436" s="10"/>
      <x:c r="F436" s="10"/>
      <x:c r="G436" s="10"/>
      <x:c r="H436" s="10"/>
    </x:row>
    <x:row r="437" ht="14.25" customHeight="1">
      <x:c r="A437" s="10"/>
      <x:c r="B437" s="10"/>
      <x:c r="C437" s="10"/>
      <x:c r="D437" s="10"/>
      <x:c r="E437" s="10"/>
      <x:c r="F437" s="10"/>
      <x:c r="G437" s="10"/>
      <x:c r="H437" s="10"/>
    </x:row>
    <x:row r="438" ht="14.25" customHeight="1">
      <x:c r="A438" s="10"/>
      <x:c r="B438" s="10"/>
      <x:c r="C438" s="10"/>
      <x:c r="D438" s="10"/>
      <x:c r="E438" s="10"/>
      <x:c r="F438" s="10"/>
      <x:c r="G438" s="10"/>
      <x:c r="H438" s="10"/>
    </x:row>
    <x:row r="439" ht="14.25" customHeight="1">
      <x:c r="A439" s="10"/>
      <x:c r="B439" s="10"/>
      <x:c r="C439" s="10"/>
      <x:c r="D439" s="10"/>
      <x:c r="E439" s="10"/>
      <x:c r="F439" s="10"/>
      <x:c r="G439" s="10"/>
      <x:c r="H439" s="10"/>
    </x:row>
    <x:row r="440" ht="14.25" customHeight="1">
      <x:c r="A440" s="10"/>
      <x:c r="B440" s="10"/>
      <x:c r="C440" s="10"/>
      <x:c r="D440" s="10"/>
      <x:c r="E440" s="10"/>
      <x:c r="F440" s="10"/>
      <x:c r="G440" s="10"/>
      <x:c r="H440" s="10"/>
    </x:row>
    <x:row r="441" ht="14.25" customHeight="1">
      <x:c r="A441" s="10"/>
      <x:c r="B441" s="10"/>
      <x:c r="C441" s="10"/>
      <x:c r="D441" s="10"/>
      <x:c r="E441" s="10"/>
      <x:c r="F441" s="10"/>
      <x:c r="G441" s="10"/>
      <x:c r="H441" s="10"/>
    </x:row>
    <x:row r="442" ht="14.25" customHeight="1">
      <x:c r="A442" s="10"/>
      <x:c r="B442" s="10"/>
      <x:c r="C442" s="10"/>
      <x:c r="D442" s="10"/>
      <x:c r="E442" s="10"/>
      <x:c r="F442" s="10"/>
      <x:c r="G442" s="10"/>
      <x:c r="H442" s="10"/>
    </x:row>
    <x:row r="443" ht="14.25" customHeight="1">
      <x:c r="A443" s="10"/>
      <x:c r="B443" s="10"/>
      <x:c r="C443" s="10"/>
      <x:c r="D443" s="10"/>
      <x:c r="E443" s="10"/>
      <x:c r="F443" s="10"/>
      <x:c r="G443" s="10"/>
      <x:c r="H443" s="10"/>
    </x:row>
    <x:row r="444" ht="14.25" customHeight="1">
      <x:c r="A444" s="10"/>
      <x:c r="B444" s="10"/>
      <x:c r="C444" s="10"/>
      <x:c r="D444" s="10"/>
      <x:c r="E444" s="10"/>
      <x:c r="F444" s="10"/>
      <x:c r="G444" s="10"/>
      <x:c r="H444" s="10"/>
    </x:row>
    <x:row r="445" ht="14.25" customHeight="1">
      <x:c r="A445" s="10"/>
      <x:c r="B445" s="10"/>
      <x:c r="C445" s="10"/>
      <x:c r="D445" s="10"/>
      <x:c r="E445" s="10"/>
      <x:c r="F445" s="10"/>
      <x:c r="G445" s="10"/>
      <x:c r="H445" s="10"/>
    </x:row>
    <x:row r="446" ht="14.25" customHeight="1">
      <x:c r="A446" s="10"/>
      <x:c r="B446" s="10"/>
      <x:c r="C446" s="10"/>
      <x:c r="D446" s="10"/>
      <x:c r="E446" s="10"/>
      <x:c r="F446" s="10"/>
      <x:c r="G446" s="10"/>
      <x:c r="H446" s="10"/>
    </x:row>
    <x:row r="447" ht="14.25" customHeight="1">
      <x:c r="A447" s="10"/>
      <x:c r="B447" s="10"/>
      <x:c r="C447" s="10"/>
      <x:c r="D447" s="10"/>
      <x:c r="E447" s="10"/>
      <x:c r="F447" s="10"/>
      <x:c r="G447" s="10"/>
      <x:c r="H447" s="10"/>
    </x:row>
    <x:row r="448" ht="14.25" customHeight="1">
      <x:c r="A448" s="10"/>
      <x:c r="B448" s="10"/>
      <x:c r="C448" s="10"/>
      <x:c r="D448" s="10"/>
      <x:c r="E448" s="10"/>
      <x:c r="F448" s="10"/>
      <x:c r="G448" s="10"/>
      <x:c r="H448" s="10"/>
    </x:row>
    <x:row r="449" ht="14.25" customHeight="1">
      <x:c r="A449" s="10"/>
      <x:c r="B449" s="10"/>
      <x:c r="C449" s="10"/>
      <x:c r="D449" s="10"/>
      <x:c r="E449" s="10"/>
      <x:c r="F449" s="10"/>
      <x:c r="G449" s="10"/>
      <x:c r="H449" s="10"/>
    </x:row>
    <x:row r="450" ht="14.25" customHeight="1">
      <x:c r="A450" s="10"/>
      <x:c r="B450" s="10"/>
      <x:c r="C450" s="10"/>
      <x:c r="D450" s="10"/>
      <x:c r="E450" s="10"/>
      <x:c r="F450" s="10"/>
      <x:c r="G450" s="10"/>
      <x:c r="H450" s="10"/>
    </x:row>
    <x:row r="451" ht="14.25" customHeight="1">
      <x:c r="A451" s="10"/>
      <x:c r="B451" s="10"/>
      <x:c r="C451" s="10"/>
      <x:c r="D451" s="10"/>
      <x:c r="E451" s="10"/>
      <x:c r="F451" s="10"/>
      <x:c r="G451" s="10"/>
      <x:c r="H451" s="10"/>
    </x:row>
    <x:row r="452" ht="14.25" customHeight="1">
      <x:c r="A452" s="10"/>
      <x:c r="B452" s="10"/>
      <x:c r="C452" s="10"/>
      <x:c r="D452" s="10"/>
      <x:c r="E452" s="10"/>
      <x:c r="F452" s="10"/>
      <x:c r="G452" s="10"/>
      <x:c r="H452" s="10"/>
    </x:row>
    <x:row r="453" ht="14.25" customHeight="1">
      <x:c r="A453" s="10"/>
      <x:c r="B453" s="10"/>
      <x:c r="C453" s="10"/>
      <x:c r="D453" s="10"/>
      <x:c r="E453" s="10"/>
      <x:c r="F453" s="10"/>
      <x:c r="G453" s="10"/>
      <x:c r="H453" s="10"/>
    </x:row>
    <x:row r="454" ht="14.25" customHeight="1">
      <x:c r="A454" s="10"/>
      <x:c r="B454" s="10"/>
      <x:c r="C454" s="10"/>
      <x:c r="D454" s="10"/>
      <x:c r="E454" s="10"/>
      <x:c r="F454" s="10"/>
      <x:c r="G454" s="10"/>
      <x:c r="H454" s="10"/>
    </x:row>
    <x:row r="455" ht="14.25" customHeight="1">
      <x:c r="A455" s="10"/>
      <x:c r="B455" s="10"/>
      <x:c r="C455" s="10"/>
      <x:c r="D455" s="10"/>
      <x:c r="E455" s="10"/>
      <x:c r="F455" s="10"/>
      <x:c r="G455" s="10"/>
      <x:c r="H455" s="10"/>
    </x:row>
    <x:row r="456" ht="14.25" customHeight="1">
      <x:c r="A456" s="10"/>
      <x:c r="B456" s="10"/>
      <x:c r="C456" s="10"/>
      <x:c r="D456" s="10"/>
      <x:c r="E456" s="10"/>
      <x:c r="F456" s="10"/>
      <x:c r="G456" s="10"/>
      <x:c r="H456" s="10"/>
    </x:row>
    <x:row r="457" ht="14.25" customHeight="1">
      <x:c r="A457" s="10"/>
      <x:c r="B457" s="10"/>
      <x:c r="C457" s="10"/>
      <x:c r="D457" s="10"/>
      <x:c r="E457" s="10"/>
      <x:c r="F457" s="10"/>
      <x:c r="G457" s="10"/>
      <x:c r="H457" s="10"/>
    </x:row>
    <x:row r="458" ht="14.25" customHeight="1">
      <x:c r="A458" s="10"/>
      <x:c r="B458" s="10"/>
      <x:c r="C458" s="10"/>
      <x:c r="D458" s="10"/>
      <x:c r="E458" s="10"/>
      <x:c r="F458" s="10"/>
      <x:c r="G458" s="10"/>
      <x:c r="H458" s="10"/>
    </x:row>
    <x:row r="459" ht="14.25" customHeight="1">
      <x:c r="A459" s="10"/>
      <x:c r="B459" s="10"/>
      <x:c r="C459" s="10"/>
      <x:c r="D459" s="10"/>
      <x:c r="E459" s="10"/>
      <x:c r="F459" s="10"/>
      <x:c r="G459" s="10"/>
      <x:c r="H459" s="10"/>
    </x:row>
    <x:row r="460" ht="14.25" customHeight="1">
      <x:c r="A460" s="10"/>
      <x:c r="B460" s="10"/>
      <x:c r="C460" s="10"/>
      <x:c r="D460" s="10"/>
      <x:c r="E460" s="10"/>
      <x:c r="F460" s="10"/>
      <x:c r="G460" s="10"/>
      <x:c r="H460" s="10"/>
    </x:row>
    <x:row r="461" ht="14.25" customHeight="1">
      <x:c r="A461" s="10"/>
      <x:c r="B461" s="10"/>
      <x:c r="C461" s="10"/>
      <x:c r="D461" s="10"/>
      <x:c r="E461" s="10"/>
      <x:c r="F461" s="10"/>
      <x:c r="G461" s="10"/>
      <x:c r="H461" s="10"/>
    </x:row>
    <x:row r="462" ht="14.25" customHeight="1">
      <x:c r="A462" s="10"/>
      <x:c r="B462" s="10"/>
      <x:c r="C462" s="10"/>
      <x:c r="D462" s="10"/>
      <x:c r="E462" s="10"/>
      <x:c r="F462" s="10"/>
      <x:c r="G462" s="10"/>
      <x:c r="H462" s="10"/>
    </x:row>
    <x:row r="463" ht="14.25" customHeight="1">
      <x:c r="A463" s="10"/>
      <x:c r="B463" s="10"/>
      <x:c r="C463" s="10"/>
      <x:c r="D463" s="10"/>
      <x:c r="E463" s="10"/>
      <x:c r="F463" s="10"/>
      <x:c r="G463" s="10"/>
      <x:c r="H463" s="10"/>
    </x:row>
    <x:row r="464" ht="14.25" customHeight="1">
      <x:c r="A464" s="10"/>
      <x:c r="B464" s="10"/>
      <x:c r="C464" s="10"/>
      <x:c r="D464" s="10"/>
      <x:c r="E464" s="10"/>
      <x:c r="F464" s="10"/>
      <x:c r="G464" s="10"/>
      <x:c r="H464" s="10"/>
    </x:row>
    <x:row r="465" ht="14.25" customHeight="1">
      <x:c r="A465" s="10"/>
      <x:c r="B465" s="10"/>
      <x:c r="C465" s="10"/>
      <x:c r="D465" s="10"/>
      <x:c r="E465" s="10"/>
      <x:c r="F465" s="10"/>
      <x:c r="G465" s="10"/>
      <x:c r="H465" s="10"/>
    </x:row>
    <x:row r="466" ht="14.25" customHeight="1">
      <x:c r="A466" s="10"/>
      <x:c r="B466" s="10"/>
      <x:c r="C466" s="10"/>
      <x:c r="D466" s="10"/>
      <x:c r="E466" s="10"/>
      <x:c r="F466" s="10"/>
      <x:c r="G466" s="10"/>
      <x:c r="H466" s="10"/>
    </x:row>
    <x:row r="467" ht="14.25" customHeight="1">
      <x:c r="A467" s="10"/>
      <x:c r="B467" s="10"/>
      <x:c r="C467" s="10"/>
      <x:c r="D467" s="10"/>
      <x:c r="E467" s="10"/>
      <x:c r="F467" s="10"/>
      <x:c r="G467" s="10"/>
      <x:c r="H467" s="10"/>
    </x:row>
    <x:row r="468" ht="14.25" customHeight="1">
      <x:c r="A468" s="10"/>
      <x:c r="B468" s="10"/>
      <x:c r="C468" s="10"/>
      <x:c r="D468" s="10"/>
      <x:c r="E468" s="10"/>
      <x:c r="F468" s="10"/>
      <x:c r="G468" s="10"/>
      <x:c r="H468" s="10"/>
    </x:row>
    <x:row r="469" ht="14.25" customHeight="1">
      <x:c r="A469" s="10"/>
      <x:c r="B469" s="10"/>
      <x:c r="C469" s="10"/>
      <x:c r="D469" s="10"/>
      <x:c r="E469" s="10"/>
      <x:c r="F469" s="10"/>
      <x:c r="G469" s="10"/>
      <x:c r="H469" s="10"/>
    </x:row>
    <x:row r="470" ht="14.25" customHeight="1">
      <x:c r="A470" s="10"/>
      <x:c r="B470" s="10"/>
      <x:c r="C470" s="10"/>
      <x:c r="D470" s="10"/>
      <x:c r="E470" s="10"/>
      <x:c r="F470" s="10"/>
      <x:c r="G470" s="10"/>
      <x:c r="H470" s="10"/>
    </x:row>
    <x:row r="471" ht="14.25" customHeight="1">
      <x:c r="A471" s="10"/>
      <x:c r="B471" s="10"/>
      <x:c r="C471" s="10"/>
      <x:c r="D471" s="10"/>
      <x:c r="E471" s="10"/>
      <x:c r="F471" s="10"/>
      <x:c r="G471" s="10"/>
      <x:c r="H471" s="10"/>
    </x:row>
    <x:row r="472" ht="14.25" customHeight="1">
      <x:c r="A472" s="10"/>
      <x:c r="B472" s="10"/>
      <x:c r="C472" s="10"/>
      <x:c r="D472" s="10"/>
      <x:c r="E472" s="10"/>
      <x:c r="F472" s="10"/>
      <x:c r="G472" s="10"/>
      <x:c r="H472" s="10"/>
    </x:row>
    <x:row r="473" ht="14.25" customHeight="1">
      <x:c r="A473" s="10"/>
      <x:c r="B473" s="10"/>
      <x:c r="C473" s="10"/>
      <x:c r="D473" s="10"/>
      <x:c r="E473" s="10"/>
      <x:c r="F473" s="10"/>
      <x:c r="G473" s="10"/>
      <x:c r="H473" s="10"/>
    </x:row>
    <x:row r="474" ht="14.25" customHeight="1">
      <x:c r="A474" s="10"/>
      <x:c r="B474" s="10"/>
      <x:c r="C474" s="10"/>
      <x:c r="D474" s="10"/>
      <x:c r="E474" s="10"/>
      <x:c r="F474" s="10"/>
      <x:c r="G474" s="10"/>
      <x:c r="H474" s="10"/>
    </x:row>
    <x:row r="475" ht="14.25" customHeight="1">
      <x:c r="A475" s="10"/>
      <x:c r="B475" s="10"/>
      <x:c r="C475" s="10"/>
      <x:c r="D475" s="10"/>
      <x:c r="E475" s="10"/>
      <x:c r="F475" s="10"/>
      <x:c r="G475" s="10"/>
      <x:c r="H475" s="10"/>
    </x:row>
    <x:row r="476" ht="14.25" customHeight="1">
      <x:c r="A476" s="10"/>
      <x:c r="B476" s="10"/>
      <x:c r="C476" s="10"/>
      <x:c r="D476" s="10"/>
      <x:c r="E476" s="10"/>
      <x:c r="F476" s="10"/>
      <x:c r="G476" s="10"/>
      <x:c r="H476" s="10"/>
    </x:row>
    <x:row r="477" ht="14.25" customHeight="1">
      <x:c r="A477" s="10"/>
      <x:c r="B477" s="10"/>
      <x:c r="C477" s="10"/>
      <x:c r="D477" s="10"/>
      <x:c r="E477" s="10"/>
      <x:c r="F477" s="10"/>
      <x:c r="G477" s="10"/>
      <x:c r="H477" s="10"/>
    </x:row>
    <x:row r="478" ht="14.25" customHeight="1">
      <x:c r="A478" s="10"/>
      <x:c r="B478" s="10"/>
      <x:c r="C478" s="10"/>
      <x:c r="D478" s="10"/>
      <x:c r="E478" s="10"/>
      <x:c r="F478" s="10"/>
      <x:c r="G478" s="10"/>
      <x:c r="H478" s="10"/>
    </x:row>
    <x:row r="479" ht="14.25" customHeight="1">
      <x:c r="A479" s="10"/>
      <x:c r="B479" s="10"/>
      <x:c r="C479" s="10"/>
      <x:c r="D479" s="10"/>
      <x:c r="E479" s="10"/>
      <x:c r="F479" s="10"/>
      <x:c r="G479" s="10"/>
      <x:c r="H479" s="10"/>
    </x:row>
    <x:row r="480" ht="14.25" customHeight="1">
      <x:c r="A480" s="10"/>
      <x:c r="B480" s="10"/>
      <x:c r="C480" s="10"/>
      <x:c r="D480" s="10"/>
      <x:c r="E480" s="10"/>
      <x:c r="F480" s="10"/>
      <x:c r="G480" s="10"/>
      <x:c r="H480" s="10"/>
    </x:row>
    <x:row r="481" ht="14.25" customHeight="1">
      <x:c r="A481" s="10"/>
      <x:c r="B481" s="10"/>
      <x:c r="C481" s="10"/>
      <x:c r="D481" s="10"/>
      <x:c r="E481" s="10"/>
      <x:c r="F481" s="10"/>
      <x:c r="G481" s="10"/>
      <x:c r="H481" s="10"/>
    </x:row>
    <x:row r="482" ht="14.25" customHeight="1">
      <x:c r="A482" s="10"/>
      <x:c r="B482" s="10"/>
      <x:c r="C482" s="10"/>
      <x:c r="D482" s="10"/>
      <x:c r="E482" s="10"/>
      <x:c r="F482" s="10"/>
      <x:c r="G482" s="10"/>
      <x:c r="H482" s="10"/>
    </x:row>
    <x:row r="483" ht="14.25" customHeight="1">
      <x:c r="A483" s="10"/>
      <x:c r="B483" s="10"/>
      <x:c r="C483" s="10"/>
      <x:c r="D483" s="10"/>
      <x:c r="E483" s="10"/>
      <x:c r="F483" s="10"/>
      <x:c r="G483" s="10"/>
      <x:c r="H483" s="10"/>
    </x:row>
    <x:row r="484" ht="14.25" customHeight="1">
      <x:c r="A484" s="10"/>
      <x:c r="B484" s="10"/>
      <x:c r="C484" s="10"/>
      <x:c r="D484" s="10"/>
      <x:c r="E484" s="10"/>
      <x:c r="F484" s="10"/>
      <x:c r="G484" s="10"/>
      <x:c r="H484" s="10"/>
    </x:row>
    <x:row r="485" ht="14.25" customHeight="1">
      <x:c r="A485" s="10"/>
      <x:c r="B485" s="10"/>
      <x:c r="C485" s="10"/>
      <x:c r="D485" s="10"/>
      <x:c r="E485" s="10"/>
      <x:c r="F485" s="10"/>
      <x:c r="G485" s="10"/>
      <x:c r="H485" s="10"/>
    </x:row>
    <x:row r="486" ht="14.25" customHeight="1">
      <x:c r="A486" s="10"/>
      <x:c r="B486" s="10"/>
      <x:c r="C486" s="10"/>
      <x:c r="D486" s="10"/>
      <x:c r="E486" s="10"/>
      <x:c r="F486" s="10"/>
      <x:c r="G486" s="10"/>
      <x:c r="H486" s="10"/>
    </x:row>
    <x:row r="487" ht="14.25" customHeight="1">
      <x:c r="A487" s="10"/>
      <x:c r="B487" s="10"/>
      <x:c r="C487" s="10"/>
      <x:c r="D487" s="10"/>
      <x:c r="E487" s="10"/>
      <x:c r="F487" s="10"/>
      <x:c r="G487" s="10"/>
      <x:c r="H487" s="10"/>
    </x:row>
    <x:row r="488" ht="14.25" customHeight="1">
      <x:c r="A488" s="10"/>
      <x:c r="B488" s="10"/>
      <x:c r="C488" s="10"/>
      <x:c r="D488" s="10"/>
      <x:c r="E488" s="10"/>
      <x:c r="F488" s="10"/>
      <x:c r="G488" s="10"/>
      <x:c r="H488" s="10"/>
    </x:row>
    <x:row r="489" ht="14.25" customHeight="1">
      <x:c r="A489" s="10"/>
      <x:c r="B489" s="10"/>
      <x:c r="C489" s="10"/>
      <x:c r="D489" s="10"/>
      <x:c r="E489" s="10"/>
      <x:c r="F489" s="10"/>
      <x:c r="G489" s="10"/>
      <x:c r="H489" s="10"/>
    </x:row>
    <x:row r="490" ht="14.25" customHeight="1">
      <x:c r="A490" s="10"/>
      <x:c r="B490" s="10"/>
      <x:c r="C490" s="10"/>
      <x:c r="D490" s="10"/>
      <x:c r="E490" s="10"/>
      <x:c r="F490" s="10"/>
      <x:c r="G490" s="10"/>
      <x:c r="H490" s="10"/>
    </x:row>
    <x:row r="491" ht="14.25" customHeight="1">
      <x:c r="A491" s="10"/>
      <x:c r="B491" s="10"/>
      <x:c r="C491" s="10"/>
      <x:c r="D491" s="10"/>
      <x:c r="E491" s="10"/>
      <x:c r="F491" s="10"/>
      <x:c r="G491" s="10"/>
      <x:c r="H491" s="10"/>
    </x:row>
    <x:row r="492" ht="14.25" customHeight="1">
      <x:c r="A492" s="10"/>
      <x:c r="B492" s="10"/>
      <x:c r="C492" s="10"/>
      <x:c r="D492" s="10"/>
      <x:c r="E492" s="10"/>
      <x:c r="F492" s="10"/>
      <x:c r="G492" s="10"/>
      <x:c r="H492" s="10"/>
    </x:row>
    <x:row r="493" ht="14.25" customHeight="1">
      <x:c r="A493" s="10"/>
      <x:c r="B493" s="10"/>
      <x:c r="C493" s="10"/>
      <x:c r="D493" s="10"/>
      <x:c r="E493" s="10"/>
      <x:c r="F493" s="10"/>
      <x:c r="G493" s="10"/>
      <x:c r="H493" s="10"/>
    </x:row>
    <x:row r="494" ht="14.25" customHeight="1">
      <x:c r="A494" s="10"/>
      <x:c r="B494" s="10"/>
      <x:c r="C494" s="10"/>
      <x:c r="D494" s="10"/>
      <x:c r="E494" s="10"/>
      <x:c r="F494" s="10"/>
      <x:c r="G494" s="10"/>
      <x:c r="H494" s="10"/>
    </x:row>
    <x:row r="495" ht="14.25" customHeight="1">
      <x:c r="A495" s="10"/>
      <x:c r="B495" s="10"/>
      <x:c r="C495" s="10"/>
      <x:c r="D495" s="10"/>
      <x:c r="E495" s="10"/>
      <x:c r="F495" s="10"/>
      <x:c r="G495" s="10"/>
      <x:c r="H495" s="10"/>
    </x:row>
    <x:row r="496" ht="14.25" customHeight="1">
      <x:c r="A496" s="10"/>
      <x:c r="B496" s="10"/>
      <x:c r="C496" s="10"/>
      <x:c r="D496" s="10"/>
      <x:c r="E496" s="10"/>
      <x:c r="F496" s="10"/>
      <x:c r="G496" s="10"/>
      <x:c r="H496" s="10"/>
    </x:row>
    <x:row r="497" ht="14.25" customHeight="1">
      <x:c r="A497" s="10"/>
      <x:c r="B497" s="10"/>
      <x:c r="C497" s="10"/>
      <x:c r="D497" s="10"/>
      <x:c r="E497" s="10"/>
      <x:c r="F497" s="10"/>
      <x:c r="G497" s="10"/>
      <x:c r="H497" s="10"/>
    </x:row>
    <x:row r="498" ht="14.25" customHeight="1">
      <x:c r="A498" s="10"/>
      <x:c r="B498" s="10"/>
      <x:c r="C498" s="10"/>
      <x:c r="D498" s="10"/>
      <x:c r="E498" s="10"/>
      <x:c r="F498" s="10"/>
      <x:c r="G498" s="10"/>
      <x:c r="H498" s="10"/>
    </x:row>
    <x:row r="499" ht="14.25" customHeight="1">
      <x:c r="A499" s="10"/>
      <x:c r="B499" s="10"/>
      <x:c r="C499" s="10"/>
      <x:c r="D499" s="10"/>
      <x:c r="E499" s="10"/>
      <x:c r="F499" s="10"/>
      <x:c r="G499" s="10"/>
      <x:c r="H499" s="10"/>
    </x:row>
    <x:row r="500" ht="14.25" customHeight="1">
      <x:c r="A500" s="10"/>
      <x:c r="B500" s="10"/>
      <x:c r="C500" s="10"/>
      <x:c r="D500" s="10"/>
      <x:c r="E500" s="10"/>
      <x:c r="F500" s="10"/>
      <x:c r="G500" s="10"/>
      <x:c r="H500" s="10"/>
    </x:row>
    <x:row r="501" ht="14.25" customHeight="1">
      <x:c r="A501" s="10"/>
      <x:c r="B501" s="10"/>
      <x:c r="C501" s="10"/>
      <x:c r="D501" s="10"/>
      <x:c r="E501" s="10"/>
      <x:c r="F501" s="10"/>
      <x:c r="G501" s="10"/>
      <x:c r="H501" s="10"/>
    </x:row>
    <x:row r="502" ht="14.25" customHeight="1">
      <x:c r="A502" s="10"/>
      <x:c r="B502" s="10"/>
      <x:c r="C502" s="10"/>
      <x:c r="D502" s="10"/>
      <x:c r="E502" s="10"/>
      <x:c r="F502" s="10"/>
      <x:c r="G502" s="10"/>
      <x:c r="H502" s="10"/>
    </x:row>
    <x:row r="503" ht="14.25" customHeight="1">
      <x:c r="A503" s="10"/>
      <x:c r="B503" s="10"/>
      <x:c r="C503" s="10"/>
      <x:c r="D503" s="10"/>
      <x:c r="E503" s="10"/>
      <x:c r="F503" s="10"/>
      <x:c r="G503" s="10"/>
      <x:c r="H503" s="10"/>
    </x:row>
    <x:row r="504" ht="14.25" customHeight="1">
      <x:c r="A504" s="10"/>
      <x:c r="B504" s="10"/>
      <x:c r="C504" s="10"/>
      <x:c r="D504" s="10"/>
      <x:c r="E504" s="10"/>
      <x:c r="F504" s="10"/>
      <x:c r="G504" s="10"/>
      <x:c r="H504" s="10"/>
    </x:row>
    <x:row r="505" ht="14.25" customHeight="1">
      <x:c r="A505" s="10"/>
      <x:c r="B505" s="10"/>
      <x:c r="C505" s="10"/>
      <x:c r="D505" s="10"/>
      <x:c r="E505" s="10"/>
      <x:c r="F505" s="10"/>
      <x:c r="G505" s="10"/>
      <x:c r="H505" s="10"/>
    </x:row>
    <x:row r="506" ht="14.25" customHeight="1">
      <x:c r="A506" s="10"/>
      <x:c r="B506" s="10"/>
      <x:c r="C506" s="10"/>
      <x:c r="D506" s="10"/>
      <x:c r="E506" s="10"/>
      <x:c r="F506" s="10"/>
      <x:c r="G506" s="10"/>
      <x:c r="H506" s="10"/>
    </x:row>
    <x:row r="507" ht="14.25" customHeight="1">
      <x:c r="A507" s="10"/>
      <x:c r="B507" s="10"/>
      <x:c r="C507" s="10"/>
      <x:c r="D507" s="10"/>
      <x:c r="E507" s="10"/>
      <x:c r="F507" s="10"/>
      <x:c r="G507" s="10"/>
      <x:c r="H507" s="10"/>
    </x:row>
    <x:row r="508" ht="14.25" customHeight="1">
      <x:c r="A508" s="10"/>
      <x:c r="B508" s="10"/>
      <x:c r="C508" s="10"/>
      <x:c r="D508" s="10"/>
      <x:c r="E508" s="10"/>
      <x:c r="F508" s="10"/>
      <x:c r="G508" s="10"/>
      <x:c r="H508" s="10"/>
    </x:row>
    <x:row r="509" ht="14.25" customHeight="1">
      <x:c r="A509" s="10"/>
      <x:c r="B509" s="10"/>
      <x:c r="C509" s="10"/>
      <x:c r="D509" s="10"/>
      <x:c r="E509" s="10"/>
      <x:c r="F509" s="10"/>
      <x:c r="G509" s="10"/>
      <x:c r="H509" s="10"/>
    </x:row>
    <x:row r="510" ht="14.25" customHeight="1">
      <x:c r="A510" s="10"/>
      <x:c r="B510" s="10"/>
      <x:c r="C510" s="10"/>
      <x:c r="D510" s="10"/>
      <x:c r="E510" s="10"/>
      <x:c r="F510" s="10"/>
      <x:c r="G510" s="10"/>
      <x:c r="H510" s="10"/>
    </x:row>
    <x:row r="511" ht="14.25" customHeight="1">
      <x:c r="A511" s="10"/>
      <x:c r="B511" s="10"/>
      <x:c r="C511" s="10"/>
      <x:c r="D511" s="10"/>
      <x:c r="E511" s="10"/>
      <x:c r="F511" s="10"/>
      <x:c r="G511" s="10"/>
      <x:c r="H511" s="10"/>
    </x:row>
    <x:row r="512" ht="14.25" customHeight="1">
      <x:c r="A512" s="10"/>
      <x:c r="B512" s="10"/>
      <x:c r="C512" s="10"/>
      <x:c r="D512" s="10"/>
      <x:c r="E512" s="10"/>
      <x:c r="F512" s="10"/>
      <x:c r="G512" s="10"/>
      <x:c r="H512" s="10"/>
    </x:row>
    <x:row r="513" ht="14.25" customHeight="1">
      <x:c r="A513" s="10"/>
      <x:c r="B513" s="10"/>
      <x:c r="C513" s="10"/>
      <x:c r="D513" s="10"/>
      <x:c r="E513" s="10"/>
      <x:c r="F513" s="10"/>
      <x:c r="G513" s="10"/>
      <x:c r="H513" s="10"/>
    </x:row>
    <x:row r="514" ht="14.25" customHeight="1">
      <x:c r="A514" s="10"/>
      <x:c r="B514" s="10"/>
      <x:c r="C514" s="10"/>
      <x:c r="D514" s="10"/>
      <x:c r="E514" s="10"/>
      <x:c r="F514" s="10"/>
      <x:c r="G514" s="10"/>
      <x:c r="H514" s="10"/>
    </x:row>
    <x:row r="515" ht="14.25" customHeight="1">
      <x:c r="A515" s="10"/>
      <x:c r="B515" s="10"/>
      <x:c r="C515" s="10"/>
      <x:c r="D515" s="10"/>
      <x:c r="E515" s="10"/>
      <x:c r="F515" s="10"/>
      <x:c r="G515" s="10"/>
      <x:c r="H515" s="10"/>
    </x:row>
    <x:row r="516" ht="14.25" customHeight="1">
      <x:c r="A516" s="10"/>
      <x:c r="B516" s="10"/>
      <x:c r="C516" s="10"/>
      <x:c r="D516" s="10"/>
      <x:c r="E516" s="10"/>
      <x:c r="F516" s="10"/>
      <x:c r="G516" s="10"/>
      <x:c r="H516" s="10"/>
    </x:row>
    <x:row r="517" ht="14.25" customHeight="1">
      <x:c r="A517" s="10"/>
      <x:c r="B517" s="10"/>
      <x:c r="C517" s="10"/>
      <x:c r="D517" s="10"/>
      <x:c r="E517" s="10"/>
      <x:c r="F517" s="10"/>
      <x:c r="G517" s="10"/>
      <x:c r="H517" s="10"/>
    </x:row>
    <x:row r="518" ht="14.25" customHeight="1">
      <x:c r="A518" s="10"/>
      <x:c r="B518" s="10"/>
      <x:c r="C518" s="10"/>
      <x:c r="D518" s="10"/>
      <x:c r="E518" s="10"/>
      <x:c r="F518" s="10"/>
      <x:c r="G518" s="10"/>
      <x:c r="H518" s="10"/>
    </x:row>
    <x:row r="519" ht="14.25" customHeight="1">
      <x:c r="A519" s="10"/>
      <x:c r="B519" s="10"/>
      <x:c r="C519" s="10"/>
      <x:c r="D519" s="10"/>
      <x:c r="E519" s="10"/>
      <x:c r="F519" s="10"/>
      <x:c r="G519" s="10"/>
      <x:c r="H519" s="10"/>
    </x:row>
    <x:row r="520" ht="14.25" customHeight="1">
      <x:c r="A520" s="10"/>
      <x:c r="B520" s="10"/>
      <x:c r="C520" s="10"/>
      <x:c r="D520" s="10"/>
      <x:c r="E520" s="10"/>
      <x:c r="F520" s="10"/>
      <x:c r="G520" s="10"/>
      <x:c r="H520" s="10"/>
    </x:row>
    <x:row r="521" ht="14.25" customHeight="1">
      <x:c r="A521" s="10"/>
      <x:c r="B521" s="10"/>
      <x:c r="C521" s="10"/>
      <x:c r="D521" s="10"/>
      <x:c r="E521" s="10"/>
      <x:c r="F521" s="10"/>
      <x:c r="G521" s="10"/>
      <x:c r="H521" s="10"/>
    </x:row>
    <x:row r="522" ht="14.25" customHeight="1">
      <x:c r="A522" s="10"/>
      <x:c r="B522" s="10"/>
      <x:c r="C522" s="10"/>
      <x:c r="D522" s="10"/>
      <x:c r="E522" s="10"/>
      <x:c r="F522" s="10"/>
      <x:c r="G522" s="10"/>
      <x:c r="H522" s="10"/>
    </x:row>
    <x:row r="523" ht="14.25" customHeight="1">
      <x:c r="A523" s="10"/>
      <x:c r="B523" s="10"/>
      <x:c r="C523" s="10"/>
      <x:c r="D523" s="10"/>
      <x:c r="E523" s="10"/>
      <x:c r="F523" s="10"/>
      <x:c r="G523" s="10"/>
      <x:c r="H523" s="10"/>
    </x:row>
    <x:row r="524" ht="14.25" customHeight="1">
      <x:c r="A524" s="10"/>
      <x:c r="B524" s="10"/>
      <x:c r="C524" s="10"/>
      <x:c r="D524" s="10"/>
      <x:c r="E524" s="10"/>
      <x:c r="F524" s="10"/>
      <x:c r="G524" s="10"/>
      <x:c r="H524" s="10"/>
    </x:row>
    <x:row r="525" ht="14.25" customHeight="1">
      <x:c r="A525" s="10"/>
      <x:c r="B525" s="10"/>
      <x:c r="C525" s="10"/>
      <x:c r="D525" s="10"/>
      <x:c r="E525" s="10"/>
      <x:c r="F525" s="10"/>
      <x:c r="G525" s="10"/>
      <x:c r="H525" s="10"/>
    </x:row>
    <x:row r="526" ht="14.25" customHeight="1">
      <x:c r="A526" s="10"/>
      <x:c r="B526" s="10"/>
      <x:c r="C526" s="10"/>
      <x:c r="D526" s="10"/>
      <x:c r="E526" s="10"/>
      <x:c r="F526" s="10"/>
      <x:c r="G526" s="10"/>
      <x:c r="H526" s="10"/>
    </x:row>
    <x:row r="527" ht="14.25" customHeight="1">
      <x:c r="A527" s="10"/>
      <x:c r="B527" s="10"/>
      <x:c r="C527" s="10"/>
      <x:c r="D527" s="10"/>
      <x:c r="E527" s="10"/>
      <x:c r="F527" s="10"/>
      <x:c r="G527" s="10"/>
      <x:c r="H527" s="10"/>
    </x:row>
    <x:row r="528" ht="14.25" customHeight="1">
      <x:c r="A528" s="10"/>
      <x:c r="B528" s="10"/>
      <x:c r="C528" s="10"/>
      <x:c r="D528" s="10"/>
      <x:c r="E528" s="10"/>
      <x:c r="F528" s="10"/>
      <x:c r="G528" s="10"/>
      <x:c r="H528" s="10"/>
    </x:row>
    <x:row r="529" ht="14.25" customHeight="1">
      <x:c r="A529" s="10"/>
      <x:c r="B529" s="10"/>
      <x:c r="C529" s="10"/>
      <x:c r="D529" s="10"/>
      <x:c r="E529" s="10"/>
      <x:c r="F529" s="10"/>
      <x:c r="G529" s="10"/>
      <x:c r="H529" s="10"/>
    </x:row>
    <x:row r="530" ht="14.25" customHeight="1">
      <x:c r="A530" s="10"/>
      <x:c r="B530" s="10"/>
      <x:c r="C530" s="10"/>
      <x:c r="D530" s="10"/>
      <x:c r="E530" s="10"/>
      <x:c r="F530" s="10"/>
      <x:c r="G530" s="10"/>
      <x:c r="H530" s="10"/>
    </x:row>
    <x:row r="531" ht="14.25" customHeight="1">
      <x:c r="A531" s="10"/>
      <x:c r="B531" s="10"/>
      <x:c r="C531" s="10"/>
      <x:c r="D531" s="10"/>
      <x:c r="E531" s="10"/>
      <x:c r="F531" s="10"/>
      <x:c r="G531" s="10"/>
      <x:c r="H531" s="10"/>
    </x:row>
    <x:row r="532" ht="14.25" customHeight="1">
      <x:c r="A532" s="10"/>
      <x:c r="B532" s="10"/>
      <x:c r="C532" s="10"/>
      <x:c r="D532" s="10"/>
      <x:c r="E532" s="10"/>
      <x:c r="F532" s="10"/>
      <x:c r="G532" s="10"/>
      <x:c r="H532" s="10"/>
    </x:row>
    <x:row r="533" ht="14.25" customHeight="1">
      <x:c r="A533" s="10"/>
      <x:c r="B533" s="10"/>
      <x:c r="C533" s="10"/>
      <x:c r="D533" s="10"/>
      <x:c r="E533" s="10"/>
      <x:c r="F533" s="10"/>
      <x:c r="G533" s="10"/>
      <x:c r="H533" s="10"/>
    </x:row>
    <x:row r="534" ht="14.25" customHeight="1">
      <x:c r="A534" s="10"/>
      <x:c r="B534" s="10"/>
      <x:c r="C534" s="10"/>
      <x:c r="D534" s="10"/>
      <x:c r="E534" s="10"/>
      <x:c r="F534" s="10"/>
      <x:c r="G534" s="10"/>
      <x:c r="H534" s="10"/>
    </x:row>
    <x:row r="535" ht="14.25" customHeight="1">
      <x:c r="A535" s="10"/>
      <x:c r="B535" s="10"/>
      <x:c r="C535" s="10"/>
      <x:c r="D535" s="10"/>
      <x:c r="E535" s="10"/>
      <x:c r="F535" s="10"/>
      <x:c r="G535" s="10"/>
      <x:c r="H535" s="10"/>
    </x:row>
    <x:row r="536" ht="14.25" customHeight="1">
      <x:c r="A536" s="10"/>
      <x:c r="B536" s="10"/>
      <x:c r="C536" s="10"/>
      <x:c r="D536" s="10"/>
      <x:c r="E536" s="10"/>
      <x:c r="F536" s="10"/>
      <x:c r="G536" s="10"/>
      <x:c r="H536" s="10"/>
    </x:row>
    <x:row r="537" ht="14.25" customHeight="1">
      <x:c r="A537" s="10"/>
      <x:c r="B537" s="10"/>
      <x:c r="C537" s="10"/>
      <x:c r="D537" s="10"/>
      <x:c r="E537" s="10"/>
      <x:c r="F537" s="10"/>
      <x:c r="G537" s="10"/>
      <x:c r="H537" s="10"/>
    </x:row>
    <x:row r="538" ht="14.25" customHeight="1">
      <x:c r="A538" s="10"/>
      <x:c r="B538" s="10"/>
      <x:c r="C538" s="10"/>
      <x:c r="D538" s="10"/>
      <x:c r="E538" s="10"/>
      <x:c r="F538" s="10"/>
      <x:c r="G538" s="10"/>
      <x:c r="H538" s="10"/>
    </x:row>
    <x:row r="539" ht="14.25" customHeight="1">
      <x:c r="A539" s="10"/>
      <x:c r="B539" s="10"/>
      <x:c r="C539" s="10"/>
      <x:c r="D539" s="10"/>
      <x:c r="E539" s="10"/>
      <x:c r="F539" s="10"/>
      <x:c r="G539" s="10"/>
      <x:c r="H539" s="10"/>
    </x:row>
    <x:row r="540" ht="14.25" customHeight="1">
      <x:c r="A540" s="10"/>
      <x:c r="B540" s="10"/>
      <x:c r="C540" s="10"/>
      <x:c r="D540" s="10"/>
      <x:c r="E540" s="10"/>
      <x:c r="F540" s="10"/>
      <x:c r="G540" s="10"/>
      <x:c r="H540" s="10"/>
    </x:row>
    <x:row r="541" ht="14.25" customHeight="1">
      <x:c r="A541" s="10"/>
      <x:c r="B541" s="10"/>
      <x:c r="C541" s="10"/>
      <x:c r="D541" s="10"/>
      <x:c r="E541" s="10"/>
      <x:c r="F541" s="10"/>
      <x:c r="G541" s="10"/>
      <x:c r="H541" s="10"/>
    </x:row>
    <x:row r="542" ht="14.25" customHeight="1">
      <x:c r="A542" s="10"/>
      <x:c r="B542" s="10"/>
      <x:c r="C542" s="10"/>
      <x:c r="D542" s="10"/>
      <x:c r="E542" s="10"/>
      <x:c r="F542" s="10"/>
      <x:c r="G542" s="10"/>
      <x:c r="H542" s="10"/>
    </x:row>
    <x:row r="543" ht="14.25" customHeight="1">
      <x:c r="A543" s="10"/>
      <x:c r="B543" s="10"/>
      <x:c r="C543" s="10"/>
      <x:c r="D543" s="10"/>
      <x:c r="E543" s="10"/>
      <x:c r="F543" s="10"/>
      <x:c r="G543" s="10"/>
      <x:c r="H543" s="10"/>
    </x:row>
    <x:row r="544" ht="14.25" customHeight="1">
      <x:c r="A544" s="10"/>
      <x:c r="B544" s="10"/>
      <x:c r="C544" s="10"/>
      <x:c r="D544" s="10"/>
      <x:c r="E544" s="10"/>
      <x:c r="F544" s="10"/>
      <x:c r="G544" s="10"/>
      <x:c r="H544" s="10"/>
    </x:row>
    <x:row r="545" ht="14.25" customHeight="1">
      <x:c r="A545" s="10"/>
      <x:c r="B545" s="10"/>
      <x:c r="C545" s="10"/>
      <x:c r="D545" s="10"/>
      <x:c r="E545" s="10"/>
      <x:c r="F545" s="10"/>
      <x:c r="G545" s="10"/>
      <x:c r="H545" s="10"/>
    </x:row>
    <x:row r="546" ht="14.25" customHeight="1">
      <x:c r="A546" s="10"/>
      <x:c r="B546" s="10"/>
      <x:c r="C546" s="10"/>
      <x:c r="D546" s="10"/>
      <x:c r="E546" s="10"/>
      <x:c r="F546" s="10"/>
      <x:c r="G546" s="10"/>
      <x:c r="H546" s="10"/>
    </x:row>
    <x:row r="547" ht="14.25" customHeight="1">
      <x:c r="A547" s="10"/>
      <x:c r="B547" s="10"/>
      <x:c r="C547" s="10"/>
      <x:c r="D547" s="10"/>
      <x:c r="E547" s="10"/>
      <x:c r="F547" s="10"/>
      <x:c r="G547" s="10"/>
      <x:c r="H547" s="10"/>
    </x:row>
    <x:row r="548" ht="14.25" customHeight="1">
      <x:c r="A548" s="10"/>
      <x:c r="B548" s="10"/>
      <x:c r="C548" s="10"/>
      <x:c r="D548" s="10"/>
      <x:c r="E548" s="10"/>
      <x:c r="F548" s="10"/>
      <x:c r="G548" s="10"/>
      <x:c r="H548" s="10"/>
    </x:row>
    <x:row r="549" ht="14.25" customHeight="1">
      <x:c r="A549" s="10"/>
      <x:c r="B549" s="10"/>
      <x:c r="C549" s="10"/>
      <x:c r="D549" s="10"/>
      <x:c r="E549" s="10"/>
      <x:c r="F549" s="10"/>
      <x:c r="G549" s="10"/>
      <x:c r="H549" s="10"/>
    </x:row>
    <x:row r="550" ht="14.25" customHeight="1">
      <x:c r="A550" s="10"/>
      <x:c r="B550" s="10"/>
      <x:c r="C550" s="10"/>
      <x:c r="D550" s="10"/>
      <x:c r="E550" s="10"/>
      <x:c r="F550" s="10"/>
      <x:c r="G550" s="10"/>
      <x:c r="H550" s="10"/>
    </x:row>
    <x:row r="551" ht="14.25" customHeight="1">
      <x:c r="A551" s="10"/>
      <x:c r="B551" s="10"/>
      <x:c r="C551" s="10"/>
      <x:c r="D551" s="10"/>
      <x:c r="E551" s="10"/>
      <x:c r="F551" s="10"/>
      <x:c r="G551" s="10"/>
      <x:c r="H551" s="10"/>
    </x:row>
    <x:row r="552" ht="14.25" customHeight="1">
      <x:c r="A552" s="10"/>
      <x:c r="B552" s="10"/>
      <x:c r="C552" s="10"/>
      <x:c r="D552" s="10"/>
      <x:c r="E552" s="10"/>
      <x:c r="F552" s="10"/>
      <x:c r="G552" s="10"/>
      <x:c r="H552" s="10"/>
    </x:row>
    <x:row r="553" ht="14.25" customHeight="1">
      <x:c r="A553" s="10"/>
      <x:c r="B553" s="10"/>
      <x:c r="C553" s="10"/>
      <x:c r="D553" s="10"/>
      <x:c r="E553" s="10"/>
      <x:c r="F553" s="10"/>
      <x:c r="G553" s="10"/>
      <x:c r="H553" s="10"/>
    </x:row>
    <x:row r="554" ht="14.25" customHeight="1">
      <x:c r="A554" s="10"/>
      <x:c r="B554" s="10"/>
      <x:c r="C554" s="10"/>
      <x:c r="D554" s="10"/>
      <x:c r="E554" s="10"/>
      <x:c r="F554" s="10"/>
      <x:c r="G554" s="10"/>
      <x:c r="H554" s="10"/>
    </x:row>
    <x:row r="555" ht="14.25" customHeight="1">
      <x:c r="A555" s="10"/>
      <x:c r="B555" s="10"/>
      <x:c r="C555" s="10"/>
      <x:c r="D555" s="10"/>
      <x:c r="E555" s="10"/>
      <x:c r="F555" s="10"/>
      <x:c r="G555" s="10"/>
      <x:c r="H555" s="10"/>
    </x:row>
    <x:row r="556" ht="14.25" customHeight="1">
      <x:c r="A556" s="10"/>
      <x:c r="B556" s="10"/>
      <x:c r="C556" s="10"/>
      <x:c r="D556" s="10"/>
      <x:c r="E556" s="10"/>
      <x:c r="F556" s="10"/>
      <x:c r="G556" s="10"/>
      <x:c r="H556" s="10"/>
    </x:row>
    <x:row r="557" ht="14.25" customHeight="1">
      <x:c r="A557" s="10"/>
      <x:c r="B557" s="10"/>
      <x:c r="C557" s="10"/>
      <x:c r="D557" s="10"/>
      <x:c r="E557" s="10"/>
      <x:c r="F557" s="10"/>
      <x:c r="G557" s="10"/>
      <x:c r="H557" s="10"/>
    </x:row>
    <x:row r="558" ht="14.25" customHeight="1">
      <x:c r="A558" s="10"/>
      <x:c r="B558" s="10"/>
      <x:c r="C558" s="10"/>
      <x:c r="D558" s="10"/>
      <x:c r="E558" s="10"/>
      <x:c r="F558" s="10"/>
      <x:c r="G558" s="10"/>
      <x:c r="H558" s="10"/>
    </x:row>
    <x:row r="559" ht="14.25" customHeight="1">
      <x:c r="A559" s="10"/>
      <x:c r="B559" s="10"/>
      <x:c r="C559" s="10"/>
      <x:c r="D559" s="10"/>
      <x:c r="E559" s="10"/>
      <x:c r="F559" s="10"/>
      <x:c r="G559" s="10"/>
      <x:c r="H559" s="10"/>
    </x:row>
    <x:row r="560" ht="14.25" customHeight="1">
      <x:c r="A560" s="10"/>
      <x:c r="B560" s="10"/>
      <x:c r="C560" s="10"/>
      <x:c r="D560" s="10"/>
      <x:c r="E560" s="10"/>
      <x:c r="F560" s="10"/>
      <x:c r="G560" s="10"/>
      <x:c r="H560" s="10"/>
    </x:row>
    <x:row r="561" ht="14.25" customHeight="1">
      <x:c r="A561" s="10"/>
      <x:c r="B561" s="10"/>
      <x:c r="C561" s="10"/>
      <x:c r="D561" s="10"/>
      <x:c r="E561" s="10"/>
      <x:c r="F561" s="10"/>
      <x:c r="G561" s="10"/>
      <x:c r="H561" s="10"/>
    </x:row>
    <x:row r="562" ht="14.25" customHeight="1">
      <x:c r="A562" s="10"/>
      <x:c r="B562" s="10"/>
      <x:c r="C562" s="10"/>
      <x:c r="D562" s="10"/>
      <x:c r="E562" s="10"/>
      <x:c r="F562" s="10"/>
      <x:c r="G562" s="10"/>
      <x:c r="H562" s="10"/>
    </x:row>
    <x:row r="563" ht="14.25" customHeight="1">
      <x:c r="A563" s="10"/>
      <x:c r="B563" s="10"/>
      <x:c r="C563" s="10"/>
      <x:c r="D563" s="10"/>
      <x:c r="E563" s="10"/>
      <x:c r="F563" s="10"/>
      <x:c r="G563" s="10"/>
      <x:c r="H563" s="10"/>
    </x:row>
    <x:row r="564" ht="14.25" customHeight="1">
      <x:c r="A564" s="10"/>
      <x:c r="B564" s="10"/>
      <x:c r="C564" s="10"/>
      <x:c r="D564" s="10"/>
      <x:c r="E564" s="10"/>
      <x:c r="F564" s="10"/>
      <x:c r="G564" s="10"/>
      <x:c r="H564" s="10"/>
    </x:row>
    <x:row r="565" ht="14.25" customHeight="1">
      <x:c r="A565" s="10"/>
      <x:c r="B565" s="10"/>
      <x:c r="C565" s="10"/>
      <x:c r="D565" s="10"/>
      <x:c r="E565" s="10"/>
      <x:c r="F565" s="10"/>
      <x:c r="G565" s="10"/>
      <x:c r="H565" s="10"/>
    </x:row>
    <x:row r="566" ht="14.25" customHeight="1">
      <x:c r="A566" s="10"/>
      <x:c r="B566" s="10"/>
      <x:c r="C566" s="10"/>
      <x:c r="D566" s="10"/>
      <x:c r="E566" s="10"/>
      <x:c r="F566" s="10"/>
      <x:c r="G566" s="10"/>
      <x:c r="H566" s="10"/>
    </x:row>
    <x:row r="567" ht="14.25" customHeight="1">
      <x:c r="A567" s="10"/>
      <x:c r="B567" s="10"/>
      <x:c r="C567" s="10"/>
      <x:c r="D567" s="10"/>
      <x:c r="E567" s="10"/>
      <x:c r="F567" s="10"/>
      <x:c r="G567" s="10"/>
      <x:c r="H567" s="10"/>
    </x:row>
    <x:row r="568" ht="14.25" customHeight="1">
      <x:c r="A568" s="10"/>
      <x:c r="B568" s="10"/>
      <x:c r="C568" s="10"/>
      <x:c r="D568" s="10"/>
      <x:c r="E568" s="10"/>
      <x:c r="F568" s="10"/>
      <x:c r="G568" s="10"/>
      <x:c r="H568" s="10"/>
    </x:row>
    <x:row r="569" ht="14.25" customHeight="1">
      <x:c r="A569" s="10"/>
      <x:c r="B569" s="10"/>
      <x:c r="C569" s="10"/>
      <x:c r="D569" s="10"/>
      <x:c r="E569" s="10"/>
      <x:c r="F569" s="10"/>
      <x:c r="G569" s="10"/>
      <x:c r="H569" s="10"/>
    </x:row>
    <x:row r="570" ht="14.25" customHeight="1">
      <x:c r="A570" s="10"/>
      <x:c r="B570" s="10"/>
      <x:c r="C570" s="10"/>
      <x:c r="D570" s="10"/>
      <x:c r="E570" s="10"/>
      <x:c r="F570" s="10"/>
      <x:c r="G570" s="10"/>
      <x:c r="H570" s="10"/>
    </x:row>
    <x:row r="571" ht="14.25" customHeight="1">
      <x:c r="A571" s="10"/>
      <x:c r="B571" s="10"/>
      <x:c r="C571" s="10"/>
      <x:c r="D571" s="10"/>
      <x:c r="E571" s="10"/>
      <x:c r="F571" s="10"/>
      <x:c r="G571" s="10"/>
      <x:c r="H571" s="10"/>
    </x:row>
    <x:row r="572" ht="14.25" customHeight="1">
      <x:c r="A572" s="10"/>
      <x:c r="B572" s="10"/>
      <x:c r="C572" s="10"/>
      <x:c r="D572" s="10"/>
      <x:c r="E572" s="10"/>
      <x:c r="F572" s="10"/>
      <x:c r="G572" s="10"/>
      <x:c r="H572" s="10"/>
    </x:row>
    <x:row r="573" ht="14.25" customHeight="1">
      <x:c r="A573" s="10"/>
      <x:c r="B573" s="10"/>
      <x:c r="C573" s="10"/>
      <x:c r="D573" s="10"/>
      <x:c r="E573" s="10"/>
      <x:c r="F573" s="10"/>
      <x:c r="G573" s="10"/>
      <x:c r="H573" s="10"/>
    </x:row>
    <x:row r="574" ht="14.25" customHeight="1">
      <x:c r="A574" s="10"/>
      <x:c r="B574" s="10"/>
      <x:c r="C574" s="10"/>
      <x:c r="D574" s="10"/>
      <x:c r="E574" s="10"/>
      <x:c r="F574" s="10"/>
      <x:c r="G574" s="10"/>
      <x:c r="H574" s="10"/>
    </x:row>
    <x:row r="575" ht="14.25" customHeight="1">
      <x:c r="A575" s="10"/>
      <x:c r="B575" s="10"/>
      <x:c r="C575" s="10"/>
      <x:c r="D575" s="10"/>
      <x:c r="E575" s="10"/>
      <x:c r="F575" s="10"/>
      <x:c r="G575" s="10"/>
      <x:c r="H575" s="10"/>
    </x:row>
    <x:row r="576" ht="14.25" customHeight="1">
      <x:c r="A576" s="10"/>
      <x:c r="B576" s="10"/>
      <x:c r="C576" s="10"/>
      <x:c r="D576" s="10"/>
      <x:c r="E576" s="10"/>
      <x:c r="F576" s="10"/>
      <x:c r="G576" s="10"/>
      <x:c r="H576" s="10"/>
    </x:row>
    <x:row r="577" ht="14.25" customHeight="1">
      <x:c r="A577" s="10"/>
      <x:c r="B577" s="10"/>
      <x:c r="C577" s="10"/>
      <x:c r="D577" s="10"/>
      <x:c r="E577" s="10"/>
      <x:c r="F577" s="10"/>
      <x:c r="G577" s="10"/>
      <x:c r="H577" s="10"/>
    </x:row>
    <x:row r="578" ht="14.25" customHeight="1">
      <x:c r="A578" s="10"/>
      <x:c r="B578" s="10"/>
      <x:c r="C578" s="10"/>
      <x:c r="D578" s="10"/>
      <x:c r="E578" s="10"/>
      <x:c r="F578" s="10"/>
      <x:c r="G578" s="10"/>
      <x:c r="H578" s="10"/>
    </x:row>
    <x:row r="579" ht="14.25" customHeight="1">
      <x:c r="A579" s="10"/>
      <x:c r="B579" s="10"/>
      <x:c r="C579" s="10"/>
      <x:c r="D579" s="10"/>
      <x:c r="E579" s="10"/>
      <x:c r="F579" s="10"/>
      <x:c r="G579" s="10"/>
      <x:c r="H579" s="10"/>
    </x:row>
    <x:row r="580" ht="14.25" customHeight="1">
      <x:c r="A580" s="10"/>
      <x:c r="B580" s="10"/>
      <x:c r="C580" s="10"/>
      <x:c r="D580" s="10"/>
      <x:c r="E580" s="10"/>
      <x:c r="F580" s="10"/>
      <x:c r="G580" s="10"/>
      <x:c r="H580" s="10"/>
    </x:row>
    <x:row r="581" ht="14.25" customHeight="1">
      <x:c r="A581" s="10"/>
      <x:c r="B581" s="10"/>
      <x:c r="C581" s="10"/>
      <x:c r="D581" s="10"/>
      <x:c r="E581" s="10"/>
      <x:c r="F581" s="10"/>
      <x:c r="G581" s="10"/>
      <x:c r="H581" s="10"/>
    </x:row>
    <x:row r="582" ht="14.25" customHeight="1">
      <x:c r="A582" s="10"/>
      <x:c r="B582" s="10"/>
      <x:c r="C582" s="10"/>
      <x:c r="D582" s="10"/>
      <x:c r="E582" s="10"/>
      <x:c r="F582" s="10"/>
      <x:c r="G582" s="10"/>
      <x:c r="H582" s="10"/>
    </x:row>
    <x:row r="583" ht="14.25" customHeight="1">
      <x:c r="A583" s="10"/>
      <x:c r="B583" s="10"/>
      <x:c r="C583" s="10"/>
      <x:c r="D583" s="10"/>
      <x:c r="E583" s="10"/>
      <x:c r="F583" s="10"/>
      <x:c r="G583" s="10"/>
      <x:c r="H583" s="10"/>
    </x:row>
    <x:row r="584" ht="14.25" customHeight="1">
      <x:c r="A584" s="10"/>
      <x:c r="B584" s="10"/>
      <x:c r="C584" s="10"/>
      <x:c r="D584" s="10"/>
      <x:c r="E584" s="10"/>
      <x:c r="F584" s="10"/>
      <x:c r="G584" s="10"/>
      <x:c r="H584" s="10"/>
    </x:row>
    <x:row r="585" ht="14.25" customHeight="1">
      <x:c r="A585" s="10"/>
      <x:c r="B585" s="10"/>
      <x:c r="C585" s="10"/>
      <x:c r="D585" s="10"/>
      <x:c r="E585" s="10"/>
      <x:c r="F585" s="10"/>
      <x:c r="G585" s="10"/>
      <x:c r="H585" s="10"/>
    </x:row>
    <x:row r="586" ht="14.25" customHeight="1">
      <x:c r="A586" s="10"/>
      <x:c r="B586" s="10"/>
      <x:c r="C586" s="10"/>
      <x:c r="D586" s="10"/>
      <x:c r="E586" s="10"/>
      <x:c r="F586" s="10"/>
      <x:c r="G586" s="10"/>
      <x:c r="H586" s="10"/>
    </x:row>
    <x:row r="587" ht="14.25" customHeight="1">
      <x:c r="A587" s="10"/>
      <x:c r="B587" s="10"/>
      <x:c r="C587" s="10"/>
      <x:c r="D587" s="10"/>
      <x:c r="E587" s="10"/>
      <x:c r="F587" s="10"/>
      <x:c r="G587" s="10"/>
      <x:c r="H587" s="10"/>
    </x:row>
    <x:row r="588" ht="14.25" customHeight="1">
      <x:c r="A588" s="10"/>
      <x:c r="B588" s="10"/>
      <x:c r="C588" s="10"/>
      <x:c r="D588" s="10"/>
      <x:c r="E588" s="10"/>
      <x:c r="F588" s="10"/>
      <x:c r="G588" s="10"/>
      <x:c r="H588" s="10"/>
    </x:row>
    <x:row r="589" ht="14.25" customHeight="1">
      <x:c r="A589" s="10"/>
      <x:c r="B589" s="10"/>
      <x:c r="C589" s="10"/>
      <x:c r="D589" s="10"/>
      <x:c r="E589" s="10"/>
      <x:c r="F589" s="10"/>
      <x:c r="G589" s="10"/>
      <x:c r="H589" s="10"/>
    </x:row>
    <x:row r="590" ht="14.25" customHeight="1">
      <x:c r="A590" s="10"/>
      <x:c r="B590" s="10"/>
      <x:c r="C590" s="10"/>
      <x:c r="D590" s="10"/>
      <x:c r="E590" s="10"/>
      <x:c r="F590" s="10"/>
      <x:c r="G590" s="10"/>
      <x:c r="H590" s="10"/>
    </x:row>
    <x:row r="591" ht="14.25" customHeight="1">
      <x:c r="A591" s="10"/>
      <x:c r="B591" s="10"/>
      <x:c r="C591" s="10"/>
      <x:c r="D591" s="10"/>
      <x:c r="E591" s="10"/>
      <x:c r="F591" s="10"/>
      <x:c r="G591" s="10"/>
      <x:c r="H591" s="10"/>
    </x:row>
    <x:row r="592" ht="14.25" customHeight="1">
      <x:c r="A592" s="10"/>
      <x:c r="B592" s="10"/>
      <x:c r="C592" s="10"/>
      <x:c r="D592" s="10"/>
      <x:c r="E592" s="10"/>
      <x:c r="F592" s="10"/>
      <x:c r="G592" s="10"/>
      <x:c r="H592" s="10"/>
    </x:row>
    <x:row r="593" ht="14.25" customHeight="1">
      <x:c r="A593" s="10"/>
      <x:c r="B593" s="10"/>
      <x:c r="C593" s="10"/>
      <x:c r="D593" s="10"/>
      <x:c r="E593" s="10"/>
      <x:c r="F593" s="10"/>
      <x:c r="G593" s="10"/>
      <x:c r="H593" s="10"/>
    </x:row>
    <x:row r="594" ht="14.25" customHeight="1">
      <x:c r="A594" s="10"/>
      <x:c r="B594" s="10"/>
      <x:c r="C594" s="10"/>
      <x:c r="D594" s="10"/>
      <x:c r="E594" s="10"/>
      <x:c r="F594" s="10"/>
      <x:c r="G594" s="10"/>
      <x:c r="H594" s="10"/>
    </x:row>
    <x:row r="595" ht="14.25" customHeight="1">
      <x:c r="A595" s="10"/>
      <x:c r="B595" s="10"/>
      <x:c r="C595" s="10"/>
      <x:c r="D595" s="10"/>
      <x:c r="E595" s="10"/>
      <x:c r="F595" s="10"/>
      <x:c r="G595" s="10"/>
      <x:c r="H595" s="10"/>
    </x:row>
    <x:row r="596" ht="14.25" customHeight="1">
      <x:c r="A596" s="10"/>
      <x:c r="B596" s="10"/>
      <x:c r="C596" s="10"/>
      <x:c r="D596" s="10"/>
      <x:c r="E596" s="10"/>
      <x:c r="F596" s="10"/>
      <x:c r="G596" s="10"/>
      <x:c r="H596" s="10"/>
    </x:row>
    <x:row r="597" ht="14.25" customHeight="1">
      <x:c r="A597" s="10"/>
      <x:c r="B597" s="10"/>
      <x:c r="C597" s="10"/>
      <x:c r="D597" s="10"/>
      <x:c r="E597" s="10"/>
      <x:c r="F597" s="10"/>
      <x:c r="G597" s="10"/>
      <x:c r="H597" s="10"/>
    </x:row>
    <x:row r="598" ht="14.25" customHeight="1">
      <x:c r="A598" s="10"/>
      <x:c r="B598" s="10"/>
      <x:c r="C598" s="10"/>
      <x:c r="D598" s="10"/>
      <x:c r="E598" s="10"/>
      <x:c r="F598" s="10"/>
      <x:c r="G598" s="10"/>
      <x:c r="H598" s="10"/>
    </x:row>
    <x:row r="599" ht="14.25" customHeight="1">
      <x:c r="A599" s="10"/>
      <x:c r="B599" s="10"/>
      <x:c r="C599" s="10"/>
      <x:c r="D599" s="10"/>
      <x:c r="E599" s="10"/>
      <x:c r="F599" s="10"/>
      <x:c r="G599" s="10"/>
      <x:c r="H599" s="10"/>
    </x:row>
    <x:row r="600" ht="14.25" customHeight="1">
      <x:c r="A600" s="10"/>
      <x:c r="B600" s="10"/>
      <x:c r="C600" s="10"/>
      <x:c r="D600" s="10"/>
      <x:c r="E600" s="10"/>
      <x:c r="F600" s="10"/>
      <x:c r="G600" s="10"/>
      <x:c r="H600" s="10"/>
    </x:row>
    <x:row r="601" ht="14.25" customHeight="1">
      <x:c r="A601" s="10"/>
      <x:c r="B601" s="10"/>
      <x:c r="C601" s="10"/>
      <x:c r="D601" s="10"/>
      <x:c r="E601" s="10"/>
      <x:c r="F601" s="10"/>
      <x:c r="G601" s="10"/>
      <x:c r="H601" s="10"/>
    </x:row>
    <x:row r="602" ht="14.25" customHeight="1">
      <x:c r="A602" s="10"/>
      <x:c r="B602" s="10"/>
      <x:c r="C602" s="10"/>
      <x:c r="D602" s="10"/>
      <x:c r="E602" s="10"/>
      <x:c r="F602" s="10"/>
      <x:c r="G602" s="10"/>
      <x:c r="H602" s="10"/>
    </x:row>
    <x:row r="603" ht="14.25" customHeight="1">
      <x:c r="A603" s="10"/>
      <x:c r="B603" s="10"/>
      <x:c r="C603" s="10"/>
      <x:c r="D603" s="10"/>
      <x:c r="E603" s="10"/>
      <x:c r="F603" s="10"/>
      <x:c r="G603" s="10"/>
      <x:c r="H603" s="10"/>
    </x:row>
    <x:row r="604" ht="14.25" customHeight="1">
      <x:c r="A604" s="10"/>
      <x:c r="B604" s="10"/>
      <x:c r="C604" s="10"/>
      <x:c r="D604" s="10"/>
      <x:c r="E604" s="10"/>
      <x:c r="F604" s="10"/>
      <x:c r="G604" s="10"/>
      <x:c r="H604" s="10"/>
    </x:row>
    <x:row r="605" ht="14.25" customHeight="1">
      <x:c r="A605" s="10"/>
      <x:c r="B605" s="10"/>
      <x:c r="C605" s="10"/>
      <x:c r="D605" s="10"/>
      <x:c r="E605" s="10"/>
      <x:c r="F605" s="10"/>
      <x:c r="G605" s="10"/>
      <x:c r="H605" s="10"/>
    </x:row>
    <x:row r="606" ht="14.25" customHeight="1">
      <x:c r="A606" s="10"/>
      <x:c r="B606" s="10"/>
      <x:c r="C606" s="10"/>
      <x:c r="D606" s="10"/>
      <x:c r="E606" s="10"/>
      <x:c r="F606" s="10"/>
      <x:c r="G606" s="10"/>
      <x:c r="H606" s="10"/>
    </x:row>
    <x:row r="607" ht="14.25" customHeight="1">
      <x:c r="A607" s="10"/>
      <x:c r="B607" s="10"/>
      <x:c r="C607" s="10"/>
      <x:c r="D607" s="10"/>
      <x:c r="E607" s="10"/>
      <x:c r="F607" s="10"/>
      <x:c r="G607" s="10"/>
      <x:c r="H607" s="10"/>
    </x:row>
    <x:row r="608" ht="14.25" customHeight="1">
      <x:c r="A608" s="10"/>
      <x:c r="B608" s="10"/>
      <x:c r="C608" s="10"/>
      <x:c r="D608" s="10"/>
      <x:c r="E608" s="10"/>
      <x:c r="F608" s="10"/>
      <x:c r="G608" s="10"/>
      <x:c r="H608" s="10"/>
    </x:row>
    <x:row r="609" ht="14.25" customHeight="1">
      <x:c r="A609" s="10"/>
      <x:c r="B609" s="10"/>
      <x:c r="C609" s="10"/>
      <x:c r="D609" s="10"/>
      <x:c r="E609" s="10"/>
      <x:c r="F609" s="10"/>
      <x:c r="G609" s="10"/>
      <x:c r="H609" s="10"/>
    </x:row>
    <x:row r="610" ht="14.25" customHeight="1">
      <x:c r="A610" s="10"/>
      <x:c r="B610" s="10"/>
      <x:c r="C610" s="10"/>
      <x:c r="D610" s="10"/>
      <x:c r="E610" s="10"/>
      <x:c r="F610" s="10"/>
      <x:c r="G610" s="10"/>
      <x:c r="H610" s="10"/>
    </x:row>
    <x:row r="611" ht="14.25" customHeight="1">
      <x:c r="A611" s="10"/>
      <x:c r="B611" s="10"/>
      <x:c r="C611" s="10"/>
      <x:c r="D611" s="10"/>
      <x:c r="E611" s="10"/>
      <x:c r="F611" s="10"/>
      <x:c r="G611" s="10"/>
      <x:c r="H611" s="10"/>
    </x:row>
    <x:row r="612" ht="14.25" customHeight="1">
      <x:c r="A612" s="10"/>
      <x:c r="B612" s="10"/>
      <x:c r="C612" s="10"/>
      <x:c r="D612" s="10"/>
      <x:c r="E612" s="10"/>
      <x:c r="F612" s="10"/>
      <x:c r="G612" s="10"/>
      <x:c r="H612" s="10"/>
    </x:row>
    <x:row r="613" ht="14.25" customHeight="1">
      <x:c r="A613" s="10"/>
      <x:c r="B613" s="10"/>
      <x:c r="C613" s="10"/>
      <x:c r="D613" s="10"/>
      <x:c r="E613" s="10"/>
      <x:c r="F613" s="10"/>
      <x:c r="G613" s="10"/>
      <x:c r="H613" s="10"/>
    </x:row>
    <x:row r="614" ht="14.25" customHeight="1">
      <x:c r="A614" s="10"/>
      <x:c r="B614" s="10"/>
      <x:c r="C614" s="10"/>
      <x:c r="D614" s="10"/>
      <x:c r="E614" s="10"/>
      <x:c r="F614" s="10"/>
      <x:c r="G614" s="10"/>
      <x:c r="H614" s="10"/>
    </x:row>
    <x:row r="615" ht="14.25" customHeight="1">
      <x:c r="A615" s="10"/>
      <x:c r="B615" s="10"/>
      <x:c r="C615" s="10"/>
      <x:c r="D615" s="10"/>
      <x:c r="E615" s="10"/>
      <x:c r="F615" s="10"/>
      <x:c r="G615" s="10"/>
      <x:c r="H615" s="10"/>
    </x:row>
    <x:row r="616" ht="14.25" customHeight="1">
      <x:c r="A616" s="10"/>
      <x:c r="B616" s="10"/>
      <x:c r="C616" s="10"/>
      <x:c r="D616" s="10"/>
      <x:c r="E616" s="10"/>
      <x:c r="F616" s="10"/>
      <x:c r="G616" s="10"/>
      <x:c r="H616" s="10"/>
    </x:row>
    <x:row r="617" ht="14.25" customHeight="1">
      <x:c r="A617" s="10"/>
      <x:c r="B617" s="10"/>
      <x:c r="C617" s="10"/>
      <x:c r="D617" s="10"/>
      <x:c r="E617" s="10"/>
      <x:c r="F617" s="10"/>
      <x:c r="G617" s="10"/>
      <x:c r="H617" s="10"/>
    </x:row>
    <x:row r="618" ht="14.25" customHeight="1">
      <x:c r="A618" s="10"/>
      <x:c r="B618" s="10"/>
      <x:c r="C618" s="10"/>
      <x:c r="D618" s="10"/>
      <x:c r="E618" s="10"/>
      <x:c r="F618" s="10"/>
      <x:c r="G618" s="10"/>
      <x:c r="H618" s="10"/>
    </x:row>
    <x:row r="619" ht="14.25" customHeight="1">
      <x:c r="A619" s="10"/>
      <x:c r="B619" s="10"/>
      <x:c r="C619" s="10"/>
      <x:c r="D619" s="10"/>
      <x:c r="E619" s="10"/>
      <x:c r="F619" s="10"/>
      <x:c r="G619" s="10"/>
      <x:c r="H619" s="10"/>
    </x:row>
    <x:row r="620" ht="14.25" customHeight="1">
      <x:c r="A620" s="10"/>
      <x:c r="B620" s="10"/>
      <x:c r="C620" s="10"/>
      <x:c r="D620" s="10"/>
      <x:c r="E620" s="10"/>
      <x:c r="F620" s="10"/>
      <x:c r="G620" s="10"/>
      <x:c r="H620" s="10"/>
    </x:row>
    <x:row r="621" ht="14.25" customHeight="1">
      <x:c r="A621" s="10"/>
      <x:c r="B621" s="10"/>
      <x:c r="C621" s="10"/>
      <x:c r="D621" s="10"/>
      <x:c r="E621" s="10"/>
      <x:c r="F621" s="10"/>
      <x:c r="G621" s="10"/>
      <x:c r="H621" s="10"/>
    </x:row>
    <x:row r="622" ht="14.25" customHeight="1">
      <x:c r="A622" s="10"/>
      <x:c r="B622" s="10"/>
      <x:c r="C622" s="10"/>
      <x:c r="D622" s="10"/>
      <x:c r="E622" s="10"/>
      <x:c r="F622" s="10"/>
      <x:c r="G622" s="10"/>
      <x:c r="H622" s="10"/>
    </x:row>
    <x:row r="623" ht="14.25" customHeight="1">
      <x:c r="A623" s="10"/>
      <x:c r="B623" s="10"/>
      <x:c r="C623" s="10"/>
      <x:c r="D623" s="10"/>
      <x:c r="E623" s="10"/>
      <x:c r="F623" s="10"/>
      <x:c r="G623" s="10"/>
      <x:c r="H623" s="10"/>
    </x:row>
    <x:row r="624" ht="14.25" customHeight="1">
      <x:c r="A624" s="10"/>
      <x:c r="B624" s="10"/>
      <x:c r="C624" s="10"/>
      <x:c r="D624" s="10"/>
      <x:c r="E624" s="10"/>
      <x:c r="F624" s="10"/>
      <x:c r="G624" s="10"/>
      <x:c r="H624" s="10"/>
    </x:row>
    <x:row r="625" ht="14.25" customHeight="1">
      <x:c r="A625" s="10"/>
      <x:c r="B625" s="10"/>
      <x:c r="C625" s="10"/>
      <x:c r="D625" s="10"/>
      <x:c r="E625" s="10"/>
      <x:c r="F625" s="10"/>
      <x:c r="G625" s="10"/>
      <x:c r="H625" s="10"/>
    </x:row>
    <x:row r="626" ht="14.25" customHeight="1">
      <x:c r="A626" s="10"/>
      <x:c r="B626" s="10"/>
      <x:c r="C626" s="10"/>
      <x:c r="D626" s="10"/>
      <x:c r="E626" s="10"/>
      <x:c r="F626" s="10"/>
      <x:c r="G626" s="10"/>
      <x:c r="H626" s="10"/>
    </x:row>
    <x:row r="627" ht="14.25" customHeight="1">
      <x:c r="A627" s="10"/>
      <x:c r="B627" s="10"/>
      <x:c r="C627" s="10"/>
      <x:c r="D627" s="10"/>
      <x:c r="E627" s="10"/>
      <x:c r="F627" s="10"/>
      <x:c r="G627" s="10"/>
      <x:c r="H627" s="10"/>
    </x:row>
    <x:row r="628" ht="14.25" customHeight="1">
      <x:c r="A628" s="10"/>
      <x:c r="B628" s="10"/>
      <x:c r="C628" s="10"/>
      <x:c r="D628" s="10"/>
      <x:c r="E628" s="10"/>
      <x:c r="F628" s="10"/>
      <x:c r="G628" s="10"/>
      <x:c r="H628" s="10"/>
    </x:row>
    <x:row r="629" ht="14.25" customHeight="1">
      <x:c r="A629" s="10"/>
      <x:c r="B629" s="10"/>
      <x:c r="C629" s="10"/>
      <x:c r="D629" s="10"/>
      <x:c r="E629" s="10"/>
      <x:c r="F629" s="10"/>
      <x:c r="G629" s="10"/>
      <x:c r="H629" s="10"/>
    </x:row>
    <x:row r="630" ht="14.25" customHeight="1">
      <x:c r="A630" s="10"/>
      <x:c r="B630" s="10"/>
      <x:c r="C630" s="10"/>
      <x:c r="D630" s="10"/>
      <x:c r="E630" s="10"/>
      <x:c r="F630" s="10"/>
      <x:c r="G630" s="10"/>
      <x:c r="H630" s="10"/>
    </x:row>
    <x:row r="631" ht="14.25" customHeight="1">
      <x:c r="A631" s="10"/>
      <x:c r="B631" s="10"/>
      <x:c r="C631" s="10"/>
      <x:c r="D631" s="10"/>
      <x:c r="E631" s="10"/>
      <x:c r="F631" s="10"/>
      <x:c r="G631" s="10"/>
      <x:c r="H631" s="10"/>
    </x:row>
    <x:row r="632" ht="14.25" customHeight="1">
      <x:c r="A632" s="10"/>
      <x:c r="B632" s="10"/>
      <x:c r="C632" s="10"/>
      <x:c r="D632" s="10"/>
      <x:c r="E632" s="10"/>
      <x:c r="F632" s="10"/>
      <x:c r="G632" s="10"/>
      <x:c r="H632" s="10"/>
    </x:row>
    <x:row r="633" ht="14.25" customHeight="1">
      <x:c r="A633" s="10"/>
      <x:c r="B633" s="10"/>
      <x:c r="C633" s="10"/>
      <x:c r="D633" s="10"/>
      <x:c r="E633" s="10"/>
      <x:c r="F633" s="10"/>
      <x:c r="G633" s="10"/>
      <x:c r="H633" s="10"/>
    </x:row>
    <x:row r="634" ht="14.25" customHeight="1">
      <x:c r="A634" s="10"/>
      <x:c r="B634" s="10"/>
      <x:c r="C634" s="10"/>
      <x:c r="D634" s="10"/>
      <x:c r="E634" s="10"/>
      <x:c r="F634" s="10"/>
      <x:c r="G634" s="10"/>
      <x:c r="H634" s="10"/>
    </x:row>
    <x:row r="635" ht="14.25" customHeight="1">
      <x:c r="A635" s="10"/>
      <x:c r="B635" s="10"/>
      <x:c r="C635" s="10"/>
      <x:c r="D635" s="10"/>
      <x:c r="E635" s="10"/>
      <x:c r="F635" s="10"/>
      <x:c r="G635" s="10"/>
      <x:c r="H635" s="10"/>
    </x:row>
    <x:row r="636" ht="14.25" customHeight="1">
      <x:c r="A636" s="10"/>
      <x:c r="B636" s="10"/>
      <x:c r="C636" s="10"/>
      <x:c r="D636" s="10"/>
      <x:c r="E636" s="10"/>
      <x:c r="F636" s="10"/>
      <x:c r="G636" s="10"/>
      <x:c r="H636" s="10"/>
    </x:row>
    <x:row r="637" ht="14.25" customHeight="1">
      <x:c r="A637" s="10"/>
      <x:c r="B637" s="10"/>
      <x:c r="C637" s="10"/>
      <x:c r="D637" s="10"/>
      <x:c r="E637" s="10"/>
      <x:c r="F637" s="10"/>
      <x:c r="G637" s="10"/>
      <x:c r="H637" s="10"/>
    </x:row>
    <x:row r="638" ht="14.25" customHeight="1">
      <x:c r="A638" s="10"/>
      <x:c r="B638" s="10"/>
      <x:c r="C638" s="10"/>
      <x:c r="D638" s="10"/>
      <x:c r="E638" s="10"/>
      <x:c r="F638" s="10"/>
      <x:c r="G638" s="10"/>
      <x:c r="H638" s="10"/>
    </x:row>
    <x:row r="639" ht="14.25" customHeight="1">
      <x:c r="A639" s="10"/>
      <x:c r="B639" s="10"/>
      <x:c r="C639" s="10"/>
      <x:c r="D639" s="10"/>
      <x:c r="E639" s="10"/>
      <x:c r="F639" s="10"/>
      <x:c r="G639" s="10"/>
      <x:c r="H639" s="10"/>
    </x:row>
    <x:row r="640" ht="14.25" customHeight="1">
      <x:c r="A640" s="10"/>
      <x:c r="B640" s="10"/>
      <x:c r="C640" s="10"/>
      <x:c r="D640" s="10"/>
      <x:c r="E640" s="10"/>
      <x:c r="F640" s="10"/>
      <x:c r="G640" s="10"/>
      <x:c r="H640" s="10"/>
    </x:row>
    <x:row r="641" ht="14.25" customHeight="1">
      <x:c r="A641" s="10"/>
      <x:c r="B641" s="10"/>
      <x:c r="C641" s="10"/>
      <x:c r="D641" s="10"/>
      <x:c r="E641" s="10"/>
      <x:c r="F641" s="10"/>
      <x:c r="G641" s="10"/>
      <x:c r="H641" s="10"/>
    </x:row>
    <x:row r="642" ht="14.25" customHeight="1">
      <x:c r="A642" s="10"/>
      <x:c r="B642" s="10"/>
      <x:c r="C642" s="10"/>
      <x:c r="D642" s="10"/>
      <x:c r="E642" s="10"/>
      <x:c r="F642" s="10"/>
      <x:c r="G642" s="10"/>
      <x:c r="H642" s="10"/>
    </x:row>
    <x:row r="643" ht="14.25" customHeight="1">
      <x:c r="A643" s="10"/>
      <x:c r="B643" s="10"/>
      <x:c r="C643" s="10"/>
      <x:c r="D643" s="10"/>
      <x:c r="E643" s="10"/>
      <x:c r="F643" s="10"/>
      <x:c r="G643" s="10"/>
      <x:c r="H643" s="10"/>
    </x:row>
    <x:row r="644" ht="14.25" customHeight="1">
      <x:c r="A644" s="10"/>
      <x:c r="B644" s="10"/>
      <x:c r="C644" s="10"/>
      <x:c r="D644" s="10"/>
      <x:c r="E644" s="10"/>
      <x:c r="F644" s="10"/>
      <x:c r="G644" s="10"/>
      <x:c r="H644" s="10"/>
    </x:row>
    <x:row r="645" ht="14.25" customHeight="1">
      <x:c r="A645" s="10"/>
      <x:c r="B645" s="10"/>
      <x:c r="C645" s="10"/>
      <x:c r="D645" s="10"/>
      <x:c r="E645" s="10"/>
      <x:c r="F645" s="10"/>
      <x:c r="G645" s="10"/>
      <x:c r="H645" s="10"/>
    </x:row>
    <x:row r="646" ht="14.25" customHeight="1">
      <x:c r="A646" s="10"/>
      <x:c r="B646" s="10"/>
      <x:c r="C646" s="10"/>
      <x:c r="D646" s="10"/>
      <x:c r="E646" s="10"/>
      <x:c r="F646" s="10"/>
      <x:c r="G646" s="10"/>
      <x:c r="H646" s="10"/>
    </x:row>
    <x:row r="647" ht="14.25" customHeight="1">
      <x:c r="A647" s="10"/>
      <x:c r="B647" s="10"/>
      <x:c r="C647" s="10"/>
      <x:c r="D647" s="10"/>
      <x:c r="E647" s="10"/>
      <x:c r="F647" s="10"/>
      <x:c r="G647" s="10"/>
      <x:c r="H647" s="10"/>
    </x:row>
    <x:row r="648" ht="14.25" customHeight="1">
      <x:c r="A648" s="10"/>
      <x:c r="B648" s="10"/>
      <x:c r="C648" s="10"/>
      <x:c r="D648" s="10"/>
      <x:c r="E648" s="10"/>
      <x:c r="F648" s="10"/>
      <x:c r="G648" s="10"/>
      <x:c r="H648" s="10"/>
    </x:row>
    <x:row r="649" ht="14.25" customHeight="1">
      <x:c r="A649" s="10"/>
      <x:c r="B649" s="10"/>
      <x:c r="C649" s="10"/>
      <x:c r="D649" s="10"/>
      <x:c r="E649" s="10"/>
      <x:c r="F649" s="10"/>
      <x:c r="G649" s="10"/>
      <x:c r="H649" s="10"/>
    </x:row>
    <x:row r="650" ht="14.25" customHeight="1">
      <x:c r="A650" s="10"/>
      <x:c r="B650" s="10"/>
      <x:c r="C650" s="10"/>
      <x:c r="D650" s="10"/>
      <x:c r="E650" s="10"/>
      <x:c r="F650" s="10"/>
      <x:c r="G650" s="10"/>
      <x:c r="H650" s="10"/>
    </x:row>
    <x:row r="651" ht="14.25" customHeight="1">
      <x:c r="A651" s="10"/>
      <x:c r="B651" s="10"/>
      <x:c r="C651" s="10"/>
      <x:c r="D651" s="10"/>
      <x:c r="E651" s="10"/>
      <x:c r="F651" s="10"/>
      <x:c r="G651" s="10"/>
      <x:c r="H651" s="10"/>
    </x:row>
    <x:row r="652" ht="14.25" customHeight="1">
      <x:c r="A652" s="10"/>
      <x:c r="B652" s="10"/>
      <x:c r="C652" s="10"/>
      <x:c r="D652" s="10"/>
      <x:c r="E652" s="10"/>
      <x:c r="F652" s="10"/>
      <x:c r="G652" s="10"/>
      <x:c r="H652" s="10"/>
    </x:row>
    <x:row r="653" ht="14.25" customHeight="1">
      <x:c r="A653" s="10"/>
      <x:c r="B653" s="10"/>
      <x:c r="C653" s="10"/>
      <x:c r="D653" s="10"/>
      <x:c r="E653" s="10"/>
      <x:c r="F653" s="10"/>
      <x:c r="G653" s="10"/>
      <x:c r="H653" s="10"/>
    </x:row>
    <x:row r="654" ht="14.25" customHeight="1">
      <x:c r="A654" s="10"/>
      <x:c r="B654" s="10"/>
      <x:c r="C654" s="10"/>
      <x:c r="D654" s="10"/>
      <x:c r="E654" s="10"/>
      <x:c r="F654" s="10"/>
      <x:c r="G654" s="10"/>
      <x:c r="H654" s="10"/>
    </x:row>
    <x:row r="655" ht="14.25" customHeight="1">
      <x:c r="A655" s="10"/>
      <x:c r="B655" s="10"/>
      <x:c r="C655" s="10"/>
      <x:c r="D655" s="10"/>
      <x:c r="E655" s="10"/>
      <x:c r="F655" s="10"/>
      <x:c r="G655" s="10"/>
      <x:c r="H655" s="10"/>
    </x:row>
    <x:row r="656" ht="14.25" customHeight="1">
      <x:c r="A656" s="10"/>
      <x:c r="B656" s="10"/>
      <x:c r="C656" s="10"/>
      <x:c r="D656" s="10"/>
      <x:c r="E656" s="10"/>
      <x:c r="F656" s="10"/>
      <x:c r="G656" s="10"/>
      <x:c r="H656" s="10"/>
    </x:row>
    <x:row r="657" ht="14.25" customHeight="1">
      <x:c r="A657" s="10"/>
      <x:c r="B657" s="10"/>
      <x:c r="C657" s="10"/>
      <x:c r="D657" s="10"/>
      <x:c r="E657" s="10"/>
      <x:c r="F657" s="10"/>
      <x:c r="G657" s="10"/>
      <x:c r="H657" s="10"/>
    </x:row>
    <x:row r="658" ht="14.25" customHeight="1">
      <x:c r="A658" s="10"/>
      <x:c r="B658" s="10"/>
      <x:c r="C658" s="10"/>
      <x:c r="D658" s="10"/>
      <x:c r="E658" s="10"/>
      <x:c r="F658" s="10"/>
      <x:c r="G658" s="10"/>
      <x:c r="H658" s="10"/>
    </x:row>
    <x:row r="659" ht="14.25" customHeight="1">
      <x:c r="A659" s="10"/>
      <x:c r="B659" s="10"/>
      <x:c r="C659" s="10"/>
      <x:c r="D659" s="10"/>
      <x:c r="E659" s="10"/>
      <x:c r="F659" s="10"/>
      <x:c r="G659" s="10"/>
      <x:c r="H659" s="10"/>
    </x:row>
    <x:row r="660" ht="14.25" customHeight="1">
      <x:c r="A660" s="10"/>
      <x:c r="B660" s="10"/>
      <x:c r="C660" s="10"/>
      <x:c r="D660" s="10"/>
      <x:c r="E660" s="10"/>
      <x:c r="F660" s="10"/>
      <x:c r="G660" s="10"/>
      <x:c r="H660" s="10"/>
    </x:row>
    <x:row r="661" ht="14.25" customHeight="1">
      <x:c r="A661" s="10"/>
      <x:c r="B661" s="10"/>
      <x:c r="C661" s="10"/>
      <x:c r="D661" s="10"/>
      <x:c r="E661" s="10"/>
      <x:c r="F661" s="10"/>
      <x:c r="G661" s="10"/>
      <x:c r="H661" s="10"/>
    </x:row>
    <x:row r="662" ht="14.25" customHeight="1">
      <x:c r="A662" s="10"/>
      <x:c r="B662" s="10"/>
      <x:c r="C662" s="10"/>
      <x:c r="D662" s="10"/>
      <x:c r="E662" s="10"/>
      <x:c r="F662" s="10"/>
      <x:c r="G662" s="10"/>
      <x:c r="H662" s="10"/>
    </x:row>
    <x:row r="663" ht="14.25" customHeight="1">
      <x:c r="A663" s="10"/>
      <x:c r="B663" s="10"/>
      <x:c r="C663" s="10"/>
      <x:c r="D663" s="10"/>
      <x:c r="E663" s="10"/>
      <x:c r="F663" s="10"/>
      <x:c r="G663" s="10"/>
      <x:c r="H663" s="10"/>
    </x:row>
    <x:row r="664" ht="14.25" customHeight="1">
      <x:c r="A664" s="10"/>
      <x:c r="B664" s="10"/>
      <x:c r="C664" s="10"/>
      <x:c r="D664" s="10"/>
      <x:c r="E664" s="10"/>
      <x:c r="F664" s="10"/>
      <x:c r="G664" s="10"/>
      <x:c r="H664" s="10"/>
    </x:row>
    <x:row r="665" ht="14.25" customHeight="1">
      <x:c r="A665" s="10"/>
      <x:c r="B665" s="10"/>
      <x:c r="C665" s="10"/>
      <x:c r="D665" s="10"/>
      <x:c r="E665" s="10"/>
      <x:c r="F665" s="10"/>
      <x:c r="G665" s="10"/>
      <x:c r="H665" s="10"/>
    </x:row>
    <x:row r="666" ht="14.25" customHeight="1">
      <x:c r="A666" s="10"/>
      <x:c r="B666" s="10"/>
      <x:c r="C666" s="10"/>
      <x:c r="D666" s="10"/>
      <x:c r="E666" s="10"/>
      <x:c r="F666" s="10"/>
      <x:c r="G666" s="10"/>
      <x:c r="H666" s="10"/>
    </x:row>
    <x:row r="667" ht="14.25" customHeight="1">
      <x:c r="A667" s="10"/>
      <x:c r="B667" s="10"/>
      <x:c r="C667" s="10"/>
      <x:c r="D667" s="10"/>
      <x:c r="E667" s="10"/>
      <x:c r="F667" s="10"/>
      <x:c r="G667" s="10"/>
      <x:c r="H667" s="10"/>
    </x:row>
    <x:row r="668" ht="14.25" customHeight="1">
      <x:c r="A668" s="10"/>
      <x:c r="B668" s="10"/>
      <x:c r="C668" s="10"/>
      <x:c r="D668" s="10"/>
      <x:c r="E668" s="10"/>
      <x:c r="F668" s="10"/>
      <x:c r="G668" s="10"/>
      <x:c r="H668" s="10"/>
    </x:row>
    <x:row r="669" ht="14.25" customHeight="1">
      <x:c r="A669" s="10"/>
      <x:c r="B669" s="10"/>
      <x:c r="C669" s="10"/>
      <x:c r="D669" s="10"/>
      <x:c r="E669" s="10"/>
      <x:c r="F669" s="10"/>
      <x:c r="G669" s="10"/>
      <x:c r="H669" s="10"/>
    </x:row>
    <x:row r="670" ht="14.25" customHeight="1">
      <x:c r="A670" s="10"/>
      <x:c r="B670" s="10"/>
      <x:c r="C670" s="10"/>
      <x:c r="D670" s="10"/>
      <x:c r="E670" s="10"/>
      <x:c r="F670" s="10"/>
      <x:c r="G670" s="10"/>
      <x:c r="H670" s="10"/>
    </x:row>
    <x:row r="671" ht="14.25" customHeight="1">
      <x:c r="A671" s="10"/>
      <x:c r="B671" s="10"/>
      <x:c r="C671" s="10"/>
      <x:c r="D671" s="10"/>
      <x:c r="E671" s="10"/>
      <x:c r="F671" s="10"/>
      <x:c r="G671" s="10"/>
      <x:c r="H671" s="10"/>
    </x:row>
    <x:row r="672" ht="14.25" customHeight="1">
      <x:c r="A672" s="10"/>
      <x:c r="B672" s="10"/>
      <x:c r="C672" s="10"/>
      <x:c r="D672" s="10"/>
      <x:c r="E672" s="10"/>
      <x:c r="F672" s="10"/>
      <x:c r="G672" s="10"/>
      <x:c r="H672" s="10"/>
    </x:row>
    <x:row r="673" ht="14.25" customHeight="1">
      <x:c r="A673" s="10"/>
      <x:c r="B673" s="10"/>
      <x:c r="C673" s="10"/>
      <x:c r="D673" s="10"/>
      <x:c r="E673" s="10"/>
      <x:c r="F673" s="10"/>
      <x:c r="G673" s="10"/>
      <x:c r="H673" s="10"/>
    </x:row>
    <x:row r="674" ht="14.25" customHeight="1">
      <x:c r="A674" s="10"/>
      <x:c r="B674" s="10"/>
      <x:c r="C674" s="10"/>
      <x:c r="D674" s="10"/>
      <x:c r="E674" s="10"/>
      <x:c r="F674" s="10"/>
      <x:c r="G674" s="10"/>
      <x:c r="H674" s="10"/>
    </x:row>
    <x:row r="675" ht="14.25" customHeight="1">
      <x:c r="A675" s="10"/>
      <x:c r="B675" s="10"/>
      <x:c r="C675" s="10"/>
      <x:c r="D675" s="10"/>
      <x:c r="E675" s="10"/>
      <x:c r="F675" s="10"/>
      <x:c r="G675" s="10"/>
      <x:c r="H675" s="10"/>
    </x:row>
    <x:row r="676" ht="14.25" customHeight="1">
      <x:c r="A676" s="10"/>
      <x:c r="B676" s="10"/>
      <x:c r="C676" s="10"/>
      <x:c r="D676" s="10"/>
      <x:c r="E676" s="10"/>
      <x:c r="F676" s="10"/>
      <x:c r="G676" s="10"/>
      <x:c r="H676" s="10"/>
    </x:row>
    <x:row r="677" ht="14.25" customHeight="1">
      <x:c r="A677" s="10"/>
      <x:c r="B677" s="10"/>
      <x:c r="C677" s="10"/>
      <x:c r="D677" s="10"/>
      <x:c r="E677" s="10"/>
      <x:c r="F677" s="10"/>
      <x:c r="G677" s="10"/>
      <x:c r="H677" s="10"/>
    </x:row>
    <x:row r="678" ht="14.25" customHeight="1">
      <x:c r="A678" s="10"/>
      <x:c r="B678" s="10"/>
      <x:c r="C678" s="10"/>
      <x:c r="D678" s="10"/>
      <x:c r="E678" s="10"/>
      <x:c r="F678" s="10"/>
      <x:c r="G678" s="10"/>
      <x:c r="H678" s="10"/>
    </x:row>
    <x:row r="679" ht="14.25" customHeight="1">
      <x:c r="A679" s="10"/>
      <x:c r="B679" s="10"/>
      <x:c r="C679" s="10"/>
      <x:c r="D679" s="10"/>
      <x:c r="E679" s="10"/>
      <x:c r="F679" s="10"/>
      <x:c r="G679" s="10"/>
      <x:c r="H679" s="10"/>
    </x:row>
    <x:row r="680" ht="14.25" customHeight="1">
      <x:c r="A680" s="10"/>
      <x:c r="B680" s="10"/>
      <x:c r="C680" s="10"/>
      <x:c r="D680" s="10"/>
      <x:c r="E680" s="10"/>
      <x:c r="F680" s="10"/>
      <x:c r="G680" s="10"/>
      <x:c r="H680" s="10"/>
    </x:row>
    <x:row r="681" ht="14.25" customHeight="1">
      <x:c r="A681" s="10"/>
      <x:c r="B681" s="10"/>
      <x:c r="C681" s="10"/>
      <x:c r="D681" s="10"/>
      <x:c r="E681" s="10"/>
      <x:c r="F681" s="10"/>
      <x:c r="G681" s="10"/>
      <x:c r="H681" s="10"/>
    </x:row>
    <x:row r="682" ht="14.25" customHeight="1">
      <x:c r="A682" s="10"/>
      <x:c r="B682" s="10"/>
      <x:c r="C682" s="10"/>
      <x:c r="D682" s="10"/>
      <x:c r="E682" s="10"/>
      <x:c r="F682" s="10"/>
      <x:c r="G682" s="10"/>
      <x:c r="H682" s="10"/>
    </x:row>
    <x:row r="683" ht="14.25" customHeight="1">
      <x:c r="A683" s="10"/>
      <x:c r="B683" s="10"/>
      <x:c r="C683" s="10"/>
      <x:c r="D683" s="10"/>
      <x:c r="E683" s="10"/>
      <x:c r="F683" s="10"/>
      <x:c r="G683" s="10"/>
      <x:c r="H683" s="10"/>
    </x:row>
    <x:row r="684" ht="14.25" customHeight="1">
      <x:c r="A684" s="10"/>
      <x:c r="B684" s="10"/>
      <x:c r="C684" s="10"/>
      <x:c r="D684" s="10"/>
      <x:c r="E684" s="10"/>
      <x:c r="F684" s="10"/>
      <x:c r="G684" s="10"/>
      <x:c r="H684" s="10"/>
    </x:row>
    <x:row r="685" ht="14.25" customHeight="1">
      <x:c r="A685" s="10"/>
      <x:c r="B685" s="10"/>
      <x:c r="C685" s="10"/>
      <x:c r="D685" s="10"/>
      <x:c r="E685" s="10"/>
      <x:c r="F685" s="10"/>
      <x:c r="G685" s="10"/>
      <x:c r="H685" s="10"/>
    </x:row>
    <x:row r="686" ht="14.25" customHeight="1">
      <x:c r="A686" s="10"/>
      <x:c r="B686" s="10"/>
      <x:c r="C686" s="10"/>
      <x:c r="D686" s="10"/>
      <x:c r="E686" s="10"/>
      <x:c r="F686" s="10"/>
      <x:c r="G686" s="10"/>
      <x:c r="H686" s="10"/>
    </x:row>
    <x:row r="687" ht="14.25" customHeight="1">
      <x:c r="A687" s="10"/>
      <x:c r="B687" s="10"/>
      <x:c r="C687" s="10"/>
      <x:c r="D687" s="10"/>
      <x:c r="E687" s="10"/>
      <x:c r="F687" s="10"/>
      <x:c r="G687" s="10"/>
      <x:c r="H687" s="10"/>
    </x:row>
    <x:row r="688" ht="14.25" customHeight="1">
      <x:c r="A688" s="10"/>
      <x:c r="B688" s="10"/>
      <x:c r="C688" s="10"/>
      <x:c r="D688" s="10"/>
      <x:c r="E688" s="10"/>
      <x:c r="F688" s="10"/>
      <x:c r="G688" s="10"/>
      <x:c r="H688" s="10"/>
    </x:row>
    <x:row r="689" ht="14.25" customHeight="1">
      <x:c r="A689" s="10"/>
      <x:c r="B689" s="10"/>
      <x:c r="C689" s="10"/>
      <x:c r="D689" s="10"/>
      <x:c r="E689" s="10"/>
      <x:c r="F689" s="10"/>
      <x:c r="G689" s="10"/>
      <x:c r="H689" s="10"/>
    </x:row>
    <x:row r="690" ht="14.25" customHeight="1">
      <x:c r="A690" s="10"/>
      <x:c r="B690" s="10"/>
      <x:c r="C690" s="10"/>
      <x:c r="D690" s="10"/>
      <x:c r="E690" s="10"/>
      <x:c r="F690" s="10"/>
      <x:c r="G690" s="10"/>
      <x:c r="H690" s="10"/>
    </x:row>
    <x:row r="691" ht="14.25" customHeight="1">
      <x:c r="A691" s="10"/>
      <x:c r="B691" s="10"/>
      <x:c r="C691" s="10"/>
      <x:c r="D691" s="10"/>
      <x:c r="E691" s="10"/>
      <x:c r="F691" s="10"/>
      <x:c r="G691" s="10"/>
      <x:c r="H691" s="10"/>
    </x:row>
    <x:row r="692" ht="14.25" customHeight="1">
      <x:c r="A692" s="10"/>
      <x:c r="B692" s="10"/>
      <x:c r="C692" s="10"/>
      <x:c r="D692" s="10"/>
      <x:c r="E692" s="10"/>
      <x:c r="F692" s="10"/>
      <x:c r="G692" s="10"/>
      <x:c r="H692" s="10"/>
    </x:row>
    <x:row r="693" ht="14.25" customHeight="1">
      <x:c r="A693" s="10"/>
      <x:c r="B693" s="10"/>
      <x:c r="C693" s="10"/>
      <x:c r="D693" s="10"/>
      <x:c r="E693" s="10"/>
      <x:c r="F693" s="10"/>
      <x:c r="G693" s="10"/>
      <x:c r="H693" s="10"/>
    </x:row>
    <x:row r="694" ht="14.25" customHeight="1">
      <x:c r="A694" s="10"/>
      <x:c r="B694" s="10"/>
      <x:c r="C694" s="10"/>
      <x:c r="D694" s="10"/>
      <x:c r="E694" s="10"/>
      <x:c r="F694" s="10"/>
      <x:c r="G694" s="10"/>
      <x:c r="H694" s="10"/>
    </x:row>
    <x:row r="695" ht="14.25" customHeight="1">
      <x:c r="A695" s="10"/>
      <x:c r="B695" s="10"/>
      <x:c r="C695" s="10"/>
      <x:c r="D695" s="10"/>
      <x:c r="E695" s="10"/>
      <x:c r="F695" s="10"/>
      <x:c r="G695" s="10"/>
      <x:c r="H695" s="10"/>
    </x:row>
    <x:row r="696" ht="14.25" customHeight="1">
      <x:c r="A696" s="10"/>
      <x:c r="B696" s="10"/>
      <x:c r="C696" s="10"/>
      <x:c r="D696" s="10"/>
      <x:c r="E696" s="10"/>
      <x:c r="F696" s="10"/>
      <x:c r="G696" s="10"/>
      <x:c r="H696" s="10"/>
    </x:row>
    <x:row r="697" ht="14.25" customHeight="1">
      <x:c r="A697" s="10"/>
      <x:c r="B697" s="10"/>
      <x:c r="C697" s="10"/>
      <x:c r="D697" s="10"/>
      <x:c r="E697" s="10"/>
      <x:c r="F697" s="10"/>
      <x:c r="G697" s="10"/>
      <x:c r="H697" s="10"/>
    </x:row>
    <x:row r="698" ht="14.25" customHeight="1">
      <x:c r="A698" s="10"/>
      <x:c r="B698" s="10"/>
      <x:c r="C698" s="10"/>
      <x:c r="D698" s="10"/>
      <x:c r="E698" s="10"/>
      <x:c r="F698" s="10"/>
      <x:c r="G698" s="10"/>
      <x:c r="H698" s="10"/>
    </x:row>
    <x:row r="699" ht="14.25" customHeight="1">
      <x:c r="A699" s="10"/>
      <x:c r="B699" s="10"/>
      <x:c r="C699" s="10"/>
      <x:c r="D699" s="10"/>
      <x:c r="E699" s="10"/>
      <x:c r="F699" s="10"/>
      <x:c r="G699" s="10"/>
      <x:c r="H699" s="10"/>
    </x:row>
    <x:row r="700" ht="14.25" customHeight="1">
      <x:c r="A700" s="10"/>
      <x:c r="B700" s="10"/>
      <x:c r="C700" s="10"/>
      <x:c r="D700" s="10"/>
      <x:c r="E700" s="10"/>
      <x:c r="F700" s="10"/>
      <x:c r="G700" s="10"/>
      <x:c r="H700" s="10"/>
    </x:row>
    <x:row r="701" ht="14.25" customHeight="1">
      <x:c r="A701" s="10"/>
      <x:c r="B701" s="10"/>
      <x:c r="C701" s="10"/>
      <x:c r="D701" s="10"/>
      <x:c r="E701" s="10"/>
      <x:c r="F701" s="10"/>
      <x:c r="G701" s="10"/>
      <x:c r="H701" s="10"/>
    </x:row>
    <x:row r="702" ht="14.25" customHeight="1">
      <x:c r="A702" s="10"/>
      <x:c r="B702" s="10"/>
      <x:c r="C702" s="10"/>
      <x:c r="D702" s="10"/>
      <x:c r="E702" s="10"/>
      <x:c r="F702" s="10"/>
      <x:c r="G702" s="10"/>
      <x:c r="H702" s="10"/>
    </x:row>
    <x:row r="703" ht="14.25" customHeight="1">
      <x:c r="A703" s="10"/>
      <x:c r="B703" s="10"/>
      <x:c r="C703" s="10"/>
      <x:c r="D703" s="10"/>
      <x:c r="E703" s="10"/>
      <x:c r="F703" s="10"/>
      <x:c r="G703" s="10"/>
      <x:c r="H703" s="10"/>
    </x:row>
    <x:row r="704" ht="14.25" customHeight="1">
      <x:c r="A704" s="10"/>
      <x:c r="B704" s="10"/>
      <x:c r="C704" s="10"/>
      <x:c r="D704" s="10"/>
      <x:c r="E704" s="10"/>
      <x:c r="F704" s="10"/>
      <x:c r="G704" s="10"/>
      <x:c r="H704" s="10"/>
    </x:row>
    <x:row r="705" ht="14.25" customHeight="1">
      <x:c r="A705" s="10"/>
      <x:c r="B705" s="10"/>
      <x:c r="C705" s="10"/>
      <x:c r="D705" s="10"/>
      <x:c r="E705" s="10"/>
      <x:c r="F705" s="10"/>
      <x:c r="G705" s="10"/>
      <x:c r="H705" s="10"/>
    </x:row>
    <x:row r="706" ht="14.25" customHeight="1">
      <x:c r="A706" s="10"/>
      <x:c r="B706" s="10"/>
      <x:c r="C706" s="10"/>
      <x:c r="D706" s="10"/>
      <x:c r="E706" s="10"/>
      <x:c r="F706" s="10"/>
      <x:c r="G706" s="10"/>
      <x:c r="H706" s="10"/>
    </x:row>
    <x:row r="707" ht="14.25" customHeight="1">
      <x:c r="A707" s="10"/>
      <x:c r="B707" s="10"/>
      <x:c r="C707" s="10"/>
      <x:c r="D707" s="10"/>
      <x:c r="E707" s="10"/>
      <x:c r="F707" s="10"/>
      <x:c r="G707" s="10"/>
      <x:c r="H707" s="10"/>
    </x:row>
    <x:row r="708" ht="14.25" customHeight="1">
      <x:c r="A708" s="10"/>
      <x:c r="B708" s="10"/>
      <x:c r="C708" s="10"/>
      <x:c r="D708" s="10"/>
      <x:c r="E708" s="10"/>
      <x:c r="F708" s="10"/>
      <x:c r="G708" s="10"/>
      <x:c r="H708" s="10"/>
    </x:row>
    <x:row r="709" ht="14.25" customHeight="1">
      <x:c r="A709" s="10"/>
      <x:c r="B709" s="10"/>
      <x:c r="C709" s="10"/>
      <x:c r="D709" s="10"/>
      <x:c r="E709" s="10"/>
      <x:c r="F709" s="10"/>
      <x:c r="G709" s="10"/>
      <x:c r="H709" s="10"/>
    </x:row>
    <x:row r="710" ht="14.25" customHeight="1">
      <x:c r="A710" s="10"/>
      <x:c r="B710" s="10"/>
      <x:c r="C710" s="10"/>
      <x:c r="D710" s="10"/>
      <x:c r="E710" s="10"/>
      <x:c r="F710" s="10"/>
      <x:c r="G710" s="10"/>
      <x:c r="H710" s="10"/>
    </x:row>
    <x:row r="711" ht="14.25" customHeight="1">
      <x:c r="A711" s="10"/>
      <x:c r="B711" s="10"/>
      <x:c r="C711" s="10"/>
      <x:c r="D711" s="10"/>
      <x:c r="E711" s="10"/>
      <x:c r="F711" s="10"/>
      <x:c r="G711" s="10"/>
      <x:c r="H711" s="10"/>
    </x:row>
    <x:row r="712" ht="14.25" customHeight="1">
      <x:c r="A712" s="10"/>
      <x:c r="B712" s="10"/>
      <x:c r="C712" s="10"/>
      <x:c r="D712" s="10"/>
      <x:c r="E712" s="10"/>
      <x:c r="F712" s="10"/>
      <x:c r="G712" s="10"/>
      <x:c r="H712" s="10"/>
    </x:row>
    <x:row r="713" ht="14.25" customHeight="1">
      <x:c r="A713" s="10"/>
      <x:c r="B713" s="10"/>
      <x:c r="C713" s="10"/>
      <x:c r="D713" s="10"/>
      <x:c r="E713" s="10"/>
      <x:c r="F713" s="10"/>
      <x:c r="G713" s="10"/>
      <x:c r="H713" s="10"/>
    </x:row>
    <x:row r="714" ht="14.25" customHeight="1">
      <x:c r="A714" s="10"/>
      <x:c r="B714" s="10"/>
      <x:c r="C714" s="10"/>
      <x:c r="D714" s="10"/>
      <x:c r="E714" s="10"/>
      <x:c r="F714" s="10"/>
      <x:c r="G714" s="10"/>
      <x:c r="H714" s="10"/>
    </x:row>
    <x:row r="715" ht="14.25" customHeight="1">
      <x:c r="A715" s="10"/>
      <x:c r="B715" s="10"/>
      <x:c r="C715" s="10"/>
      <x:c r="D715" s="10"/>
      <x:c r="E715" s="10"/>
      <x:c r="F715" s="10"/>
      <x:c r="G715" s="10"/>
      <x:c r="H715" s="10"/>
    </x:row>
    <x:row r="716" ht="14.25" customHeight="1">
      <x:c r="A716" s="10"/>
      <x:c r="B716" s="10"/>
      <x:c r="C716" s="10"/>
      <x:c r="D716" s="10"/>
      <x:c r="E716" s="10"/>
      <x:c r="F716" s="10"/>
      <x:c r="G716" s="10"/>
      <x:c r="H716" s="10"/>
    </x:row>
    <x:row r="717" ht="14.25" customHeight="1">
      <x:c r="A717" s="10"/>
      <x:c r="B717" s="10"/>
      <x:c r="C717" s="10"/>
      <x:c r="D717" s="10"/>
      <x:c r="E717" s="10"/>
      <x:c r="F717" s="10"/>
      <x:c r="G717" s="10"/>
      <x:c r="H717" s="10"/>
    </x:row>
    <x:row r="718" ht="14.25" customHeight="1">
      <x:c r="A718" s="10"/>
      <x:c r="B718" s="10"/>
      <x:c r="C718" s="10"/>
      <x:c r="D718" s="10"/>
      <x:c r="E718" s="10"/>
      <x:c r="F718" s="10"/>
      <x:c r="G718" s="10"/>
      <x:c r="H718" s="10"/>
    </x:row>
    <x:row r="719" ht="14.25" customHeight="1">
      <x:c r="A719" s="10"/>
      <x:c r="B719" s="10"/>
      <x:c r="C719" s="10"/>
      <x:c r="D719" s="10"/>
      <x:c r="E719" s="10"/>
      <x:c r="F719" s="10"/>
      <x:c r="G719" s="10"/>
      <x:c r="H719" s="10"/>
    </x:row>
    <x:row r="720" ht="14.25" customHeight="1">
      <x:c r="A720" s="10"/>
      <x:c r="B720" s="10"/>
      <x:c r="C720" s="10"/>
      <x:c r="D720" s="10"/>
      <x:c r="E720" s="10"/>
      <x:c r="F720" s="10"/>
      <x:c r="G720" s="10"/>
      <x:c r="H720" s="10"/>
    </x:row>
    <x:row r="721" ht="14.25" customHeight="1">
      <x:c r="A721" s="10"/>
      <x:c r="B721" s="10"/>
      <x:c r="C721" s="10"/>
      <x:c r="D721" s="10"/>
      <x:c r="E721" s="10"/>
      <x:c r="F721" s="10"/>
      <x:c r="G721" s="10"/>
      <x:c r="H721" s="10"/>
    </x:row>
    <x:row r="722" ht="14.25" customHeight="1">
      <x:c r="A722" s="10"/>
      <x:c r="B722" s="10"/>
      <x:c r="C722" s="10"/>
      <x:c r="D722" s="10"/>
      <x:c r="E722" s="10"/>
      <x:c r="F722" s="10"/>
      <x:c r="G722" s="10"/>
      <x:c r="H722" s="10"/>
    </x:row>
    <x:row r="723" ht="14.25" customHeight="1">
      <x:c r="A723" s="10"/>
      <x:c r="B723" s="10"/>
      <x:c r="C723" s="10"/>
      <x:c r="D723" s="10"/>
      <x:c r="E723" s="10"/>
      <x:c r="F723" s="10"/>
      <x:c r="G723" s="10"/>
      <x:c r="H723" s="10"/>
    </x:row>
    <x:row r="724" ht="14.25" customHeight="1">
      <x:c r="A724" s="10"/>
      <x:c r="B724" s="10"/>
      <x:c r="C724" s="10"/>
      <x:c r="D724" s="10"/>
      <x:c r="E724" s="10"/>
      <x:c r="F724" s="10"/>
      <x:c r="G724" s="10"/>
      <x:c r="H724" s="10"/>
    </x:row>
    <x:row r="725" ht="14.25" customHeight="1">
      <x:c r="A725" s="10"/>
      <x:c r="B725" s="10"/>
      <x:c r="C725" s="10"/>
      <x:c r="D725" s="10"/>
      <x:c r="E725" s="10"/>
      <x:c r="F725" s="10"/>
      <x:c r="G725" s="10"/>
      <x:c r="H725" s="10"/>
    </x:row>
    <x:row r="726" ht="14.25" customHeight="1">
      <x:c r="A726" s="10"/>
      <x:c r="B726" s="10"/>
      <x:c r="C726" s="10"/>
      <x:c r="D726" s="10"/>
      <x:c r="E726" s="10"/>
      <x:c r="F726" s="10"/>
      <x:c r="G726" s="10"/>
      <x:c r="H726" s="10"/>
    </x:row>
    <x:row r="727" ht="14.25" customHeight="1">
      <x:c r="A727" s="10"/>
      <x:c r="B727" s="10"/>
      <x:c r="C727" s="10"/>
      <x:c r="D727" s="10"/>
      <x:c r="E727" s="10"/>
      <x:c r="F727" s="10"/>
      <x:c r="G727" s="10"/>
      <x:c r="H727" s="10"/>
    </x:row>
    <x:row r="728" ht="14.25" customHeight="1">
      <x:c r="A728" s="10"/>
      <x:c r="B728" s="10"/>
      <x:c r="C728" s="10"/>
      <x:c r="D728" s="10"/>
      <x:c r="E728" s="10"/>
      <x:c r="F728" s="10"/>
      <x:c r="G728" s="10"/>
      <x:c r="H728" s="10"/>
    </x:row>
    <x:row r="729" ht="14.25" customHeight="1">
      <x:c r="A729" s="10"/>
      <x:c r="B729" s="10"/>
      <x:c r="C729" s="10"/>
      <x:c r="D729" s="10"/>
      <x:c r="E729" s="10"/>
      <x:c r="F729" s="10"/>
      <x:c r="G729" s="10"/>
      <x:c r="H729" s="10"/>
    </x:row>
    <x:row r="730" ht="14.25" customHeight="1">
      <x:c r="A730" s="10"/>
      <x:c r="B730" s="10"/>
      <x:c r="C730" s="10"/>
      <x:c r="D730" s="10"/>
      <x:c r="E730" s="10"/>
      <x:c r="F730" s="10"/>
      <x:c r="G730" s="10"/>
      <x:c r="H730" s="10"/>
    </x:row>
    <x:row r="731" ht="14.25" customHeight="1">
      <x:c r="A731" s="10"/>
      <x:c r="B731" s="10"/>
      <x:c r="C731" s="10"/>
      <x:c r="D731" s="10"/>
      <x:c r="E731" s="10"/>
      <x:c r="F731" s="10"/>
      <x:c r="G731" s="10"/>
      <x:c r="H731" s="10"/>
    </x:row>
    <x:row r="732" ht="14.25" customHeight="1">
      <x:c r="A732" s="10"/>
      <x:c r="B732" s="10"/>
      <x:c r="C732" s="10"/>
      <x:c r="D732" s="10"/>
      <x:c r="E732" s="10"/>
      <x:c r="F732" s="10"/>
      <x:c r="G732" s="10"/>
      <x:c r="H732" s="10"/>
    </x:row>
    <x:row r="733" ht="14.25" customHeight="1">
      <x:c r="A733" s="10"/>
      <x:c r="B733" s="10"/>
      <x:c r="C733" s="10"/>
      <x:c r="D733" s="10"/>
      <x:c r="E733" s="10"/>
      <x:c r="F733" s="10"/>
      <x:c r="G733" s="10"/>
      <x:c r="H733" s="10"/>
    </x:row>
    <x:row r="734" ht="14.25" customHeight="1">
      <x:c r="A734" s="10"/>
      <x:c r="B734" s="10"/>
      <x:c r="C734" s="10"/>
      <x:c r="D734" s="10"/>
      <x:c r="E734" s="10"/>
      <x:c r="F734" s="10"/>
      <x:c r="G734" s="10"/>
      <x:c r="H734" s="10"/>
    </x:row>
    <x:row r="735" ht="14.25" customHeight="1">
      <x:c r="A735" s="10"/>
      <x:c r="B735" s="10"/>
      <x:c r="C735" s="10"/>
      <x:c r="D735" s="10"/>
      <x:c r="E735" s="10"/>
      <x:c r="F735" s="10"/>
      <x:c r="G735" s="10"/>
      <x:c r="H735" s="10"/>
    </x:row>
    <x:row r="736" ht="14.25" customHeight="1">
      <x:c r="A736" s="10"/>
      <x:c r="B736" s="10"/>
      <x:c r="C736" s="10"/>
      <x:c r="D736" s="10"/>
      <x:c r="E736" s="10"/>
      <x:c r="F736" s="10"/>
      <x:c r="G736" s="10"/>
      <x:c r="H736" s="10"/>
    </x:row>
    <x:row r="737" ht="14.25" customHeight="1">
      <x:c r="A737" s="10"/>
      <x:c r="B737" s="10"/>
      <x:c r="C737" s="10"/>
      <x:c r="D737" s="10"/>
      <x:c r="E737" s="10"/>
      <x:c r="F737" s="10"/>
      <x:c r="G737" s="10"/>
      <x:c r="H737" s="10"/>
    </x:row>
    <x:row r="738" ht="14.25" customHeight="1">
      <x:c r="A738" s="10"/>
      <x:c r="B738" s="10"/>
      <x:c r="C738" s="10"/>
      <x:c r="D738" s="10"/>
      <x:c r="E738" s="10"/>
      <x:c r="F738" s="10"/>
      <x:c r="G738" s="10"/>
      <x:c r="H738" s="10"/>
    </x:row>
    <x:row r="739" ht="14.25" customHeight="1">
      <x:c r="A739" s="10"/>
      <x:c r="B739" s="10"/>
      <x:c r="C739" s="10"/>
      <x:c r="D739" s="10"/>
      <x:c r="E739" s="10"/>
      <x:c r="F739" s="10"/>
      <x:c r="G739" s="10"/>
      <x:c r="H739" s="10"/>
    </x:row>
    <x:row r="740" ht="14.25" customHeight="1">
      <x:c r="A740" s="10"/>
      <x:c r="B740" s="10"/>
      <x:c r="C740" s="10"/>
      <x:c r="D740" s="10"/>
      <x:c r="E740" s="10"/>
      <x:c r="F740" s="10"/>
      <x:c r="G740" s="10"/>
      <x:c r="H740" s="10"/>
    </x:row>
    <x:row r="741" ht="14.25" customHeight="1">
      <x:c r="A741" s="10"/>
      <x:c r="B741" s="10"/>
      <x:c r="C741" s="10"/>
      <x:c r="D741" s="10"/>
      <x:c r="E741" s="10"/>
      <x:c r="F741" s="10"/>
      <x:c r="G741" s="10"/>
      <x:c r="H741" s="10"/>
    </x:row>
    <x:row r="742" ht="14.25" customHeight="1">
      <x:c r="A742" s="10"/>
      <x:c r="B742" s="10"/>
      <x:c r="C742" s="10"/>
      <x:c r="D742" s="10"/>
      <x:c r="E742" s="10"/>
      <x:c r="F742" s="10"/>
      <x:c r="G742" s="10"/>
      <x:c r="H742" s="10"/>
    </x:row>
    <x:row r="743" ht="14.25" customHeight="1">
      <x:c r="A743" s="10"/>
      <x:c r="B743" s="10"/>
      <x:c r="C743" s="10"/>
      <x:c r="D743" s="10"/>
      <x:c r="E743" s="10"/>
      <x:c r="F743" s="10"/>
      <x:c r="G743" s="10"/>
      <x:c r="H743" s="10"/>
    </x:row>
    <x:row r="744" ht="14.25" customHeight="1">
      <x:c r="A744" s="10"/>
      <x:c r="B744" s="10"/>
      <x:c r="C744" s="10"/>
      <x:c r="D744" s="10"/>
      <x:c r="E744" s="10"/>
      <x:c r="F744" s="10"/>
      <x:c r="G744" s="10"/>
      <x:c r="H744" s="10"/>
    </x:row>
    <x:row r="745" ht="14.25" customHeight="1">
      <x:c r="A745" s="10"/>
      <x:c r="B745" s="10"/>
      <x:c r="C745" s="10"/>
      <x:c r="D745" s="10"/>
      <x:c r="E745" s="10"/>
      <x:c r="F745" s="10"/>
      <x:c r="G745" s="10"/>
      <x:c r="H745" s="10"/>
    </x:row>
    <x:row r="746" ht="14.25" customHeight="1">
      <x:c r="A746" s="10"/>
      <x:c r="B746" s="10"/>
      <x:c r="C746" s="10"/>
      <x:c r="D746" s="10"/>
      <x:c r="E746" s="10"/>
      <x:c r="F746" s="10"/>
      <x:c r="G746" s="10"/>
      <x:c r="H746" s="10"/>
    </x:row>
    <x:row r="747" ht="14.25" customHeight="1">
      <x:c r="A747" s="10"/>
      <x:c r="B747" s="10"/>
      <x:c r="C747" s="10"/>
      <x:c r="D747" s="10"/>
      <x:c r="E747" s="10"/>
      <x:c r="F747" s="10"/>
      <x:c r="G747" s="10"/>
      <x:c r="H747" s="10"/>
    </x:row>
    <x:row r="748" ht="14.25" customHeight="1">
      <x:c r="A748" s="10"/>
      <x:c r="B748" s="10"/>
      <x:c r="C748" s="10"/>
      <x:c r="D748" s="10"/>
      <x:c r="E748" s="10"/>
      <x:c r="F748" s="10"/>
      <x:c r="G748" s="10"/>
      <x:c r="H748" s="10"/>
    </x:row>
    <x:row r="749" ht="14.25" customHeight="1">
      <x:c r="A749" s="10"/>
      <x:c r="B749" s="10"/>
      <x:c r="C749" s="10"/>
      <x:c r="D749" s="10"/>
      <x:c r="E749" s="10"/>
      <x:c r="F749" s="10"/>
      <x:c r="G749" s="10"/>
      <x:c r="H749" s="10"/>
    </x:row>
    <x:row r="750" ht="14.25" customHeight="1">
      <x:c r="A750" s="10"/>
      <x:c r="B750" s="10"/>
      <x:c r="C750" s="10"/>
      <x:c r="D750" s="10"/>
      <x:c r="E750" s="10"/>
      <x:c r="F750" s="10"/>
      <x:c r="G750" s="10"/>
      <x:c r="H750" s="10"/>
    </x:row>
    <x:row r="751" ht="14.25" customHeight="1">
      <x:c r="A751" s="10"/>
      <x:c r="B751" s="10"/>
      <x:c r="C751" s="10"/>
      <x:c r="D751" s="10"/>
      <x:c r="E751" s="10"/>
      <x:c r="F751" s="10"/>
      <x:c r="G751" s="10"/>
      <x:c r="H751" s="10"/>
    </x:row>
    <x:row r="752" ht="14.25" customHeight="1">
      <x:c r="A752" s="10"/>
      <x:c r="B752" s="10"/>
      <x:c r="C752" s="10"/>
      <x:c r="D752" s="10"/>
      <x:c r="E752" s="10"/>
      <x:c r="F752" s="10"/>
      <x:c r="G752" s="10"/>
      <x:c r="H752" s="10"/>
    </x:row>
    <x:row r="753" ht="14.25" customHeight="1">
      <x:c r="A753" s="10"/>
      <x:c r="B753" s="10"/>
      <x:c r="C753" s="10"/>
      <x:c r="D753" s="10"/>
      <x:c r="E753" s="10"/>
      <x:c r="F753" s="10"/>
      <x:c r="G753" s="10"/>
      <x:c r="H753" s="10"/>
    </x:row>
    <x:row r="754" ht="14.25" customHeight="1">
      <x:c r="A754" s="10"/>
      <x:c r="B754" s="10"/>
      <x:c r="C754" s="10"/>
      <x:c r="D754" s="10"/>
      <x:c r="E754" s="10"/>
      <x:c r="F754" s="10"/>
      <x:c r="G754" s="10"/>
      <x:c r="H754" s="10"/>
    </x:row>
    <x:row r="755" ht="14.25" customHeight="1">
      <x:c r="A755" s="10"/>
      <x:c r="B755" s="10"/>
      <x:c r="C755" s="10"/>
      <x:c r="D755" s="10"/>
      <x:c r="E755" s="10"/>
      <x:c r="F755" s="10"/>
      <x:c r="G755" s="10"/>
      <x:c r="H755" s="10"/>
    </x:row>
    <x:row r="756" ht="14.25" customHeight="1">
      <x:c r="A756" s="10"/>
      <x:c r="B756" s="10"/>
      <x:c r="C756" s="10"/>
      <x:c r="D756" s="10"/>
      <x:c r="E756" s="10"/>
      <x:c r="F756" s="10"/>
      <x:c r="G756" s="10"/>
      <x:c r="H756" s="10"/>
    </x:row>
    <x:row r="757" ht="14.25" customHeight="1">
      <x:c r="A757" s="10"/>
      <x:c r="B757" s="10"/>
      <x:c r="C757" s="10"/>
      <x:c r="D757" s="10"/>
      <x:c r="E757" s="10"/>
      <x:c r="F757" s="10"/>
      <x:c r="G757" s="10"/>
      <x:c r="H757" s="10"/>
    </x:row>
    <x:row r="758" ht="14.25" customHeight="1">
      <x:c r="A758" s="10"/>
      <x:c r="B758" s="10"/>
      <x:c r="C758" s="10"/>
      <x:c r="D758" s="10"/>
      <x:c r="E758" s="10"/>
      <x:c r="F758" s="10"/>
      <x:c r="G758" s="10"/>
      <x:c r="H758" s="10"/>
    </x:row>
    <x:row r="759" ht="14.25" customHeight="1">
      <x:c r="A759" s="10"/>
      <x:c r="B759" s="10"/>
      <x:c r="C759" s="10"/>
      <x:c r="D759" s="10"/>
      <x:c r="E759" s="10"/>
      <x:c r="F759" s="10"/>
      <x:c r="G759" s="10"/>
      <x:c r="H759" s="10"/>
    </x:row>
    <x:row r="760" ht="14.25" customHeight="1">
      <x:c r="A760" s="10"/>
      <x:c r="B760" s="10"/>
      <x:c r="C760" s="10"/>
      <x:c r="D760" s="10"/>
      <x:c r="E760" s="10"/>
      <x:c r="F760" s="10"/>
      <x:c r="G760" s="10"/>
      <x:c r="H760" s="10"/>
    </x:row>
    <x:row r="761" ht="14.25" customHeight="1">
      <x:c r="A761" s="10"/>
      <x:c r="B761" s="10"/>
      <x:c r="C761" s="10"/>
      <x:c r="D761" s="10"/>
      <x:c r="E761" s="10"/>
      <x:c r="F761" s="10"/>
      <x:c r="G761" s="10"/>
      <x:c r="H761" s="10"/>
    </x:row>
    <x:row r="762" ht="14.25" customHeight="1">
      <x:c r="A762" s="10"/>
      <x:c r="B762" s="10"/>
      <x:c r="C762" s="10"/>
      <x:c r="D762" s="10"/>
      <x:c r="E762" s="10"/>
      <x:c r="F762" s="10"/>
      <x:c r="G762" s="10"/>
      <x:c r="H762" s="10"/>
    </x:row>
    <x:row r="763" ht="14.25" customHeight="1">
      <x:c r="A763" s="10"/>
      <x:c r="B763" s="10"/>
      <x:c r="C763" s="10"/>
      <x:c r="D763" s="10"/>
      <x:c r="E763" s="10"/>
      <x:c r="F763" s="10"/>
      <x:c r="G763" s="10"/>
      <x:c r="H763" s="10"/>
    </x:row>
    <x:row r="764" ht="14.25" customHeight="1">
      <x:c r="A764" s="10"/>
      <x:c r="B764" s="10"/>
      <x:c r="C764" s="10"/>
      <x:c r="D764" s="10"/>
      <x:c r="E764" s="10"/>
      <x:c r="F764" s="10"/>
      <x:c r="G764" s="10"/>
      <x:c r="H764" s="10"/>
    </x:row>
    <x:row r="765" ht="14.25" customHeight="1">
      <x:c r="A765" s="10"/>
      <x:c r="B765" s="10"/>
      <x:c r="C765" s="10"/>
      <x:c r="D765" s="10"/>
      <x:c r="E765" s="10"/>
      <x:c r="F765" s="10"/>
      <x:c r="G765" s="10"/>
      <x:c r="H765" s="10"/>
    </x:row>
    <x:row r="766" ht="14.25" customHeight="1">
      <x:c r="A766" s="10"/>
      <x:c r="B766" s="10"/>
      <x:c r="C766" s="10"/>
      <x:c r="D766" s="10"/>
      <x:c r="E766" s="10"/>
      <x:c r="F766" s="10"/>
      <x:c r="G766" s="10"/>
      <x:c r="H766" s="10"/>
    </x:row>
    <x:row r="767" ht="14.25" customHeight="1">
      <x:c r="A767" s="10"/>
      <x:c r="B767" s="10"/>
      <x:c r="C767" s="10"/>
      <x:c r="D767" s="10"/>
      <x:c r="E767" s="10"/>
      <x:c r="F767" s="10"/>
      <x:c r="G767" s="10"/>
      <x:c r="H767" s="10"/>
    </x:row>
    <x:row r="768" ht="14.25" customHeight="1">
      <x:c r="A768" s="10"/>
      <x:c r="B768" s="10"/>
      <x:c r="C768" s="10"/>
      <x:c r="D768" s="10"/>
      <x:c r="E768" s="10"/>
      <x:c r="F768" s="10"/>
      <x:c r="G768" s="10"/>
      <x:c r="H768" s="10"/>
    </x:row>
    <x:row r="769" ht="14.25" customHeight="1">
      <x:c r="A769" s="10"/>
      <x:c r="B769" s="10"/>
      <x:c r="C769" s="10"/>
      <x:c r="D769" s="10"/>
      <x:c r="E769" s="10"/>
      <x:c r="F769" s="10"/>
      <x:c r="G769" s="10"/>
      <x:c r="H769" s="10"/>
    </x:row>
    <x:row r="770" ht="14.25" customHeight="1">
      <x:c r="A770" s="10"/>
      <x:c r="B770" s="10"/>
      <x:c r="C770" s="10"/>
      <x:c r="D770" s="10"/>
      <x:c r="E770" s="10"/>
      <x:c r="F770" s="10"/>
      <x:c r="G770" s="10"/>
      <x:c r="H770" s="10"/>
    </x:row>
    <x:row r="771" ht="14.25" customHeight="1">
      <x:c r="A771" s="10"/>
      <x:c r="B771" s="10"/>
      <x:c r="C771" s="10"/>
      <x:c r="D771" s="10"/>
      <x:c r="E771" s="10"/>
      <x:c r="F771" s="10"/>
      <x:c r="G771" s="10"/>
      <x:c r="H771" s="10"/>
    </x:row>
    <x:row r="772" ht="14.25" customHeight="1">
      <x:c r="A772" s="10"/>
      <x:c r="B772" s="10"/>
      <x:c r="C772" s="10"/>
      <x:c r="D772" s="10"/>
      <x:c r="E772" s="10"/>
      <x:c r="F772" s="10"/>
      <x:c r="G772" s="10"/>
      <x:c r="H772" s="10"/>
    </x:row>
    <x:row r="773" ht="14.25" customHeight="1">
      <x:c r="A773" s="10"/>
      <x:c r="B773" s="10"/>
      <x:c r="C773" s="10"/>
      <x:c r="D773" s="10"/>
      <x:c r="E773" s="10"/>
      <x:c r="F773" s="10"/>
      <x:c r="G773" s="10"/>
      <x:c r="H773" s="10"/>
    </x:row>
    <x:row r="774" ht="14.25" customHeight="1">
      <x:c r="A774" s="10"/>
      <x:c r="B774" s="10"/>
      <x:c r="C774" s="10"/>
      <x:c r="D774" s="10"/>
      <x:c r="E774" s="10"/>
      <x:c r="F774" s="10"/>
      <x:c r="G774" s="10"/>
      <x:c r="H774" s="10"/>
    </x:row>
    <x:row r="775" ht="14.25" customHeight="1">
      <x:c r="A775" s="10"/>
      <x:c r="B775" s="10"/>
      <x:c r="C775" s="10"/>
      <x:c r="D775" s="10"/>
      <x:c r="E775" s="10"/>
      <x:c r="F775" s="10"/>
      <x:c r="G775" s="10"/>
      <x:c r="H775" s="10"/>
    </x:row>
    <x:row r="776" ht="14.25" customHeight="1">
      <x:c r="A776" s="10"/>
      <x:c r="B776" s="10"/>
      <x:c r="C776" s="10"/>
      <x:c r="D776" s="10"/>
      <x:c r="E776" s="10"/>
      <x:c r="F776" s="10"/>
      <x:c r="G776" s="10"/>
      <x:c r="H776" s="10"/>
    </x:row>
    <x:row r="777" ht="14.25" customHeight="1">
      <x:c r="A777" s="10"/>
      <x:c r="B777" s="10"/>
      <x:c r="C777" s="10"/>
      <x:c r="D777" s="10"/>
      <x:c r="E777" s="10"/>
      <x:c r="F777" s="10"/>
      <x:c r="G777" s="10"/>
      <x:c r="H777" s="10"/>
    </x:row>
    <x:row r="778" ht="14.25" customHeight="1">
      <x:c r="A778" s="10"/>
      <x:c r="B778" s="10"/>
      <x:c r="C778" s="10"/>
      <x:c r="D778" s="10"/>
      <x:c r="E778" s="10"/>
      <x:c r="F778" s="10"/>
      <x:c r="G778" s="10"/>
      <x:c r="H778" s="10"/>
    </x:row>
    <x:row r="779" ht="14.25" customHeight="1">
      <x:c r="A779" s="10"/>
      <x:c r="B779" s="10"/>
      <x:c r="C779" s="10"/>
      <x:c r="D779" s="10"/>
      <x:c r="E779" s="10"/>
      <x:c r="F779" s="10"/>
      <x:c r="G779" s="10"/>
      <x:c r="H779" s="10"/>
    </x:row>
    <x:row r="780" ht="14.25" customHeight="1">
      <x:c r="A780" s="10"/>
      <x:c r="B780" s="10"/>
      <x:c r="C780" s="10"/>
      <x:c r="D780" s="10"/>
      <x:c r="E780" s="10"/>
      <x:c r="F780" s="10"/>
      <x:c r="G780" s="10"/>
      <x:c r="H780" s="10"/>
    </x:row>
    <x:row r="781" ht="14.25" customHeight="1">
      <x:c r="A781" s="10"/>
      <x:c r="B781" s="10"/>
      <x:c r="C781" s="10"/>
      <x:c r="D781" s="10"/>
      <x:c r="E781" s="10"/>
      <x:c r="F781" s="10"/>
      <x:c r="G781" s="10"/>
      <x:c r="H781" s="10"/>
    </x:row>
    <x:row r="782" ht="14.25" customHeight="1">
      <x:c r="A782" s="10"/>
      <x:c r="B782" s="10"/>
      <x:c r="C782" s="10"/>
      <x:c r="D782" s="10"/>
      <x:c r="E782" s="10"/>
      <x:c r="F782" s="10"/>
      <x:c r="G782" s="10"/>
      <x:c r="H782" s="10"/>
    </x:row>
    <x:row r="783" ht="14.25" customHeight="1">
      <x:c r="A783" s="10"/>
      <x:c r="B783" s="10"/>
      <x:c r="C783" s="10"/>
      <x:c r="D783" s="10"/>
      <x:c r="E783" s="10"/>
      <x:c r="F783" s="10"/>
      <x:c r="G783" s="10"/>
      <x:c r="H783" s="10"/>
    </x:row>
    <x:row r="784" ht="14.25" customHeight="1">
      <x:c r="A784" s="10"/>
      <x:c r="B784" s="10"/>
      <x:c r="C784" s="10"/>
      <x:c r="D784" s="10"/>
      <x:c r="E784" s="10"/>
      <x:c r="F784" s="10"/>
      <x:c r="G784" s="10"/>
      <x:c r="H784" s="10"/>
    </x:row>
    <x:row r="785" ht="14.25" customHeight="1">
      <x:c r="A785" s="10"/>
      <x:c r="B785" s="10"/>
      <x:c r="C785" s="10"/>
      <x:c r="D785" s="10"/>
      <x:c r="E785" s="10"/>
      <x:c r="F785" s="10"/>
      <x:c r="G785" s="10"/>
      <x:c r="H785" s="10"/>
    </x:row>
    <x:row r="786" ht="14.25" customHeight="1">
      <x:c r="A786" s="10"/>
      <x:c r="B786" s="10"/>
      <x:c r="C786" s="10"/>
      <x:c r="D786" s="10"/>
      <x:c r="E786" s="10"/>
      <x:c r="F786" s="10"/>
      <x:c r="G786" s="10"/>
      <x:c r="H786" s="10"/>
    </x:row>
    <x:row r="787" ht="14.25" customHeight="1">
      <x:c r="A787" s="10"/>
      <x:c r="B787" s="10"/>
      <x:c r="C787" s="10"/>
      <x:c r="D787" s="10"/>
      <x:c r="E787" s="10"/>
      <x:c r="F787" s="10"/>
      <x:c r="G787" s="10"/>
      <x:c r="H787" s="10"/>
    </x:row>
    <x:row r="788" ht="14.25" customHeight="1">
      <x:c r="A788" s="10"/>
      <x:c r="B788" s="10"/>
      <x:c r="C788" s="10"/>
      <x:c r="D788" s="10"/>
      <x:c r="E788" s="10"/>
      <x:c r="F788" s="10"/>
      <x:c r="G788" s="10"/>
      <x:c r="H788" s="10"/>
    </x:row>
    <x:row r="789" ht="14.25" customHeight="1">
      <x:c r="A789" s="10"/>
      <x:c r="B789" s="10"/>
      <x:c r="C789" s="10"/>
      <x:c r="D789" s="10"/>
      <x:c r="E789" s="10"/>
      <x:c r="F789" s="10"/>
      <x:c r="G789" s="10"/>
      <x:c r="H789" s="10"/>
    </x:row>
    <x:row r="790" ht="14.25" customHeight="1">
      <x:c r="A790" s="10"/>
      <x:c r="B790" s="10"/>
      <x:c r="C790" s="10"/>
      <x:c r="D790" s="10"/>
      <x:c r="E790" s="10"/>
      <x:c r="F790" s="10"/>
      <x:c r="G790" s="10"/>
      <x:c r="H790" s="10"/>
    </x:row>
    <x:row r="791" ht="14.25" customHeight="1">
      <x:c r="A791" s="10"/>
      <x:c r="B791" s="10"/>
      <x:c r="C791" s="10"/>
      <x:c r="D791" s="10"/>
      <x:c r="E791" s="10"/>
      <x:c r="F791" s="10"/>
      <x:c r="G791" s="10"/>
      <x:c r="H791" s="10"/>
    </x:row>
    <x:row r="792" ht="14.25" customHeight="1">
      <x:c r="A792" s="10"/>
      <x:c r="B792" s="10"/>
      <x:c r="C792" s="10"/>
      <x:c r="D792" s="10"/>
      <x:c r="E792" s="10"/>
      <x:c r="F792" s="10"/>
      <x:c r="G792" s="10"/>
      <x:c r="H792" s="10"/>
    </x:row>
    <x:row r="793" ht="14.25" customHeight="1">
      <x:c r="A793" s="10"/>
      <x:c r="B793" s="10"/>
      <x:c r="C793" s="10"/>
      <x:c r="D793" s="10"/>
      <x:c r="E793" s="10"/>
      <x:c r="F793" s="10"/>
      <x:c r="G793" s="10"/>
      <x:c r="H793" s="10"/>
    </x:row>
    <x:row r="794" ht="14.25" customHeight="1">
      <x:c r="A794" s="10"/>
      <x:c r="B794" s="10"/>
      <x:c r="C794" s="10"/>
      <x:c r="D794" s="10"/>
      <x:c r="E794" s="10"/>
      <x:c r="F794" s="10"/>
      <x:c r="G794" s="10"/>
      <x:c r="H794" s="10"/>
    </x:row>
    <x:row r="795" ht="14.25" customHeight="1">
      <x:c r="A795" s="10"/>
      <x:c r="B795" s="10"/>
      <x:c r="C795" s="10"/>
      <x:c r="D795" s="10"/>
      <x:c r="E795" s="10"/>
      <x:c r="F795" s="10"/>
      <x:c r="G795" s="10"/>
      <x:c r="H795" s="10"/>
    </x:row>
    <x:row r="796" ht="14.25" customHeight="1">
      <x:c r="A796" s="10"/>
      <x:c r="B796" s="10"/>
      <x:c r="C796" s="10"/>
      <x:c r="D796" s="10"/>
      <x:c r="E796" s="10"/>
      <x:c r="F796" s="10"/>
      <x:c r="G796" s="10"/>
      <x:c r="H796" s="10"/>
    </x:row>
    <x:row r="797" ht="14.25" customHeight="1">
      <x:c r="A797" s="10"/>
      <x:c r="B797" s="10"/>
      <x:c r="C797" s="10"/>
      <x:c r="D797" s="10"/>
      <x:c r="E797" s="10"/>
      <x:c r="F797" s="10"/>
      <x:c r="G797" s="10"/>
      <x:c r="H797" s="10"/>
    </x:row>
    <x:row r="798" ht="14.25" customHeight="1">
      <x:c r="A798" s="10"/>
      <x:c r="B798" s="10"/>
      <x:c r="C798" s="10"/>
      <x:c r="D798" s="10"/>
      <x:c r="E798" s="10"/>
      <x:c r="F798" s="10"/>
      <x:c r="G798" s="10"/>
      <x:c r="H798" s="10"/>
    </x:row>
    <x:row r="799" ht="14.25" customHeight="1">
      <x:c r="A799" s="10"/>
      <x:c r="B799" s="10"/>
      <x:c r="C799" s="10"/>
      <x:c r="D799" s="10"/>
      <x:c r="E799" s="10"/>
      <x:c r="F799" s="10"/>
      <x:c r="G799" s="10"/>
      <x:c r="H799" s="10"/>
    </x:row>
    <x:row r="800" ht="14.25" customHeight="1">
      <x:c r="A800" s="10"/>
      <x:c r="B800" s="10"/>
      <x:c r="C800" s="10"/>
      <x:c r="D800" s="10"/>
      <x:c r="E800" s="10"/>
      <x:c r="F800" s="10"/>
      <x:c r="G800" s="10"/>
      <x:c r="H800" s="10"/>
    </x:row>
    <x:row r="801" ht="14.25" customHeight="1">
      <x:c r="A801" s="10"/>
      <x:c r="B801" s="10"/>
      <x:c r="C801" s="10"/>
      <x:c r="D801" s="10"/>
      <x:c r="E801" s="10"/>
      <x:c r="F801" s="10"/>
      <x:c r="G801" s="10"/>
      <x:c r="H801" s="10"/>
    </x:row>
    <x:row r="802" ht="14.25" customHeight="1">
      <x:c r="A802" s="10"/>
      <x:c r="B802" s="10"/>
      <x:c r="C802" s="10"/>
      <x:c r="D802" s="10"/>
      <x:c r="E802" s="10"/>
      <x:c r="F802" s="10"/>
      <x:c r="G802" s="10"/>
      <x:c r="H802" s="10"/>
    </x:row>
    <x:row r="803" ht="14.25" customHeight="1">
      <x:c r="A803" s="10"/>
      <x:c r="B803" s="10"/>
      <x:c r="C803" s="10"/>
      <x:c r="D803" s="10"/>
      <x:c r="E803" s="10"/>
      <x:c r="F803" s="10"/>
      <x:c r="G803" s="10"/>
      <x:c r="H803" s="10"/>
    </x:row>
    <x:row r="804" ht="14.25" customHeight="1">
      <x:c r="A804" s="10"/>
      <x:c r="B804" s="10"/>
      <x:c r="C804" s="10"/>
      <x:c r="D804" s="10"/>
      <x:c r="E804" s="10"/>
      <x:c r="F804" s="10"/>
      <x:c r="G804" s="10"/>
      <x:c r="H804" s="10"/>
    </x:row>
    <x:row r="805" ht="14.25" customHeight="1">
      <x:c r="A805" s="10"/>
      <x:c r="B805" s="10"/>
      <x:c r="C805" s="10"/>
      <x:c r="D805" s="10"/>
      <x:c r="E805" s="10"/>
      <x:c r="F805" s="10"/>
      <x:c r="G805" s="10"/>
      <x:c r="H805" s="10"/>
    </x:row>
    <x:row r="806" ht="14.25" customHeight="1">
      <x:c r="A806" s="10"/>
      <x:c r="B806" s="10"/>
      <x:c r="C806" s="10"/>
      <x:c r="D806" s="10"/>
      <x:c r="E806" s="10"/>
      <x:c r="F806" s="10"/>
      <x:c r="G806" s="10"/>
      <x:c r="H806" s="10"/>
    </x:row>
    <x:row r="807" ht="14.25" customHeight="1">
      <x:c r="A807" s="10"/>
      <x:c r="B807" s="10"/>
      <x:c r="C807" s="10"/>
      <x:c r="D807" s="10"/>
      <x:c r="E807" s="10"/>
      <x:c r="F807" s="10"/>
      <x:c r="G807" s="10"/>
      <x:c r="H807" s="10"/>
    </x:row>
    <x:row r="808" ht="14.25" customHeight="1">
      <x:c r="A808" s="10"/>
      <x:c r="B808" s="10"/>
      <x:c r="C808" s="10"/>
      <x:c r="D808" s="10"/>
      <x:c r="E808" s="10"/>
      <x:c r="F808" s="10"/>
      <x:c r="G808" s="10"/>
      <x:c r="H808" s="10"/>
    </x:row>
    <x:row r="809" ht="14.25" customHeight="1">
      <x:c r="A809" s="10"/>
      <x:c r="B809" s="10"/>
      <x:c r="C809" s="10"/>
      <x:c r="D809" s="10"/>
      <x:c r="E809" s="10"/>
      <x:c r="F809" s="10"/>
      <x:c r="G809" s="10"/>
      <x:c r="H809" s="10"/>
    </x:row>
    <x:row r="810" ht="14.25" customHeight="1">
      <x:c r="A810" s="10"/>
      <x:c r="B810" s="10"/>
      <x:c r="C810" s="10"/>
      <x:c r="D810" s="10"/>
      <x:c r="E810" s="10"/>
      <x:c r="F810" s="10"/>
      <x:c r="G810" s="10"/>
      <x:c r="H810" s="10"/>
    </x:row>
    <x:row r="811" ht="14.25" customHeight="1">
      <x:c r="A811" s="10"/>
      <x:c r="B811" s="10"/>
      <x:c r="C811" s="10"/>
      <x:c r="D811" s="10"/>
      <x:c r="E811" s="10"/>
      <x:c r="F811" s="10"/>
      <x:c r="G811" s="10"/>
      <x:c r="H811" s="10"/>
    </x:row>
    <x:row r="812" ht="14.25" customHeight="1">
      <x:c r="A812" s="10"/>
      <x:c r="B812" s="10"/>
      <x:c r="C812" s="10"/>
      <x:c r="D812" s="10"/>
      <x:c r="E812" s="10"/>
      <x:c r="F812" s="10"/>
      <x:c r="G812" s="10"/>
      <x:c r="H812" s="10"/>
    </x:row>
    <x:row r="813" ht="14.25" customHeight="1">
      <x:c r="A813" s="10"/>
      <x:c r="B813" s="10"/>
      <x:c r="C813" s="10"/>
      <x:c r="D813" s="10"/>
      <x:c r="E813" s="10"/>
      <x:c r="F813" s="10"/>
      <x:c r="G813" s="10"/>
      <x:c r="H813" s="10"/>
    </x:row>
    <x:row r="814" ht="14.25" customHeight="1">
      <x:c r="A814" s="10"/>
      <x:c r="B814" s="10"/>
      <x:c r="C814" s="10"/>
      <x:c r="D814" s="10"/>
      <x:c r="E814" s="10"/>
      <x:c r="F814" s="10"/>
      <x:c r="G814" s="10"/>
      <x:c r="H814" s="10"/>
    </x:row>
    <x:row r="815" ht="14.25" customHeight="1">
      <x:c r="A815" s="10"/>
      <x:c r="B815" s="10"/>
      <x:c r="C815" s="10"/>
      <x:c r="D815" s="10"/>
      <x:c r="E815" s="10"/>
      <x:c r="F815" s="10"/>
      <x:c r="G815" s="10"/>
      <x:c r="H815" s="10"/>
    </x:row>
    <x:row r="816" ht="14.25" customHeight="1">
      <x:c r="A816" s="10"/>
      <x:c r="B816" s="10"/>
      <x:c r="C816" s="10"/>
      <x:c r="D816" s="10"/>
      <x:c r="E816" s="10"/>
      <x:c r="F816" s="10"/>
      <x:c r="G816" s="10"/>
      <x:c r="H816" s="10"/>
    </x:row>
    <x:row r="817" ht="14.25" customHeight="1">
      <x:c r="A817" s="10"/>
      <x:c r="B817" s="10"/>
      <x:c r="C817" s="10"/>
      <x:c r="D817" s="10"/>
      <x:c r="E817" s="10"/>
      <x:c r="F817" s="10"/>
      <x:c r="G817" s="10"/>
      <x:c r="H817" s="10"/>
    </x:row>
    <x:row r="818" ht="14.25" customHeight="1">
      <x:c r="A818" s="10"/>
      <x:c r="B818" s="10"/>
      <x:c r="C818" s="10"/>
      <x:c r="D818" s="10"/>
      <x:c r="E818" s="10"/>
      <x:c r="F818" s="10"/>
      <x:c r="G818" s="10"/>
      <x:c r="H818" s="10"/>
    </x:row>
    <x:row r="819" ht="14.25" customHeight="1">
      <x:c r="A819" s="10"/>
      <x:c r="B819" s="10"/>
      <x:c r="C819" s="10"/>
      <x:c r="D819" s="10"/>
      <x:c r="E819" s="10"/>
      <x:c r="F819" s="10"/>
      <x:c r="G819" s="10"/>
      <x:c r="H819" s="10"/>
    </x:row>
    <x:row r="820" ht="14.25" customHeight="1">
      <x:c r="A820" s="10"/>
      <x:c r="B820" s="10"/>
      <x:c r="C820" s="10"/>
      <x:c r="D820" s="10"/>
      <x:c r="E820" s="10"/>
      <x:c r="F820" s="10"/>
      <x:c r="G820" s="10"/>
      <x:c r="H820" s="10"/>
    </x:row>
    <x:row r="821" ht="14.25" customHeight="1">
      <x:c r="A821" s="10"/>
      <x:c r="B821" s="10"/>
      <x:c r="C821" s="10"/>
      <x:c r="D821" s="10"/>
      <x:c r="E821" s="10"/>
      <x:c r="F821" s="10"/>
      <x:c r="G821" s="10"/>
      <x:c r="H821" s="10"/>
    </x:row>
    <x:row r="822" ht="14.25" customHeight="1">
      <x:c r="A822" s="10"/>
      <x:c r="B822" s="10"/>
      <x:c r="C822" s="10"/>
      <x:c r="D822" s="10"/>
      <x:c r="E822" s="10"/>
      <x:c r="F822" s="10"/>
      <x:c r="G822" s="10"/>
      <x:c r="H822" s="10"/>
    </x:row>
    <x:row r="823" ht="14.25" customHeight="1">
      <x:c r="A823" s="10"/>
      <x:c r="B823" s="10"/>
      <x:c r="C823" s="10"/>
      <x:c r="D823" s="10"/>
      <x:c r="E823" s="10"/>
      <x:c r="F823" s="10"/>
      <x:c r="G823" s="10"/>
      <x:c r="H823" s="10"/>
    </x:row>
    <x:row r="824" ht="14.25" customHeight="1">
      <x:c r="A824" s="10"/>
      <x:c r="B824" s="10"/>
      <x:c r="C824" s="10"/>
      <x:c r="D824" s="10"/>
      <x:c r="E824" s="10"/>
      <x:c r="F824" s="10"/>
      <x:c r="G824" s="10"/>
      <x:c r="H824" s="10"/>
    </x:row>
    <x:row r="825" ht="14.25" customHeight="1">
      <x:c r="A825" s="10"/>
      <x:c r="B825" s="10"/>
      <x:c r="C825" s="10"/>
      <x:c r="D825" s="10"/>
      <x:c r="E825" s="10"/>
      <x:c r="F825" s="10"/>
      <x:c r="G825" s="10"/>
      <x:c r="H825" s="10"/>
    </x:row>
    <x:row r="826" ht="14.25" customHeight="1">
      <x:c r="A826" s="10"/>
      <x:c r="B826" s="10"/>
      <x:c r="C826" s="10"/>
      <x:c r="D826" s="10"/>
      <x:c r="E826" s="10"/>
      <x:c r="F826" s="10"/>
      <x:c r="G826" s="10"/>
      <x:c r="H826" s="10"/>
    </x:row>
    <x:row r="827" ht="14.25" customHeight="1">
      <x:c r="A827" s="10"/>
      <x:c r="B827" s="10"/>
      <x:c r="C827" s="10"/>
      <x:c r="D827" s="10"/>
      <x:c r="E827" s="10"/>
      <x:c r="F827" s="10"/>
      <x:c r="G827" s="10"/>
      <x:c r="H827" s="10"/>
    </x:row>
    <x:row r="828" ht="14.25" customHeight="1">
      <x:c r="A828" s="10"/>
      <x:c r="B828" s="10"/>
      <x:c r="C828" s="10"/>
      <x:c r="D828" s="10"/>
      <x:c r="E828" s="10"/>
      <x:c r="F828" s="10"/>
      <x:c r="G828" s="10"/>
      <x:c r="H828" s="10"/>
    </x:row>
    <x:row r="829" ht="14.25" customHeight="1">
      <x:c r="A829" s="10"/>
      <x:c r="B829" s="10"/>
      <x:c r="C829" s="10"/>
      <x:c r="D829" s="10"/>
      <x:c r="E829" s="10"/>
      <x:c r="F829" s="10"/>
      <x:c r="G829" s="10"/>
      <x:c r="H829" s="10"/>
    </x:row>
    <x:row r="830" ht="14.25" customHeight="1">
      <x:c r="A830" s="10"/>
      <x:c r="B830" s="10"/>
      <x:c r="C830" s="10"/>
      <x:c r="D830" s="10"/>
      <x:c r="E830" s="10"/>
      <x:c r="F830" s="10"/>
      <x:c r="G830" s="10"/>
      <x:c r="H830" s="10"/>
    </x:row>
    <x:row r="831" ht="14.25" customHeight="1">
      <x:c r="A831" s="10"/>
      <x:c r="B831" s="10"/>
      <x:c r="C831" s="10"/>
      <x:c r="D831" s="10"/>
      <x:c r="E831" s="10"/>
      <x:c r="F831" s="10"/>
      <x:c r="G831" s="10"/>
      <x:c r="H831" s="10"/>
    </x:row>
    <x:row r="832" ht="14.25" customHeight="1">
      <x:c r="A832" s="10"/>
      <x:c r="B832" s="10"/>
      <x:c r="C832" s="10"/>
      <x:c r="D832" s="10"/>
      <x:c r="E832" s="10"/>
      <x:c r="F832" s="10"/>
      <x:c r="G832" s="10"/>
      <x:c r="H832" s="10"/>
    </x:row>
    <x:row r="833" ht="14.25" customHeight="1">
      <x:c r="A833" s="10"/>
      <x:c r="B833" s="10"/>
      <x:c r="C833" s="10"/>
      <x:c r="D833" s="10"/>
      <x:c r="E833" s="10"/>
      <x:c r="F833" s="10"/>
      <x:c r="G833" s="10"/>
      <x:c r="H833" s="10"/>
    </x:row>
    <x:row r="834" ht="14.25" customHeight="1">
      <x:c r="A834" s="10"/>
      <x:c r="B834" s="10"/>
      <x:c r="C834" s="10"/>
      <x:c r="D834" s="10"/>
      <x:c r="E834" s="10"/>
      <x:c r="F834" s="10"/>
      <x:c r="G834" s="10"/>
      <x:c r="H834" s="10"/>
    </x:row>
    <x:row r="835" ht="14.25" customHeight="1">
      <x:c r="A835" s="10"/>
      <x:c r="B835" s="10"/>
      <x:c r="C835" s="10"/>
      <x:c r="D835" s="10"/>
      <x:c r="E835" s="10"/>
      <x:c r="F835" s="10"/>
      <x:c r="G835" s="10"/>
      <x:c r="H835" s="10"/>
    </x:row>
    <x:row r="836" ht="14.25" customHeight="1">
      <x:c r="A836" s="10"/>
      <x:c r="B836" s="10"/>
      <x:c r="C836" s="10"/>
      <x:c r="D836" s="10"/>
      <x:c r="E836" s="10"/>
      <x:c r="F836" s="10"/>
      <x:c r="G836" s="10"/>
      <x:c r="H836" s="10"/>
    </x:row>
    <x:row r="837" ht="14.25" customHeight="1">
      <x:c r="A837" s="10"/>
      <x:c r="B837" s="10"/>
      <x:c r="C837" s="10"/>
      <x:c r="D837" s="10"/>
      <x:c r="E837" s="10"/>
      <x:c r="F837" s="10"/>
      <x:c r="G837" s="10"/>
      <x:c r="H837" s="10"/>
    </x:row>
    <x:row r="838" ht="14.25" customHeight="1">
      <x:c r="A838" s="10"/>
      <x:c r="B838" s="10"/>
      <x:c r="C838" s="10"/>
      <x:c r="D838" s="10"/>
      <x:c r="E838" s="10"/>
      <x:c r="F838" s="10"/>
      <x:c r="G838" s="10"/>
      <x:c r="H838" s="10"/>
    </x:row>
    <x:row r="839" ht="14.25" customHeight="1">
      <x:c r="A839" s="10"/>
      <x:c r="B839" s="10"/>
      <x:c r="C839" s="10"/>
      <x:c r="D839" s="10"/>
      <x:c r="E839" s="10"/>
      <x:c r="F839" s="10"/>
      <x:c r="G839" s="10"/>
      <x:c r="H839" s="10"/>
    </x:row>
    <x:row r="840" ht="14.25" customHeight="1">
      <x:c r="A840" s="10"/>
      <x:c r="B840" s="10"/>
      <x:c r="C840" s="10"/>
      <x:c r="D840" s="10"/>
      <x:c r="E840" s="10"/>
      <x:c r="F840" s="10"/>
      <x:c r="G840" s="10"/>
      <x:c r="H840" s="10"/>
    </x:row>
    <x:row r="841" ht="14.25" customHeight="1">
      <x:c r="A841" s="10"/>
      <x:c r="B841" s="10"/>
      <x:c r="C841" s="10"/>
      <x:c r="D841" s="10"/>
      <x:c r="E841" s="10"/>
      <x:c r="F841" s="10"/>
      <x:c r="G841" s="10"/>
      <x:c r="H841" s="10"/>
    </x:row>
    <x:row r="842" ht="14.25" customHeight="1">
      <x:c r="A842" s="10"/>
      <x:c r="B842" s="10"/>
      <x:c r="C842" s="10"/>
      <x:c r="D842" s="10"/>
      <x:c r="E842" s="10"/>
      <x:c r="F842" s="10"/>
      <x:c r="G842" s="10"/>
      <x:c r="H842" s="10"/>
    </x:row>
    <x:row r="843" ht="14.25" customHeight="1">
      <x:c r="A843" s="10"/>
      <x:c r="B843" s="10"/>
      <x:c r="C843" s="10"/>
      <x:c r="D843" s="10"/>
      <x:c r="E843" s="10"/>
      <x:c r="F843" s="10"/>
      <x:c r="G843" s="10"/>
      <x:c r="H843" s="10"/>
    </x:row>
    <x:row r="844" ht="14.25" customHeight="1">
      <x:c r="A844" s="10"/>
      <x:c r="B844" s="10"/>
      <x:c r="C844" s="10"/>
      <x:c r="D844" s="10"/>
      <x:c r="E844" s="10"/>
      <x:c r="F844" s="10"/>
      <x:c r="G844" s="10"/>
      <x:c r="H844" s="10"/>
    </x:row>
    <x:row r="845" ht="14.25" customHeight="1">
      <x:c r="A845" s="10"/>
      <x:c r="B845" s="10"/>
      <x:c r="C845" s="10"/>
      <x:c r="D845" s="10"/>
      <x:c r="E845" s="10"/>
      <x:c r="F845" s="10"/>
      <x:c r="G845" s="10"/>
      <x:c r="H845" s="10"/>
    </x:row>
    <x:row r="846" ht="14.25" customHeight="1">
      <x:c r="A846" s="10"/>
      <x:c r="B846" s="10"/>
      <x:c r="C846" s="10"/>
      <x:c r="D846" s="10"/>
      <x:c r="E846" s="10"/>
      <x:c r="F846" s="10"/>
      <x:c r="G846" s="10"/>
      <x:c r="H846" s="10"/>
    </x:row>
    <x:row r="847" ht="14.25" customHeight="1">
      <x:c r="A847" s="10"/>
      <x:c r="B847" s="10"/>
      <x:c r="C847" s="10"/>
      <x:c r="D847" s="10"/>
      <x:c r="E847" s="10"/>
      <x:c r="F847" s="10"/>
      <x:c r="G847" s="10"/>
      <x:c r="H847" s="10"/>
    </x:row>
    <x:row r="848" ht="14.25" customHeight="1">
      <x:c r="A848" s="10"/>
      <x:c r="B848" s="10"/>
      <x:c r="C848" s="10"/>
      <x:c r="D848" s="10"/>
      <x:c r="E848" s="10"/>
      <x:c r="F848" s="10"/>
      <x:c r="G848" s="10"/>
      <x:c r="H848" s="10"/>
    </x:row>
    <x:row r="849" ht="14.25" customHeight="1">
      <x:c r="A849" s="10"/>
      <x:c r="B849" s="10"/>
      <x:c r="C849" s="10"/>
      <x:c r="D849" s="10"/>
      <x:c r="E849" s="10"/>
      <x:c r="F849" s="10"/>
      <x:c r="G849" s="10"/>
      <x:c r="H849" s="10"/>
    </x:row>
    <x:row r="850" ht="14.25" customHeight="1">
      <x:c r="A850" s="10"/>
      <x:c r="B850" s="10"/>
      <x:c r="C850" s="10"/>
      <x:c r="D850" s="10"/>
      <x:c r="E850" s="10"/>
      <x:c r="F850" s="10"/>
      <x:c r="G850" s="10"/>
      <x:c r="H850" s="10"/>
    </x:row>
    <x:row r="851" ht="14.25" customHeight="1">
      <x:c r="A851" s="10"/>
      <x:c r="B851" s="10"/>
      <x:c r="C851" s="10"/>
      <x:c r="D851" s="10"/>
      <x:c r="E851" s="10"/>
      <x:c r="F851" s="10"/>
      <x:c r="G851" s="10"/>
      <x:c r="H851" s="10"/>
    </x:row>
    <x:row r="852" ht="14.25" customHeight="1">
      <x:c r="A852" s="10"/>
      <x:c r="B852" s="10"/>
      <x:c r="C852" s="10"/>
      <x:c r="D852" s="10"/>
      <x:c r="E852" s="10"/>
      <x:c r="F852" s="10"/>
      <x:c r="G852" s="10"/>
      <x:c r="H852" s="10"/>
    </x:row>
    <x:row r="853" ht="14.25" customHeight="1">
      <x:c r="A853" s="10"/>
      <x:c r="B853" s="10"/>
      <x:c r="C853" s="10"/>
      <x:c r="D853" s="10"/>
      <x:c r="E853" s="10"/>
      <x:c r="F853" s="10"/>
      <x:c r="G853" s="10"/>
      <x:c r="H853" s="10"/>
    </x:row>
    <x:row r="854" ht="14.25" customHeight="1">
      <x:c r="A854" s="10"/>
      <x:c r="B854" s="10"/>
      <x:c r="C854" s="10"/>
      <x:c r="D854" s="10"/>
      <x:c r="E854" s="10"/>
      <x:c r="F854" s="10"/>
      <x:c r="G854" s="10"/>
      <x:c r="H854" s="10"/>
    </x:row>
    <x:row r="855" ht="14.25" customHeight="1">
      <x:c r="A855" s="10"/>
      <x:c r="B855" s="10"/>
      <x:c r="C855" s="10"/>
      <x:c r="D855" s="10"/>
      <x:c r="E855" s="10"/>
      <x:c r="F855" s="10"/>
      <x:c r="G855" s="10"/>
      <x:c r="H855" s="10"/>
    </x:row>
    <x:row r="856" ht="14.25" customHeight="1">
      <x:c r="A856" s="10"/>
      <x:c r="B856" s="10"/>
      <x:c r="C856" s="10"/>
      <x:c r="D856" s="10"/>
      <x:c r="E856" s="10"/>
      <x:c r="F856" s="10"/>
      <x:c r="G856" s="10"/>
      <x:c r="H856" s="10"/>
    </x:row>
    <x:row r="857" ht="14.25" customHeight="1">
      <x:c r="A857" s="10"/>
      <x:c r="B857" s="10"/>
      <x:c r="C857" s="10"/>
      <x:c r="D857" s="10"/>
      <x:c r="E857" s="10"/>
      <x:c r="F857" s="10"/>
      <x:c r="G857" s="10"/>
      <x:c r="H857" s="10"/>
    </x:row>
    <x:row r="858" ht="14.25" customHeight="1">
      <x:c r="A858" s="10"/>
      <x:c r="B858" s="10"/>
      <x:c r="C858" s="10"/>
      <x:c r="D858" s="10"/>
      <x:c r="E858" s="10"/>
      <x:c r="F858" s="10"/>
      <x:c r="G858" s="10"/>
      <x:c r="H858" s="10"/>
    </x:row>
    <x:row r="859" ht="14.25" customHeight="1">
      <x:c r="A859" s="10"/>
      <x:c r="B859" s="10"/>
      <x:c r="C859" s="10"/>
      <x:c r="D859" s="10"/>
      <x:c r="E859" s="10"/>
      <x:c r="F859" s="10"/>
      <x:c r="G859" s="10"/>
      <x:c r="H859" s="10"/>
    </x:row>
    <x:row r="860" ht="14.25" customHeight="1">
      <x:c r="A860" s="10"/>
      <x:c r="B860" s="10"/>
      <x:c r="C860" s="10"/>
      <x:c r="D860" s="10"/>
      <x:c r="E860" s="10"/>
      <x:c r="F860" s="10"/>
      <x:c r="G860" s="10"/>
      <x:c r="H860" s="10"/>
    </x:row>
    <x:row r="861" ht="14.25" customHeight="1">
      <x:c r="A861" s="10"/>
      <x:c r="B861" s="10"/>
      <x:c r="C861" s="10"/>
      <x:c r="D861" s="10"/>
      <x:c r="E861" s="10"/>
      <x:c r="F861" s="10"/>
      <x:c r="G861" s="10"/>
      <x:c r="H861" s="10"/>
    </x:row>
    <x:row r="862" ht="14.25" customHeight="1">
      <x:c r="A862" s="10"/>
      <x:c r="B862" s="10"/>
      <x:c r="C862" s="10"/>
      <x:c r="D862" s="10"/>
      <x:c r="E862" s="10"/>
      <x:c r="F862" s="10"/>
      <x:c r="G862" s="10"/>
      <x:c r="H862" s="10"/>
    </x:row>
    <x:row r="863" ht="14.25" customHeight="1">
      <x:c r="A863" s="10"/>
      <x:c r="B863" s="10"/>
      <x:c r="C863" s="10"/>
      <x:c r="D863" s="10"/>
      <x:c r="E863" s="10"/>
      <x:c r="F863" s="10"/>
      <x:c r="G863" s="10"/>
      <x:c r="H863" s="10"/>
    </x:row>
    <x:row r="864" ht="14.25" customHeight="1">
      <x:c r="A864" s="10"/>
      <x:c r="B864" s="10"/>
      <x:c r="C864" s="10"/>
      <x:c r="D864" s="10"/>
      <x:c r="E864" s="10"/>
      <x:c r="F864" s="10"/>
      <x:c r="G864" s="10"/>
      <x:c r="H864" s="10"/>
    </x:row>
    <x:row r="865" ht="14.25" customHeight="1">
      <x:c r="A865" s="10"/>
      <x:c r="B865" s="10"/>
      <x:c r="C865" s="10"/>
      <x:c r="D865" s="10"/>
      <x:c r="E865" s="10"/>
      <x:c r="F865" s="10"/>
      <x:c r="G865" s="10"/>
      <x:c r="H865" s="10"/>
    </x:row>
    <x:row r="866" ht="14.25" customHeight="1">
      <x:c r="A866" s="10"/>
      <x:c r="B866" s="10"/>
      <x:c r="C866" s="10"/>
      <x:c r="D866" s="10"/>
      <x:c r="E866" s="10"/>
      <x:c r="F866" s="10"/>
      <x:c r="G866" s="10"/>
      <x:c r="H866" s="10"/>
    </x:row>
    <x:row r="867" ht="14.25" customHeight="1">
      <x:c r="A867" s="10"/>
      <x:c r="B867" s="10"/>
      <x:c r="C867" s="10"/>
      <x:c r="D867" s="10"/>
      <x:c r="E867" s="10"/>
      <x:c r="F867" s="10"/>
      <x:c r="G867" s="10"/>
      <x:c r="H867" s="10"/>
    </x:row>
    <x:row r="868" ht="14.25" customHeight="1">
      <x:c r="A868" s="10"/>
      <x:c r="B868" s="10"/>
      <x:c r="C868" s="10"/>
      <x:c r="D868" s="10"/>
      <x:c r="E868" s="10"/>
      <x:c r="F868" s="10"/>
      <x:c r="G868" s="10"/>
      <x:c r="H868" s="10"/>
    </x:row>
    <x:row r="869" ht="14.25" customHeight="1">
      <x:c r="A869" s="10"/>
      <x:c r="B869" s="10"/>
      <x:c r="C869" s="10"/>
      <x:c r="D869" s="10"/>
      <x:c r="E869" s="10"/>
      <x:c r="F869" s="10"/>
      <x:c r="G869" s="10"/>
      <x:c r="H869" s="10"/>
    </x:row>
    <x:row r="870" ht="14.25" customHeight="1">
      <x:c r="A870" s="10"/>
      <x:c r="B870" s="10"/>
      <x:c r="C870" s="10"/>
      <x:c r="D870" s="10"/>
      <x:c r="E870" s="10"/>
      <x:c r="F870" s="10"/>
      <x:c r="G870" s="10"/>
      <x:c r="H870" s="10"/>
    </x:row>
    <x:row r="871" ht="14.25" customHeight="1">
      <x:c r="A871" s="10"/>
      <x:c r="B871" s="10"/>
      <x:c r="C871" s="10"/>
      <x:c r="D871" s="10"/>
      <x:c r="E871" s="10"/>
      <x:c r="F871" s="10"/>
      <x:c r="G871" s="10"/>
      <x:c r="H871" s="10"/>
    </x:row>
    <x:row r="872" ht="14.25" customHeight="1">
      <x:c r="A872" s="10"/>
      <x:c r="B872" s="10"/>
      <x:c r="C872" s="10"/>
      <x:c r="D872" s="10"/>
      <x:c r="E872" s="10"/>
      <x:c r="F872" s="10"/>
      <x:c r="G872" s="10"/>
      <x:c r="H872" s="10"/>
    </x:row>
    <x:row r="873" ht="14.25" customHeight="1">
      <x:c r="A873" s="10"/>
      <x:c r="B873" s="10"/>
      <x:c r="C873" s="10"/>
      <x:c r="D873" s="10"/>
      <x:c r="E873" s="10"/>
      <x:c r="F873" s="10"/>
      <x:c r="G873" s="10"/>
      <x:c r="H873" s="10"/>
    </x:row>
    <x:row r="874" ht="14.25" customHeight="1">
      <x:c r="A874" s="10"/>
      <x:c r="B874" s="10"/>
      <x:c r="C874" s="10"/>
      <x:c r="D874" s="10"/>
      <x:c r="E874" s="10"/>
      <x:c r="F874" s="10"/>
      <x:c r="G874" s="10"/>
      <x:c r="H874" s="10"/>
    </x:row>
    <x:row r="875" ht="14.25" customHeight="1">
      <x:c r="A875" s="10"/>
      <x:c r="B875" s="10"/>
      <x:c r="C875" s="10"/>
      <x:c r="D875" s="10"/>
      <x:c r="E875" s="10"/>
      <x:c r="F875" s="10"/>
      <x:c r="G875" s="10"/>
      <x:c r="H875" s="10"/>
    </x:row>
    <x:row r="876" ht="14.25" customHeight="1">
      <x:c r="A876" s="10"/>
      <x:c r="B876" s="10"/>
      <x:c r="C876" s="10"/>
      <x:c r="D876" s="10"/>
      <x:c r="E876" s="10"/>
      <x:c r="F876" s="10"/>
      <x:c r="G876" s="10"/>
      <x:c r="H876" s="10"/>
    </x:row>
    <x:row r="877" ht="14.25" customHeight="1">
      <x:c r="A877" s="10"/>
      <x:c r="B877" s="10"/>
      <x:c r="C877" s="10"/>
      <x:c r="D877" s="10"/>
      <x:c r="E877" s="10"/>
      <x:c r="F877" s="10"/>
      <x:c r="G877" s="10"/>
      <x:c r="H877" s="10"/>
    </x:row>
    <x:row r="878" ht="14.25" customHeight="1">
      <x:c r="A878" s="10"/>
      <x:c r="B878" s="10"/>
      <x:c r="C878" s="10"/>
      <x:c r="D878" s="10"/>
      <x:c r="E878" s="10"/>
      <x:c r="F878" s="10"/>
      <x:c r="G878" s="10"/>
      <x:c r="H878" s="10"/>
    </x:row>
    <x:row r="879" ht="14.25" customHeight="1">
      <x:c r="A879" s="10"/>
      <x:c r="B879" s="10"/>
      <x:c r="C879" s="10"/>
      <x:c r="D879" s="10"/>
      <x:c r="E879" s="10"/>
      <x:c r="F879" s="10"/>
      <x:c r="G879" s="10"/>
      <x:c r="H879" s="10"/>
    </x:row>
    <x:row r="880" ht="14.25" customHeight="1">
      <x:c r="A880" s="10"/>
      <x:c r="B880" s="10"/>
      <x:c r="C880" s="10"/>
      <x:c r="D880" s="10"/>
      <x:c r="E880" s="10"/>
      <x:c r="F880" s="10"/>
      <x:c r="G880" s="10"/>
      <x:c r="H880" s="10"/>
    </x:row>
    <x:row r="881" ht="14.25" customHeight="1">
      <x:c r="A881" s="10"/>
      <x:c r="B881" s="10"/>
      <x:c r="C881" s="10"/>
      <x:c r="D881" s="10"/>
      <x:c r="E881" s="10"/>
      <x:c r="F881" s="10"/>
      <x:c r="G881" s="10"/>
      <x:c r="H881" s="10"/>
    </x:row>
    <x:row r="882" ht="14.25" customHeight="1">
      <x:c r="A882" s="10"/>
      <x:c r="B882" s="10"/>
      <x:c r="C882" s="10"/>
      <x:c r="D882" s="10"/>
      <x:c r="E882" s="10"/>
      <x:c r="F882" s="10"/>
      <x:c r="G882" s="10"/>
      <x:c r="H882" s="10"/>
    </x:row>
    <x:row r="883" ht="14.25" customHeight="1">
      <x:c r="A883" s="10"/>
      <x:c r="B883" s="10"/>
      <x:c r="C883" s="10"/>
      <x:c r="D883" s="10"/>
      <x:c r="E883" s="10"/>
      <x:c r="F883" s="10"/>
      <x:c r="G883" s="10"/>
      <x:c r="H883" s="10"/>
    </x:row>
    <x:row r="884" ht="14.25" customHeight="1">
      <x:c r="A884" s="10"/>
      <x:c r="B884" s="10"/>
      <x:c r="C884" s="10"/>
      <x:c r="D884" s="10"/>
      <x:c r="E884" s="10"/>
      <x:c r="F884" s="10"/>
      <x:c r="G884" s="10"/>
      <x:c r="H884" s="10"/>
    </x:row>
    <x:row r="885" ht="14.25" customHeight="1">
      <x:c r="A885" s="10"/>
      <x:c r="B885" s="10"/>
      <x:c r="C885" s="10"/>
      <x:c r="D885" s="10"/>
      <x:c r="E885" s="10"/>
      <x:c r="F885" s="10"/>
      <x:c r="G885" s="10"/>
      <x:c r="H885" s="10"/>
    </x:row>
    <x:row r="886" ht="14.25" customHeight="1">
      <x:c r="A886" s="10"/>
      <x:c r="B886" s="10"/>
      <x:c r="C886" s="10"/>
      <x:c r="D886" s="10"/>
      <x:c r="E886" s="10"/>
      <x:c r="F886" s="10"/>
      <x:c r="G886" s="10"/>
      <x:c r="H886" s="10"/>
    </x:row>
    <x:row r="887" ht="14.25" customHeight="1">
      <x:c r="A887" s="10"/>
      <x:c r="B887" s="10"/>
      <x:c r="C887" s="10"/>
      <x:c r="D887" s="10"/>
      <x:c r="E887" s="10"/>
      <x:c r="F887" s="10"/>
      <x:c r="G887" s="10"/>
      <x:c r="H887" s="10"/>
    </x:row>
    <x:row r="888" ht="14.25" customHeight="1">
      <x:c r="A888" s="10"/>
      <x:c r="B888" s="10"/>
      <x:c r="C888" s="10"/>
      <x:c r="D888" s="10"/>
      <x:c r="E888" s="10"/>
      <x:c r="F888" s="10"/>
      <x:c r="G888" s="10"/>
      <x:c r="H888" s="10"/>
    </x:row>
    <x:row r="889" ht="14.25" customHeight="1">
      <x:c r="A889" s="10"/>
      <x:c r="B889" s="10"/>
      <x:c r="C889" s="10"/>
      <x:c r="D889" s="10"/>
      <x:c r="E889" s="10"/>
      <x:c r="F889" s="10"/>
      <x:c r="G889" s="10"/>
      <x:c r="H889" s="10"/>
    </x:row>
    <x:row r="890" ht="14.25" customHeight="1">
      <x:c r="A890" s="10"/>
      <x:c r="B890" s="10"/>
      <x:c r="C890" s="10"/>
      <x:c r="D890" s="10"/>
      <x:c r="E890" s="10"/>
      <x:c r="F890" s="10"/>
      <x:c r="G890" s="10"/>
      <x:c r="H890" s="10"/>
    </x:row>
    <x:row r="891" ht="14.25" customHeight="1">
      <x:c r="A891" s="10"/>
      <x:c r="B891" s="10"/>
      <x:c r="C891" s="10"/>
      <x:c r="D891" s="10"/>
      <x:c r="E891" s="10"/>
      <x:c r="F891" s="10"/>
      <x:c r="G891" s="10"/>
      <x:c r="H891" s="10"/>
    </x:row>
    <x:row r="892" ht="14.25" customHeight="1">
      <x:c r="A892" s="10"/>
      <x:c r="B892" s="10"/>
      <x:c r="C892" s="10"/>
      <x:c r="D892" s="10"/>
      <x:c r="E892" s="10"/>
      <x:c r="F892" s="10"/>
      <x:c r="G892" s="10"/>
      <x:c r="H892" s="10"/>
    </x:row>
    <x:row r="893" ht="14.25" customHeight="1">
      <x:c r="A893" s="10"/>
      <x:c r="B893" s="10"/>
      <x:c r="C893" s="10"/>
      <x:c r="D893" s="10"/>
      <x:c r="E893" s="10"/>
      <x:c r="F893" s="10"/>
      <x:c r="G893" s="10"/>
      <x:c r="H893" s="10"/>
    </x:row>
    <x:row r="894" ht="14.25" customHeight="1">
      <x:c r="A894" s="10"/>
      <x:c r="B894" s="10"/>
      <x:c r="C894" s="10"/>
      <x:c r="D894" s="10"/>
      <x:c r="E894" s="10"/>
      <x:c r="F894" s="10"/>
      <x:c r="G894" s="10"/>
      <x:c r="H894" s="10"/>
    </x:row>
    <x:row r="895" ht="14.25" customHeight="1">
      <x:c r="A895" s="10"/>
      <x:c r="B895" s="10"/>
      <x:c r="C895" s="10"/>
      <x:c r="D895" s="10"/>
      <x:c r="E895" s="10"/>
      <x:c r="F895" s="10"/>
      <x:c r="G895" s="10"/>
      <x:c r="H895" s="10"/>
    </x:row>
    <x:row r="896" ht="14.25" customHeight="1">
      <x:c r="A896" s="10"/>
      <x:c r="B896" s="10"/>
      <x:c r="C896" s="10"/>
      <x:c r="D896" s="10"/>
      <x:c r="E896" s="10"/>
      <x:c r="F896" s="10"/>
      <x:c r="G896" s="10"/>
      <x:c r="H896" s="10"/>
    </x:row>
    <x:row r="897" ht="14.25" customHeight="1">
      <x:c r="A897" s="10"/>
      <x:c r="B897" s="10"/>
      <x:c r="C897" s="10"/>
      <x:c r="D897" s="10"/>
      <x:c r="E897" s="10"/>
      <x:c r="F897" s="10"/>
      <x:c r="G897" s="10"/>
      <x:c r="H897" s="10"/>
    </x:row>
    <x:row r="898" ht="14.25" customHeight="1">
      <x:c r="A898" s="10"/>
      <x:c r="B898" s="10"/>
      <x:c r="C898" s="10"/>
      <x:c r="D898" s="10"/>
      <x:c r="E898" s="10"/>
      <x:c r="F898" s="10"/>
      <x:c r="G898" s="10"/>
      <x:c r="H898" s="10"/>
    </x:row>
    <x:row r="899" ht="14.25" customHeight="1">
      <x:c r="A899" s="10"/>
      <x:c r="B899" s="10"/>
      <x:c r="C899" s="10"/>
      <x:c r="D899" s="10"/>
      <x:c r="E899" s="10"/>
      <x:c r="F899" s="10"/>
      <x:c r="G899" s="10"/>
      <x:c r="H899" s="10"/>
    </x:row>
    <x:row r="900" ht="14.25" customHeight="1">
      <x:c r="A900" s="10"/>
      <x:c r="B900" s="10"/>
      <x:c r="C900" s="10"/>
      <x:c r="D900" s="10"/>
      <x:c r="E900" s="10"/>
      <x:c r="F900" s="10"/>
      <x:c r="G900" s="10"/>
      <x:c r="H900" s="10"/>
    </x:row>
    <x:row r="901" ht="14.25" customHeight="1">
      <x:c r="A901" s="10"/>
      <x:c r="B901" s="10"/>
      <x:c r="C901" s="10"/>
      <x:c r="D901" s="10"/>
      <x:c r="E901" s="10"/>
      <x:c r="F901" s="10"/>
      <x:c r="G901" s="10"/>
      <x:c r="H901" s="10"/>
    </x:row>
    <x:row r="902" ht="14.25" customHeight="1">
      <x:c r="A902" s="10"/>
      <x:c r="B902" s="10"/>
      <x:c r="C902" s="10"/>
      <x:c r="D902" s="10"/>
      <x:c r="E902" s="10"/>
      <x:c r="F902" s="10"/>
      <x:c r="G902" s="10"/>
      <x:c r="H902" s="10"/>
    </x:row>
    <x:row r="903" ht="14.25" customHeight="1">
      <x:c r="A903" s="10"/>
      <x:c r="B903" s="10"/>
      <x:c r="C903" s="10"/>
      <x:c r="D903" s="10"/>
      <x:c r="E903" s="10"/>
      <x:c r="F903" s="10"/>
      <x:c r="G903" s="10"/>
      <x:c r="H903" s="10"/>
    </x:row>
    <x:row r="904" ht="14.25" customHeight="1">
      <x:c r="A904" s="10"/>
      <x:c r="B904" s="10"/>
      <x:c r="C904" s="10"/>
      <x:c r="D904" s="10"/>
      <x:c r="E904" s="10"/>
      <x:c r="F904" s="10"/>
      <x:c r="G904" s="10"/>
      <x:c r="H904" s="10"/>
    </x:row>
    <x:row r="905" ht="14.25" customHeight="1">
      <x:c r="A905" s="10"/>
      <x:c r="B905" s="10"/>
      <x:c r="C905" s="10"/>
      <x:c r="D905" s="10"/>
      <x:c r="E905" s="10"/>
      <x:c r="F905" s="10"/>
      <x:c r="G905" s="10"/>
      <x:c r="H905" s="10"/>
    </x:row>
    <x:row r="906" ht="14.25" customHeight="1">
      <x:c r="A906" s="10"/>
      <x:c r="B906" s="10"/>
      <x:c r="C906" s="10"/>
      <x:c r="D906" s="10"/>
      <x:c r="E906" s="10"/>
      <x:c r="F906" s="10"/>
      <x:c r="G906" s="10"/>
      <x:c r="H906" s="10"/>
    </x:row>
    <x:row r="907" ht="14.25" customHeight="1">
      <x:c r="A907" s="10"/>
      <x:c r="B907" s="10"/>
      <x:c r="C907" s="10"/>
      <x:c r="D907" s="10"/>
      <x:c r="E907" s="10"/>
      <x:c r="F907" s="10"/>
      <x:c r="G907" s="10"/>
      <x:c r="H907" s="10"/>
    </x:row>
    <x:row r="908" ht="14.25" customHeight="1">
      <x:c r="A908" s="10"/>
      <x:c r="B908" s="10"/>
      <x:c r="C908" s="10"/>
      <x:c r="D908" s="10"/>
      <x:c r="E908" s="10"/>
      <x:c r="F908" s="10"/>
      <x:c r="G908" s="10"/>
      <x:c r="H908" s="10"/>
    </x:row>
    <x:row r="909" ht="14.25" customHeight="1">
      <x:c r="A909" s="10"/>
      <x:c r="B909" s="10"/>
      <x:c r="C909" s="10"/>
      <x:c r="D909" s="10"/>
      <x:c r="E909" s="10"/>
      <x:c r="F909" s="10"/>
      <x:c r="G909" s="10"/>
      <x:c r="H909" s="10"/>
    </x:row>
    <x:row r="910" ht="14.25" customHeight="1">
      <x:c r="A910" s="10"/>
      <x:c r="B910" s="10"/>
      <x:c r="C910" s="10"/>
      <x:c r="D910" s="10"/>
      <x:c r="E910" s="10"/>
      <x:c r="F910" s="10"/>
      <x:c r="G910" s="10"/>
      <x:c r="H910" s="10"/>
    </x:row>
    <x:row r="911" ht="14.25" customHeight="1">
      <x:c r="A911" s="10"/>
      <x:c r="B911" s="10"/>
      <x:c r="C911" s="10"/>
      <x:c r="D911" s="10"/>
      <x:c r="E911" s="10"/>
      <x:c r="F911" s="10"/>
      <x:c r="G911" s="10"/>
      <x:c r="H911" s="10"/>
    </x:row>
    <x:row r="912" ht="14.25" customHeight="1">
      <x:c r="A912" s="10"/>
      <x:c r="B912" s="10"/>
      <x:c r="C912" s="10"/>
      <x:c r="D912" s="10"/>
      <x:c r="E912" s="10"/>
      <x:c r="F912" s="10"/>
      <x:c r="G912" s="10"/>
      <x:c r="H912" s="10"/>
    </x:row>
    <x:row r="913" ht="14.25" customHeight="1">
      <x:c r="A913" s="10"/>
      <x:c r="B913" s="10"/>
      <x:c r="C913" s="10"/>
      <x:c r="D913" s="10"/>
      <x:c r="E913" s="10"/>
      <x:c r="F913" s="10"/>
      <x:c r="G913" s="10"/>
      <x:c r="H913" s="10"/>
    </x:row>
    <x:row r="914" ht="14.25" customHeight="1">
      <x:c r="A914" s="10"/>
      <x:c r="B914" s="10"/>
      <x:c r="C914" s="10"/>
      <x:c r="D914" s="10"/>
      <x:c r="E914" s="10"/>
      <x:c r="F914" s="10"/>
      <x:c r="G914" s="10"/>
      <x:c r="H914" s="10"/>
    </x:row>
    <x:row r="915" ht="14.25" customHeight="1">
      <x:c r="A915" s="10"/>
      <x:c r="B915" s="10"/>
      <x:c r="C915" s="10"/>
      <x:c r="D915" s="10"/>
      <x:c r="E915" s="10"/>
      <x:c r="F915" s="10"/>
      <x:c r="G915" s="10"/>
      <x:c r="H915" s="10"/>
    </x:row>
    <x:row r="916" ht="14.25" customHeight="1">
      <x:c r="A916" s="10"/>
      <x:c r="B916" s="10"/>
      <x:c r="C916" s="10"/>
      <x:c r="D916" s="10"/>
      <x:c r="E916" s="10"/>
      <x:c r="F916" s="10"/>
      <x:c r="G916" s="10"/>
      <x:c r="H916" s="10"/>
    </x:row>
    <x:row r="917" ht="14.25" customHeight="1">
      <x:c r="A917" s="10"/>
      <x:c r="B917" s="10"/>
      <x:c r="C917" s="10"/>
      <x:c r="D917" s="10"/>
      <x:c r="E917" s="10"/>
      <x:c r="F917" s="10"/>
      <x:c r="G917" s="10"/>
      <x:c r="H917" s="10"/>
    </x:row>
    <x:row r="918" ht="14.25" customHeight="1">
      <x:c r="A918" s="10"/>
      <x:c r="B918" s="10"/>
      <x:c r="C918" s="10"/>
      <x:c r="D918" s="10"/>
      <x:c r="E918" s="10"/>
      <x:c r="F918" s="10"/>
      <x:c r="G918" s="10"/>
      <x:c r="H918" s="10"/>
    </x:row>
    <x:row r="919" ht="14.25" customHeight="1">
      <x:c r="A919" s="10"/>
      <x:c r="B919" s="10"/>
      <x:c r="C919" s="10"/>
      <x:c r="D919" s="10"/>
      <x:c r="E919" s="10"/>
      <x:c r="F919" s="10"/>
      <x:c r="G919" s="10"/>
      <x:c r="H919" s="10"/>
    </x:row>
    <x:row r="920" ht="14.25" customHeight="1">
      <x:c r="A920" s="10"/>
      <x:c r="B920" s="10"/>
      <x:c r="C920" s="10"/>
      <x:c r="D920" s="10"/>
      <x:c r="E920" s="10"/>
      <x:c r="F920" s="10"/>
      <x:c r="G920" s="10"/>
      <x:c r="H920" s="10"/>
    </x:row>
    <x:row r="921" ht="14.25" customHeight="1">
      <x:c r="A921" s="10"/>
      <x:c r="B921" s="10"/>
      <x:c r="C921" s="10"/>
      <x:c r="D921" s="10"/>
      <x:c r="E921" s="10"/>
      <x:c r="F921" s="10"/>
      <x:c r="G921" s="10"/>
      <x:c r="H921" s="10"/>
    </x:row>
    <x:row r="922" ht="14.25" customHeight="1">
      <x:c r="A922" s="10"/>
      <x:c r="B922" s="10"/>
      <x:c r="C922" s="10"/>
      <x:c r="D922" s="10"/>
      <x:c r="E922" s="10"/>
      <x:c r="F922" s="10"/>
      <x:c r="G922" s="10"/>
      <x:c r="H922" s="10"/>
    </x:row>
    <x:row r="923" ht="14.25" customHeight="1">
      <x:c r="A923" s="10"/>
      <x:c r="B923" s="10"/>
      <x:c r="C923" s="10"/>
      <x:c r="D923" s="10"/>
      <x:c r="E923" s="10"/>
      <x:c r="F923" s="10"/>
      <x:c r="G923" s="10"/>
      <x:c r="H923" s="10"/>
    </x:row>
    <x:row r="924" ht="14.25" customHeight="1">
      <x:c r="A924" s="10"/>
      <x:c r="B924" s="10"/>
      <x:c r="C924" s="10"/>
      <x:c r="D924" s="10"/>
      <x:c r="E924" s="10"/>
      <x:c r="F924" s="10"/>
      <x:c r="G924" s="10"/>
      <x:c r="H924" s="10"/>
    </x:row>
    <x:row r="925" ht="14.25" customHeight="1">
      <x:c r="A925" s="10"/>
      <x:c r="B925" s="10"/>
      <x:c r="C925" s="10"/>
      <x:c r="D925" s="10"/>
      <x:c r="E925" s="10"/>
      <x:c r="F925" s="10"/>
      <x:c r="G925" s="10"/>
      <x:c r="H925" s="10"/>
    </x:row>
    <x:row r="926" ht="14.25" customHeight="1">
      <x:c r="A926" s="10"/>
      <x:c r="B926" s="10"/>
      <x:c r="C926" s="10"/>
      <x:c r="D926" s="10"/>
      <x:c r="E926" s="10"/>
      <x:c r="F926" s="10"/>
      <x:c r="G926" s="10"/>
      <x:c r="H926" s="10"/>
    </x:row>
    <x:row r="927" ht="14.25" customHeight="1">
      <x:c r="A927" s="10"/>
      <x:c r="B927" s="10"/>
      <x:c r="C927" s="10"/>
      <x:c r="D927" s="10"/>
      <x:c r="E927" s="10"/>
      <x:c r="F927" s="10"/>
      <x:c r="G927" s="10"/>
      <x:c r="H927" s="10"/>
    </x:row>
    <x:row r="928" ht="14.25" customHeight="1">
      <x:c r="A928" s="10"/>
      <x:c r="B928" s="10"/>
      <x:c r="C928" s="10"/>
      <x:c r="D928" s="10"/>
      <x:c r="E928" s="10"/>
      <x:c r="F928" s="10"/>
      <x:c r="G928" s="10"/>
      <x:c r="H928" s="10"/>
    </x:row>
    <x:row r="929" ht="14.25" customHeight="1">
      <x:c r="A929" s="10"/>
      <x:c r="B929" s="10"/>
      <x:c r="C929" s="10"/>
      <x:c r="D929" s="10"/>
      <x:c r="E929" s="10"/>
      <x:c r="F929" s="10"/>
      <x:c r="G929" s="10"/>
      <x:c r="H929" s="10"/>
    </x:row>
    <x:row r="930" ht="14.25" customHeight="1">
      <x:c r="A930" s="10"/>
      <x:c r="B930" s="10"/>
      <x:c r="C930" s="10"/>
      <x:c r="D930" s="10"/>
      <x:c r="E930" s="10"/>
      <x:c r="F930" s="10"/>
      <x:c r="G930" s="10"/>
      <x:c r="H930" s="10"/>
    </x:row>
    <x:row r="931" ht="14.25" customHeight="1">
      <x:c r="A931" s="10"/>
      <x:c r="B931" s="10"/>
      <x:c r="C931" s="10"/>
      <x:c r="D931" s="10"/>
      <x:c r="E931" s="10"/>
      <x:c r="F931" s="10"/>
      <x:c r="G931" s="10"/>
      <x:c r="H931" s="10"/>
    </x:row>
    <x:row r="932" ht="14.25" customHeight="1">
      <x:c r="A932" s="10"/>
      <x:c r="B932" s="10"/>
      <x:c r="C932" s="10"/>
      <x:c r="D932" s="10"/>
      <x:c r="E932" s="10"/>
      <x:c r="F932" s="10"/>
      <x:c r="G932" s="10"/>
      <x:c r="H932" s="10"/>
    </x:row>
    <x:row r="933" ht="14.25" customHeight="1">
      <x:c r="A933" s="10"/>
      <x:c r="B933" s="10"/>
      <x:c r="C933" s="10"/>
      <x:c r="D933" s="10"/>
      <x:c r="E933" s="10"/>
      <x:c r="F933" s="10"/>
      <x:c r="G933" s="10"/>
      <x:c r="H933" s="10"/>
    </x:row>
    <x:row r="934" ht="14.25" customHeight="1">
      <x:c r="A934" s="10"/>
      <x:c r="B934" s="10"/>
      <x:c r="C934" s="10"/>
      <x:c r="D934" s="10"/>
      <x:c r="E934" s="10"/>
      <x:c r="F934" s="10"/>
      <x:c r="G934" s="10"/>
      <x:c r="H934" s="10"/>
    </x:row>
    <x:row r="935" ht="14.25" customHeight="1">
      <x:c r="A935" s="10"/>
      <x:c r="B935" s="10"/>
      <x:c r="C935" s="10"/>
      <x:c r="D935" s="10"/>
      <x:c r="E935" s="10"/>
      <x:c r="F935" s="10"/>
      <x:c r="G935" s="10"/>
      <x:c r="H935" s="10"/>
    </x:row>
    <x:row r="936" ht="14.25" customHeight="1">
      <x:c r="A936" s="10"/>
      <x:c r="B936" s="10"/>
      <x:c r="C936" s="10"/>
      <x:c r="D936" s="10"/>
      <x:c r="E936" s="10"/>
      <x:c r="F936" s="10"/>
      <x:c r="G936" s="10"/>
      <x:c r="H936" s="10"/>
    </x:row>
    <x:row r="937" ht="14.25" customHeight="1">
      <x:c r="A937" s="10"/>
      <x:c r="B937" s="10"/>
      <x:c r="C937" s="10"/>
      <x:c r="D937" s="10"/>
      <x:c r="E937" s="10"/>
      <x:c r="F937" s="10"/>
      <x:c r="G937" s="10"/>
      <x:c r="H937" s="10"/>
    </x:row>
    <x:row r="938" ht="14.25" customHeight="1">
      <x:c r="A938" s="10"/>
      <x:c r="B938" s="10"/>
      <x:c r="C938" s="10"/>
      <x:c r="D938" s="10"/>
      <x:c r="E938" s="10"/>
      <x:c r="F938" s="10"/>
      <x:c r="G938" s="10"/>
      <x:c r="H938" s="10"/>
    </x:row>
    <x:row r="939" ht="14.25" customHeight="1">
      <x:c r="A939" s="10"/>
      <x:c r="B939" s="10"/>
      <x:c r="C939" s="10"/>
      <x:c r="D939" s="10"/>
      <x:c r="E939" s="10"/>
      <x:c r="F939" s="10"/>
      <x:c r="G939" s="10"/>
      <x:c r="H939" s="10"/>
    </x:row>
    <x:row r="940" ht="14.25" customHeight="1">
      <x:c r="A940" s="10"/>
      <x:c r="B940" s="10"/>
      <x:c r="C940" s="10"/>
      <x:c r="D940" s="10"/>
      <x:c r="E940" s="10"/>
      <x:c r="F940" s="10"/>
      <x:c r="G940" s="10"/>
      <x:c r="H940" s="10"/>
    </x:row>
    <x:row r="941" ht="14.25" customHeight="1">
      <x:c r="A941" s="10"/>
      <x:c r="B941" s="10"/>
      <x:c r="C941" s="10"/>
      <x:c r="D941" s="10"/>
      <x:c r="E941" s="10"/>
      <x:c r="F941" s="10"/>
      <x:c r="G941" s="10"/>
      <x:c r="H941" s="10"/>
    </x:row>
    <x:row r="942" ht="14.25" customHeight="1">
      <x:c r="A942" s="10"/>
      <x:c r="B942" s="10"/>
      <x:c r="C942" s="10"/>
      <x:c r="D942" s="10"/>
      <x:c r="E942" s="10"/>
      <x:c r="F942" s="10"/>
      <x:c r="G942" s="10"/>
      <x:c r="H942" s="10"/>
    </x:row>
    <x:row r="943" ht="14.25" customHeight="1">
      <x:c r="A943" s="10"/>
      <x:c r="B943" s="10"/>
      <x:c r="C943" s="10"/>
      <x:c r="D943" s="10"/>
      <x:c r="E943" s="10"/>
      <x:c r="F943" s="10"/>
      <x:c r="G943" s="10"/>
      <x:c r="H943" s="10"/>
    </x:row>
    <x:row r="944" ht="14.25" customHeight="1">
      <x:c r="A944" s="10"/>
      <x:c r="B944" s="10"/>
      <x:c r="C944" s="10"/>
      <x:c r="D944" s="10"/>
      <x:c r="E944" s="10"/>
      <x:c r="F944" s="10"/>
      <x:c r="G944" s="10"/>
      <x:c r="H944" s="10"/>
    </x:row>
    <x:row r="945" ht="14.25" customHeight="1">
      <x:c r="A945" s="10"/>
      <x:c r="B945" s="10"/>
      <x:c r="C945" s="10"/>
      <x:c r="D945" s="10"/>
      <x:c r="E945" s="10"/>
      <x:c r="F945" s="10"/>
      <x:c r="G945" s="10"/>
      <x:c r="H945" s="10"/>
    </x:row>
    <x:row r="946" ht="14.25" customHeight="1">
      <x:c r="A946" s="10"/>
      <x:c r="B946" s="10"/>
      <x:c r="C946" s="10"/>
      <x:c r="D946" s="10"/>
      <x:c r="E946" s="10"/>
      <x:c r="F946" s="10"/>
      <x:c r="G946" s="10"/>
      <x:c r="H946" s="10"/>
    </x:row>
    <x:row r="947" ht="14.25" customHeight="1">
      <x:c r="A947" s="10"/>
      <x:c r="B947" s="10"/>
      <x:c r="C947" s="10"/>
      <x:c r="D947" s="10"/>
      <x:c r="E947" s="10"/>
      <x:c r="F947" s="10"/>
      <x:c r="G947" s="10"/>
      <x:c r="H947" s="10"/>
    </x:row>
    <x:row r="948" ht="14.25" customHeight="1">
      <x:c r="A948" s="10"/>
      <x:c r="B948" s="10"/>
      <x:c r="C948" s="10"/>
      <x:c r="D948" s="10"/>
      <x:c r="E948" s="10"/>
      <x:c r="F948" s="10"/>
      <x:c r="G948" s="10"/>
      <x:c r="H948" s="10"/>
    </x:row>
    <x:row r="949" ht="14.25" customHeight="1">
      <x:c r="A949" s="10"/>
      <x:c r="B949" s="10"/>
      <x:c r="C949" s="10"/>
      <x:c r="D949" s="10"/>
      <x:c r="E949" s="10"/>
      <x:c r="F949" s="10"/>
      <x:c r="G949" s="10"/>
      <x:c r="H949" s="10"/>
    </x:row>
    <x:row r="950" ht="14.25" customHeight="1">
      <x:c r="A950" s="10"/>
      <x:c r="B950" s="10"/>
      <x:c r="C950" s="10"/>
      <x:c r="D950" s="10"/>
      <x:c r="E950" s="10"/>
      <x:c r="F950" s="10"/>
      <x:c r="G950" s="10"/>
      <x:c r="H950" s="10"/>
    </x:row>
    <x:row r="951" ht="14.25" customHeight="1">
      <x:c r="A951" s="10"/>
      <x:c r="B951" s="10"/>
      <x:c r="C951" s="10"/>
      <x:c r="D951" s="10"/>
      <x:c r="E951" s="10"/>
      <x:c r="F951" s="10"/>
      <x:c r="G951" s="10"/>
      <x:c r="H951" s="10"/>
    </x:row>
    <x:row r="952" ht="14.25" customHeight="1">
      <x:c r="A952" s="10"/>
      <x:c r="B952" s="10"/>
      <x:c r="C952" s="10"/>
      <x:c r="D952" s="10"/>
      <x:c r="E952" s="10"/>
      <x:c r="F952" s="10"/>
      <x:c r="G952" s="10"/>
      <x:c r="H952" s="10"/>
    </x:row>
    <x:row r="953" ht="14.25" customHeight="1">
      <x:c r="A953" s="10"/>
      <x:c r="B953" s="10"/>
      <x:c r="C953" s="10"/>
      <x:c r="D953" s="10"/>
      <x:c r="E953" s="10"/>
      <x:c r="F953" s="10"/>
      <x:c r="G953" s="10"/>
      <x:c r="H953" s="10"/>
    </x:row>
    <x:row r="954" ht="14.25" customHeight="1">
      <x:c r="A954" s="10"/>
      <x:c r="B954" s="10"/>
      <x:c r="C954" s="10"/>
      <x:c r="D954" s="10"/>
      <x:c r="E954" s="10"/>
      <x:c r="F954" s="10"/>
      <x:c r="G954" s="10"/>
      <x:c r="H954" s="10"/>
    </x:row>
    <x:row r="955" ht="14.25" customHeight="1">
      <x:c r="A955" s="10"/>
      <x:c r="B955" s="10"/>
      <x:c r="C955" s="10"/>
      <x:c r="D955" s="10"/>
      <x:c r="E955" s="10"/>
      <x:c r="F955" s="10"/>
      <x:c r="G955" s="10"/>
      <x:c r="H955" s="10"/>
    </x:row>
    <x:row r="956" ht="14.25" customHeight="1">
      <x:c r="A956" s="10"/>
      <x:c r="B956" s="10"/>
      <x:c r="C956" s="10"/>
      <x:c r="D956" s="10"/>
      <x:c r="E956" s="10"/>
      <x:c r="F956" s="10"/>
      <x:c r="G956" s="10"/>
      <x:c r="H956" s="10"/>
    </x:row>
    <x:row r="957" ht="14.25" customHeight="1">
      <x:c r="A957" s="10"/>
      <x:c r="B957" s="10"/>
      <x:c r="C957" s="10"/>
      <x:c r="D957" s="10"/>
      <x:c r="E957" s="10"/>
      <x:c r="F957" s="10"/>
      <x:c r="G957" s="10"/>
      <x:c r="H957" s="10"/>
    </x:row>
    <x:row r="958" ht="14.25" customHeight="1">
      <x:c r="A958" s="10"/>
      <x:c r="B958" s="10"/>
      <x:c r="C958" s="10"/>
      <x:c r="D958" s="10"/>
      <x:c r="E958" s="10"/>
      <x:c r="F958" s="10"/>
      <x:c r="G958" s="10"/>
      <x:c r="H958" s="10"/>
    </x:row>
    <x:row r="959" ht="14.25" customHeight="1">
      <x:c r="A959" s="10"/>
      <x:c r="B959" s="10"/>
      <x:c r="C959" s="10"/>
      <x:c r="D959" s="10"/>
      <x:c r="E959" s="10"/>
      <x:c r="F959" s="10"/>
      <x:c r="G959" s="10"/>
      <x:c r="H959" s="10"/>
    </x:row>
    <x:row r="960" ht="14.25" customHeight="1">
      <x:c r="A960" s="10"/>
      <x:c r="B960" s="10"/>
      <x:c r="C960" s="10"/>
      <x:c r="D960" s="10"/>
      <x:c r="E960" s="10"/>
      <x:c r="F960" s="10"/>
      <x:c r="G960" s="10"/>
      <x:c r="H960" s="10"/>
    </x:row>
    <x:row r="961" ht="14.25" customHeight="1">
      <x:c r="A961" s="10"/>
      <x:c r="B961" s="10"/>
      <x:c r="C961" s="10"/>
      <x:c r="D961" s="10"/>
      <x:c r="E961" s="10"/>
      <x:c r="F961" s="10"/>
      <x:c r="G961" s="10"/>
      <x:c r="H961" s="10"/>
    </x:row>
    <x:row r="962" ht="14.25" customHeight="1">
      <x:c r="A962" s="10"/>
      <x:c r="B962" s="10"/>
      <x:c r="C962" s="10"/>
      <x:c r="D962" s="10"/>
      <x:c r="E962" s="10"/>
      <x:c r="F962" s="10"/>
      <x:c r="G962" s="10"/>
      <x:c r="H962" s="10"/>
    </x:row>
    <x:row r="963" ht="14.25" customHeight="1">
      <x:c r="A963" s="10"/>
      <x:c r="B963" s="10"/>
      <x:c r="C963" s="10"/>
      <x:c r="D963" s="10"/>
      <x:c r="E963" s="10"/>
      <x:c r="F963" s="10"/>
      <x:c r="G963" s="10"/>
      <x:c r="H963" s="10"/>
    </x:row>
    <x:row r="964" ht="14.25" customHeight="1">
      <x:c r="A964" s="10"/>
      <x:c r="B964" s="10"/>
      <x:c r="C964" s="10"/>
      <x:c r="D964" s="10"/>
      <x:c r="E964" s="10"/>
      <x:c r="F964" s="10"/>
      <x:c r="G964" s="10"/>
      <x:c r="H964" s="10"/>
    </x:row>
    <x:row r="965" ht="14.25" customHeight="1">
      <x:c r="A965" s="10"/>
      <x:c r="B965" s="10"/>
      <x:c r="C965" s="10"/>
      <x:c r="D965" s="10"/>
      <x:c r="E965" s="10"/>
      <x:c r="F965" s="10"/>
      <x:c r="G965" s="10"/>
      <x:c r="H965" s="10"/>
    </x:row>
    <x:row r="966" ht="14.25" customHeight="1">
      <x:c r="A966" s="10"/>
      <x:c r="B966" s="10"/>
      <x:c r="C966" s="10"/>
      <x:c r="D966" s="10"/>
      <x:c r="E966" s="10"/>
      <x:c r="F966" s="10"/>
      <x:c r="G966" s="10"/>
      <x:c r="H966" s="10"/>
    </x:row>
    <x:row r="967" ht="14.25" customHeight="1">
      <x:c r="A967" s="10"/>
      <x:c r="B967" s="10"/>
      <x:c r="C967" s="10"/>
      <x:c r="D967" s="10"/>
      <x:c r="E967" s="10"/>
      <x:c r="F967" s="10"/>
      <x:c r="G967" s="10"/>
      <x:c r="H967" s="10"/>
    </x:row>
    <x:row r="968" ht="14.25" customHeight="1">
      <x:c r="A968" s="10"/>
      <x:c r="B968" s="10"/>
      <x:c r="C968" s="10"/>
      <x:c r="D968" s="10"/>
      <x:c r="E968" s="10"/>
      <x:c r="F968" s="10"/>
      <x:c r="G968" s="10"/>
      <x:c r="H968" s="10"/>
    </x:row>
    <x:row r="969" ht="14.25" customHeight="1">
      <x:c r="A969" s="10"/>
      <x:c r="B969" s="10"/>
      <x:c r="C969" s="10"/>
      <x:c r="D969" s="10"/>
      <x:c r="E969" s="10"/>
      <x:c r="F969" s="10"/>
      <x:c r="G969" s="10"/>
      <x:c r="H969" s="10"/>
    </x:row>
    <x:row r="970" ht="14.25" customHeight="1">
      <x:c r="A970" s="10"/>
      <x:c r="B970" s="10"/>
      <x:c r="C970" s="10"/>
      <x:c r="D970" s="10"/>
      <x:c r="E970" s="10"/>
      <x:c r="F970" s="10"/>
      <x:c r="G970" s="10"/>
      <x:c r="H970" s="10"/>
    </x:row>
    <x:row r="971" ht="14.25" customHeight="1">
      <x:c r="A971" s="10"/>
      <x:c r="B971" s="10"/>
      <x:c r="C971" s="10"/>
      <x:c r="D971" s="10"/>
      <x:c r="E971" s="10"/>
      <x:c r="F971" s="10"/>
      <x:c r="G971" s="10"/>
      <x:c r="H971" s="10"/>
    </x:row>
    <x:row r="972" ht="14.25" customHeight="1">
      <x:c r="A972" s="10"/>
      <x:c r="B972" s="10"/>
      <x:c r="C972" s="10"/>
      <x:c r="D972" s="10"/>
      <x:c r="E972" s="10"/>
      <x:c r="F972" s="10"/>
      <x:c r="G972" s="10"/>
      <x:c r="H972" s="10"/>
    </x:row>
    <x:row r="973" ht="14.25" customHeight="1">
      <x:c r="A973" s="10"/>
      <x:c r="B973" s="10"/>
      <x:c r="C973" s="10"/>
      <x:c r="D973" s="10"/>
      <x:c r="E973" s="10"/>
      <x:c r="F973" s="10"/>
      <x:c r="G973" s="10"/>
      <x:c r="H973" s="10"/>
    </x:row>
    <x:row r="974" ht="14.25" customHeight="1">
      <x:c r="A974" s="10"/>
      <x:c r="B974" s="10"/>
      <x:c r="C974" s="10"/>
      <x:c r="D974" s="10"/>
      <x:c r="E974" s="10"/>
      <x:c r="F974" s="10"/>
      <x:c r="G974" s="10"/>
      <x:c r="H974" s="10"/>
    </x:row>
    <x:row r="975" ht="14.25" customHeight="1">
      <x:c r="A975" s="10"/>
      <x:c r="B975" s="10"/>
      <x:c r="C975" s="10"/>
      <x:c r="D975" s="10"/>
      <x:c r="E975" s="10"/>
      <x:c r="F975" s="10"/>
      <x:c r="G975" s="10"/>
      <x:c r="H975" s="10"/>
    </x:row>
    <x:row r="976" ht="14.25" customHeight="1">
      <x:c r="A976" s="10"/>
      <x:c r="B976" s="10"/>
      <x:c r="C976" s="10"/>
      <x:c r="D976" s="10"/>
      <x:c r="E976" s="10"/>
      <x:c r="F976" s="10"/>
      <x:c r="G976" s="10"/>
      <x:c r="H976" s="10"/>
    </x:row>
    <x:row r="977" ht="14.25" customHeight="1">
      <x:c r="A977" s="10"/>
      <x:c r="B977" s="10"/>
      <x:c r="C977" s="10"/>
      <x:c r="D977" s="10"/>
      <x:c r="E977" s="10"/>
      <x:c r="F977" s="10"/>
      <x:c r="G977" s="10"/>
      <x:c r="H977" s="10"/>
    </x:row>
    <x:row r="978" ht="14.25" customHeight="1">
      <x:c r="A978" s="10"/>
      <x:c r="B978" s="10"/>
      <x:c r="C978" s="10"/>
      <x:c r="D978" s="10"/>
      <x:c r="E978" s="10"/>
      <x:c r="F978" s="10"/>
      <x:c r="G978" s="10"/>
      <x:c r="H978" s="10"/>
    </x:row>
    <x:row r="979" ht="14.25" customHeight="1">
      <x:c r="A979" s="10"/>
      <x:c r="B979" s="10"/>
      <x:c r="C979" s="10"/>
      <x:c r="D979" s="10"/>
      <x:c r="E979" s="10"/>
      <x:c r="F979" s="10"/>
      <x:c r="G979" s="10"/>
      <x:c r="H979" s="10"/>
    </x:row>
    <x:row r="980" ht="14.25" customHeight="1">
      <x:c r="A980" s="10"/>
      <x:c r="B980" s="10"/>
      <x:c r="C980" s="10"/>
      <x:c r="D980" s="10"/>
      <x:c r="E980" s="10"/>
      <x:c r="F980" s="10"/>
      <x:c r="G980" s="10"/>
      <x:c r="H980" s="10"/>
    </x:row>
    <x:row r="981" ht="14.25" customHeight="1">
      <x:c r="A981" s="10"/>
      <x:c r="B981" s="10"/>
      <x:c r="C981" s="10"/>
      <x:c r="D981" s="10"/>
      <x:c r="E981" s="10"/>
      <x:c r="F981" s="10"/>
      <x:c r="G981" s="10"/>
      <x:c r="H981" s="10"/>
    </x:row>
    <x:row r="982" ht="14.25" customHeight="1">
      <x:c r="A982" s="10"/>
      <x:c r="B982" s="10"/>
      <x:c r="C982" s="10"/>
      <x:c r="D982" s="10"/>
      <x:c r="E982" s="10"/>
      <x:c r="F982" s="10"/>
      <x:c r="G982" s="10"/>
      <x:c r="H982" s="10"/>
    </x:row>
    <x:row r="983" ht="14.25" customHeight="1">
      <x:c r="A983" s="10"/>
      <x:c r="B983" s="10"/>
      <x:c r="C983" s="10"/>
      <x:c r="D983" s="10"/>
      <x:c r="E983" s="10"/>
      <x:c r="F983" s="10"/>
      <x:c r="G983" s="10"/>
      <x:c r="H983" s="10"/>
    </x:row>
    <x:row r="984" ht="14.25" customHeight="1">
      <x:c r="A984" s="10"/>
      <x:c r="B984" s="10"/>
      <x:c r="C984" s="10"/>
      <x:c r="D984" s="10"/>
      <x:c r="E984" s="10"/>
      <x:c r="F984" s="10"/>
      <x:c r="G984" s="10"/>
      <x:c r="H984" s="10"/>
    </x:row>
    <x:row r="985" ht="14.25" customHeight="1">
      <x:c r="A985" s="10"/>
      <x:c r="B985" s="10"/>
      <x:c r="C985" s="10"/>
      <x:c r="D985" s="10"/>
      <x:c r="E985" s="10"/>
      <x:c r="F985" s="10"/>
      <x:c r="G985" s="10"/>
      <x:c r="H985" s="10"/>
    </x:row>
    <x:row r="986" ht="14.25" customHeight="1">
      <x:c r="A986" s="10"/>
      <x:c r="B986" s="10"/>
      <x:c r="C986" s="10"/>
      <x:c r="D986" s="10"/>
      <x:c r="E986" s="10"/>
      <x:c r="F986" s="10"/>
      <x:c r="G986" s="10"/>
      <x:c r="H986" s="10"/>
    </x:row>
    <x:row r="987" ht="14.25" customHeight="1">
      <x:c r="A987" s="10"/>
      <x:c r="B987" s="10"/>
      <x:c r="C987" s="10"/>
      <x:c r="D987" s="10"/>
      <x:c r="E987" s="10"/>
      <x:c r="F987" s="10"/>
      <x:c r="G987" s="10"/>
      <x:c r="H987" s="10"/>
    </x:row>
    <x:row r="988" ht="14.25" customHeight="1">
      <x:c r="A988" s="10"/>
      <x:c r="B988" s="10"/>
      <x:c r="C988" s="10"/>
      <x:c r="D988" s="10"/>
      <x:c r="E988" s="10"/>
      <x:c r="F988" s="10"/>
      <x:c r="G988" s="10"/>
      <x:c r="H988" s="10"/>
    </x:row>
    <x:row r="989" ht="14.25" customHeight="1">
      <x:c r="A989" s="10"/>
      <x:c r="B989" s="10"/>
      <x:c r="C989" s="10"/>
      <x:c r="D989" s="10"/>
      <x:c r="E989" s="10"/>
      <x:c r="F989" s="10"/>
      <x:c r="G989" s="10"/>
      <x:c r="H989" s="10"/>
    </x:row>
    <x:row r="990" ht="14.25" customHeight="1">
      <x:c r="A990" s="10"/>
      <x:c r="B990" s="10"/>
      <x:c r="C990" s="10"/>
      <x:c r="D990" s="10"/>
      <x:c r="E990" s="10"/>
      <x:c r="F990" s="10"/>
      <x:c r="G990" s="10"/>
      <x:c r="H990" s="10"/>
    </x:row>
    <x:row r="991" ht="14.25" customHeight="1">
      <x:c r="A991" s="10"/>
      <x:c r="B991" s="10"/>
      <x:c r="C991" s="10"/>
      <x:c r="D991" s="10"/>
      <x:c r="E991" s="10"/>
      <x:c r="F991" s="10"/>
      <x:c r="G991" s="10"/>
      <x:c r="H991" s="10"/>
    </x:row>
    <x:row r="992" ht="14.25" customHeight="1">
      <x:c r="A992" s="10"/>
      <x:c r="B992" s="10"/>
      <x:c r="C992" s="10"/>
      <x:c r="D992" s="10"/>
      <x:c r="E992" s="10"/>
      <x:c r="F992" s="10"/>
      <x:c r="G992" s="10"/>
      <x:c r="H992" s="10"/>
    </x:row>
    <x:row r="993" ht="14.25" customHeight="1">
      <x:c r="A993" s="10"/>
      <x:c r="B993" s="10"/>
      <x:c r="C993" s="10"/>
      <x:c r="D993" s="10"/>
      <x:c r="E993" s="10"/>
      <x:c r="F993" s="10"/>
      <x:c r="G993" s="10"/>
      <x:c r="H993" s="10"/>
    </x:row>
    <x:row r="994" ht="14.25" customHeight="1">
      <x:c r="A994" s="10"/>
      <x:c r="B994" s="10"/>
      <x:c r="C994" s="10"/>
      <x:c r="D994" s="10"/>
      <x:c r="E994" s="10"/>
      <x:c r="F994" s="10"/>
      <x:c r="G994" s="10"/>
      <x:c r="H994" s="10"/>
    </x:row>
    <x:row r="995" ht="14.25" customHeight="1">
      <x:c r="A995" s="10"/>
      <x:c r="B995" s="10"/>
      <x:c r="C995" s="10"/>
      <x:c r="D995" s="10"/>
      <x:c r="E995" s="10"/>
      <x:c r="F995" s="10"/>
      <x:c r="G995" s="10"/>
      <x:c r="H995" s="10"/>
    </x:row>
    <x:row r="996" ht="14.25" customHeight="1">
      <x:c r="A996" s="10"/>
      <x:c r="B996" s="10"/>
      <x:c r="C996" s="10"/>
      <x:c r="D996" s="10"/>
      <x:c r="E996" s="10"/>
      <x:c r="F996" s="10"/>
      <x:c r="G996" s="10"/>
      <x:c r="H996" s="10"/>
    </x:row>
    <x:row r="997" ht="14.25" customHeight="1">
      <x:c r="A997" s="10"/>
      <x:c r="B997" s="10"/>
      <x:c r="C997" s="10"/>
      <x:c r="D997" s="10"/>
      <x:c r="E997" s="10"/>
      <x:c r="F997" s="10"/>
      <x:c r="G997" s="10"/>
      <x:c r="H997" s="10"/>
    </x:row>
    <x:row r="998" ht="14.25" customHeight="1">
      <x:c r="A998" s="10"/>
      <x:c r="B998" s="10"/>
      <x:c r="C998" s="10"/>
      <x:c r="D998" s="10"/>
      <x:c r="E998" s="10"/>
      <x:c r="F998" s="10"/>
      <x:c r="G998" s="10"/>
      <x:c r="H998" s="10"/>
    </x:row>
    <x:row r="999" ht="14.25" customHeight="1">
      <x:c r="A999" s="10"/>
      <x:c r="B999" s="10"/>
      <x:c r="C999" s="10"/>
      <x:c r="D999" s="10"/>
      <x:c r="E999" s="10"/>
      <x:c r="F999" s="10"/>
      <x:c r="G999" s="10"/>
      <x:c r="H999" s="10"/>
    </x:row>
    <x:row r="1000" ht="14.25" customHeight="1">
      <x:c r="A1000" s="10"/>
      <x:c r="B1000" s="10"/>
      <x:c r="C1000" s="10"/>
      <x:c r="D1000" s="10"/>
      <x:c r="E1000" s="10"/>
      <x:c r="F1000" s="10"/>
      <x:c r="G1000" s="10"/>
      <x:c r="H1000" s="10"/>
    </x:row>
  </x:sheetData>
  <x:pageMargins left="0.7" right="0.7" top="0.75" bottom="0.75" header="0.3" footer="0.3"/>
</x:worksheet>
</file>

<file path=xl/worksheets/sheet8.xml><?xml version="1.0" encoding="utf-8"?>
<x:worksheet xmlns:x="http://schemas.openxmlformats.org/spreadsheetml/2006/main">
  <x:sheetFormatPr defaultColWidth="14.453125" defaultRowHeight="15"/>
  <x:cols>
    <x:col min="1" max="1" width="13" customWidth="1"/>
    <x:col min="2" max="2" width="30" customWidth="1"/>
    <x:col min="3" max="3" width="46" customWidth="1"/>
    <x:col min="4" max="4" width="8" customWidth="1"/>
    <x:col min="5" max="26" width="8.54296875" customWidth="1"/>
  </x:cols>
  <x:sheetData>
    <x:row r="1" ht="15.75" customHeight="1">
      <x:c r="A1" s="11" t="s">
        <x:v>962</x:v>
      </x:c>
      <x:c r="B1" s="10"/>
      <x:c r="C1" s="10"/>
      <x:c r="D1" s="10"/>
    </x:row>
    <x:row r="2" ht="14.25" customHeight="1">
      <x:c r="A2" s="10"/>
      <x:c r="B2" s="10"/>
      <x:c r="C2" s="10"/>
      <x:c r="D2" s="10"/>
    </x:row>
    <x:row r="3" ht="15" customHeight="1">
      <x:c r="A3" s="14" t="s">
        <x:v>902</x:v>
      </x:c>
      <x:c r="B3" s="14" t="s">
        <x:v>918</x:v>
      </x:c>
      <x:c r="C3" s="14" t="s">
        <x:v>963</x:v>
      </x:c>
      <x:c r="D3" s="14" t="s">
        <x:v>964</x:v>
      </x:c>
    </x:row>
    <x:row r="4" ht="15" customHeight="1">
      <x:c r="A4" s="19" t="s">
        <x:v>904</x:v>
      </x:c>
      <x:c r="B4" s="19" t="s">
        <x:v>927</x:v>
      </x:c>
      <x:c r="C4" s="19" t="s">
        <x:v>965</x:v>
      </x:c>
      <x:c r="D4" s="23" t="n">
        <x:f>SUMIFS('Data (parsed)'!$I$2:$I$235,'Data (parsed)'!$B$2:$B$235,$A4,'Data (parsed)'!$C$2:$C$235,$B4,'Data (parsed)'!$G$2:$G$235,$C4)</x:f>
        <x:v>1</x:v>
      </x:c>
    </x:row>
    <x:row r="5" ht="15" customHeight="1">
      <x:c r="A5" s="19" t="s">
        <x:v>904</x:v>
      </x:c>
      <x:c r="B5" s="19" t="s">
        <x:v>927</x:v>
      </x:c>
      <x:c r="C5" s="19" t="s">
        <x:v>966</x:v>
      </x:c>
      <x:c r="D5" s="23" t="n">
        <x:f>SUMIFS('Data (parsed)'!$I$2:$I$235,'Data (parsed)'!$B$2:$B$235,$A5,'Data (parsed)'!$C$2:$C$235,$B5,'Data (parsed)'!$G$2:$G$235,$C5)</x:f>
        <x:v>1</x:v>
      </x:c>
    </x:row>
    <x:row r="6" ht="15" customHeight="1">
      <x:c r="A6" s="19" t="s">
        <x:v>904</x:v>
      </x:c>
      <x:c r="B6" s="19" t="s">
        <x:v>927</x:v>
      </x:c>
      <x:c r="C6" s="19" t="s">
        <x:v>967</x:v>
      </x:c>
      <x:c r="D6" s="23" t="n">
        <x:f>SUMIFS('Data (parsed)'!$I$2:$I$235,'Data (parsed)'!$B$2:$B$235,$A6,'Data (parsed)'!$C$2:$C$235,$B6,'Data (parsed)'!$G$2:$G$235,$C6)</x:f>
        <x:v>1</x:v>
      </x:c>
    </x:row>
    <x:row r="7" ht="15" customHeight="1">
      <x:c r="A7" s="19" t="s">
        <x:v>904</x:v>
      </x:c>
      <x:c r="B7" s="19" t="s">
        <x:v>922</x:v>
      </x:c>
      <x:c r="C7" s="19" t="s">
        <x:v>968</x:v>
      </x:c>
      <x:c r="D7" s="23" t="n">
        <x:f>SUMIFS('Data (parsed)'!$I$2:$I$235,'Data (parsed)'!$B$2:$B$235,$A7,'Data (parsed)'!$C$2:$C$235,$B7,'Data (parsed)'!$G$2:$G$235,$C7)</x:f>
        <x:v>3</x:v>
      </x:c>
    </x:row>
    <x:row r="8" ht="15" customHeight="1">
      <x:c r="A8" s="19" t="s">
        <x:v>904</x:v>
      </x:c>
      <x:c r="B8" s="19" t="s">
        <x:v>922</x:v>
      </x:c>
      <x:c r="C8" s="19" t="s">
        <x:v>969</x:v>
      </x:c>
      <x:c r="D8" s="23" t="n">
        <x:f>SUMIFS('Data (parsed)'!$I$2:$I$235,'Data (parsed)'!$B$2:$B$235,$A8,'Data (parsed)'!$C$2:$C$235,$B8,'Data (parsed)'!$G$2:$G$235,$C8)</x:f>
        <x:v>1</x:v>
      </x:c>
    </x:row>
    <x:row r="9" ht="15" customHeight="1">
      <x:c r="A9" s="19" t="s">
        <x:v>904</x:v>
      </x:c>
      <x:c r="B9" s="19" t="s">
        <x:v>922</x:v>
      </x:c>
      <x:c r="C9" s="19" t="s">
        <x:v>970</x:v>
      </x:c>
      <x:c r="D9" s="23" t="n">
        <x:f>SUMIFS('Data (parsed)'!$I$2:$I$235,'Data (parsed)'!$B$2:$B$235,$A9,'Data (parsed)'!$C$2:$C$235,$B9,'Data (parsed)'!$G$2:$G$235,$C9)</x:f>
        <x:v>1</x:v>
      </x:c>
    </x:row>
    <x:row r="10" ht="15" customHeight="1">
      <x:c r="A10" s="19" t="s">
        <x:v>904</x:v>
      </x:c>
      <x:c r="B10" s="19" t="s">
        <x:v>922</x:v>
      </x:c>
      <x:c r="C10" s="19" t="s">
        <x:v>971</x:v>
      </x:c>
      <x:c r="D10" s="23" t="n">
        <x:f>SUMIFS('Data (parsed)'!$I$2:$I$235,'Data (parsed)'!$B$2:$B$235,$A10,'Data (parsed)'!$C$2:$C$235,$B10,'Data (parsed)'!$G$2:$G$235,$C10)</x:f>
        <x:v>1</x:v>
      </x:c>
    </x:row>
    <x:row r="11" ht="15" customHeight="1">
      <x:c r="A11" s="19" t="s">
        <x:v>904</x:v>
      </x:c>
      <x:c r="B11" s="19" t="s">
        <x:v>922</x:v>
      </x:c>
      <x:c r="C11" s="19" t="s">
        <x:v>972</x:v>
      </x:c>
      <x:c r="D11" s="23" t="n">
        <x:f>SUMIFS('Data (parsed)'!$I$2:$I$235,'Data (parsed)'!$B$2:$B$235,$A11,'Data (parsed)'!$C$2:$C$235,$B11,'Data (parsed)'!$G$2:$G$235,$C11)</x:f>
        <x:v>1</x:v>
      </x:c>
    </x:row>
    <x:row r="12" ht="15" customHeight="1">
      <x:c r="A12" s="19" t="s">
        <x:v>904</x:v>
      </x:c>
      <x:c r="B12" s="19" t="s">
        <x:v>922</x:v>
      </x:c>
      <x:c r="C12" s="19" t="s">
        <x:v>973</x:v>
      </x:c>
      <x:c r="D12" s="23" t="n">
        <x:f>SUMIFS('Data (parsed)'!$I$2:$I$235,'Data (parsed)'!$B$2:$B$235,$A12,'Data (parsed)'!$C$2:$C$235,$B12,'Data (parsed)'!$G$2:$G$235,$C12)</x:f>
        <x:v>1</x:v>
      </x:c>
    </x:row>
    <x:row r="13" ht="15" customHeight="1">
      <x:c r="A13" s="19" t="s">
        <x:v>904</x:v>
      </x:c>
      <x:c r="B13" s="19" t="s">
        <x:v>922</x:v>
      </x:c>
      <x:c r="C13" s="19" t="s">
        <x:v>974</x:v>
      </x:c>
      <x:c r="D13" s="23" t="n">
        <x:f>SUMIFS('Data (parsed)'!$I$2:$I$235,'Data (parsed)'!$B$2:$B$235,$A13,'Data (parsed)'!$C$2:$C$235,$B13,'Data (parsed)'!$G$2:$G$235,$C13)</x:f>
        <x:v>1</x:v>
      </x:c>
    </x:row>
    <x:row r="14" ht="15" customHeight="1">
      <x:c r="A14" s="19" t="s">
        <x:v>904</x:v>
      </x:c>
      <x:c r="B14" s="19" t="s">
        <x:v>922</x:v>
      </x:c>
      <x:c r="C14" s="19" t="s">
        <x:v>975</x:v>
      </x:c>
      <x:c r="D14" s="23" t="n">
        <x:f>SUMIFS('Data (parsed)'!$I$2:$I$235,'Data (parsed)'!$B$2:$B$235,$A14,'Data (parsed)'!$C$2:$C$235,$B14,'Data (parsed)'!$G$2:$G$235,$C14)</x:f>
        <x:v>1</x:v>
      </x:c>
    </x:row>
    <x:row r="15" ht="15" customHeight="1">
      <x:c r="A15" s="19" t="s">
        <x:v>904</x:v>
      </x:c>
      <x:c r="B15" s="19" t="s">
        <x:v>922</x:v>
      </x:c>
      <x:c r="C15" s="19" t="s">
        <x:v>976</x:v>
      </x:c>
      <x:c r="D15" s="23" t="n">
        <x:f>SUMIFS('Data (parsed)'!$I$2:$I$235,'Data (parsed)'!$B$2:$B$235,$A15,'Data (parsed)'!$C$2:$C$235,$B15,'Data (parsed)'!$G$2:$G$235,$C15)</x:f>
        <x:v>1</x:v>
      </x:c>
    </x:row>
    <x:row r="16" ht="15" customHeight="1">
      <x:c r="A16" s="19" t="s">
        <x:v>904</x:v>
      </x:c>
      <x:c r="B16" s="19" t="s">
        <x:v>922</x:v>
      </x:c>
      <x:c r="C16" s="19" t="s">
        <x:v>977</x:v>
      </x:c>
      <x:c r="D16" s="23" t="n">
        <x:f>SUMIFS('Data (parsed)'!$I$2:$I$235,'Data (parsed)'!$B$2:$B$235,$A16,'Data (parsed)'!$C$2:$C$235,$B16,'Data (parsed)'!$G$2:$G$235,$C16)</x:f>
        <x:v>1</x:v>
      </x:c>
    </x:row>
    <x:row r="17" ht="15" customHeight="1">
      <x:c r="A17" s="19" t="s">
        <x:v>904</x:v>
      </x:c>
      <x:c r="B17" s="19" t="s">
        <x:v>924</x:v>
      </x:c>
      <x:c r="C17" s="19" t="s">
        <x:v>966</x:v>
      </x:c>
      <x:c r="D17" s="23" t="n">
        <x:f>SUMIFS('Data (parsed)'!$I$2:$I$235,'Data (parsed)'!$B$2:$B$235,$A17,'Data (parsed)'!$C$2:$C$235,$B17,'Data (parsed)'!$G$2:$G$235,$C17)</x:f>
        <x:v>2</x:v>
      </x:c>
    </x:row>
    <x:row r="18" ht="15" customHeight="1">
      <x:c r="A18" s="19" t="s">
        <x:v>904</x:v>
      </x:c>
      <x:c r="B18" s="19" t="s">
        <x:v>924</x:v>
      </x:c>
      <x:c r="C18" s="19" t="s">
        <x:v>978</x:v>
      </x:c>
      <x:c r="D18" s="23" t="n">
        <x:f>SUMIFS('Data (parsed)'!$I$2:$I$235,'Data (parsed)'!$B$2:$B$235,$A18,'Data (parsed)'!$C$2:$C$235,$B18,'Data (parsed)'!$G$2:$G$235,$C18)</x:f>
        <x:v>2</x:v>
      </x:c>
    </x:row>
    <x:row r="19" ht="15" customHeight="1">
      <x:c r="A19" s="19" t="s">
        <x:v>904</x:v>
      </x:c>
      <x:c r="B19" s="19" t="s">
        <x:v>924</x:v>
      </x:c>
      <x:c r="C19" s="19" t="s">
        <x:v>972</x:v>
      </x:c>
      <x:c r="D19" s="23" t="n">
        <x:f>SUMIFS('Data (parsed)'!$I$2:$I$235,'Data (parsed)'!$B$2:$B$235,$A19,'Data (parsed)'!$C$2:$C$235,$B19,'Data (parsed)'!$G$2:$G$235,$C19)</x:f>
        <x:v>1</x:v>
      </x:c>
    </x:row>
    <x:row r="20" ht="15" customHeight="1">
      <x:c r="A20" s="19" t="s">
        <x:v>904</x:v>
      </x:c>
      <x:c r="B20" s="19" t="s">
        <x:v>924</x:v>
      </x:c>
      <x:c r="C20" s="19" t="s">
        <x:v>979</x:v>
      </x:c>
      <x:c r="D20" s="23" t="n">
        <x:f>SUMIFS('Data (parsed)'!$I$2:$I$235,'Data (parsed)'!$B$2:$B$235,$A20,'Data (parsed)'!$C$2:$C$235,$B20,'Data (parsed)'!$G$2:$G$235,$C20)</x:f>
        <x:v>1</x:v>
      </x:c>
    </x:row>
    <x:row r="21" ht="15" customHeight="1">
      <x:c r="A21" s="19" t="s">
        <x:v>904</x:v>
      </x:c>
      <x:c r="B21" s="19" t="s">
        <x:v>924</x:v>
      </x:c>
      <x:c r="C21" s="19" t="s">
        <x:v>968</x:v>
      </x:c>
      <x:c r="D21" s="23" t="n">
        <x:f>SUMIFS('Data (parsed)'!$I$2:$I$235,'Data (parsed)'!$B$2:$B$235,$A21,'Data (parsed)'!$C$2:$C$235,$B21,'Data (parsed)'!$G$2:$G$235,$C21)</x:f>
        <x:v>1</x:v>
      </x:c>
    </x:row>
    <x:row r="22" ht="26.25" customHeight="1">
      <x:c r="A22" s="19" t="s">
        <x:v>904</x:v>
      </x:c>
      <x:c r="B22" s="19" t="s">
        <x:v>928</x:v>
      </x:c>
      <x:c r="C22" s="19" t="s">
        <x:v>980</x:v>
      </x:c>
      <x:c r="D22" s="23" t="n">
        <x:f>SUMIFS('Data (parsed)'!$I$2:$I$235,'Data (parsed)'!$B$2:$B$235,$A22,'Data (parsed)'!$C$2:$C$235,$B22,'Data (parsed)'!$G$2:$G$235,$C22)</x:f>
        <x:v>1</x:v>
      </x:c>
    </x:row>
    <x:row r="23" ht="26.25" customHeight="1">
      <x:c r="A23" s="19" t="s">
        <x:v>904</x:v>
      </x:c>
      <x:c r="B23" s="19" t="s">
        <x:v>928</x:v>
      </x:c>
      <x:c r="C23" s="19" t="s">
        <x:v>968</x:v>
      </x:c>
      <x:c r="D23" s="23" t="n">
        <x:f>SUMIFS('Data (parsed)'!$I$2:$I$235,'Data (parsed)'!$B$2:$B$235,$A23,'Data (parsed)'!$C$2:$C$235,$B23,'Data (parsed)'!$G$2:$G$235,$C23)</x:f>
        <x:v>1</x:v>
      </x:c>
    </x:row>
    <x:row r="24" ht="15" customHeight="1">
      <x:c r="A24" s="19" t="s">
        <x:v>904</x:v>
      </x:c>
      <x:c r="B24" s="19" t="s">
        <x:v>921</x:v>
      </x:c>
      <x:c r="C24" s="19" t="s">
        <x:v>966</x:v>
      </x:c>
      <x:c r="D24" s="23" t="n">
        <x:f>SUMIFS('Data (parsed)'!$I$2:$I$235,'Data (parsed)'!$B$2:$B$235,$A24,'Data (parsed)'!$C$2:$C$235,$B24,'Data (parsed)'!$G$2:$G$235,$C24)</x:f>
        <x:v>3</x:v>
      </x:c>
    </x:row>
    <x:row r="25" ht="15" customHeight="1">
      <x:c r="A25" s="19" t="s">
        <x:v>904</x:v>
      </x:c>
      <x:c r="B25" s="19" t="s">
        <x:v>921</x:v>
      </x:c>
      <x:c r="C25" s="19" t="s">
        <x:v>969</x:v>
      </x:c>
      <x:c r="D25" s="23" t="n">
        <x:f>SUMIFS('Data (parsed)'!$I$2:$I$235,'Data (parsed)'!$B$2:$B$235,$A25,'Data (parsed)'!$C$2:$C$235,$B25,'Data (parsed)'!$G$2:$G$235,$C25)</x:f>
        <x:v>2</x:v>
      </x:c>
    </x:row>
    <x:row r="26" ht="15" customHeight="1">
      <x:c r="A26" s="19" t="s">
        <x:v>904</x:v>
      </x:c>
      <x:c r="B26" s="19" t="s">
        <x:v>921</x:v>
      </x:c>
      <x:c r="C26" s="19" t="s">
        <x:v>981</x:v>
      </x:c>
      <x:c r="D26" s="23" t="n">
        <x:f>SUMIFS('Data (parsed)'!$I$2:$I$235,'Data (parsed)'!$B$2:$B$235,$A26,'Data (parsed)'!$C$2:$C$235,$B26,'Data (parsed)'!$G$2:$G$235,$C26)</x:f>
        <x:v>2</x:v>
      </x:c>
    </x:row>
    <x:row r="27" ht="15" customHeight="1">
      <x:c r="A27" s="19" t="s">
        <x:v>904</x:v>
      </x:c>
      <x:c r="B27" s="19" t="s">
        <x:v>921</x:v>
      </x:c>
      <x:c r="C27" s="19" t="s">
        <x:v>982</x:v>
      </x:c>
      <x:c r="D27" s="23" t="n">
        <x:f>SUMIFS('Data (parsed)'!$I$2:$I$235,'Data (parsed)'!$B$2:$B$235,$A27,'Data (parsed)'!$C$2:$C$235,$B27,'Data (parsed)'!$G$2:$G$235,$C27)</x:f>
        <x:v>2</x:v>
      </x:c>
    </x:row>
    <x:row r="28" ht="15" customHeight="1">
      <x:c r="A28" s="19" t="s">
        <x:v>904</x:v>
      </x:c>
      <x:c r="B28" s="19" t="s">
        <x:v>921</x:v>
      </x:c>
      <x:c r="C28" s="19" t="s">
        <x:v>983</x:v>
      </x:c>
      <x:c r="D28" s="23" t="n">
        <x:f>SUMIFS('Data (parsed)'!$I$2:$I$235,'Data (parsed)'!$B$2:$B$235,$A28,'Data (parsed)'!$C$2:$C$235,$B28,'Data (parsed)'!$G$2:$G$235,$C28)</x:f>
        <x:v>2</x:v>
      </x:c>
    </x:row>
    <x:row r="29" ht="15" customHeight="1">
      <x:c r="A29" s="19" t="s">
        <x:v>904</x:v>
      </x:c>
      <x:c r="B29" s="19" t="s">
        <x:v>921</x:v>
      </x:c>
      <x:c r="C29" s="19" t="s">
        <x:v>977</x:v>
      </x:c>
      <x:c r="D29" s="23" t="n">
        <x:f>SUMIFS('Data (parsed)'!$I$2:$I$235,'Data (parsed)'!$B$2:$B$235,$A29,'Data (parsed)'!$C$2:$C$235,$B29,'Data (parsed)'!$G$2:$G$235,$C29)</x:f>
        <x:v>2</x:v>
      </x:c>
    </x:row>
    <x:row r="30" ht="15" customHeight="1">
      <x:c r="A30" s="19" t="s">
        <x:v>904</x:v>
      </x:c>
      <x:c r="B30" s="19" t="s">
        <x:v>921</x:v>
      </x:c>
      <x:c r="C30" s="19" t="s">
        <x:v>984</x:v>
      </x:c>
      <x:c r="D30" s="23" t="n">
        <x:f>SUMIFS('Data (parsed)'!$I$2:$I$235,'Data (parsed)'!$B$2:$B$235,$A30,'Data (parsed)'!$C$2:$C$235,$B30,'Data (parsed)'!$G$2:$G$235,$C30)</x:f>
        <x:v>1</x:v>
      </x:c>
    </x:row>
    <x:row r="31" ht="15" customHeight="1">
      <x:c r="A31" s="19" t="s">
        <x:v>904</x:v>
      </x:c>
      <x:c r="B31" s="19" t="s">
        <x:v>921</x:v>
      </x:c>
      <x:c r="C31" s="19" t="s">
        <x:v>985</x:v>
      </x:c>
      <x:c r="D31" s="23" t="n">
        <x:f>SUMIFS('Data (parsed)'!$I$2:$I$235,'Data (parsed)'!$B$2:$B$235,$A31,'Data (parsed)'!$C$2:$C$235,$B31,'Data (parsed)'!$G$2:$G$235,$C31)</x:f>
        <x:v>1</x:v>
      </x:c>
    </x:row>
    <x:row r="32" ht="15" customHeight="1">
      <x:c r="A32" s="19" t="s">
        <x:v>904</x:v>
      </x:c>
      <x:c r="B32" s="19" t="s">
        <x:v>921</x:v>
      </x:c>
      <x:c r="C32" s="19" t="s">
        <x:v>986</x:v>
      </x:c>
      <x:c r="D32" s="23" t="n">
        <x:f>SUMIFS('Data (parsed)'!$I$2:$I$235,'Data (parsed)'!$B$2:$B$235,$A32,'Data (parsed)'!$C$2:$C$235,$B32,'Data (parsed)'!$G$2:$G$235,$C32)</x:f>
        <x:v>1</x:v>
      </x:c>
    </x:row>
    <x:row r="33" ht="15" customHeight="1">
      <x:c r="A33" s="19" t="s">
        <x:v>904</x:v>
      </x:c>
      <x:c r="B33" s="19" t="s">
        <x:v>921</x:v>
      </x:c>
      <x:c r="C33" s="19" t="s">
        <x:v>987</x:v>
      </x:c>
      <x:c r="D33" s="23" t="n">
        <x:f>SUMIFS('Data (parsed)'!$I$2:$I$235,'Data (parsed)'!$B$2:$B$235,$A33,'Data (parsed)'!$C$2:$C$235,$B33,'Data (parsed)'!$G$2:$G$235,$C33)</x:f>
        <x:v>1</x:v>
      </x:c>
    </x:row>
    <x:row r="34" ht="15" customHeight="1">
      <x:c r="A34" s="19" t="s">
        <x:v>904</x:v>
      </x:c>
      <x:c r="B34" s="19" t="s">
        <x:v>919</x:v>
      </x:c>
      <x:c r="C34" s="19" t="s">
        <x:v>977</x:v>
      </x:c>
      <x:c r="D34" s="23" t="n">
        <x:f>SUMIFS('Data (parsed)'!$I$2:$I$235,'Data (parsed)'!$B$2:$B$235,$A34,'Data (parsed)'!$C$2:$C$235,$B34,'Data (parsed)'!$G$2:$G$235,$C34)</x:f>
        <x:v>10</x:v>
      </x:c>
    </x:row>
    <x:row r="35" ht="15" customHeight="1">
      <x:c r="A35" s="19" t="s">
        <x:v>904</x:v>
      </x:c>
      <x:c r="B35" s="19" t="s">
        <x:v>919</x:v>
      </x:c>
      <x:c r="C35" s="19" t="s">
        <x:v>966</x:v>
      </x:c>
      <x:c r="D35" s="23" t="n">
        <x:f>SUMIFS('Data (parsed)'!$I$2:$I$235,'Data (parsed)'!$B$2:$B$235,$A35,'Data (parsed)'!$C$2:$C$235,$B35,'Data (parsed)'!$G$2:$G$235,$C35)</x:f>
        <x:v>7</x:v>
      </x:c>
    </x:row>
    <x:row r="36" ht="15" customHeight="1">
      <x:c r="A36" s="19" t="s">
        <x:v>904</x:v>
      </x:c>
      <x:c r="B36" s="19" t="s">
        <x:v>919</x:v>
      </x:c>
      <x:c r="C36" s="19" t="s">
        <x:v>978</x:v>
      </x:c>
      <x:c r="D36" s="23" t="n">
        <x:f>SUMIFS('Data (parsed)'!$I$2:$I$235,'Data (parsed)'!$B$2:$B$235,$A36,'Data (parsed)'!$C$2:$C$235,$B36,'Data (parsed)'!$G$2:$G$235,$C36)</x:f>
        <x:v>2</x:v>
      </x:c>
    </x:row>
    <x:row r="37" ht="15" customHeight="1">
      <x:c r="A37" s="19" t="s">
        <x:v>904</x:v>
      </x:c>
      <x:c r="B37" s="19" t="s">
        <x:v>919</x:v>
      </x:c>
      <x:c r="C37" s="19" t="s">
        <x:v>981</x:v>
      </x:c>
      <x:c r="D37" s="23" t="n">
        <x:f>SUMIFS('Data (parsed)'!$I$2:$I$235,'Data (parsed)'!$B$2:$B$235,$A37,'Data (parsed)'!$C$2:$C$235,$B37,'Data (parsed)'!$G$2:$G$235,$C37)</x:f>
        <x:v>1</x:v>
      </x:c>
    </x:row>
    <x:row r="38" ht="15" customHeight="1">
      <x:c r="A38" s="19" t="s">
        <x:v>904</x:v>
      </x:c>
      <x:c r="B38" s="19" t="s">
        <x:v>919</x:v>
      </x:c>
      <x:c r="C38" s="19" t="s">
        <x:v>988</x:v>
      </x:c>
      <x:c r="D38" s="23" t="n">
        <x:f>SUMIFS('Data (parsed)'!$I$2:$I$235,'Data (parsed)'!$B$2:$B$235,$A38,'Data (parsed)'!$C$2:$C$235,$B38,'Data (parsed)'!$G$2:$G$235,$C38)</x:f>
        <x:v>1</x:v>
      </x:c>
    </x:row>
    <x:row r="39" ht="15" customHeight="1">
      <x:c r="A39" s="19" t="s">
        <x:v>904</x:v>
      </x:c>
      <x:c r="B39" s="19" t="s">
        <x:v>919</x:v>
      </x:c>
      <x:c r="C39" s="19" t="s">
        <x:v>975</x:v>
      </x:c>
      <x:c r="D39" s="23" t="n">
        <x:f>SUMIFS('Data (parsed)'!$I$2:$I$235,'Data (parsed)'!$B$2:$B$235,$A39,'Data (parsed)'!$C$2:$C$235,$B39,'Data (parsed)'!$G$2:$G$235,$C39)</x:f>
        <x:v>1</x:v>
      </x:c>
    </x:row>
    <x:row r="40" ht="15" customHeight="1">
      <x:c r="A40" s="19" t="s">
        <x:v>904</x:v>
      </x:c>
      <x:c r="B40" s="19" t="s">
        <x:v>919</x:v>
      </x:c>
      <x:c r="C40" s="19" t="s">
        <x:v>989</x:v>
      </x:c>
      <x:c r="D40" s="23" t="n">
        <x:f>SUMIFS('Data (parsed)'!$I$2:$I$235,'Data (parsed)'!$B$2:$B$235,$A40,'Data (parsed)'!$C$2:$C$235,$B40,'Data (parsed)'!$G$2:$G$235,$C40)</x:f>
        <x:v>1</x:v>
      </x:c>
    </x:row>
    <x:row r="41" ht="15" customHeight="1">
      <x:c r="A41" s="19" t="s">
        <x:v>904</x:v>
      </x:c>
      <x:c r="B41" s="19" t="s">
        <x:v>919</x:v>
      </x:c>
      <x:c r="C41" s="19" t="s">
        <x:v>990</x:v>
      </x:c>
      <x:c r="D41" s="23" t="n">
        <x:f>SUMIFS('Data (parsed)'!$I$2:$I$235,'Data (parsed)'!$B$2:$B$235,$A41,'Data (parsed)'!$C$2:$C$235,$B41,'Data (parsed)'!$G$2:$G$235,$C41)</x:f>
        <x:v>1</x:v>
      </x:c>
    </x:row>
    <x:row r="42" ht="15" customHeight="1">
      <x:c r="A42" s="19" t="s">
        <x:v>904</x:v>
      </x:c>
      <x:c r="B42" s="19" t="s">
        <x:v>919</x:v>
      </x:c>
      <x:c r="C42" s="19" t="s">
        <x:v>968</x:v>
      </x:c>
      <x:c r="D42" s="23" t="n">
        <x:f>SUMIFS('Data (parsed)'!$I$2:$I$235,'Data (parsed)'!$B$2:$B$235,$A42,'Data (parsed)'!$C$2:$C$235,$B42,'Data (parsed)'!$G$2:$G$235,$C42)</x:f>
        <x:v>1</x:v>
      </x:c>
    </x:row>
    <x:row r="43" ht="15" customHeight="1">
      <x:c r="A43" s="19" t="s">
        <x:v>904</x:v>
      </x:c>
      <x:c r="B43" s="19" t="s">
        <x:v>923</x:v>
      </x:c>
      <x:c r="C43" s="19" t="s">
        <x:v>977</x:v>
      </x:c>
      <x:c r="D43" s="23" t="n">
        <x:f>SUMIFS('Data (parsed)'!$I$2:$I$235,'Data (parsed)'!$B$2:$B$235,$A43,'Data (parsed)'!$C$2:$C$235,$B43,'Data (parsed)'!$G$2:$G$235,$C43)</x:f>
        <x:v>3</x:v>
      </x:c>
    </x:row>
    <x:row r="44" ht="15" customHeight="1">
      <x:c r="A44" s="19" t="s">
        <x:v>904</x:v>
      </x:c>
      <x:c r="B44" s="19" t="s">
        <x:v>923</x:v>
      </x:c>
      <x:c r="C44" s="19" t="s">
        <x:v>968</x:v>
      </x:c>
      <x:c r="D44" s="23" t="n">
        <x:f>SUMIFS('Data (parsed)'!$I$2:$I$235,'Data (parsed)'!$B$2:$B$235,$A44,'Data (parsed)'!$C$2:$C$235,$B44,'Data (parsed)'!$G$2:$G$235,$C44)</x:f>
        <x:v>2</x:v>
      </x:c>
    </x:row>
    <x:row r="45" ht="15" customHeight="1">
      <x:c r="A45" s="19" t="s">
        <x:v>904</x:v>
      </x:c>
      <x:c r="B45" s="19" t="s">
        <x:v>923</x:v>
      </x:c>
      <x:c r="C45" s="19" t="s">
        <x:v>991</x:v>
      </x:c>
      <x:c r="D45" s="23" t="n">
        <x:f>SUMIFS('Data (parsed)'!$I$2:$I$235,'Data (parsed)'!$B$2:$B$235,$A45,'Data (parsed)'!$C$2:$C$235,$B45,'Data (parsed)'!$G$2:$G$235,$C45)</x:f>
        <x:v>1</x:v>
      </x:c>
    </x:row>
    <x:row r="46" ht="15" customHeight="1">
      <x:c r="A46" s="19" t="s">
        <x:v>904</x:v>
      </x:c>
      <x:c r="B46" s="19" t="s">
        <x:v>923</x:v>
      </x:c>
      <x:c r="C46" s="19" t="s">
        <x:v>981</x:v>
      </x:c>
      <x:c r="D46" s="23" t="n">
        <x:f>SUMIFS('Data (parsed)'!$I$2:$I$235,'Data (parsed)'!$B$2:$B$235,$A46,'Data (parsed)'!$C$2:$C$235,$B46,'Data (parsed)'!$G$2:$G$235,$C46)</x:f>
        <x:v>1</x:v>
      </x:c>
    </x:row>
    <x:row r="47" ht="15" customHeight="1">
      <x:c r="A47" s="19" t="s">
        <x:v>904</x:v>
      </x:c>
      <x:c r="B47" s="19" t="s">
        <x:v>923</x:v>
      </x:c>
      <x:c r="C47" s="19" t="s">
        <x:v>986</x:v>
      </x:c>
      <x:c r="D47" s="23" t="n">
        <x:f>SUMIFS('Data (parsed)'!$I$2:$I$235,'Data (parsed)'!$B$2:$B$235,$A47,'Data (parsed)'!$C$2:$C$235,$B47,'Data (parsed)'!$G$2:$G$235,$C47)</x:f>
        <x:v>1</x:v>
      </x:c>
    </x:row>
    <x:row r="48" ht="15" customHeight="1">
      <x:c r="A48" s="19" t="s">
        <x:v>904</x:v>
      </x:c>
      <x:c r="B48" s="19" t="s">
        <x:v>923</x:v>
      </x:c>
      <x:c r="C48" s="19" t="s">
        <x:v>976</x:v>
      </x:c>
      <x:c r="D48" s="23" t="n">
        <x:f>SUMIFS('Data (parsed)'!$I$2:$I$235,'Data (parsed)'!$B$2:$B$235,$A48,'Data (parsed)'!$C$2:$C$235,$B48,'Data (parsed)'!$G$2:$G$235,$C48)</x:f>
        <x:v>1</x:v>
      </x:c>
    </x:row>
    <x:row r="49" ht="15" customHeight="1">
      <x:c r="A49" s="19" t="s">
        <x:v>904</x:v>
      </x:c>
      <x:c r="B49" s="19" t="s">
        <x:v>929</x:v>
      </x:c>
      <x:c r="C49" s="19" t="s">
        <x:v>981</x:v>
      </x:c>
      <x:c r="D49" s="23" t="n">
        <x:f>SUMIFS('Data (parsed)'!$I$2:$I$235,'Data (parsed)'!$B$2:$B$235,$A49,'Data (parsed)'!$C$2:$C$235,$B49,'Data (parsed)'!$G$2:$G$235,$C49)</x:f>
        <x:v>2</x:v>
      </x:c>
    </x:row>
    <x:row r="50" ht="15" customHeight="1">
      <x:c r="A50" s="19" t="s">
        <x:v>904</x:v>
      </x:c>
      <x:c r="B50" s="19" t="s">
        <x:v>920</x:v>
      </x:c>
      <x:c r="C50" s="19" t="s">
        <x:v>977</x:v>
      </x:c>
      <x:c r="D50" s="23" t="n">
        <x:f>SUMIFS('Data (parsed)'!$I$2:$I$235,'Data (parsed)'!$B$2:$B$235,$A50,'Data (parsed)'!$C$2:$C$235,$B50,'Data (parsed)'!$G$2:$G$235,$C50)</x:f>
        <x:v>5</x:v>
      </x:c>
    </x:row>
    <x:row r="51" ht="15" customHeight="1">
      <x:c r="A51" s="19" t="s">
        <x:v>904</x:v>
      </x:c>
      <x:c r="B51" s="19" t="s">
        <x:v>920</x:v>
      </x:c>
      <x:c r="C51" s="19" t="s">
        <x:v>966</x:v>
      </x:c>
      <x:c r="D51" s="23" t="n">
        <x:f>SUMIFS('Data (parsed)'!$I$2:$I$235,'Data (parsed)'!$B$2:$B$235,$A51,'Data (parsed)'!$C$2:$C$235,$B51,'Data (parsed)'!$G$2:$G$235,$C51)</x:f>
        <x:v>3</x:v>
      </x:c>
    </x:row>
    <x:row r="52" ht="15" customHeight="1">
      <x:c r="A52" s="19" t="s">
        <x:v>904</x:v>
      </x:c>
      <x:c r="B52" s="19" t="s">
        <x:v>920</x:v>
      </x:c>
      <x:c r="C52" s="19" t="s">
        <x:v>969</x:v>
      </x:c>
      <x:c r="D52" s="23" t="n">
        <x:f>SUMIFS('Data (parsed)'!$I$2:$I$235,'Data (parsed)'!$B$2:$B$235,$A52,'Data (parsed)'!$C$2:$C$235,$B52,'Data (parsed)'!$G$2:$G$235,$C52)</x:f>
        <x:v>2</x:v>
      </x:c>
    </x:row>
    <x:row r="53" ht="15" customHeight="1">
      <x:c r="A53" s="19" t="s">
        <x:v>904</x:v>
      </x:c>
      <x:c r="B53" s="19" t="s">
        <x:v>920</x:v>
      </x:c>
      <x:c r="C53" s="19" t="s">
        <x:v>968</x:v>
      </x:c>
      <x:c r="D53" s="23" t="n">
        <x:f>SUMIFS('Data (parsed)'!$I$2:$I$235,'Data (parsed)'!$B$2:$B$235,$A53,'Data (parsed)'!$C$2:$C$235,$B53,'Data (parsed)'!$G$2:$G$235,$C53)</x:f>
        <x:v>2</x:v>
      </x:c>
    </x:row>
    <x:row r="54" ht="15" customHeight="1">
      <x:c r="A54" s="19" t="s">
        <x:v>904</x:v>
      </x:c>
      <x:c r="B54" s="19" t="s">
        <x:v>920</x:v>
      </x:c>
      <x:c r="C54" s="19" t="s">
        <x:v>981</x:v>
      </x:c>
      <x:c r="D54" s="23" t="n">
        <x:f>SUMIFS('Data (parsed)'!$I$2:$I$235,'Data (parsed)'!$B$2:$B$235,$A54,'Data (parsed)'!$C$2:$C$235,$B54,'Data (parsed)'!$G$2:$G$235,$C54)</x:f>
        <x:v>1</x:v>
      </x:c>
    </x:row>
    <x:row r="55" ht="15" customHeight="1">
      <x:c r="A55" s="19" t="s">
        <x:v>904</x:v>
      </x:c>
      <x:c r="B55" s="19" t="s">
        <x:v>920</x:v>
      </x:c>
      <x:c r="C55" s="19" t="s">
        <x:v>979</x:v>
      </x:c>
      <x:c r="D55" s="23" t="n">
        <x:f>SUMIFS('Data (parsed)'!$I$2:$I$235,'Data (parsed)'!$B$2:$B$235,$A55,'Data (parsed)'!$C$2:$C$235,$B55,'Data (parsed)'!$G$2:$G$235,$C55)</x:f>
        <x:v>1</x:v>
      </x:c>
    </x:row>
    <x:row r="56" ht="15" customHeight="1">
      <x:c r="A56" s="19" t="s">
        <x:v>904</x:v>
      </x:c>
      <x:c r="B56" s="19" t="s">
        <x:v>920</x:v>
      </x:c>
      <x:c r="C56" s="19" t="s">
        <x:v>992</x:v>
      </x:c>
      <x:c r="D56" s="23" t="n">
        <x:f>SUMIFS('Data (parsed)'!$I$2:$I$235,'Data (parsed)'!$B$2:$B$235,$A56,'Data (parsed)'!$C$2:$C$235,$B56,'Data (parsed)'!$G$2:$G$235,$C56)</x:f>
        <x:v>1</x:v>
      </x:c>
    </x:row>
    <x:row r="57" ht="15" customHeight="1">
      <x:c r="A57" s="19" t="s">
        <x:v>904</x:v>
      </x:c>
      <x:c r="B57" s="19" t="s">
        <x:v>920</x:v>
      </x:c>
      <x:c r="C57" s="19" t="s">
        <x:v>993</x:v>
      </x:c>
      <x:c r="D57" s="23" t="n">
        <x:f>SUMIFS('Data (parsed)'!$I$2:$I$235,'Data (parsed)'!$B$2:$B$235,$A57,'Data (parsed)'!$C$2:$C$235,$B57,'Data (parsed)'!$G$2:$G$235,$C57)</x:f>
        <x:v>1</x:v>
      </x:c>
    </x:row>
    <x:row r="58" ht="15" customHeight="1">
      <x:c r="A58" s="19" t="s">
        <x:v>904</x:v>
      </x:c>
      <x:c r="B58" s="19" t="s">
        <x:v>920</x:v>
      </x:c>
      <x:c r="C58" s="19" t="s">
        <x:v>994</x:v>
      </x:c>
      <x:c r="D58" s="23" t="n">
        <x:f>SUMIFS('Data (parsed)'!$I$2:$I$235,'Data (parsed)'!$B$2:$B$235,$A58,'Data (parsed)'!$C$2:$C$235,$B58,'Data (parsed)'!$G$2:$G$235,$C58)</x:f>
        <x:v>1</x:v>
      </x:c>
    </x:row>
    <x:row r="59" ht="15" customHeight="1">
      <x:c r="A59" s="19" t="s">
        <x:v>904</x:v>
      </x:c>
      <x:c r="B59" s="19" t="s">
        <x:v>920</x:v>
      </x:c>
      <x:c r="C59" s="19" t="s">
        <x:v>995</x:v>
      </x:c>
      <x:c r="D59" s="23" t="n">
        <x:f>SUMIFS('Data (parsed)'!$I$2:$I$235,'Data (parsed)'!$B$2:$B$235,$A59,'Data (parsed)'!$C$2:$C$235,$B59,'Data (parsed)'!$G$2:$G$235,$C59)</x:f>
        <x:v>1</x:v>
      </x:c>
    </x:row>
    <x:row r="60" ht="15" customHeight="1">
      <x:c r="A60" s="19" t="s">
        <x:v>904</x:v>
      </x:c>
      <x:c r="B60" s="19" t="s">
        <x:v>920</x:v>
      </x:c>
      <x:c r="C60" s="19" t="s">
        <x:v>996</x:v>
      </x:c>
      <x:c r="D60" s="23" t="n">
        <x:f>SUMIFS('Data (parsed)'!$I$2:$I$235,'Data (parsed)'!$B$2:$B$235,$A60,'Data (parsed)'!$C$2:$C$235,$B60,'Data (parsed)'!$G$2:$G$235,$C60)</x:f>
        <x:v>1</x:v>
      </x:c>
    </x:row>
    <x:row r="61" ht="15" customHeight="1">
      <x:c r="A61" s="19" t="s">
        <x:v>904</x:v>
      </x:c>
      <x:c r="B61" s="19" t="s">
        <x:v>926</x:v>
      </x:c>
      <x:c r="C61" s="19" t="s">
        <x:v>997</x:v>
      </x:c>
      <x:c r="D61" s="23" t="n">
        <x:f>SUMIFS('Data (parsed)'!$I$2:$I$235,'Data (parsed)'!$B$2:$B$235,$A61,'Data (parsed)'!$C$2:$C$235,$B61,'Data (parsed)'!$G$2:$G$235,$C61)</x:f>
        <x:v>1</x:v>
      </x:c>
    </x:row>
    <x:row r="62" ht="15" customHeight="1">
      <x:c r="A62" s="19" t="s">
        <x:v>904</x:v>
      </x:c>
      <x:c r="B62" s="19" t="s">
        <x:v>926</x:v>
      </x:c>
      <x:c r="C62" s="19" t="s">
        <x:v>998</x:v>
      </x:c>
      <x:c r="D62" s="23" t="n">
        <x:f>SUMIFS('Data (parsed)'!$I$2:$I$235,'Data (parsed)'!$B$2:$B$235,$A62,'Data (parsed)'!$C$2:$C$235,$B62,'Data (parsed)'!$G$2:$G$235,$C62)</x:f>
        <x:v>1</x:v>
      </x:c>
    </x:row>
    <x:row r="63" ht="15" customHeight="1">
      <x:c r="A63" s="19" t="s">
        <x:v>904</x:v>
      </x:c>
      <x:c r="B63" s="19" t="s">
        <x:v>926</x:v>
      </x:c>
      <x:c r="C63" s="19" t="s">
        <x:v>966</x:v>
      </x:c>
      <x:c r="D63" s="23" t="n">
        <x:f>SUMIFS('Data (parsed)'!$I$2:$I$235,'Data (parsed)'!$B$2:$B$235,$A63,'Data (parsed)'!$C$2:$C$235,$B63,'Data (parsed)'!$G$2:$G$235,$C63)</x:f>
        <x:v>1</x:v>
      </x:c>
    </x:row>
    <x:row r="64" ht="15" customHeight="1">
      <x:c r="A64" s="19" t="s">
        <x:v>904</x:v>
      </x:c>
      <x:c r="B64" s="19" t="s">
        <x:v>926</x:v>
      </x:c>
      <x:c r="C64" s="19" t="s">
        <x:v>977</x:v>
      </x:c>
      <x:c r="D64" s="23" t="n">
        <x:f>SUMIFS('Data (parsed)'!$I$2:$I$235,'Data (parsed)'!$B$2:$B$235,$A64,'Data (parsed)'!$C$2:$C$235,$B64,'Data (parsed)'!$G$2:$G$235,$C64)</x:f>
        <x:v>1</x:v>
      </x:c>
    </x:row>
    <x:row r="65" ht="26.25" customHeight="1">
      <x:c r="A65" s="19" t="s">
        <x:v>904</x:v>
      </x:c>
      <x:c r="B65" s="19" t="s">
        <x:v>925</x:v>
      </x:c>
      <x:c r="C65" s="19" t="s">
        <x:v>999</x:v>
      </x:c>
      <x:c r="D65" s="23" t="n">
        <x:f>SUMIFS('Data (parsed)'!$I$2:$I$235,'Data (parsed)'!$B$2:$B$235,$A65,'Data (parsed)'!$C$2:$C$235,$B65,'Data (parsed)'!$G$2:$G$235,$C65)</x:f>
        <x:v>1</x:v>
      </x:c>
    </x:row>
    <x:row r="66" ht="26.25" customHeight="1">
      <x:c r="A66" s="19" t="s">
        <x:v>904</x:v>
      </x:c>
      <x:c r="B66" s="19" t="s">
        <x:v>925</x:v>
      </x:c>
      <x:c r="C66" s="19" t="s">
        <x:v>1000</x:v>
      </x:c>
      <x:c r="D66" s="23" t="n">
        <x:f>SUMIFS('Data (parsed)'!$I$2:$I$235,'Data (parsed)'!$B$2:$B$235,$A66,'Data (parsed)'!$C$2:$C$235,$B66,'Data (parsed)'!$G$2:$G$235,$C66)</x:f>
        <x:v>1</x:v>
      </x:c>
    </x:row>
    <x:row r="67" ht="26.25" customHeight="1">
      <x:c r="A67" s="19" t="s">
        <x:v>904</x:v>
      </x:c>
      <x:c r="B67" s="19" t="s">
        <x:v>925</x:v>
      </x:c>
      <x:c r="C67" s="19" t="s">
        <x:v>1001</x:v>
      </x:c>
      <x:c r="D67" s="23" t="n">
        <x:f>SUMIFS('Data (parsed)'!$I$2:$I$235,'Data (parsed)'!$B$2:$B$235,$A67,'Data (parsed)'!$C$2:$C$235,$B67,'Data (parsed)'!$G$2:$G$235,$C67)</x:f>
        <x:v>1</x:v>
      </x:c>
    </x:row>
    <x:row r="68" ht="26.25" customHeight="1">
      <x:c r="A68" s="19" t="s">
        <x:v>904</x:v>
      </x:c>
      <x:c r="B68" s="19" t="s">
        <x:v>925</x:v>
      </x:c>
      <x:c r="C68" s="19" t="s">
        <x:v>966</x:v>
      </x:c>
      <x:c r="D68" s="23" t="n">
        <x:f>SUMIFS('Data (parsed)'!$I$2:$I$235,'Data (parsed)'!$B$2:$B$235,$A68,'Data (parsed)'!$C$2:$C$235,$B68,'Data (parsed)'!$G$2:$G$235,$C68)</x:f>
        <x:v>1</x:v>
      </x:c>
    </x:row>
    <x:row r="69" ht="15" customHeight="1">
      <x:c r="A69" s="24" t="s">
        <x:v>905</x:v>
      </x:c>
      <x:c r="B69" s="24" t="s">
        <x:v>934</x:v>
      </x:c>
      <x:c r="C69" s="24" t="s">
        <x:v>1002</x:v>
      </x:c>
      <x:c r="D69" s="25" t="n">
        <x:f>SUMIFS('Data (parsed)'!$I$2:$I$235,'Data (parsed)'!$B$2:$B$235,$A69,'Data (parsed)'!$C$2:$C$235,$B69,'Data (parsed)'!$G$2:$G$235,$C69)</x:f>
        <x:v>4</x:v>
      </x:c>
    </x:row>
    <x:row r="70" ht="15" customHeight="1">
      <x:c r="A70" s="24" t="s">
        <x:v>905</x:v>
      </x:c>
      <x:c r="B70" s="24" t="s">
        <x:v>934</x:v>
      </x:c>
      <x:c r="C70" s="24" t="s">
        <x:v>969</x:v>
      </x:c>
      <x:c r="D70" s="25" t="n">
        <x:f>SUMIFS('Data (parsed)'!$I$2:$I$235,'Data (parsed)'!$B$2:$B$235,$A70,'Data (parsed)'!$C$2:$C$235,$B70,'Data (parsed)'!$G$2:$G$235,$C70)</x:f>
        <x:v>2</x:v>
      </x:c>
    </x:row>
    <x:row r="71" ht="15" customHeight="1">
      <x:c r="A71" s="24" t="s">
        <x:v>905</x:v>
      </x:c>
      <x:c r="B71" s="24" t="s">
        <x:v>934</x:v>
      </x:c>
      <x:c r="C71" s="24" t="s">
        <x:v>1003</x:v>
      </x:c>
      <x:c r="D71" s="25" t="n">
        <x:f>SUMIFS('Data (parsed)'!$I$2:$I$235,'Data (parsed)'!$B$2:$B$235,$A71,'Data (parsed)'!$C$2:$C$235,$B71,'Data (parsed)'!$G$2:$G$235,$C71)</x:f>
        <x:v>2</x:v>
      </x:c>
    </x:row>
    <x:row r="72" ht="15" customHeight="1">
      <x:c r="A72" s="24" t="s">
        <x:v>905</x:v>
      </x:c>
      <x:c r="B72" s="24" t="s">
        <x:v>934</x:v>
      </x:c>
      <x:c r="C72" s="24" t="s">
        <x:v>1004</x:v>
      </x:c>
      <x:c r="D72" s="25" t="n">
        <x:f>SUMIFS('Data (parsed)'!$I$2:$I$235,'Data (parsed)'!$B$2:$B$235,$A72,'Data (parsed)'!$C$2:$C$235,$B72,'Data (parsed)'!$G$2:$G$235,$C72)</x:f>
        <x:v>2</x:v>
      </x:c>
    </x:row>
    <x:row r="73" ht="15" customHeight="1">
      <x:c r="A73" s="24" t="s">
        <x:v>905</x:v>
      </x:c>
      <x:c r="B73" s="24" t="s">
        <x:v>934</x:v>
      </x:c>
      <x:c r="C73" s="24" t="s">
        <x:v>1005</x:v>
      </x:c>
      <x:c r="D73" s="25" t="n">
        <x:f>SUMIFS('Data (parsed)'!$I$2:$I$235,'Data (parsed)'!$B$2:$B$235,$A73,'Data (parsed)'!$C$2:$C$235,$B73,'Data (parsed)'!$G$2:$G$235,$C73)</x:f>
        <x:v>1</x:v>
      </x:c>
    </x:row>
    <x:row r="74" ht="15" customHeight="1">
      <x:c r="A74" s="24" t="s">
        <x:v>905</x:v>
      </x:c>
      <x:c r="B74" s="24" t="s">
        <x:v>934</x:v>
      </x:c>
      <x:c r="C74" s="24" t="s">
        <x:v>1006</x:v>
      </x:c>
      <x:c r="D74" s="25" t="n">
        <x:f>SUMIFS('Data (parsed)'!$I$2:$I$235,'Data (parsed)'!$B$2:$B$235,$A74,'Data (parsed)'!$C$2:$C$235,$B74,'Data (parsed)'!$G$2:$G$235,$C74)</x:f>
        <x:v>1</x:v>
      </x:c>
    </x:row>
    <x:row r="75" ht="15" customHeight="1">
      <x:c r="A75" s="24" t="s">
        <x:v>905</x:v>
      </x:c>
      <x:c r="B75" s="24" t="s">
        <x:v>934</x:v>
      </x:c>
      <x:c r="C75" s="24" t="s">
        <x:v>981</x:v>
      </x:c>
      <x:c r="D75" s="25" t="n">
        <x:f>SUMIFS('Data (parsed)'!$I$2:$I$235,'Data (parsed)'!$B$2:$B$235,$A75,'Data (parsed)'!$C$2:$C$235,$B75,'Data (parsed)'!$G$2:$G$235,$C75)</x:f>
        <x:v>1</x:v>
      </x:c>
    </x:row>
    <x:row r="76" ht="15" customHeight="1">
      <x:c r="A76" s="24" t="s">
        <x:v>905</x:v>
      </x:c>
      <x:c r="B76" s="24" t="s">
        <x:v>934</x:v>
      </x:c>
      <x:c r="C76" s="24" t="s">
        <x:v>994</x:v>
      </x:c>
      <x:c r="D76" s="25" t="n">
        <x:f>SUMIFS('Data (parsed)'!$I$2:$I$235,'Data (parsed)'!$B$2:$B$235,$A76,'Data (parsed)'!$C$2:$C$235,$B76,'Data (parsed)'!$G$2:$G$235,$C76)</x:f>
        <x:v>1</x:v>
      </x:c>
    </x:row>
    <x:row r="77" ht="15" customHeight="1">
      <x:c r="A77" s="24" t="s">
        <x:v>905</x:v>
      </x:c>
      <x:c r="B77" s="24" t="s">
        <x:v>934</x:v>
      </x:c>
      <x:c r="C77" s="24" t="s">
        <x:v>976</x:v>
      </x:c>
      <x:c r="D77" s="25" t="n">
        <x:f>SUMIFS('Data (parsed)'!$I$2:$I$235,'Data (parsed)'!$B$2:$B$235,$A77,'Data (parsed)'!$C$2:$C$235,$B77,'Data (parsed)'!$G$2:$G$235,$C77)</x:f>
        <x:v>1</x:v>
      </x:c>
    </x:row>
    <x:row r="78" ht="15" customHeight="1">
      <x:c r="A78" s="24" t="s">
        <x:v>905</x:v>
      </x:c>
      <x:c r="B78" s="24" t="s">
        <x:v>934</x:v>
      </x:c>
      <x:c r="C78" s="24" t="s">
        <x:v>977</x:v>
      </x:c>
      <x:c r="D78" s="25" t="n">
        <x:f>SUMIFS('Data (parsed)'!$I$2:$I$235,'Data (parsed)'!$B$2:$B$235,$A78,'Data (parsed)'!$C$2:$C$235,$B78,'Data (parsed)'!$G$2:$G$235,$C78)</x:f>
        <x:v>1</x:v>
      </x:c>
    </x:row>
    <x:row r="79" ht="15" customHeight="1">
      <x:c r="A79" s="24" t="s">
        <x:v>905</x:v>
      </x:c>
      <x:c r="B79" s="24" t="s">
        <x:v>934</x:v>
      </x:c>
      <x:c r="C79" s="24" t="s">
        <x:v>1007</x:v>
      </x:c>
      <x:c r="D79" s="25" t="n">
        <x:f>SUMIFS('Data (parsed)'!$I$2:$I$235,'Data (parsed)'!$B$2:$B$235,$A79,'Data (parsed)'!$C$2:$C$235,$B79,'Data (parsed)'!$G$2:$G$235,$C79)</x:f>
        <x:v>1</x:v>
      </x:c>
    </x:row>
    <x:row r="80" ht="15" customHeight="1">
      <x:c r="A80" s="24" t="s">
        <x:v>905</x:v>
      </x:c>
      <x:c r="B80" s="24" t="s">
        <x:v>937</x:v>
      </x:c>
      <x:c r="C80" s="24" t="s">
        <x:v>1004</x:v>
      </x:c>
      <x:c r="D80" s="25" t="n">
        <x:f>SUMIFS('Data (parsed)'!$I$2:$I$235,'Data (parsed)'!$B$2:$B$235,$A80,'Data (parsed)'!$C$2:$C$235,$B80,'Data (parsed)'!$G$2:$G$235,$C80)</x:f>
        <x:v>3</x:v>
      </x:c>
    </x:row>
    <x:row r="81" ht="15" customHeight="1">
      <x:c r="A81" s="24" t="s">
        <x:v>905</x:v>
      </x:c>
      <x:c r="B81" s="24" t="s">
        <x:v>936</x:v>
      </x:c>
      <x:c r="C81" s="24" t="s">
        <x:v>969</x:v>
      </x:c>
      <x:c r="D81" s="25" t="n">
        <x:f>SUMIFS('Data (parsed)'!$I$2:$I$235,'Data (parsed)'!$B$2:$B$235,$A81,'Data (parsed)'!$C$2:$C$235,$B81,'Data (parsed)'!$G$2:$G$235,$C81)</x:f>
        <x:v>2</x:v>
      </x:c>
    </x:row>
    <x:row r="82" ht="15" customHeight="1">
      <x:c r="A82" s="24" t="s">
        <x:v>905</x:v>
      </x:c>
      <x:c r="B82" s="24" t="s">
        <x:v>936</x:v>
      </x:c>
      <x:c r="C82" s="24" t="s">
        <x:v>967</x:v>
      </x:c>
      <x:c r="D82" s="25" t="n">
        <x:f>SUMIFS('Data (parsed)'!$I$2:$I$235,'Data (parsed)'!$B$2:$B$235,$A82,'Data (parsed)'!$C$2:$C$235,$B82,'Data (parsed)'!$G$2:$G$235,$C82)</x:f>
        <x:v>1</x:v>
      </x:c>
    </x:row>
    <x:row r="83" ht="15" customHeight="1">
      <x:c r="A83" s="24" t="s">
        <x:v>905</x:v>
      </x:c>
      <x:c r="B83" s="24" t="s">
        <x:v>935</x:v>
      </x:c>
      <x:c r="C83" s="24" t="s">
        <x:v>1002</x:v>
      </x:c>
      <x:c r="D83" s="25" t="n">
        <x:f>SUMIFS('Data (parsed)'!$I$2:$I$235,'Data (parsed)'!$B$2:$B$235,$A83,'Data (parsed)'!$C$2:$C$235,$B83,'Data (parsed)'!$G$2:$G$235,$C83)</x:f>
        <x:v>1</x:v>
      </x:c>
    </x:row>
    <x:row r="84" ht="15" customHeight="1">
      <x:c r="A84" s="24" t="s">
        <x:v>905</x:v>
      </x:c>
      <x:c r="B84" s="24" t="s">
        <x:v>935</x:v>
      </x:c>
      <x:c r="C84" s="24" t="s">
        <x:v>1006</x:v>
      </x:c>
      <x:c r="D84" s="25" t="n">
        <x:f>SUMIFS('Data (parsed)'!$I$2:$I$235,'Data (parsed)'!$B$2:$B$235,$A84,'Data (parsed)'!$C$2:$C$235,$B84,'Data (parsed)'!$G$2:$G$235,$C84)</x:f>
        <x:v>1</x:v>
      </x:c>
    </x:row>
    <x:row r="85" ht="15" customHeight="1">
      <x:c r="A85" s="24" t="s">
        <x:v>905</x:v>
      </x:c>
      <x:c r="B85" s="24" t="s">
        <x:v>935</x:v>
      </x:c>
      <x:c r="C85" s="24" t="s">
        <x:v>1008</x:v>
      </x:c>
      <x:c r="D85" s="25" t="n">
        <x:f>SUMIFS('Data (parsed)'!$I$2:$I$235,'Data (parsed)'!$B$2:$B$235,$A85,'Data (parsed)'!$C$2:$C$235,$B85,'Data (parsed)'!$G$2:$G$235,$C85)</x:f>
        <x:v>1</x:v>
      </x:c>
    </x:row>
    <x:row r="86" ht="15" customHeight="1">
      <x:c r="A86" s="24" t="s">
        <x:v>905</x:v>
      </x:c>
      <x:c r="B86" s="24" t="s">
        <x:v>935</x:v>
      </x:c>
      <x:c r="C86" s="24" t="s">
        <x:v>1009</x:v>
      </x:c>
      <x:c r="D86" s="25" t="n">
        <x:f>SUMIFS('Data (parsed)'!$I$2:$I$235,'Data (parsed)'!$B$2:$B$235,$A86,'Data (parsed)'!$C$2:$C$235,$B86,'Data (parsed)'!$G$2:$G$235,$C86)</x:f>
        <x:v>1</x:v>
      </x:c>
    </x:row>
    <x:row r="87" ht="15" customHeight="1">
      <x:c r="A87" s="24" t="s">
        <x:v>905</x:v>
      </x:c>
      <x:c r="B87" s="24" t="s">
        <x:v>935</x:v>
      </x:c>
      <x:c r="C87" s="24" t="s">
        <x:v>1010</x:v>
      </x:c>
      <x:c r="D87" s="25" t="n">
        <x:f>SUMIFS('Data (parsed)'!$I$2:$I$235,'Data (parsed)'!$B$2:$B$235,$A87,'Data (parsed)'!$C$2:$C$235,$B87,'Data (parsed)'!$G$2:$G$235,$C87)</x:f>
        <x:v>1</x:v>
      </x:c>
    </x:row>
    <x:row r="88" ht="15" customHeight="1">
      <x:c r="A88" s="24" t="s">
        <x:v>905</x:v>
      </x:c>
      <x:c r="B88" s="24" t="s">
        <x:v>938</x:v>
      </x:c>
      <x:c r="C88" s="24" t="s">
        <x:v>1011</x:v>
      </x:c>
      <x:c r="D88" s="25" t="n">
        <x:f>SUMIFS('Data (parsed)'!$I$2:$I$235,'Data (parsed)'!$B$2:$B$235,$A88,'Data (parsed)'!$C$2:$C$235,$B88,'Data (parsed)'!$G$2:$G$235,$C88)</x:f>
        <x:v>1</x:v>
      </x:c>
    </x:row>
    <x:row r="89" ht="15" customHeight="1">
      <x:c r="A89" s="24" t="s">
        <x:v>905</x:v>
      </x:c>
      <x:c r="B89" s="24" t="s">
        <x:v>938</x:v>
      </x:c>
      <x:c r="C89" s="24" t="s">
        <x:v>1004</x:v>
      </x:c>
      <x:c r="D89" s="25" t="n">
        <x:f>SUMIFS('Data (parsed)'!$I$2:$I$235,'Data (parsed)'!$B$2:$B$235,$A89,'Data (parsed)'!$C$2:$C$235,$B89,'Data (parsed)'!$G$2:$G$235,$C89)</x:f>
        <x:v>1</x:v>
      </x:c>
    </x:row>
    <x:row r="90" ht="15" customHeight="1">
      <x:c r="A90" s="24" t="s">
        <x:v>905</x:v>
      </x:c>
      <x:c r="B90" s="24" t="s">
        <x:v>939</x:v>
      </x:c>
      <x:c r="C90" s="24" t="s">
        <x:v>1012</x:v>
      </x:c>
      <x:c r="D90" s="25" t="n">
        <x:f>SUMIFS('Data (parsed)'!$I$2:$I$235,'Data (parsed)'!$B$2:$B$235,$A90,'Data (parsed)'!$C$2:$C$235,$B90,'Data (parsed)'!$G$2:$G$235,$C90)</x:f>
        <x:v>1</x:v>
      </x:c>
    </x:row>
    <x:row r="91" ht="15" customHeight="1">
      <x:c r="A91" s="19" t="s">
        <x:v>906</x:v>
      </x:c>
      <x:c r="B91" s="19" t="s">
        <x:v>944</x:v>
      </x:c>
      <x:c r="C91" s="19" t="s">
        <x:v>1004</x:v>
      </x:c>
      <x:c r="D91" s="23" t="n">
        <x:f>SUMIFS('Data (parsed)'!$I$2:$I$235,'Data (parsed)'!$B$2:$B$235,$A91,'Data (parsed)'!$C$2:$C$235,$B91,'Data (parsed)'!$G$2:$G$235,$C91)</x:f>
        <x:v>6</x:v>
      </x:c>
    </x:row>
    <x:row r="92" ht="15" customHeight="1">
      <x:c r="A92" s="19" t="s">
        <x:v>906</x:v>
      </x:c>
      <x:c r="B92" s="19" t="s">
        <x:v>944</x:v>
      </x:c>
      <x:c r="C92" s="19" t="s">
        <x:v>1013</x:v>
      </x:c>
      <x:c r="D92" s="23" t="n">
        <x:f>SUMIFS('Data (parsed)'!$I$2:$I$235,'Data (parsed)'!$B$2:$B$235,$A92,'Data (parsed)'!$C$2:$C$235,$B92,'Data (parsed)'!$G$2:$G$235,$C92)</x:f>
        <x:v>1</x:v>
      </x:c>
    </x:row>
    <x:row r="93" ht="15" customHeight="1">
      <x:c r="A93" s="19" t="s">
        <x:v>906</x:v>
      </x:c>
      <x:c r="B93" s="19" t="s">
        <x:v>944</x:v>
      </x:c>
      <x:c r="C93" s="19" t="s">
        <x:v>967</x:v>
      </x:c>
      <x:c r="D93" s="23" t="n">
        <x:f>SUMIFS('Data (parsed)'!$I$2:$I$235,'Data (parsed)'!$B$2:$B$235,$A93,'Data (parsed)'!$C$2:$C$235,$B93,'Data (parsed)'!$G$2:$G$235,$C93)</x:f>
        <x:v>1</x:v>
      </x:c>
    </x:row>
    <x:row r="94" ht="15" customHeight="1">
      <x:c r="A94" s="19" t="s">
        <x:v>906</x:v>
      </x:c>
      <x:c r="B94" s="19" t="s">
        <x:v>947</x:v>
      </x:c>
      <x:c r="C94" s="19" t="s">
        <x:v>1004</x:v>
      </x:c>
      <x:c r="D94" s="23" t="n">
        <x:f>SUMIFS('Data (parsed)'!$I$2:$I$235,'Data (parsed)'!$B$2:$B$235,$A94,'Data (parsed)'!$C$2:$C$235,$B94,'Data (parsed)'!$G$2:$G$235,$C94)</x:f>
        <x:v>3</x:v>
      </x:c>
    </x:row>
    <x:row r="95" ht="15" customHeight="1">
      <x:c r="A95" s="19" t="s">
        <x:v>906</x:v>
      </x:c>
      <x:c r="B95" s="19" t="s">
        <x:v>948</x:v>
      </x:c>
      <x:c r="C95" s="19" t="s">
        <x:v>1004</x:v>
      </x:c>
      <x:c r="D95" s="23" t="n">
        <x:f>SUMIFS('Data (parsed)'!$I$2:$I$235,'Data (parsed)'!$B$2:$B$235,$A95,'Data (parsed)'!$C$2:$C$235,$B95,'Data (parsed)'!$G$2:$G$235,$C95)</x:f>
        <x:v>2</x:v>
      </x:c>
    </x:row>
    <x:row r="96" ht="26.25" customHeight="1">
      <x:c r="A96" s="19" t="s">
        <x:v>906</x:v>
      </x:c>
      <x:c r="B96" s="19" t="s">
        <x:v>943</x:v>
      </x:c>
      <x:c r="C96" s="19" t="s">
        <x:v>1004</x:v>
      </x:c>
      <x:c r="D96" s="23" t="n">
        <x:f>SUMIFS('Data (parsed)'!$I$2:$I$235,'Data (parsed)'!$B$2:$B$235,$A96,'Data (parsed)'!$C$2:$C$235,$B96,'Data (parsed)'!$G$2:$G$235,$C96)</x:f>
        <x:v>8</x:v>
      </x:c>
    </x:row>
    <x:row r="97" ht="26.25" customHeight="1">
      <x:c r="A97" s="19" t="s">
        <x:v>906</x:v>
      </x:c>
      <x:c r="B97" s="19" t="s">
        <x:v>943</x:v>
      </x:c>
      <x:c r="C97" s="19" t="s">
        <x:v>1014</x:v>
      </x:c>
      <x:c r="D97" s="23" t="n">
        <x:f>SUMIFS('Data (parsed)'!$I$2:$I$235,'Data (parsed)'!$B$2:$B$235,$A97,'Data (parsed)'!$C$2:$C$235,$B97,'Data (parsed)'!$G$2:$G$235,$C97)</x:f>
        <x:v>1</x:v>
      </x:c>
    </x:row>
    <x:row r="98" ht="15" customHeight="1">
      <x:c r="A98" s="19" t="s">
        <x:v>906</x:v>
      </x:c>
      <x:c r="B98" s="19" t="s">
        <x:v>952</x:v>
      </x:c>
      <x:c r="C98" s="19" t="s">
        <x:v>969</x:v>
      </x:c>
      <x:c r="D98" s="23" t="n">
        <x:f>SUMIFS('Data (parsed)'!$I$2:$I$235,'Data (parsed)'!$B$2:$B$235,$A98,'Data (parsed)'!$C$2:$C$235,$B98,'Data (parsed)'!$G$2:$G$235,$C98)</x:f>
        <x:v>1</x:v>
      </x:c>
    </x:row>
    <x:row r="99" ht="15" customHeight="1">
      <x:c r="A99" s="19" t="s">
        <x:v>906</x:v>
      </x:c>
      <x:c r="B99" s="19" t="s">
        <x:v>951</x:v>
      </x:c>
      <x:c r="C99" s="19" t="s">
        <x:v>1004</x:v>
      </x:c>
      <x:c r="D99" s="23" t="n">
        <x:f>SUMIFS('Data (parsed)'!$I$2:$I$235,'Data (parsed)'!$B$2:$B$235,$A99,'Data (parsed)'!$C$2:$C$235,$B99,'Data (parsed)'!$G$2:$G$235,$C99)</x:f>
        <x:v>1</x:v>
      </x:c>
    </x:row>
    <x:row r="100" ht="15" customHeight="1">
      <x:c r="A100" s="19" t="s">
        <x:v>906</x:v>
      </x:c>
      <x:c r="B100" s="19" t="s">
        <x:v>949</x:v>
      </x:c>
      <x:c r="C100" s="19" t="s">
        <x:v>1004</x:v>
      </x:c>
      <x:c r="D100" s="23" t="n">
        <x:f>SUMIFS('Data (parsed)'!$I$2:$I$235,'Data (parsed)'!$B$2:$B$235,$A100,'Data (parsed)'!$C$2:$C$235,$B100,'Data (parsed)'!$G$2:$G$235,$C100)</x:f>
        <x:v>1</x:v>
      </x:c>
    </x:row>
    <x:row r="101" ht="15" customHeight="1">
      <x:c r="A101" s="19" t="s">
        <x:v>906</x:v>
      </x:c>
      <x:c r="B101" s="19" t="s">
        <x:v>651</x:v>
      </x:c>
      <x:c r="C101" s="19" t="s">
        <x:v>1004</x:v>
      </x:c>
      <x:c r="D101" s="23" t="n">
        <x:f>SUMIFS('Data (parsed)'!$I$2:$I$235,'Data (parsed)'!$B$2:$B$235,$A101,'Data (parsed)'!$C$2:$C$235,$B101,'Data (parsed)'!$G$2:$G$235,$C101)</x:f>
        <x:v>2</x:v>
      </x:c>
    </x:row>
    <x:row r="102" ht="15" customHeight="1">
      <x:c r="A102" s="19" t="s">
        <x:v>906</x:v>
      </x:c>
      <x:c r="B102" s="19" t="s">
        <x:v>950</x:v>
      </x:c>
      <x:c r="C102" s="19" t="s">
        <x:v>1004</x:v>
      </x:c>
      <x:c r="D102" s="23" t="n">
        <x:f>SUMIFS('Data (parsed)'!$I$2:$I$235,'Data (parsed)'!$B$2:$B$235,$A102,'Data (parsed)'!$C$2:$C$235,$B102,'Data (parsed)'!$G$2:$G$235,$C102)</x:f>
        <x:v>1</x:v>
      </x:c>
    </x:row>
    <x:row r="103" ht="15" customHeight="1">
      <x:c r="A103" s="19" t="s">
        <x:v>906</x:v>
      </x:c>
      <x:c r="B103" s="19" t="s">
        <x:v>945</x:v>
      </x:c>
      <x:c r="C103" s="19" t="s">
        <x:v>1004</x:v>
      </x:c>
      <x:c r="D103" s="23" t="n">
        <x:f>SUMIFS('Data (parsed)'!$I$2:$I$235,'Data (parsed)'!$B$2:$B$235,$A103,'Data (parsed)'!$C$2:$C$235,$B103,'Data (parsed)'!$G$2:$G$235,$C103)</x:f>
        <x:v>4</x:v>
      </x:c>
    </x:row>
    <x:row r="104" ht="15" customHeight="1">
      <x:c r="A104" s="19" t="s">
        <x:v>906</x:v>
      </x:c>
      <x:c r="B104" s="19" t="s">
        <x:v>945</x:v>
      </x:c>
      <x:c r="C104" s="19" t="s">
        <x:v>1015</x:v>
      </x:c>
      <x:c r="D104" s="23" t="n">
        <x:f>SUMIFS('Data (parsed)'!$I$2:$I$235,'Data (parsed)'!$B$2:$B$235,$A104,'Data (parsed)'!$C$2:$C$235,$B104,'Data (parsed)'!$G$2:$G$235,$C104)</x:f>
        <x:v>1</x:v>
      </x:c>
    </x:row>
    <x:row r="105" ht="15" customHeight="1">
      <x:c r="A105" s="19" t="s">
        <x:v>906</x:v>
      </x:c>
      <x:c r="B105" s="19" t="s">
        <x:v>945</x:v>
      </x:c>
      <x:c r="C105" s="19" t="s">
        <x:v>1016</x:v>
      </x:c>
      <x:c r="D105" s="23" t="n">
        <x:f>SUMIFS('Data (parsed)'!$I$2:$I$235,'Data (parsed)'!$B$2:$B$235,$A105,'Data (parsed)'!$C$2:$C$235,$B105,'Data (parsed)'!$G$2:$G$235,$C105)</x:f>
        <x:v>1</x:v>
      </x:c>
    </x:row>
    <x:row r="106" ht="15" customHeight="1">
      <x:c r="A106" s="19" t="s">
        <x:v>906</x:v>
      </x:c>
      <x:c r="B106" s="19" t="s">
        <x:v>945</x:v>
      </x:c>
      <x:c r="C106" s="19" t="s">
        <x:v>1017</x:v>
      </x:c>
      <x:c r="D106" s="23" t="n">
        <x:f>SUMIFS('Data (parsed)'!$I$2:$I$235,'Data (parsed)'!$B$2:$B$235,$A106,'Data (parsed)'!$C$2:$C$235,$B106,'Data (parsed)'!$G$2:$G$235,$C106)</x:f>
        <x:v>1</x:v>
      </x:c>
    </x:row>
    <x:row r="107" ht="15" customHeight="1">
      <x:c r="A107" s="19" t="s">
        <x:v>906</x:v>
      </x:c>
      <x:c r="B107" s="19" t="s">
        <x:v>946</x:v>
      </x:c>
      <x:c r="C107" s="19" t="s">
        <x:v>1004</x:v>
      </x:c>
      <x:c r="D107" s="23" t="n">
        <x:f>SUMIFS('Data (parsed)'!$I$2:$I$235,'Data (parsed)'!$B$2:$B$235,$A107,'Data (parsed)'!$C$2:$C$235,$B107,'Data (parsed)'!$G$2:$G$235,$C107)</x:f>
        <x:v>2</x:v>
      </x:c>
    </x:row>
    <x:row r="108" ht="15" customHeight="1">
      <x:c r="A108" s="19" t="s">
        <x:v>906</x:v>
      </x:c>
      <x:c r="B108" s="19" t="s">
        <x:v>946</x:v>
      </x:c>
      <x:c r="C108" s="19" t="s">
        <x:v>969</x:v>
      </x:c>
      <x:c r="D108" s="23" t="n">
        <x:f>SUMIFS('Data (parsed)'!$I$2:$I$235,'Data (parsed)'!$B$2:$B$235,$A108,'Data (parsed)'!$C$2:$C$235,$B108,'Data (parsed)'!$G$2:$G$235,$C108)</x:f>
        <x:v>1</x:v>
      </x:c>
    </x:row>
    <x:row r="109" ht="15" customHeight="1">
      <x:c r="A109" s="19" t="s">
        <x:v>906</x:v>
      </x:c>
      <x:c r="B109" s="19" t="s">
        <x:v>946</x:v>
      </x:c>
      <x:c r="C109" s="19" t="s">
        <x:v>1018</x:v>
      </x:c>
      <x:c r="D109" s="23" t="n">
        <x:f>SUMIFS('Data (parsed)'!$I$2:$I$235,'Data (parsed)'!$B$2:$B$235,$A109,'Data (parsed)'!$C$2:$C$235,$B109,'Data (parsed)'!$G$2:$G$235,$C109)</x:f>
        <x:v>1</x:v>
      </x:c>
    </x:row>
    <x:row r="110" ht="15" customHeight="1">
      <x:c r="A110" s="24" t="s">
        <x:v>907</x:v>
      </x:c>
      <x:c r="B110" s="24" t="s">
        <x:v>959</x:v>
      </x:c>
      <x:c r="C110" s="24" t="s">
        <x:v>1019</x:v>
      </x:c>
      <x:c r="D110" s="25" t="n">
        <x:f>SUMIFS('Data (parsed)'!$I$2:$I$235,'Data (parsed)'!$B$2:$B$235,$A110,'Data (parsed)'!$C$2:$C$235,$B110,'Data (parsed)'!$G$2:$G$235,$C110)</x:f>
        <x:v>2</x:v>
      </x:c>
    </x:row>
    <x:row r="111" ht="15" customHeight="1">
      <x:c r="A111" s="24" t="s">
        <x:v>907</x:v>
      </x:c>
      <x:c r="B111" s="24" t="s">
        <x:v>959</x:v>
      </x:c>
      <x:c r="C111" s="24" t="s">
        <x:v>1020</x:v>
      </x:c>
      <x:c r="D111" s="25" t="n">
        <x:f>SUMIFS('Data (parsed)'!$I$2:$I$235,'Data (parsed)'!$B$2:$B$235,$A111,'Data (parsed)'!$C$2:$C$235,$B111,'Data (parsed)'!$G$2:$G$235,$C111)</x:f>
        <x:v>1</x:v>
      </x:c>
    </x:row>
    <x:row r="112" ht="15" customHeight="1">
      <x:c r="A112" s="24" t="s">
        <x:v>907</x:v>
      </x:c>
      <x:c r="B112" s="24" t="s">
        <x:v>959</x:v>
      </x:c>
      <x:c r="C112" s="24" t="s">
        <x:v>1021</x:v>
      </x:c>
      <x:c r="D112" s="25" t="n">
        <x:f>SUMIFS('Data (parsed)'!$I$2:$I$235,'Data (parsed)'!$B$2:$B$235,$A112,'Data (parsed)'!$C$2:$C$235,$B112,'Data (parsed)'!$G$2:$G$235,$C112)</x:f>
        <x:v>1</x:v>
      </x:c>
    </x:row>
    <x:row r="113" ht="15" customHeight="1">
      <x:c r="A113" s="24" t="s">
        <x:v>907</x:v>
      </x:c>
      <x:c r="B113" s="24" t="s">
        <x:v>959</x:v>
      </x:c>
      <x:c r="C113" s="24" t="s">
        <x:v>1022</x:v>
      </x:c>
      <x:c r="D113" s="25" t="n">
        <x:f>SUMIFS('Data (parsed)'!$I$2:$I$235,'Data (parsed)'!$B$2:$B$235,$A113,'Data (parsed)'!$C$2:$C$235,$B113,'Data (parsed)'!$G$2:$G$235,$C113)</x:f>
        <x:v>1</x:v>
      </x:c>
    </x:row>
    <x:row r="114" ht="15" customHeight="1">
      <x:c r="A114" s="24" t="s">
        <x:v>907</x:v>
      </x:c>
      <x:c r="B114" s="24" t="s">
        <x:v>958</x:v>
      </x:c>
      <x:c r="C114" s="24" t="s">
        <x:v>1022</x:v>
      </x:c>
      <x:c r="D114" s="25" t="n">
        <x:f>SUMIFS('Data (parsed)'!$I$2:$I$235,'Data (parsed)'!$B$2:$B$235,$A114,'Data (parsed)'!$C$2:$C$235,$B114,'Data (parsed)'!$G$2:$G$235,$C114)</x:f>
        <x:v>2</x:v>
      </x:c>
    </x:row>
    <x:row r="115" ht="15" customHeight="1">
      <x:c r="A115" s="24" t="s">
        <x:v>907</x:v>
      </x:c>
      <x:c r="B115" s="24" t="s">
        <x:v>958</x:v>
      </x:c>
      <x:c r="C115" s="24" t="s">
        <x:v>1023</x:v>
      </x:c>
      <x:c r="D115" s="25" t="n">
        <x:f>SUMIFS('Data (parsed)'!$I$2:$I$235,'Data (parsed)'!$B$2:$B$235,$A115,'Data (parsed)'!$C$2:$C$235,$B115,'Data (parsed)'!$G$2:$G$235,$C115)</x:f>
        <x:v>1</x:v>
      </x:c>
    </x:row>
    <x:row r="116" ht="15" customHeight="1">
      <x:c r="A116" s="24" t="s">
        <x:v>907</x:v>
      </x:c>
      <x:c r="B116" s="24" t="s">
        <x:v>958</x:v>
      </x:c>
      <x:c r="C116" s="24" t="s">
        <x:v>1024</x:v>
      </x:c>
      <x:c r="D116" s="25" t="n">
        <x:f>SUMIFS('Data (parsed)'!$I$2:$I$235,'Data (parsed)'!$B$2:$B$235,$A116,'Data (parsed)'!$C$2:$C$235,$B116,'Data (parsed)'!$G$2:$G$235,$C116)</x:f>
        <x:v>1</x:v>
      </x:c>
    </x:row>
    <x:row r="117" ht="15" customHeight="1">
      <x:c r="A117" s="24" t="s">
        <x:v>907</x:v>
      </x:c>
      <x:c r="B117" s="24" t="s">
        <x:v>958</x:v>
      </x:c>
      <x:c r="C117" s="24" t="s">
        <x:v>1025</x:v>
      </x:c>
      <x:c r="D117" s="25" t="n">
        <x:f>SUMIFS('Data (parsed)'!$I$2:$I$235,'Data (parsed)'!$B$2:$B$235,$A117,'Data (parsed)'!$C$2:$C$235,$B117,'Data (parsed)'!$G$2:$G$235,$C117)</x:f>
        <x:v>1</x:v>
      </x:c>
    </x:row>
    <x:row r="118" ht="15" customHeight="1">
      <x:c r="A118" s="24" t="s">
        <x:v>907</x:v>
      </x:c>
      <x:c r="B118" s="24" t="s">
        <x:v>744</x:v>
      </x:c>
      <x:c r="C118" s="24" t="s">
        <x:v>1022</x:v>
      </x:c>
      <x:c r="D118" s="25" t="n">
        <x:f>SUMIFS('Data (parsed)'!$I$2:$I$235,'Data (parsed)'!$B$2:$B$235,$A118,'Data (parsed)'!$C$2:$C$235,$B118,'Data (parsed)'!$G$2:$G$235,$C118)</x:f>
        <x:v>12</x:v>
      </x:c>
    </x:row>
    <x:row r="119" ht="15" customHeight="1">
      <x:c r="A119" s="24" t="s">
        <x:v>907</x:v>
      </x:c>
      <x:c r="B119" s="24" t="s">
        <x:v>744</x:v>
      </x:c>
      <x:c r="C119" s="24" t="s">
        <x:v>1026</x:v>
      </x:c>
      <x:c r="D119" s="25" t="n">
        <x:f>SUMIFS('Data (parsed)'!$I$2:$I$235,'Data (parsed)'!$B$2:$B$235,$A119,'Data (parsed)'!$C$2:$C$235,$B119,'Data (parsed)'!$G$2:$G$235,$C119)</x:f>
        <x:v>5</x:v>
      </x:c>
    </x:row>
    <x:row r="120" ht="15" customHeight="1">
      <x:c r="A120" s="24" t="s">
        <x:v>907</x:v>
      </x:c>
      <x:c r="B120" s="24" t="s">
        <x:v>744</x:v>
      </x:c>
      <x:c r="C120" s="24" t="s">
        <x:v>1019</x:v>
      </x:c>
      <x:c r="D120" s="25" t="n">
        <x:f>SUMIFS('Data (parsed)'!$I$2:$I$235,'Data (parsed)'!$B$2:$B$235,$A120,'Data (parsed)'!$C$2:$C$235,$B120,'Data (parsed)'!$G$2:$G$235,$C120)</x:f>
        <x:v>2</x:v>
      </x:c>
    </x:row>
    <x:row r="121" ht="15" customHeight="1">
      <x:c r="A121" s="24" t="s">
        <x:v>907</x:v>
      </x:c>
      <x:c r="B121" s="24" t="s">
        <x:v>744</x:v>
      </x:c>
      <x:c r="C121" s="24" t="s">
        <x:v>1023</x:v>
      </x:c>
      <x:c r="D121" s="25" t="n">
        <x:f>SUMIFS('Data (parsed)'!$I$2:$I$235,'Data (parsed)'!$B$2:$B$235,$A121,'Data (parsed)'!$C$2:$C$235,$B121,'Data (parsed)'!$G$2:$G$235,$C121)</x:f>
        <x:v>2</x:v>
      </x:c>
    </x:row>
    <x:row r="122" ht="15" customHeight="1">
      <x:c r="A122" s="24" t="s">
        <x:v>907</x:v>
      </x:c>
      <x:c r="B122" s="24" t="s">
        <x:v>744</x:v>
      </x:c>
      <x:c r="C122" s="24" t="s">
        <x:v>1027</x:v>
      </x:c>
      <x:c r="D122" s="25" t="n">
        <x:f>SUMIFS('Data (parsed)'!$I$2:$I$235,'Data (parsed)'!$B$2:$B$235,$A122,'Data (parsed)'!$C$2:$C$235,$B122,'Data (parsed)'!$G$2:$G$235,$C122)</x:f>
        <x:v>2</x:v>
      </x:c>
    </x:row>
    <x:row r="123" ht="15" customHeight="1">
      <x:c r="A123" s="24" t="s">
        <x:v>907</x:v>
      </x:c>
      <x:c r="B123" s="24" t="s">
        <x:v>744</x:v>
      </x:c>
      <x:c r="C123" s="24" t="s">
        <x:v>1028</x:v>
      </x:c>
      <x:c r="D123" s="25" t="n">
        <x:f>SUMIFS('Data (parsed)'!$I$2:$I$235,'Data (parsed)'!$B$2:$B$235,$A123,'Data (parsed)'!$C$2:$C$235,$B123,'Data (parsed)'!$G$2:$G$235,$C123)</x:f>
        <x:v>1</x:v>
      </x:c>
    </x:row>
    <x:row r="124" ht="15" customHeight="1">
      <x:c r="A124" s="24" t="s">
        <x:v>907</x:v>
      </x:c>
      <x:c r="B124" s="24" t="s">
        <x:v>744</x:v>
      </x:c>
      <x:c r="C124" s="24" t="s">
        <x:v>1029</x:v>
      </x:c>
      <x:c r="D124" s="25" t="n">
        <x:f>SUMIFS('Data (parsed)'!$I$2:$I$235,'Data (parsed)'!$B$2:$B$235,$A124,'Data (parsed)'!$C$2:$C$235,$B124,'Data (parsed)'!$G$2:$G$235,$C124)</x:f>
        <x:v>1</x:v>
      </x:c>
    </x:row>
    <x:row r="125" ht="15" customHeight="1">
      <x:c r="A125" s="24" t="s">
        <x:v>907</x:v>
      </x:c>
      <x:c r="B125" s="24" t="s">
        <x:v>744</x:v>
      </x:c>
      <x:c r="C125" s="24" t="s">
        <x:v>1030</x:v>
      </x:c>
      <x:c r="D125" s="25" t="n">
        <x:f>SUMIFS('Data (parsed)'!$I$2:$I$235,'Data (parsed)'!$B$2:$B$235,$A125,'Data (parsed)'!$C$2:$C$235,$B125,'Data (parsed)'!$G$2:$G$235,$C125)</x:f>
        <x:v>1</x:v>
      </x:c>
    </x:row>
    <x:row r="126" ht="15" customHeight="1">
      <x:c r="A126" s="24" t="s">
        <x:v>907</x:v>
      </x:c>
      <x:c r="B126" s="24" t="s">
        <x:v>744</x:v>
      </x:c>
      <x:c r="C126" s="24" t="s">
        <x:v>1031</x:v>
      </x:c>
      <x:c r="D126" s="25" t="n">
        <x:f>SUMIFS('Data (parsed)'!$I$2:$I$235,'Data (parsed)'!$B$2:$B$235,$A126,'Data (parsed)'!$C$2:$C$235,$B126,'Data (parsed)'!$G$2:$G$235,$C126)</x:f>
        <x:v>1</x:v>
      </x:c>
    </x:row>
    <x:row r="127" ht="15" customHeight="1">
      <x:c r="A127" s="24" t="s">
        <x:v>907</x:v>
      </x:c>
      <x:c r="B127" s="24" t="s">
        <x:v>960</x:v>
      </x:c>
      <x:c r="C127" s="24" t="s">
        <x:v>1032</x:v>
      </x:c>
      <x:c r="D127" s="25" t="n">
        <x:f>SUMIFS('Data (parsed)'!$I$2:$I$235,'Data (parsed)'!$B$2:$B$235,$A127,'Data (parsed)'!$C$2:$C$235,$B127,'Data (parsed)'!$G$2:$G$235,$C127)</x:f>
        <x:v>1</x:v>
      </x:c>
    </x:row>
    <x:row r="128" ht="15" customHeight="1">
      <x:c r="A128" s="24" t="s">
        <x:v>907</x:v>
      </x:c>
      <x:c r="B128" s="24" t="s">
        <x:v>956</x:v>
      </x:c>
      <x:c r="C128" s="24" t="s">
        <x:v>1022</x:v>
      </x:c>
      <x:c r="D128" s="25" t="n">
        <x:f>SUMIFS('Data (parsed)'!$I$2:$I$235,'Data (parsed)'!$B$2:$B$235,$A128,'Data (parsed)'!$C$2:$C$235,$B128,'Data (parsed)'!$G$2:$G$235,$C128)</x:f>
        <x:v>3</x:v>
      </x:c>
    </x:row>
    <x:row r="129" ht="15" customHeight="1">
      <x:c r="A129" s="24" t="s">
        <x:v>907</x:v>
      </x:c>
      <x:c r="B129" s="24" t="s">
        <x:v>956</x:v>
      </x:c>
      <x:c r="C129" s="24" t="s">
        <x:v>1026</x:v>
      </x:c>
      <x:c r="D129" s="25" t="n">
        <x:f>SUMIFS('Data (parsed)'!$I$2:$I$235,'Data (parsed)'!$B$2:$B$235,$A129,'Data (parsed)'!$C$2:$C$235,$B129,'Data (parsed)'!$G$2:$G$235,$C129)</x:f>
        <x:v>2</x:v>
      </x:c>
    </x:row>
    <x:row r="130" ht="15" customHeight="1">
      <x:c r="A130" s="24" t="s">
        <x:v>907</x:v>
      </x:c>
      <x:c r="B130" s="24" t="s">
        <x:v>956</x:v>
      </x:c>
      <x:c r="C130" s="24" t="s">
        <x:v>969</x:v>
      </x:c>
      <x:c r="D130" s="25" t="n">
        <x:f>SUMIFS('Data (parsed)'!$I$2:$I$235,'Data (parsed)'!$B$2:$B$235,$A130,'Data (parsed)'!$C$2:$C$235,$B130,'Data (parsed)'!$G$2:$G$235,$C130)</x:f>
        <x:v>1</x:v>
      </x:c>
    </x:row>
    <x:row r="131" ht="15" customHeight="1">
      <x:c r="A131" s="24" t="s">
        <x:v>907</x:v>
      </x:c>
      <x:c r="B131" s="24" t="s">
        <x:v>956</x:v>
      </x:c>
      <x:c r="C131" s="24" t="s">
        <x:v>1033</x:v>
      </x:c>
      <x:c r="D131" s="25" t="n">
        <x:f>SUMIFS('Data (parsed)'!$I$2:$I$235,'Data (parsed)'!$B$2:$B$235,$A131,'Data (parsed)'!$C$2:$C$235,$B131,'Data (parsed)'!$G$2:$G$235,$C131)</x:f>
        <x:v>1</x:v>
      </x:c>
    </x:row>
    <x:row r="132" ht="15" customHeight="1">
      <x:c r="A132" s="24" t="s">
        <x:v>907</x:v>
      </x:c>
      <x:c r="B132" s="24" t="s">
        <x:v>956</x:v>
      </x:c>
      <x:c r="C132" s="24" t="s">
        <x:v>1034</x:v>
      </x:c>
      <x:c r="D132" s="25" t="n">
        <x:f>SUMIFS('Data (parsed)'!$I$2:$I$235,'Data (parsed)'!$B$2:$B$235,$A132,'Data (parsed)'!$C$2:$C$235,$B132,'Data (parsed)'!$G$2:$G$235,$C132)</x:f>
        <x:v>1</x:v>
      </x:c>
    </x:row>
    <x:row r="133" ht="15" customHeight="1">
      <x:c r="A133" s="24" t="s">
        <x:v>907</x:v>
      </x:c>
      <x:c r="B133" s="24" t="s">
        <x:v>956</x:v>
      </x:c>
      <x:c r="C133" s="24" t="s">
        <x:v>1035</x:v>
      </x:c>
      <x:c r="D133" s="25" t="n">
        <x:f>SUMIFS('Data (parsed)'!$I$2:$I$235,'Data (parsed)'!$B$2:$B$235,$A133,'Data (parsed)'!$C$2:$C$235,$B133,'Data (parsed)'!$G$2:$G$235,$C133)</x:f>
        <x:v>1</x:v>
      </x:c>
    </x:row>
    <x:row r="134" ht="15" customHeight="1">
      <x:c r="A134" s="24" t="s">
        <x:v>907</x:v>
      </x:c>
      <x:c r="B134" s="24" t="s">
        <x:v>956</x:v>
      </x:c>
      <x:c r="C134" s="24" t="s">
        <x:v>981</x:v>
      </x:c>
      <x:c r="D134" s="25" t="n">
        <x:f>SUMIFS('Data (parsed)'!$I$2:$I$235,'Data (parsed)'!$B$2:$B$235,$A134,'Data (parsed)'!$C$2:$C$235,$B134,'Data (parsed)'!$G$2:$G$235,$C134)</x:f>
        <x:v>1</x:v>
      </x:c>
    </x:row>
    <x:row r="135" ht="15" customHeight="1">
      <x:c r="A135" s="24" t="s">
        <x:v>907</x:v>
      </x:c>
      <x:c r="B135" s="24" t="s">
        <x:v>956</x:v>
      </x:c>
      <x:c r="C135" s="24" t="s">
        <x:v>1036</x:v>
      </x:c>
      <x:c r="D135" s="25" t="n">
        <x:f>SUMIFS('Data (parsed)'!$I$2:$I$235,'Data (parsed)'!$B$2:$B$235,$A135,'Data (parsed)'!$C$2:$C$235,$B135,'Data (parsed)'!$G$2:$G$235,$C135)</x:f>
        <x:v>1</x:v>
      </x:c>
    </x:row>
    <x:row r="136" ht="15" customHeight="1">
      <x:c r="A136" s="24" t="s">
        <x:v>907</x:v>
      </x:c>
      <x:c r="B136" s="24" t="s">
        <x:v>957</x:v>
      </x:c>
      <x:c r="C136" s="24" t="s">
        <x:v>1022</x:v>
      </x:c>
      <x:c r="D136" s="25" t="n">
        <x:f>SUMIFS('Data (parsed)'!$I$2:$I$235,'Data (parsed)'!$B$2:$B$235,$A136,'Data (parsed)'!$C$2:$C$235,$B136,'Data (parsed)'!$G$2:$G$235,$C136)</x:f>
        <x:v>4</x:v>
      </x:c>
    </x:row>
    <x:row r="137" ht="15" customHeight="1">
      <x:c r="A137" s="24" t="s">
        <x:v>907</x:v>
      </x:c>
      <x:c r="B137" s="24" t="s">
        <x:v>957</x:v>
      </x:c>
      <x:c r="C137" s="24" t="s">
        <x:v>969</x:v>
      </x:c>
      <x:c r="D137" s="25" t="n">
        <x:f>SUMIFS('Data (parsed)'!$I$2:$I$235,'Data (parsed)'!$B$2:$B$235,$A137,'Data (parsed)'!$C$2:$C$235,$B137,'Data (parsed)'!$G$2:$G$235,$C137)</x:f>
        <x:v>1</x:v>
      </x:c>
    </x:row>
    <x:row r="138" ht="15" customHeight="1">
      <x:c r="A138" s="24" t="s">
        <x:v>907</x:v>
      </x:c>
      <x:c r="B138" s="24" t="s">
        <x:v>957</x:v>
      </x:c>
      <x:c r="C138" s="24" t="s">
        <x:v>1037</x:v>
      </x:c>
      <x:c r="D138" s="25" t="n">
        <x:f>SUMIFS('Data (parsed)'!$I$2:$I$235,'Data (parsed)'!$B$2:$B$235,$A138,'Data (parsed)'!$C$2:$C$235,$B138,'Data (parsed)'!$G$2:$G$235,$C138)</x:f>
        <x:v>1</x:v>
      </x:c>
    </x:row>
    <x:row r="139" ht="15" customHeight="1">
      <x:c r="A139" s="24" t="s">
        <x:v>907</x:v>
      </x:c>
      <x:c r="B139" s="24" t="s">
        <x:v>892</x:v>
      </x:c>
      <x:c r="C139" s="24" t="s">
        <x:v>969</x:v>
      </x:c>
      <x:c r="D139" s="25" t="n">
        <x:f>SUMIFS('Data (parsed)'!$I$2:$I$235,'Data (parsed)'!$B$2:$B$235,$A139,'Data (parsed)'!$C$2:$C$235,$B139,'Data (parsed)'!$G$2:$G$235,$C139)</x:f>
        <x:v>1</x:v>
      </x:c>
    </x:row>
    <x:row r="140" ht="15" customHeight="1">
      <x:c r="A140" s="24" t="s">
        <x:v>907</x:v>
      </x:c>
      <x:c r="B140" s="24" t="s">
        <x:v>892</x:v>
      </x:c>
      <x:c r="C140" s="24" t="s">
        <x:v>1038</x:v>
      </x:c>
      <x:c r="D140" s="25" t="n">
        <x:f>SUMIFS('Data (parsed)'!$I$2:$I$235,'Data (parsed)'!$B$2:$B$235,$A140,'Data (parsed)'!$C$2:$C$235,$B140,'Data (parsed)'!$G$2:$G$235,$C140)</x:f>
        <x:v>1</x:v>
      </x:c>
    </x:row>
    <x:row r="141" ht="14.25" customHeight="1">
      <x:c r="A141" s="10"/>
      <x:c r="B141" s="10"/>
      <x:c r="C141" s="10"/>
      <x:c r="D141" s="10"/>
    </x:row>
    <x:row r="142" ht="14.25" customHeight="1">
      <x:c r="A142" s="10"/>
      <x:c r="B142" s="10"/>
      <x:c r="C142" s="10"/>
      <x:c r="D142" s="10"/>
    </x:row>
    <x:row r="143" ht="14.25" customHeight="1">
      <x:c r="A143" s="10"/>
      <x:c r="B143" s="10"/>
      <x:c r="C143" s="10"/>
      <x:c r="D143" s="10"/>
    </x:row>
    <x:row r="144" ht="14.25" customHeight="1">
      <x:c r="A144" s="10"/>
      <x:c r="B144" s="10"/>
      <x:c r="C144" s="10"/>
      <x:c r="D144" s="10"/>
    </x:row>
    <x:row r="145" ht="14.25" customHeight="1">
      <x:c r="A145" s="10"/>
      <x:c r="B145" s="10"/>
      <x:c r="C145" s="10"/>
      <x:c r="D145" s="10"/>
    </x:row>
    <x:row r="146" ht="14.25" customHeight="1">
      <x:c r="A146" s="10"/>
      <x:c r="B146" s="10"/>
      <x:c r="C146" s="10"/>
      <x:c r="D146" s="10"/>
    </x:row>
    <x:row r="147" ht="14.25" customHeight="1">
      <x:c r="A147" s="10"/>
      <x:c r="B147" s="10"/>
      <x:c r="C147" s="10"/>
      <x:c r="D147" s="10"/>
    </x:row>
    <x:row r="148" ht="14.25" customHeight="1">
      <x:c r="A148" s="10"/>
      <x:c r="B148" s="10"/>
      <x:c r="C148" s="10"/>
      <x:c r="D148" s="10"/>
    </x:row>
    <x:row r="149" ht="14.25" customHeight="1">
      <x:c r="A149" s="10"/>
      <x:c r="B149" s="10"/>
      <x:c r="C149" s="10"/>
      <x:c r="D149" s="10"/>
    </x:row>
    <x:row r="150" ht="14.25" customHeight="1">
      <x:c r="A150" s="10"/>
      <x:c r="B150" s="10"/>
      <x:c r="C150" s="10"/>
      <x:c r="D150" s="10"/>
    </x:row>
    <x:row r="151" ht="14.25" customHeight="1">
      <x:c r="A151" s="10"/>
      <x:c r="B151" s="10"/>
      <x:c r="C151" s="10"/>
      <x:c r="D151" s="10"/>
    </x:row>
    <x:row r="152" ht="14.25" customHeight="1">
      <x:c r="A152" s="10"/>
      <x:c r="B152" s="10"/>
      <x:c r="C152" s="10"/>
      <x:c r="D152" s="10"/>
    </x:row>
    <x:row r="153" ht="14.25" customHeight="1">
      <x:c r="A153" s="10"/>
      <x:c r="B153" s="10"/>
      <x:c r="C153" s="10"/>
      <x:c r="D153" s="10"/>
    </x:row>
    <x:row r="154" ht="14.25" customHeight="1">
      <x:c r="A154" s="10"/>
      <x:c r="B154" s="10"/>
      <x:c r="C154" s="10"/>
      <x:c r="D154" s="10"/>
    </x:row>
    <x:row r="155" ht="14.25" customHeight="1">
      <x:c r="A155" s="10"/>
      <x:c r="B155" s="10"/>
      <x:c r="C155" s="10"/>
      <x:c r="D155" s="10"/>
    </x:row>
    <x:row r="156" ht="14.25" customHeight="1">
      <x:c r="A156" s="10"/>
      <x:c r="B156" s="10"/>
      <x:c r="C156" s="10"/>
      <x:c r="D156" s="10"/>
    </x:row>
    <x:row r="157" ht="14.25" customHeight="1">
      <x:c r="A157" s="10"/>
      <x:c r="B157" s="10"/>
      <x:c r="C157" s="10"/>
      <x:c r="D157" s="10"/>
    </x:row>
    <x:row r="158" ht="14.25" customHeight="1">
      <x:c r="A158" s="10"/>
      <x:c r="B158" s="10"/>
      <x:c r="C158" s="10"/>
      <x:c r="D158" s="10"/>
    </x:row>
    <x:row r="159" ht="14.25" customHeight="1">
      <x:c r="A159" s="10"/>
      <x:c r="B159" s="10"/>
      <x:c r="C159" s="10"/>
      <x:c r="D159" s="10"/>
    </x:row>
    <x:row r="160" ht="14.25" customHeight="1">
      <x:c r="A160" s="10"/>
      <x:c r="B160" s="10"/>
      <x:c r="C160" s="10"/>
      <x:c r="D160" s="10"/>
    </x:row>
    <x:row r="161" ht="14.25" customHeight="1">
      <x:c r="A161" s="10"/>
      <x:c r="B161" s="10"/>
      <x:c r="C161" s="10"/>
      <x:c r="D161" s="10"/>
    </x:row>
    <x:row r="162" ht="14.25" customHeight="1">
      <x:c r="A162" s="10"/>
      <x:c r="B162" s="10"/>
      <x:c r="C162" s="10"/>
      <x:c r="D162" s="10"/>
    </x:row>
    <x:row r="163" ht="14.25" customHeight="1">
      <x:c r="A163" s="10"/>
      <x:c r="B163" s="10"/>
      <x:c r="C163" s="10"/>
      <x:c r="D163" s="10"/>
    </x:row>
    <x:row r="164" ht="14.25" customHeight="1">
      <x:c r="A164" s="10"/>
      <x:c r="B164" s="10"/>
      <x:c r="C164" s="10"/>
      <x:c r="D164" s="10"/>
    </x:row>
    <x:row r="165" ht="14.25" customHeight="1">
      <x:c r="A165" s="10"/>
      <x:c r="B165" s="10"/>
      <x:c r="C165" s="10"/>
      <x:c r="D165" s="10"/>
    </x:row>
    <x:row r="166" ht="14.25" customHeight="1">
      <x:c r="A166" s="10"/>
      <x:c r="B166" s="10"/>
      <x:c r="C166" s="10"/>
      <x:c r="D166" s="10"/>
    </x:row>
    <x:row r="167" ht="14.25" customHeight="1">
      <x:c r="A167" s="10"/>
      <x:c r="B167" s="10"/>
      <x:c r="C167" s="10"/>
      <x:c r="D167" s="10"/>
    </x:row>
    <x:row r="168" ht="14.25" customHeight="1">
      <x:c r="A168" s="10"/>
      <x:c r="B168" s="10"/>
      <x:c r="C168" s="10"/>
      <x:c r="D168" s="10"/>
    </x:row>
    <x:row r="169" ht="14.25" customHeight="1">
      <x:c r="A169" s="10"/>
      <x:c r="B169" s="10"/>
      <x:c r="C169" s="10"/>
      <x:c r="D169" s="10"/>
    </x:row>
    <x:row r="170" ht="14.25" customHeight="1">
      <x:c r="A170" s="10"/>
      <x:c r="B170" s="10"/>
      <x:c r="C170" s="10"/>
      <x:c r="D170" s="10"/>
    </x:row>
    <x:row r="171" ht="14.25" customHeight="1">
      <x:c r="A171" s="10"/>
      <x:c r="B171" s="10"/>
      <x:c r="C171" s="10"/>
      <x:c r="D171" s="10"/>
    </x:row>
    <x:row r="172" ht="14.25" customHeight="1">
      <x:c r="A172" s="10"/>
      <x:c r="B172" s="10"/>
      <x:c r="C172" s="10"/>
      <x:c r="D172" s="10"/>
    </x:row>
    <x:row r="173" ht="14.25" customHeight="1">
      <x:c r="A173" s="10"/>
      <x:c r="B173" s="10"/>
      <x:c r="C173" s="10"/>
      <x:c r="D173" s="10"/>
    </x:row>
    <x:row r="174" ht="14.25" customHeight="1">
      <x:c r="A174" s="10"/>
      <x:c r="B174" s="10"/>
      <x:c r="C174" s="10"/>
      <x:c r="D174" s="10"/>
    </x:row>
    <x:row r="175" ht="14.25" customHeight="1">
      <x:c r="A175" s="10"/>
      <x:c r="B175" s="10"/>
      <x:c r="C175" s="10"/>
      <x:c r="D175" s="10"/>
    </x:row>
    <x:row r="176" ht="14.25" customHeight="1">
      <x:c r="A176" s="10"/>
      <x:c r="B176" s="10"/>
      <x:c r="C176" s="10"/>
      <x:c r="D176" s="10"/>
    </x:row>
    <x:row r="177" ht="14.25" customHeight="1">
      <x:c r="A177" s="10"/>
      <x:c r="B177" s="10"/>
      <x:c r="C177" s="10"/>
      <x:c r="D177" s="10"/>
    </x:row>
    <x:row r="178" ht="14.25" customHeight="1">
      <x:c r="A178" s="10"/>
      <x:c r="B178" s="10"/>
      <x:c r="C178" s="10"/>
      <x:c r="D178" s="10"/>
    </x:row>
    <x:row r="179" ht="14.25" customHeight="1">
      <x:c r="A179" s="10"/>
      <x:c r="B179" s="10"/>
      <x:c r="C179" s="10"/>
      <x:c r="D179" s="10"/>
    </x:row>
    <x:row r="180" ht="14.25" customHeight="1">
      <x:c r="A180" s="10"/>
      <x:c r="B180" s="10"/>
      <x:c r="C180" s="10"/>
      <x:c r="D180" s="10"/>
    </x:row>
    <x:row r="181" ht="14.25" customHeight="1">
      <x:c r="A181" s="10"/>
      <x:c r="B181" s="10"/>
      <x:c r="C181" s="10"/>
      <x:c r="D181" s="10"/>
    </x:row>
    <x:row r="182" ht="14.25" customHeight="1">
      <x:c r="A182" s="10"/>
      <x:c r="B182" s="10"/>
      <x:c r="C182" s="10"/>
      <x:c r="D182" s="10"/>
    </x:row>
    <x:row r="183" ht="14.25" customHeight="1">
      <x:c r="A183" s="10"/>
      <x:c r="B183" s="10"/>
      <x:c r="C183" s="10"/>
      <x:c r="D183" s="10"/>
    </x:row>
    <x:row r="184" ht="14.25" customHeight="1">
      <x:c r="A184" s="10"/>
      <x:c r="B184" s="10"/>
      <x:c r="C184" s="10"/>
      <x:c r="D184" s="10"/>
    </x:row>
    <x:row r="185" ht="14.25" customHeight="1">
      <x:c r="A185" s="10"/>
      <x:c r="B185" s="10"/>
      <x:c r="C185" s="10"/>
      <x:c r="D185" s="10"/>
    </x:row>
    <x:row r="186" ht="14.25" customHeight="1">
      <x:c r="A186" s="10"/>
      <x:c r="B186" s="10"/>
      <x:c r="C186" s="10"/>
      <x:c r="D186" s="10"/>
    </x:row>
    <x:row r="187" ht="14.25" customHeight="1">
      <x:c r="A187" s="10"/>
      <x:c r="B187" s="10"/>
      <x:c r="C187" s="10"/>
      <x:c r="D187" s="10"/>
    </x:row>
    <x:row r="188" ht="14.25" customHeight="1">
      <x:c r="A188" s="10"/>
      <x:c r="B188" s="10"/>
      <x:c r="C188" s="10"/>
      <x:c r="D188" s="10"/>
    </x:row>
    <x:row r="189" ht="14.25" customHeight="1">
      <x:c r="A189" s="10"/>
      <x:c r="B189" s="10"/>
      <x:c r="C189" s="10"/>
      <x:c r="D189" s="10"/>
    </x:row>
    <x:row r="190" ht="14.25" customHeight="1">
      <x:c r="A190" s="10"/>
      <x:c r="B190" s="10"/>
      <x:c r="C190" s="10"/>
      <x:c r="D190" s="10"/>
    </x:row>
    <x:row r="191" ht="14.25" customHeight="1">
      <x:c r="A191" s="10"/>
      <x:c r="B191" s="10"/>
      <x:c r="C191" s="10"/>
      <x:c r="D191" s="10"/>
    </x:row>
    <x:row r="192" ht="14.25" customHeight="1">
      <x:c r="A192" s="10"/>
      <x:c r="B192" s="10"/>
      <x:c r="C192" s="10"/>
      <x:c r="D192" s="10"/>
    </x:row>
    <x:row r="193" ht="14.25" customHeight="1">
      <x:c r="A193" s="10"/>
      <x:c r="B193" s="10"/>
      <x:c r="C193" s="10"/>
      <x:c r="D193" s="10"/>
    </x:row>
    <x:row r="194" ht="14.25" customHeight="1">
      <x:c r="A194" s="10"/>
      <x:c r="B194" s="10"/>
      <x:c r="C194" s="10"/>
      <x:c r="D194" s="10"/>
    </x:row>
    <x:row r="195" ht="14.25" customHeight="1">
      <x:c r="A195" s="10"/>
      <x:c r="B195" s="10"/>
      <x:c r="C195" s="10"/>
      <x:c r="D195" s="10"/>
    </x:row>
    <x:row r="196" ht="14.25" customHeight="1">
      <x:c r="A196" s="10"/>
      <x:c r="B196" s="10"/>
      <x:c r="C196" s="10"/>
      <x:c r="D196" s="10"/>
    </x:row>
    <x:row r="197" ht="14.25" customHeight="1">
      <x:c r="A197" s="10"/>
      <x:c r="B197" s="10"/>
      <x:c r="C197" s="10"/>
      <x:c r="D197" s="10"/>
    </x:row>
    <x:row r="198" ht="14.25" customHeight="1">
      <x:c r="A198" s="10"/>
      <x:c r="B198" s="10"/>
      <x:c r="C198" s="10"/>
      <x:c r="D198" s="10"/>
    </x:row>
    <x:row r="199" ht="14.25" customHeight="1">
      <x:c r="A199" s="10"/>
      <x:c r="B199" s="10"/>
      <x:c r="C199" s="10"/>
      <x:c r="D199" s="10"/>
    </x:row>
    <x:row r="200" ht="14.25" customHeight="1">
      <x:c r="A200" s="10"/>
      <x:c r="B200" s="10"/>
      <x:c r="C200" s="10"/>
      <x:c r="D200" s="10"/>
    </x:row>
    <x:row r="201" ht="14.25" customHeight="1">
      <x:c r="A201" s="10"/>
      <x:c r="B201" s="10"/>
      <x:c r="C201" s="10"/>
      <x:c r="D201" s="10"/>
    </x:row>
    <x:row r="202" ht="14.25" customHeight="1">
      <x:c r="A202" s="10"/>
      <x:c r="B202" s="10"/>
      <x:c r="C202" s="10"/>
      <x:c r="D202" s="10"/>
    </x:row>
    <x:row r="203" ht="14.25" customHeight="1">
      <x:c r="A203" s="10"/>
      <x:c r="B203" s="10"/>
      <x:c r="C203" s="10"/>
      <x:c r="D203" s="10"/>
    </x:row>
    <x:row r="204" ht="14.25" customHeight="1">
      <x:c r="A204" s="10"/>
      <x:c r="B204" s="10"/>
      <x:c r="C204" s="10"/>
      <x:c r="D204" s="10"/>
    </x:row>
    <x:row r="205" ht="14.25" customHeight="1">
      <x:c r="A205" s="10"/>
      <x:c r="B205" s="10"/>
      <x:c r="C205" s="10"/>
      <x:c r="D205" s="10"/>
    </x:row>
    <x:row r="206" ht="14.25" customHeight="1">
      <x:c r="A206" s="10"/>
      <x:c r="B206" s="10"/>
      <x:c r="C206" s="10"/>
      <x:c r="D206" s="10"/>
    </x:row>
    <x:row r="207" ht="14.25" customHeight="1">
      <x:c r="A207" s="10"/>
      <x:c r="B207" s="10"/>
      <x:c r="C207" s="10"/>
      <x:c r="D207" s="10"/>
    </x:row>
    <x:row r="208" ht="14.25" customHeight="1">
      <x:c r="A208" s="10"/>
      <x:c r="B208" s="10"/>
      <x:c r="C208" s="10"/>
      <x:c r="D208" s="10"/>
    </x:row>
    <x:row r="209" ht="14.25" customHeight="1">
      <x:c r="A209" s="10"/>
      <x:c r="B209" s="10"/>
      <x:c r="C209" s="10"/>
      <x:c r="D209" s="10"/>
    </x:row>
    <x:row r="210" ht="14.25" customHeight="1">
      <x:c r="A210" s="10"/>
      <x:c r="B210" s="10"/>
      <x:c r="C210" s="10"/>
      <x:c r="D210" s="10"/>
    </x:row>
    <x:row r="211" ht="14.25" customHeight="1">
      <x:c r="A211" s="10"/>
      <x:c r="B211" s="10"/>
      <x:c r="C211" s="10"/>
      <x:c r="D211" s="10"/>
    </x:row>
    <x:row r="212" ht="14.25" customHeight="1">
      <x:c r="A212" s="10"/>
      <x:c r="B212" s="10"/>
      <x:c r="C212" s="10"/>
      <x:c r="D212" s="10"/>
    </x:row>
    <x:row r="213" ht="14.25" customHeight="1">
      <x:c r="A213" s="10"/>
      <x:c r="B213" s="10"/>
      <x:c r="C213" s="10"/>
      <x:c r="D213" s="10"/>
    </x:row>
    <x:row r="214" ht="14.25" customHeight="1">
      <x:c r="A214" s="10"/>
      <x:c r="B214" s="10"/>
      <x:c r="C214" s="10"/>
      <x:c r="D214" s="10"/>
    </x:row>
    <x:row r="215" ht="14.25" customHeight="1">
      <x:c r="A215" s="10"/>
      <x:c r="B215" s="10"/>
      <x:c r="C215" s="10"/>
      <x:c r="D215" s="10"/>
    </x:row>
    <x:row r="216" ht="14.25" customHeight="1">
      <x:c r="A216" s="10"/>
      <x:c r="B216" s="10"/>
      <x:c r="C216" s="10"/>
      <x:c r="D216" s="10"/>
    </x:row>
    <x:row r="217" ht="14.25" customHeight="1">
      <x:c r="A217" s="10"/>
      <x:c r="B217" s="10"/>
      <x:c r="C217" s="10"/>
      <x:c r="D217" s="10"/>
    </x:row>
    <x:row r="218" ht="14.25" customHeight="1">
      <x:c r="A218" s="10"/>
      <x:c r="B218" s="10"/>
      <x:c r="C218" s="10"/>
      <x:c r="D218" s="10"/>
    </x:row>
    <x:row r="219" ht="14.25" customHeight="1">
      <x:c r="A219" s="10"/>
      <x:c r="B219" s="10"/>
      <x:c r="C219" s="10"/>
      <x:c r="D219" s="10"/>
    </x:row>
    <x:row r="220" ht="14.25" customHeight="1">
      <x:c r="A220" s="10"/>
      <x:c r="B220" s="10"/>
      <x:c r="C220" s="10"/>
      <x:c r="D220" s="10"/>
    </x:row>
    <x:row r="221" ht="14.25" customHeight="1">
      <x:c r="A221" s="10"/>
      <x:c r="B221" s="10"/>
      <x:c r="C221" s="10"/>
      <x:c r="D221" s="10"/>
    </x:row>
    <x:row r="222" ht="14.25" customHeight="1">
      <x:c r="A222" s="10"/>
      <x:c r="B222" s="10"/>
      <x:c r="C222" s="10"/>
      <x:c r="D222" s="10"/>
    </x:row>
    <x:row r="223" ht="14.25" customHeight="1">
      <x:c r="A223" s="10"/>
      <x:c r="B223" s="10"/>
      <x:c r="C223" s="10"/>
      <x:c r="D223" s="10"/>
    </x:row>
    <x:row r="224" ht="14.25" customHeight="1">
      <x:c r="A224" s="10"/>
      <x:c r="B224" s="10"/>
      <x:c r="C224" s="10"/>
      <x:c r="D224" s="10"/>
    </x:row>
    <x:row r="225" ht="14.25" customHeight="1">
      <x:c r="A225" s="10"/>
      <x:c r="B225" s="10"/>
      <x:c r="C225" s="10"/>
      <x:c r="D225" s="10"/>
    </x:row>
    <x:row r="226" ht="14.25" customHeight="1">
      <x:c r="A226" s="10"/>
      <x:c r="B226" s="10"/>
      <x:c r="C226" s="10"/>
      <x:c r="D226" s="10"/>
    </x:row>
    <x:row r="227" ht="14.25" customHeight="1">
      <x:c r="A227" s="10"/>
      <x:c r="B227" s="10"/>
      <x:c r="C227" s="10"/>
      <x:c r="D227" s="10"/>
    </x:row>
    <x:row r="228" ht="14.25" customHeight="1">
      <x:c r="A228" s="10"/>
      <x:c r="B228" s="10"/>
      <x:c r="C228" s="10"/>
      <x:c r="D228" s="10"/>
    </x:row>
    <x:row r="229" ht="14.25" customHeight="1">
      <x:c r="A229" s="10"/>
      <x:c r="B229" s="10"/>
      <x:c r="C229" s="10"/>
      <x:c r="D229" s="10"/>
    </x:row>
    <x:row r="230" ht="14.25" customHeight="1">
      <x:c r="A230" s="10"/>
      <x:c r="B230" s="10"/>
      <x:c r="C230" s="10"/>
      <x:c r="D230" s="10"/>
    </x:row>
    <x:row r="231" ht="14.25" customHeight="1">
      <x:c r="A231" s="10"/>
      <x:c r="B231" s="10"/>
      <x:c r="C231" s="10"/>
      <x:c r="D231" s="10"/>
    </x:row>
    <x:row r="232" ht="14.25" customHeight="1">
      <x:c r="A232" s="10"/>
      <x:c r="B232" s="10"/>
      <x:c r="C232" s="10"/>
      <x:c r="D232" s="10"/>
    </x:row>
    <x:row r="233" ht="14.25" customHeight="1">
      <x:c r="A233" s="10"/>
      <x:c r="B233" s="10"/>
      <x:c r="C233" s="10"/>
      <x:c r="D233" s="10"/>
    </x:row>
    <x:row r="234" ht="14.25" customHeight="1">
      <x:c r="A234" s="10"/>
      <x:c r="B234" s="10"/>
      <x:c r="C234" s="10"/>
      <x:c r="D234" s="10"/>
    </x:row>
    <x:row r="235" ht="14.25" customHeight="1">
      <x:c r="A235" s="10"/>
      <x:c r="B235" s="10"/>
      <x:c r="C235" s="10"/>
      <x:c r="D235" s="10"/>
    </x:row>
    <x:row r="236" ht="14.25" customHeight="1">
      <x:c r="A236" s="10"/>
      <x:c r="B236" s="10"/>
      <x:c r="C236" s="10"/>
      <x:c r="D236" s="10"/>
    </x:row>
    <x:row r="237" ht="14.25" customHeight="1">
      <x:c r="A237" s="10"/>
      <x:c r="B237" s="10"/>
      <x:c r="C237" s="10"/>
      <x:c r="D237" s="10"/>
    </x:row>
    <x:row r="238" ht="14.25" customHeight="1">
      <x:c r="A238" s="10"/>
      <x:c r="B238" s="10"/>
      <x:c r="C238" s="10"/>
      <x:c r="D238" s="10"/>
    </x:row>
    <x:row r="239" ht="14.25" customHeight="1">
      <x:c r="A239" s="10"/>
      <x:c r="B239" s="10"/>
      <x:c r="C239" s="10"/>
      <x:c r="D239" s="10"/>
    </x:row>
    <x:row r="240" ht="14.25" customHeight="1">
      <x:c r="A240" s="10"/>
      <x:c r="B240" s="10"/>
      <x:c r="C240" s="10"/>
      <x:c r="D240" s="10"/>
    </x:row>
    <x:row r="241" ht="14.25" customHeight="1">
      <x:c r="A241" s="10"/>
      <x:c r="B241" s="10"/>
      <x:c r="C241" s="10"/>
      <x:c r="D241" s="10"/>
    </x:row>
    <x:row r="242" ht="14.25" customHeight="1">
      <x:c r="A242" s="10"/>
      <x:c r="B242" s="10"/>
      <x:c r="C242" s="10"/>
      <x:c r="D242" s="10"/>
    </x:row>
    <x:row r="243" ht="14.25" customHeight="1">
      <x:c r="A243" s="10"/>
      <x:c r="B243" s="10"/>
      <x:c r="C243" s="10"/>
      <x:c r="D243" s="10"/>
    </x:row>
    <x:row r="244" ht="14.25" customHeight="1">
      <x:c r="A244" s="10"/>
      <x:c r="B244" s="10"/>
      <x:c r="C244" s="10"/>
      <x:c r="D244" s="10"/>
    </x:row>
    <x:row r="245" ht="14.25" customHeight="1">
      <x:c r="A245" s="10"/>
      <x:c r="B245" s="10"/>
      <x:c r="C245" s="10"/>
      <x:c r="D245" s="10"/>
    </x:row>
    <x:row r="246" ht="14.25" customHeight="1">
      <x:c r="A246" s="10"/>
      <x:c r="B246" s="10"/>
      <x:c r="C246" s="10"/>
      <x:c r="D246" s="10"/>
    </x:row>
    <x:row r="247" ht="14.25" customHeight="1">
      <x:c r="A247" s="10"/>
      <x:c r="B247" s="10"/>
      <x:c r="C247" s="10"/>
      <x:c r="D247" s="10"/>
    </x:row>
    <x:row r="248" ht="14.25" customHeight="1">
      <x:c r="A248" s="10"/>
      <x:c r="B248" s="10"/>
      <x:c r="C248" s="10"/>
      <x:c r="D248" s="10"/>
    </x:row>
    <x:row r="249" ht="14.25" customHeight="1">
      <x:c r="A249" s="10"/>
      <x:c r="B249" s="10"/>
      <x:c r="C249" s="10"/>
      <x:c r="D249" s="10"/>
    </x:row>
    <x:row r="250" ht="14.25" customHeight="1">
      <x:c r="A250" s="10"/>
      <x:c r="B250" s="10"/>
      <x:c r="C250" s="10"/>
      <x:c r="D250" s="10"/>
    </x:row>
    <x:row r="251" ht="14.25" customHeight="1">
      <x:c r="A251" s="10"/>
      <x:c r="B251" s="10"/>
      <x:c r="C251" s="10"/>
      <x:c r="D251" s="10"/>
    </x:row>
    <x:row r="252" ht="14.25" customHeight="1">
      <x:c r="A252" s="10"/>
      <x:c r="B252" s="10"/>
      <x:c r="C252" s="10"/>
      <x:c r="D252" s="10"/>
    </x:row>
    <x:row r="253" ht="14.25" customHeight="1">
      <x:c r="A253" s="10"/>
      <x:c r="B253" s="10"/>
      <x:c r="C253" s="10"/>
      <x:c r="D253" s="10"/>
    </x:row>
    <x:row r="254" ht="14.25" customHeight="1">
      <x:c r="A254" s="10"/>
      <x:c r="B254" s="10"/>
      <x:c r="C254" s="10"/>
      <x:c r="D254" s="10"/>
    </x:row>
    <x:row r="255" ht="14.25" customHeight="1">
      <x:c r="A255" s="10"/>
      <x:c r="B255" s="10"/>
      <x:c r="C255" s="10"/>
      <x:c r="D255" s="10"/>
    </x:row>
    <x:row r="256" ht="14.25" customHeight="1">
      <x:c r="A256" s="10"/>
      <x:c r="B256" s="10"/>
      <x:c r="C256" s="10"/>
      <x:c r="D256" s="10"/>
    </x:row>
    <x:row r="257" ht="14.25" customHeight="1">
      <x:c r="A257" s="10"/>
      <x:c r="B257" s="10"/>
      <x:c r="C257" s="10"/>
      <x:c r="D257" s="10"/>
    </x:row>
    <x:row r="258" ht="14.25" customHeight="1">
      <x:c r="A258" s="10"/>
      <x:c r="B258" s="10"/>
      <x:c r="C258" s="10"/>
      <x:c r="D258" s="10"/>
    </x:row>
    <x:row r="259" ht="14.25" customHeight="1">
      <x:c r="A259" s="10"/>
      <x:c r="B259" s="10"/>
      <x:c r="C259" s="10"/>
      <x:c r="D259" s="10"/>
    </x:row>
    <x:row r="260" ht="14.25" customHeight="1">
      <x:c r="A260" s="10"/>
      <x:c r="B260" s="10"/>
      <x:c r="C260" s="10"/>
      <x:c r="D260" s="10"/>
    </x:row>
    <x:row r="261" ht="14.25" customHeight="1">
      <x:c r="A261" s="10"/>
      <x:c r="B261" s="10"/>
      <x:c r="C261" s="10"/>
      <x:c r="D261" s="10"/>
    </x:row>
    <x:row r="262" ht="14.25" customHeight="1">
      <x:c r="A262" s="10"/>
      <x:c r="B262" s="10"/>
      <x:c r="C262" s="10"/>
      <x:c r="D262" s="10"/>
    </x:row>
    <x:row r="263" ht="14.25" customHeight="1">
      <x:c r="A263" s="10"/>
      <x:c r="B263" s="10"/>
      <x:c r="C263" s="10"/>
      <x:c r="D263" s="10"/>
    </x:row>
    <x:row r="264" ht="14.25" customHeight="1">
      <x:c r="A264" s="10"/>
      <x:c r="B264" s="10"/>
      <x:c r="C264" s="10"/>
      <x:c r="D264" s="10"/>
    </x:row>
    <x:row r="265" ht="14.25" customHeight="1">
      <x:c r="A265" s="10"/>
      <x:c r="B265" s="10"/>
      <x:c r="C265" s="10"/>
      <x:c r="D265" s="10"/>
    </x:row>
    <x:row r="266" ht="14.25" customHeight="1">
      <x:c r="A266" s="10"/>
      <x:c r="B266" s="10"/>
      <x:c r="C266" s="10"/>
      <x:c r="D266" s="10"/>
    </x:row>
    <x:row r="267" ht="14.25" customHeight="1">
      <x:c r="A267" s="10"/>
      <x:c r="B267" s="10"/>
      <x:c r="C267" s="10"/>
      <x:c r="D267" s="10"/>
    </x:row>
    <x:row r="268" ht="14.25" customHeight="1">
      <x:c r="A268" s="10"/>
      <x:c r="B268" s="10"/>
      <x:c r="C268" s="10"/>
      <x:c r="D268" s="10"/>
    </x:row>
    <x:row r="269" ht="14.25" customHeight="1">
      <x:c r="A269" s="10"/>
      <x:c r="B269" s="10"/>
      <x:c r="C269" s="10"/>
      <x:c r="D269" s="10"/>
    </x:row>
    <x:row r="270" ht="14.25" customHeight="1">
      <x:c r="A270" s="10"/>
      <x:c r="B270" s="10"/>
      <x:c r="C270" s="10"/>
      <x:c r="D270" s="10"/>
    </x:row>
    <x:row r="271" ht="14.25" customHeight="1">
      <x:c r="A271" s="10"/>
      <x:c r="B271" s="10"/>
      <x:c r="C271" s="10"/>
      <x:c r="D271" s="10"/>
    </x:row>
    <x:row r="272" ht="14.25" customHeight="1">
      <x:c r="A272" s="10"/>
      <x:c r="B272" s="10"/>
      <x:c r="C272" s="10"/>
      <x:c r="D272" s="10"/>
    </x:row>
    <x:row r="273" ht="14.25" customHeight="1">
      <x:c r="A273" s="10"/>
      <x:c r="B273" s="10"/>
      <x:c r="C273" s="10"/>
      <x:c r="D273" s="10"/>
    </x:row>
    <x:row r="274" ht="14.25" customHeight="1">
      <x:c r="A274" s="10"/>
      <x:c r="B274" s="10"/>
      <x:c r="C274" s="10"/>
      <x:c r="D274" s="10"/>
    </x:row>
    <x:row r="275" ht="14.25" customHeight="1">
      <x:c r="A275" s="10"/>
      <x:c r="B275" s="10"/>
      <x:c r="C275" s="10"/>
      <x:c r="D275" s="10"/>
    </x:row>
    <x:row r="276" ht="14.25" customHeight="1">
      <x:c r="A276" s="10"/>
      <x:c r="B276" s="10"/>
      <x:c r="C276" s="10"/>
      <x:c r="D276" s="10"/>
    </x:row>
    <x:row r="277" ht="14.25" customHeight="1">
      <x:c r="A277" s="10"/>
      <x:c r="B277" s="10"/>
      <x:c r="C277" s="10"/>
      <x:c r="D277" s="10"/>
    </x:row>
    <x:row r="278" ht="14.25" customHeight="1">
      <x:c r="A278" s="10"/>
      <x:c r="B278" s="10"/>
      <x:c r="C278" s="10"/>
      <x:c r="D278" s="10"/>
    </x:row>
    <x:row r="279" ht="14.25" customHeight="1">
      <x:c r="A279" s="10"/>
      <x:c r="B279" s="10"/>
      <x:c r="C279" s="10"/>
      <x:c r="D279" s="10"/>
    </x:row>
    <x:row r="280" ht="14.25" customHeight="1">
      <x:c r="A280" s="10"/>
      <x:c r="B280" s="10"/>
      <x:c r="C280" s="10"/>
      <x:c r="D280" s="10"/>
    </x:row>
    <x:row r="281" ht="14.25" customHeight="1">
      <x:c r="A281" s="10"/>
      <x:c r="B281" s="10"/>
      <x:c r="C281" s="10"/>
      <x:c r="D281" s="10"/>
    </x:row>
    <x:row r="282" ht="14.25" customHeight="1">
      <x:c r="A282" s="10"/>
      <x:c r="B282" s="10"/>
      <x:c r="C282" s="10"/>
      <x:c r="D282" s="10"/>
    </x:row>
    <x:row r="283" ht="14.25" customHeight="1">
      <x:c r="A283" s="10"/>
      <x:c r="B283" s="10"/>
      <x:c r="C283" s="10"/>
      <x:c r="D283" s="10"/>
    </x:row>
    <x:row r="284" ht="14.25" customHeight="1">
      <x:c r="A284" s="10"/>
      <x:c r="B284" s="10"/>
      <x:c r="C284" s="10"/>
      <x:c r="D284" s="10"/>
    </x:row>
    <x:row r="285" ht="14.25" customHeight="1">
      <x:c r="A285" s="10"/>
      <x:c r="B285" s="10"/>
      <x:c r="C285" s="10"/>
      <x:c r="D285" s="10"/>
    </x:row>
    <x:row r="286" ht="14.25" customHeight="1">
      <x:c r="A286" s="10"/>
      <x:c r="B286" s="10"/>
      <x:c r="C286" s="10"/>
      <x:c r="D286" s="10"/>
    </x:row>
    <x:row r="287" ht="14.25" customHeight="1">
      <x:c r="A287" s="10"/>
      <x:c r="B287" s="10"/>
      <x:c r="C287" s="10"/>
      <x:c r="D287" s="10"/>
    </x:row>
    <x:row r="288" ht="14.25" customHeight="1">
      <x:c r="A288" s="10"/>
      <x:c r="B288" s="10"/>
      <x:c r="C288" s="10"/>
      <x:c r="D288" s="10"/>
    </x:row>
    <x:row r="289" ht="14.25" customHeight="1">
      <x:c r="A289" s="10"/>
      <x:c r="B289" s="10"/>
      <x:c r="C289" s="10"/>
      <x:c r="D289" s="10"/>
    </x:row>
    <x:row r="290" ht="14.25" customHeight="1">
      <x:c r="A290" s="10"/>
      <x:c r="B290" s="10"/>
      <x:c r="C290" s="10"/>
      <x:c r="D290" s="10"/>
    </x:row>
    <x:row r="291" ht="14.25" customHeight="1">
      <x:c r="A291" s="10"/>
      <x:c r="B291" s="10"/>
      <x:c r="C291" s="10"/>
      <x:c r="D291" s="10"/>
    </x:row>
    <x:row r="292" ht="14.25" customHeight="1">
      <x:c r="A292" s="10"/>
      <x:c r="B292" s="10"/>
      <x:c r="C292" s="10"/>
      <x:c r="D292" s="10"/>
    </x:row>
    <x:row r="293" ht="14.25" customHeight="1">
      <x:c r="A293" s="10"/>
      <x:c r="B293" s="10"/>
      <x:c r="C293" s="10"/>
      <x:c r="D293" s="10"/>
    </x:row>
    <x:row r="294" ht="14.25" customHeight="1">
      <x:c r="A294" s="10"/>
      <x:c r="B294" s="10"/>
      <x:c r="C294" s="10"/>
      <x:c r="D294" s="10"/>
    </x:row>
    <x:row r="295" ht="14.25" customHeight="1">
      <x:c r="A295" s="10"/>
      <x:c r="B295" s="10"/>
      <x:c r="C295" s="10"/>
      <x:c r="D295" s="10"/>
    </x:row>
    <x:row r="296" ht="14.25" customHeight="1">
      <x:c r="A296" s="10"/>
      <x:c r="B296" s="10"/>
      <x:c r="C296" s="10"/>
      <x:c r="D296" s="10"/>
    </x:row>
    <x:row r="297" ht="14.25" customHeight="1">
      <x:c r="A297" s="10"/>
      <x:c r="B297" s="10"/>
      <x:c r="C297" s="10"/>
      <x:c r="D297" s="10"/>
    </x:row>
    <x:row r="298" ht="14.25" customHeight="1">
      <x:c r="A298" s="10"/>
      <x:c r="B298" s="10"/>
      <x:c r="C298" s="10"/>
      <x:c r="D298" s="10"/>
    </x:row>
    <x:row r="299" ht="14.25" customHeight="1">
      <x:c r="A299" s="10"/>
      <x:c r="B299" s="10"/>
      <x:c r="C299" s="10"/>
      <x:c r="D299" s="10"/>
    </x:row>
    <x:row r="300" ht="14.25" customHeight="1">
      <x:c r="A300" s="10"/>
      <x:c r="B300" s="10"/>
      <x:c r="C300" s="10"/>
      <x:c r="D300" s="10"/>
    </x:row>
    <x:row r="301" ht="14.25" customHeight="1">
      <x:c r="A301" s="10"/>
      <x:c r="B301" s="10"/>
      <x:c r="C301" s="10"/>
      <x:c r="D301" s="10"/>
    </x:row>
    <x:row r="302" ht="14.25" customHeight="1">
      <x:c r="A302" s="10"/>
      <x:c r="B302" s="10"/>
      <x:c r="C302" s="10"/>
      <x:c r="D302" s="10"/>
    </x:row>
    <x:row r="303" ht="14.25" customHeight="1">
      <x:c r="A303" s="10"/>
      <x:c r="B303" s="10"/>
      <x:c r="C303" s="10"/>
      <x:c r="D303" s="10"/>
    </x:row>
    <x:row r="304" ht="14.25" customHeight="1">
      <x:c r="A304" s="10"/>
      <x:c r="B304" s="10"/>
      <x:c r="C304" s="10"/>
      <x:c r="D304" s="10"/>
    </x:row>
    <x:row r="305" ht="14.25" customHeight="1">
      <x:c r="A305" s="10"/>
      <x:c r="B305" s="10"/>
      <x:c r="C305" s="10"/>
      <x:c r="D305" s="10"/>
    </x:row>
    <x:row r="306" ht="14.25" customHeight="1">
      <x:c r="A306" s="10"/>
      <x:c r="B306" s="10"/>
      <x:c r="C306" s="10"/>
      <x:c r="D306" s="10"/>
    </x:row>
    <x:row r="307" ht="14.25" customHeight="1">
      <x:c r="A307" s="10"/>
      <x:c r="B307" s="10"/>
      <x:c r="C307" s="10"/>
      <x:c r="D307" s="10"/>
    </x:row>
    <x:row r="308" ht="14.25" customHeight="1">
      <x:c r="A308" s="10"/>
      <x:c r="B308" s="10"/>
      <x:c r="C308" s="10"/>
      <x:c r="D308" s="10"/>
    </x:row>
    <x:row r="309" ht="14.25" customHeight="1">
      <x:c r="A309" s="10"/>
      <x:c r="B309" s="10"/>
      <x:c r="C309" s="10"/>
      <x:c r="D309" s="10"/>
    </x:row>
    <x:row r="310" ht="14.25" customHeight="1">
      <x:c r="A310" s="10"/>
      <x:c r="B310" s="10"/>
      <x:c r="C310" s="10"/>
      <x:c r="D310" s="10"/>
    </x:row>
    <x:row r="311" ht="14.25" customHeight="1">
      <x:c r="A311" s="10"/>
      <x:c r="B311" s="10"/>
      <x:c r="C311" s="10"/>
      <x:c r="D311" s="10"/>
    </x:row>
    <x:row r="312" ht="14.25" customHeight="1">
      <x:c r="A312" s="10"/>
      <x:c r="B312" s="10"/>
      <x:c r="C312" s="10"/>
      <x:c r="D312" s="10"/>
    </x:row>
    <x:row r="313" ht="14.25" customHeight="1">
      <x:c r="A313" s="10"/>
      <x:c r="B313" s="10"/>
      <x:c r="C313" s="10"/>
      <x:c r="D313" s="10"/>
    </x:row>
    <x:row r="314" ht="14.25" customHeight="1">
      <x:c r="A314" s="10"/>
      <x:c r="B314" s="10"/>
      <x:c r="C314" s="10"/>
      <x:c r="D314" s="10"/>
    </x:row>
    <x:row r="315" ht="14.25" customHeight="1">
      <x:c r="A315" s="10"/>
      <x:c r="B315" s="10"/>
      <x:c r="C315" s="10"/>
      <x:c r="D315" s="10"/>
    </x:row>
    <x:row r="316" ht="14.25" customHeight="1">
      <x:c r="A316" s="10"/>
      <x:c r="B316" s="10"/>
      <x:c r="C316" s="10"/>
      <x:c r="D316" s="10"/>
    </x:row>
    <x:row r="317" ht="14.25" customHeight="1">
      <x:c r="A317" s="10"/>
      <x:c r="B317" s="10"/>
      <x:c r="C317" s="10"/>
      <x:c r="D317" s="10"/>
    </x:row>
    <x:row r="318" ht="14.25" customHeight="1">
      <x:c r="A318" s="10"/>
      <x:c r="B318" s="10"/>
      <x:c r="C318" s="10"/>
      <x:c r="D318" s="10"/>
    </x:row>
    <x:row r="319" ht="14.25" customHeight="1">
      <x:c r="A319" s="10"/>
      <x:c r="B319" s="10"/>
      <x:c r="C319" s="10"/>
      <x:c r="D319" s="10"/>
    </x:row>
    <x:row r="320" ht="14.25" customHeight="1">
      <x:c r="A320" s="10"/>
      <x:c r="B320" s="10"/>
      <x:c r="C320" s="10"/>
      <x:c r="D320" s="10"/>
    </x:row>
    <x:row r="321" ht="14.25" customHeight="1">
      <x:c r="A321" s="10"/>
      <x:c r="B321" s="10"/>
      <x:c r="C321" s="10"/>
      <x:c r="D321" s="10"/>
    </x:row>
    <x:row r="322" ht="14.25" customHeight="1">
      <x:c r="A322" s="10"/>
      <x:c r="B322" s="10"/>
      <x:c r="C322" s="10"/>
      <x:c r="D322" s="10"/>
    </x:row>
    <x:row r="323" ht="14.25" customHeight="1">
      <x:c r="A323" s="10"/>
      <x:c r="B323" s="10"/>
      <x:c r="C323" s="10"/>
      <x:c r="D323" s="10"/>
    </x:row>
    <x:row r="324" ht="14.25" customHeight="1">
      <x:c r="A324" s="10"/>
      <x:c r="B324" s="10"/>
      <x:c r="C324" s="10"/>
      <x:c r="D324" s="10"/>
    </x:row>
    <x:row r="325" ht="14.25" customHeight="1">
      <x:c r="A325" s="10"/>
      <x:c r="B325" s="10"/>
      <x:c r="C325" s="10"/>
      <x:c r="D325" s="10"/>
    </x:row>
    <x:row r="326" ht="14.25" customHeight="1">
      <x:c r="A326" s="10"/>
      <x:c r="B326" s="10"/>
      <x:c r="C326" s="10"/>
      <x:c r="D326" s="10"/>
    </x:row>
    <x:row r="327" ht="14.25" customHeight="1">
      <x:c r="A327" s="10"/>
      <x:c r="B327" s="10"/>
      <x:c r="C327" s="10"/>
      <x:c r="D327" s="10"/>
    </x:row>
    <x:row r="328" ht="14.25" customHeight="1">
      <x:c r="A328" s="10"/>
      <x:c r="B328" s="10"/>
      <x:c r="C328" s="10"/>
      <x:c r="D328" s="10"/>
    </x:row>
    <x:row r="329" ht="14.25" customHeight="1">
      <x:c r="A329" s="10"/>
      <x:c r="B329" s="10"/>
      <x:c r="C329" s="10"/>
      <x:c r="D329" s="10"/>
    </x:row>
    <x:row r="330" ht="14.25" customHeight="1">
      <x:c r="A330" s="10"/>
      <x:c r="B330" s="10"/>
      <x:c r="C330" s="10"/>
      <x:c r="D330" s="10"/>
    </x:row>
    <x:row r="331" ht="14.25" customHeight="1">
      <x:c r="A331" s="10"/>
      <x:c r="B331" s="10"/>
      <x:c r="C331" s="10"/>
      <x:c r="D331" s="10"/>
    </x:row>
    <x:row r="332" ht="14.25" customHeight="1">
      <x:c r="A332" s="10"/>
      <x:c r="B332" s="10"/>
      <x:c r="C332" s="10"/>
      <x:c r="D332" s="10"/>
    </x:row>
    <x:row r="333" ht="14.25" customHeight="1">
      <x:c r="A333" s="10"/>
      <x:c r="B333" s="10"/>
      <x:c r="C333" s="10"/>
      <x:c r="D333" s="10"/>
    </x:row>
    <x:row r="334" ht="14.25" customHeight="1">
      <x:c r="A334" s="10"/>
      <x:c r="B334" s="10"/>
      <x:c r="C334" s="10"/>
      <x:c r="D334" s="10"/>
    </x:row>
    <x:row r="335" ht="14.25" customHeight="1">
      <x:c r="A335" s="10"/>
      <x:c r="B335" s="10"/>
      <x:c r="C335" s="10"/>
      <x:c r="D335" s="10"/>
    </x:row>
    <x:row r="336" ht="14.25" customHeight="1">
      <x:c r="A336" s="10"/>
      <x:c r="B336" s="10"/>
      <x:c r="C336" s="10"/>
      <x:c r="D336" s="10"/>
    </x:row>
    <x:row r="337" ht="14.25" customHeight="1">
      <x:c r="A337" s="10"/>
      <x:c r="B337" s="10"/>
      <x:c r="C337" s="10"/>
      <x:c r="D337" s="10"/>
    </x:row>
    <x:row r="338" ht="14.25" customHeight="1">
      <x:c r="A338" s="10"/>
      <x:c r="B338" s="10"/>
      <x:c r="C338" s="10"/>
      <x:c r="D338" s="10"/>
    </x:row>
    <x:row r="339" ht="14.25" customHeight="1">
      <x:c r="A339" s="10"/>
      <x:c r="B339" s="10"/>
      <x:c r="C339" s="10"/>
      <x:c r="D339" s="10"/>
    </x:row>
    <x:row r="340" ht="14.25" customHeight="1">
      <x:c r="A340" s="10"/>
      <x:c r="B340" s="10"/>
      <x:c r="C340" s="10"/>
      <x:c r="D340" s="10"/>
    </x:row>
    <x:row r="341" ht="14.25" customHeight="1">
      <x:c r="A341" s="10"/>
      <x:c r="B341" s="10"/>
      <x:c r="C341" s="10"/>
      <x:c r="D341" s="10"/>
    </x:row>
    <x:row r="342" ht="14.25" customHeight="1">
      <x:c r="A342" s="10"/>
      <x:c r="B342" s="10"/>
      <x:c r="C342" s="10"/>
      <x:c r="D342" s="10"/>
    </x:row>
    <x:row r="343" ht="14.25" customHeight="1">
      <x:c r="A343" s="10"/>
      <x:c r="B343" s="10"/>
      <x:c r="C343" s="10"/>
      <x:c r="D343" s="10"/>
    </x:row>
    <x:row r="344" ht="14.25" customHeight="1">
      <x:c r="A344" s="10"/>
      <x:c r="B344" s="10"/>
      <x:c r="C344" s="10"/>
      <x:c r="D344" s="10"/>
    </x:row>
    <x:row r="345" ht="14.25" customHeight="1">
      <x:c r="A345" s="10"/>
      <x:c r="B345" s="10"/>
      <x:c r="C345" s="10"/>
      <x:c r="D345" s="10"/>
    </x:row>
    <x:row r="346" ht="14.25" customHeight="1">
      <x:c r="A346" s="10"/>
      <x:c r="B346" s="10"/>
      <x:c r="C346" s="10"/>
      <x:c r="D346" s="10"/>
    </x:row>
    <x:row r="347" ht="14.25" customHeight="1">
      <x:c r="A347" s="10"/>
      <x:c r="B347" s="10"/>
      <x:c r="C347" s="10"/>
      <x:c r="D347" s="10"/>
    </x:row>
    <x:row r="348" ht="14.25" customHeight="1">
      <x:c r="A348" s="10"/>
      <x:c r="B348" s="10"/>
      <x:c r="C348" s="10"/>
      <x:c r="D348" s="10"/>
    </x:row>
    <x:row r="349" ht="14.25" customHeight="1">
      <x:c r="A349" s="10"/>
      <x:c r="B349" s="10"/>
      <x:c r="C349" s="10"/>
      <x:c r="D349" s="10"/>
    </x:row>
    <x:row r="350" ht="14.25" customHeight="1">
      <x:c r="A350" s="10"/>
      <x:c r="B350" s="10"/>
      <x:c r="C350" s="10"/>
      <x:c r="D350" s="10"/>
    </x:row>
    <x:row r="351" ht="14.25" customHeight="1">
      <x:c r="A351" s="10"/>
      <x:c r="B351" s="10"/>
      <x:c r="C351" s="10"/>
      <x:c r="D351" s="10"/>
    </x:row>
    <x:row r="352" ht="14.25" customHeight="1">
      <x:c r="A352" s="10"/>
      <x:c r="B352" s="10"/>
      <x:c r="C352" s="10"/>
      <x:c r="D352" s="10"/>
    </x:row>
    <x:row r="353" ht="14.25" customHeight="1">
      <x:c r="A353" s="10"/>
      <x:c r="B353" s="10"/>
      <x:c r="C353" s="10"/>
      <x:c r="D353" s="10"/>
    </x:row>
    <x:row r="354" ht="14.25" customHeight="1">
      <x:c r="A354" s="10"/>
      <x:c r="B354" s="10"/>
      <x:c r="C354" s="10"/>
      <x:c r="D354" s="10"/>
    </x:row>
    <x:row r="355" ht="14.25" customHeight="1">
      <x:c r="A355" s="10"/>
      <x:c r="B355" s="10"/>
      <x:c r="C355" s="10"/>
      <x:c r="D355" s="10"/>
    </x:row>
    <x:row r="356" ht="14.25" customHeight="1">
      <x:c r="A356" s="10"/>
      <x:c r="B356" s="10"/>
      <x:c r="C356" s="10"/>
      <x:c r="D356" s="10"/>
    </x:row>
    <x:row r="357" ht="14.25" customHeight="1">
      <x:c r="A357" s="10"/>
      <x:c r="B357" s="10"/>
      <x:c r="C357" s="10"/>
      <x:c r="D357" s="10"/>
    </x:row>
    <x:row r="358" ht="14.25" customHeight="1">
      <x:c r="A358" s="10"/>
      <x:c r="B358" s="10"/>
      <x:c r="C358" s="10"/>
      <x:c r="D358" s="10"/>
    </x:row>
    <x:row r="359" ht="14.25" customHeight="1">
      <x:c r="A359" s="10"/>
      <x:c r="B359" s="10"/>
      <x:c r="C359" s="10"/>
      <x:c r="D359" s="10"/>
    </x:row>
    <x:row r="360" ht="14.25" customHeight="1">
      <x:c r="A360" s="10"/>
      <x:c r="B360" s="10"/>
      <x:c r="C360" s="10"/>
      <x:c r="D360" s="10"/>
    </x:row>
    <x:row r="361" ht="14.25" customHeight="1">
      <x:c r="A361" s="10"/>
      <x:c r="B361" s="10"/>
      <x:c r="C361" s="10"/>
      <x:c r="D361" s="10"/>
    </x:row>
    <x:row r="362" ht="14.25" customHeight="1">
      <x:c r="A362" s="10"/>
      <x:c r="B362" s="10"/>
      <x:c r="C362" s="10"/>
      <x:c r="D362" s="10"/>
    </x:row>
    <x:row r="363" ht="14.25" customHeight="1">
      <x:c r="A363" s="10"/>
      <x:c r="B363" s="10"/>
      <x:c r="C363" s="10"/>
      <x:c r="D363" s="10"/>
    </x:row>
    <x:row r="364" ht="14.25" customHeight="1">
      <x:c r="A364" s="10"/>
      <x:c r="B364" s="10"/>
      <x:c r="C364" s="10"/>
      <x:c r="D364" s="10"/>
    </x:row>
    <x:row r="365" ht="14.25" customHeight="1">
      <x:c r="A365" s="10"/>
      <x:c r="B365" s="10"/>
      <x:c r="C365" s="10"/>
      <x:c r="D365" s="10"/>
    </x:row>
    <x:row r="366" ht="14.25" customHeight="1">
      <x:c r="A366" s="10"/>
      <x:c r="B366" s="10"/>
      <x:c r="C366" s="10"/>
      <x:c r="D366" s="10"/>
    </x:row>
    <x:row r="367" ht="14.25" customHeight="1">
      <x:c r="A367" s="10"/>
      <x:c r="B367" s="10"/>
      <x:c r="C367" s="10"/>
      <x:c r="D367" s="10"/>
    </x:row>
    <x:row r="368" ht="14.25" customHeight="1">
      <x:c r="A368" s="10"/>
      <x:c r="B368" s="10"/>
      <x:c r="C368" s="10"/>
      <x:c r="D368" s="10"/>
    </x:row>
    <x:row r="369" ht="14.25" customHeight="1">
      <x:c r="A369" s="10"/>
      <x:c r="B369" s="10"/>
      <x:c r="C369" s="10"/>
      <x:c r="D369" s="10"/>
    </x:row>
    <x:row r="370" ht="14.25" customHeight="1">
      <x:c r="A370" s="10"/>
      <x:c r="B370" s="10"/>
      <x:c r="C370" s="10"/>
      <x:c r="D370" s="10"/>
    </x:row>
    <x:row r="371" ht="14.25" customHeight="1">
      <x:c r="A371" s="10"/>
      <x:c r="B371" s="10"/>
      <x:c r="C371" s="10"/>
      <x:c r="D371" s="10"/>
    </x:row>
    <x:row r="372" ht="14.25" customHeight="1">
      <x:c r="A372" s="10"/>
      <x:c r="B372" s="10"/>
      <x:c r="C372" s="10"/>
      <x:c r="D372" s="10"/>
    </x:row>
    <x:row r="373" ht="14.25" customHeight="1">
      <x:c r="A373" s="10"/>
      <x:c r="B373" s="10"/>
      <x:c r="C373" s="10"/>
      <x:c r="D373" s="10"/>
    </x:row>
    <x:row r="374" ht="14.25" customHeight="1">
      <x:c r="A374" s="10"/>
      <x:c r="B374" s="10"/>
      <x:c r="C374" s="10"/>
      <x:c r="D374" s="10"/>
    </x:row>
    <x:row r="375" ht="14.25" customHeight="1">
      <x:c r="A375" s="10"/>
      <x:c r="B375" s="10"/>
      <x:c r="C375" s="10"/>
      <x:c r="D375" s="10"/>
    </x:row>
    <x:row r="376" ht="14.25" customHeight="1">
      <x:c r="A376" s="10"/>
      <x:c r="B376" s="10"/>
      <x:c r="C376" s="10"/>
      <x:c r="D376" s="10"/>
    </x:row>
    <x:row r="377" ht="14.25" customHeight="1">
      <x:c r="A377" s="10"/>
      <x:c r="B377" s="10"/>
      <x:c r="C377" s="10"/>
      <x:c r="D377" s="10"/>
    </x:row>
    <x:row r="378" ht="14.25" customHeight="1">
      <x:c r="A378" s="10"/>
      <x:c r="B378" s="10"/>
      <x:c r="C378" s="10"/>
      <x:c r="D378" s="10"/>
    </x:row>
    <x:row r="379" ht="14.25" customHeight="1">
      <x:c r="A379" s="10"/>
      <x:c r="B379" s="10"/>
      <x:c r="C379" s="10"/>
      <x:c r="D379" s="10"/>
    </x:row>
    <x:row r="380" ht="14.25" customHeight="1">
      <x:c r="A380" s="10"/>
      <x:c r="B380" s="10"/>
      <x:c r="C380" s="10"/>
      <x:c r="D380" s="10"/>
    </x:row>
    <x:row r="381" ht="14.25" customHeight="1">
      <x:c r="A381" s="10"/>
      <x:c r="B381" s="10"/>
      <x:c r="C381" s="10"/>
      <x:c r="D381" s="10"/>
    </x:row>
    <x:row r="382" ht="14.25" customHeight="1">
      <x:c r="A382" s="10"/>
      <x:c r="B382" s="10"/>
      <x:c r="C382" s="10"/>
      <x:c r="D382" s="10"/>
    </x:row>
    <x:row r="383" ht="14.25" customHeight="1">
      <x:c r="A383" s="10"/>
      <x:c r="B383" s="10"/>
      <x:c r="C383" s="10"/>
      <x:c r="D383" s="10"/>
    </x:row>
    <x:row r="384" ht="14.25" customHeight="1">
      <x:c r="A384" s="10"/>
      <x:c r="B384" s="10"/>
      <x:c r="C384" s="10"/>
      <x:c r="D384" s="10"/>
    </x:row>
    <x:row r="385" ht="14.25" customHeight="1">
      <x:c r="A385" s="10"/>
      <x:c r="B385" s="10"/>
      <x:c r="C385" s="10"/>
      <x:c r="D385" s="10"/>
    </x:row>
    <x:row r="386" ht="14.25" customHeight="1">
      <x:c r="A386" s="10"/>
      <x:c r="B386" s="10"/>
      <x:c r="C386" s="10"/>
      <x:c r="D386" s="10"/>
    </x:row>
    <x:row r="387" ht="14.25" customHeight="1">
      <x:c r="A387" s="10"/>
      <x:c r="B387" s="10"/>
      <x:c r="C387" s="10"/>
      <x:c r="D387" s="10"/>
    </x:row>
    <x:row r="388" ht="14.25" customHeight="1">
      <x:c r="A388" s="10"/>
      <x:c r="B388" s="10"/>
      <x:c r="C388" s="10"/>
      <x:c r="D388" s="10"/>
    </x:row>
    <x:row r="389" ht="14.25" customHeight="1">
      <x:c r="A389" s="10"/>
      <x:c r="B389" s="10"/>
      <x:c r="C389" s="10"/>
      <x:c r="D389" s="10"/>
    </x:row>
    <x:row r="390" ht="14.25" customHeight="1">
      <x:c r="A390" s="10"/>
      <x:c r="B390" s="10"/>
      <x:c r="C390" s="10"/>
      <x:c r="D390" s="10"/>
    </x:row>
    <x:row r="391" ht="14.25" customHeight="1">
      <x:c r="A391" s="10"/>
      <x:c r="B391" s="10"/>
      <x:c r="C391" s="10"/>
      <x:c r="D391" s="10"/>
    </x:row>
    <x:row r="392" ht="14.25" customHeight="1">
      <x:c r="A392" s="10"/>
      <x:c r="B392" s="10"/>
      <x:c r="C392" s="10"/>
      <x:c r="D392" s="10"/>
    </x:row>
    <x:row r="393" ht="14.25" customHeight="1">
      <x:c r="A393" s="10"/>
      <x:c r="B393" s="10"/>
      <x:c r="C393" s="10"/>
      <x:c r="D393" s="10"/>
    </x:row>
    <x:row r="394" ht="14.25" customHeight="1">
      <x:c r="A394" s="10"/>
      <x:c r="B394" s="10"/>
      <x:c r="C394" s="10"/>
      <x:c r="D394" s="10"/>
    </x:row>
    <x:row r="395" ht="14.25" customHeight="1">
      <x:c r="A395" s="10"/>
      <x:c r="B395" s="10"/>
      <x:c r="C395" s="10"/>
      <x:c r="D395" s="10"/>
    </x:row>
    <x:row r="396" ht="14.25" customHeight="1">
      <x:c r="A396" s="10"/>
      <x:c r="B396" s="10"/>
      <x:c r="C396" s="10"/>
      <x:c r="D396" s="10"/>
    </x:row>
    <x:row r="397" ht="14.25" customHeight="1">
      <x:c r="A397" s="10"/>
      <x:c r="B397" s="10"/>
      <x:c r="C397" s="10"/>
      <x:c r="D397" s="10"/>
    </x:row>
    <x:row r="398" ht="14.25" customHeight="1">
      <x:c r="A398" s="10"/>
      <x:c r="B398" s="10"/>
      <x:c r="C398" s="10"/>
      <x:c r="D398" s="10"/>
    </x:row>
    <x:row r="399" ht="14.25" customHeight="1">
      <x:c r="A399" s="10"/>
      <x:c r="B399" s="10"/>
      <x:c r="C399" s="10"/>
      <x:c r="D399" s="10"/>
    </x:row>
    <x:row r="400" ht="14.25" customHeight="1">
      <x:c r="A400" s="10"/>
      <x:c r="B400" s="10"/>
      <x:c r="C400" s="10"/>
      <x:c r="D400" s="10"/>
    </x:row>
    <x:row r="401" ht="14.25" customHeight="1">
      <x:c r="A401" s="10"/>
      <x:c r="B401" s="10"/>
      <x:c r="C401" s="10"/>
      <x:c r="D401" s="10"/>
    </x:row>
    <x:row r="402" ht="14.25" customHeight="1">
      <x:c r="A402" s="10"/>
      <x:c r="B402" s="10"/>
      <x:c r="C402" s="10"/>
      <x:c r="D402" s="10"/>
    </x:row>
    <x:row r="403" ht="14.25" customHeight="1">
      <x:c r="A403" s="10"/>
      <x:c r="B403" s="10"/>
      <x:c r="C403" s="10"/>
      <x:c r="D403" s="10"/>
    </x:row>
    <x:row r="404" ht="14.25" customHeight="1">
      <x:c r="A404" s="10"/>
      <x:c r="B404" s="10"/>
      <x:c r="C404" s="10"/>
      <x:c r="D404" s="10"/>
    </x:row>
    <x:row r="405" ht="14.25" customHeight="1">
      <x:c r="A405" s="10"/>
      <x:c r="B405" s="10"/>
      <x:c r="C405" s="10"/>
      <x:c r="D405" s="10"/>
    </x:row>
    <x:row r="406" ht="14.25" customHeight="1">
      <x:c r="A406" s="10"/>
      <x:c r="B406" s="10"/>
      <x:c r="C406" s="10"/>
      <x:c r="D406" s="10"/>
    </x:row>
    <x:row r="407" ht="14.25" customHeight="1">
      <x:c r="A407" s="10"/>
      <x:c r="B407" s="10"/>
      <x:c r="C407" s="10"/>
      <x:c r="D407" s="10"/>
    </x:row>
    <x:row r="408" ht="14.25" customHeight="1">
      <x:c r="A408" s="10"/>
      <x:c r="B408" s="10"/>
      <x:c r="C408" s="10"/>
      <x:c r="D408" s="10"/>
    </x:row>
    <x:row r="409" ht="14.25" customHeight="1">
      <x:c r="A409" s="10"/>
      <x:c r="B409" s="10"/>
      <x:c r="C409" s="10"/>
      <x:c r="D409" s="10"/>
    </x:row>
    <x:row r="410" ht="14.25" customHeight="1">
      <x:c r="A410" s="10"/>
      <x:c r="B410" s="10"/>
      <x:c r="C410" s="10"/>
      <x:c r="D410" s="10"/>
    </x:row>
    <x:row r="411" ht="14.25" customHeight="1">
      <x:c r="A411" s="10"/>
      <x:c r="B411" s="10"/>
      <x:c r="C411" s="10"/>
      <x:c r="D411" s="10"/>
    </x:row>
    <x:row r="412" ht="14.25" customHeight="1">
      <x:c r="A412" s="10"/>
      <x:c r="B412" s="10"/>
      <x:c r="C412" s="10"/>
      <x:c r="D412" s="10"/>
    </x:row>
    <x:row r="413" ht="14.25" customHeight="1">
      <x:c r="A413" s="10"/>
      <x:c r="B413" s="10"/>
      <x:c r="C413" s="10"/>
      <x:c r="D413" s="10"/>
    </x:row>
    <x:row r="414" ht="14.25" customHeight="1">
      <x:c r="A414" s="10"/>
      <x:c r="B414" s="10"/>
      <x:c r="C414" s="10"/>
      <x:c r="D414" s="10"/>
    </x:row>
    <x:row r="415" ht="14.25" customHeight="1">
      <x:c r="A415" s="10"/>
      <x:c r="B415" s="10"/>
      <x:c r="C415" s="10"/>
      <x:c r="D415" s="10"/>
    </x:row>
    <x:row r="416" ht="14.25" customHeight="1">
      <x:c r="A416" s="10"/>
      <x:c r="B416" s="10"/>
      <x:c r="C416" s="10"/>
      <x:c r="D416" s="10"/>
    </x:row>
    <x:row r="417" ht="14.25" customHeight="1">
      <x:c r="A417" s="10"/>
      <x:c r="B417" s="10"/>
      <x:c r="C417" s="10"/>
      <x:c r="D417" s="10"/>
    </x:row>
    <x:row r="418" ht="14.25" customHeight="1">
      <x:c r="A418" s="10"/>
      <x:c r="B418" s="10"/>
      <x:c r="C418" s="10"/>
      <x:c r="D418" s="10"/>
    </x:row>
    <x:row r="419" ht="14.25" customHeight="1">
      <x:c r="A419" s="10"/>
      <x:c r="B419" s="10"/>
      <x:c r="C419" s="10"/>
      <x:c r="D419" s="10"/>
    </x:row>
    <x:row r="420" ht="14.25" customHeight="1">
      <x:c r="A420" s="10"/>
      <x:c r="B420" s="10"/>
      <x:c r="C420" s="10"/>
      <x:c r="D420" s="10"/>
    </x:row>
    <x:row r="421" ht="14.25" customHeight="1">
      <x:c r="A421" s="10"/>
      <x:c r="B421" s="10"/>
      <x:c r="C421" s="10"/>
      <x:c r="D421" s="10"/>
    </x:row>
    <x:row r="422" ht="14.25" customHeight="1">
      <x:c r="A422" s="10"/>
      <x:c r="B422" s="10"/>
      <x:c r="C422" s="10"/>
      <x:c r="D422" s="10"/>
    </x:row>
    <x:row r="423" ht="14.25" customHeight="1">
      <x:c r="A423" s="10"/>
      <x:c r="B423" s="10"/>
      <x:c r="C423" s="10"/>
      <x:c r="D423" s="10"/>
    </x:row>
    <x:row r="424" ht="14.25" customHeight="1">
      <x:c r="A424" s="10"/>
      <x:c r="B424" s="10"/>
      <x:c r="C424" s="10"/>
      <x:c r="D424" s="10"/>
    </x:row>
    <x:row r="425" ht="14.25" customHeight="1">
      <x:c r="A425" s="10"/>
      <x:c r="B425" s="10"/>
      <x:c r="C425" s="10"/>
      <x:c r="D425" s="10"/>
    </x:row>
    <x:row r="426" ht="14.25" customHeight="1">
      <x:c r="A426" s="10"/>
      <x:c r="B426" s="10"/>
      <x:c r="C426" s="10"/>
      <x:c r="D426" s="10"/>
    </x:row>
    <x:row r="427" ht="14.25" customHeight="1">
      <x:c r="A427" s="10"/>
      <x:c r="B427" s="10"/>
      <x:c r="C427" s="10"/>
      <x:c r="D427" s="10"/>
    </x:row>
    <x:row r="428" ht="14.25" customHeight="1">
      <x:c r="A428" s="10"/>
      <x:c r="B428" s="10"/>
      <x:c r="C428" s="10"/>
      <x:c r="D428" s="10"/>
    </x:row>
    <x:row r="429" ht="14.25" customHeight="1">
      <x:c r="A429" s="10"/>
      <x:c r="B429" s="10"/>
      <x:c r="C429" s="10"/>
      <x:c r="D429" s="10"/>
    </x:row>
    <x:row r="430" ht="14.25" customHeight="1">
      <x:c r="A430" s="10"/>
      <x:c r="B430" s="10"/>
      <x:c r="C430" s="10"/>
      <x:c r="D430" s="10"/>
    </x:row>
    <x:row r="431" ht="14.25" customHeight="1">
      <x:c r="A431" s="10"/>
      <x:c r="B431" s="10"/>
      <x:c r="C431" s="10"/>
      <x:c r="D431" s="10"/>
    </x:row>
    <x:row r="432" ht="14.25" customHeight="1">
      <x:c r="A432" s="10"/>
      <x:c r="B432" s="10"/>
      <x:c r="C432" s="10"/>
      <x:c r="D432" s="10"/>
    </x:row>
    <x:row r="433" ht="14.25" customHeight="1">
      <x:c r="A433" s="10"/>
      <x:c r="B433" s="10"/>
      <x:c r="C433" s="10"/>
      <x:c r="D433" s="10"/>
    </x:row>
    <x:row r="434" ht="14.25" customHeight="1">
      <x:c r="A434" s="10"/>
      <x:c r="B434" s="10"/>
      <x:c r="C434" s="10"/>
      <x:c r="D434" s="10"/>
    </x:row>
    <x:row r="435" ht="14.25" customHeight="1">
      <x:c r="A435" s="10"/>
      <x:c r="B435" s="10"/>
      <x:c r="C435" s="10"/>
      <x:c r="D435" s="10"/>
    </x:row>
    <x:row r="436" ht="14.25" customHeight="1">
      <x:c r="A436" s="10"/>
      <x:c r="B436" s="10"/>
      <x:c r="C436" s="10"/>
      <x:c r="D436" s="10"/>
    </x:row>
    <x:row r="437" ht="14.25" customHeight="1">
      <x:c r="A437" s="10"/>
      <x:c r="B437" s="10"/>
      <x:c r="C437" s="10"/>
      <x:c r="D437" s="10"/>
    </x:row>
    <x:row r="438" ht="14.25" customHeight="1">
      <x:c r="A438" s="10"/>
      <x:c r="B438" s="10"/>
      <x:c r="C438" s="10"/>
      <x:c r="D438" s="10"/>
    </x:row>
    <x:row r="439" ht="14.25" customHeight="1">
      <x:c r="A439" s="10"/>
      <x:c r="B439" s="10"/>
      <x:c r="C439" s="10"/>
      <x:c r="D439" s="10"/>
    </x:row>
    <x:row r="440" ht="14.25" customHeight="1">
      <x:c r="A440" s="10"/>
      <x:c r="B440" s="10"/>
      <x:c r="C440" s="10"/>
      <x:c r="D440" s="10"/>
    </x:row>
    <x:row r="441" ht="14.25" customHeight="1">
      <x:c r="A441" s="10"/>
      <x:c r="B441" s="10"/>
      <x:c r="C441" s="10"/>
      <x:c r="D441" s="10"/>
    </x:row>
    <x:row r="442" ht="14.25" customHeight="1">
      <x:c r="A442" s="10"/>
      <x:c r="B442" s="10"/>
      <x:c r="C442" s="10"/>
      <x:c r="D442" s="10"/>
    </x:row>
    <x:row r="443" ht="14.25" customHeight="1">
      <x:c r="A443" s="10"/>
      <x:c r="B443" s="10"/>
      <x:c r="C443" s="10"/>
      <x:c r="D443" s="10"/>
    </x:row>
    <x:row r="444" ht="14.25" customHeight="1">
      <x:c r="A444" s="10"/>
      <x:c r="B444" s="10"/>
      <x:c r="C444" s="10"/>
      <x:c r="D444" s="10"/>
    </x:row>
    <x:row r="445" ht="14.25" customHeight="1">
      <x:c r="A445" s="10"/>
      <x:c r="B445" s="10"/>
      <x:c r="C445" s="10"/>
      <x:c r="D445" s="10"/>
    </x:row>
    <x:row r="446" ht="14.25" customHeight="1">
      <x:c r="A446" s="10"/>
      <x:c r="B446" s="10"/>
      <x:c r="C446" s="10"/>
      <x:c r="D446" s="10"/>
    </x:row>
    <x:row r="447" ht="14.25" customHeight="1">
      <x:c r="A447" s="10"/>
      <x:c r="B447" s="10"/>
      <x:c r="C447" s="10"/>
      <x:c r="D447" s="10"/>
    </x:row>
    <x:row r="448" ht="14.25" customHeight="1">
      <x:c r="A448" s="10"/>
      <x:c r="B448" s="10"/>
      <x:c r="C448" s="10"/>
      <x:c r="D448" s="10"/>
    </x:row>
    <x:row r="449" ht="14.25" customHeight="1">
      <x:c r="A449" s="10"/>
      <x:c r="B449" s="10"/>
      <x:c r="C449" s="10"/>
      <x:c r="D449" s="10"/>
    </x:row>
    <x:row r="450" ht="14.25" customHeight="1">
      <x:c r="A450" s="10"/>
      <x:c r="B450" s="10"/>
      <x:c r="C450" s="10"/>
      <x:c r="D450" s="10"/>
    </x:row>
    <x:row r="451" ht="14.25" customHeight="1">
      <x:c r="A451" s="10"/>
      <x:c r="B451" s="10"/>
      <x:c r="C451" s="10"/>
      <x:c r="D451" s="10"/>
    </x:row>
    <x:row r="452" ht="14.25" customHeight="1">
      <x:c r="A452" s="10"/>
      <x:c r="B452" s="10"/>
      <x:c r="C452" s="10"/>
      <x:c r="D452" s="10"/>
    </x:row>
    <x:row r="453" ht="14.25" customHeight="1">
      <x:c r="A453" s="10"/>
      <x:c r="B453" s="10"/>
      <x:c r="C453" s="10"/>
      <x:c r="D453" s="10"/>
    </x:row>
    <x:row r="454" ht="14.25" customHeight="1">
      <x:c r="A454" s="10"/>
      <x:c r="B454" s="10"/>
      <x:c r="C454" s="10"/>
      <x:c r="D454" s="10"/>
    </x:row>
    <x:row r="455" ht="14.25" customHeight="1">
      <x:c r="A455" s="10"/>
      <x:c r="B455" s="10"/>
      <x:c r="C455" s="10"/>
      <x:c r="D455" s="10"/>
    </x:row>
    <x:row r="456" ht="14.25" customHeight="1">
      <x:c r="A456" s="10"/>
      <x:c r="B456" s="10"/>
      <x:c r="C456" s="10"/>
      <x:c r="D456" s="10"/>
    </x:row>
    <x:row r="457" ht="14.25" customHeight="1">
      <x:c r="A457" s="10"/>
      <x:c r="B457" s="10"/>
      <x:c r="C457" s="10"/>
      <x:c r="D457" s="10"/>
    </x:row>
    <x:row r="458" ht="14.25" customHeight="1">
      <x:c r="A458" s="10"/>
      <x:c r="B458" s="10"/>
      <x:c r="C458" s="10"/>
      <x:c r="D458" s="10"/>
    </x:row>
    <x:row r="459" ht="14.25" customHeight="1">
      <x:c r="A459" s="10"/>
      <x:c r="B459" s="10"/>
      <x:c r="C459" s="10"/>
      <x:c r="D459" s="10"/>
    </x:row>
    <x:row r="460" ht="14.25" customHeight="1">
      <x:c r="A460" s="10"/>
      <x:c r="B460" s="10"/>
      <x:c r="C460" s="10"/>
      <x:c r="D460" s="10"/>
    </x:row>
    <x:row r="461" ht="14.25" customHeight="1">
      <x:c r="A461" s="10"/>
      <x:c r="B461" s="10"/>
      <x:c r="C461" s="10"/>
      <x:c r="D461" s="10"/>
    </x:row>
    <x:row r="462" ht="14.25" customHeight="1">
      <x:c r="A462" s="10"/>
      <x:c r="B462" s="10"/>
      <x:c r="C462" s="10"/>
      <x:c r="D462" s="10"/>
    </x:row>
    <x:row r="463" ht="14.25" customHeight="1">
      <x:c r="A463" s="10"/>
      <x:c r="B463" s="10"/>
      <x:c r="C463" s="10"/>
      <x:c r="D463" s="10"/>
    </x:row>
    <x:row r="464" ht="14.25" customHeight="1">
      <x:c r="A464" s="10"/>
      <x:c r="B464" s="10"/>
      <x:c r="C464" s="10"/>
      <x:c r="D464" s="10"/>
    </x:row>
    <x:row r="465" ht="14.25" customHeight="1">
      <x:c r="A465" s="10"/>
      <x:c r="B465" s="10"/>
      <x:c r="C465" s="10"/>
      <x:c r="D465" s="10"/>
    </x:row>
    <x:row r="466" ht="14.25" customHeight="1">
      <x:c r="A466" s="10"/>
      <x:c r="B466" s="10"/>
      <x:c r="C466" s="10"/>
      <x:c r="D466" s="10"/>
    </x:row>
    <x:row r="467" ht="14.25" customHeight="1">
      <x:c r="A467" s="10"/>
      <x:c r="B467" s="10"/>
      <x:c r="C467" s="10"/>
      <x:c r="D467" s="10"/>
    </x:row>
    <x:row r="468" ht="14.25" customHeight="1">
      <x:c r="A468" s="10"/>
      <x:c r="B468" s="10"/>
      <x:c r="C468" s="10"/>
      <x:c r="D468" s="10"/>
    </x:row>
    <x:row r="469" ht="14.25" customHeight="1">
      <x:c r="A469" s="10"/>
      <x:c r="B469" s="10"/>
      <x:c r="C469" s="10"/>
      <x:c r="D469" s="10"/>
    </x:row>
    <x:row r="470" ht="14.25" customHeight="1">
      <x:c r="A470" s="10"/>
      <x:c r="B470" s="10"/>
      <x:c r="C470" s="10"/>
      <x:c r="D470" s="10"/>
    </x:row>
    <x:row r="471" ht="14.25" customHeight="1">
      <x:c r="A471" s="10"/>
      <x:c r="B471" s="10"/>
      <x:c r="C471" s="10"/>
      <x:c r="D471" s="10"/>
    </x:row>
    <x:row r="472" ht="14.25" customHeight="1">
      <x:c r="A472" s="10"/>
      <x:c r="B472" s="10"/>
      <x:c r="C472" s="10"/>
      <x:c r="D472" s="10"/>
    </x:row>
    <x:row r="473" ht="14.25" customHeight="1">
      <x:c r="A473" s="10"/>
      <x:c r="B473" s="10"/>
      <x:c r="C473" s="10"/>
      <x:c r="D473" s="10"/>
    </x:row>
    <x:row r="474" ht="14.25" customHeight="1">
      <x:c r="A474" s="10"/>
      <x:c r="B474" s="10"/>
      <x:c r="C474" s="10"/>
      <x:c r="D474" s="10"/>
    </x:row>
    <x:row r="475" ht="14.25" customHeight="1">
      <x:c r="A475" s="10"/>
      <x:c r="B475" s="10"/>
      <x:c r="C475" s="10"/>
      <x:c r="D475" s="10"/>
    </x:row>
    <x:row r="476" ht="14.25" customHeight="1">
      <x:c r="A476" s="10"/>
      <x:c r="B476" s="10"/>
      <x:c r="C476" s="10"/>
      <x:c r="D476" s="10"/>
    </x:row>
    <x:row r="477" ht="14.25" customHeight="1">
      <x:c r="A477" s="10"/>
      <x:c r="B477" s="10"/>
      <x:c r="C477" s="10"/>
      <x:c r="D477" s="10"/>
    </x:row>
    <x:row r="478" ht="14.25" customHeight="1">
      <x:c r="A478" s="10"/>
      <x:c r="B478" s="10"/>
      <x:c r="C478" s="10"/>
      <x:c r="D478" s="10"/>
    </x:row>
    <x:row r="479" ht="14.25" customHeight="1">
      <x:c r="A479" s="10"/>
      <x:c r="B479" s="10"/>
      <x:c r="C479" s="10"/>
      <x:c r="D479" s="10"/>
    </x:row>
    <x:row r="480" ht="14.25" customHeight="1">
      <x:c r="A480" s="10"/>
      <x:c r="B480" s="10"/>
      <x:c r="C480" s="10"/>
      <x:c r="D480" s="10"/>
    </x:row>
    <x:row r="481" ht="14.25" customHeight="1">
      <x:c r="A481" s="10"/>
      <x:c r="B481" s="10"/>
      <x:c r="C481" s="10"/>
      <x:c r="D481" s="10"/>
    </x:row>
    <x:row r="482" ht="14.25" customHeight="1">
      <x:c r="A482" s="10"/>
      <x:c r="B482" s="10"/>
      <x:c r="C482" s="10"/>
      <x:c r="D482" s="10"/>
    </x:row>
    <x:row r="483" ht="14.25" customHeight="1">
      <x:c r="A483" s="10"/>
      <x:c r="B483" s="10"/>
      <x:c r="C483" s="10"/>
      <x:c r="D483" s="10"/>
    </x:row>
    <x:row r="484" ht="14.25" customHeight="1">
      <x:c r="A484" s="10"/>
      <x:c r="B484" s="10"/>
      <x:c r="C484" s="10"/>
      <x:c r="D484" s="10"/>
    </x:row>
    <x:row r="485" ht="14.25" customHeight="1">
      <x:c r="A485" s="10"/>
      <x:c r="B485" s="10"/>
      <x:c r="C485" s="10"/>
      <x:c r="D485" s="10"/>
    </x:row>
    <x:row r="486" ht="14.25" customHeight="1">
      <x:c r="A486" s="10"/>
      <x:c r="B486" s="10"/>
      <x:c r="C486" s="10"/>
      <x:c r="D486" s="10"/>
    </x:row>
    <x:row r="487" ht="14.25" customHeight="1">
      <x:c r="A487" s="10"/>
      <x:c r="B487" s="10"/>
      <x:c r="C487" s="10"/>
      <x:c r="D487" s="10"/>
    </x:row>
    <x:row r="488" ht="14.25" customHeight="1">
      <x:c r="A488" s="10"/>
      <x:c r="B488" s="10"/>
      <x:c r="C488" s="10"/>
      <x:c r="D488" s="10"/>
    </x:row>
    <x:row r="489" ht="14.25" customHeight="1">
      <x:c r="A489" s="10"/>
      <x:c r="B489" s="10"/>
      <x:c r="C489" s="10"/>
      <x:c r="D489" s="10"/>
    </x:row>
    <x:row r="490" ht="14.25" customHeight="1">
      <x:c r="A490" s="10"/>
      <x:c r="B490" s="10"/>
      <x:c r="C490" s="10"/>
      <x:c r="D490" s="10"/>
    </x:row>
    <x:row r="491" ht="14.25" customHeight="1">
      <x:c r="A491" s="10"/>
      <x:c r="B491" s="10"/>
      <x:c r="C491" s="10"/>
      <x:c r="D491" s="10"/>
    </x:row>
    <x:row r="492" ht="14.25" customHeight="1">
      <x:c r="A492" s="10"/>
      <x:c r="B492" s="10"/>
      <x:c r="C492" s="10"/>
      <x:c r="D492" s="10"/>
    </x:row>
    <x:row r="493" ht="14.25" customHeight="1">
      <x:c r="A493" s="10"/>
      <x:c r="B493" s="10"/>
      <x:c r="C493" s="10"/>
      <x:c r="D493" s="10"/>
    </x:row>
    <x:row r="494" ht="14.25" customHeight="1">
      <x:c r="A494" s="10"/>
      <x:c r="B494" s="10"/>
      <x:c r="C494" s="10"/>
      <x:c r="D494" s="10"/>
    </x:row>
    <x:row r="495" ht="14.25" customHeight="1">
      <x:c r="A495" s="10"/>
      <x:c r="B495" s="10"/>
      <x:c r="C495" s="10"/>
      <x:c r="D495" s="10"/>
    </x:row>
    <x:row r="496" ht="14.25" customHeight="1">
      <x:c r="A496" s="10"/>
      <x:c r="B496" s="10"/>
      <x:c r="C496" s="10"/>
      <x:c r="D496" s="10"/>
    </x:row>
    <x:row r="497" ht="14.25" customHeight="1">
      <x:c r="A497" s="10"/>
      <x:c r="B497" s="10"/>
      <x:c r="C497" s="10"/>
      <x:c r="D497" s="10"/>
    </x:row>
    <x:row r="498" ht="14.25" customHeight="1">
      <x:c r="A498" s="10"/>
      <x:c r="B498" s="10"/>
      <x:c r="C498" s="10"/>
      <x:c r="D498" s="10"/>
    </x:row>
    <x:row r="499" ht="14.25" customHeight="1">
      <x:c r="A499" s="10"/>
      <x:c r="B499" s="10"/>
      <x:c r="C499" s="10"/>
      <x:c r="D499" s="10"/>
    </x:row>
    <x:row r="500" ht="14.25" customHeight="1">
      <x:c r="A500" s="10"/>
      <x:c r="B500" s="10"/>
      <x:c r="C500" s="10"/>
      <x:c r="D500" s="10"/>
    </x:row>
    <x:row r="501" ht="14.25" customHeight="1">
      <x:c r="A501" s="10"/>
      <x:c r="B501" s="10"/>
      <x:c r="C501" s="10"/>
      <x:c r="D501" s="10"/>
    </x:row>
    <x:row r="502" ht="14.25" customHeight="1">
      <x:c r="A502" s="10"/>
      <x:c r="B502" s="10"/>
      <x:c r="C502" s="10"/>
      <x:c r="D502" s="10"/>
    </x:row>
    <x:row r="503" ht="14.25" customHeight="1">
      <x:c r="A503" s="10"/>
      <x:c r="B503" s="10"/>
      <x:c r="C503" s="10"/>
      <x:c r="D503" s="10"/>
    </x:row>
    <x:row r="504" ht="14.25" customHeight="1">
      <x:c r="A504" s="10"/>
      <x:c r="B504" s="10"/>
      <x:c r="C504" s="10"/>
      <x:c r="D504" s="10"/>
    </x:row>
    <x:row r="505" ht="14.25" customHeight="1">
      <x:c r="A505" s="10"/>
      <x:c r="B505" s="10"/>
      <x:c r="C505" s="10"/>
      <x:c r="D505" s="10"/>
    </x:row>
    <x:row r="506" ht="14.25" customHeight="1">
      <x:c r="A506" s="10"/>
      <x:c r="B506" s="10"/>
      <x:c r="C506" s="10"/>
      <x:c r="D506" s="10"/>
    </x:row>
    <x:row r="507" ht="14.25" customHeight="1">
      <x:c r="A507" s="10"/>
      <x:c r="B507" s="10"/>
      <x:c r="C507" s="10"/>
      <x:c r="D507" s="10"/>
    </x:row>
    <x:row r="508" ht="14.25" customHeight="1">
      <x:c r="A508" s="10"/>
      <x:c r="B508" s="10"/>
      <x:c r="C508" s="10"/>
      <x:c r="D508" s="10"/>
    </x:row>
    <x:row r="509" ht="14.25" customHeight="1">
      <x:c r="A509" s="10"/>
      <x:c r="B509" s="10"/>
      <x:c r="C509" s="10"/>
      <x:c r="D509" s="10"/>
    </x:row>
    <x:row r="510" ht="14.25" customHeight="1">
      <x:c r="A510" s="10"/>
      <x:c r="B510" s="10"/>
      <x:c r="C510" s="10"/>
      <x:c r="D510" s="10"/>
    </x:row>
    <x:row r="511" ht="14.25" customHeight="1">
      <x:c r="A511" s="10"/>
      <x:c r="B511" s="10"/>
      <x:c r="C511" s="10"/>
      <x:c r="D511" s="10"/>
    </x:row>
    <x:row r="512" ht="14.25" customHeight="1">
      <x:c r="A512" s="10"/>
      <x:c r="B512" s="10"/>
      <x:c r="C512" s="10"/>
      <x:c r="D512" s="10"/>
    </x:row>
    <x:row r="513" ht="14.25" customHeight="1">
      <x:c r="A513" s="10"/>
      <x:c r="B513" s="10"/>
      <x:c r="C513" s="10"/>
      <x:c r="D513" s="10"/>
    </x:row>
    <x:row r="514" ht="14.25" customHeight="1">
      <x:c r="A514" s="10"/>
      <x:c r="B514" s="10"/>
      <x:c r="C514" s="10"/>
      <x:c r="D514" s="10"/>
    </x:row>
    <x:row r="515" ht="14.25" customHeight="1">
      <x:c r="A515" s="10"/>
      <x:c r="B515" s="10"/>
      <x:c r="C515" s="10"/>
      <x:c r="D515" s="10"/>
    </x:row>
    <x:row r="516" ht="14.25" customHeight="1">
      <x:c r="A516" s="10"/>
      <x:c r="B516" s="10"/>
      <x:c r="C516" s="10"/>
      <x:c r="D516" s="10"/>
    </x:row>
    <x:row r="517" ht="14.25" customHeight="1">
      <x:c r="A517" s="10"/>
      <x:c r="B517" s="10"/>
      <x:c r="C517" s="10"/>
      <x:c r="D517" s="10"/>
    </x:row>
    <x:row r="518" ht="14.25" customHeight="1">
      <x:c r="A518" s="10"/>
      <x:c r="B518" s="10"/>
      <x:c r="C518" s="10"/>
      <x:c r="D518" s="10"/>
    </x:row>
    <x:row r="519" ht="14.25" customHeight="1">
      <x:c r="A519" s="10"/>
      <x:c r="B519" s="10"/>
      <x:c r="C519" s="10"/>
      <x:c r="D519" s="10"/>
    </x:row>
    <x:row r="520" ht="14.25" customHeight="1">
      <x:c r="A520" s="10"/>
      <x:c r="B520" s="10"/>
      <x:c r="C520" s="10"/>
      <x:c r="D520" s="10"/>
    </x:row>
    <x:row r="521" ht="14.25" customHeight="1">
      <x:c r="A521" s="10"/>
      <x:c r="B521" s="10"/>
      <x:c r="C521" s="10"/>
      <x:c r="D521" s="10"/>
    </x:row>
    <x:row r="522" ht="14.25" customHeight="1">
      <x:c r="A522" s="10"/>
      <x:c r="B522" s="10"/>
      <x:c r="C522" s="10"/>
      <x:c r="D522" s="10"/>
    </x:row>
    <x:row r="523" ht="14.25" customHeight="1">
      <x:c r="A523" s="10"/>
      <x:c r="B523" s="10"/>
      <x:c r="C523" s="10"/>
      <x:c r="D523" s="10"/>
    </x:row>
    <x:row r="524" ht="14.25" customHeight="1">
      <x:c r="A524" s="10"/>
      <x:c r="B524" s="10"/>
      <x:c r="C524" s="10"/>
      <x:c r="D524" s="10"/>
    </x:row>
    <x:row r="525" ht="14.25" customHeight="1">
      <x:c r="A525" s="10"/>
      <x:c r="B525" s="10"/>
      <x:c r="C525" s="10"/>
      <x:c r="D525" s="10"/>
    </x:row>
    <x:row r="526" ht="14.25" customHeight="1">
      <x:c r="A526" s="10"/>
      <x:c r="B526" s="10"/>
      <x:c r="C526" s="10"/>
      <x:c r="D526" s="10"/>
    </x:row>
    <x:row r="527" ht="14.25" customHeight="1">
      <x:c r="A527" s="10"/>
      <x:c r="B527" s="10"/>
      <x:c r="C527" s="10"/>
      <x:c r="D527" s="10"/>
    </x:row>
    <x:row r="528" ht="14.25" customHeight="1">
      <x:c r="A528" s="10"/>
      <x:c r="B528" s="10"/>
      <x:c r="C528" s="10"/>
      <x:c r="D528" s="10"/>
    </x:row>
    <x:row r="529" ht="14.25" customHeight="1">
      <x:c r="A529" s="10"/>
      <x:c r="B529" s="10"/>
      <x:c r="C529" s="10"/>
      <x:c r="D529" s="10"/>
    </x:row>
    <x:row r="530" ht="14.25" customHeight="1">
      <x:c r="A530" s="10"/>
      <x:c r="B530" s="10"/>
      <x:c r="C530" s="10"/>
      <x:c r="D530" s="10"/>
    </x:row>
    <x:row r="531" ht="14.25" customHeight="1">
      <x:c r="A531" s="10"/>
      <x:c r="B531" s="10"/>
      <x:c r="C531" s="10"/>
      <x:c r="D531" s="10"/>
    </x:row>
    <x:row r="532" ht="14.25" customHeight="1">
      <x:c r="A532" s="10"/>
      <x:c r="B532" s="10"/>
      <x:c r="C532" s="10"/>
      <x:c r="D532" s="10"/>
    </x:row>
    <x:row r="533" ht="14.25" customHeight="1">
      <x:c r="A533" s="10"/>
      <x:c r="B533" s="10"/>
      <x:c r="C533" s="10"/>
      <x:c r="D533" s="10"/>
    </x:row>
    <x:row r="534" ht="14.25" customHeight="1">
      <x:c r="A534" s="10"/>
      <x:c r="B534" s="10"/>
      <x:c r="C534" s="10"/>
      <x:c r="D534" s="10"/>
    </x:row>
    <x:row r="535" ht="14.25" customHeight="1">
      <x:c r="A535" s="10"/>
      <x:c r="B535" s="10"/>
      <x:c r="C535" s="10"/>
      <x:c r="D535" s="10"/>
    </x:row>
    <x:row r="536" ht="14.25" customHeight="1">
      <x:c r="A536" s="10"/>
      <x:c r="B536" s="10"/>
      <x:c r="C536" s="10"/>
      <x:c r="D536" s="10"/>
    </x:row>
    <x:row r="537" ht="14.25" customHeight="1">
      <x:c r="A537" s="10"/>
      <x:c r="B537" s="10"/>
      <x:c r="C537" s="10"/>
      <x:c r="D537" s="10"/>
    </x:row>
    <x:row r="538" ht="14.25" customHeight="1">
      <x:c r="A538" s="10"/>
      <x:c r="B538" s="10"/>
      <x:c r="C538" s="10"/>
      <x:c r="D538" s="10"/>
    </x:row>
    <x:row r="539" ht="14.25" customHeight="1">
      <x:c r="A539" s="10"/>
      <x:c r="B539" s="10"/>
      <x:c r="C539" s="10"/>
      <x:c r="D539" s="10"/>
    </x:row>
    <x:row r="540" ht="14.25" customHeight="1">
      <x:c r="A540" s="10"/>
      <x:c r="B540" s="10"/>
      <x:c r="C540" s="10"/>
      <x:c r="D540" s="10"/>
    </x:row>
    <x:row r="541" ht="14.25" customHeight="1">
      <x:c r="A541" s="10"/>
      <x:c r="B541" s="10"/>
      <x:c r="C541" s="10"/>
      <x:c r="D541" s="10"/>
    </x:row>
    <x:row r="542" ht="14.25" customHeight="1">
      <x:c r="A542" s="10"/>
      <x:c r="B542" s="10"/>
      <x:c r="C542" s="10"/>
      <x:c r="D542" s="10"/>
    </x:row>
    <x:row r="543" ht="14.25" customHeight="1">
      <x:c r="A543" s="10"/>
      <x:c r="B543" s="10"/>
      <x:c r="C543" s="10"/>
      <x:c r="D543" s="10"/>
    </x:row>
    <x:row r="544" ht="14.25" customHeight="1">
      <x:c r="A544" s="10"/>
      <x:c r="B544" s="10"/>
      <x:c r="C544" s="10"/>
      <x:c r="D544" s="10"/>
    </x:row>
    <x:row r="545" ht="14.25" customHeight="1">
      <x:c r="A545" s="10"/>
      <x:c r="B545" s="10"/>
      <x:c r="C545" s="10"/>
      <x:c r="D545" s="10"/>
    </x:row>
    <x:row r="546" ht="14.25" customHeight="1">
      <x:c r="A546" s="10"/>
      <x:c r="B546" s="10"/>
      <x:c r="C546" s="10"/>
      <x:c r="D546" s="10"/>
    </x:row>
    <x:row r="547" ht="14.25" customHeight="1">
      <x:c r="A547" s="10"/>
      <x:c r="B547" s="10"/>
      <x:c r="C547" s="10"/>
      <x:c r="D547" s="10"/>
    </x:row>
    <x:row r="548" ht="14.25" customHeight="1">
      <x:c r="A548" s="10"/>
      <x:c r="B548" s="10"/>
      <x:c r="C548" s="10"/>
      <x:c r="D548" s="10"/>
    </x:row>
    <x:row r="549" ht="14.25" customHeight="1">
      <x:c r="A549" s="10"/>
      <x:c r="B549" s="10"/>
      <x:c r="C549" s="10"/>
      <x:c r="D549" s="10"/>
    </x:row>
    <x:row r="550" ht="14.25" customHeight="1">
      <x:c r="A550" s="10"/>
      <x:c r="B550" s="10"/>
      <x:c r="C550" s="10"/>
      <x:c r="D550" s="10"/>
    </x:row>
    <x:row r="551" ht="14.25" customHeight="1">
      <x:c r="A551" s="10"/>
      <x:c r="B551" s="10"/>
      <x:c r="C551" s="10"/>
      <x:c r="D551" s="10"/>
    </x:row>
    <x:row r="552" ht="14.25" customHeight="1">
      <x:c r="A552" s="10"/>
      <x:c r="B552" s="10"/>
      <x:c r="C552" s="10"/>
      <x:c r="D552" s="10"/>
    </x:row>
    <x:row r="553" ht="14.25" customHeight="1">
      <x:c r="A553" s="10"/>
      <x:c r="B553" s="10"/>
      <x:c r="C553" s="10"/>
      <x:c r="D553" s="10"/>
    </x:row>
    <x:row r="554" ht="14.25" customHeight="1">
      <x:c r="A554" s="10"/>
      <x:c r="B554" s="10"/>
      <x:c r="C554" s="10"/>
      <x:c r="D554" s="10"/>
    </x:row>
    <x:row r="555" ht="14.25" customHeight="1">
      <x:c r="A555" s="10"/>
      <x:c r="B555" s="10"/>
      <x:c r="C555" s="10"/>
      <x:c r="D555" s="10"/>
    </x:row>
    <x:row r="556" ht="14.25" customHeight="1">
      <x:c r="A556" s="10"/>
      <x:c r="B556" s="10"/>
      <x:c r="C556" s="10"/>
      <x:c r="D556" s="10"/>
    </x:row>
    <x:row r="557" ht="14.25" customHeight="1">
      <x:c r="A557" s="10"/>
      <x:c r="B557" s="10"/>
      <x:c r="C557" s="10"/>
      <x:c r="D557" s="10"/>
    </x:row>
    <x:row r="558" ht="14.25" customHeight="1">
      <x:c r="A558" s="10"/>
      <x:c r="B558" s="10"/>
      <x:c r="C558" s="10"/>
      <x:c r="D558" s="10"/>
    </x:row>
    <x:row r="559" ht="14.25" customHeight="1">
      <x:c r="A559" s="10"/>
      <x:c r="B559" s="10"/>
      <x:c r="C559" s="10"/>
      <x:c r="D559" s="10"/>
    </x:row>
    <x:row r="560" ht="14.25" customHeight="1">
      <x:c r="A560" s="10"/>
      <x:c r="B560" s="10"/>
      <x:c r="C560" s="10"/>
      <x:c r="D560" s="10"/>
    </x:row>
    <x:row r="561" ht="14.25" customHeight="1">
      <x:c r="A561" s="10"/>
      <x:c r="B561" s="10"/>
      <x:c r="C561" s="10"/>
      <x:c r="D561" s="10"/>
    </x:row>
    <x:row r="562" ht="14.25" customHeight="1">
      <x:c r="A562" s="10"/>
      <x:c r="B562" s="10"/>
      <x:c r="C562" s="10"/>
      <x:c r="D562" s="10"/>
    </x:row>
    <x:row r="563" ht="14.25" customHeight="1">
      <x:c r="A563" s="10"/>
      <x:c r="B563" s="10"/>
      <x:c r="C563" s="10"/>
      <x:c r="D563" s="10"/>
    </x:row>
    <x:row r="564" ht="14.25" customHeight="1">
      <x:c r="A564" s="10"/>
      <x:c r="B564" s="10"/>
      <x:c r="C564" s="10"/>
      <x:c r="D564" s="10"/>
    </x:row>
    <x:row r="565" ht="14.25" customHeight="1">
      <x:c r="A565" s="10"/>
      <x:c r="B565" s="10"/>
      <x:c r="C565" s="10"/>
      <x:c r="D565" s="10"/>
    </x:row>
    <x:row r="566" ht="14.25" customHeight="1">
      <x:c r="A566" s="10"/>
      <x:c r="B566" s="10"/>
      <x:c r="C566" s="10"/>
      <x:c r="D566" s="10"/>
    </x:row>
    <x:row r="567" ht="14.25" customHeight="1">
      <x:c r="A567" s="10"/>
      <x:c r="B567" s="10"/>
      <x:c r="C567" s="10"/>
      <x:c r="D567" s="10"/>
    </x:row>
    <x:row r="568" ht="14.25" customHeight="1">
      <x:c r="A568" s="10"/>
      <x:c r="B568" s="10"/>
      <x:c r="C568" s="10"/>
      <x:c r="D568" s="10"/>
    </x:row>
    <x:row r="569" ht="14.25" customHeight="1">
      <x:c r="A569" s="10"/>
      <x:c r="B569" s="10"/>
      <x:c r="C569" s="10"/>
      <x:c r="D569" s="10"/>
    </x:row>
    <x:row r="570" ht="14.25" customHeight="1">
      <x:c r="A570" s="10"/>
      <x:c r="B570" s="10"/>
      <x:c r="C570" s="10"/>
      <x:c r="D570" s="10"/>
    </x:row>
    <x:row r="571" ht="14.25" customHeight="1">
      <x:c r="A571" s="10"/>
      <x:c r="B571" s="10"/>
      <x:c r="C571" s="10"/>
      <x:c r="D571" s="10"/>
    </x:row>
    <x:row r="572" ht="14.25" customHeight="1">
      <x:c r="A572" s="10"/>
      <x:c r="B572" s="10"/>
      <x:c r="C572" s="10"/>
      <x:c r="D572" s="10"/>
    </x:row>
    <x:row r="573" ht="14.25" customHeight="1">
      <x:c r="A573" s="10"/>
      <x:c r="B573" s="10"/>
      <x:c r="C573" s="10"/>
      <x:c r="D573" s="10"/>
    </x:row>
    <x:row r="574" ht="14.25" customHeight="1">
      <x:c r="A574" s="10"/>
      <x:c r="B574" s="10"/>
      <x:c r="C574" s="10"/>
      <x:c r="D574" s="10"/>
    </x:row>
    <x:row r="575" ht="14.25" customHeight="1">
      <x:c r="A575" s="10"/>
      <x:c r="B575" s="10"/>
      <x:c r="C575" s="10"/>
      <x:c r="D575" s="10"/>
    </x:row>
    <x:row r="576" ht="14.25" customHeight="1">
      <x:c r="A576" s="10"/>
      <x:c r="B576" s="10"/>
      <x:c r="C576" s="10"/>
      <x:c r="D576" s="10"/>
    </x:row>
    <x:row r="577" ht="14.25" customHeight="1">
      <x:c r="A577" s="10"/>
      <x:c r="B577" s="10"/>
      <x:c r="C577" s="10"/>
      <x:c r="D577" s="10"/>
    </x:row>
    <x:row r="578" ht="14.25" customHeight="1">
      <x:c r="A578" s="10"/>
      <x:c r="B578" s="10"/>
      <x:c r="C578" s="10"/>
      <x:c r="D578" s="10"/>
    </x:row>
    <x:row r="579" ht="14.25" customHeight="1">
      <x:c r="A579" s="10"/>
      <x:c r="B579" s="10"/>
      <x:c r="C579" s="10"/>
      <x:c r="D579" s="10"/>
    </x:row>
    <x:row r="580" ht="14.25" customHeight="1">
      <x:c r="A580" s="10"/>
      <x:c r="B580" s="10"/>
      <x:c r="C580" s="10"/>
      <x:c r="D580" s="10"/>
    </x:row>
    <x:row r="581" ht="14.25" customHeight="1">
      <x:c r="A581" s="10"/>
      <x:c r="B581" s="10"/>
      <x:c r="C581" s="10"/>
      <x:c r="D581" s="10"/>
    </x:row>
    <x:row r="582" ht="14.25" customHeight="1">
      <x:c r="A582" s="10"/>
      <x:c r="B582" s="10"/>
      <x:c r="C582" s="10"/>
      <x:c r="D582" s="10"/>
    </x:row>
    <x:row r="583" ht="14.25" customHeight="1">
      <x:c r="A583" s="10"/>
      <x:c r="B583" s="10"/>
      <x:c r="C583" s="10"/>
      <x:c r="D583" s="10"/>
    </x:row>
    <x:row r="584" ht="14.25" customHeight="1">
      <x:c r="A584" s="10"/>
      <x:c r="B584" s="10"/>
      <x:c r="C584" s="10"/>
      <x:c r="D584" s="10"/>
    </x:row>
    <x:row r="585" ht="14.25" customHeight="1">
      <x:c r="A585" s="10"/>
      <x:c r="B585" s="10"/>
      <x:c r="C585" s="10"/>
      <x:c r="D585" s="10"/>
    </x:row>
    <x:row r="586" ht="14.25" customHeight="1">
      <x:c r="A586" s="10"/>
      <x:c r="B586" s="10"/>
      <x:c r="C586" s="10"/>
      <x:c r="D586" s="10"/>
    </x:row>
    <x:row r="587" ht="14.25" customHeight="1">
      <x:c r="A587" s="10"/>
      <x:c r="B587" s="10"/>
      <x:c r="C587" s="10"/>
      <x:c r="D587" s="10"/>
    </x:row>
    <x:row r="588" ht="14.25" customHeight="1">
      <x:c r="A588" s="10"/>
      <x:c r="B588" s="10"/>
      <x:c r="C588" s="10"/>
      <x:c r="D588" s="10"/>
    </x:row>
    <x:row r="589" ht="14.25" customHeight="1">
      <x:c r="A589" s="10"/>
      <x:c r="B589" s="10"/>
      <x:c r="C589" s="10"/>
      <x:c r="D589" s="10"/>
    </x:row>
    <x:row r="590" ht="14.25" customHeight="1">
      <x:c r="A590" s="10"/>
      <x:c r="B590" s="10"/>
      <x:c r="C590" s="10"/>
      <x:c r="D590" s="10"/>
    </x:row>
    <x:row r="591" ht="14.25" customHeight="1">
      <x:c r="A591" s="10"/>
      <x:c r="B591" s="10"/>
      <x:c r="C591" s="10"/>
      <x:c r="D591" s="10"/>
    </x:row>
    <x:row r="592" ht="14.25" customHeight="1">
      <x:c r="A592" s="10"/>
      <x:c r="B592" s="10"/>
      <x:c r="C592" s="10"/>
      <x:c r="D592" s="10"/>
    </x:row>
    <x:row r="593" ht="14.25" customHeight="1">
      <x:c r="A593" s="10"/>
      <x:c r="B593" s="10"/>
      <x:c r="C593" s="10"/>
      <x:c r="D593" s="10"/>
    </x:row>
    <x:row r="594" ht="14.25" customHeight="1">
      <x:c r="A594" s="10"/>
      <x:c r="B594" s="10"/>
      <x:c r="C594" s="10"/>
      <x:c r="D594" s="10"/>
    </x:row>
    <x:row r="595" ht="14.25" customHeight="1">
      <x:c r="A595" s="10"/>
      <x:c r="B595" s="10"/>
      <x:c r="C595" s="10"/>
      <x:c r="D595" s="10"/>
    </x:row>
    <x:row r="596" ht="14.25" customHeight="1">
      <x:c r="A596" s="10"/>
      <x:c r="B596" s="10"/>
      <x:c r="C596" s="10"/>
      <x:c r="D596" s="10"/>
    </x:row>
    <x:row r="597" ht="14.25" customHeight="1">
      <x:c r="A597" s="10"/>
      <x:c r="B597" s="10"/>
      <x:c r="C597" s="10"/>
      <x:c r="D597" s="10"/>
    </x:row>
    <x:row r="598" ht="14.25" customHeight="1">
      <x:c r="A598" s="10"/>
      <x:c r="B598" s="10"/>
      <x:c r="C598" s="10"/>
      <x:c r="D598" s="10"/>
    </x:row>
    <x:row r="599" ht="14.25" customHeight="1">
      <x:c r="A599" s="10"/>
      <x:c r="B599" s="10"/>
      <x:c r="C599" s="10"/>
      <x:c r="D599" s="10"/>
    </x:row>
    <x:row r="600" ht="14.25" customHeight="1">
      <x:c r="A600" s="10"/>
      <x:c r="B600" s="10"/>
      <x:c r="C600" s="10"/>
      <x:c r="D600" s="10"/>
    </x:row>
    <x:row r="601" ht="14.25" customHeight="1">
      <x:c r="A601" s="10"/>
      <x:c r="B601" s="10"/>
      <x:c r="C601" s="10"/>
      <x:c r="D601" s="10"/>
    </x:row>
    <x:row r="602" ht="14.25" customHeight="1">
      <x:c r="A602" s="10"/>
      <x:c r="B602" s="10"/>
      <x:c r="C602" s="10"/>
      <x:c r="D602" s="10"/>
    </x:row>
    <x:row r="603" ht="14.25" customHeight="1">
      <x:c r="A603" s="10"/>
      <x:c r="B603" s="10"/>
      <x:c r="C603" s="10"/>
      <x:c r="D603" s="10"/>
    </x:row>
    <x:row r="604" ht="14.25" customHeight="1">
      <x:c r="A604" s="10"/>
      <x:c r="B604" s="10"/>
      <x:c r="C604" s="10"/>
      <x:c r="D604" s="10"/>
    </x:row>
    <x:row r="605" ht="14.25" customHeight="1">
      <x:c r="A605" s="10"/>
      <x:c r="B605" s="10"/>
      <x:c r="C605" s="10"/>
      <x:c r="D605" s="10"/>
    </x:row>
    <x:row r="606" ht="14.25" customHeight="1">
      <x:c r="A606" s="10"/>
      <x:c r="B606" s="10"/>
      <x:c r="C606" s="10"/>
      <x:c r="D606" s="10"/>
    </x:row>
    <x:row r="607" ht="14.25" customHeight="1">
      <x:c r="A607" s="10"/>
      <x:c r="B607" s="10"/>
      <x:c r="C607" s="10"/>
      <x:c r="D607" s="10"/>
    </x:row>
    <x:row r="608" ht="14.25" customHeight="1">
      <x:c r="A608" s="10"/>
      <x:c r="B608" s="10"/>
      <x:c r="C608" s="10"/>
      <x:c r="D608" s="10"/>
    </x:row>
    <x:row r="609" ht="14.25" customHeight="1">
      <x:c r="A609" s="10"/>
      <x:c r="B609" s="10"/>
      <x:c r="C609" s="10"/>
      <x:c r="D609" s="10"/>
    </x:row>
    <x:row r="610" ht="14.25" customHeight="1">
      <x:c r="A610" s="10"/>
      <x:c r="B610" s="10"/>
      <x:c r="C610" s="10"/>
      <x:c r="D610" s="10"/>
    </x:row>
    <x:row r="611" ht="14.25" customHeight="1">
      <x:c r="A611" s="10"/>
      <x:c r="B611" s="10"/>
      <x:c r="C611" s="10"/>
      <x:c r="D611" s="10"/>
    </x:row>
    <x:row r="612" ht="14.25" customHeight="1">
      <x:c r="A612" s="10"/>
      <x:c r="B612" s="10"/>
      <x:c r="C612" s="10"/>
      <x:c r="D612" s="10"/>
    </x:row>
    <x:row r="613" ht="14.25" customHeight="1">
      <x:c r="A613" s="10"/>
      <x:c r="B613" s="10"/>
      <x:c r="C613" s="10"/>
      <x:c r="D613" s="10"/>
    </x:row>
    <x:row r="614" ht="14.25" customHeight="1">
      <x:c r="A614" s="10"/>
      <x:c r="B614" s="10"/>
      <x:c r="C614" s="10"/>
      <x:c r="D614" s="10"/>
    </x:row>
    <x:row r="615" ht="14.25" customHeight="1">
      <x:c r="A615" s="10"/>
      <x:c r="B615" s="10"/>
      <x:c r="C615" s="10"/>
      <x:c r="D615" s="10"/>
    </x:row>
    <x:row r="616" ht="14.25" customHeight="1">
      <x:c r="A616" s="10"/>
      <x:c r="B616" s="10"/>
      <x:c r="C616" s="10"/>
      <x:c r="D616" s="10"/>
    </x:row>
    <x:row r="617" ht="14.25" customHeight="1">
      <x:c r="A617" s="10"/>
      <x:c r="B617" s="10"/>
      <x:c r="C617" s="10"/>
      <x:c r="D617" s="10"/>
    </x:row>
    <x:row r="618" ht="14.25" customHeight="1">
      <x:c r="A618" s="10"/>
      <x:c r="B618" s="10"/>
      <x:c r="C618" s="10"/>
      <x:c r="D618" s="10"/>
    </x:row>
    <x:row r="619" ht="14.25" customHeight="1">
      <x:c r="A619" s="10"/>
      <x:c r="B619" s="10"/>
      <x:c r="C619" s="10"/>
      <x:c r="D619" s="10"/>
    </x:row>
    <x:row r="620" ht="14.25" customHeight="1">
      <x:c r="A620" s="10"/>
      <x:c r="B620" s="10"/>
      <x:c r="C620" s="10"/>
      <x:c r="D620" s="10"/>
    </x:row>
    <x:row r="621" ht="14.25" customHeight="1">
      <x:c r="A621" s="10"/>
      <x:c r="B621" s="10"/>
      <x:c r="C621" s="10"/>
      <x:c r="D621" s="10"/>
    </x:row>
    <x:row r="622" ht="14.25" customHeight="1">
      <x:c r="A622" s="10"/>
      <x:c r="B622" s="10"/>
      <x:c r="C622" s="10"/>
      <x:c r="D622" s="10"/>
    </x:row>
    <x:row r="623" ht="14.25" customHeight="1">
      <x:c r="A623" s="10"/>
      <x:c r="B623" s="10"/>
      <x:c r="C623" s="10"/>
      <x:c r="D623" s="10"/>
    </x:row>
    <x:row r="624" ht="14.25" customHeight="1">
      <x:c r="A624" s="10"/>
      <x:c r="B624" s="10"/>
      <x:c r="C624" s="10"/>
      <x:c r="D624" s="10"/>
    </x:row>
    <x:row r="625" ht="14.25" customHeight="1">
      <x:c r="A625" s="10"/>
      <x:c r="B625" s="10"/>
      <x:c r="C625" s="10"/>
      <x:c r="D625" s="10"/>
    </x:row>
    <x:row r="626" ht="14.25" customHeight="1">
      <x:c r="A626" s="10"/>
      <x:c r="B626" s="10"/>
      <x:c r="C626" s="10"/>
      <x:c r="D626" s="10"/>
    </x:row>
    <x:row r="627" ht="14.25" customHeight="1">
      <x:c r="A627" s="10"/>
      <x:c r="B627" s="10"/>
      <x:c r="C627" s="10"/>
      <x:c r="D627" s="10"/>
    </x:row>
    <x:row r="628" ht="14.25" customHeight="1">
      <x:c r="A628" s="10"/>
      <x:c r="B628" s="10"/>
      <x:c r="C628" s="10"/>
      <x:c r="D628" s="10"/>
    </x:row>
    <x:row r="629" ht="14.25" customHeight="1">
      <x:c r="A629" s="10"/>
      <x:c r="B629" s="10"/>
      <x:c r="C629" s="10"/>
      <x:c r="D629" s="10"/>
    </x:row>
    <x:row r="630" ht="14.25" customHeight="1">
      <x:c r="A630" s="10"/>
      <x:c r="B630" s="10"/>
      <x:c r="C630" s="10"/>
      <x:c r="D630" s="10"/>
    </x:row>
    <x:row r="631" ht="14.25" customHeight="1">
      <x:c r="A631" s="10"/>
      <x:c r="B631" s="10"/>
      <x:c r="C631" s="10"/>
      <x:c r="D631" s="10"/>
    </x:row>
    <x:row r="632" ht="14.25" customHeight="1">
      <x:c r="A632" s="10"/>
      <x:c r="B632" s="10"/>
      <x:c r="C632" s="10"/>
      <x:c r="D632" s="10"/>
    </x:row>
    <x:row r="633" ht="14.25" customHeight="1">
      <x:c r="A633" s="10"/>
      <x:c r="B633" s="10"/>
      <x:c r="C633" s="10"/>
      <x:c r="D633" s="10"/>
    </x:row>
    <x:row r="634" ht="14.25" customHeight="1">
      <x:c r="A634" s="10"/>
      <x:c r="B634" s="10"/>
      <x:c r="C634" s="10"/>
      <x:c r="D634" s="10"/>
    </x:row>
    <x:row r="635" ht="14.25" customHeight="1">
      <x:c r="A635" s="10"/>
      <x:c r="B635" s="10"/>
      <x:c r="C635" s="10"/>
      <x:c r="D635" s="10"/>
    </x:row>
    <x:row r="636" ht="14.25" customHeight="1">
      <x:c r="A636" s="10"/>
      <x:c r="B636" s="10"/>
      <x:c r="C636" s="10"/>
      <x:c r="D636" s="10"/>
    </x:row>
    <x:row r="637" ht="14.25" customHeight="1">
      <x:c r="A637" s="10"/>
      <x:c r="B637" s="10"/>
      <x:c r="C637" s="10"/>
      <x:c r="D637" s="10"/>
    </x:row>
    <x:row r="638" ht="14.25" customHeight="1">
      <x:c r="A638" s="10"/>
      <x:c r="B638" s="10"/>
      <x:c r="C638" s="10"/>
      <x:c r="D638" s="10"/>
    </x:row>
    <x:row r="639" ht="14.25" customHeight="1">
      <x:c r="A639" s="10"/>
      <x:c r="B639" s="10"/>
      <x:c r="C639" s="10"/>
      <x:c r="D639" s="10"/>
    </x:row>
    <x:row r="640" ht="14.25" customHeight="1">
      <x:c r="A640" s="10"/>
      <x:c r="B640" s="10"/>
      <x:c r="C640" s="10"/>
      <x:c r="D640" s="10"/>
    </x:row>
    <x:row r="641" ht="14.25" customHeight="1">
      <x:c r="A641" s="10"/>
      <x:c r="B641" s="10"/>
      <x:c r="C641" s="10"/>
      <x:c r="D641" s="10"/>
    </x:row>
    <x:row r="642" ht="14.25" customHeight="1">
      <x:c r="A642" s="10"/>
      <x:c r="B642" s="10"/>
      <x:c r="C642" s="10"/>
      <x:c r="D642" s="10"/>
    </x:row>
    <x:row r="643" ht="14.25" customHeight="1">
      <x:c r="A643" s="10"/>
      <x:c r="B643" s="10"/>
      <x:c r="C643" s="10"/>
      <x:c r="D643" s="10"/>
    </x:row>
    <x:row r="644" ht="14.25" customHeight="1">
      <x:c r="A644" s="10"/>
      <x:c r="B644" s="10"/>
      <x:c r="C644" s="10"/>
      <x:c r="D644" s="10"/>
    </x:row>
    <x:row r="645" ht="14.25" customHeight="1">
      <x:c r="A645" s="10"/>
      <x:c r="B645" s="10"/>
      <x:c r="C645" s="10"/>
      <x:c r="D645" s="10"/>
    </x:row>
    <x:row r="646" ht="14.25" customHeight="1">
      <x:c r="A646" s="10"/>
      <x:c r="B646" s="10"/>
      <x:c r="C646" s="10"/>
      <x:c r="D646" s="10"/>
    </x:row>
    <x:row r="647" ht="14.25" customHeight="1">
      <x:c r="A647" s="10"/>
      <x:c r="B647" s="10"/>
      <x:c r="C647" s="10"/>
      <x:c r="D647" s="10"/>
    </x:row>
    <x:row r="648" ht="14.25" customHeight="1">
      <x:c r="A648" s="10"/>
      <x:c r="B648" s="10"/>
      <x:c r="C648" s="10"/>
      <x:c r="D648" s="10"/>
    </x:row>
    <x:row r="649" ht="14.25" customHeight="1">
      <x:c r="A649" s="10"/>
      <x:c r="B649" s="10"/>
      <x:c r="C649" s="10"/>
      <x:c r="D649" s="10"/>
    </x:row>
    <x:row r="650" ht="14.25" customHeight="1">
      <x:c r="A650" s="10"/>
      <x:c r="B650" s="10"/>
      <x:c r="C650" s="10"/>
      <x:c r="D650" s="10"/>
    </x:row>
    <x:row r="651" ht="14.25" customHeight="1">
      <x:c r="A651" s="10"/>
      <x:c r="B651" s="10"/>
      <x:c r="C651" s="10"/>
      <x:c r="D651" s="10"/>
    </x:row>
    <x:row r="652" ht="14.25" customHeight="1">
      <x:c r="A652" s="10"/>
      <x:c r="B652" s="10"/>
      <x:c r="C652" s="10"/>
      <x:c r="D652" s="10"/>
    </x:row>
    <x:row r="653" ht="14.25" customHeight="1">
      <x:c r="A653" s="10"/>
      <x:c r="B653" s="10"/>
      <x:c r="C653" s="10"/>
      <x:c r="D653" s="10"/>
    </x:row>
    <x:row r="654" ht="14.25" customHeight="1">
      <x:c r="A654" s="10"/>
      <x:c r="B654" s="10"/>
      <x:c r="C654" s="10"/>
      <x:c r="D654" s="10"/>
    </x:row>
    <x:row r="655" ht="14.25" customHeight="1">
      <x:c r="A655" s="10"/>
      <x:c r="B655" s="10"/>
      <x:c r="C655" s="10"/>
      <x:c r="D655" s="10"/>
    </x:row>
    <x:row r="656" ht="14.25" customHeight="1">
      <x:c r="A656" s="10"/>
      <x:c r="B656" s="10"/>
      <x:c r="C656" s="10"/>
      <x:c r="D656" s="10"/>
    </x:row>
    <x:row r="657" ht="14.25" customHeight="1">
      <x:c r="A657" s="10"/>
      <x:c r="B657" s="10"/>
      <x:c r="C657" s="10"/>
      <x:c r="D657" s="10"/>
    </x:row>
    <x:row r="658" ht="14.25" customHeight="1">
      <x:c r="A658" s="10"/>
      <x:c r="B658" s="10"/>
      <x:c r="C658" s="10"/>
      <x:c r="D658" s="10"/>
    </x:row>
    <x:row r="659" ht="14.25" customHeight="1">
      <x:c r="A659" s="10"/>
      <x:c r="B659" s="10"/>
      <x:c r="C659" s="10"/>
      <x:c r="D659" s="10"/>
    </x:row>
    <x:row r="660" ht="14.25" customHeight="1">
      <x:c r="A660" s="10"/>
      <x:c r="B660" s="10"/>
      <x:c r="C660" s="10"/>
      <x:c r="D660" s="10"/>
    </x:row>
    <x:row r="661" ht="14.25" customHeight="1">
      <x:c r="A661" s="10"/>
      <x:c r="B661" s="10"/>
      <x:c r="C661" s="10"/>
      <x:c r="D661" s="10"/>
    </x:row>
    <x:row r="662" ht="14.25" customHeight="1">
      <x:c r="A662" s="10"/>
      <x:c r="B662" s="10"/>
      <x:c r="C662" s="10"/>
      <x:c r="D662" s="10"/>
    </x:row>
    <x:row r="663" ht="14.25" customHeight="1">
      <x:c r="A663" s="10"/>
      <x:c r="B663" s="10"/>
      <x:c r="C663" s="10"/>
      <x:c r="D663" s="10"/>
    </x:row>
    <x:row r="664" ht="14.25" customHeight="1">
      <x:c r="A664" s="10"/>
      <x:c r="B664" s="10"/>
      <x:c r="C664" s="10"/>
      <x:c r="D664" s="10"/>
    </x:row>
    <x:row r="665" ht="14.25" customHeight="1">
      <x:c r="A665" s="10"/>
      <x:c r="B665" s="10"/>
      <x:c r="C665" s="10"/>
      <x:c r="D665" s="10"/>
    </x:row>
    <x:row r="666" ht="14.25" customHeight="1">
      <x:c r="A666" s="10"/>
      <x:c r="B666" s="10"/>
      <x:c r="C666" s="10"/>
      <x:c r="D666" s="10"/>
    </x:row>
    <x:row r="667" ht="14.25" customHeight="1">
      <x:c r="A667" s="10"/>
      <x:c r="B667" s="10"/>
      <x:c r="C667" s="10"/>
      <x:c r="D667" s="10"/>
    </x:row>
    <x:row r="668" ht="14.25" customHeight="1">
      <x:c r="A668" s="10"/>
      <x:c r="B668" s="10"/>
      <x:c r="C668" s="10"/>
      <x:c r="D668" s="10"/>
    </x:row>
    <x:row r="669" ht="14.25" customHeight="1">
      <x:c r="A669" s="10"/>
      <x:c r="B669" s="10"/>
      <x:c r="C669" s="10"/>
      <x:c r="D669" s="10"/>
    </x:row>
    <x:row r="670" ht="14.25" customHeight="1">
      <x:c r="A670" s="10"/>
      <x:c r="B670" s="10"/>
      <x:c r="C670" s="10"/>
      <x:c r="D670" s="10"/>
    </x:row>
    <x:row r="671" ht="14.25" customHeight="1">
      <x:c r="A671" s="10"/>
      <x:c r="B671" s="10"/>
      <x:c r="C671" s="10"/>
      <x:c r="D671" s="10"/>
    </x:row>
    <x:row r="672" ht="14.25" customHeight="1">
      <x:c r="A672" s="10"/>
      <x:c r="B672" s="10"/>
      <x:c r="C672" s="10"/>
      <x:c r="D672" s="10"/>
    </x:row>
    <x:row r="673" ht="14.25" customHeight="1">
      <x:c r="A673" s="10"/>
      <x:c r="B673" s="10"/>
      <x:c r="C673" s="10"/>
      <x:c r="D673" s="10"/>
    </x:row>
    <x:row r="674" ht="14.25" customHeight="1">
      <x:c r="A674" s="10"/>
      <x:c r="B674" s="10"/>
      <x:c r="C674" s="10"/>
      <x:c r="D674" s="10"/>
    </x:row>
    <x:row r="675" ht="14.25" customHeight="1">
      <x:c r="A675" s="10"/>
      <x:c r="B675" s="10"/>
      <x:c r="C675" s="10"/>
      <x:c r="D675" s="10"/>
    </x:row>
    <x:row r="676" ht="14.25" customHeight="1">
      <x:c r="A676" s="10"/>
      <x:c r="B676" s="10"/>
      <x:c r="C676" s="10"/>
      <x:c r="D676" s="10"/>
    </x:row>
    <x:row r="677" ht="14.25" customHeight="1">
      <x:c r="A677" s="10"/>
      <x:c r="B677" s="10"/>
      <x:c r="C677" s="10"/>
      <x:c r="D677" s="10"/>
    </x:row>
    <x:row r="678" ht="14.25" customHeight="1">
      <x:c r="A678" s="10"/>
      <x:c r="B678" s="10"/>
      <x:c r="C678" s="10"/>
      <x:c r="D678" s="10"/>
    </x:row>
    <x:row r="679" ht="14.25" customHeight="1">
      <x:c r="A679" s="10"/>
      <x:c r="B679" s="10"/>
      <x:c r="C679" s="10"/>
      <x:c r="D679" s="10"/>
    </x:row>
    <x:row r="680" ht="14.25" customHeight="1">
      <x:c r="A680" s="10"/>
      <x:c r="B680" s="10"/>
      <x:c r="C680" s="10"/>
      <x:c r="D680" s="10"/>
    </x:row>
    <x:row r="681" ht="14.25" customHeight="1">
      <x:c r="A681" s="10"/>
      <x:c r="B681" s="10"/>
      <x:c r="C681" s="10"/>
      <x:c r="D681" s="10"/>
    </x:row>
    <x:row r="682" ht="14.25" customHeight="1">
      <x:c r="A682" s="10"/>
      <x:c r="B682" s="10"/>
      <x:c r="C682" s="10"/>
      <x:c r="D682" s="10"/>
    </x:row>
    <x:row r="683" ht="14.25" customHeight="1">
      <x:c r="A683" s="10"/>
      <x:c r="B683" s="10"/>
      <x:c r="C683" s="10"/>
      <x:c r="D683" s="10"/>
    </x:row>
    <x:row r="684" ht="14.25" customHeight="1">
      <x:c r="A684" s="10"/>
      <x:c r="B684" s="10"/>
      <x:c r="C684" s="10"/>
      <x:c r="D684" s="10"/>
    </x:row>
    <x:row r="685" ht="14.25" customHeight="1">
      <x:c r="A685" s="10"/>
      <x:c r="B685" s="10"/>
      <x:c r="C685" s="10"/>
      <x:c r="D685" s="10"/>
    </x:row>
    <x:row r="686" ht="14.25" customHeight="1">
      <x:c r="A686" s="10"/>
      <x:c r="B686" s="10"/>
      <x:c r="C686" s="10"/>
      <x:c r="D686" s="10"/>
    </x:row>
    <x:row r="687" ht="14.25" customHeight="1">
      <x:c r="A687" s="10"/>
      <x:c r="B687" s="10"/>
      <x:c r="C687" s="10"/>
      <x:c r="D687" s="10"/>
    </x:row>
    <x:row r="688" ht="14.25" customHeight="1">
      <x:c r="A688" s="10"/>
      <x:c r="B688" s="10"/>
      <x:c r="C688" s="10"/>
      <x:c r="D688" s="10"/>
    </x:row>
    <x:row r="689" ht="14.25" customHeight="1">
      <x:c r="A689" s="10"/>
      <x:c r="B689" s="10"/>
      <x:c r="C689" s="10"/>
      <x:c r="D689" s="10"/>
    </x:row>
    <x:row r="690" ht="14.25" customHeight="1">
      <x:c r="A690" s="10"/>
      <x:c r="B690" s="10"/>
      <x:c r="C690" s="10"/>
      <x:c r="D690" s="10"/>
    </x:row>
    <x:row r="691" ht="14.25" customHeight="1">
      <x:c r="A691" s="10"/>
      <x:c r="B691" s="10"/>
      <x:c r="C691" s="10"/>
      <x:c r="D691" s="10"/>
    </x:row>
    <x:row r="692" ht="14.25" customHeight="1">
      <x:c r="A692" s="10"/>
      <x:c r="B692" s="10"/>
      <x:c r="C692" s="10"/>
      <x:c r="D692" s="10"/>
    </x:row>
    <x:row r="693" ht="14.25" customHeight="1">
      <x:c r="A693" s="10"/>
      <x:c r="B693" s="10"/>
      <x:c r="C693" s="10"/>
      <x:c r="D693" s="10"/>
    </x:row>
    <x:row r="694" ht="14.25" customHeight="1">
      <x:c r="A694" s="10"/>
      <x:c r="B694" s="10"/>
      <x:c r="C694" s="10"/>
      <x:c r="D694" s="10"/>
    </x:row>
    <x:row r="695" ht="14.25" customHeight="1">
      <x:c r="A695" s="10"/>
      <x:c r="B695" s="10"/>
      <x:c r="C695" s="10"/>
      <x:c r="D695" s="10"/>
    </x:row>
    <x:row r="696" ht="14.25" customHeight="1">
      <x:c r="A696" s="10"/>
      <x:c r="B696" s="10"/>
      <x:c r="C696" s="10"/>
      <x:c r="D696" s="10"/>
    </x:row>
    <x:row r="697" ht="14.25" customHeight="1">
      <x:c r="A697" s="10"/>
      <x:c r="B697" s="10"/>
      <x:c r="C697" s="10"/>
      <x:c r="D697" s="10"/>
    </x:row>
    <x:row r="698" ht="14.25" customHeight="1">
      <x:c r="A698" s="10"/>
      <x:c r="B698" s="10"/>
      <x:c r="C698" s="10"/>
      <x:c r="D698" s="10"/>
    </x:row>
    <x:row r="699" ht="14.25" customHeight="1">
      <x:c r="A699" s="10"/>
      <x:c r="B699" s="10"/>
      <x:c r="C699" s="10"/>
      <x:c r="D699" s="10"/>
    </x:row>
    <x:row r="700" ht="14.25" customHeight="1">
      <x:c r="A700" s="10"/>
      <x:c r="B700" s="10"/>
      <x:c r="C700" s="10"/>
      <x:c r="D700" s="10"/>
    </x:row>
    <x:row r="701" ht="14.25" customHeight="1">
      <x:c r="A701" s="10"/>
      <x:c r="B701" s="10"/>
      <x:c r="C701" s="10"/>
      <x:c r="D701" s="10"/>
    </x:row>
    <x:row r="702" ht="14.25" customHeight="1">
      <x:c r="A702" s="10"/>
      <x:c r="B702" s="10"/>
      <x:c r="C702" s="10"/>
      <x:c r="D702" s="10"/>
    </x:row>
    <x:row r="703" ht="14.25" customHeight="1">
      <x:c r="A703" s="10"/>
      <x:c r="B703" s="10"/>
      <x:c r="C703" s="10"/>
      <x:c r="D703" s="10"/>
    </x:row>
    <x:row r="704" ht="14.25" customHeight="1">
      <x:c r="A704" s="10"/>
      <x:c r="B704" s="10"/>
      <x:c r="C704" s="10"/>
      <x:c r="D704" s="10"/>
    </x:row>
    <x:row r="705" ht="14.25" customHeight="1">
      <x:c r="A705" s="10"/>
      <x:c r="B705" s="10"/>
      <x:c r="C705" s="10"/>
      <x:c r="D705" s="10"/>
    </x:row>
    <x:row r="706" ht="14.25" customHeight="1">
      <x:c r="A706" s="10"/>
      <x:c r="B706" s="10"/>
      <x:c r="C706" s="10"/>
      <x:c r="D706" s="10"/>
    </x:row>
    <x:row r="707" ht="14.25" customHeight="1">
      <x:c r="A707" s="10"/>
      <x:c r="B707" s="10"/>
      <x:c r="C707" s="10"/>
      <x:c r="D707" s="10"/>
    </x:row>
    <x:row r="708" ht="14.25" customHeight="1">
      <x:c r="A708" s="10"/>
      <x:c r="B708" s="10"/>
      <x:c r="C708" s="10"/>
      <x:c r="D708" s="10"/>
    </x:row>
    <x:row r="709" ht="14.25" customHeight="1">
      <x:c r="A709" s="10"/>
      <x:c r="B709" s="10"/>
      <x:c r="C709" s="10"/>
      <x:c r="D709" s="10"/>
    </x:row>
    <x:row r="710" ht="14.25" customHeight="1">
      <x:c r="A710" s="10"/>
      <x:c r="B710" s="10"/>
      <x:c r="C710" s="10"/>
      <x:c r="D710" s="10"/>
    </x:row>
    <x:row r="711" ht="14.25" customHeight="1">
      <x:c r="A711" s="10"/>
      <x:c r="B711" s="10"/>
      <x:c r="C711" s="10"/>
      <x:c r="D711" s="10"/>
    </x:row>
    <x:row r="712" ht="14.25" customHeight="1">
      <x:c r="A712" s="10"/>
      <x:c r="B712" s="10"/>
      <x:c r="C712" s="10"/>
      <x:c r="D712" s="10"/>
    </x:row>
    <x:row r="713" ht="14.25" customHeight="1">
      <x:c r="A713" s="10"/>
      <x:c r="B713" s="10"/>
      <x:c r="C713" s="10"/>
      <x:c r="D713" s="10"/>
    </x:row>
    <x:row r="714" ht="14.25" customHeight="1">
      <x:c r="A714" s="10"/>
      <x:c r="B714" s="10"/>
      <x:c r="C714" s="10"/>
      <x:c r="D714" s="10"/>
    </x:row>
    <x:row r="715" ht="14.25" customHeight="1">
      <x:c r="A715" s="10"/>
      <x:c r="B715" s="10"/>
      <x:c r="C715" s="10"/>
      <x:c r="D715" s="10"/>
    </x:row>
    <x:row r="716" ht="14.25" customHeight="1">
      <x:c r="A716" s="10"/>
      <x:c r="B716" s="10"/>
      <x:c r="C716" s="10"/>
      <x:c r="D716" s="10"/>
    </x:row>
    <x:row r="717" ht="14.25" customHeight="1">
      <x:c r="A717" s="10"/>
      <x:c r="B717" s="10"/>
      <x:c r="C717" s="10"/>
      <x:c r="D717" s="10"/>
    </x:row>
    <x:row r="718" ht="14.25" customHeight="1">
      <x:c r="A718" s="10"/>
      <x:c r="B718" s="10"/>
      <x:c r="C718" s="10"/>
      <x:c r="D718" s="10"/>
    </x:row>
    <x:row r="719" ht="14.25" customHeight="1">
      <x:c r="A719" s="10"/>
      <x:c r="B719" s="10"/>
      <x:c r="C719" s="10"/>
      <x:c r="D719" s="10"/>
    </x:row>
    <x:row r="720" ht="14.25" customHeight="1">
      <x:c r="A720" s="10"/>
      <x:c r="B720" s="10"/>
      <x:c r="C720" s="10"/>
      <x:c r="D720" s="10"/>
    </x:row>
    <x:row r="721" ht="14.25" customHeight="1">
      <x:c r="A721" s="10"/>
      <x:c r="B721" s="10"/>
      <x:c r="C721" s="10"/>
      <x:c r="D721" s="10"/>
    </x:row>
    <x:row r="722" ht="14.25" customHeight="1">
      <x:c r="A722" s="10"/>
      <x:c r="B722" s="10"/>
      <x:c r="C722" s="10"/>
      <x:c r="D722" s="10"/>
    </x:row>
    <x:row r="723" ht="14.25" customHeight="1">
      <x:c r="A723" s="10"/>
      <x:c r="B723" s="10"/>
      <x:c r="C723" s="10"/>
      <x:c r="D723" s="10"/>
    </x:row>
    <x:row r="724" ht="14.25" customHeight="1">
      <x:c r="A724" s="10"/>
      <x:c r="B724" s="10"/>
      <x:c r="C724" s="10"/>
      <x:c r="D724" s="10"/>
    </x:row>
    <x:row r="725" ht="14.25" customHeight="1">
      <x:c r="A725" s="10"/>
      <x:c r="B725" s="10"/>
      <x:c r="C725" s="10"/>
      <x:c r="D725" s="10"/>
    </x:row>
    <x:row r="726" ht="14.25" customHeight="1">
      <x:c r="A726" s="10"/>
      <x:c r="B726" s="10"/>
      <x:c r="C726" s="10"/>
      <x:c r="D726" s="10"/>
    </x:row>
    <x:row r="727" ht="14.25" customHeight="1">
      <x:c r="A727" s="10"/>
      <x:c r="B727" s="10"/>
      <x:c r="C727" s="10"/>
      <x:c r="D727" s="10"/>
    </x:row>
    <x:row r="728" ht="14.25" customHeight="1">
      <x:c r="A728" s="10"/>
      <x:c r="B728" s="10"/>
      <x:c r="C728" s="10"/>
      <x:c r="D728" s="10"/>
    </x:row>
    <x:row r="729" ht="14.25" customHeight="1">
      <x:c r="A729" s="10"/>
      <x:c r="B729" s="10"/>
      <x:c r="C729" s="10"/>
      <x:c r="D729" s="10"/>
    </x:row>
    <x:row r="730" ht="14.25" customHeight="1">
      <x:c r="A730" s="10"/>
      <x:c r="B730" s="10"/>
      <x:c r="C730" s="10"/>
      <x:c r="D730" s="10"/>
    </x:row>
    <x:row r="731" ht="14.25" customHeight="1">
      <x:c r="A731" s="10"/>
      <x:c r="B731" s="10"/>
      <x:c r="C731" s="10"/>
      <x:c r="D731" s="10"/>
    </x:row>
    <x:row r="732" ht="14.25" customHeight="1">
      <x:c r="A732" s="10"/>
      <x:c r="B732" s="10"/>
      <x:c r="C732" s="10"/>
      <x:c r="D732" s="10"/>
    </x:row>
    <x:row r="733" ht="14.25" customHeight="1">
      <x:c r="A733" s="10"/>
      <x:c r="B733" s="10"/>
      <x:c r="C733" s="10"/>
      <x:c r="D733" s="10"/>
    </x:row>
    <x:row r="734" ht="14.25" customHeight="1">
      <x:c r="A734" s="10"/>
      <x:c r="B734" s="10"/>
      <x:c r="C734" s="10"/>
      <x:c r="D734" s="10"/>
    </x:row>
    <x:row r="735" ht="14.25" customHeight="1">
      <x:c r="A735" s="10"/>
      <x:c r="B735" s="10"/>
      <x:c r="C735" s="10"/>
      <x:c r="D735" s="10"/>
    </x:row>
    <x:row r="736" ht="14.25" customHeight="1">
      <x:c r="A736" s="10"/>
      <x:c r="B736" s="10"/>
      <x:c r="C736" s="10"/>
      <x:c r="D736" s="10"/>
    </x:row>
    <x:row r="737" ht="14.25" customHeight="1">
      <x:c r="A737" s="10"/>
      <x:c r="B737" s="10"/>
      <x:c r="C737" s="10"/>
      <x:c r="D737" s="10"/>
    </x:row>
    <x:row r="738" ht="14.25" customHeight="1">
      <x:c r="A738" s="10"/>
      <x:c r="B738" s="10"/>
      <x:c r="C738" s="10"/>
      <x:c r="D738" s="10"/>
    </x:row>
    <x:row r="739" ht="14.25" customHeight="1">
      <x:c r="A739" s="10"/>
      <x:c r="B739" s="10"/>
      <x:c r="C739" s="10"/>
      <x:c r="D739" s="10"/>
    </x:row>
    <x:row r="740" ht="14.25" customHeight="1">
      <x:c r="A740" s="10"/>
      <x:c r="B740" s="10"/>
      <x:c r="C740" s="10"/>
      <x:c r="D740" s="10"/>
    </x:row>
    <x:row r="741" ht="14.25" customHeight="1">
      <x:c r="A741" s="10"/>
      <x:c r="B741" s="10"/>
      <x:c r="C741" s="10"/>
      <x:c r="D741" s="10"/>
    </x:row>
    <x:row r="742" ht="14.25" customHeight="1">
      <x:c r="A742" s="10"/>
      <x:c r="B742" s="10"/>
      <x:c r="C742" s="10"/>
      <x:c r="D742" s="10"/>
    </x:row>
    <x:row r="743" ht="14.25" customHeight="1">
      <x:c r="A743" s="10"/>
      <x:c r="B743" s="10"/>
      <x:c r="C743" s="10"/>
      <x:c r="D743" s="10"/>
    </x:row>
    <x:row r="744" ht="14.25" customHeight="1">
      <x:c r="A744" s="10"/>
      <x:c r="B744" s="10"/>
      <x:c r="C744" s="10"/>
      <x:c r="D744" s="10"/>
    </x:row>
    <x:row r="745" ht="14.25" customHeight="1">
      <x:c r="A745" s="10"/>
      <x:c r="B745" s="10"/>
      <x:c r="C745" s="10"/>
      <x:c r="D745" s="10"/>
    </x:row>
    <x:row r="746" ht="14.25" customHeight="1">
      <x:c r="A746" s="10"/>
      <x:c r="B746" s="10"/>
      <x:c r="C746" s="10"/>
      <x:c r="D746" s="10"/>
    </x:row>
    <x:row r="747" ht="14.25" customHeight="1">
      <x:c r="A747" s="10"/>
      <x:c r="B747" s="10"/>
      <x:c r="C747" s="10"/>
      <x:c r="D747" s="10"/>
    </x:row>
    <x:row r="748" ht="14.25" customHeight="1">
      <x:c r="A748" s="10"/>
      <x:c r="B748" s="10"/>
      <x:c r="C748" s="10"/>
      <x:c r="D748" s="10"/>
    </x:row>
    <x:row r="749" ht="14.25" customHeight="1">
      <x:c r="A749" s="10"/>
      <x:c r="B749" s="10"/>
      <x:c r="C749" s="10"/>
      <x:c r="D749" s="10"/>
    </x:row>
    <x:row r="750" ht="14.25" customHeight="1">
      <x:c r="A750" s="10"/>
      <x:c r="B750" s="10"/>
      <x:c r="C750" s="10"/>
      <x:c r="D750" s="10"/>
    </x:row>
    <x:row r="751" ht="14.25" customHeight="1">
      <x:c r="A751" s="10"/>
      <x:c r="B751" s="10"/>
      <x:c r="C751" s="10"/>
      <x:c r="D751" s="10"/>
    </x:row>
    <x:row r="752" ht="14.25" customHeight="1">
      <x:c r="A752" s="10"/>
      <x:c r="B752" s="10"/>
      <x:c r="C752" s="10"/>
      <x:c r="D752" s="10"/>
    </x:row>
    <x:row r="753" ht="14.25" customHeight="1">
      <x:c r="A753" s="10"/>
      <x:c r="B753" s="10"/>
      <x:c r="C753" s="10"/>
      <x:c r="D753" s="10"/>
    </x:row>
    <x:row r="754" ht="14.25" customHeight="1">
      <x:c r="A754" s="10"/>
      <x:c r="B754" s="10"/>
      <x:c r="C754" s="10"/>
      <x:c r="D754" s="10"/>
    </x:row>
    <x:row r="755" ht="14.25" customHeight="1">
      <x:c r="A755" s="10"/>
      <x:c r="B755" s="10"/>
      <x:c r="C755" s="10"/>
      <x:c r="D755" s="10"/>
    </x:row>
    <x:row r="756" ht="14.25" customHeight="1">
      <x:c r="A756" s="10"/>
      <x:c r="B756" s="10"/>
      <x:c r="C756" s="10"/>
      <x:c r="D756" s="10"/>
    </x:row>
    <x:row r="757" ht="14.25" customHeight="1">
      <x:c r="A757" s="10"/>
      <x:c r="B757" s="10"/>
      <x:c r="C757" s="10"/>
      <x:c r="D757" s="10"/>
    </x:row>
    <x:row r="758" ht="14.25" customHeight="1">
      <x:c r="A758" s="10"/>
      <x:c r="B758" s="10"/>
      <x:c r="C758" s="10"/>
      <x:c r="D758" s="10"/>
    </x:row>
    <x:row r="759" ht="14.25" customHeight="1">
      <x:c r="A759" s="10"/>
      <x:c r="B759" s="10"/>
      <x:c r="C759" s="10"/>
      <x:c r="D759" s="10"/>
    </x:row>
    <x:row r="760" ht="14.25" customHeight="1">
      <x:c r="A760" s="10"/>
      <x:c r="B760" s="10"/>
      <x:c r="C760" s="10"/>
      <x:c r="D760" s="10"/>
    </x:row>
    <x:row r="761" ht="14.25" customHeight="1">
      <x:c r="A761" s="10"/>
      <x:c r="B761" s="10"/>
      <x:c r="C761" s="10"/>
      <x:c r="D761" s="10"/>
    </x:row>
    <x:row r="762" ht="14.25" customHeight="1">
      <x:c r="A762" s="10"/>
      <x:c r="B762" s="10"/>
      <x:c r="C762" s="10"/>
      <x:c r="D762" s="10"/>
    </x:row>
    <x:row r="763" ht="14.25" customHeight="1">
      <x:c r="A763" s="10"/>
      <x:c r="B763" s="10"/>
      <x:c r="C763" s="10"/>
      <x:c r="D763" s="10"/>
    </x:row>
    <x:row r="764" ht="14.25" customHeight="1">
      <x:c r="A764" s="10"/>
      <x:c r="B764" s="10"/>
      <x:c r="C764" s="10"/>
      <x:c r="D764" s="10"/>
    </x:row>
    <x:row r="765" ht="14.25" customHeight="1">
      <x:c r="A765" s="10"/>
      <x:c r="B765" s="10"/>
      <x:c r="C765" s="10"/>
      <x:c r="D765" s="10"/>
    </x:row>
    <x:row r="766" ht="14.25" customHeight="1">
      <x:c r="A766" s="10"/>
      <x:c r="B766" s="10"/>
      <x:c r="C766" s="10"/>
      <x:c r="D766" s="10"/>
    </x:row>
    <x:row r="767" ht="14.25" customHeight="1">
      <x:c r="A767" s="10"/>
      <x:c r="B767" s="10"/>
      <x:c r="C767" s="10"/>
      <x:c r="D767" s="10"/>
    </x:row>
    <x:row r="768" ht="14.25" customHeight="1">
      <x:c r="A768" s="10"/>
      <x:c r="B768" s="10"/>
      <x:c r="C768" s="10"/>
      <x:c r="D768" s="10"/>
    </x:row>
    <x:row r="769" ht="14.25" customHeight="1">
      <x:c r="A769" s="10"/>
      <x:c r="B769" s="10"/>
      <x:c r="C769" s="10"/>
      <x:c r="D769" s="10"/>
    </x:row>
    <x:row r="770" ht="14.25" customHeight="1">
      <x:c r="A770" s="10"/>
      <x:c r="B770" s="10"/>
      <x:c r="C770" s="10"/>
      <x:c r="D770" s="10"/>
    </x:row>
    <x:row r="771" ht="14.25" customHeight="1">
      <x:c r="A771" s="10"/>
      <x:c r="B771" s="10"/>
      <x:c r="C771" s="10"/>
      <x:c r="D771" s="10"/>
    </x:row>
    <x:row r="772" ht="14.25" customHeight="1">
      <x:c r="A772" s="10"/>
      <x:c r="B772" s="10"/>
      <x:c r="C772" s="10"/>
      <x:c r="D772" s="10"/>
    </x:row>
    <x:row r="773" ht="14.25" customHeight="1">
      <x:c r="A773" s="10"/>
      <x:c r="B773" s="10"/>
      <x:c r="C773" s="10"/>
      <x:c r="D773" s="10"/>
    </x:row>
    <x:row r="774" ht="14.25" customHeight="1">
      <x:c r="A774" s="10"/>
      <x:c r="B774" s="10"/>
      <x:c r="C774" s="10"/>
      <x:c r="D774" s="10"/>
    </x:row>
    <x:row r="775" ht="14.25" customHeight="1">
      <x:c r="A775" s="10"/>
      <x:c r="B775" s="10"/>
      <x:c r="C775" s="10"/>
      <x:c r="D775" s="10"/>
    </x:row>
    <x:row r="776" ht="14.25" customHeight="1">
      <x:c r="A776" s="10"/>
      <x:c r="B776" s="10"/>
      <x:c r="C776" s="10"/>
      <x:c r="D776" s="10"/>
    </x:row>
    <x:row r="777" ht="14.25" customHeight="1">
      <x:c r="A777" s="10"/>
      <x:c r="B777" s="10"/>
      <x:c r="C777" s="10"/>
      <x:c r="D777" s="10"/>
    </x:row>
    <x:row r="778" ht="14.25" customHeight="1">
      <x:c r="A778" s="10"/>
      <x:c r="B778" s="10"/>
      <x:c r="C778" s="10"/>
      <x:c r="D778" s="10"/>
    </x:row>
    <x:row r="779" ht="14.25" customHeight="1">
      <x:c r="A779" s="10"/>
      <x:c r="B779" s="10"/>
      <x:c r="C779" s="10"/>
      <x:c r="D779" s="10"/>
    </x:row>
    <x:row r="780" ht="14.25" customHeight="1">
      <x:c r="A780" s="10"/>
      <x:c r="B780" s="10"/>
      <x:c r="C780" s="10"/>
      <x:c r="D780" s="10"/>
    </x:row>
    <x:row r="781" ht="14.25" customHeight="1">
      <x:c r="A781" s="10"/>
      <x:c r="B781" s="10"/>
      <x:c r="C781" s="10"/>
      <x:c r="D781" s="10"/>
    </x:row>
    <x:row r="782" ht="14.25" customHeight="1">
      <x:c r="A782" s="10"/>
      <x:c r="B782" s="10"/>
      <x:c r="C782" s="10"/>
      <x:c r="D782" s="10"/>
    </x:row>
    <x:row r="783" ht="14.25" customHeight="1">
      <x:c r="A783" s="10"/>
      <x:c r="B783" s="10"/>
      <x:c r="C783" s="10"/>
      <x:c r="D783" s="10"/>
    </x:row>
    <x:row r="784" ht="14.25" customHeight="1">
      <x:c r="A784" s="10"/>
      <x:c r="B784" s="10"/>
      <x:c r="C784" s="10"/>
      <x:c r="D784" s="10"/>
    </x:row>
    <x:row r="785" ht="14.25" customHeight="1">
      <x:c r="A785" s="10"/>
      <x:c r="B785" s="10"/>
      <x:c r="C785" s="10"/>
      <x:c r="D785" s="10"/>
    </x:row>
    <x:row r="786" ht="14.25" customHeight="1">
      <x:c r="A786" s="10"/>
      <x:c r="B786" s="10"/>
      <x:c r="C786" s="10"/>
      <x:c r="D786" s="10"/>
    </x:row>
    <x:row r="787" ht="14.25" customHeight="1">
      <x:c r="A787" s="10"/>
      <x:c r="B787" s="10"/>
      <x:c r="C787" s="10"/>
      <x:c r="D787" s="10"/>
    </x:row>
    <x:row r="788" ht="14.25" customHeight="1">
      <x:c r="A788" s="10"/>
      <x:c r="B788" s="10"/>
      <x:c r="C788" s="10"/>
      <x:c r="D788" s="10"/>
    </x:row>
    <x:row r="789" ht="14.25" customHeight="1">
      <x:c r="A789" s="10"/>
      <x:c r="B789" s="10"/>
      <x:c r="C789" s="10"/>
      <x:c r="D789" s="10"/>
    </x:row>
    <x:row r="790" ht="14.25" customHeight="1">
      <x:c r="A790" s="10"/>
      <x:c r="B790" s="10"/>
      <x:c r="C790" s="10"/>
      <x:c r="D790" s="10"/>
    </x:row>
    <x:row r="791" ht="14.25" customHeight="1">
      <x:c r="A791" s="10"/>
      <x:c r="B791" s="10"/>
      <x:c r="C791" s="10"/>
      <x:c r="D791" s="10"/>
    </x:row>
    <x:row r="792" ht="14.25" customHeight="1">
      <x:c r="A792" s="10"/>
      <x:c r="B792" s="10"/>
      <x:c r="C792" s="10"/>
      <x:c r="D792" s="10"/>
    </x:row>
    <x:row r="793" ht="14.25" customHeight="1">
      <x:c r="A793" s="10"/>
      <x:c r="B793" s="10"/>
      <x:c r="C793" s="10"/>
      <x:c r="D793" s="10"/>
    </x:row>
    <x:row r="794" ht="14.25" customHeight="1">
      <x:c r="A794" s="10"/>
      <x:c r="B794" s="10"/>
      <x:c r="C794" s="10"/>
      <x:c r="D794" s="10"/>
    </x:row>
    <x:row r="795" ht="14.25" customHeight="1">
      <x:c r="A795" s="10"/>
      <x:c r="B795" s="10"/>
      <x:c r="C795" s="10"/>
      <x:c r="D795" s="10"/>
    </x:row>
    <x:row r="796" ht="14.25" customHeight="1">
      <x:c r="A796" s="10"/>
      <x:c r="B796" s="10"/>
      <x:c r="C796" s="10"/>
      <x:c r="D796" s="10"/>
    </x:row>
    <x:row r="797" ht="14.25" customHeight="1">
      <x:c r="A797" s="10"/>
      <x:c r="B797" s="10"/>
      <x:c r="C797" s="10"/>
      <x:c r="D797" s="10"/>
    </x:row>
    <x:row r="798" ht="14.25" customHeight="1">
      <x:c r="A798" s="10"/>
      <x:c r="B798" s="10"/>
      <x:c r="C798" s="10"/>
      <x:c r="D798" s="10"/>
    </x:row>
    <x:row r="799" ht="14.25" customHeight="1">
      <x:c r="A799" s="10"/>
      <x:c r="B799" s="10"/>
      <x:c r="C799" s="10"/>
      <x:c r="D799" s="10"/>
    </x:row>
    <x:row r="800" ht="14.25" customHeight="1">
      <x:c r="A800" s="10"/>
      <x:c r="B800" s="10"/>
      <x:c r="C800" s="10"/>
      <x:c r="D800" s="10"/>
    </x:row>
    <x:row r="801" ht="14.25" customHeight="1">
      <x:c r="A801" s="10"/>
      <x:c r="B801" s="10"/>
      <x:c r="C801" s="10"/>
      <x:c r="D801" s="10"/>
    </x:row>
    <x:row r="802" ht="14.25" customHeight="1">
      <x:c r="A802" s="10"/>
      <x:c r="B802" s="10"/>
      <x:c r="C802" s="10"/>
      <x:c r="D802" s="10"/>
    </x:row>
    <x:row r="803" ht="14.25" customHeight="1">
      <x:c r="A803" s="10"/>
      <x:c r="B803" s="10"/>
      <x:c r="C803" s="10"/>
      <x:c r="D803" s="10"/>
    </x:row>
    <x:row r="804" ht="14.25" customHeight="1">
      <x:c r="A804" s="10"/>
      <x:c r="B804" s="10"/>
      <x:c r="C804" s="10"/>
      <x:c r="D804" s="10"/>
    </x:row>
    <x:row r="805" ht="14.25" customHeight="1">
      <x:c r="A805" s="10"/>
      <x:c r="B805" s="10"/>
      <x:c r="C805" s="10"/>
      <x:c r="D805" s="10"/>
    </x:row>
    <x:row r="806" ht="14.25" customHeight="1">
      <x:c r="A806" s="10"/>
      <x:c r="B806" s="10"/>
      <x:c r="C806" s="10"/>
      <x:c r="D806" s="10"/>
    </x:row>
    <x:row r="807" ht="14.25" customHeight="1">
      <x:c r="A807" s="10"/>
      <x:c r="B807" s="10"/>
      <x:c r="C807" s="10"/>
      <x:c r="D807" s="10"/>
    </x:row>
    <x:row r="808" ht="14.25" customHeight="1">
      <x:c r="A808" s="10"/>
      <x:c r="B808" s="10"/>
      <x:c r="C808" s="10"/>
      <x:c r="D808" s="10"/>
    </x:row>
    <x:row r="809" ht="14.25" customHeight="1">
      <x:c r="A809" s="10"/>
      <x:c r="B809" s="10"/>
      <x:c r="C809" s="10"/>
      <x:c r="D809" s="10"/>
    </x:row>
    <x:row r="810" ht="14.25" customHeight="1">
      <x:c r="A810" s="10"/>
      <x:c r="B810" s="10"/>
      <x:c r="C810" s="10"/>
      <x:c r="D810" s="10"/>
    </x:row>
    <x:row r="811" ht="14.25" customHeight="1">
      <x:c r="A811" s="10"/>
      <x:c r="B811" s="10"/>
      <x:c r="C811" s="10"/>
      <x:c r="D811" s="10"/>
    </x:row>
    <x:row r="812" ht="14.25" customHeight="1">
      <x:c r="A812" s="10"/>
      <x:c r="B812" s="10"/>
      <x:c r="C812" s="10"/>
      <x:c r="D812" s="10"/>
    </x:row>
    <x:row r="813" ht="14.25" customHeight="1">
      <x:c r="A813" s="10"/>
      <x:c r="B813" s="10"/>
      <x:c r="C813" s="10"/>
      <x:c r="D813" s="10"/>
    </x:row>
    <x:row r="814" ht="14.25" customHeight="1">
      <x:c r="A814" s="10"/>
      <x:c r="B814" s="10"/>
      <x:c r="C814" s="10"/>
      <x:c r="D814" s="10"/>
    </x:row>
    <x:row r="815" ht="14.25" customHeight="1">
      <x:c r="A815" s="10"/>
      <x:c r="B815" s="10"/>
      <x:c r="C815" s="10"/>
      <x:c r="D815" s="10"/>
    </x:row>
    <x:row r="816" ht="14.25" customHeight="1">
      <x:c r="A816" s="10"/>
      <x:c r="B816" s="10"/>
      <x:c r="C816" s="10"/>
      <x:c r="D816" s="10"/>
    </x:row>
    <x:row r="817" ht="14.25" customHeight="1">
      <x:c r="A817" s="10"/>
      <x:c r="B817" s="10"/>
      <x:c r="C817" s="10"/>
      <x:c r="D817" s="10"/>
    </x:row>
    <x:row r="818" ht="14.25" customHeight="1">
      <x:c r="A818" s="10"/>
      <x:c r="B818" s="10"/>
      <x:c r="C818" s="10"/>
      <x:c r="D818" s="10"/>
    </x:row>
    <x:row r="819" ht="14.25" customHeight="1">
      <x:c r="A819" s="10"/>
      <x:c r="B819" s="10"/>
      <x:c r="C819" s="10"/>
      <x:c r="D819" s="10"/>
    </x:row>
    <x:row r="820" ht="14.25" customHeight="1">
      <x:c r="A820" s="10"/>
      <x:c r="B820" s="10"/>
      <x:c r="C820" s="10"/>
      <x:c r="D820" s="10"/>
    </x:row>
    <x:row r="821" ht="14.25" customHeight="1">
      <x:c r="A821" s="10"/>
      <x:c r="B821" s="10"/>
      <x:c r="C821" s="10"/>
      <x:c r="D821" s="10"/>
    </x:row>
    <x:row r="822" ht="14.25" customHeight="1">
      <x:c r="A822" s="10"/>
      <x:c r="B822" s="10"/>
      <x:c r="C822" s="10"/>
      <x:c r="D822" s="10"/>
    </x:row>
    <x:row r="823" ht="14.25" customHeight="1">
      <x:c r="A823" s="10"/>
      <x:c r="B823" s="10"/>
      <x:c r="C823" s="10"/>
      <x:c r="D823" s="10"/>
    </x:row>
    <x:row r="824" ht="14.25" customHeight="1">
      <x:c r="A824" s="10"/>
      <x:c r="B824" s="10"/>
      <x:c r="C824" s="10"/>
      <x:c r="D824" s="10"/>
    </x:row>
    <x:row r="825" ht="14.25" customHeight="1">
      <x:c r="A825" s="10"/>
      <x:c r="B825" s="10"/>
      <x:c r="C825" s="10"/>
      <x:c r="D825" s="10"/>
    </x:row>
    <x:row r="826" ht="14.25" customHeight="1">
      <x:c r="A826" s="10"/>
      <x:c r="B826" s="10"/>
      <x:c r="C826" s="10"/>
      <x:c r="D826" s="10"/>
    </x:row>
    <x:row r="827" ht="14.25" customHeight="1">
      <x:c r="A827" s="10"/>
      <x:c r="B827" s="10"/>
      <x:c r="C827" s="10"/>
      <x:c r="D827" s="10"/>
    </x:row>
    <x:row r="828" ht="14.25" customHeight="1">
      <x:c r="A828" s="10"/>
      <x:c r="B828" s="10"/>
      <x:c r="C828" s="10"/>
      <x:c r="D828" s="10"/>
    </x:row>
    <x:row r="829" ht="14.25" customHeight="1">
      <x:c r="A829" s="10"/>
      <x:c r="B829" s="10"/>
      <x:c r="C829" s="10"/>
      <x:c r="D829" s="10"/>
    </x:row>
    <x:row r="830" ht="14.25" customHeight="1">
      <x:c r="A830" s="10"/>
      <x:c r="B830" s="10"/>
      <x:c r="C830" s="10"/>
      <x:c r="D830" s="10"/>
    </x:row>
    <x:row r="831" ht="14.25" customHeight="1">
      <x:c r="A831" s="10"/>
      <x:c r="B831" s="10"/>
      <x:c r="C831" s="10"/>
      <x:c r="D831" s="10"/>
    </x:row>
    <x:row r="832" ht="14.25" customHeight="1">
      <x:c r="A832" s="10"/>
      <x:c r="B832" s="10"/>
      <x:c r="C832" s="10"/>
      <x:c r="D832" s="10"/>
    </x:row>
    <x:row r="833" ht="14.25" customHeight="1">
      <x:c r="A833" s="10"/>
      <x:c r="B833" s="10"/>
      <x:c r="C833" s="10"/>
      <x:c r="D833" s="10"/>
    </x:row>
    <x:row r="834" ht="14.25" customHeight="1">
      <x:c r="A834" s="10"/>
      <x:c r="B834" s="10"/>
      <x:c r="C834" s="10"/>
      <x:c r="D834" s="10"/>
    </x:row>
    <x:row r="835" ht="14.25" customHeight="1">
      <x:c r="A835" s="10"/>
      <x:c r="B835" s="10"/>
      <x:c r="C835" s="10"/>
      <x:c r="D835" s="10"/>
    </x:row>
    <x:row r="836" ht="14.25" customHeight="1">
      <x:c r="A836" s="10"/>
      <x:c r="B836" s="10"/>
      <x:c r="C836" s="10"/>
      <x:c r="D836" s="10"/>
    </x:row>
    <x:row r="837" ht="14.25" customHeight="1">
      <x:c r="A837" s="10"/>
      <x:c r="B837" s="10"/>
      <x:c r="C837" s="10"/>
      <x:c r="D837" s="10"/>
    </x:row>
    <x:row r="838" ht="14.25" customHeight="1">
      <x:c r="A838" s="10"/>
      <x:c r="B838" s="10"/>
      <x:c r="C838" s="10"/>
      <x:c r="D838" s="10"/>
    </x:row>
    <x:row r="839" ht="14.25" customHeight="1">
      <x:c r="A839" s="10"/>
      <x:c r="B839" s="10"/>
      <x:c r="C839" s="10"/>
      <x:c r="D839" s="10"/>
    </x:row>
    <x:row r="840" ht="14.25" customHeight="1">
      <x:c r="A840" s="10"/>
      <x:c r="B840" s="10"/>
      <x:c r="C840" s="10"/>
      <x:c r="D840" s="10"/>
    </x:row>
    <x:row r="841" ht="14.25" customHeight="1">
      <x:c r="A841" s="10"/>
      <x:c r="B841" s="10"/>
      <x:c r="C841" s="10"/>
      <x:c r="D841" s="10"/>
    </x:row>
    <x:row r="842" ht="14.25" customHeight="1">
      <x:c r="A842" s="10"/>
      <x:c r="B842" s="10"/>
      <x:c r="C842" s="10"/>
      <x:c r="D842" s="10"/>
    </x:row>
    <x:row r="843" ht="14.25" customHeight="1">
      <x:c r="A843" s="10"/>
      <x:c r="B843" s="10"/>
      <x:c r="C843" s="10"/>
      <x:c r="D843" s="10"/>
    </x:row>
    <x:row r="844" ht="14.25" customHeight="1">
      <x:c r="A844" s="10"/>
      <x:c r="B844" s="10"/>
      <x:c r="C844" s="10"/>
      <x:c r="D844" s="10"/>
    </x:row>
    <x:row r="845" ht="14.25" customHeight="1">
      <x:c r="A845" s="10"/>
      <x:c r="B845" s="10"/>
      <x:c r="C845" s="10"/>
      <x:c r="D845" s="10"/>
    </x:row>
    <x:row r="846" ht="14.25" customHeight="1">
      <x:c r="A846" s="10"/>
      <x:c r="B846" s="10"/>
      <x:c r="C846" s="10"/>
      <x:c r="D846" s="10"/>
    </x:row>
    <x:row r="847" ht="14.25" customHeight="1">
      <x:c r="A847" s="10"/>
      <x:c r="B847" s="10"/>
      <x:c r="C847" s="10"/>
      <x:c r="D847" s="10"/>
    </x:row>
    <x:row r="848" ht="14.25" customHeight="1">
      <x:c r="A848" s="10"/>
      <x:c r="B848" s="10"/>
      <x:c r="C848" s="10"/>
      <x:c r="D848" s="10"/>
    </x:row>
    <x:row r="849" ht="14.25" customHeight="1">
      <x:c r="A849" s="10"/>
      <x:c r="B849" s="10"/>
      <x:c r="C849" s="10"/>
      <x:c r="D849" s="10"/>
    </x:row>
    <x:row r="850" ht="14.25" customHeight="1">
      <x:c r="A850" s="10"/>
      <x:c r="B850" s="10"/>
      <x:c r="C850" s="10"/>
      <x:c r="D850" s="10"/>
    </x:row>
    <x:row r="851" ht="14.25" customHeight="1">
      <x:c r="A851" s="10"/>
      <x:c r="B851" s="10"/>
      <x:c r="C851" s="10"/>
      <x:c r="D851" s="10"/>
    </x:row>
    <x:row r="852" ht="14.25" customHeight="1">
      <x:c r="A852" s="10"/>
      <x:c r="B852" s="10"/>
      <x:c r="C852" s="10"/>
      <x:c r="D852" s="10"/>
    </x:row>
    <x:row r="853" ht="14.25" customHeight="1">
      <x:c r="A853" s="10"/>
      <x:c r="B853" s="10"/>
      <x:c r="C853" s="10"/>
      <x:c r="D853" s="10"/>
    </x:row>
    <x:row r="854" ht="14.25" customHeight="1">
      <x:c r="A854" s="10"/>
      <x:c r="B854" s="10"/>
      <x:c r="C854" s="10"/>
      <x:c r="D854" s="10"/>
    </x:row>
    <x:row r="855" ht="14.25" customHeight="1">
      <x:c r="A855" s="10"/>
      <x:c r="B855" s="10"/>
      <x:c r="C855" s="10"/>
      <x:c r="D855" s="10"/>
    </x:row>
    <x:row r="856" ht="14.25" customHeight="1">
      <x:c r="A856" s="10"/>
      <x:c r="B856" s="10"/>
      <x:c r="C856" s="10"/>
      <x:c r="D856" s="10"/>
    </x:row>
    <x:row r="857" ht="14.25" customHeight="1">
      <x:c r="A857" s="10"/>
      <x:c r="B857" s="10"/>
      <x:c r="C857" s="10"/>
      <x:c r="D857" s="10"/>
    </x:row>
    <x:row r="858" ht="14.25" customHeight="1">
      <x:c r="A858" s="10"/>
      <x:c r="B858" s="10"/>
      <x:c r="C858" s="10"/>
      <x:c r="D858" s="10"/>
    </x:row>
    <x:row r="859" ht="14.25" customHeight="1">
      <x:c r="A859" s="10"/>
      <x:c r="B859" s="10"/>
      <x:c r="C859" s="10"/>
      <x:c r="D859" s="10"/>
    </x:row>
    <x:row r="860" ht="14.25" customHeight="1">
      <x:c r="A860" s="10"/>
      <x:c r="B860" s="10"/>
      <x:c r="C860" s="10"/>
      <x:c r="D860" s="10"/>
    </x:row>
    <x:row r="861" ht="14.25" customHeight="1">
      <x:c r="A861" s="10"/>
      <x:c r="B861" s="10"/>
      <x:c r="C861" s="10"/>
      <x:c r="D861" s="10"/>
    </x:row>
    <x:row r="862" ht="14.25" customHeight="1">
      <x:c r="A862" s="10"/>
      <x:c r="B862" s="10"/>
      <x:c r="C862" s="10"/>
      <x:c r="D862" s="10"/>
    </x:row>
    <x:row r="863" ht="14.25" customHeight="1">
      <x:c r="A863" s="10"/>
      <x:c r="B863" s="10"/>
      <x:c r="C863" s="10"/>
      <x:c r="D863" s="10"/>
    </x:row>
    <x:row r="864" ht="14.25" customHeight="1">
      <x:c r="A864" s="10"/>
      <x:c r="B864" s="10"/>
      <x:c r="C864" s="10"/>
      <x:c r="D864" s="10"/>
    </x:row>
    <x:row r="865" ht="14.25" customHeight="1">
      <x:c r="A865" s="10"/>
      <x:c r="B865" s="10"/>
      <x:c r="C865" s="10"/>
      <x:c r="D865" s="10"/>
    </x:row>
    <x:row r="866" ht="14.25" customHeight="1">
      <x:c r="A866" s="10"/>
      <x:c r="B866" s="10"/>
      <x:c r="C866" s="10"/>
      <x:c r="D866" s="10"/>
    </x:row>
    <x:row r="867" ht="14.25" customHeight="1">
      <x:c r="A867" s="10"/>
      <x:c r="B867" s="10"/>
      <x:c r="C867" s="10"/>
      <x:c r="D867" s="10"/>
    </x:row>
    <x:row r="868" ht="14.25" customHeight="1">
      <x:c r="A868" s="10"/>
      <x:c r="B868" s="10"/>
      <x:c r="C868" s="10"/>
      <x:c r="D868" s="10"/>
    </x:row>
    <x:row r="869" ht="14.25" customHeight="1">
      <x:c r="A869" s="10"/>
      <x:c r="B869" s="10"/>
      <x:c r="C869" s="10"/>
      <x:c r="D869" s="10"/>
    </x:row>
    <x:row r="870" ht="14.25" customHeight="1">
      <x:c r="A870" s="10"/>
      <x:c r="B870" s="10"/>
      <x:c r="C870" s="10"/>
      <x:c r="D870" s="10"/>
    </x:row>
    <x:row r="871" ht="14.25" customHeight="1">
      <x:c r="A871" s="10"/>
      <x:c r="B871" s="10"/>
      <x:c r="C871" s="10"/>
      <x:c r="D871" s="10"/>
    </x:row>
    <x:row r="872" ht="14.25" customHeight="1">
      <x:c r="A872" s="10"/>
      <x:c r="B872" s="10"/>
      <x:c r="C872" s="10"/>
      <x:c r="D872" s="10"/>
    </x:row>
    <x:row r="873" ht="14.25" customHeight="1">
      <x:c r="A873" s="10"/>
      <x:c r="B873" s="10"/>
      <x:c r="C873" s="10"/>
      <x:c r="D873" s="10"/>
    </x:row>
    <x:row r="874" ht="14.25" customHeight="1">
      <x:c r="A874" s="10"/>
      <x:c r="B874" s="10"/>
      <x:c r="C874" s="10"/>
      <x:c r="D874" s="10"/>
    </x:row>
    <x:row r="875" ht="14.25" customHeight="1">
      <x:c r="A875" s="10"/>
      <x:c r="B875" s="10"/>
      <x:c r="C875" s="10"/>
      <x:c r="D875" s="10"/>
    </x:row>
    <x:row r="876" ht="14.25" customHeight="1">
      <x:c r="A876" s="10"/>
      <x:c r="B876" s="10"/>
      <x:c r="C876" s="10"/>
      <x:c r="D876" s="10"/>
    </x:row>
    <x:row r="877" ht="14.25" customHeight="1">
      <x:c r="A877" s="10"/>
      <x:c r="B877" s="10"/>
      <x:c r="C877" s="10"/>
      <x:c r="D877" s="10"/>
    </x:row>
    <x:row r="878" ht="14.25" customHeight="1">
      <x:c r="A878" s="10"/>
      <x:c r="B878" s="10"/>
      <x:c r="C878" s="10"/>
      <x:c r="D878" s="10"/>
    </x:row>
    <x:row r="879" ht="14.25" customHeight="1">
      <x:c r="A879" s="10"/>
      <x:c r="B879" s="10"/>
      <x:c r="C879" s="10"/>
      <x:c r="D879" s="10"/>
    </x:row>
    <x:row r="880" ht="14.25" customHeight="1">
      <x:c r="A880" s="10"/>
      <x:c r="B880" s="10"/>
      <x:c r="C880" s="10"/>
      <x:c r="D880" s="10"/>
    </x:row>
    <x:row r="881" ht="14.25" customHeight="1">
      <x:c r="A881" s="10"/>
      <x:c r="B881" s="10"/>
      <x:c r="C881" s="10"/>
      <x:c r="D881" s="10"/>
    </x:row>
    <x:row r="882" ht="14.25" customHeight="1">
      <x:c r="A882" s="10"/>
      <x:c r="B882" s="10"/>
      <x:c r="C882" s="10"/>
      <x:c r="D882" s="10"/>
    </x:row>
    <x:row r="883" ht="14.25" customHeight="1">
      <x:c r="A883" s="10"/>
      <x:c r="B883" s="10"/>
      <x:c r="C883" s="10"/>
      <x:c r="D883" s="10"/>
    </x:row>
    <x:row r="884" ht="14.25" customHeight="1">
      <x:c r="A884" s="10"/>
      <x:c r="B884" s="10"/>
      <x:c r="C884" s="10"/>
      <x:c r="D884" s="10"/>
    </x:row>
    <x:row r="885" ht="14.25" customHeight="1">
      <x:c r="A885" s="10"/>
      <x:c r="B885" s="10"/>
      <x:c r="C885" s="10"/>
      <x:c r="D885" s="10"/>
    </x:row>
    <x:row r="886" ht="14.25" customHeight="1">
      <x:c r="A886" s="10"/>
      <x:c r="B886" s="10"/>
      <x:c r="C886" s="10"/>
      <x:c r="D886" s="10"/>
    </x:row>
    <x:row r="887" ht="14.25" customHeight="1">
      <x:c r="A887" s="10"/>
      <x:c r="B887" s="10"/>
      <x:c r="C887" s="10"/>
      <x:c r="D887" s="10"/>
    </x:row>
    <x:row r="888" ht="14.25" customHeight="1">
      <x:c r="A888" s="10"/>
      <x:c r="B888" s="10"/>
      <x:c r="C888" s="10"/>
      <x:c r="D888" s="10"/>
    </x:row>
    <x:row r="889" ht="14.25" customHeight="1">
      <x:c r="A889" s="10"/>
      <x:c r="B889" s="10"/>
      <x:c r="C889" s="10"/>
      <x:c r="D889" s="10"/>
    </x:row>
    <x:row r="890" ht="14.25" customHeight="1">
      <x:c r="A890" s="10"/>
      <x:c r="B890" s="10"/>
      <x:c r="C890" s="10"/>
      <x:c r="D890" s="10"/>
    </x:row>
    <x:row r="891" ht="14.25" customHeight="1">
      <x:c r="A891" s="10"/>
      <x:c r="B891" s="10"/>
      <x:c r="C891" s="10"/>
      <x:c r="D891" s="10"/>
    </x:row>
    <x:row r="892" ht="14.25" customHeight="1">
      <x:c r="A892" s="10"/>
      <x:c r="B892" s="10"/>
      <x:c r="C892" s="10"/>
      <x:c r="D892" s="10"/>
    </x:row>
    <x:row r="893" ht="14.25" customHeight="1">
      <x:c r="A893" s="10"/>
      <x:c r="B893" s="10"/>
      <x:c r="C893" s="10"/>
      <x:c r="D893" s="10"/>
    </x:row>
    <x:row r="894" ht="14.25" customHeight="1">
      <x:c r="A894" s="10"/>
      <x:c r="B894" s="10"/>
      <x:c r="C894" s="10"/>
      <x:c r="D894" s="10"/>
    </x:row>
    <x:row r="895" ht="14.25" customHeight="1">
      <x:c r="A895" s="10"/>
      <x:c r="B895" s="10"/>
      <x:c r="C895" s="10"/>
      <x:c r="D895" s="10"/>
    </x:row>
    <x:row r="896" ht="14.25" customHeight="1">
      <x:c r="A896" s="10"/>
      <x:c r="B896" s="10"/>
      <x:c r="C896" s="10"/>
      <x:c r="D896" s="10"/>
    </x:row>
    <x:row r="897" ht="14.25" customHeight="1">
      <x:c r="A897" s="10"/>
      <x:c r="B897" s="10"/>
      <x:c r="C897" s="10"/>
      <x:c r="D897" s="10"/>
    </x:row>
    <x:row r="898" ht="14.25" customHeight="1">
      <x:c r="A898" s="10"/>
      <x:c r="B898" s="10"/>
      <x:c r="C898" s="10"/>
      <x:c r="D898" s="10"/>
    </x:row>
    <x:row r="899" ht="14.25" customHeight="1">
      <x:c r="A899" s="10"/>
      <x:c r="B899" s="10"/>
      <x:c r="C899" s="10"/>
      <x:c r="D899" s="10"/>
    </x:row>
    <x:row r="900" ht="14.25" customHeight="1">
      <x:c r="A900" s="10"/>
      <x:c r="B900" s="10"/>
      <x:c r="C900" s="10"/>
      <x:c r="D900" s="10"/>
    </x:row>
    <x:row r="901" ht="14.25" customHeight="1">
      <x:c r="A901" s="10"/>
      <x:c r="B901" s="10"/>
      <x:c r="C901" s="10"/>
      <x:c r="D901" s="10"/>
    </x:row>
    <x:row r="902" ht="14.25" customHeight="1">
      <x:c r="A902" s="10"/>
      <x:c r="B902" s="10"/>
      <x:c r="C902" s="10"/>
      <x:c r="D902" s="10"/>
    </x:row>
    <x:row r="903" ht="14.25" customHeight="1">
      <x:c r="A903" s="10"/>
      <x:c r="B903" s="10"/>
      <x:c r="C903" s="10"/>
      <x:c r="D903" s="10"/>
    </x:row>
    <x:row r="904" ht="14.25" customHeight="1">
      <x:c r="A904" s="10"/>
      <x:c r="B904" s="10"/>
      <x:c r="C904" s="10"/>
      <x:c r="D904" s="10"/>
    </x:row>
    <x:row r="905" ht="14.25" customHeight="1">
      <x:c r="A905" s="10"/>
      <x:c r="B905" s="10"/>
      <x:c r="C905" s="10"/>
      <x:c r="D905" s="10"/>
    </x:row>
    <x:row r="906" ht="14.25" customHeight="1">
      <x:c r="A906" s="10"/>
      <x:c r="B906" s="10"/>
      <x:c r="C906" s="10"/>
      <x:c r="D906" s="10"/>
    </x:row>
    <x:row r="907" ht="14.25" customHeight="1">
      <x:c r="A907" s="10"/>
      <x:c r="B907" s="10"/>
      <x:c r="C907" s="10"/>
      <x:c r="D907" s="10"/>
    </x:row>
    <x:row r="908" ht="14.25" customHeight="1">
      <x:c r="A908" s="10"/>
      <x:c r="B908" s="10"/>
      <x:c r="C908" s="10"/>
      <x:c r="D908" s="10"/>
    </x:row>
    <x:row r="909" ht="14.25" customHeight="1">
      <x:c r="A909" s="10"/>
      <x:c r="B909" s="10"/>
      <x:c r="C909" s="10"/>
      <x:c r="D909" s="10"/>
    </x:row>
    <x:row r="910" ht="14.25" customHeight="1">
      <x:c r="A910" s="10"/>
      <x:c r="B910" s="10"/>
      <x:c r="C910" s="10"/>
      <x:c r="D910" s="10"/>
    </x:row>
    <x:row r="911" ht="14.25" customHeight="1">
      <x:c r="A911" s="10"/>
      <x:c r="B911" s="10"/>
      <x:c r="C911" s="10"/>
      <x:c r="D911" s="10"/>
    </x:row>
    <x:row r="912" ht="14.25" customHeight="1">
      <x:c r="A912" s="10"/>
      <x:c r="B912" s="10"/>
      <x:c r="C912" s="10"/>
      <x:c r="D912" s="10"/>
    </x:row>
    <x:row r="913" ht="14.25" customHeight="1">
      <x:c r="A913" s="10"/>
      <x:c r="B913" s="10"/>
      <x:c r="C913" s="10"/>
      <x:c r="D913" s="10"/>
    </x:row>
    <x:row r="914" ht="14.25" customHeight="1">
      <x:c r="A914" s="10"/>
      <x:c r="B914" s="10"/>
      <x:c r="C914" s="10"/>
      <x:c r="D914" s="10"/>
    </x:row>
    <x:row r="915" ht="14.25" customHeight="1">
      <x:c r="A915" s="10"/>
      <x:c r="B915" s="10"/>
      <x:c r="C915" s="10"/>
      <x:c r="D915" s="10"/>
    </x:row>
    <x:row r="916" ht="14.25" customHeight="1">
      <x:c r="A916" s="10"/>
      <x:c r="B916" s="10"/>
      <x:c r="C916" s="10"/>
      <x:c r="D916" s="10"/>
    </x:row>
    <x:row r="917" ht="14.25" customHeight="1">
      <x:c r="A917" s="10"/>
      <x:c r="B917" s="10"/>
      <x:c r="C917" s="10"/>
      <x:c r="D917" s="10"/>
    </x:row>
    <x:row r="918" ht="14.25" customHeight="1">
      <x:c r="A918" s="10"/>
      <x:c r="B918" s="10"/>
      <x:c r="C918" s="10"/>
      <x:c r="D918" s="10"/>
    </x:row>
    <x:row r="919" ht="14.25" customHeight="1">
      <x:c r="A919" s="10"/>
      <x:c r="B919" s="10"/>
      <x:c r="C919" s="10"/>
      <x:c r="D919" s="10"/>
    </x:row>
    <x:row r="920" ht="14.25" customHeight="1">
      <x:c r="A920" s="10"/>
      <x:c r="B920" s="10"/>
      <x:c r="C920" s="10"/>
      <x:c r="D920" s="10"/>
    </x:row>
    <x:row r="921" ht="14.25" customHeight="1">
      <x:c r="A921" s="10"/>
      <x:c r="B921" s="10"/>
      <x:c r="C921" s="10"/>
      <x:c r="D921" s="10"/>
    </x:row>
    <x:row r="922" ht="14.25" customHeight="1">
      <x:c r="A922" s="10"/>
      <x:c r="B922" s="10"/>
      <x:c r="C922" s="10"/>
      <x:c r="D922" s="10"/>
    </x:row>
    <x:row r="923" ht="14.25" customHeight="1">
      <x:c r="A923" s="10"/>
      <x:c r="B923" s="10"/>
      <x:c r="C923" s="10"/>
      <x:c r="D923" s="10"/>
    </x:row>
    <x:row r="924" ht="14.25" customHeight="1">
      <x:c r="A924" s="10"/>
      <x:c r="B924" s="10"/>
      <x:c r="C924" s="10"/>
      <x:c r="D924" s="10"/>
    </x:row>
    <x:row r="925" ht="14.25" customHeight="1">
      <x:c r="A925" s="10"/>
      <x:c r="B925" s="10"/>
      <x:c r="C925" s="10"/>
      <x:c r="D925" s="10"/>
    </x:row>
    <x:row r="926" ht="14.25" customHeight="1">
      <x:c r="A926" s="10"/>
      <x:c r="B926" s="10"/>
      <x:c r="C926" s="10"/>
      <x:c r="D926" s="10"/>
    </x:row>
    <x:row r="927" ht="14.25" customHeight="1">
      <x:c r="A927" s="10"/>
      <x:c r="B927" s="10"/>
      <x:c r="C927" s="10"/>
      <x:c r="D927" s="10"/>
    </x:row>
    <x:row r="928" ht="14.25" customHeight="1">
      <x:c r="A928" s="10"/>
      <x:c r="B928" s="10"/>
      <x:c r="C928" s="10"/>
      <x:c r="D928" s="10"/>
    </x:row>
    <x:row r="929" ht="14.25" customHeight="1">
      <x:c r="A929" s="10"/>
      <x:c r="B929" s="10"/>
      <x:c r="C929" s="10"/>
      <x:c r="D929" s="10"/>
    </x:row>
    <x:row r="930" ht="14.25" customHeight="1">
      <x:c r="A930" s="10"/>
      <x:c r="B930" s="10"/>
      <x:c r="C930" s="10"/>
      <x:c r="D930" s="10"/>
    </x:row>
    <x:row r="931" ht="14.25" customHeight="1">
      <x:c r="A931" s="10"/>
      <x:c r="B931" s="10"/>
      <x:c r="C931" s="10"/>
      <x:c r="D931" s="10"/>
    </x:row>
    <x:row r="932" ht="14.25" customHeight="1">
      <x:c r="A932" s="10"/>
      <x:c r="B932" s="10"/>
      <x:c r="C932" s="10"/>
      <x:c r="D932" s="10"/>
    </x:row>
    <x:row r="933" ht="14.25" customHeight="1">
      <x:c r="A933" s="10"/>
      <x:c r="B933" s="10"/>
      <x:c r="C933" s="10"/>
      <x:c r="D933" s="10"/>
    </x:row>
    <x:row r="934" ht="14.25" customHeight="1">
      <x:c r="A934" s="10"/>
      <x:c r="B934" s="10"/>
      <x:c r="C934" s="10"/>
      <x:c r="D934" s="10"/>
    </x:row>
    <x:row r="935" ht="14.25" customHeight="1">
      <x:c r="A935" s="10"/>
      <x:c r="B935" s="10"/>
      <x:c r="C935" s="10"/>
      <x:c r="D935" s="10"/>
    </x:row>
    <x:row r="936" ht="14.25" customHeight="1">
      <x:c r="A936" s="10"/>
      <x:c r="B936" s="10"/>
      <x:c r="C936" s="10"/>
      <x:c r="D936" s="10"/>
    </x:row>
    <x:row r="937" ht="14.25" customHeight="1">
      <x:c r="A937" s="10"/>
      <x:c r="B937" s="10"/>
      <x:c r="C937" s="10"/>
      <x:c r="D937" s="10"/>
    </x:row>
    <x:row r="938" ht="14.25" customHeight="1">
      <x:c r="A938" s="10"/>
      <x:c r="B938" s="10"/>
      <x:c r="C938" s="10"/>
      <x:c r="D938" s="10"/>
    </x:row>
    <x:row r="939" ht="14.25" customHeight="1">
      <x:c r="A939" s="10"/>
      <x:c r="B939" s="10"/>
      <x:c r="C939" s="10"/>
      <x:c r="D939" s="10"/>
    </x:row>
    <x:row r="940" ht="14.25" customHeight="1">
      <x:c r="A940" s="10"/>
      <x:c r="B940" s="10"/>
      <x:c r="C940" s="10"/>
      <x:c r="D940" s="10"/>
    </x:row>
    <x:row r="941" ht="14.25" customHeight="1">
      <x:c r="A941" s="10"/>
      <x:c r="B941" s="10"/>
      <x:c r="C941" s="10"/>
      <x:c r="D941" s="10"/>
    </x:row>
    <x:row r="942" ht="14.25" customHeight="1">
      <x:c r="A942" s="10"/>
      <x:c r="B942" s="10"/>
      <x:c r="C942" s="10"/>
      <x:c r="D942" s="10"/>
    </x:row>
    <x:row r="943" ht="14.25" customHeight="1">
      <x:c r="A943" s="10"/>
      <x:c r="B943" s="10"/>
      <x:c r="C943" s="10"/>
      <x:c r="D943" s="10"/>
    </x:row>
    <x:row r="944" ht="14.25" customHeight="1">
      <x:c r="A944" s="10"/>
      <x:c r="B944" s="10"/>
      <x:c r="C944" s="10"/>
      <x:c r="D944" s="10"/>
    </x:row>
    <x:row r="945" ht="14.25" customHeight="1">
      <x:c r="A945" s="10"/>
      <x:c r="B945" s="10"/>
      <x:c r="C945" s="10"/>
      <x:c r="D945" s="10"/>
    </x:row>
    <x:row r="946" ht="14.25" customHeight="1">
      <x:c r="A946" s="10"/>
      <x:c r="B946" s="10"/>
      <x:c r="C946" s="10"/>
      <x:c r="D946" s="10"/>
    </x:row>
    <x:row r="947" ht="14.25" customHeight="1">
      <x:c r="A947" s="10"/>
      <x:c r="B947" s="10"/>
      <x:c r="C947" s="10"/>
      <x:c r="D947" s="10"/>
    </x:row>
    <x:row r="948" ht="14.25" customHeight="1">
      <x:c r="A948" s="10"/>
      <x:c r="B948" s="10"/>
      <x:c r="C948" s="10"/>
      <x:c r="D948" s="10"/>
    </x:row>
    <x:row r="949" ht="14.25" customHeight="1">
      <x:c r="A949" s="10"/>
      <x:c r="B949" s="10"/>
      <x:c r="C949" s="10"/>
      <x:c r="D949" s="10"/>
    </x:row>
    <x:row r="950" ht="14.25" customHeight="1">
      <x:c r="A950" s="10"/>
      <x:c r="B950" s="10"/>
      <x:c r="C950" s="10"/>
      <x:c r="D950" s="10"/>
    </x:row>
    <x:row r="951" ht="14.25" customHeight="1">
      <x:c r="A951" s="10"/>
      <x:c r="B951" s="10"/>
      <x:c r="C951" s="10"/>
      <x:c r="D951" s="10"/>
    </x:row>
    <x:row r="952" ht="14.25" customHeight="1">
      <x:c r="A952" s="10"/>
      <x:c r="B952" s="10"/>
      <x:c r="C952" s="10"/>
      <x:c r="D952" s="10"/>
    </x:row>
    <x:row r="953" ht="14.25" customHeight="1">
      <x:c r="A953" s="10"/>
      <x:c r="B953" s="10"/>
      <x:c r="C953" s="10"/>
      <x:c r="D953" s="10"/>
    </x:row>
    <x:row r="954" ht="14.25" customHeight="1">
      <x:c r="A954" s="10"/>
      <x:c r="B954" s="10"/>
      <x:c r="C954" s="10"/>
      <x:c r="D954" s="10"/>
    </x:row>
    <x:row r="955" ht="14.25" customHeight="1">
      <x:c r="A955" s="10"/>
      <x:c r="B955" s="10"/>
      <x:c r="C955" s="10"/>
      <x:c r="D955" s="10"/>
    </x:row>
    <x:row r="956" ht="14.25" customHeight="1">
      <x:c r="A956" s="10"/>
      <x:c r="B956" s="10"/>
      <x:c r="C956" s="10"/>
      <x:c r="D956" s="10"/>
    </x:row>
    <x:row r="957" ht="14.25" customHeight="1">
      <x:c r="A957" s="10"/>
      <x:c r="B957" s="10"/>
      <x:c r="C957" s="10"/>
      <x:c r="D957" s="10"/>
    </x:row>
    <x:row r="958" ht="14.25" customHeight="1">
      <x:c r="A958" s="10"/>
      <x:c r="B958" s="10"/>
      <x:c r="C958" s="10"/>
      <x:c r="D958" s="10"/>
    </x:row>
    <x:row r="959" ht="14.25" customHeight="1">
      <x:c r="A959" s="10"/>
      <x:c r="B959" s="10"/>
      <x:c r="C959" s="10"/>
      <x:c r="D959" s="10"/>
    </x:row>
    <x:row r="960" ht="14.25" customHeight="1">
      <x:c r="A960" s="10"/>
      <x:c r="B960" s="10"/>
      <x:c r="C960" s="10"/>
      <x:c r="D960" s="10"/>
    </x:row>
    <x:row r="961" ht="14.25" customHeight="1">
      <x:c r="A961" s="10"/>
      <x:c r="B961" s="10"/>
      <x:c r="C961" s="10"/>
      <x:c r="D961" s="10"/>
    </x:row>
    <x:row r="962" ht="14.25" customHeight="1">
      <x:c r="A962" s="10"/>
      <x:c r="B962" s="10"/>
      <x:c r="C962" s="10"/>
      <x:c r="D962" s="10"/>
    </x:row>
    <x:row r="963" ht="14.25" customHeight="1">
      <x:c r="A963" s="10"/>
      <x:c r="B963" s="10"/>
      <x:c r="C963" s="10"/>
      <x:c r="D963" s="10"/>
    </x:row>
    <x:row r="964" ht="14.25" customHeight="1">
      <x:c r="A964" s="10"/>
      <x:c r="B964" s="10"/>
      <x:c r="C964" s="10"/>
      <x:c r="D964" s="10"/>
    </x:row>
    <x:row r="965" ht="14.25" customHeight="1">
      <x:c r="A965" s="10"/>
      <x:c r="B965" s="10"/>
      <x:c r="C965" s="10"/>
      <x:c r="D965" s="10"/>
    </x:row>
    <x:row r="966" ht="14.25" customHeight="1">
      <x:c r="A966" s="10"/>
      <x:c r="B966" s="10"/>
      <x:c r="C966" s="10"/>
      <x:c r="D966" s="10"/>
    </x:row>
    <x:row r="967" ht="14.25" customHeight="1">
      <x:c r="A967" s="10"/>
      <x:c r="B967" s="10"/>
      <x:c r="C967" s="10"/>
      <x:c r="D967" s="10"/>
    </x:row>
    <x:row r="968" ht="14.25" customHeight="1">
      <x:c r="A968" s="10"/>
      <x:c r="B968" s="10"/>
      <x:c r="C968" s="10"/>
      <x:c r="D968" s="10"/>
    </x:row>
    <x:row r="969" ht="14.25" customHeight="1">
      <x:c r="A969" s="10"/>
      <x:c r="B969" s="10"/>
      <x:c r="C969" s="10"/>
      <x:c r="D969" s="10"/>
    </x:row>
    <x:row r="970" ht="14.25" customHeight="1">
      <x:c r="A970" s="10"/>
      <x:c r="B970" s="10"/>
      <x:c r="C970" s="10"/>
      <x:c r="D970" s="10"/>
    </x:row>
    <x:row r="971" ht="14.25" customHeight="1">
      <x:c r="A971" s="10"/>
      <x:c r="B971" s="10"/>
      <x:c r="C971" s="10"/>
      <x:c r="D971" s="10"/>
    </x:row>
    <x:row r="972" ht="14.25" customHeight="1">
      <x:c r="A972" s="10"/>
      <x:c r="B972" s="10"/>
      <x:c r="C972" s="10"/>
      <x:c r="D972" s="10"/>
    </x:row>
    <x:row r="973" ht="14.25" customHeight="1">
      <x:c r="A973" s="10"/>
      <x:c r="B973" s="10"/>
      <x:c r="C973" s="10"/>
      <x:c r="D973" s="10"/>
    </x:row>
    <x:row r="974" ht="14.25" customHeight="1">
      <x:c r="A974" s="10"/>
      <x:c r="B974" s="10"/>
      <x:c r="C974" s="10"/>
      <x:c r="D974" s="10"/>
    </x:row>
    <x:row r="975" ht="14.25" customHeight="1">
      <x:c r="A975" s="10"/>
      <x:c r="B975" s="10"/>
      <x:c r="C975" s="10"/>
      <x:c r="D975" s="10"/>
    </x:row>
    <x:row r="976" ht="14.25" customHeight="1">
      <x:c r="A976" s="10"/>
      <x:c r="B976" s="10"/>
      <x:c r="C976" s="10"/>
      <x:c r="D976" s="10"/>
    </x:row>
    <x:row r="977" ht="14.25" customHeight="1">
      <x:c r="A977" s="10"/>
      <x:c r="B977" s="10"/>
      <x:c r="C977" s="10"/>
      <x:c r="D977" s="10"/>
    </x:row>
    <x:row r="978" ht="14.25" customHeight="1">
      <x:c r="A978" s="10"/>
      <x:c r="B978" s="10"/>
      <x:c r="C978" s="10"/>
      <x:c r="D978" s="10"/>
    </x:row>
    <x:row r="979" ht="14.25" customHeight="1">
      <x:c r="A979" s="10"/>
      <x:c r="B979" s="10"/>
      <x:c r="C979" s="10"/>
      <x:c r="D979" s="10"/>
    </x:row>
    <x:row r="980" ht="14.25" customHeight="1">
      <x:c r="A980" s="10"/>
      <x:c r="B980" s="10"/>
      <x:c r="C980" s="10"/>
      <x:c r="D980" s="10"/>
    </x:row>
    <x:row r="981" ht="14.25" customHeight="1">
      <x:c r="A981" s="10"/>
      <x:c r="B981" s="10"/>
      <x:c r="C981" s="10"/>
      <x:c r="D981" s="10"/>
    </x:row>
    <x:row r="982" ht="14.25" customHeight="1">
      <x:c r="A982" s="10"/>
      <x:c r="B982" s="10"/>
      <x:c r="C982" s="10"/>
      <x:c r="D982" s="10"/>
    </x:row>
    <x:row r="983" ht="14.25" customHeight="1">
      <x:c r="A983" s="10"/>
      <x:c r="B983" s="10"/>
      <x:c r="C983" s="10"/>
      <x:c r="D983" s="10"/>
    </x:row>
    <x:row r="984" ht="14.25" customHeight="1">
      <x:c r="A984" s="10"/>
      <x:c r="B984" s="10"/>
      <x:c r="C984" s="10"/>
      <x:c r="D984" s="10"/>
    </x:row>
    <x:row r="985" ht="14.25" customHeight="1">
      <x:c r="A985" s="10"/>
      <x:c r="B985" s="10"/>
      <x:c r="C985" s="10"/>
      <x:c r="D985" s="10"/>
    </x:row>
    <x:row r="986" ht="14.25" customHeight="1">
      <x:c r="A986" s="10"/>
      <x:c r="B986" s="10"/>
      <x:c r="C986" s="10"/>
      <x:c r="D986" s="10"/>
    </x:row>
    <x:row r="987" ht="14.25" customHeight="1">
      <x:c r="A987" s="10"/>
      <x:c r="B987" s="10"/>
      <x:c r="C987" s="10"/>
      <x:c r="D987" s="10"/>
    </x:row>
    <x:row r="988" ht="14.25" customHeight="1">
      <x:c r="A988" s="10"/>
      <x:c r="B988" s="10"/>
      <x:c r="C988" s="10"/>
      <x:c r="D988" s="10"/>
    </x:row>
    <x:row r="989" ht="14.25" customHeight="1">
      <x:c r="A989" s="10"/>
      <x:c r="B989" s="10"/>
      <x:c r="C989" s="10"/>
      <x:c r="D989" s="10"/>
    </x:row>
    <x:row r="990" ht="14.25" customHeight="1">
      <x:c r="A990" s="10"/>
      <x:c r="B990" s="10"/>
      <x:c r="C990" s="10"/>
      <x:c r="D990" s="10"/>
    </x:row>
    <x:row r="991" ht="14.25" customHeight="1">
      <x:c r="A991" s="10"/>
      <x:c r="B991" s="10"/>
      <x:c r="C991" s="10"/>
      <x:c r="D991" s="10"/>
    </x:row>
    <x:row r="992" ht="14.25" customHeight="1">
      <x:c r="A992" s="10"/>
      <x:c r="B992" s="10"/>
      <x:c r="C992" s="10"/>
      <x:c r="D992" s="10"/>
    </x:row>
    <x:row r="993" ht="14.25" customHeight="1">
      <x:c r="A993" s="10"/>
      <x:c r="B993" s="10"/>
      <x:c r="C993" s="10"/>
      <x:c r="D993" s="10"/>
    </x:row>
    <x:row r="994" ht="14.25" customHeight="1">
      <x:c r="A994" s="10"/>
      <x:c r="B994" s="10"/>
      <x:c r="C994" s="10"/>
      <x:c r="D994" s="10"/>
    </x:row>
    <x:row r="995" ht="14.25" customHeight="1">
      <x:c r="A995" s="10"/>
      <x:c r="B995" s="10"/>
      <x:c r="C995" s="10"/>
      <x:c r="D995" s="10"/>
    </x:row>
    <x:row r="996" ht="14.25" customHeight="1">
      <x:c r="A996" s="10"/>
      <x:c r="B996" s="10"/>
      <x:c r="C996" s="10"/>
      <x:c r="D996" s="10"/>
    </x:row>
    <x:row r="997" ht="14.25" customHeight="1">
      <x:c r="A997" s="10"/>
      <x:c r="B997" s="10"/>
      <x:c r="C997" s="10"/>
      <x:c r="D997" s="10"/>
    </x:row>
    <x:row r="998" ht="14.25" customHeight="1">
      <x:c r="A998" s="10"/>
      <x:c r="B998" s="10"/>
      <x:c r="C998" s="10"/>
      <x:c r="D998" s="10"/>
    </x:row>
    <x:row r="999" ht="14.25" customHeight="1">
      <x:c r="A999" s="10"/>
      <x:c r="B999" s="10"/>
      <x:c r="C999" s="10"/>
      <x:c r="D999" s="10"/>
    </x:row>
    <x:row r="1000" ht="14.25" customHeight="1">
      <x:c r="A1000" s="10"/>
      <x:c r="B1000" s="10"/>
      <x:c r="C1000" s="10"/>
      <x:c r="D1000" s="10"/>
    </x:row>
  </x:sheetData>
  <x:pageMargins left="0.7" right="0.7" top="0.75" bottom="0.75" header="0.3" footer="0.3"/>
</x:worksheet>
</file>

<file path=xl/worksheets/sheet9.xml><?xml version="1.0" encoding="utf-8"?>
<x:worksheet xmlns:x="http://schemas.openxmlformats.org/spreadsheetml/2006/main">
  <x:sheetFormatPr defaultColWidth="14.453125" defaultRowHeight="15"/>
  <x:cols>
    <x:col min="1" max="1" width="13" customWidth="1"/>
    <x:col min="2" max="2" width="30" customWidth="1"/>
    <x:col min="3" max="3" width="46" customWidth="1"/>
    <x:col min="4" max="4" width="8" customWidth="1"/>
    <x:col min="5" max="26" width="8.54296875" customWidth="1"/>
  </x:cols>
  <x:sheetData>
    <x:row r="1" ht="15.75" customHeight="1">
      <x:c r="A1" s="11" t="s">
        <x:v>1039</x:v>
      </x:c>
      <x:c r="B1" s="10"/>
      <x:c r="C1" s="10"/>
      <x:c r="D1" s="10"/>
    </x:row>
    <x:row r="2" ht="14.25" customHeight="1">
      <x:c r="A2" s="10"/>
      <x:c r="B2" s="10"/>
      <x:c r="C2" s="10"/>
      <x:c r="D2" s="10"/>
    </x:row>
    <x:row r="3" ht="15" customHeight="1">
      <x:c r="A3" s="14" t="s">
        <x:v>902</x:v>
      </x:c>
      <x:c r="B3" s="14" t="s">
        <x:v>918</x:v>
      </x:c>
      <x:c r="C3" s="14" t="s">
        <x:v>963</x:v>
      </x:c>
      <x:c r="D3" s="14" t="s">
        <x:v>964</x:v>
      </x:c>
    </x:row>
    <x:row r="4" ht="15" customHeight="1">
      <x:c r="A4" s="19" t="s">
        <x:v>904</x:v>
      </x:c>
      <x:c r="B4" s="19" t="s">
        <x:v>927</x:v>
      </x:c>
      <x:c r="C4" s="19" t="s">
        <x:v>1040</x:v>
      </x:c>
      <x:c r="D4" s="23" t="n">
        <x:f>SUMIFS('Data (parsed)'!$I$2:$I$235,'Data (parsed)'!$B$2:$B$235,$A4,'Data (parsed)'!$C$2:$C$235,$B4,'Data (parsed)'!$H$2:$H$235,$C4)</x:f>
        <x:v>1</x:v>
      </x:c>
    </x:row>
    <x:row r="5" ht="15" customHeight="1">
      <x:c r="A5" s="19" t="s">
        <x:v>904</x:v>
      </x:c>
      <x:c r="B5" s="19" t="s">
        <x:v>927</x:v>
      </x:c>
      <x:c r="C5" s="19" t="s">
        <x:v>969</x:v>
      </x:c>
      <x:c r="D5" s="23" t="n">
        <x:f>SUMIFS('Data (parsed)'!$I$2:$I$235,'Data (parsed)'!$B$2:$B$235,$A5,'Data (parsed)'!$C$2:$C$235,$B5,'Data (parsed)'!$H$2:$H$235,$C5)</x:f>
        <x:v>1</x:v>
      </x:c>
    </x:row>
    <x:row r="6" ht="15" customHeight="1">
      <x:c r="A6" s="19" t="s">
        <x:v>904</x:v>
      </x:c>
      <x:c r="B6" s="19" t="s">
        <x:v>927</x:v>
      </x:c>
      <x:c r="C6" s="26" t="s">
        <x:v>1041</x:v>
      </x:c>
      <x:c r="D6" s="23" t="n">
        <x:f>SUMIFS('Data (parsed)'!$I$2:$I$235,'Data (parsed)'!$B$2:$B$235,$A6,'Data (parsed)'!$C$2:$C$235,$B6,'Data (parsed)'!$H$2:$H$235,$C6)</x:f>
        <x:v>1</x:v>
      </x:c>
    </x:row>
    <x:row r="7" ht="15" customHeight="1">
      <x:c r="A7" s="19" t="s">
        <x:v>904</x:v>
      </x:c>
      <x:c r="B7" s="19" t="s">
        <x:v>922</x:v>
      </x:c>
      <x:c r="C7" s="26" t="s">
        <x:v>1042</x:v>
      </x:c>
      <x:c r="D7" s="23" t="n">
        <x:f>SUMIFS('Data (parsed)'!$I$2:$I$235,'Data (parsed)'!$B$2:$B$235,$A7,'Data (parsed)'!$C$2:$C$235,$B7,'Data (parsed)'!$H$2:$H$235,$C7)</x:f>
        <x:v>6</x:v>
      </x:c>
    </x:row>
    <x:row r="8" ht="15" customHeight="1">
      <x:c r="A8" s="19" t="s">
        <x:v>904</x:v>
      </x:c>
      <x:c r="B8" s="19" t="s">
        <x:v>922</x:v>
      </x:c>
      <x:c r="C8" s="19" t="s">
        <x:v>1043</x:v>
      </x:c>
      <x:c r="D8" s="23" t="n">
        <x:f>SUMIFS('Data (parsed)'!$I$2:$I$235,'Data (parsed)'!$B$2:$B$235,$A8,'Data (parsed)'!$C$2:$C$235,$B8,'Data (parsed)'!$H$2:$H$235,$C8)</x:f>
        <x:v>2</x:v>
      </x:c>
    </x:row>
    <x:row r="9" ht="15" customHeight="1">
      <x:c r="A9" s="19" t="s">
        <x:v>904</x:v>
      </x:c>
      <x:c r="B9" s="19" t="s">
        <x:v>922</x:v>
      </x:c>
      <x:c r="C9" s="26" t="s">
        <x:v>1044</x:v>
      </x:c>
      <x:c r="D9" s="23" t="n">
        <x:f>SUMIFS('Data (parsed)'!$I$2:$I$235,'Data (parsed)'!$B$2:$B$235,$A9,'Data (parsed)'!$C$2:$C$235,$B9,'Data (parsed)'!$H$2:$H$235,$C9)</x:f>
        <x:v>1</x:v>
      </x:c>
    </x:row>
    <x:row r="10" ht="15" customHeight="1">
      <x:c r="A10" s="19" t="s">
        <x:v>904</x:v>
      </x:c>
      <x:c r="B10" s="19" t="s">
        <x:v>922</x:v>
      </x:c>
      <x:c r="C10" s="19" t="s">
        <x:v>1040</x:v>
      </x:c>
      <x:c r="D10" s="23" t="n">
        <x:f>SUMIFS('Data (parsed)'!$I$2:$I$235,'Data (parsed)'!$B$2:$B$235,$A10,'Data (parsed)'!$C$2:$C$235,$B10,'Data (parsed)'!$H$2:$H$235,$C10)</x:f>
        <x:v>1</x:v>
      </x:c>
    </x:row>
    <x:row r="11" ht="15" customHeight="1">
      <x:c r="A11" s="19" t="s">
        <x:v>904</x:v>
      </x:c>
      <x:c r="B11" s="19" t="s">
        <x:v>922</x:v>
      </x:c>
      <x:c r="C11" s="26" t="s">
        <x:v>1045</x:v>
      </x:c>
      <x:c r="D11" s="23" t="n">
        <x:f>SUMIFS('Data (parsed)'!$I$2:$I$235,'Data (parsed)'!$B$2:$B$235,$A11,'Data (parsed)'!$C$2:$C$235,$B11,'Data (parsed)'!$H$2:$H$235,$C11)</x:f>
        <x:v>1</x:v>
      </x:c>
    </x:row>
    <x:row r="12" ht="15" customHeight="1">
      <x:c r="A12" s="19" t="s">
        <x:v>904</x:v>
      </x:c>
      <x:c r="B12" s="19" t="s">
        <x:v>922</x:v>
      </x:c>
      <x:c r="C12" s="26" t="s">
        <x:v>1046</x:v>
      </x:c>
      <x:c r="D12" s="23" t="n">
        <x:f>SUMIFS('Data (parsed)'!$I$2:$I$235,'Data (parsed)'!$B$2:$B$235,$A12,'Data (parsed)'!$C$2:$C$235,$B12,'Data (parsed)'!$H$2:$H$235,$C12)</x:f>
        <x:v>1</x:v>
      </x:c>
    </x:row>
    <x:row r="13" ht="15" customHeight="1">
      <x:c r="A13" s="19" t="s">
        <x:v>904</x:v>
      </x:c>
      <x:c r="B13" s="19" t="s">
        <x:v>924</x:v>
      </x:c>
      <x:c r="C13" s="26" t="s">
        <x:v>1042</x:v>
      </x:c>
      <x:c r="D13" s="23" t="n">
        <x:f>SUMIFS('Data (parsed)'!$I$2:$I$235,'Data (parsed)'!$B$2:$B$235,$A13,'Data (parsed)'!$C$2:$C$235,$B13,'Data (parsed)'!$H$2:$H$235,$C13)</x:f>
        <x:v>3</x:v>
      </x:c>
    </x:row>
    <x:row r="14" ht="15" customHeight="1">
      <x:c r="A14" s="19" t="s">
        <x:v>904</x:v>
      </x:c>
      <x:c r="B14" s="19" t="s">
        <x:v>924</x:v>
      </x:c>
      <x:c r="C14" s="26" t="s">
        <x:v>1041</x:v>
      </x:c>
      <x:c r="D14" s="23" t="n">
        <x:f>SUMIFS('Data (parsed)'!$I$2:$I$235,'Data (parsed)'!$B$2:$B$235,$A14,'Data (parsed)'!$C$2:$C$235,$B14,'Data (parsed)'!$H$2:$H$235,$C14)</x:f>
        <x:v>2</x:v>
      </x:c>
    </x:row>
    <x:row r="15" ht="15" customHeight="1">
      <x:c r="A15" s="19" t="s">
        <x:v>904</x:v>
      </x:c>
      <x:c r="B15" s="19" t="s">
        <x:v>924</x:v>
      </x:c>
      <x:c r="C15" s="19" t="s">
        <x:v>1043</x:v>
      </x:c>
      <x:c r="D15" s="23" t="n">
        <x:f>SUMIFS('Data (parsed)'!$I$2:$I$235,'Data (parsed)'!$B$2:$B$235,$A15,'Data (parsed)'!$C$2:$C$235,$B15,'Data (parsed)'!$H$2:$H$235,$C15)</x:f>
        <x:v>1</x:v>
      </x:c>
    </x:row>
    <x:row r="16" ht="15" customHeight="1">
      <x:c r="A16" s="19" t="s">
        <x:v>904</x:v>
      </x:c>
      <x:c r="B16" s="19" t="s">
        <x:v>924</x:v>
      </x:c>
      <x:c r="C16" s="26" t="s">
        <x:v>1046</x:v>
      </x:c>
      <x:c r="D16" s="23" t="n">
        <x:f>SUMIFS('Data (parsed)'!$I$2:$I$235,'Data (parsed)'!$B$2:$B$235,$A16,'Data (parsed)'!$C$2:$C$235,$B16,'Data (parsed)'!$H$2:$H$235,$C16)</x:f>
        <x:v>1</x:v>
      </x:c>
    </x:row>
    <x:row r="17" ht="26.25" customHeight="1">
      <x:c r="A17" s="19" t="s">
        <x:v>904</x:v>
      </x:c>
      <x:c r="B17" s="19" t="s">
        <x:v>928</x:v>
      </x:c>
      <x:c r="C17" s="26" t="s">
        <x:v>1047</x:v>
      </x:c>
      <x:c r="D17" s="23" t="n">
        <x:f>SUMIFS('Data (parsed)'!$I$2:$I$235,'Data (parsed)'!$B$2:$B$235,$A17,'Data (parsed)'!$C$2:$C$235,$B17,'Data (parsed)'!$H$2:$H$235,$C17)</x:f>
        <x:v>1</x:v>
      </x:c>
    </x:row>
    <x:row r="18" ht="26.25" customHeight="1">
      <x:c r="A18" s="19" t="s">
        <x:v>904</x:v>
      </x:c>
      <x:c r="B18" s="19" t="s">
        <x:v>928</x:v>
      </x:c>
      <x:c r="C18" s="19" t="s">
        <x:v>1043</x:v>
      </x:c>
      <x:c r="D18" s="23" t="n">
        <x:f>SUMIFS('Data (parsed)'!$I$2:$I$235,'Data (parsed)'!$B$2:$B$235,$A18,'Data (parsed)'!$C$2:$C$235,$B18,'Data (parsed)'!$H$2:$H$235,$C18)</x:f>
        <x:v>1</x:v>
      </x:c>
    </x:row>
    <x:row r="19" ht="15" customHeight="1">
      <x:c r="A19" s="19" t="s">
        <x:v>904</x:v>
      </x:c>
      <x:c r="B19" s="19" t="s">
        <x:v>921</x:v>
      </x:c>
      <x:c r="C19" s="26" t="s">
        <x:v>1042</x:v>
      </x:c>
      <x:c r="D19" s="23" t="n">
        <x:f>SUMIFS('Data (parsed)'!$I$2:$I$235,'Data (parsed)'!$B$2:$B$235,$A19,'Data (parsed)'!$C$2:$C$235,$B19,'Data (parsed)'!$H$2:$H$235,$C19)</x:f>
        <x:v>4</x:v>
      </x:c>
    </x:row>
    <x:row r="20" ht="15" customHeight="1">
      <x:c r="A20" s="19" t="s">
        <x:v>904</x:v>
      </x:c>
      <x:c r="B20" s="19" t="s">
        <x:v>921</x:v>
      </x:c>
      <x:c r="C20" s="26" t="s">
        <x:v>1041</x:v>
      </x:c>
      <x:c r="D20" s="23" t="n">
        <x:f>SUMIFS('Data (parsed)'!$I$2:$I$235,'Data (parsed)'!$B$2:$B$235,$A20,'Data (parsed)'!$C$2:$C$235,$B20,'Data (parsed)'!$H$2:$H$235,$C20)</x:f>
        <x:v>4</x:v>
      </x:c>
    </x:row>
    <x:row r="21" ht="15" customHeight="1">
      <x:c r="A21" s="19" t="s">
        <x:v>904</x:v>
      </x:c>
      <x:c r="B21" s="19" t="s">
        <x:v>921</x:v>
      </x:c>
      <x:c r="C21" s="19" t="s">
        <x:v>969</x:v>
      </x:c>
      <x:c r="D21" s="23" t="n">
        <x:f>SUMIFS('Data (parsed)'!$I$2:$I$235,'Data (parsed)'!$B$2:$B$235,$A21,'Data (parsed)'!$C$2:$C$235,$B21,'Data (parsed)'!$H$2:$H$235,$C21)</x:f>
        <x:v>3</x:v>
      </x:c>
    </x:row>
    <x:row r="22" ht="15" customHeight="1">
      <x:c r="A22" s="19" t="s">
        <x:v>904</x:v>
      </x:c>
      <x:c r="B22" s="19" t="s">
        <x:v>921</x:v>
      </x:c>
      <x:c r="C22" s="19" t="s">
        <x:v>1048</x:v>
      </x:c>
      <x:c r="D22" s="23" t="n">
        <x:f>SUMIFS('Data (parsed)'!$I$2:$I$235,'Data (parsed)'!$B$2:$B$235,$A22,'Data (parsed)'!$C$2:$C$235,$B22,'Data (parsed)'!$H$2:$H$235,$C22)</x:f>
        <x:v>2</x:v>
      </x:c>
    </x:row>
    <x:row r="23" ht="15" customHeight="1">
      <x:c r="A23" s="19" t="s">
        <x:v>904</x:v>
      </x:c>
      <x:c r="B23" s="19" t="s">
        <x:v>921</x:v>
      </x:c>
      <x:c r="C23" s="26" t="s">
        <x:v>1049</x:v>
      </x:c>
      <x:c r="D23" s="23" t="n">
        <x:f>SUMIFS('Data (parsed)'!$I$2:$I$235,'Data (parsed)'!$B$2:$B$235,$A23,'Data (parsed)'!$C$2:$C$235,$B23,'Data (parsed)'!$H$2:$H$235,$C23)</x:f>
        <x:v>1</x:v>
      </x:c>
    </x:row>
    <x:row r="24" ht="15" customHeight="1">
      <x:c r="A24" s="19" t="s">
        <x:v>904</x:v>
      </x:c>
      <x:c r="B24" s="19" t="s">
        <x:v>921</x:v>
      </x:c>
      <x:c r="C24" s="26" t="s">
        <x:v>1050</x:v>
      </x:c>
      <x:c r="D24" s="23" t="n">
        <x:f>SUMIFS('Data (parsed)'!$I$2:$I$235,'Data (parsed)'!$B$2:$B$235,$A24,'Data (parsed)'!$C$2:$C$235,$B24,'Data (parsed)'!$H$2:$H$235,$C24)</x:f>
        <x:v>1</x:v>
      </x:c>
    </x:row>
    <x:row r="25" ht="15" customHeight="1">
      <x:c r="A25" s="19" t="s">
        <x:v>904</x:v>
      </x:c>
      <x:c r="B25" s="19" t="s">
        <x:v>921</x:v>
      </x:c>
      <x:c r="C25" s="19" t="s">
        <x:v>1043</x:v>
      </x:c>
      <x:c r="D25" s="23" t="n">
        <x:f>SUMIFS('Data (parsed)'!$I$2:$I$235,'Data (parsed)'!$B$2:$B$235,$A25,'Data (parsed)'!$C$2:$C$235,$B25,'Data (parsed)'!$H$2:$H$235,$C25)</x:f>
        <x:v>1</x:v>
      </x:c>
    </x:row>
    <x:row r="26" ht="15" customHeight="1">
      <x:c r="A26" s="19" t="s">
        <x:v>904</x:v>
      </x:c>
      <x:c r="B26" s="19" t="s">
        <x:v>921</x:v>
      </x:c>
      <x:c r="C26" s="19" t="s">
        <x:v>1051</x:v>
      </x:c>
      <x:c r="D26" s="23" t="n">
        <x:f>SUMIFS('Data (parsed)'!$I$2:$I$235,'Data (parsed)'!$B$2:$B$235,$A26,'Data (parsed)'!$C$2:$C$235,$B26,'Data (parsed)'!$H$2:$H$235,$C26)</x:f>
        <x:v>0</x:v>
      </x:c>
    </x:row>
    <x:row r="27" ht="15" customHeight="1">
      <x:c r="A27" s="19" t="s">
        <x:v>904</x:v>
      </x:c>
      <x:c r="B27" s="19" t="s">
        <x:v>919</x:v>
      </x:c>
      <x:c r="C27" s="26" t="s">
        <x:v>1042</x:v>
      </x:c>
      <x:c r="D27" s="23" t="n">
        <x:f>SUMIFS('Data (parsed)'!$I$2:$I$235,'Data (parsed)'!$B$2:$B$235,$A27,'Data (parsed)'!$C$2:$C$235,$B27,'Data (parsed)'!$H$2:$H$235,$C27)</x:f>
        <x:v>10</x:v>
      </x:c>
    </x:row>
    <x:row r="28" ht="15" customHeight="1">
      <x:c r="A28" s="19" t="s">
        <x:v>904</x:v>
      </x:c>
      <x:c r="B28" s="19" t="s">
        <x:v>919</x:v>
      </x:c>
      <x:c r="C28" s="26" t="s">
        <x:v>1041</x:v>
      </x:c>
      <x:c r="D28" s="23" t="n">
        <x:f>SUMIFS('Data (parsed)'!$I$2:$I$235,'Data (parsed)'!$B$2:$B$235,$A28,'Data (parsed)'!$C$2:$C$235,$B28,'Data (parsed)'!$H$2:$H$235,$C28)</x:f>
        <x:v>5</x:v>
      </x:c>
    </x:row>
    <x:row r="29" ht="15" customHeight="1">
      <x:c r="A29" s="19" t="s">
        <x:v>904</x:v>
      </x:c>
      <x:c r="B29" s="19" t="s">
        <x:v>919</x:v>
      </x:c>
      <x:c r="C29" s="19" t="s">
        <x:v>969</x:v>
      </x:c>
      <x:c r="D29" s="23" t="n">
        <x:f>SUMIFS('Data (parsed)'!$I$2:$I$235,'Data (parsed)'!$B$2:$B$235,$A29,'Data (parsed)'!$C$2:$C$235,$B29,'Data (parsed)'!$H$2:$H$235,$C29)</x:f>
        <x:v>4</x:v>
      </x:c>
    </x:row>
    <x:row r="30" ht="15" customHeight="1">
      <x:c r="A30" s="19" t="s">
        <x:v>904</x:v>
      </x:c>
      <x:c r="B30" s="19" t="s">
        <x:v>919</x:v>
      </x:c>
      <x:c r="C30" s="19" t="s">
        <x:v>1052</x:v>
      </x:c>
      <x:c r="D30" s="23" t="n">
        <x:f>SUMIFS('Data (parsed)'!$I$2:$I$235,'Data (parsed)'!$B$2:$B$235,$A30,'Data (parsed)'!$C$2:$C$235,$B30,'Data (parsed)'!$H$2:$H$235,$C30)</x:f>
        <x:v>1</x:v>
      </x:c>
    </x:row>
    <x:row r="31" ht="15" customHeight="1">
      <x:c r="A31" s="19" t="s">
        <x:v>904</x:v>
      </x:c>
      <x:c r="B31" s="19" t="s">
        <x:v>919</x:v>
      </x:c>
      <x:c r="C31" s="19" t="s">
        <x:v>1053</x:v>
      </x:c>
      <x:c r="D31" s="23" t="n">
        <x:f>SUMIFS('Data (parsed)'!$I$2:$I$235,'Data (parsed)'!$B$2:$B$235,$A31,'Data (parsed)'!$C$2:$C$235,$B31,'Data (parsed)'!$H$2:$H$235,$C31)</x:f>
        <x:v>0</x:v>
      </x:c>
    </x:row>
    <x:row r="32" ht="15" customHeight="1">
      <x:c r="A32" s="19" t="s">
        <x:v>904</x:v>
      </x:c>
      <x:c r="B32" s="19" t="s">
        <x:v>919</x:v>
      </x:c>
      <x:c r="C32" s="19" t="s">
        <x:v>1043</x:v>
      </x:c>
      <x:c r="D32" s="23" t="n">
        <x:f>SUMIFS('Data (parsed)'!$I$2:$I$235,'Data (parsed)'!$B$2:$B$235,$A32,'Data (parsed)'!$C$2:$C$235,$B32,'Data (parsed)'!$H$2:$H$235,$C32)</x:f>
        <x:v>1</x:v>
      </x:c>
    </x:row>
    <x:row r="33" ht="15" customHeight="1">
      <x:c r="A33" s="19" t="s">
        <x:v>904</x:v>
      </x:c>
      <x:c r="B33" s="19" t="s">
        <x:v>919</x:v>
      </x:c>
      <x:c r="C33" s="26" t="s">
        <x:v>1054</x:v>
      </x:c>
      <x:c r="D33" s="23" t="n">
        <x:f>SUMIFS('Data (parsed)'!$I$2:$I$235,'Data (parsed)'!$B$2:$B$235,$A33,'Data (parsed)'!$C$2:$C$235,$B33,'Data (parsed)'!$H$2:$H$235,$C33)</x:f>
        <x:v>0</x:v>
      </x:c>
    </x:row>
    <x:row r="34" ht="15" customHeight="1">
      <x:c r="A34" s="19" t="s">
        <x:v>904</x:v>
      </x:c>
      <x:c r="B34" s="19" t="s">
        <x:v>919</x:v>
      </x:c>
      <x:c r="C34" s="26" t="s">
        <x:v>1055</x:v>
      </x:c>
      <x:c r="D34" s="23" t="n">
        <x:f>SUMIFS('Data (parsed)'!$I$2:$I$235,'Data (parsed)'!$B$2:$B$235,$A34,'Data (parsed)'!$C$2:$C$235,$B34,'Data (parsed)'!$H$2:$H$235,$C34)</x:f>
        <x:v>1</x:v>
      </x:c>
    </x:row>
    <x:row r="35" ht="15" customHeight="1">
      <x:c r="A35" s="19" t="s">
        <x:v>904</x:v>
      </x:c>
      <x:c r="B35" s="19" t="s">
        <x:v>919</x:v>
      </x:c>
      <x:c r="C35" s="26" t="s">
        <x:v>1045</x:v>
      </x:c>
      <x:c r="D35" s="23" t="n">
        <x:f>SUMIFS('Data (parsed)'!$I$2:$I$235,'Data (parsed)'!$B$2:$B$235,$A35,'Data (parsed)'!$C$2:$C$235,$B35,'Data (parsed)'!$H$2:$H$235,$C35)</x:f>
        <x:v>1</x:v>
      </x:c>
    </x:row>
    <x:row r="36" ht="15" customHeight="1">
      <x:c r="A36" s="19" t="s">
        <x:v>904</x:v>
      </x:c>
      <x:c r="B36" s="19" t="s">
        <x:v>923</x:v>
      </x:c>
      <x:c r="C36" s="26" t="s">
        <x:v>1042</x:v>
      </x:c>
      <x:c r="D36" s="23" t="n">
        <x:f>SUMIFS('Data (parsed)'!$I$2:$I$235,'Data (parsed)'!$B$2:$B$235,$A36,'Data (parsed)'!$C$2:$C$235,$B36,'Data (parsed)'!$H$2:$H$235,$C36)</x:f>
        <x:v>4</x:v>
      </x:c>
    </x:row>
    <x:row r="37" ht="15" customHeight="1">
      <x:c r="A37" s="19" t="s">
        <x:v>904</x:v>
      </x:c>
      <x:c r="B37" s="19" t="s">
        <x:v>923</x:v>
      </x:c>
      <x:c r="C37" s="26" t="s">
        <x:v>1041</x:v>
      </x:c>
      <x:c r="D37" s="23" t="n">
        <x:f>SUMIFS('Data (parsed)'!$I$2:$I$235,'Data (parsed)'!$B$2:$B$235,$A37,'Data (parsed)'!$C$2:$C$235,$B37,'Data (parsed)'!$H$2:$H$235,$C37)</x:f>
        <x:v>3</x:v>
      </x:c>
    </x:row>
    <x:row r="38" ht="15" customHeight="1">
      <x:c r="A38" s="19" t="s">
        <x:v>904</x:v>
      </x:c>
      <x:c r="B38" s="19" t="s">
        <x:v>923</x:v>
      </x:c>
      <x:c r="C38" s="26" t="s">
        <x:v>1056</x:v>
      </x:c>
      <x:c r="D38" s="23" t="n">
        <x:f>SUMIFS('Data (parsed)'!$I$2:$I$235,'Data (parsed)'!$B$2:$B$235,$A38,'Data (parsed)'!$C$2:$C$235,$B38,'Data (parsed)'!$H$2:$H$235,$C38)</x:f>
        <x:v>0</x:v>
      </x:c>
    </x:row>
    <x:row r="39" ht="15" customHeight="1">
      <x:c r="A39" s="19" t="s">
        <x:v>904</x:v>
      </x:c>
      <x:c r="B39" s="19" t="s">
        <x:v>923</x:v>
      </x:c>
      <x:c r="C39" s="26" t="s">
        <x:v>1057</x:v>
      </x:c>
      <x:c r="D39" s="23" t="n">
        <x:f>SUMIFS('Data (parsed)'!$I$2:$I$235,'Data (parsed)'!$B$2:$B$235,$A39,'Data (parsed)'!$C$2:$C$235,$B39,'Data (parsed)'!$H$2:$H$235,$C39)</x:f>
        <x:v>1</x:v>
      </x:c>
    </x:row>
    <x:row r="40" ht="15" customHeight="1">
      <x:c r="A40" s="19" t="s">
        <x:v>904</x:v>
      </x:c>
      <x:c r="B40" s="19" t="s">
        <x:v>929</x:v>
      </x:c>
      <x:c r="C40" s="26" t="s">
        <x:v>1058</x:v>
      </x:c>
      <x:c r="D40" s="23" t="n">
        <x:f>SUMIFS('Data (parsed)'!$I$2:$I$235,'Data (parsed)'!$B$2:$B$235,$A40,'Data (parsed)'!$C$2:$C$235,$B40,'Data (parsed)'!$H$2:$H$235,$C40)</x:f>
        <x:v>1</x:v>
      </x:c>
    </x:row>
    <x:row r="41" ht="15" customHeight="1">
      <x:c r="A41" s="19" t="s">
        <x:v>904</x:v>
      </x:c>
      <x:c r="B41" s="19" t="s">
        <x:v>929</x:v>
      </x:c>
      <x:c r="C41" s="19" t="s">
        <x:v>1048</x:v>
      </x:c>
      <x:c r="D41" s="23" t="n">
        <x:f>SUMIFS('Data (parsed)'!$I$2:$I$235,'Data (parsed)'!$B$2:$B$235,$A41,'Data (parsed)'!$C$2:$C$235,$B41,'Data (parsed)'!$H$2:$H$235,$C41)</x:f>
        <x:v>1</x:v>
      </x:c>
    </x:row>
    <x:row r="42" ht="15" customHeight="1">
      <x:c r="A42" s="19" t="s">
        <x:v>904</x:v>
      </x:c>
      <x:c r="B42" s="19" t="s">
        <x:v>920</x:v>
      </x:c>
      <x:c r="C42" s="26" t="s">
        <x:v>1042</x:v>
      </x:c>
      <x:c r="D42" s="23" t="n">
        <x:f>SUMIFS('Data (parsed)'!$I$2:$I$235,'Data (parsed)'!$B$2:$B$235,$A42,'Data (parsed)'!$C$2:$C$235,$B42,'Data (parsed)'!$H$2:$H$235,$C42)</x:f>
        <x:v>6</x:v>
      </x:c>
    </x:row>
    <x:row r="43" ht="15" customHeight="1">
      <x:c r="A43" s="19" t="s">
        <x:v>904</x:v>
      </x:c>
      <x:c r="B43" s="19" t="s">
        <x:v>920</x:v>
      </x:c>
      <x:c r="C43" s="26" t="s">
        <x:v>1041</x:v>
      </x:c>
      <x:c r="D43" s="23" t="n">
        <x:f>SUMIFS('Data (parsed)'!$I$2:$I$235,'Data (parsed)'!$B$2:$B$235,$A43,'Data (parsed)'!$C$2:$C$235,$B43,'Data (parsed)'!$H$2:$H$235,$C43)</x:f>
        <x:v>4</x:v>
      </x:c>
    </x:row>
    <x:row r="44" ht="15" customHeight="1">
      <x:c r="A44" s="19" t="s">
        <x:v>904</x:v>
      </x:c>
      <x:c r="B44" s="19" t="s">
        <x:v>920</x:v>
      </x:c>
      <x:c r="C44" s="19" t="s">
        <x:v>1043</x:v>
      </x:c>
      <x:c r="D44" s="23" t="n">
        <x:f>SUMIFS('Data (parsed)'!$I$2:$I$235,'Data (parsed)'!$B$2:$B$235,$A44,'Data (parsed)'!$C$2:$C$235,$B44,'Data (parsed)'!$H$2:$H$235,$C44)</x:f>
        <x:v>2</x:v>
      </x:c>
    </x:row>
    <x:row r="45" ht="15" customHeight="1">
      <x:c r="A45" s="19" t="s">
        <x:v>904</x:v>
      </x:c>
      <x:c r="B45" s="19" t="s">
        <x:v>920</x:v>
      </x:c>
      <x:c r="C45" s="19" t="s">
        <x:v>969</x:v>
      </x:c>
      <x:c r="D45" s="23" t="n">
        <x:f>SUMIFS('Data (parsed)'!$I$2:$I$235,'Data (parsed)'!$B$2:$B$235,$A45,'Data (parsed)'!$C$2:$C$235,$B45,'Data (parsed)'!$H$2:$H$235,$C45)</x:f>
        <x:v>2</x:v>
      </x:c>
    </x:row>
    <x:row r="46" ht="15" customHeight="1">
      <x:c r="A46" s="19" t="s">
        <x:v>904</x:v>
      </x:c>
      <x:c r="B46" s="19" t="s">
        <x:v>920</x:v>
      </x:c>
      <x:c r="C46" s="19" t="s">
        <x:v>1059</x:v>
      </x:c>
      <x:c r="D46" s="23" t="n">
        <x:f>SUMIFS('Data (parsed)'!$I$2:$I$235,'Data (parsed)'!$B$2:$B$235,$A46,'Data (parsed)'!$C$2:$C$235,$B46,'Data (parsed)'!$H$2:$H$235,$C46)</x:f>
        <x:v>1</x:v>
      </x:c>
    </x:row>
    <x:row r="47" ht="15" customHeight="1">
      <x:c r="A47" s="19" t="s">
        <x:v>904</x:v>
      </x:c>
      <x:c r="B47" s="19" t="s">
        <x:v>920</x:v>
      </x:c>
      <x:c r="C47" s="19" t="s">
        <x:v>1060</x:v>
      </x:c>
      <x:c r="D47" s="23" t="n">
        <x:f>SUMIFS('Data (parsed)'!$I$2:$I$235,'Data (parsed)'!$B$2:$B$235,$A47,'Data (parsed)'!$C$2:$C$235,$B47,'Data (parsed)'!$H$2:$H$235,$C47)</x:f>
        <x:v>1</x:v>
      </x:c>
    </x:row>
    <x:row r="48" ht="15" customHeight="1">
      <x:c r="A48" s="19" t="s">
        <x:v>904</x:v>
      </x:c>
      <x:c r="B48" s="19" t="s">
        <x:v>920</x:v>
      </x:c>
      <x:c r="C48" s="19" t="s">
        <x:v>1040</x:v>
      </x:c>
      <x:c r="D48" s="23" t="n">
        <x:f>SUMIFS('Data (parsed)'!$I$2:$I$235,'Data (parsed)'!$B$2:$B$235,$A48,'Data (parsed)'!$C$2:$C$235,$B48,'Data (parsed)'!$H$2:$H$235,$C48)</x:f>
        <x:v>1</x:v>
      </x:c>
    </x:row>
    <x:row r="49" ht="15" customHeight="1">
      <x:c r="A49" s="19" t="s">
        <x:v>904</x:v>
      </x:c>
      <x:c r="B49" s="19" t="s">
        <x:v>920</x:v>
      </x:c>
      <x:c r="C49" s="19" t="s">
        <x:v>1061</x:v>
      </x:c>
      <x:c r="D49" s="23" t="n">
        <x:f>SUMIFS('Data (parsed)'!$I$2:$I$235,'Data (parsed)'!$B$2:$B$235,$A49,'Data (parsed)'!$C$2:$C$235,$B49,'Data (parsed)'!$H$2:$H$235,$C49)</x:f>
        <x:v>1</x:v>
      </x:c>
    </x:row>
    <x:row r="50" ht="15" customHeight="1">
      <x:c r="A50" s="19" t="s">
        <x:v>904</x:v>
      </x:c>
      <x:c r="B50" s="19" t="s">
        <x:v>920</x:v>
      </x:c>
      <x:c r="C50" s="19" t="s">
        <x:v>1062</x:v>
      </x:c>
      <x:c r="D50" s="23" t="n">
        <x:f>SUMIFS('Data (parsed)'!$I$2:$I$235,'Data (parsed)'!$B$2:$B$235,$A50,'Data (parsed)'!$C$2:$C$235,$B50,'Data (parsed)'!$H$2:$H$235,$C50)</x:f>
        <x:v>1</x:v>
      </x:c>
    </x:row>
    <x:row r="51" ht="15" customHeight="1">
      <x:c r="A51" s="19" t="s">
        <x:v>904</x:v>
      </x:c>
      <x:c r="B51" s="19" t="s">
        <x:v>926</x:v>
      </x:c>
      <x:c r="C51" s="26" t="s">
        <x:v>1042</x:v>
      </x:c>
      <x:c r="D51" s="23" t="n">
        <x:f>SUMIFS('Data (parsed)'!$I$2:$I$235,'Data (parsed)'!$B$2:$B$235,$A51,'Data (parsed)'!$C$2:$C$235,$B51,'Data (parsed)'!$H$2:$H$235,$C51)</x:f>
        <x:v>3</x:v>
      </x:c>
    </x:row>
    <x:row r="52" ht="15" customHeight="1">
      <x:c r="A52" s="19" t="s">
        <x:v>904</x:v>
      </x:c>
      <x:c r="B52" s="19" t="s">
        <x:v>926</x:v>
      </x:c>
      <x:c r="C52" s="19" t="s">
        <x:v>1063</x:v>
      </x:c>
      <x:c r="D52" s="23" t="n">
        <x:f>SUMIFS('Data (parsed)'!$I$2:$I$235,'Data (parsed)'!$B$2:$B$235,$A52,'Data (parsed)'!$C$2:$C$235,$B52,'Data (parsed)'!$H$2:$H$235,$C52)</x:f>
        <x:v>1</x:v>
      </x:c>
    </x:row>
    <x:row r="53" ht="26.25" customHeight="1">
      <x:c r="A53" s="19" t="s">
        <x:v>904</x:v>
      </x:c>
      <x:c r="B53" s="19" t="s">
        <x:v>925</x:v>
      </x:c>
      <x:c r="C53" s="26" t="s">
        <x:v>1041</x:v>
      </x:c>
      <x:c r="D53" s="23" t="n">
        <x:f>SUMIFS('Data (parsed)'!$I$2:$I$235,'Data (parsed)'!$B$2:$B$235,$A53,'Data (parsed)'!$C$2:$C$235,$B53,'Data (parsed)'!$H$2:$H$235,$C53)</x:f>
        <x:v>2</x:v>
      </x:c>
    </x:row>
    <x:row r="54" ht="26.25" customHeight="1">
      <x:c r="A54" s="19" t="s">
        <x:v>904</x:v>
      </x:c>
      <x:c r="B54" s="19" t="s">
        <x:v>925</x:v>
      </x:c>
      <x:c r="C54" s="26" t="s">
        <x:v>1064</x:v>
      </x:c>
      <x:c r="D54" s="23" t="n">
        <x:f>SUMIFS('Data (parsed)'!$I$2:$I$235,'Data (parsed)'!$B$2:$B$235,$A54,'Data (parsed)'!$C$2:$C$235,$B54,'Data (parsed)'!$H$2:$H$235,$C54)</x:f>
        <x:v>1</x:v>
      </x:c>
    </x:row>
    <x:row r="55" ht="26.25" customHeight="1">
      <x:c r="A55" s="19" t="s">
        <x:v>904</x:v>
      </x:c>
      <x:c r="B55" s="19" t="s">
        <x:v>925</x:v>
      </x:c>
      <x:c r="C55" s="26" t="s">
        <x:v>1042</x:v>
      </x:c>
      <x:c r="D55" s="23" t="n">
        <x:f>SUMIFS('Data (parsed)'!$I$2:$I$235,'Data (parsed)'!$B$2:$B$235,$A55,'Data (parsed)'!$C$2:$C$235,$B55,'Data (parsed)'!$H$2:$H$235,$C55)</x:f>
        <x:v>1</x:v>
      </x:c>
    </x:row>
    <x:row r="56" ht="15" customHeight="1">
      <x:c r="A56" s="24" t="s">
        <x:v>905</x:v>
      </x:c>
      <x:c r="B56" s="24" t="s">
        <x:v>934</x:v>
      </x:c>
      <x:c r="C56" s="27" t="s">
        <x:v>1065</x:v>
      </x:c>
      <x:c r="D56" s="25" t="n">
        <x:f>SUMIFS('Data (parsed)'!$I$2:$I$235,'Data (parsed)'!$B$2:$B$235,$A56,'Data (parsed)'!$C$2:$C$235,$B56,'Data (parsed)'!$H$2:$H$235,$C56)</x:f>
        <x:v>0</x:v>
      </x:c>
    </x:row>
    <x:row r="57" ht="15" customHeight="1">
      <x:c r="A57" s="24" t="s">
        <x:v>905</x:v>
      </x:c>
      <x:c r="B57" s="24" t="s">
        <x:v>934</x:v>
      </x:c>
      <x:c r="C57" s="24" t="s">
        <x:v>1043</x:v>
      </x:c>
      <x:c r="D57" s="25" t="n">
        <x:f>SUMIFS('Data (parsed)'!$I$2:$I$235,'Data (parsed)'!$B$2:$B$235,$A57,'Data (parsed)'!$C$2:$C$235,$B57,'Data (parsed)'!$H$2:$H$235,$C57)</x:f>
        <x:v>3</x:v>
      </x:c>
    </x:row>
    <x:row r="58" ht="15" customHeight="1">
      <x:c r="A58" s="24" t="s">
        <x:v>905</x:v>
      </x:c>
      <x:c r="B58" s="24" t="s">
        <x:v>934</x:v>
      </x:c>
      <x:c r="C58" s="27" t="s">
        <x:v>1042</x:v>
      </x:c>
      <x:c r="D58" s="25" t="n">
        <x:f>SUMIFS('Data (parsed)'!$I$2:$I$235,'Data (parsed)'!$B$2:$B$235,$A58,'Data (parsed)'!$C$2:$C$235,$B58,'Data (parsed)'!$H$2:$H$235,$C58)</x:f>
        <x:v>2</x:v>
      </x:c>
    </x:row>
    <x:row r="59" ht="15" customHeight="1">
      <x:c r="A59" s="24" t="s">
        <x:v>905</x:v>
      </x:c>
      <x:c r="B59" s="24" t="s">
        <x:v>934</x:v>
      </x:c>
      <x:c r="C59" s="24" t="s">
        <x:v>1066</x:v>
      </x:c>
      <x:c r="D59" s="25" t="n">
        <x:f>SUMIFS('Data (parsed)'!$I$2:$I$235,'Data (parsed)'!$B$2:$B$235,$A59,'Data (parsed)'!$C$2:$C$235,$B59,'Data (parsed)'!$H$2:$H$235,$C59)</x:f>
        <x:v>1</x:v>
      </x:c>
    </x:row>
    <x:row r="60" ht="15" customHeight="1">
      <x:c r="A60" s="24" t="s">
        <x:v>905</x:v>
      </x:c>
      <x:c r="B60" s="24" t="s">
        <x:v>934</x:v>
      </x:c>
      <x:c r="C60" s="27" t="s">
        <x:v>1067</x:v>
      </x:c>
      <x:c r="D60" s="25" t="n">
        <x:f>SUMIFS('Data (parsed)'!$I$2:$I$235,'Data (parsed)'!$B$2:$B$235,$A60,'Data (parsed)'!$C$2:$C$235,$B60,'Data (parsed)'!$H$2:$H$235,$C60)</x:f>
        <x:v>0</x:v>
      </x:c>
    </x:row>
    <x:row r="61" ht="15" customHeight="1">
      <x:c r="A61" s="24" t="s">
        <x:v>905</x:v>
      </x:c>
      <x:c r="B61" s="24" t="s">
        <x:v>934</x:v>
      </x:c>
      <x:c r="C61" s="24" t="s">
        <x:v>1068</x:v>
      </x:c>
      <x:c r="D61" s="25" t="n">
        <x:f>SUMIFS('Data (parsed)'!$I$2:$I$235,'Data (parsed)'!$B$2:$B$235,$A61,'Data (parsed)'!$C$2:$C$235,$B61,'Data (parsed)'!$H$2:$H$235,$C61)</x:f>
        <x:v>1</x:v>
      </x:c>
    </x:row>
    <x:row r="62" ht="15" customHeight="1">
      <x:c r="A62" s="24" t="s">
        <x:v>905</x:v>
      </x:c>
      <x:c r="B62" s="24" t="s">
        <x:v>934</x:v>
      </x:c>
      <x:c r="C62" s="27" t="s">
        <x:v>1044</x:v>
      </x:c>
      <x:c r="D62" s="25" t="n">
        <x:f>SUMIFS('Data (parsed)'!$I$2:$I$235,'Data (parsed)'!$B$2:$B$235,$A62,'Data (parsed)'!$C$2:$C$235,$B62,'Data (parsed)'!$H$2:$H$235,$C62)</x:f>
        <x:v>1</x:v>
      </x:c>
    </x:row>
    <x:row r="63" ht="15" customHeight="1">
      <x:c r="A63" s="24" t="s">
        <x:v>905</x:v>
      </x:c>
      <x:c r="B63" s="24" t="s">
        <x:v>934</x:v>
      </x:c>
      <x:c r="C63" s="24" t="s">
        <x:v>969</x:v>
      </x:c>
      <x:c r="D63" s="25" t="n">
        <x:f>SUMIFS('Data (parsed)'!$I$2:$I$235,'Data (parsed)'!$B$2:$B$235,$A63,'Data (parsed)'!$C$2:$C$235,$B63,'Data (parsed)'!$H$2:$H$235,$C63)</x:f>
        <x:v>1</x:v>
      </x:c>
    </x:row>
    <x:row r="64" ht="15" customHeight="1">
      <x:c r="A64" s="24" t="s">
        <x:v>905</x:v>
      </x:c>
      <x:c r="B64" s="24" t="s">
        <x:v>934</x:v>
      </x:c>
      <x:c r="C64" s="27" t="s">
        <x:v>1054</x:v>
      </x:c>
      <x:c r="D64" s="25" t="n">
        <x:f>SUMIFS('Data (parsed)'!$I$2:$I$235,'Data (parsed)'!$B$2:$B$235,$A64,'Data (parsed)'!$C$2:$C$235,$B64,'Data (parsed)'!$H$2:$H$235,$C64)</x:f>
        <x:v>0</x:v>
      </x:c>
    </x:row>
    <x:row r="65" ht="15" customHeight="1">
      <x:c r="A65" s="24" t="s">
        <x:v>905</x:v>
      </x:c>
      <x:c r="B65" s="24" t="s">
        <x:v>934</x:v>
      </x:c>
      <x:c r="C65" s="24" t="s">
        <x:v>1069</x:v>
      </x:c>
      <x:c r="D65" s="25" t="n">
        <x:f>SUMIFS('Data (parsed)'!$I$2:$I$235,'Data (parsed)'!$B$2:$B$235,$A65,'Data (parsed)'!$C$2:$C$235,$B65,'Data (parsed)'!$H$2:$H$235,$C65)</x:f>
        <x:v>0</x:v>
      </x:c>
    </x:row>
    <x:row r="66" ht="15" customHeight="1">
      <x:c r="A66" s="24" t="s">
        <x:v>905</x:v>
      </x:c>
      <x:c r="B66" s="24" t="s">
        <x:v>934</x:v>
      </x:c>
      <x:c r="C66" s="27" t="s">
        <x:v>1041</x:v>
      </x:c>
      <x:c r="D66" s="25" t="n">
        <x:f>SUMIFS('Data (parsed)'!$I$2:$I$235,'Data (parsed)'!$B$2:$B$235,$A66,'Data (parsed)'!$C$2:$C$235,$B66,'Data (parsed)'!$H$2:$H$235,$C66)</x:f>
        <x:v>1</x:v>
      </x:c>
    </x:row>
    <x:row r="67" ht="15" customHeight="1">
      <x:c r="A67" s="24" t="s">
        <x:v>905</x:v>
      </x:c>
      <x:c r="B67" s="24" t="s">
        <x:v>937</x:v>
      </x:c>
      <x:c r="C67" s="24" t="s">
        <x:v>969</x:v>
      </x:c>
      <x:c r="D67" s="25" t="n">
        <x:f>SUMIFS('Data (parsed)'!$I$2:$I$235,'Data (parsed)'!$B$2:$B$235,$A67,'Data (parsed)'!$C$2:$C$235,$B67,'Data (parsed)'!$H$2:$H$235,$C67)</x:f>
        <x:v>1</x:v>
      </x:c>
    </x:row>
    <x:row r="68" ht="15" customHeight="1">
      <x:c r="A68" s="24" t="s">
        <x:v>905</x:v>
      </x:c>
      <x:c r="B68" s="24" t="s">
        <x:v>937</x:v>
      </x:c>
      <x:c r="C68" s="27" t="s">
        <x:v>1041</x:v>
      </x:c>
      <x:c r="D68" s="25" t="n">
        <x:f>SUMIFS('Data (parsed)'!$I$2:$I$235,'Data (parsed)'!$B$2:$B$235,$A68,'Data (parsed)'!$C$2:$C$235,$B68,'Data (parsed)'!$H$2:$H$235,$C68)</x:f>
        <x:v>1</x:v>
      </x:c>
    </x:row>
    <x:row r="69" ht="15" customHeight="1">
      <x:c r="A69" s="24" t="s">
        <x:v>905</x:v>
      </x:c>
      <x:c r="B69" s="24" t="s">
        <x:v>937</x:v>
      </x:c>
      <x:c r="C69" s="27" t="s">
        <x:v>1070</x:v>
      </x:c>
      <x:c r="D69" s="25" t="n">
        <x:f>SUMIFS('Data (parsed)'!$I$2:$I$235,'Data (parsed)'!$B$2:$B$235,$A69,'Data (parsed)'!$C$2:$C$235,$B69,'Data (parsed)'!$H$2:$H$235,$C69)</x:f>
        <x:v>0</x:v>
      </x:c>
    </x:row>
    <x:row r="70" ht="15" customHeight="1">
      <x:c r="A70" s="24" t="s">
        <x:v>905</x:v>
      </x:c>
      <x:c r="B70" s="24" t="s">
        <x:v>936</x:v>
      </x:c>
      <x:c r="C70" s="24" t="s">
        <x:v>969</x:v>
      </x:c>
      <x:c r="D70" s="25" t="n">
        <x:f>SUMIFS('Data (parsed)'!$I$2:$I$235,'Data (parsed)'!$B$2:$B$235,$A70,'Data (parsed)'!$C$2:$C$235,$B70,'Data (parsed)'!$H$2:$H$235,$C70)</x:f>
        <x:v>2</x:v>
      </x:c>
    </x:row>
    <x:row r="71" ht="15" customHeight="1">
      <x:c r="A71" s="24" t="s">
        <x:v>905</x:v>
      </x:c>
      <x:c r="B71" s="24" t="s">
        <x:v>936</x:v>
      </x:c>
      <x:c r="C71" s="24" t="s">
        <x:v>1071</x:v>
      </x:c>
      <x:c r="D71" s="25" t="n">
        <x:f>SUMIFS('Data (parsed)'!$I$2:$I$235,'Data (parsed)'!$B$2:$B$235,$A71,'Data (parsed)'!$C$2:$C$235,$B71,'Data (parsed)'!$H$2:$H$235,$C71)</x:f>
        <x:v>1</x:v>
      </x:c>
    </x:row>
    <x:row r="72" ht="15" customHeight="1">
      <x:c r="A72" s="24" t="s">
        <x:v>905</x:v>
      </x:c>
      <x:c r="B72" s="24" t="s">
        <x:v>935</x:v>
      </x:c>
      <x:c r="C72" s="27" t="s">
        <x:v>1072</x:v>
      </x:c>
      <x:c r="D72" s="25" t="n">
        <x:f>SUMIFS('Data (parsed)'!$I$2:$I$235,'Data (parsed)'!$B$2:$B$235,$A72,'Data (parsed)'!$C$2:$C$235,$B72,'Data (parsed)'!$H$2:$H$235,$C72)</x:f>
        <x:v>1</x:v>
      </x:c>
    </x:row>
    <x:row r="73" ht="15" customHeight="1">
      <x:c r="A73" s="24" t="s">
        <x:v>905</x:v>
      </x:c>
      <x:c r="B73" s="24" t="s">
        <x:v>935</x:v>
      </x:c>
      <x:c r="C73" s="27" t="s">
        <x:v>1073</x:v>
      </x:c>
      <x:c r="D73" s="25" t="n">
        <x:f>SUMIFS('Data (parsed)'!$I$2:$I$235,'Data (parsed)'!$B$2:$B$235,$A73,'Data (parsed)'!$C$2:$C$235,$B73,'Data (parsed)'!$H$2:$H$235,$C73)</x:f>
        <x:v>1</x:v>
      </x:c>
    </x:row>
    <x:row r="74" ht="15" customHeight="1">
      <x:c r="A74" s="24" t="s">
        <x:v>905</x:v>
      </x:c>
      <x:c r="B74" s="24" t="s">
        <x:v>935</x:v>
      </x:c>
      <x:c r="C74" s="27" t="s">
        <x:v>1074</x:v>
      </x:c>
      <x:c r="D74" s="25" t="n">
        <x:f>SUMIFS('Data (parsed)'!$I$2:$I$235,'Data (parsed)'!$B$2:$B$235,$A74,'Data (parsed)'!$C$2:$C$235,$B74,'Data (parsed)'!$H$2:$H$235,$C74)</x:f>
        <x:v>1</x:v>
      </x:c>
    </x:row>
    <x:row r="75" ht="15" customHeight="1">
      <x:c r="A75" s="24" t="s">
        <x:v>905</x:v>
      </x:c>
      <x:c r="B75" s="24" t="s">
        <x:v>935</x:v>
      </x:c>
      <x:c r="C75" s="27" t="s">
        <x:v>1065</x:v>
      </x:c>
      <x:c r="D75" s="25" t="n">
        <x:f>SUMIFS('Data (parsed)'!$I$2:$I$235,'Data (parsed)'!$B$2:$B$235,$A75,'Data (parsed)'!$C$2:$C$235,$B75,'Data (parsed)'!$H$2:$H$235,$C75)</x:f>
        <x:v>0</x:v>
      </x:c>
    </x:row>
    <x:row r="76" ht="15" customHeight="1">
      <x:c r="A76" s="24" t="s">
        <x:v>905</x:v>
      </x:c>
      <x:c r="B76" s="24" t="s">
        <x:v>935</x:v>
      </x:c>
      <x:c r="C76" s="24" t="s">
        <x:v>1075</x:v>
      </x:c>
      <x:c r="D76" s="25" t="n">
        <x:f>SUMIFS('Data (parsed)'!$I$2:$I$235,'Data (parsed)'!$B$2:$B$235,$A76,'Data (parsed)'!$C$2:$C$235,$B76,'Data (parsed)'!$H$2:$H$235,$C76)</x:f>
        <x:v>0</x:v>
      </x:c>
    </x:row>
    <x:row r="77" ht="15" customHeight="1">
      <x:c r="A77" s="24" t="s">
        <x:v>905</x:v>
      </x:c>
      <x:c r="B77" s="24" t="s">
        <x:v>938</x:v>
      </x:c>
      <x:c r="C77" s="24" t="s">
        <x:v>1066</x:v>
      </x:c>
      <x:c r="D77" s="25" t="n">
        <x:f>SUMIFS('Data (parsed)'!$I$2:$I$235,'Data (parsed)'!$B$2:$B$235,$A77,'Data (parsed)'!$C$2:$C$235,$B77,'Data (parsed)'!$H$2:$H$235,$C77)</x:f>
        <x:v>1</x:v>
      </x:c>
    </x:row>
    <x:row r="78" ht="15" customHeight="1">
      <x:c r="A78" s="24" t="s">
        <x:v>905</x:v>
      </x:c>
      <x:c r="B78" s="24" t="s">
        <x:v>938</x:v>
      </x:c>
      <x:c r="C78" s="27" t="s">
        <x:v>1064</x:v>
      </x:c>
      <x:c r="D78" s="25" t="n">
        <x:f>SUMIFS('Data (parsed)'!$I$2:$I$235,'Data (parsed)'!$B$2:$B$235,$A78,'Data (parsed)'!$C$2:$C$235,$B78,'Data (parsed)'!$H$2:$H$235,$C78)</x:f>
        <x:v>1</x:v>
      </x:c>
    </x:row>
    <x:row r="79" ht="15" customHeight="1">
      <x:c r="A79" s="24" t="s">
        <x:v>905</x:v>
      </x:c>
      <x:c r="B79" s="24" t="s">
        <x:v>939</x:v>
      </x:c>
      <x:c r="C79" s="27" t="s">
        <x:v>1076</x:v>
      </x:c>
      <x:c r="D79" s="25" t="n">
        <x:f>SUMIFS('Data (parsed)'!$I$2:$I$235,'Data (parsed)'!$B$2:$B$235,$A79,'Data (parsed)'!$C$2:$C$235,$B79,'Data (parsed)'!$H$2:$H$235,$C79)</x:f>
        <x:v>0</x:v>
      </x:c>
    </x:row>
    <x:row r="80" ht="15" customHeight="1">
      <x:c r="A80" s="19" t="s">
        <x:v>906</x:v>
      </x:c>
      <x:c r="B80" s="19" t="s">
        <x:v>944</x:v>
      </x:c>
      <x:c r="C80" s="26" t="s">
        <x:v>1042</x:v>
      </x:c>
      <x:c r="D80" s="23" t="n">
        <x:f>SUMIFS('Data (parsed)'!$I$2:$I$235,'Data (parsed)'!$B$2:$B$235,$A80,'Data (parsed)'!$C$2:$C$235,$B80,'Data (parsed)'!$H$2:$H$235,$C80)</x:f>
        <x:v>2</x:v>
      </x:c>
    </x:row>
    <x:row r="81" ht="15" customHeight="1">
      <x:c r="A81" s="19" t="s">
        <x:v>906</x:v>
      </x:c>
      <x:c r="B81" s="19" t="s">
        <x:v>944</x:v>
      </x:c>
      <x:c r="C81" s="26" t="s">
        <x:v>1041</x:v>
      </x:c>
      <x:c r="D81" s="23" t="n">
        <x:f>SUMIFS('Data (parsed)'!$I$2:$I$235,'Data (parsed)'!$B$2:$B$235,$A81,'Data (parsed)'!$C$2:$C$235,$B81,'Data (parsed)'!$H$2:$H$235,$C81)</x:f>
        <x:v>2</x:v>
      </x:c>
    </x:row>
    <x:row r="82" ht="15" customHeight="1">
      <x:c r="A82" s="19" t="s">
        <x:v>906</x:v>
      </x:c>
      <x:c r="B82" s="19" t="s">
        <x:v>944</x:v>
      </x:c>
      <x:c r="C82" s="19" t="s">
        <x:v>1071</x:v>
      </x:c>
      <x:c r="D82" s="23" t="n">
        <x:f>SUMIFS('Data (parsed)'!$I$2:$I$235,'Data (parsed)'!$B$2:$B$235,$A82,'Data (parsed)'!$C$2:$C$235,$B82,'Data (parsed)'!$H$2:$H$235,$C82)</x:f>
        <x:v>1</x:v>
      </x:c>
    </x:row>
    <x:row r="83" ht="15" customHeight="1">
      <x:c r="A83" s="19" t="s">
        <x:v>906</x:v>
      </x:c>
      <x:c r="B83" s="19" t="s">
        <x:v>944</x:v>
      </x:c>
      <x:c r="C83" s="26" t="s">
        <x:v>1077</x:v>
      </x:c>
      <x:c r="D83" s="23" t="n">
        <x:f>SUMIFS('Data (parsed)'!$I$2:$I$235,'Data (parsed)'!$B$2:$B$235,$A83,'Data (parsed)'!$C$2:$C$235,$B83,'Data (parsed)'!$H$2:$H$235,$C83)</x:f>
        <x:v>1</x:v>
      </x:c>
    </x:row>
    <x:row r="84" ht="15" customHeight="1">
      <x:c r="A84" s="19" t="s">
        <x:v>906</x:v>
      </x:c>
      <x:c r="B84" s="19" t="s">
        <x:v>944</x:v>
      </x:c>
      <x:c r="C84" s="19" t="s">
        <x:v>1078</x:v>
      </x:c>
      <x:c r="D84" s="23" t="n">
        <x:f>SUMIFS('Data (parsed)'!$I$2:$I$235,'Data (parsed)'!$B$2:$B$235,$A84,'Data (parsed)'!$C$2:$C$235,$B84,'Data (parsed)'!$H$2:$H$235,$C84)</x:f>
        <x:v>1</x:v>
      </x:c>
    </x:row>
    <x:row r="85" ht="15" customHeight="1">
      <x:c r="A85" s="19" t="s">
        <x:v>906</x:v>
      </x:c>
      <x:c r="B85" s="19" t="s">
        <x:v>944</x:v>
      </x:c>
      <x:c r="C85" s="19" t="s">
        <x:v>969</x:v>
      </x:c>
      <x:c r="D85" s="23" t="n">
        <x:f>SUMIFS('Data (parsed)'!$I$2:$I$235,'Data (parsed)'!$B$2:$B$235,$A85,'Data (parsed)'!$C$2:$C$235,$B85,'Data (parsed)'!$H$2:$H$235,$C85)</x:f>
        <x:v>1</x:v>
      </x:c>
    </x:row>
    <x:row r="86" ht="15" customHeight="1">
      <x:c r="A86" s="19" t="s">
        <x:v>906</x:v>
      </x:c>
      <x:c r="B86" s="19" t="s">
        <x:v>947</x:v>
      </x:c>
      <x:c r="C86" s="26" t="s">
        <x:v>1077</x:v>
      </x:c>
      <x:c r="D86" s="23" t="n">
        <x:f>SUMIFS('Data (parsed)'!$I$2:$I$235,'Data (parsed)'!$B$2:$B$235,$A86,'Data (parsed)'!$C$2:$C$235,$B86,'Data (parsed)'!$H$2:$H$235,$C86)</x:f>
        <x:v>1</x:v>
      </x:c>
    </x:row>
    <x:row r="87" ht="15" customHeight="1">
      <x:c r="A87" s="19" t="s">
        <x:v>906</x:v>
      </x:c>
      <x:c r="B87" s="19" t="s">
        <x:v>947</x:v>
      </x:c>
      <x:c r="C87" s="26" t="s">
        <x:v>1042</x:v>
      </x:c>
      <x:c r="D87" s="23" t="n">
        <x:f>SUMIFS('Data (parsed)'!$I$2:$I$235,'Data (parsed)'!$B$2:$B$235,$A87,'Data (parsed)'!$C$2:$C$235,$B87,'Data (parsed)'!$H$2:$H$235,$C87)</x:f>
        <x:v>1</x:v>
      </x:c>
    </x:row>
    <x:row r="88" ht="15" customHeight="1">
      <x:c r="A88" s="19" t="s">
        <x:v>906</x:v>
      </x:c>
      <x:c r="B88" s="19" t="s">
        <x:v>947</x:v>
      </x:c>
      <x:c r="C88" s="26" t="s">
        <x:v>1041</x:v>
      </x:c>
      <x:c r="D88" s="23" t="n">
        <x:f>SUMIFS('Data (parsed)'!$I$2:$I$235,'Data (parsed)'!$B$2:$B$235,$A88,'Data (parsed)'!$C$2:$C$235,$B88,'Data (parsed)'!$H$2:$H$235,$C88)</x:f>
        <x:v>1</x:v>
      </x:c>
    </x:row>
    <x:row r="89" ht="15" customHeight="1">
      <x:c r="A89" s="19" t="s">
        <x:v>906</x:v>
      </x:c>
      <x:c r="B89" s="19" t="s">
        <x:v>948</x:v>
      </x:c>
      <x:c r="C89" s="19" t="s">
        <x:v>1071</x:v>
      </x:c>
      <x:c r="D89" s="23" t="n">
        <x:f>SUMIFS('Data (parsed)'!$I$2:$I$235,'Data (parsed)'!$B$2:$B$235,$A89,'Data (parsed)'!$C$2:$C$235,$B89,'Data (parsed)'!$H$2:$H$235,$C89)</x:f>
        <x:v>1</x:v>
      </x:c>
    </x:row>
    <x:row r="90" ht="15" customHeight="1">
      <x:c r="A90" s="19" t="s">
        <x:v>906</x:v>
      </x:c>
      <x:c r="B90" s="19" t="s">
        <x:v>948</x:v>
      </x:c>
      <x:c r="C90" s="26" t="s">
        <x:v>1041</x:v>
      </x:c>
      <x:c r="D90" s="23" t="n">
        <x:f>SUMIFS('Data (parsed)'!$I$2:$I$235,'Data (parsed)'!$B$2:$B$235,$A90,'Data (parsed)'!$C$2:$C$235,$B90,'Data (parsed)'!$H$2:$H$235,$C90)</x:f>
        <x:v>1</x:v>
      </x:c>
    </x:row>
    <x:row r="91" ht="26.25" customHeight="1">
      <x:c r="A91" s="19" t="s">
        <x:v>906</x:v>
      </x:c>
      <x:c r="B91" s="19" t="s">
        <x:v>943</x:v>
      </x:c>
      <x:c r="C91" s="26" t="s">
        <x:v>1077</x:v>
      </x:c>
      <x:c r="D91" s="23" t="n">
        <x:f>SUMIFS('Data (parsed)'!$I$2:$I$235,'Data (parsed)'!$B$2:$B$235,$A91,'Data (parsed)'!$C$2:$C$235,$B91,'Data (parsed)'!$H$2:$H$235,$C91)</x:f>
        <x:v>4</x:v>
      </x:c>
    </x:row>
    <x:row r="92" ht="26.25" customHeight="1">
      <x:c r="A92" s="19" t="s">
        <x:v>906</x:v>
      </x:c>
      <x:c r="B92" s="19" t="s">
        <x:v>943</x:v>
      </x:c>
      <x:c r="C92" s="26" t="s">
        <x:v>1041</x:v>
      </x:c>
      <x:c r="D92" s="23" t="n">
        <x:f>SUMIFS('Data (parsed)'!$I$2:$I$235,'Data (parsed)'!$B$2:$B$235,$A92,'Data (parsed)'!$C$2:$C$235,$B92,'Data (parsed)'!$H$2:$H$235,$C92)</x:f>
        <x:v>3</x:v>
      </x:c>
    </x:row>
    <x:row r="93" ht="26.25" customHeight="1">
      <x:c r="A93" s="19" t="s">
        <x:v>906</x:v>
      </x:c>
      <x:c r="B93" s="19" t="s">
        <x:v>943</x:v>
      </x:c>
      <x:c r="C93" s="19" t="s">
        <x:v>1066</x:v>
      </x:c>
      <x:c r="D93" s="23" t="n">
        <x:f>SUMIFS('Data (parsed)'!$I$2:$I$235,'Data (parsed)'!$B$2:$B$235,$A93,'Data (parsed)'!$C$2:$C$235,$B93,'Data (parsed)'!$H$2:$H$235,$C93)</x:f>
        <x:v>1</x:v>
      </x:c>
    </x:row>
    <x:row r="94" ht="26.25" customHeight="1">
      <x:c r="A94" s="19" t="s">
        <x:v>906</x:v>
      </x:c>
      <x:c r="B94" s="19" t="s">
        <x:v>943</x:v>
      </x:c>
      <x:c r="C94" s="26" t="s">
        <x:v>1079</x:v>
      </x:c>
      <x:c r="D94" s="23" t="n">
        <x:f>SUMIFS('Data (parsed)'!$I$2:$I$235,'Data (parsed)'!$B$2:$B$235,$A94,'Data (parsed)'!$C$2:$C$235,$B94,'Data (parsed)'!$H$2:$H$235,$C94)</x:f>
        <x:v>0</x:v>
      </x:c>
    </x:row>
    <x:row r="95" ht="15" customHeight="1">
      <x:c r="A95" s="19" t="s">
        <x:v>906</x:v>
      </x:c>
      <x:c r="B95" s="19" t="s">
        <x:v>952</x:v>
      </x:c>
      <x:c r="C95" s="19" t="s">
        <x:v>969</x:v>
      </x:c>
      <x:c r="D95" s="23" t="n">
        <x:f>SUMIFS('Data (parsed)'!$I$2:$I$235,'Data (parsed)'!$B$2:$B$235,$A95,'Data (parsed)'!$C$2:$C$235,$B95,'Data (parsed)'!$H$2:$H$235,$C95)</x:f>
        <x:v>1</x:v>
      </x:c>
    </x:row>
    <x:row r="96" ht="15" customHeight="1">
      <x:c r="A96" s="19" t="s">
        <x:v>906</x:v>
      </x:c>
      <x:c r="B96" s="19" t="s">
        <x:v>951</x:v>
      </x:c>
      <x:c r="C96" s="19" t="s">
        <x:v>1066</x:v>
      </x:c>
      <x:c r="D96" s="23" t="n">
        <x:f>SUMIFS('Data (parsed)'!$I$2:$I$235,'Data (parsed)'!$B$2:$B$235,$A96,'Data (parsed)'!$C$2:$C$235,$B96,'Data (parsed)'!$H$2:$H$235,$C96)</x:f>
        <x:v>1</x:v>
      </x:c>
    </x:row>
    <x:row r="97" ht="15" customHeight="1">
      <x:c r="A97" s="19" t="s">
        <x:v>906</x:v>
      </x:c>
      <x:c r="B97" s="19" t="s">
        <x:v>949</x:v>
      </x:c>
      <x:c r="C97" s="26" t="s">
        <x:v>1077</x:v>
      </x:c>
      <x:c r="D97" s="23" t="n">
        <x:f>SUMIFS('Data (parsed)'!$I$2:$I$235,'Data (parsed)'!$B$2:$B$235,$A97,'Data (parsed)'!$C$2:$C$235,$B97,'Data (parsed)'!$H$2:$H$235,$C97)</x:f>
        <x:v>1</x:v>
      </x:c>
    </x:row>
    <x:row r="98" ht="15" customHeight="1">
      <x:c r="A98" s="19" t="s">
        <x:v>906</x:v>
      </x:c>
      <x:c r="B98" s="19" t="s">
        <x:v>651</x:v>
      </x:c>
      <x:c r="C98" s="19" t="s">
        <x:v>1071</x:v>
      </x:c>
      <x:c r="D98" s="23" t="n">
        <x:f>SUMIFS('Data (parsed)'!$I$2:$I$235,'Data (parsed)'!$B$2:$B$235,$A98,'Data (parsed)'!$C$2:$C$235,$B98,'Data (parsed)'!$H$2:$H$235,$C98)</x:f>
        <x:v>1</x:v>
      </x:c>
    </x:row>
    <x:row r="99" ht="15" customHeight="1">
      <x:c r="A99" s="19" t="s">
        <x:v>906</x:v>
      </x:c>
      <x:c r="B99" s="19" t="s">
        <x:v>651</x:v>
      </x:c>
      <x:c r="C99" s="19" t="s">
        <x:v>1066</x:v>
      </x:c>
      <x:c r="D99" s="23" t="n">
        <x:f>SUMIFS('Data (parsed)'!$I$2:$I$235,'Data (parsed)'!$B$2:$B$235,$A99,'Data (parsed)'!$C$2:$C$235,$B99,'Data (parsed)'!$H$2:$H$235,$C99)</x:f>
        <x:v>1</x:v>
      </x:c>
    </x:row>
    <x:row r="100" ht="15" customHeight="1">
      <x:c r="A100" s="19" t="s">
        <x:v>906</x:v>
      </x:c>
      <x:c r="B100" s="19" t="s">
        <x:v>950</x:v>
      </x:c>
      <x:c r="C100" s="26" t="s">
        <x:v>1041</x:v>
      </x:c>
      <x:c r="D100" s="23" t="n">
        <x:f>SUMIFS('Data (parsed)'!$I$2:$I$235,'Data (parsed)'!$B$2:$B$235,$A100,'Data (parsed)'!$C$2:$C$235,$B100,'Data (parsed)'!$H$2:$H$235,$C100)</x:f>
        <x:v>1</x:v>
      </x:c>
    </x:row>
    <x:row r="101" ht="15" customHeight="1">
      <x:c r="A101" s="19" t="s">
        <x:v>906</x:v>
      </x:c>
      <x:c r="B101" s="19" t="s">
        <x:v>945</x:v>
      </x:c>
      <x:c r="C101" s="19" t="s">
        <x:v>1066</x:v>
      </x:c>
      <x:c r="D101" s="23" t="n">
        <x:f>SUMIFS('Data (parsed)'!$I$2:$I$235,'Data (parsed)'!$B$2:$B$235,$A101,'Data (parsed)'!$C$2:$C$235,$B101,'Data (parsed)'!$H$2:$H$235,$C101)</x:f>
        <x:v>3</x:v>
      </x:c>
    </x:row>
    <x:row r="102" ht="15" customHeight="1">
      <x:c r="A102" s="19" t="s">
        <x:v>906</x:v>
      </x:c>
      <x:c r="B102" s="19" t="s">
        <x:v>945</x:v>
      </x:c>
      <x:c r="C102" s="26" t="s">
        <x:v>1077</x:v>
      </x:c>
      <x:c r="D102" s="23" t="n">
        <x:f>SUMIFS('Data (parsed)'!$I$2:$I$235,'Data (parsed)'!$B$2:$B$235,$A102,'Data (parsed)'!$C$2:$C$235,$B102,'Data (parsed)'!$H$2:$H$235,$C102)</x:f>
        <x:v>1</x:v>
      </x:c>
    </x:row>
    <x:row r="103" ht="15" customHeight="1">
      <x:c r="A103" s="19" t="s">
        <x:v>906</x:v>
      </x:c>
      <x:c r="B103" s="19" t="s">
        <x:v>945</x:v>
      </x:c>
      <x:c r="C103" s="19" t="s">
        <x:v>969</x:v>
      </x:c>
      <x:c r="D103" s="23" t="n">
        <x:f>SUMIFS('Data (parsed)'!$I$2:$I$235,'Data (parsed)'!$B$2:$B$235,$A103,'Data (parsed)'!$C$2:$C$235,$B103,'Data (parsed)'!$H$2:$H$235,$C103)</x:f>
        <x:v>1</x:v>
      </x:c>
    </x:row>
    <x:row r="104" ht="15" customHeight="1">
      <x:c r="A104" s="19" t="s">
        <x:v>906</x:v>
      </x:c>
      <x:c r="B104" s="19" t="s">
        <x:v>945</x:v>
      </x:c>
      <x:c r="C104" s="26" t="s">
        <x:v>1042</x:v>
      </x:c>
      <x:c r="D104" s="23" t="n">
        <x:f>SUMIFS('Data (parsed)'!$I$2:$I$235,'Data (parsed)'!$B$2:$B$235,$A104,'Data (parsed)'!$C$2:$C$235,$B104,'Data (parsed)'!$H$2:$H$235,$C104)</x:f>
        <x:v>1</x:v>
      </x:c>
    </x:row>
    <x:row r="105" ht="15" customHeight="1">
      <x:c r="A105" s="19" t="s">
        <x:v>906</x:v>
      </x:c>
      <x:c r="B105" s="19" t="s">
        <x:v>945</x:v>
      </x:c>
      <x:c r="C105" s="26" t="s">
        <x:v>1041</x:v>
      </x:c>
      <x:c r="D105" s="23" t="n">
        <x:f>SUMIFS('Data (parsed)'!$I$2:$I$235,'Data (parsed)'!$B$2:$B$235,$A105,'Data (parsed)'!$C$2:$C$235,$B105,'Data (parsed)'!$H$2:$H$235,$C105)</x:f>
        <x:v>1</x:v>
      </x:c>
    </x:row>
    <x:row r="106" ht="15" customHeight="1">
      <x:c r="A106" s="19" t="s">
        <x:v>906</x:v>
      </x:c>
      <x:c r="B106" s="19" t="s">
        <x:v>946</x:v>
      </x:c>
      <x:c r="C106" s="26" t="s">
        <x:v>1041</x:v>
      </x:c>
      <x:c r="D106" s="23" t="n">
        <x:f>SUMIFS('Data (parsed)'!$I$2:$I$235,'Data (parsed)'!$B$2:$B$235,$A106,'Data (parsed)'!$C$2:$C$235,$B106,'Data (parsed)'!$H$2:$H$235,$C106)</x:f>
        <x:v>2</x:v>
      </x:c>
    </x:row>
    <x:row r="107" ht="15" customHeight="1">
      <x:c r="A107" s="19" t="s">
        <x:v>906</x:v>
      </x:c>
      <x:c r="B107" s="19" t="s">
        <x:v>946</x:v>
      </x:c>
      <x:c r="C107" s="26" t="s">
        <x:v>1065</x:v>
      </x:c>
      <x:c r="D107" s="23" t="n">
        <x:f>SUMIFS('Data (parsed)'!$I$2:$I$235,'Data (parsed)'!$B$2:$B$235,$A107,'Data (parsed)'!$C$2:$C$235,$B107,'Data (parsed)'!$H$2:$H$235,$C107)</x:f>
        <x:v>0</x:v>
      </x:c>
    </x:row>
    <x:row r="108" ht="15" customHeight="1">
      <x:c r="A108" s="19" t="s">
        <x:v>906</x:v>
      </x:c>
      <x:c r="B108" s="19" t="s">
        <x:v>946</x:v>
      </x:c>
      <x:c r="C108" s="19" t="s">
        <x:v>1080</x:v>
      </x:c>
      <x:c r="D108" s="23" t="n">
        <x:f>SUMIFS('Data (parsed)'!$I$2:$I$235,'Data (parsed)'!$B$2:$B$235,$A108,'Data (parsed)'!$C$2:$C$235,$B108,'Data (parsed)'!$H$2:$H$235,$C108)</x:f>
        <x:v>0</x:v>
      </x:c>
    </x:row>
    <x:row r="109" ht="15" customHeight="1">
      <x:c r="A109" s="24" t="s">
        <x:v>907</x:v>
      </x:c>
      <x:c r="B109" s="24" t="s">
        <x:v>959</x:v>
      </x:c>
      <x:c r="C109" s="24" t="s">
        <x:v>1081</x:v>
      </x:c>
      <x:c r="D109" s="25" t="n">
        <x:f>SUMIFS('Data (parsed)'!$I$2:$I$235,'Data (parsed)'!$B$2:$B$235,$A109,'Data (parsed)'!$C$2:$C$235,$B109,'Data (parsed)'!$H$2:$H$235,$C109)</x:f>
        <x:v>1</x:v>
      </x:c>
    </x:row>
    <x:row r="110" ht="15" customHeight="1">
      <x:c r="A110" s="24" t="s">
        <x:v>907</x:v>
      </x:c>
      <x:c r="B110" s="24" t="s">
        <x:v>959</x:v>
      </x:c>
      <x:c r="C110" s="24" t="s">
        <x:v>1071</x:v>
      </x:c>
      <x:c r="D110" s="25" t="n">
        <x:f>SUMIFS('Data (parsed)'!$I$2:$I$235,'Data (parsed)'!$B$2:$B$235,$A110,'Data (parsed)'!$C$2:$C$235,$B110,'Data (parsed)'!$H$2:$H$235,$C110)</x:f>
        <x:v>1</x:v>
      </x:c>
    </x:row>
    <x:row r="111" ht="15" customHeight="1">
      <x:c r="A111" s="24" t="s">
        <x:v>907</x:v>
      </x:c>
      <x:c r="B111" s="24" t="s">
        <x:v>959</x:v>
      </x:c>
      <x:c r="C111" s="24" t="s">
        <x:v>1082</x:v>
      </x:c>
      <x:c r="D111" s="25" t="n">
        <x:f>SUMIFS('Data (parsed)'!$I$2:$I$235,'Data (parsed)'!$B$2:$B$235,$A111,'Data (parsed)'!$C$2:$C$235,$B111,'Data (parsed)'!$H$2:$H$235,$C111)</x:f>
        <x:v>1</x:v>
      </x:c>
    </x:row>
    <x:row r="112" ht="15" customHeight="1">
      <x:c r="A112" s="24" t="s">
        <x:v>907</x:v>
      </x:c>
      <x:c r="B112" s="24" t="s">
        <x:v>959</x:v>
      </x:c>
      <x:c r="C112" s="27" t="s">
        <x:v>1083</x:v>
      </x:c>
      <x:c r="D112" s="25" t="n">
        <x:f>SUMIFS('Data (parsed)'!$I$2:$I$235,'Data (parsed)'!$B$2:$B$235,$A112,'Data (parsed)'!$C$2:$C$235,$B112,'Data (parsed)'!$H$2:$H$235,$C112)</x:f>
        <x:v>0</x:v>
      </x:c>
    </x:row>
    <x:row r="113" ht="15" customHeight="1">
      <x:c r="A113" s="24" t="s">
        <x:v>907</x:v>
      </x:c>
      <x:c r="B113" s="24" t="s">
        <x:v>959</x:v>
      </x:c>
      <x:c r="C113" s="27" t="s">
        <x:v>1084</x:v>
      </x:c>
      <x:c r="D113" s="25" t="n">
        <x:f>SUMIFS('Data (parsed)'!$I$2:$I$235,'Data (parsed)'!$B$2:$B$235,$A113,'Data (parsed)'!$C$2:$C$235,$B113,'Data (parsed)'!$H$2:$H$235,$C113)</x:f>
        <x:v>0</x:v>
      </x:c>
    </x:row>
    <x:row r="114" ht="15" customHeight="1">
      <x:c r="A114" s="24" t="s">
        <x:v>907</x:v>
      </x:c>
      <x:c r="B114" s="24" t="s">
        <x:v>958</x:v>
      </x:c>
      <x:c r="C114" s="27" t="s">
        <x:v>1085</x:v>
      </x:c>
      <x:c r="D114" s="25" t="n">
        <x:f>SUMIFS('Data (parsed)'!$I$2:$I$235,'Data (parsed)'!$B$2:$B$235,$A114,'Data (parsed)'!$C$2:$C$235,$B114,'Data (parsed)'!$H$2:$H$235,$C114)</x:f>
        <x:v>1</x:v>
      </x:c>
    </x:row>
    <x:row r="115" ht="15" customHeight="1">
      <x:c r="A115" s="24" t="s">
        <x:v>907</x:v>
      </x:c>
      <x:c r="B115" s="24" t="s">
        <x:v>958</x:v>
      </x:c>
      <x:c r="C115" s="27" t="s">
        <x:v>1086</x:v>
      </x:c>
      <x:c r="D115" s="25" t="n">
        <x:f>SUMIFS('Data (parsed)'!$I$2:$I$235,'Data (parsed)'!$B$2:$B$235,$A115,'Data (parsed)'!$C$2:$C$235,$B115,'Data (parsed)'!$H$2:$H$235,$C115)</x:f>
        <x:v>1</x:v>
      </x:c>
    </x:row>
    <x:row r="116" ht="15" customHeight="1">
      <x:c r="A116" s="24" t="s">
        <x:v>907</x:v>
      </x:c>
      <x:c r="B116" s="24" t="s">
        <x:v>958</x:v>
      </x:c>
      <x:c r="C116" s="24" t="s">
        <x:v>1087</x:v>
      </x:c>
      <x:c r="D116" s="25" t="n">
        <x:f>SUMIFS('Data (parsed)'!$I$2:$I$235,'Data (parsed)'!$B$2:$B$235,$A116,'Data (parsed)'!$C$2:$C$235,$B116,'Data (parsed)'!$H$2:$H$235,$C116)</x:f>
        <x:v>1</x:v>
      </x:c>
    </x:row>
    <x:row r="117" ht="15" customHeight="1">
      <x:c r="A117" s="24" t="s">
        <x:v>907</x:v>
      </x:c>
      <x:c r="B117" s="24" t="s">
        <x:v>958</x:v>
      </x:c>
      <x:c r="C117" s="24" t="s">
        <x:v>969</x:v>
      </x:c>
      <x:c r="D117" s="25" t="n">
        <x:f>SUMIFS('Data (parsed)'!$I$2:$I$235,'Data (parsed)'!$B$2:$B$235,$A117,'Data (parsed)'!$C$2:$C$235,$B117,'Data (parsed)'!$H$2:$H$235,$C117)</x:f>
        <x:v>1</x:v>
      </x:c>
    </x:row>
    <x:row r="118" ht="15" customHeight="1">
      <x:c r="A118" s="24" t="s">
        <x:v>907</x:v>
      </x:c>
      <x:c r="B118" s="24" t="s">
        <x:v>958</x:v>
      </x:c>
      <x:c r="C118" s="27" t="s">
        <x:v>1088</x:v>
      </x:c>
      <x:c r="D118" s="25" t="n">
        <x:f>SUMIFS('Data (parsed)'!$I$2:$I$235,'Data (parsed)'!$B$2:$B$235,$A118,'Data (parsed)'!$C$2:$C$235,$B118,'Data (parsed)'!$H$2:$H$235,$C118)</x:f>
        <x:v>0</x:v>
      </x:c>
    </x:row>
    <x:row r="119" ht="15" customHeight="1">
      <x:c r="A119" s="24" t="s">
        <x:v>907</x:v>
      </x:c>
      <x:c r="B119" s="24" t="s">
        <x:v>744</x:v>
      </x:c>
      <x:c r="C119" s="27" t="s">
        <x:v>1077</x:v>
      </x:c>
      <x:c r="D119" s="25" t="n">
        <x:f>SUMIFS('Data (parsed)'!$I$2:$I$235,'Data (parsed)'!$B$2:$B$235,$A119,'Data (parsed)'!$C$2:$C$235,$B119,'Data (parsed)'!$H$2:$H$235,$C119)</x:f>
        <x:v>7</x:v>
      </x:c>
    </x:row>
    <x:row r="120" ht="15" customHeight="1">
      <x:c r="A120" s="24" t="s">
        <x:v>907</x:v>
      </x:c>
      <x:c r="B120" s="24" t="s">
        <x:v>744</x:v>
      </x:c>
      <x:c r="C120" s="24" t="s">
        <x:v>969</x:v>
      </x:c>
      <x:c r="D120" s="25" t="n">
        <x:f>SUMIFS('Data (parsed)'!$I$2:$I$235,'Data (parsed)'!$B$2:$B$235,$A120,'Data (parsed)'!$C$2:$C$235,$B120,'Data (parsed)'!$H$2:$H$235,$C120)</x:f>
        <x:v>4</x:v>
      </x:c>
    </x:row>
    <x:row r="121" ht="15" customHeight="1">
      <x:c r="A121" s="24" t="s">
        <x:v>907</x:v>
      </x:c>
      <x:c r="B121" s="24" t="s">
        <x:v>744</x:v>
      </x:c>
      <x:c r="C121" s="24" t="s">
        <x:v>1066</x:v>
      </x:c>
      <x:c r="D121" s="25" t="n">
        <x:f>SUMIFS('Data (parsed)'!$I$2:$I$235,'Data (parsed)'!$B$2:$B$235,$A121,'Data (parsed)'!$C$2:$C$235,$B121,'Data (parsed)'!$H$2:$H$235,$C121)</x:f>
        <x:v>3</x:v>
      </x:c>
    </x:row>
    <x:row r="122" ht="15" customHeight="1">
      <x:c r="A122" s="24" t="s">
        <x:v>907</x:v>
      </x:c>
      <x:c r="B122" s="24" t="s">
        <x:v>744</x:v>
      </x:c>
      <x:c r="C122" s="24" t="s">
        <x:v>1089</x:v>
      </x:c>
      <x:c r="D122" s="25" t="n">
        <x:f>SUMIFS('Data (parsed)'!$I$2:$I$235,'Data (parsed)'!$B$2:$B$235,$A122,'Data (parsed)'!$C$2:$C$235,$B122,'Data (parsed)'!$H$2:$H$235,$C122)</x:f>
        <x:v>2</x:v>
      </x:c>
    </x:row>
    <x:row r="123" ht="15" customHeight="1">
      <x:c r="A123" s="24" t="s">
        <x:v>907</x:v>
      </x:c>
      <x:c r="B123" s="24" t="s">
        <x:v>744</x:v>
      </x:c>
      <x:c r="C123" s="27" t="s">
        <x:v>1088</x:v>
      </x:c>
      <x:c r="D123" s="25" t="n">
        <x:f>SUMIFS('Data (parsed)'!$I$2:$I$235,'Data (parsed)'!$B$2:$B$235,$A123,'Data (parsed)'!$C$2:$C$235,$B123,'Data (parsed)'!$H$2:$H$235,$C123)</x:f>
        <x:v>0</x:v>
      </x:c>
    </x:row>
    <x:row r="124" ht="15" customHeight="1">
      <x:c r="A124" s="24" t="s">
        <x:v>907</x:v>
      </x:c>
      <x:c r="B124" s="24" t="s">
        <x:v>744</x:v>
      </x:c>
      <x:c r="C124" s="27" t="s">
        <x:v>1085</x:v>
      </x:c>
      <x:c r="D124" s="25" t="n">
        <x:f>SUMIFS('Data (parsed)'!$I$2:$I$235,'Data (parsed)'!$B$2:$B$235,$A124,'Data (parsed)'!$C$2:$C$235,$B124,'Data (parsed)'!$H$2:$H$235,$C124)</x:f>
        <x:v>1</x:v>
      </x:c>
    </x:row>
    <x:row r="125" ht="15" customHeight="1">
      <x:c r="A125" s="24" t="s">
        <x:v>907</x:v>
      </x:c>
      <x:c r="B125" s="24" t="s">
        <x:v>744</x:v>
      </x:c>
      <x:c r="C125" s="24" t="s">
        <x:v>1081</x:v>
      </x:c>
      <x:c r="D125" s="25" t="n">
        <x:f>SUMIFS('Data (parsed)'!$I$2:$I$235,'Data (parsed)'!$B$2:$B$235,$A125,'Data (parsed)'!$C$2:$C$235,$B125,'Data (parsed)'!$H$2:$H$235,$C125)</x:f>
        <x:v>1</x:v>
      </x:c>
    </x:row>
    <x:row r="126" ht="15" customHeight="1">
      <x:c r="A126" s="24" t="s">
        <x:v>907</x:v>
      </x:c>
      <x:c r="B126" s="24" t="s">
        <x:v>744</x:v>
      </x:c>
      <x:c r="C126" s="24" t="s">
        <x:v>1071</x:v>
      </x:c>
      <x:c r="D126" s="25" t="n">
        <x:f>SUMIFS('Data (parsed)'!$I$2:$I$235,'Data (parsed)'!$B$2:$B$235,$A126,'Data (parsed)'!$C$2:$C$235,$B126,'Data (parsed)'!$H$2:$H$235,$C126)</x:f>
        <x:v>1</x:v>
      </x:c>
    </x:row>
    <x:row r="127" ht="15" customHeight="1">
      <x:c r="A127" s="24" t="s">
        <x:v>907</x:v>
      </x:c>
      <x:c r="B127" s="24" t="s">
        <x:v>744</x:v>
      </x:c>
      <x:c r="C127" s="24" t="s">
        <x:v>1090</x:v>
      </x:c>
      <x:c r="D127" s="25" t="n">
        <x:f>SUMIFS('Data (parsed)'!$I$2:$I$235,'Data (parsed)'!$B$2:$B$235,$A127,'Data (parsed)'!$C$2:$C$235,$B127,'Data (parsed)'!$H$2:$H$235,$C127)</x:f>
        <x:v>1</x:v>
      </x:c>
    </x:row>
    <x:row r="128" ht="15" customHeight="1">
      <x:c r="A128" s="24" t="s">
        <x:v>907</x:v>
      </x:c>
      <x:c r="B128" s="24" t="s">
        <x:v>744</x:v>
      </x:c>
      <x:c r="C128" s="24" t="s">
        <x:v>1091</x:v>
      </x:c>
      <x:c r="D128" s="25" t="n">
        <x:f>SUMIFS('Data (parsed)'!$I$2:$I$235,'Data (parsed)'!$B$2:$B$235,$A128,'Data (parsed)'!$C$2:$C$235,$B128,'Data (parsed)'!$H$2:$H$235,$C128)</x:f>
        <x:v>0</x:v>
      </x:c>
    </x:row>
    <x:row r="129" ht="15" customHeight="1">
      <x:c r="A129" s="24" t="s">
        <x:v>907</x:v>
      </x:c>
      <x:c r="B129" s="24" t="s">
        <x:v>744</x:v>
      </x:c>
      <x:c r="C129" s="24" t="s">
        <x:v>1092</x:v>
      </x:c>
      <x:c r="D129" s="25" t="n">
        <x:f>SUMIFS('Data (parsed)'!$I$2:$I$235,'Data (parsed)'!$B$2:$B$235,$A129,'Data (parsed)'!$C$2:$C$235,$B129,'Data (parsed)'!$H$2:$H$235,$C129)</x:f>
        <x:v>0</x:v>
      </x:c>
    </x:row>
    <x:row r="130" ht="15" customHeight="1">
      <x:c r="A130" s="24" t="s">
        <x:v>907</x:v>
      </x:c>
      <x:c r="B130" s="24" t="s">
        <x:v>744</x:v>
      </x:c>
      <x:c r="C130" s="27" t="s">
        <x:v>1093</x:v>
      </x:c>
      <x:c r="D130" s="25" t="n">
        <x:f>SUMIFS('Data (parsed)'!$I$2:$I$235,'Data (parsed)'!$B$2:$B$235,$A130,'Data (parsed)'!$C$2:$C$235,$B130,'Data (parsed)'!$H$2:$H$235,$C130)</x:f>
        <x:v>1</x:v>
      </x:c>
    </x:row>
    <x:row r="131" ht="15" customHeight="1">
      <x:c r="A131" s="24" t="s">
        <x:v>907</x:v>
      </x:c>
      <x:c r="B131" s="24" t="s">
        <x:v>744</x:v>
      </x:c>
      <x:c r="C131" s="27" t="s">
        <x:v>1094</x:v>
      </x:c>
      <x:c r="D131" s="25" t="n">
        <x:f>SUMIFS('Data (parsed)'!$I$2:$I$235,'Data (parsed)'!$B$2:$B$235,$A131,'Data (parsed)'!$C$2:$C$235,$B131,'Data (parsed)'!$H$2:$H$235,$C131)</x:f>
        <x:v>0</x:v>
      </x:c>
    </x:row>
    <x:row r="132" ht="15" customHeight="1">
      <x:c r="A132" s="24" t="s">
        <x:v>907</x:v>
      </x:c>
      <x:c r="B132" s="24" t="s">
        <x:v>744</x:v>
      </x:c>
      <x:c r="C132" s="27" t="s">
        <x:v>1095</x:v>
      </x:c>
      <x:c r="D132" s="25" t="n">
        <x:f>SUMIFS('Data (parsed)'!$I$2:$I$235,'Data (parsed)'!$B$2:$B$235,$A132,'Data (parsed)'!$C$2:$C$235,$B132,'Data (parsed)'!$H$2:$H$235,$C132)</x:f>
        <x:v>0</x:v>
      </x:c>
    </x:row>
    <x:row r="133" ht="15" customHeight="1">
      <x:c r="A133" s="24" t="s">
        <x:v>907</x:v>
      </x:c>
      <x:c r="B133" s="24" t="s">
        <x:v>960</x:v>
      </x:c>
      <x:c r="C133" s="27" t="s">
        <x:v>1096</x:v>
      </x:c>
      <x:c r="D133" s="25" t="n">
        <x:f>SUMIFS('Data (parsed)'!$I$2:$I$235,'Data (parsed)'!$B$2:$B$235,$A133,'Data (parsed)'!$C$2:$C$235,$B133,'Data (parsed)'!$H$2:$H$235,$C133)</x:f>
        <x:v>0</x:v>
      </x:c>
    </x:row>
    <x:row r="134" ht="15" customHeight="1">
      <x:c r="A134" s="24" t="s">
        <x:v>907</x:v>
      </x:c>
      <x:c r="B134" s="24" t="s">
        <x:v>956</x:v>
      </x:c>
      <x:c r="C134" s="24" t="s">
        <x:v>1071</x:v>
      </x:c>
      <x:c r="D134" s="25" t="n">
        <x:f>SUMIFS('Data (parsed)'!$I$2:$I$235,'Data (parsed)'!$B$2:$B$235,$A134,'Data (parsed)'!$C$2:$C$235,$B134,'Data (parsed)'!$H$2:$H$235,$C134)</x:f>
        <x:v>2</x:v>
      </x:c>
    </x:row>
    <x:row r="135" ht="15" customHeight="1">
      <x:c r="A135" s="24" t="s">
        <x:v>907</x:v>
      </x:c>
      <x:c r="B135" s="24" t="s">
        <x:v>956</x:v>
      </x:c>
      <x:c r="C135" s="24" t="s">
        <x:v>969</x:v>
      </x:c>
      <x:c r="D135" s="25" t="n">
        <x:f>SUMIFS('Data (parsed)'!$I$2:$I$235,'Data (parsed)'!$B$2:$B$235,$A135,'Data (parsed)'!$C$2:$C$235,$B135,'Data (parsed)'!$H$2:$H$235,$C135)</x:f>
        <x:v>2</x:v>
      </x:c>
    </x:row>
    <x:row r="136" ht="15" customHeight="1">
      <x:c r="A136" s="24" t="s">
        <x:v>907</x:v>
      </x:c>
      <x:c r="B136" s="24" t="s">
        <x:v>956</x:v>
      </x:c>
      <x:c r="C136" s="27" t="s">
        <x:v>1086</x:v>
      </x:c>
      <x:c r="D136" s="25" t="n">
        <x:f>SUMIFS('Data (parsed)'!$I$2:$I$235,'Data (parsed)'!$B$2:$B$235,$A136,'Data (parsed)'!$C$2:$C$235,$B136,'Data (parsed)'!$H$2:$H$235,$C136)</x:f>
        <x:v>1</x:v>
      </x:c>
    </x:row>
    <x:row r="137" ht="15" customHeight="1">
      <x:c r="A137" s="24" t="s">
        <x:v>907</x:v>
      </x:c>
      <x:c r="B137" s="24" t="s">
        <x:v>956</x:v>
      </x:c>
      <x:c r="C137" s="24" t="s">
        <x:v>1090</x:v>
      </x:c>
      <x:c r="D137" s="25" t="n">
        <x:f>SUMIFS('Data (parsed)'!$I$2:$I$235,'Data (parsed)'!$B$2:$B$235,$A137,'Data (parsed)'!$C$2:$C$235,$B137,'Data (parsed)'!$H$2:$H$235,$C137)</x:f>
        <x:v>1</x:v>
      </x:c>
    </x:row>
    <x:row r="138" ht="15" customHeight="1">
      <x:c r="A138" s="24" t="s">
        <x:v>907</x:v>
      </x:c>
      <x:c r="B138" s="24" t="s">
        <x:v>956</x:v>
      </x:c>
      <x:c r="C138" s="27" t="s">
        <x:v>1058</x:v>
      </x:c>
      <x:c r="D138" s="25" t="n">
        <x:f>SUMIFS('Data (parsed)'!$I$2:$I$235,'Data (parsed)'!$B$2:$B$235,$A138,'Data (parsed)'!$C$2:$C$235,$B138,'Data (parsed)'!$H$2:$H$235,$C138)</x:f>
        <x:v>1</x:v>
      </x:c>
    </x:row>
    <x:row r="139" ht="15" customHeight="1">
      <x:c r="A139" s="24" t="s">
        <x:v>907</x:v>
      </x:c>
      <x:c r="B139" s="24" t="s">
        <x:v>956</x:v>
      </x:c>
      <x:c r="C139" s="27" t="s">
        <x:v>1097</x:v>
      </x:c>
      <x:c r="D139" s="25" t="n">
        <x:f>SUMIFS('Data (parsed)'!$I$2:$I$235,'Data (parsed)'!$B$2:$B$235,$A139,'Data (parsed)'!$C$2:$C$235,$B139,'Data (parsed)'!$H$2:$H$235,$C139)</x:f>
        <x:v>1</x:v>
      </x:c>
    </x:row>
    <x:row r="140" ht="15" customHeight="1">
      <x:c r="A140" s="24" t="s">
        <x:v>907</x:v>
      </x:c>
      <x:c r="B140" s="24" t="s">
        <x:v>956</x:v>
      </x:c>
      <x:c r="C140" s="27" t="s">
        <x:v>1098</x:v>
      </x:c>
      <x:c r="D140" s="25" t="n">
        <x:f>SUMIFS('Data (parsed)'!$I$2:$I$235,'Data (parsed)'!$B$2:$B$235,$A140,'Data (parsed)'!$C$2:$C$235,$B140,'Data (parsed)'!$H$2:$H$235,$C140)</x:f>
        <x:v>0</x:v>
      </x:c>
    </x:row>
    <x:row r="141" ht="15" customHeight="1">
      <x:c r="A141" s="24" t="s">
        <x:v>907</x:v>
      </x:c>
      <x:c r="B141" s="24" t="s">
        <x:v>956</x:v>
      </x:c>
      <x:c r="C141" s="24" t="s">
        <x:v>1099</x:v>
      </x:c>
      <x:c r="D141" s="25" t="n">
        <x:f>SUMIFS('Data (parsed)'!$I$2:$I$235,'Data (parsed)'!$B$2:$B$235,$A141,'Data (parsed)'!$C$2:$C$235,$B141,'Data (parsed)'!$H$2:$H$235,$C141)</x:f>
        <x:v>0</x:v>
      </x:c>
    </x:row>
    <x:row r="142" ht="15" customHeight="1">
      <x:c r="A142" s="24" t="s">
        <x:v>907</x:v>
      </x:c>
      <x:c r="B142" s="24" t="s">
        <x:v>956</x:v>
      </x:c>
      <x:c r="C142" s="27" t="s">
        <x:v>1088</x:v>
      </x:c>
      <x:c r="D142" s="25" t="n">
        <x:f>SUMIFS('Data (parsed)'!$I$2:$I$235,'Data (parsed)'!$B$2:$B$235,$A142,'Data (parsed)'!$C$2:$C$235,$B142,'Data (parsed)'!$H$2:$H$235,$C142)</x:f>
        <x:v>0</x:v>
      </x:c>
    </x:row>
    <x:row r="143" ht="15" customHeight="1">
      <x:c r="A143" s="24" t="s">
        <x:v>907</x:v>
      </x:c>
      <x:c r="B143" s="24" t="s">
        <x:v>957</x:v>
      </x:c>
      <x:c r="C143" s="24" t="s">
        <x:v>1100</x:v>
      </x:c>
      <x:c r="D143" s="25" t="n">
        <x:f>SUMIFS('Data (parsed)'!$I$2:$I$235,'Data (parsed)'!$B$2:$B$235,$A143,'Data (parsed)'!$C$2:$C$235,$B143,'Data (parsed)'!$H$2:$H$235,$C143)</x:f>
        <x:v>3</x:v>
      </x:c>
    </x:row>
    <x:row r="144" ht="15" customHeight="1">
      <x:c r="A144" s="24" t="s">
        <x:v>907</x:v>
      </x:c>
      <x:c r="B144" s="24" t="s">
        <x:v>957</x:v>
      </x:c>
      <x:c r="C144" s="24" t="s">
        <x:v>969</x:v>
      </x:c>
      <x:c r="D144" s="25" t="n">
        <x:f>SUMIFS('Data (parsed)'!$I$2:$I$235,'Data (parsed)'!$B$2:$B$235,$A144,'Data (parsed)'!$C$2:$C$235,$B144,'Data (parsed)'!$H$2:$H$235,$C144)</x:f>
        <x:v>2</x:v>
      </x:c>
    </x:row>
    <x:row r="145" ht="15" customHeight="1">
      <x:c r="A145" s="24" t="s">
        <x:v>907</x:v>
      </x:c>
      <x:c r="B145" s="24" t="s">
        <x:v>957</x:v>
      </x:c>
      <x:c r="C145" s="27" t="s">
        <x:v>1085</x:v>
      </x:c>
      <x:c r="D145" s="25" t="n">
        <x:f>SUMIFS('Data (parsed)'!$I$2:$I$235,'Data (parsed)'!$B$2:$B$235,$A145,'Data (parsed)'!$C$2:$C$235,$B145,'Data (parsed)'!$H$2:$H$235,$C145)</x:f>
        <x:v>1</x:v>
      </x:c>
    </x:row>
    <x:row r="146" ht="15" customHeight="1">
      <x:c r="A146" s="24" t="s">
        <x:v>907</x:v>
      </x:c>
      <x:c r="B146" s="24" t="s">
        <x:v>892</x:v>
      </x:c>
      <x:c r="C146" s="27" t="s">
        <x:v>1085</x:v>
      </x:c>
      <x:c r="D146" s="25" t="n">
        <x:f>SUMIFS('Data (parsed)'!$I$2:$I$235,'Data (parsed)'!$B$2:$B$235,$A146,'Data (parsed)'!$C$2:$C$235,$B146,'Data (parsed)'!$H$2:$H$235,$C146)</x:f>
        <x:v>1</x:v>
      </x:c>
    </x:row>
    <x:row r="147" ht="15" customHeight="1">
      <x:c r="A147" s="24" t="s">
        <x:v>907</x:v>
      </x:c>
      <x:c r="B147" s="24" t="s">
        <x:v>892</x:v>
      </x:c>
      <x:c r="C147" s="27" t="s">
        <x:v>1101</x:v>
      </x:c>
      <x:c r="D147" s="25" t="n">
        <x:f>SUMIFS('Data (parsed)'!$I$2:$I$235,'Data (parsed)'!$B$2:$B$235,$A147,'Data (parsed)'!$C$2:$C$235,$B147,'Data (parsed)'!$H$2:$H$235,$C147)</x:f>
        <x:v>1</x:v>
      </x:c>
    </x:row>
    <x:row r="148" ht="14.25" customHeight="1">
      <x:c r="A148" s="10"/>
      <x:c r="B148" s="10"/>
      <x:c r="C148" s="10"/>
      <x:c r="D148" s="10"/>
    </x:row>
    <x:row r="149" ht="14.25" customHeight="1">
      <x:c r="A149" s="10"/>
      <x:c r="B149" s="10"/>
      <x:c r="C149" s="10"/>
      <x:c r="D149" s="10"/>
    </x:row>
    <x:row r="150" ht="14.25" customHeight="1">
      <x:c r="A150" s="10"/>
      <x:c r="B150" s="10"/>
      <x:c r="C150" s="10"/>
      <x:c r="D150" s="10"/>
    </x:row>
    <x:row r="151" ht="14.25" customHeight="1">
      <x:c r="A151" s="10"/>
      <x:c r="B151" s="10"/>
      <x:c r="C151" s="10"/>
      <x:c r="D151" s="10"/>
    </x:row>
    <x:row r="152" ht="14.25" customHeight="1">
      <x:c r="A152" s="10"/>
      <x:c r="B152" s="10"/>
      <x:c r="C152" s="10"/>
      <x:c r="D152" s="10"/>
    </x:row>
    <x:row r="153" ht="14.25" customHeight="1">
      <x:c r="A153" s="10"/>
      <x:c r="B153" s="10"/>
      <x:c r="C153" s="10"/>
      <x:c r="D153" s="10"/>
    </x:row>
    <x:row r="154" ht="14.25" customHeight="1">
      <x:c r="A154" s="10"/>
      <x:c r="B154" s="10"/>
      <x:c r="C154" s="10"/>
      <x:c r="D154" s="10"/>
    </x:row>
    <x:row r="155" ht="14.25" customHeight="1">
      <x:c r="A155" s="10"/>
      <x:c r="B155" s="10"/>
      <x:c r="C155" s="10"/>
      <x:c r="D155" s="10"/>
    </x:row>
    <x:row r="156" ht="14.25" customHeight="1">
      <x:c r="A156" s="10"/>
      <x:c r="B156" s="10"/>
      <x:c r="C156" s="10"/>
      <x:c r="D156" s="10"/>
    </x:row>
    <x:row r="157" ht="14.25" customHeight="1">
      <x:c r="A157" s="10"/>
      <x:c r="B157" s="10"/>
      <x:c r="C157" s="10"/>
      <x:c r="D157" s="10"/>
    </x:row>
    <x:row r="158" ht="14.25" customHeight="1">
      <x:c r="A158" s="10"/>
      <x:c r="B158" s="10"/>
      <x:c r="C158" s="10"/>
      <x:c r="D158" s="10"/>
    </x:row>
    <x:row r="159" ht="14.25" customHeight="1">
      <x:c r="A159" s="10"/>
      <x:c r="B159" s="10"/>
      <x:c r="C159" s="10"/>
      <x:c r="D159" s="10"/>
    </x:row>
    <x:row r="160" ht="14.25" customHeight="1">
      <x:c r="A160" s="10"/>
      <x:c r="B160" s="10"/>
      <x:c r="C160" s="10"/>
      <x:c r="D160" s="10"/>
    </x:row>
    <x:row r="161" ht="14.25" customHeight="1">
      <x:c r="A161" s="10"/>
      <x:c r="B161" s="10"/>
      <x:c r="C161" s="10"/>
      <x:c r="D161" s="10"/>
    </x:row>
    <x:row r="162" ht="14.25" customHeight="1">
      <x:c r="A162" s="10"/>
      <x:c r="B162" s="10"/>
      <x:c r="C162" s="10"/>
      <x:c r="D162" s="10"/>
    </x:row>
    <x:row r="163" ht="14.25" customHeight="1">
      <x:c r="A163" s="10"/>
      <x:c r="B163" s="10"/>
      <x:c r="C163" s="10"/>
      <x:c r="D163" s="10"/>
    </x:row>
    <x:row r="164" ht="14.25" customHeight="1">
      <x:c r="A164" s="10"/>
      <x:c r="B164" s="10"/>
      <x:c r="C164" s="10"/>
      <x:c r="D164" s="10"/>
    </x:row>
    <x:row r="165" ht="14.25" customHeight="1">
      <x:c r="A165" s="10"/>
      <x:c r="B165" s="10"/>
      <x:c r="C165" s="10"/>
      <x:c r="D165" s="10"/>
    </x:row>
    <x:row r="166" ht="14.25" customHeight="1">
      <x:c r="A166" s="10"/>
      <x:c r="B166" s="10"/>
      <x:c r="C166" s="10"/>
      <x:c r="D166" s="10"/>
    </x:row>
    <x:row r="167" ht="14.25" customHeight="1">
      <x:c r="A167" s="10"/>
      <x:c r="B167" s="10"/>
      <x:c r="C167" s="10"/>
      <x:c r="D167" s="10"/>
    </x:row>
    <x:row r="168" ht="14.25" customHeight="1">
      <x:c r="A168" s="10"/>
      <x:c r="B168" s="10"/>
      <x:c r="C168" s="10"/>
      <x:c r="D168" s="10"/>
    </x:row>
    <x:row r="169" ht="14.25" customHeight="1">
      <x:c r="A169" s="10"/>
      <x:c r="B169" s="10"/>
      <x:c r="C169" s="10"/>
      <x:c r="D169" s="10"/>
    </x:row>
    <x:row r="170" ht="14.25" customHeight="1">
      <x:c r="A170" s="10"/>
      <x:c r="B170" s="10"/>
      <x:c r="C170" s="10"/>
      <x:c r="D170" s="10"/>
    </x:row>
    <x:row r="171" ht="14.25" customHeight="1">
      <x:c r="A171" s="10"/>
      <x:c r="B171" s="10"/>
      <x:c r="C171" s="10"/>
      <x:c r="D171" s="10"/>
    </x:row>
    <x:row r="172" ht="14.25" customHeight="1">
      <x:c r="A172" s="10"/>
      <x:c r="B172" s="10"/>
      <x:c r="C172" s="10"/>
      <x:c r="D172" s="10"/>
    </x:row>
    <x:row r="173" ht="14.25" customHeight="1">
      <x:c r="A173" s="10"/>
      <x:c r="B173" s="10"/>
      <x:c r="C173" s="10"/>
      <x:c r="D173" s="10"/>
    </x:row>
    <x:row r="174" ht="14.25" customHeight="1">
      <x:c r="A174" s="10"/>
      <x:c r="B174" s="10"/>
      <x:c r="C174" s="10"/>
      <x:c r="D174" s="10"/>
    </x:row>
    <x:row r="175" ht="14.25" customHeight="1">
      <x:c r="A175" s="10"/>
      <x:c r="B175" s="10"/>
      <x:c r="C175" s="10"/>
      <x:c r="D175" s="10"/>
    </x:row>
    <x:row r="176" ht="14.25" customHeight="1">
      <x:c r="A176" s="10"/>
      <x:c r="B176" s="10"/>
      <x:c r="C176" s="10"/>
      <x:c r="D176" s="10"/>
    </x:row>
    <x:row r="177" ht="14.25" customHeight="1">
      <x:c r="A177" s="10"/>
      <x:c r="B177" s="10"/>
      <x:c r="C177" s="10"/>
      <x:c r="D177" s="10"/>
    </x:row>
    <x:row r="178" ht="14.25" customHeight="1">
      <x:c r="A178" s="10"/>
      <x:c r="B178" s="10"/>
      <x:c r="C178" s="10"/>
      <x:c r="D178" s="10"/>
    </x:row>
    <x:row r="179" ht="14.25" customHeight="1">
      <x:c r="A179" s="10"/>
      <x:c r="B179" s="10"/>
      <x:c r="C179" s="10"/>
      <x:c r="D179" s="10"/>
    </x:row>
    <x:row r="180" ht="14.25" customHeight="1">
      <x:c r="A180" s="10"/>
      <x:c r="B180" s="10"/>
      <x:c r="C180" s="10"/>
      <x:c r="D180" s="10"/>
    </x:row>
    <x:row r="181" ht="14.25" customHeight="1">
      <x:c r="A181" s="10"/>
      <x:c r="B181" s="10"/>
      <x:c r="C181" s="10"/>
      <x:c r="D181" s="10"/>
    </x:row>
    <x:row r="182" ht="14.25" customHeight="1">
      <x:c r="A182" s="10"/>
      <x:c r="B182" s="10"/>
      <x:c r="C182" s="10"/>
      <x:c r="D182" s="10"/>
    </x:row>
    <x:row r="183" ht="14.25" customHeight="1">
      <x:c r="A183" s="10"/>
      <x:c r="B183" s="10"/>
      <x:c r="C183" s="10"/>
      <x:c r="D183" s="10"/>
    </x:row>
    <x:row r="184" ht="14.25" customHeight="1">
      <x:c r="A184" s="10"/>
      <x:c r="B184" s="10"/>
      <x:c r="C184" s="10"/>
      <x:c r="D184" s="10"/>
    </x:row>
    <x:row r="185" ht="14.25" customHeight="1">
      <x:c r="A185" s="10"/>
      <x:c r="B185" s="10"/>
      <x:c r="C185" s="10"/>
      <x:c r="D185" s="10"/>
    </x:row>
    <x:row r="186" ht="14.25" customHeight="1">
      <x:c r="A186" s="10"/>
      <x:c r="B186" s="10"/>
      <x:c r="C186" s="10"/>
      <x:c r="D186" s="10"/>
    </x:row>
    <x:row r="187" ht="14.25" customHeight="1">
      <x:c r="A187" s="10"/>
      <x:c r="B187" s="10"/>
      <x:c r="C187" s="10"/>
      <x:c r="D187" s="10"/>
    </x:row>
    <x:row r="188" ht="14.25" customHeight="1">
      <x:c r="A188" s="10"/>
      <x:c r="B188" s="10"/>
      <x:c r="C188" s="10"/>
      <x:c r="D188" s="10"/>
    </x:row>
    <x:row r="189" ht="14.25" customHeight="1">
      <x:c r="A189" s="10"/>
      <x:c r="B189" s="10"/>
      <x:c r="C189" s="10"/>
      <x:c r="D189" s="10"/>
    </x:row>
    <x:row r="190" ht="14.25" customHeight="1">
      <x:c r="A190" s="10"/>
      <x:c r="B190" s="10"/>
      <x:c r="C190" s="10"/>
      <x:c r="D190" s="10"/>
    </x:row>
    <x:row r="191" ht="14.25" customHeight="1">
      <x:c r="A191" s="10"/>
      <x:c r="B191" s="10"/>
      <x:c r="C191" s="10"/>
      <x:c r="D191" s="10"/>
    </x:row>
    <x:row r="192" ht="14.25" customHeight="1">
      <x:c r="A192" s="10"/>
      <x:c r="B192" s="10"/>
      <x:c r="C192" s="10"/>
      <x:c r="D192" s="10"/>
    </x:row>
    <x:row r="193" ht="14.25" customHeight="1">
      <x:c r="A193" s="10"/>
      <x:c r="B193" s="10"/>
      <x:c r="C193" s="10"/>
      <x:c r="D193" s="10"/>
    </x:row>
    <x:row r="194" ht="14.25" customHeight="1">
      <x:c r="A194" s="10"/>
      <x:c r="B194" s="10"/>
      <x:c r="C194" s="10"/>
      <x:c r="D194" s="10"/>
    </x:row>
    <x:row r="195" ht="14.25" customHeight="1">
      <x:c r="A195" s="10"/>
      <x:c r="B195" s="10"/>
      <x:c r="C195" s="10"/>
      <x:c r="D195" s="10"/>
    </x:row>
    <x:row r="196" ht="14.25" customHeight="1">
      <x:c r="A196" s="10"/>
      <x:c r="B196" s="10"/>
      <x:c r="C196" s="10"/>
      <x:c r="D196" s="10"/>
    </x:row>
    <x:row r="197" ht="14.25" customHeight="1">
      <x:c r="A197" s="10"/>
      <x:c r="B197" s="10"/>
      <x:c r="C197" s="10"/>
      <x:c r="D197" s="10"/>
    </x:row>
    <x:row r="198" ht="14.25" customHeight="1">
      <x:c r="A198" s="10"/>
      <x:c r="B198" s="10"/>
      <x:c r="C198" s="10"/>
      <x:c r="D198" s="10"/>
    </x:row>
    <x:row r="199" ht="14.25" customHeight="1">
      <x:c r="A199" s="10"/>
      <x:c r="B199" s="10"/>
      <x:c r="C199" s="10"/>
      <x:c r="D199" s="10"/>
    </x:row>
    <x:row r="200" ht="14.25" customHeight="1">
      <x:c r="A200" s="10"/>
      <x:c r="B200" s="10"/>
      <x:c r="C200" s="10"/>
      <x:c r="D200" s="10"/>
    </x:row>
    <x:row r="201" ht="14.25" customHeight="1">
      <x:c r="A201" s="10"/>
      <x:c r="B201" s="10"/>
      <x:c r="C201" s="10"/>
      <x:c r="D201" s="10"/>
    </x:row>
    <x:row r="202" ht="14.25" customHeight="1">
      <x:c r="A202" s="10"/>
      <x:c r="B202" s="10"/>
      <x:c r="C202" s="10"/>
      <x:c r="D202" s="10"/>
    </x:row>
    <x:row r="203" ht="14.25" customHeight="1">
      <x:c r="A203" s="10"/>
      <x:c r="B203" s="10"/>
      <x:c r="C203" s="10"/>
      <x:c r="D203" s="10"/>
    </x:row>
    <x:row r="204" ht="14.25" customHeight="1">
      <x:c r="A204" s="10"/>
      <x:c r="B204" s="10"/>
      <x:c r="C204" s="10"/>
      <x:c r="D204" s="10"/>
    </x:row>
    <x:row r="205" ht="14.25" customHeight="1">
      <x:c r="A205" s="10"/>
      <x:c r="B205" s="10"/>
      <x:c r="C205" s="10"/>
      <x:c r="D205" s="10"/>
    </x:row>
    <x:row r="206" ht="14.25" customHeight="1">
      <x:c r="A206" s="10"/>
      <x:c r="B206" s="10"/>
      <x:c r="C206" s="10"/>
      <x:c r="D206" s="10"/>
    </x:row>
    <x:row r="207" ht="14.25" customHeight="1">
      <x:c r="A207" s="10"/>
      <x:c r="B207" s="10"/>
      <x:c r="C207" s="10"/>
      <x:c r="D207" s="10"/>
    </x:row>
    <x:row r="208" ht="14.25" customHeight="1">
      <x:c r="A208" s="10"/>
      <x:c r="B208" s="10"/>
      <x:c r="C208" s="10"/>
      <x:c r="D208" s="10"/>
    </x:row>
    <x:row r="209" ht="14.25" customHeight="1">
      <x:c r="A209" s="10"/>
      <x:c r="B209" s="10"/>
      <x:c r="C209" s="10"/>
      <x:c r="D209" s="10"/>
    </x:row>
    <x:row r="210" ht="14.25" customHeight="1">
      <x:c r="A210" s="10"/>
      <x:c r="B210" s="10"/>
      <x:c r="C210" s="10"/>
      <x:c r="D210" s="10"/>
    </x:row>
    <x:row r="211" ht="14.25" customHeight="1">
      <x:c r="A211" s="10"/>
      <x:c r="B211" s="10"/>
      <x:c r="C211" s="10"/>
      <x:c r="D211" s="10"/>
    </x:row>
    <x:row r="212" ht="14.25" customHeight="1">
      <x:c r="A212" s="10"/>
      <x:c r="B212" s="10"/>
      <x:c r="C212" s="10"/>
      <x:c r="D212" s="10"/>
    </x:row>
    <x:row r="213" ht="14.25" customHeight="1">
      <x:c r="A213" s="10"/>
      <x:c r="B213" s="10"/>
      <x:c r="C213" s="10"/>
      <x:c r="D213" s="10"/>
    </x:row>
    <x:row r="214" ht="14.25" customHeight="1">
      <x:c r="A214" s="10"/>
      <x:c r="B214" s="10"/>
      <x:c r="C214" s="10"/>
      <x:c r="D214" s="10"/>
    </x:row>
    <x:row r="215" ht="14.25" customHeight="1">
      <x:c r="A215" s="10"/>
      <x:c r="B215" s="10"/>
      <x:c r="C215" s="10"/>
      <x:c r="D215" s="10"/>
    </x:row>
    <x:row r="216" ht="14.25" customHeight="1">
      <x:c r="A216" s="10"/>
      <x:c r="B216" s="10"/>
      <x:c r="C216" s="10"/>
      <x:c r="D216" s="10"/>
    </x:row>
    <x:row r="217" ht="14.25" customHeight="1">
      <x:c r="A217" s="10"/>
      <x:c r="B217" s="10"/>
      <x:c r="C217" s="10"/>
      <x:c r="D217" s="10"/>
    </x:row>
    <x:row r="218" ht="14.25" customHeight="1">
      <x:c r="A218" s="10"/>
      <x:c r="B218" s="10"/>
      <x:c r="C218" s="10"/>
      <x:c r="D218" s="10"/>
    </x:row>
    <x:row r="219" ht="14.25" customHeight="1">
      <x:c r="A219" s="10"/>
      <x:c r="B219" s="10"/>
      <x:c r="C219" s="10"/>
      <x:c r="D219" s="10"/>
    </x:row>
    <x:row r="220" ht="14.25" customHeight="1">
      <x:c r="A220" s="10"/>
      <x:c r="B220" s="10"/>
      <x:c r="C220" s="10"/>
      <x:c r="D220" s="10"/>
    </x:row>
    <x:row r="221" ht="14.25" customHeight="1">
      <x:c r="A221" s="10"/>
      <x:c r="B221" s="10"/>
      <x:c r="C221" s="10"/>
      <x:c r="D221" s="10"/>
    </x:row>
    <x:row r="222" ht="14.25" customHeight="1">
      <x:c r="A222" s="10"/>
      <x:c r="B222" s="10"/>
      <x:c r="C222" s="10"/>
      <x:c r="D222" s="10"/>
    </x:row>
    <x:row r="223" ht="14.25" customHeight="1">
      <x:c r="A223" s="10"/>
      <x:c r="B223" s="10"/>
      <x:c r="C223" s="10"/>
      <x:c r="D223" s="10"/>
    </x:row>
    <x:row r="224" ht="14.25" customHeight="1">
      <x:c r="A224" s="10"/>
      <x:c r="B224" s="10"/>
      <x:c r="C224" s="10"/>
      <x:c r="D224" s="10"/>
    </x:row>
    <x:row r="225" ht="14.25" customHeight="1">
      <x:c r="A225" s="10"/>
      <x:c r="B225" s="10"/>
      <x:c r="C225" s="10"/>
      <x:c r="D225" s="10"/>
    </x:row>
    <x:row r="226" ht="14.25" customHeight="1">
      <x:c r="A226" s="10"/>
      <x:c r="B226" s="10"/>
      <x:c r="C226" s="10"/>
      <x:c r="D226" s="10"/>
    </x:row>
    <x:row r="227" ht="14.25" customHeight="1">
      <x:c r="A227" s="10"/>
      <x:c r="B227" s="10"/>
      <x:c r="C227" s="10"/>
      <x:c r="D227" s="10"/>
    </x:row>
    <x:row r="228" ht="14.25" customHeight="1">
      <x:c r="A228" s="10"/>
      <x:c r="B228" s="10"/>
      <x:c r="C228" s="10"/>
      <x:c r="D228" s="10"/>
    </x:row>
    <x:row r="229" ht="14.25" customHeight="1">
      <x:c r="A229" s="10"/>
      <x:c r="B229" s="10"/>
      <x:c r="C229" s="10"/>
      <x:c r="D229" s="10"/>
    </x:row>
    <x:row r="230" ht="14.25" customHeight="1">
      <x:c r="A230" s="10"/>
      <x:c r="B230" s="10"/>
      <x:c r="C230" s="10"/>
      <x:c r="D230" s="10"/>
    </x:row>
    <x:row r="231" ht="14.25" customHeight="1">
      <x:c r="A231" s="10"/>
      <x:c r="B231" s="10"/>
      <x:c r="C231" s="10"/>
      <x:c r="D231" s="10"/>
    </x:row>
    <x:row r="232" ht="14.25" customHeight="1">
      <x:c r="A232" s="10"/>
      <x:c r="B232" s="10"/>
      <x:c r="C232" s="10"/>
      <x:c r="D232" s="10"/>
    </x:row>
    <x:row r="233" ht="14.25" customHeight="1">
      <x:c r="A233" s="10"/>
      <x:c r="B233" s="10"/>
      <x:c r="C233" s="10"/>
      <x:c r="D233" s="10"/>
    </x:row>
    <x:row r="234" ht="14.25" customHeight="1">
      <x:c r="A234" s="10"/>
      <x:c r="B234" s="10"/>
      <x:c r="C234" s="10"/>
      <x:c r="D234" s="10"/>
    </x:row>
    <x:row r="235" ht="14.25" customHeight="1">
      <x:c r="A235" s="10"/>
      <x:c r="B235" s="10"/>
      <x:c r="C235" s="10"/>
      <x:c r="D235" s="10"/>
    </x:row>
    <x:row r="236" ht="14.25" customHeight="1">
      <x:c r="A236" s="10"/>
      <x:c r="B236" s="10"/>
      <x:c r="C236" s="10"/>
      <x:c r="D236" s="10"/>
    </x:row>
    <x:row r="237" ht="14.25" customHeight="1">
      <x:c r="A237" s="10"/>
      <x:c r="B237" s="10"/>
      <x:c r="C237" s="10"/>
      <x:c r="D237" s="10"/>
    </x:row>
    <x:row r="238" ht="14.25" customHeight="1">
      <x:c r="A238" s="10"/>
      <x:c r="B238" s="10"/>
      <x:c r="C238" s="10"/>
      <x:c r="D238" s="10"/>
    </x:row>
    <x:row r="239" ht="14.25" customHeight="1">
      <x:c r="A239" s="10"/>
      <x:c r="B239" s="10"/>
      <x:c r="C239" s="10"/>
      <x:c r="D239" s="10"/>
    </x:row>
    <x:row r="240" ht="14.25" customHeight="1">
      <x:c r="A240" s="10"/>
      <x:c r="B240" s="10"/>
      <x:c r="C240" s="10"/>
      <x:c r="D240" s="10"/>
    </x:row>
    <x:row r="241" ht="14.25" customHeight="1">
      <x:c r="A241" s="10"/>
      <x:c r="B241" s="10"/>
      <x:c r="C241" s="10"/>
      <x:c r="D241" s="10"/>
    </x:row>
    <x:row r="242" ht="14.25" customHeight="1">
      <x:c r="A242" s="10"/>
      <x:c r="B242" s="10"/>
      <x:c r="C242" s="10"/>
      <x:c r="D242" s="10"/>
    </x:row>
    <x:row r="243" ht="14.25" customHeight="1">
      <x:c r="A243" s="10"/>
      <x:c r="B243" s="10"/>
      <x:c r="C243" s="10"/>
      <x:c r="D243" s="10"/>
    </x:row>
    <x:row r="244" ht="14.25" customHeight="1">
      <x:c r="A244" s="10"/>
      <x:c r="B244" s="10"/>
      <x:c r="C244" s="10"/>
      <x:c r="D244" s="10"/>
    </x:row>
    <x:row r="245" ht="14.25" customHeight="1">
      <x:c r="A245" s="10"/>
      <x:c r="B245" s="10"/>
      <x:c r="C245" s="10"/>
      <x:c r="D245" s="10"/>
    </x:row>
    <x:row r="246" ht="14.25" customHeight="1">
      <x:c r="A246" s="10"/>
      <x:c r="B246" s="10"/>
      <x:c r="C246" s="10"/>
      <x:c r="D246" s="10"/>
    </x:row>
    <x:row r="247" ht="14.25" customHeight="1">
      <x:c r="A247" s="10"/>
      <x:c r="B247" s="10"/>
      <x:c r="C247" s="10"/>
      <x:c r="D247" s="10"/>
    </x:row>
    <x:row r="248" ht="14.25" customHeight="1">
      <x:c r="A248" s="10"/>
      <x:c r="B248" s="10"/>
      <x:c r="C248" s="10"/>
      <x:c r="D248" s="10"/>
    </x:row>
    <x:row r="249" ht="14.25" customHeight="1">
      <x:c r="A249" s="10"/>
      <x:c r="B249" s="10"/>
      <x:c r="C249" s="10"/>
      <x:c r="D249" s="10"/>
    </x:row>
    <x:row r="250" ht="14.25" customHeight="1">
      <x:c r="A250" s="10"/>
      <x:c r="B250" s="10"/>
      <x:c r="C250" s="10"/>
      <x:c r="D250" s="10"/>
    </x:row>
    <x:row r="251" ht="14.25" customHeight="1">
      <x:c r="A251" s="10"/>
      <x:c r="B251" s="10"/>
      <x:c r="C251" s="10"/>
      <x:c r="D251" s="10"/>
    </x:row>
    <x:row r="252" ht="14.25" customHeight="1">
      <x:c r="A252" s="10"/>
      <x:c r="B252" s="10"/>
      <x:c r="C252" s="10"/>
      <x:c r="D252" s="10"/>
    </x:row>
    <x:row r="253" ht="14.25" customHeight="1">
      <x:c r="A253" s="10"/>
      <x:c r="B253" s="10"/>
      <x:c r="C253" s="10"/>
      <x:c r="D253" s="10"/>
    </x:row>
    <x:row r="254" ht="14.25" customHeight="1">
      <x:c r="A254" s="10"/>
      <x:c r="B254" s="10"/>
      <x:c r="C254" s="10"/>
      <x:c r="D254" s="10"/>
    </x:row>
    <x:row r="255" ht="14.25" customHeight="1">
      <x:c r="A255" s="10"/>
      <x:c r="B255" s="10"/>
      <x:c r="C255" s="10"/>
      <x:c r="D255" s="10"/>
    </x:row>
    <x:row r="256" ht="14.25" customHeight="1">
      <x:c r="A256" s="10"/>
      <x:c r="B256" s="10"/>
      <x:c r="C256" s="10"/>
      <x:c r="D256" s="10"/>
    </x:row>
    <x:row r="257" ht="14.25" customHeight="1">
      <x:c r="A257" s="10"/>
      <x:c r="B257" s="10"/>
      <x:c r="C257" s="10"/>
      <x:c r="D257" s="10"/>
    </x:row>
    <x:row r="258" ht="14.25" customHeight="1">
      <x:c r="A258" s="10"/>
      <x:c r="B258" s="10"/>
      <x:c r="C258" s="10"/>
      <x:c r="D258" s="10"/>
    </x:row>
    <x:row r="259" ht="14.25" customHeight="1">
      <x:c r="A259" s="10"/>
      <x:c r="B259" s="10"/>
      <x:c r="C259" s="10"/>
      <x:c r="D259" s="10"/>
    </x:row>
    <x:row r="260" ht="14.25" customHeight="1">
      <x:c r="A260" s="10"/>
      <x:c r="B260" s="10"/>
      <x:c r="C260" s="10"/>
      <x:c r="D260" s="10"/>
    </x:row>
    <x:row r="261" ht="14.25" customHeight="1">
      <x:c r="A261" s="10"/>
      <x:c r="B261" s="10"/>
      <x:c r="C261" s="10"/>
      <x:c r="D261" s="10"/>
    </x:row>
    <x:row r="262" ht="14.25" customHeight="1">
      <x:c r="A262" s="10"/>
      <x:c r="B262" s="10"/>
      <x:c r="C262" s="10"/>
      <x:c r="D262" s="10"/>
    </x:row>
    <x:row r="263" ht="14.25" customHeight="1">
      <x:c r="A263" s="10"/>
      <x:c r="B263" s="10"/>
      <x:c r="C263" s="10"/>
      <x:c r="D263" s="10"/>
    </x:row>
    <x:row r="264" ht="14.25" customHeight="1">
      <x:c r="A264" s="10"/>
      <x:c r="B264" s="10"/>
      <x:c r="C264" s="10"/>
      <x:c r="D264" s="10"/>
    </x:row>
    <x:row r="265" ht="14.25" customHeight="1">
      <x:c r="A265" s="10"/>
      <x:c r="B265" s="10"/>
      <x:c r="C265" s="10"/>
      <x:c r="D265" s="10"/>
    </x:row>
    <x:row r="266" ht="14.25" customHeight="1">
      <x:c r="A266" s="10"/>
      <x:c r="B266" s="10"/>
      <x:c r="C266" s="10"/>
      <x:c r="D266" s="10"/>
    </x:row>
    <x:row r="267" ht="14.25" customHeight="1">
      <x:c r="A267" s="10"/>
      <x:c r="B267" s="10"/>
      <x:c r="C267" s="10"/>
      <x:c r="D267" s="10"/>
    </x:row>
    <x:row r="268" ht="14.25" customHeight="1">
      <x:c r="A268" s="10"/>
      <x:c r="B268" s="10"/>
      <x:c r="C268" s="10"/>
      <x:c r="D268" s="10"/>
    </x:row>
    <x:row r="269" ht="14.25" customHeight="1">
      <x:c r="A269" s="10"/>
      <x:c r="B269" s="10"/>
      <x:c r="C269" s="10"/>
      <x:c r="D269" s="10"/>
    </x:row>
    <x:row r="270" ht="14.25" customHeight="1">
      <x:c r="A270" s="10"/>
      <x:c r="B270" s="10"/>
      <x:c r="C270" s="10"/>
      <x:c r="D270" s="10"/>
    </x:row>
    <x:row r="271" ht="14.25" customHeight="1">
      <x:c r="A271" s="10"/>
      <x:c r="B271" s="10"/>
      <x:c r="C271" s="10"/>
      <x:c r="D271" s="10"/>
    </x:row>
    <x:row r="272" ht="14.25" customHeight="1">
      <x:c r="A272" s="10"/>
      <x:c r="B272" s="10"/>
      <x:c r="C272" s="10"/>
      <x:c r="D272" s="10"/>
    </x:row>
    <x:row r="273" ht="14.25" customHeight="1">
      <x:c r="A273" s="10"/>
      <x:c r="B273" s="10"/>
      <x:c r="C273" s="10"/>
      <x:c r="D273" s="10"/>
    </x:row>
    <x:row r="274" ht="14.25" customHeight="1">
      <x:c r="A274" s="10"/>
      <x:c r="B274" s="10"/>
      <x:c r="C274" s="10"/>
      <x:c r="D274" s="10"/>
    </x:row>
    <x:row r="275" ht="14.25" customHeight="1">
      <x:c r="A275" s="10"/>
      <x:c r="B275" s="10"/>
      <x:c r="C275" s="10"/>
      <x:c r="D275" s="10"/>
    </x:row>
    <x:row r="276" ht="14.25" customHeight="1">
      <x:c r="A276" s="10"/>
      <x:c r="B276" s="10"/>
      <x:c r="C276" s="10"/>
      <x:c r="D276" s="10"/>
    </x:row>
    <x:row r="277" ht="14.25" customHeight="1">
      <x:c r="A277" s="10"/>
      <x:c r="B277" s="10"/>
      <x:c r="C277" s="10"/>
      <x:c r="D277" s="10"/>
    </x:row>
    <x:row r="278" ht="14.25" customHeight="1">
      <x:c r="A278" s="10"/>
      <x:c r="B278" s="10"/>
      <x:c r="C278" s="10"/>
      <x:c r="D278" s="10"/>
    </x:row>
    <x:row r="279" ht="14.25" customHeight="1">
      <x:c r="A279" s="10"/>
      <x:c r="B279" s="10"/>
      <x:c r="C279" s="10"/>
      <x:c r="D279" s="10"/>
    </x:row>
    <x:row r="280" ht="14.25" customHeight="1">
      <x:c r="A280" s="10"/>
      <x:c r="B280" s="10"/>
      <x:c r="C280" s="10"/>
      <x:c r="D280" s="10"/>
    </x:row>
    <x:row r="281" ht="14.25" customHeight="1">
      <x:c r="A281" s="10"/>
      <x:c r="B281" s="10"/>
      <x:c r="C281" s="10"/>
      <x:c r="D281" s="10"/>
    </x:row>
    <x:row r="282" ht="14.25" customHeight="1">
      <x:c r="A282" s="10"/>
      <x:c r="B282" s="10"/>
      <x:c r="C282" s="10"/>
      <x:c r="D282" s="10"/>
    </x:row>
    <x:row r="283" ht="14.25" customHeight="1">
      <x:c r="A283" s="10"/>
      <x:c r="B283" s="10"/>
      <x:c r="C283" s="10"/>
      <x:c r="D283" s="10"/>
    </x:row>
    <x:row r="284" ht="14.25" customHeight="1">
      <x:c r="A284" s="10"/>
      <x:c r="B284" s="10"/>
      <x:c r="C284" s="10"/>
      <x:c r="D284" s="10"/>
    </x:row>
    <x:row r="285" ht="14.25" customHeight="1">
      <x:c r="A285" s="10"/>
      <x:c r="B285" s="10"/>
      <x:c r="C285" s="10"/>
      <x:c r="D285" s="10"/>
    </x:row>
    <x:row r="286" ht="14.25" customHeight="1">
      <x:c r="A286" s="10"/>
      <x:c r="B286" s="10"/>
      <x:c r="C286" s="10"/>
      <x:c r="D286" s="10"/>
    </x:row>
    <x:row r="287" ht="14.25" customHeight="1">
      <x:c r="A287" s="10"/>
      <x:c r="B287" s="10"/>
      <x:c r="C287" s="10"/>
      <x:c r="D287" s="10"/>
    </x:row>
    <x:row r="288" ht="14.25" customHeight="1">
      <x:c r="A288" s="10"/>
      <x:c r="B288" s="10"/>
      <x:c r="C288" s="10"/>
      <x:c r="D288" s="10"/>
    </x:row>
    <x:row r="289" ht="14.25" customHeight="1">
      <x:c r="A289" s="10"/>
      <x:c r="B289" s="10"/>
      <x:c r="C289" s="10"/>
      <x:c r="D289" s="10"/>
    </x:row>
    <x:row r="290" ht="14.25" customHeight="1">
      <x:c r="A290" s="10"/>
      <x:c r="B290" s="10"/>
      <x:c r="C290" s="10"/>
      <x:c r="D290" s="10"/>
    </x:row>
    <x:row r="291" ht="14.25" customHeight="1">
      <x:c r="A291" s="10"/>
      <x:c r="B291" s="10"/>
      <x:c r="C291" s="10"/>
      <x:c r="D291" s="10"/>
    </x:row>
    <x:row r="292" ht="14.25" customHeight="1">
      <x:c r="A292" s="10"/>
      <x:c r="B292" s="10"/>
      <x:c r="C292" s="10"/>
      <x:c r="D292" s="10"/>
    </x:row>
    <x:row r="293" ht="14.25" customHeight="1">
      <x:c r="A293" s="10"/>
      <x:c r="B293" s="10"/>
      <x:c r="C293" s="10"/>
      <x:c r="D293" s="10"/>
    </x:row>
    <x:row r="294" ht="14.25" customHeight="1">
      <x:c r="A294" s="10"/>
      <x:c r="B294" s="10"/>
      <x:c r="C294" s="10"/>
      <x:c r="D294" s="10"/>
    </x:row>
    <x:row r="295" ht="14.25" customHeight="1">
      <x:c r="A295" s="10"/>
      <x:c r="B295" s="10"/>
      <x:c r="C295" s="10"/>
      <x:c r="D295" s="10"/>
    </x:row>
    <x:row r="296" ht="14.25" customHeight="1">
      <x:c r="A296" s="10"/>
      <x:c r="B296" s="10"/>
      <x:c r="C296" s="10"/>
      <x:c r="D296" s="10"/>
    </x:row>
    <x:row r="297" ht="14.25" customHeight="1">
      <x:c r="A297" s="10"/>
      <x:c r="B297" s="10"/>
      <x:c r="C297" s="10"/>
      <x:c r="D297" s="10"/>
    </x:row>
    <x:row r="298" ht="14.25" customHeight="1">
      <x:c r="A298" s="10"/>
      <x:c r="B298" s="10"/>
      <x:c r="C298" s="10"/>
      <x:c r="D298" s="10"/>
    </x:row>
    <x:row r="299" ht="14.25" customHeight="1">
      <x:c r="A299" s="10"/>
      <x:c r="B299" s="10"/>
      <x:c r="C299" s="10"/>
      <x:c r="D299" s="10"/>
    </x:row>
    <x:row r="300" ht="14.25" customHeight="1">
      <x:c r="A300" s="10"/>
      <x:c r="B300" s="10"/>
      <x:c r="C300" s="10"/>
      <x:c r="D300" s="10"/>
    </x:row>
    <x:row r="301" ht="14.25" customHeight="1">
      <x:c r="A301" s="10"/>
      <x:c r="B301" s="10"/>
      <x:c r="C301" s="10"/>
      <x:c r="D301" s="10"/>
    </x:row>
    <x:row r="302" ht="14.25" customHeight="1">
      <x:c r="A302" s="10"/>
      <x:c r="B302" s="10"/>
      <x:c r="C302" s="10"/>
      <x:c r="D302" s="10"/>
    </x:row>
    <x:row r="303" ht="14.25" customHeight="1">
      <x:c r="A303" s="10"/>
      <x:c r="B303" s="10"/>
      <x:c r="C303" s="10"/>
      <x:c r="D303" s="10"/>
    </x:row>
    <x:row r="304" ht="14.25" customHeight="1">
      <x:c r="A304" s="10"/>
      <x:c r="B304" s="10"/>
      <x:c r="C304" s="10"/>
      <x:c r="D304" s="10"/>
    </x:row>
    <x:row r="305" ht="14.25" customHeight="1">
      <x:c r="A305" s="10"/>
      <x:c r="B305" s="10"/>
      <x:c r="C305" s="10"/>
      <x:c r="D305" s="10"/>
    </x:row>
    <x:row r="306" ht="14.25" customHeight="1">
      <x:c r="A306" s="10"/>
      <x:c r="B306" s="10"/>
      <x:c r="C306" s="10"/>
      <x:c r="D306" s="10"/>
    </x:row>
    <x:row r="307" ht="14.25" customHeight="1">
      <x:c r="A307" s="10"/>
      <x:c r="B307" s="10"/>
      <x:c r="C307" s="10"/>
      <x:c r="D307" s="10"/>
    </x:row>
    <x:row r="308" ht="14.25" customHeight="1">
      <x:c r="A308" s="10"/>
      <x:c r="B308" s="10"/>
      <x:c r="C308" s="10"/>
      <x:c r="D308" s="10"/>
    </x:row>
    <x:row r="309" ht="14.25" customHeight="1">
      <x:c r="A309" s="10"/>
      <x:c r="B309" s="10"/>
      <x:c r="C309" s="10"/>
      <x:c r="D309" s="10"/>
    </x:row>
    <x:row r="310" ht="14.25" customHeight="1">
      <x:c r="A310" s="10"/>
      <x:c r="B310" s="10"/>
      <x:c r="C310" s="10"/>
      <x:c r="D310" s="10"/>
    </x:row>
    <x:row r="311" ht="14.25" customHeight="1">
      <x:c r="A311" s="10"/>
      <x:c r="B311" s="10"/>
      <x:c r="C311" s="10"/>
      <x:c r="D311" s="10"/>
    </x:row>
    <x:row r="312" ht="14.25" customHeight="1">
      <x:c r="A312" s="10"/>
      <x:c r="B312" s="10"/>
      <x:c r="C312" s="10"/>
      <x:c r="D312" s="10"/>
    </x:row>
    <x:row r="313" ht="14.25" customHeight="1">
      <x:c r="A313" s="10"/>
      <x:c r="B313" s="10"/>
      <x:c r="C313" s="10"/>
      <x:c r="D313" s="10"/>
    </x:row>
    <x:row r="314" ht="14.25" customHeight="1">
      <x:c r="A314" s="10"/>
      <x:c r="B314" s="10"/>
      <x:c r="C314" s="10"/>
      <x:c r="D314" s="10"/>
    </x:row>
    <x:row r="315" ht="14.25" customHeight="1">
      <x:c r="A315" s="10"/>
      <x:c r="B315" s="10"/>
      <x:c r="C315" s="10"/>
      <x:c r="D315" s="10"/>
    </x:row>
    <x:row r="316" ht="14.25" customHeight="1">
      <x:c r="A316" s="10"/>
      <x:c r="B316" s="10"/>
      <x:c r="C316" s="10"/>
      <x:c r="D316" s="10"/>
    </x:row>
    <x:row r="317" ht="14.25" customHeight="1">
      <x:c r="A317" s="10"/>
      <x:c r="B317" s="10"/>
      <x:c r="C317" s="10"/>
      <x:c r="D317" s="10"/>
    </x:row>
    <x:row r="318" ht="14.25" customHeight="1">
      <x:c r="A318" s="10"/>
      <x:c r="B318" s="10"/>
      <x:c r="C318" s="10"/>
      <x:c r="D318" s="10"/>
    </x:row>
    <x:row r="319" ht="14.25" customHeight="1">
      <x:c r="A319" s="10"/>
      <x:c r="B319" s="10"/>
      <x:c r="C319" s="10"/>
      <x:c r="D319" s="10"/>
    </x:row>
    <x:row r="320" ht="14.25" customHeight="1">
      <x:c r="A320" s="10"/>
      <x:c r="B320" s="10"/>
      <x:c r="C320" s="10"/>
      <x:c r="D320" s="10"/>
    </x:row>
    <x:row r="321" ht="14.25" customHeight="1">
      <x:c r="A321" s="10"/>
      <x:c r="B321" s="10"/>
      <x:c r="C321" s="10"/>
      <x:c r="D321" s="10"/>
    </x:row>
    <x:row r="322" ht="14.25" customHeight="1">
      <x:c r="A322" s="10"/>
      <x:c r="B322" s="10"/>
      <x:c r="C322" s="10"/>
      <x:c r="D322" s="10"/>
    </x:row>
    <x:row r="323" ht="14.25" customHeight="1">
      <x:c r="A323" s="10"/>
      <x:c r="B323" s="10"/>
      <x:c r="C323" s="10"/>
      <x:c r="D323" s="10"/>
    </x:row>
    <x:row r="324" ht="14.25" customHeight="1">
      <x:c r="A324" s="10"/>
      <x:c r="B324" s="10"/>
      <x:c r="C324" s="10"/>
      <x:c r="D324" s="10"/>
    </x:row>
    <x:row r="325" ht="14.25" customHeight="1">
      <x:c r="A325" s="10"/>
      <x:c r="B325" s="10"/>
      <x:c r="C325" s="10"/>
      <x:c r="D325" s="10"/>
    </x:row>
    <x:row r="326" ht="14.25" customHeight="1">
      <x:c r="A326" s="10"/>
      <x:c r="B326" s="10"/>
      <x:c r="C326" s="10"/>
      <x:c r="D326" s="10"/>
    </x:row>
    <x:row r="327" ht="14.25" customHeight="1">
      <x:c r="A327" s="10"/>
      <x:c r="B327" s="10"/>
      <x:c r="C327" s="10"/>
      <x:c r="D327" s="10"/>
    </x:row>
    <x:row r="328" ht="14.25" customHeight="1">
      <x:c r="A328" s="10"/>
      <x:c r="B328" s="10"/>
      <x:c r="C328" s="10"/>
      <x:c r="D328" s="10"/>
    </x:row>
    <x:row r="329" ht="14.25" customHeight="1">
      <x:c r="A329" s="10"/>
      <x:c r="B329" s="10"/>
      <x:c r="C329" s="10"/>
      <x:c r="D329" s="10"/>
    </x:row>
    <x:row r="330" ht="14.25" customHeight="1">
      <x:c r="A330" s="10"/>
      <x:c r="B330" s="10"/>
      <x:c r="C330" s="10"/>
      <x:c r="D330" s="10"/>
    </x:row>
    <x:row r="331" ht="14.25" customHeight="1">
      <x:c r="A331" s="10"/>
      <x:c r="B331" s="10"/>
      <x:c r="C331" s="10"/>
      <x:c r="D331" s="10"/>
    </x:row>
    <x:row r="332" ht="14.25" customHeight="1">
      <x:c r="A332" s="10"/>
      <x:c r="B332" s="10"/>
      <x:c r="C332" s="10"/>
      <x:c r="D332" s="10"/>
    </x:row>
    <x:row r="333" ht="14.25" customHeight="1">
      <x:c r="A333" s="10"/>
      <x:c r="B333" s="10"/>
      <x:c r="C333" s="10"/>
      <x:c r="D333" s="10"/>
    </x:row>
    <x:row r="334" ht="14.25" customHeight="1">
      <x:c r="A334" s="10"/>
      <x:c r="B334" s="10"/>
      <x:c r="C334" s="10"/>
      <x:c r="D334" s="10"/>
    </x:row>
    <x:row r="335" ht="14.25" customHeight="1">
      <x:c r="A335" s="10"/>
      <x:c r="B335" s="10"/>
      <x:c r="C335" s="10"/>
      <x:c r="D335" s="10"/>
    </x:row>
    <x:row r="336" ht="14.25" customHeight="1">
      <x:c r="A336" s="10"/>
      <x:c r="B336" s="10"/>
      <x:c r="C336" s="10"/>
      <x:c r="D336" s="10"/>
    </x:row>
    <x:row r="337" ht="14.25" customHeight="1">
      <x:c r="A337" s="10"/>
      <x:c r="B337" s="10"/>
      <x:c r="C337" s="10"/>
      <x:c r="D337" s="10"/>
    </x:row>
    <x:row r="338" ht="14.25" customHeight="1">
      <x:c r="A338" s="10"/>
      <x:c r="B338" s="10"/>
      <x:c r="C338" s="10"/>
      <x:c r="D338" s="10"/>
    </x:row>
    <x:row r="339" ht="14.25" customHeight="1">
      <x:c r="A339" s="10"/>
      <x:c r="B339" s="10"/>
      <x:c r="C339" s="10"/>
      <x:c r="D339" s="10"/>
    </x:row>
    <x:row r="340" ht="14.25" customHeight="1">
      <x:c r="A340" s="10"/>
      <x:c r="B340" s="10"/>
      <x:c r="C340" s="10"/>
      <x:c r="D340" s="10"/>
    </x:row>
    <x:row r="341" ht="14.25" customHeight="1">
      <x:c r="A341" s="10"/>
      <x:c r="B341" s="10"/>
      <x:c r="C341" s="10"/>
      <x:c r="D341" s="10"/>
    </x:row>
    <x:row r="342" ht="14.25" customHeight="1">
      <x:c r="A342" s="10"/>
      <x:c r="B342" s="10"/>
      <x:c r="C342" s="10"/>
      <x:c r="D342" s="10"/>
    </x:row>
    <x:row r="343" ht="14.25" customHeight="1">
      <x:c r="A343" s="10"/>
      <x:c r="B343" s="10"/>
      <x:c r="C343" s="10"/>
      <x:c r="D343" s="10"/>
    </x:row>
    <x:row r="344" ht="14.25" customHeight="1">
      <x:c r="A344" s="10"/>
      <x:c r="B344" s="10"/>
      <x:c r="C344" s="10"/>
      <x:c r="D344" s="10"/>
    </x:row>
    <x:row r="345" ht="14.25" customHeight="1">
      <x:c r="A345" s="10"/>
      <x:c r="B345" s="10"/>
      <x:c r="C345" s="10"/>
      <x:c r="D345" s="10"/>
    </x:row>
    <x:row r="346" ht="14.25" customHeight="1">
      <x:c r="A346" s="10"/>
      <x:c r="B346" s="10"/>
      <x:c r="C346" s="10"/>
      <x:c r="D346" s="10"/>
    </x:row>
    <x:row r="347" ht="14.25" customHeight="1">
      <x:c r="A347" s="10"/>
      <x:c r="B347" s="10"/>
      <x:c r="C347" s="10"/>
      <x:c r="D347" s="10"/>
    </x:row>
    <x:row r="348" ht="14.25" customHeight="1">
      <x:c r="A348" s="10"/>
      <x:c r="B348" s="10"/>
      <x:c r="C348" s="10"/>
      <x:c r="D348" s="10"/>
    </x:row>
    <x:row r="349" ht="14.25" customHeight="1">
      <x:c r="A349" s="10"/>
      <x:c r="B349" s="10"/>
      <x:c r="C349" s="10"/>
      <x:c r="D349" s="10"/>
    </x:row>
    <x:row r="350" ht="14.25" customHeight="1">
      <x:c r="A350" s="10"/>
      <x:c r="B350" s="10"/>
      <x:c r="C350" s="10"/>
      <x:c r="D350" s="10"/>
    </x:row>
    <x:row r="351" ht="14.25" customHeight="1">
      <x:c r="A351" s="10"/>
      <x:c r="B351" s="10"/>
      <x:c r="C351" s="10"/>
      <x:c r="D351" s="10"/>
    </x:row>
    <x:row r="352" ht="14.25" customHeight="1">
      <x:c r="A352" s="10"/>
      <x:c r="B352" s="10"/>
      <x:c r="C352" s="10"/>
      <x:c r="D352" s="10"/>
    </x:row>
    <x:row r="353" ht="14.25" customHeight="1">
      <x:c r="A353" s="10"/>
      <x:c r="B353" s="10"/>
      <x:c r="C353" s="10"/>
      <x:c r="D353" s="10"/>
    </x:row>
    <x:row r="354" ht="14.25" customHeight="1">
      <x:c r="A354" s="10"/>
      <x:c r="B354" s="10"/>
      <x:c r="C354" s="10"/>
      <x:c r="D354" s="10"/>
    </x:row>
    <x:row r="355" ht="14.25" customHeight="1">
      <x:c r="A355" s="10"/>
      <x:c r="B355" s="10"/>
      <x:c r="C355" s="10"/>
      <x:c r="D355" s="10"/>
    </x:row>
    <x:row r="356" ht="14.25" customHeight="1">
      <x:c r="A356" s="10"/>
      <x:c r="B356" s="10"/>
      <x:c r="C356" s="10"/>
      <x:c r="D356" s="10"/>
    </x:row>
    <x:row r="357" ht="14.25" customHeight="1">
      <x:c r="A357" s="10"/>
      <x:c r="B357" s="10"/>
      <x:c r="C357" s="10"/>
      <x:c r="D357" s="10"/>
    </x:row>
    <x:row r="358" ht="14.25" customHeight="1">
      <x:c r="A358" s="10"/>
      <x:c r="B358" s="10"/>
      <x:c r="C358" s="10"/>
      <x:c r="D358" s="10"/>
    </x:row>
    <x:row r="359" ht="14.25" customHeight="1">
      <x:c r="A359" s="10"/>
      <x:c r="B359" s="10"/>
      <x:c r="C359" s="10"/>
      <x:c r="D359" s="10"/>
    </x:row>
    <x:row r="360" ht="14.25" customHeight="1">
      <x:c r="A360" s="10"/>
      <x:c r="B360" s="10"/>
      <x:c r="C360" s="10"/>
      <x:c r="D360" s="10"/>
    </x:row>
    <x:row r="361" ht="14.25" customHeight="1">
      <x:c r="A361" s="10"/>
      <x:c r="B361" s="10"/>
      <x:c r="C361" s="10"/>
      <x:c r="D361" s="10"/>
    </x:row>
    <x:row r="362" ht="14.25" customHeight="1">
      <x:c r="A362" s="10"/>
      <x:c r="B362" s="10"/>
      <x:c r="C362" s="10"/>
      <x:c r="D362" s="10"/>
    </x:row>
    <x:row r="363" ht="14.25" customHeight="1">
      <x:c r="A363" s="10"/>
      <x:c r="B363" s="10"/>
      <x:c r="C363" s="10"/>
      <x:c r="D363" s="10"/>
    </x:row>
    <x:row r="364" ht="14.25" customHeight="1">
      <x:c r="A364" s="10"/>
      <x:c r="B364" s="10"/>
      <x:c r="C364" s="10"/>
      <x:c r="D364" s="10"/>
    </x:row>
    <x:row r="365" ht="14.25" customHeight="1">
      <x:c r="A365" s="10"/>
      <x:c r="B365" s="10"/>
      <x:c r="C365" s="10"/>
      <x:c r="D365" s="10"/>
    </x:row>
    <x:row r="366" ht="14.25" customHeight="1">
      <x:c r="A366" s="10"/>
      <x:c r="B366" s="10"/>
      <x:c r="C366" s="10"/>
      <x:c r="D366" s="10"/>
    </x:row>
    <x:row r="367" ht="14.25" customHeight="1">
      <x:c r="A367" s="10"/>
      <x:c r="B367" s="10"/>
      <x:c r="C367" s="10"/>
      <x:c r="D367" s="10"/>
    </x:row>
    <x:row r="368" ht="14.25" customHeight="1">
      <x:c r="A368" s="10"/>
      <x:c r="B368" s="10"/>
      <x:c r="C368" s="10"/>
      <x:c r="D368" s="10"/>
    </x:row>
    <x:row r="369" ht="14.25" customHeight="1">
      <x:c r="A369" s="10"/>
      <x:c r="B369" s="10"/>
      <x:c r="C369" s="10"/>
      <x:c r="D369" s="10"/>
    </x:row>
    <x:row r="370" ht="14.25" customHeight="1">
      <x:c r="A370" s="10"/>
      <x:c r="B370" s="10"/>
      <x:c r="C370" s="10"/>
      <x:c r="D370" s="10"/>
    </x:row>
    <x:row r="371" ht="14.25" customHeight="1">
      <x:c r="A371" s="10"/>
      <x:c r="B371" s="10"/>
      <x:c r="C371" s="10"/>
      <x:c r="D371" s="10"/>
    </x:row>
    <x:row r="372" ht="14.25" customHeight="1">
      <x:c r="A372" s="10"/>
      <x:c r="B372" s="10"/>
      <x:c r="C372" s="10"/>
      <x:c r="D372" s="10"/>
    </x:row>
    <x:row r="373" ht="14.25" customHeight="1">
      <x:c r="A373" s="10"/>
      <x:c r="B373" s="10"/>
      <x:c r="C373" s="10"/>
      <x:c r="D373" s="10"/>
    </x:row>
    <x:row r="374" ht="14.25" customHeight="1">
      <x:c r="A374" s="10"/>
      <x:c r="B374" s="10"/>
      <x:c r="C374" s="10"/>
      <x:c r="D374" s="10"/>
    </x:row>
    <x:row r="375" ht="14.25" customHeight="1">
      <x:c r="A375" s="10"/>
      <x:c r="B375" s="10"/>
      <x:c r="C375" s="10"/>
      <x:c r="D375" s="10"/>
    </x:row>
    <x:row r="376" ht="14.25" customHeight="1">
      <x:c r="A376" s="10"/>
      <x:c r="B376" s="10"/>
      <x:c r="C376" s="10"/>
      <x:c r="D376" s="10"/>
    </x:row>
    <x:row r="377" ht="14.25" customHeight="1">
      <x:c r="A377" s="10"/>
      <x:c r="B377" s="10"/>
      <x:c r="C377" s="10"/>
      <x:c r="D377" s="10"/>
    </x:row>
    <x:row r="378" ht="14.25" customHeight="1">
      <x:c r="A378" s="10"/>
      <x:c r="B378" s="10"/>
      <x:c r="C378" s="10"/>
      <x:c r="D378" s="10"/>
    </x:row>
    <x:row r="379" ht="14.25" customHeight="1">
      <x:c r="A379" s="10"/>
      <x:c r="B379" s="10"/>
      <x:c r="C379" s="10"/>
      <x:c r="D379" s="10"/>
    </x:row>
    <x:row r="380" ht="14.25" customHeight="1">
      <x:c r="A380" s="10"/>
      <x:c r="B380" s="10"/>
      <x:c r="C380" s="10"/>
      <x:c r="D380" s="10"/>
    </x:row>
    <x:row r="381" ht="14.25" customHeight="1">
      <x:c r="A381" s="10"/>
      <x:c r="B381" s="10"/>
      <x:c r="C381" s="10"/>
      <x:c r="D381" s="10"/>
    </x:row>
    <x:row r="382" ht="14.25" customHeight="1">
      <x:c r="A382" s="10"/>
      <x:c r="B382" s="10"/>
      <x:c r="C382" s="10"/>
      <x:c r="D382" s="10"/>
    </x:row>
    <x:row r="383" ht="14.25" customHeight="1">
      <x:c r="A383" s="10"/>
      <x:c r="B383" s="10"/>
      <x:c r="C383" s="10"/>
      <x:c r="D383" s="10"/>
    </x:row>
    <x:row r="384" ht="14.25" customHeight="1">
      <x:c r="A384" s="10"/>
      <x:c r="B384" s="10"/>
      <x:c r="C384" s="10"/>
      <x:c r="D384" s="10"/>
    </x:row>
    <x:row r="385" ht="14.25" customHeight="1">
      <x:c r="A385" s="10"/>
      <x:c r="B385" s="10"/>
      <x:c r="C385" s="10"/>
      <x:c r="D385" s="10"/>
    </x:row>
    <x:row r="386" ht="14.25" customHeight="1">
      <x:c r="A386" s="10"/>
      <x:c r="B386" s="10"/>
      <x:c r="C386" s="10"/>
      <x:c r="D386" s="10"/>
    </x:row>
    <x:row r="387" ht="14.25" customHeight="1">
      <x:c r="A387" s="10"/>
      <x:c r="B387" s="10"/>
      <x:c r="C387" s="10"/>
      <x:c r="D387" s="10"/>
    </x:row>
    <x:row r="388" ht="14.25" customHeight="1">
      <x:c r="A388" s="10"/>
      <x:c r="B388" s="10"/>
      <x:c r="C388" s="10"/>
      <x:c r="D388" s="10"/>
    </x:row>
    <x:row r="389" ht="14.25" customHeight="1">
      <x:c r="A389" s="10"/>
      <x:c r="B389" s="10"/>
      <x:c r="C389" s="10"/>
      <x:c r="D389" s="10"/>
    </x:row>
    <x:row r="390" ht="14.25" customHeight="1">
      <x:c r="A390" s="10"/>
      <x:c r="B390" s="10"/>
      <x:c r="C390" s="10"/>
      <x:c r="D390" s="10"/>
    </x:row>
    <x:row r="391" ht="14.25" customHeight="1">
      <x:c r="A391" s="10"/>
      <x:c r="B391" s="10"/>
      <x:c r="C391" s="10"/>
      <x:c r="D391" s="10"/>
    </x:row>
    <x:row r="392" ht="14.25" customHeight="1">
      <x:c r="A392" s="10"/>
      <x:c r="B392" s="10"/>
      <x:c r="C392" s="10"/>
      <x:c r="D392" s="10"/>
    </x:row>
    <x:row r="393" ht="14.25" customHeight="1">
      <x:c r="A393" s="10"/>
      <x:c r="B393" s="10"/>
      <x:c r="C393" s="10"/>
      <x:c r="D393" s="10"/>
    </x:row>
    <x:row r="394" ht="14.25" customHeight="1">
      <x:c r="A394" s="10"/>
      <x:c r="B394" s="10"/>
      <x:c r="C394" s="10"/>
      <x:c r="D394" s="10"/>
    </x:row>
    <x:row r="395" ht="14.25" customHeight="1">
      <x:c r="A395" s="10"/>
      <x:c r="B395" s="10"/>
      <x:c r="C395" s="10"/>
      <x:c r="D395" s="10"/>
    </x:row>
    <x:row r="396" ht="14.25" customHeight="1">
      <x:c r="A396" s="10"/>
      <x:c r="B396" s="10"/>
      <x:c r="C396" s="10"/>
      <x:c r="D396" s="10"/>
    </x:row>
    <x:row r="397" ht="14.25" customHeight="1">
      <x:c r="A397" s="10"/>
      <x:c r="B397" s="10"/>
      <x:c r="C397" s="10"/>
      <x:c r="D397" s="10"/>
    </x:row>
    <x:row r="398" ht="14.25" customHeight="1">
      <x:c r="A398" s="10"/>
      <x:c r="B398" s="10"/>
      <x:c r="C398" s="10"/>
      <x:c r="D398" s="10"/>
    </x:row>
    <x:row r="399" ht="14.25" customHeight="1">
      <x:c r="A399" s="10"/>
      <x:c r="B399" s="10"/>
      <x:c r="C399" s="10"/>
      <x:c r="D399" s="10"/>
    </x:row>
    <x:row r="400" ht="14.25" customHeight="1">
      <x:c r="A400" s="10"/>
      <x:c r="B400" s="10"/>
      <x:c r="C400" s="10"/>
      <x:c r="D400" s="10"/>
    </x:row>
    <x:row r="401" ht="14.25" customHeight="1">
      <x:c r="A401" s="10"/>
      <x:c r="B401" s="10"/>
      <x:c r="C401" s="10"/>
      <x:c r="D401" s="10"/>
    </x:row>
    <x:row r="402" ht="14.25" customHeight="1">
      <x:c r="A402" s="10"/>
      <x:c r="B402" s="10"/>
      <x:c r="C402" s="10"/>
      <x:c r="D402" s="10"/>
    </x:row>
    <x:row r="403" ht="14.25" customHeight="1">
      <x:c r="A403" s="10"/>
      <x:c r="B403" s="10"/>
      <x:c r="C403" s="10"/>
      <x:c r="D403" s="10"/>
    </x:row>
    <x:row r="404" ht="14.25" customHeight="1">
      <x:c r="A404" s="10"/>
      <x:c r="B404" s="10"/>
      <x:c r="C404" s="10"/>
      <x:c r="D404" s="10"/>
    </x:row>
    <x:row r="405" ht="14.25" customHeight="1">
      <x:c r="A405" s="10"/>
      <x:c r="B405" s="10"/>
      <x:c r="C405" s="10"/>
      <x:c r="D405" s="10"/>
    </x:row>
    <x:row r="406" ht="14.25" customHeight="1">
      <x:c r="A406" s="10"/>
      <x:c r="B406" s="10"/>
      <x:c r="C406" s="10"/>
      <x:c r="D406" s="10"/>
    </x:row>
    <x:row r="407" ht="14.25" customHeight="1">
      <x:c r="A407" s="10"/>
      <x:c r="B407" s="10"/>
      <x:c r="C407" s="10"/>
      <x:c r="D407" s="10"/>
    </x:row>
    <x:row r="408" ht="14.25" customHeight="1">
      <x:c r="A408" s="10"/>
      <x:c r="B408" s="10"/>
      <x:c r="C408" s="10"/>
      <x:c r="D408" s="10"/>
    </x:row>
    <x:row r="409" ht="14.25" customHeight="1">
      <x:c r="A409" s="10"/>
      <x:c r="B409" s="10"/>
      <x:c r="C409" s="10"/>
      <x:c r="D409" s="10"/>
    </x:row>
    <x:row r="410" ht="14.25" customHeight="1">
      <x:c r="A410" s="10"/>
      <x:c r="B410" s="10"/>
      <x:c r="C410" s="10"/>
      <x:c r="D410" s="10"/>
    </x:row>
    <x:row r="411" ht="14.25" customHeight="1">
      <x:c r="A411" s="10"/>
      <x:c r="B411" s="10"/>
      <x:c r="C411" s="10"/>
      <x:c r="D411" s="10"/>
    </x:row>
    <x:row r="412" ht="14.25" customHeight="1">
      <x:c r="A412" s="10"/>
      <x:c r="B412" s="10"/>
      <x:c r="C412" s="10"/>
      <x:c r="D412" s="10"/>
    </x:row>
    <x:row r="413" ht="14.25" customHeight="1">
      <x:c r="A413" s="10"/>
      <x:c r="B413" s="10"/>
      <x:c r="C413" s="10"/>
      <x:c r="D413" s="10"/>
    </x:row>
    <x:row r="414" ht="14.25" customHeight="1">
      <x:c r="A414" s="10"/>
      <x:c r="B414" s="10"/>
      <x:c r="C414" s="10"/>
      <x:c r="D414" s="10"/>
    </x:row>
    <x:row r="415" ht="14.25" customHeight="1">
      <x:c r="A415" s="10"/>
      <x:c r="B415" s="10"/>
      <x:c r="C415" s="10"/>
      <x:c r="D415" s="10"/>
    </x:row>
    <x:row r="416" ht="14.25" customHeight="1">
      <x:c r="A416" s="10"/>
      <x:c r="B416" s="10"/>
      <x:c r="C416" s="10"/>
      <x:c r="D416" s="10"/>
    </x:row>
    <x:row r="417" ht="14.25" customHeight="1">
      <x:c r="A417" s="10"/>
      <x:c r="B417" s="10"/>
      <x:c r="C417" s="10"/>
      <x:c r="D417" s="10"/>
    </x:row>
    <x:row r="418" ht="14.25" customHeight="1">
      <x:c r="A418" s="10"/>
      <x:c r="B418" s="10"/>
      <x:c r="C418" s="10"/>
      <x:c r="D418" s="10"/>
    </x:row>
    <x:row r="419" ht="14.25" customHeight="1">
      <x:c r="A419" s="10"/>
      <x:c r="B419" s="10"/>
      <x:c r="C419" s="10"/>
      <x:c r="D419" s="10"/>
    </x:row>
    <x:row r="420" ht="14.25" customHeight="1">
      <x:c r="A420" s="10"/>
      <x:c r="B420" s="10"/>
      <x:c r="C420" s="10"/>
      <x:c r="D420" s="10"/>
    </x:row>
    <x:row r="421" ht="14.25" customHeight="1">
      <x:c r="A421" s="10"/>
      <x:c r="B421" s="10"/>
      <x:c r="C421" s="10"/>
      <x:c r="D421" s="10"/>
    </x:row>
    <x:row r="422" ht="14.25" customHeight="1">
      <x:c r="A422" s="10"/>
      <x:c r="B422" s="10"/>
      <x:c r="C422" s="10"/>
      <x:c r="D422" s="10"/>
    </x:row>
    <x:row r="423" ht="14.25" customHeight="1">
      <x:c r="A423" s="10"/>
      <x:c r="B423" s="10"/>
      <x:c r="C423" s="10"/>
      <x:c r="D423" s="10"/>
    </x:row>
    <x:row r="424" ht="14.25" customHeight="1">
      <x:c r="A424" s="10"/>
      <x:c r="B424" s="10"/>
      <x:c r="C424" s="10"/>
      <x:c r="D424" s="10"/>
    </x:row>
    <x:row r="425" ht="14.25" customHeight="1">
      <x:c r="A425" s="10"/>
      <x:c r="B425" s="10"/>
      <x:c r="C425" s="10"/>
      <x:c r="D425" s="10"/>
    </x:row>
    <x:row r="426" ht="14.25" customHeight="1">
      <x:c r="A426" s="10"/>
      <x:c r="B426" s="10"/>
      <x:c r="C426" s="10"/>
      <x:c r="D426" s="10"/>
    </x:row>
    <x:row r="427" ht="14.25" customHeight="1">
      <x:c r="A427" s="10"/>
      <x:c r="B427" s="10"/>
      <x:c r="C427" s="10"/>
      <x:c r="D427" s="10"/>
    </x:row>
    <x:row r="428" ht="14.25" customHeight="1">
      <x:c r="A428" s="10"/>
      <x:c r="B428" s="10"/>
      <x:c r="C428" s="10"/>
      <x:c r="D428" s="10"/>
    </x:row>
    <x:row r="429" ht="14.25" customHeight="1">
      <x:c r="A429" s="10"/>
      <x:c r="B429" s="10"/>
      <x:c r="C429" s="10"/>
      <x:c r="D429" s="10"/>
    </x:row>
    <x:row r="430" ht="14.25" customHeight="1">
      <x:c r="A430" s="10"/>
      <x:c r="B430" s="10"/>
      <x:c r="C430" s="10"/>
      <x:c r="D430" s="10"/>
    </x:row>
    <x:row r="431" ht="14.25" customHeight="1">
      <x:c r="A431" s="10"/>
      <x:c r="B431" s="10"/>
      <x:c r="C431" s="10"/>
      <x:c r="D431" s="10"/>
    </x:row>
    <x:row r="432" ht="14.25" customHeight="1">
      <x:c r="A432" s="10"/>
      <x:c r="B432" s="10"/>
      <x:c r="C432" s="10"/>
      <x:c r="D432" s="10"/>
    </x:row>
    <x:row r="433" ht="14.25" customHeight="1">
      <x:c r="A433" s="10"/>
      <x:c r="B433" s="10"/>
      <x:c r="C433" s="10"/>
      <x:c r="D433" s="10"/>
    </x:row>
    <x:row r="434" ht="14.25" customHeight="1">
      <x:c r="A434" s="10"/>
      <x:c r="B434" s="10"/>
      <x:c r="C434" s="10"/>
      <x:c r="D434" s="10"/>
    </x:row>
    <x:row r="435" ht="14.25" customHeight="1">
      <x:c r="A435" s="10"/>
      <x:c r="B435" s="10"/>
      <x:c r="C435" s="10"/>
      <x:c r="D435" s="10"/>
    </x:row>
    <x:row r="436" ht="14.25" customHeight="1">
      <x:c r="A436" s="10"/>
      <x:c r="B436" s="10"/>
      <x:c r="C436" s="10"/>
      <x:c r="D436" s="10"/>
    </x:row>
    <x:row r="437" ht="14.25" customHeight="1">
      <x:c r="A437" s="10"/>
      <x:c r="B437" s="10"/>
      <x:c r="C437" s="10"/>
      <x:c r="D437" s="10"/>
    </x:row>
    <x:row r="438" ht="14.25" customHeight="1">
      <x:c r="A438" s="10"/>
      <x:c r="B438" s="10"/>
      <x:c r="C438" s="10"/>
      <x:c r="D438" s="10"/>
    </x:row>
    <x:row r="439" ht="14.25" customHeight="1">
      <x:c r="A439" s="10"/>
      <x:c r="B439" s="10"/>
      <x:c r="C439" s="10"/>
      <x:c r="D439" s="10"/>
    </x:row>
    <x:row r="440" ht="14.25" customHeight="1">
      <x:c r="A440" s="10"/>
      <x:c r="B440" s="10"/>
      <x:c r="C440" s="10"/>
      <x:c r="D440" s="10"/>
    </x:row>
    <x:row r="441" ht="14.25" customHeight="1">
      <x:c r="A441" s="10"/>
      <x:c r="B441" s="10"/>
      <x:c r="C441" s="10"/>
      <x:c r="D441" s="10"/>
    </x:row>
    <x:row r="442" ht="14.25" customHeight="1">
      <x:c r="A442" s="10"/>
      <x:c r="B442" s="10"/>
      <x:c r="C442" s="10"/>
      <x:c r="D442" s="10"/>
    </x:row>
    <x:row r="443" ht="14.25" customHeight="1">
      <x:c r="A443" s="10"/>
      <x:c r="B443" s="10"/>
      <x:c r="C443" s="10"/>
      <x:c r="D443" s="10"/>
    </x:row>
    <x:row r="444" ht="14.25" customHeight="1">
      <x:c r="A444" s="10"/>
      <x:c r="B444" s="10"/>
      <x:c r="C444" s="10"/>
      <x:c r="D444" s="10"/>
    </x:row>
    <x:row r="445" ht="14.25" customHeight="1">
      <x:c r="A445" s="10"/>
      <x:c r="B445" s="10"/>
      <x:c r="C445" s="10"/>
      <x:c r="D445" s="10"/>
    </x:row>
    <x:row r="446" ht="14.25" customHeight="1">
      <x:c r="A446" s="10"/>
      <x:c r="B446" s="10"/>
      <x:c r="C446" s="10"/>
      <x:c r="D446" s="10"/>
    </x:row>
    <x:row r="447" ht="14.25" customHeight="1">
      <x:c r="A447" s="10"/>
      <x:c r="B447" s="10"/>
      <x:c r="C447" s="10"/>
      <x:c r="D447" s="10"/>
    </x:row>
    <x:row r="448" ht="14.25" customHeight="1">
      <x:c r="A448" s="10"/>
      <x:c r="B448" s="10"/>
      <x:c r="C448" s="10"/>
      <x:c r="D448" s="10"/>
    </x:row>
    <x:row r="449" ht="14.25" customHeight="1">
      <x:c r="A449" s="10"/>
      <x:c r="B449" s="10"/>
      <x:c r="C449" s="10"/>
      <x:c r="D449" s="10"/>
    </x:row>
    <x:row r="450" ht="14.25" customHeight="1">
      <x:c r="A450" s="10"/>
      <x:c r="B450" s="10"/>
      <x:c r="C450" s="10"/>
      <x:c r="D450" s="10"/>
    </x:row>
    <x:row r="451" ht="14.25" customHeight="1">
      <x:c r="A451" s="10"/>
      <x:c r="B451" s="10"/>
      <x:c r="C451" s="10"/>
      <x:c r="D451" s="10"/>
    </x:row>
    <x:row r="452" ht="14.25" customHeight="1">
      <x:c r="A452" s="10"/>
      <x:c r="B452" s="10"/>
      <x:c r="C452" s="10"/>
      <x:c r="D452" s="10"/>
    </x:row>
    <x:row r="453" ht="14.25" customHeight="1">
      <x:c r="A453" s="10"/>
      <x:c r="B453" s="10"/>
      <x:c r="C453" s="10"/>
      <x:c r="D453" s="10"/>
    </x:row>
    <x:row r="454" ht="14.25" customHeight="1">
      <x:c r="A454" s="10"/>
      <x:c r="B454" s="10"/>
      <x:c r="C454" s="10"/>
      <x:c r="D454" s="10"/>
    </x:row>
    <x:row r="455" ht="14.25" customHeight="1">
      <x:c r="A455" s="10"/>
      <x:c r="B455" s="10"/>
      <x:c r="C455" s="10"/>
      <x:c r="D455" s="10"/>
    </x:row>
    <x:row r="456" ht="14.25" customHeight="1">
      <x:c r="A456" s="10"/>
      <x:c r="B456" s="10"/>
      <x:c r="C456" s="10"/>
      <x:c r="D456" s="10"/>
    </x:row>
    <x:row r="457" ht="14.25" customHeight="1">
      <x:c r="A457" s="10"/>
      <x:c r="B457" s="10"/>
      <x:c r="C457" s="10"/>
      <x:c r="D457" s="10"/>
    </x:row>
    <x:row r="458" ht="14.25" customHeight="1">
      <x:c r="A458" s="10"/>
      <x:c r="B458" s="10"/>
      <x:c r="C458" s="10"/>
      <x:c r="D458" s="10"/>
    </x:row>
    <x:row r="459" ht="14.25" customHeight="1">
      <x:c r="A459" s="10"/>
      <x:c r="B459" s="10"/>
      <x:c r="C459" s="10"/>
      <x:c r="D459" s="10"/>
    </x:row>
    <x:row r="460" ht="14.25" customHeight="1">
      <x:c r="A460" s="10"/>
      <x:c r="B460" s="10"/>
      <x:c r="C460" s="10"/>
      <x:c r="D460" s="10"/>
    </x:row>
    <x:row r="461" ht="14.25" customHeight="1">
      <x:c r="A461" s="10"/>
      <x:c r="B461" s="10"/>
      <x:c r="C461" s="10"/>
      <x:c r="D461" s="10"/>
    </x:row>
    <x:row r="462" ht="14.25" customHeight="1">
      <x:c r="A462" s="10"/>
      <x:c r="B462" s="10"/>
      <x:c r="C462" s="10"/>
      <x:c r="D462" s="10"/>
    </x:row>
    <x:row r="463" ht="14.25" customHeight="1">
      <x:c r="A463" s="10"/>
      <x:c r="B463" s="10"/>
      <x:c r="C463" s="10"/>
      <x:c r="D463" s="10"/>
    </x:row>
    <x:row r="464" ht="14.25" customHeight="1">
      <x:c r="A464" s="10"/>
      <x:c r="B464" s="10"/>
      <x:c r="C464" s="10"/>
      <x:c r="D464" s="10"/>
    </x:row>
    <x:row r="465" ht="14.25" customHeight="1">
      <x:c r="A465" s="10"/>
      <x:c r="B465" s="10"/>
      <x:c r="C465" s="10"/>
      <x:c r="D465" s="10"/>
    </x:row>
    <x:row r="466" ht="14.25" customHeight="1">
      <x:c r="A466" s="10"/>
      <x:c r="B466" s="10"/>
      <x:c r="C466" s="10"/>
      <x:c r="D466" s="10"/>
    </x:row>
    <x:row r="467" ht="14.25" customHeight="1">
      <x:c r="A467" s="10"/>
      <x:c r="B467" s="10"/>
      <x:c r="C467" s="10"/>
      <x:c r="D467" s="10"/>
    </x:row>
    <x:row r="468" ht="14.25" customHeight="1">
      <x:c r="A468" s="10"/>
      <x:c r="B468" s="10"/>
      <x:c r="C468" s="10"/>
      <x:c r="D468" s="10"/>
    </x:row>
    <x:row r="469" ht="14.25" customHeight="1">
      <x:c r="A469" s="10"/>
      <x:c r="B469" s="10"/>
      <x:c r="C469" s="10"/>
      <x:c r="D469" s="10"/>
    </x:row>
    <x:row r="470" ht="14.25" customHeight="1">
      <x:c r="A470" s="10"/>
      <x:c r="B470" s="10"/>
      <x:c r="C470" s="10"/>
      <x:c r="D470" s="10"/>
    </x:row>
    <x:row r="471" ht="14.25" customHeight="1">
      <x:c r="A471" s="10"/>
      <x:c r="B471" s="10"/>
      <x:c r="C471" s="10"/>
      <x:c r="D471" s="10"/>
    </x:row>
    <x:row r="472" ht="14.25" customHeight="1">
      <x:c r="A472" s="10"/>
      <x:c r="B472" s="10"/>
      <x:c r="C472" s="10"/>
      <x:c r="D472" s="10"/>
    </x:row>
    <x:row r="473" ht="14.25" customHeight="1">
      <x:c r="A473" s="10"/>
      <x:c r="B473" s="10"/>
      <x:c r="C473" s="10"/>
      <x:c r="D473" s="10"/>
    </x:row>
    <x:row r="474" ht="14.25" customHeight="1">
      <x:c r="A474" s="10"/>
      <x:c r="B474" s="10"/>
      <x:c r="C474" s="10"/>
      <x:c r="D474" s="10"/>
    </x:row>
    <x:row r="475" ht="14.25" customHeight="1">
      <x:c r="A475" s="10"/>
      <x:c r="B475" s="10"/>
      <x:c r="C475" s="10"/>
      <x:c r="D475" s="10"/>
    </x:row>
    <x:row r="476" ht="14.25" customHeight="1">
      <x:c r="A476" s="10"/>
      <x:c r="B476" s="10"/>
      <x:c r="C476" s="10"/>
      <x:c r="D476" s="10"/>
    </x:row>
    <x:row r="477" ht="14.25" customHeight="1">
      <x:c r="A477" s="10"/>
      <x:c r="B477" s="10"/>
      <x:c r="C477" s="10"/>
      <x:c r="D477" s="10"/>
    </x:row>
    <x:row r="478" ht="14.25" customHeight="1">
      <x:c r="A478" s="10"/>
      <x:c r="B478" s="10"/>
      <x:c r="C478" s="10"/>
      <x:c r="D478" s="10"/>
    </x:row>
    <x:row r="479" ht="14.25" customHeight="1">
      <x:c r="A479" s="10"/>
      <x:c r="B479" s="10"/>
      <x:c r="C479" s="10"/>
      <x:c r="D479" s="10"/>
    </x:row>
    <x:row r="480" ht="14.25" customHeight="1">
      <x:c r="A480" s="10"/>
      <x:c r="B480" s="10"/>
      <x:c r="C480" s="10"/>
      <x:c r="D480" s="10"/>
    </x:row>
    <x:row r="481" ht="14.25" customHeight="1">
      <x:c r="A481" s="10"/>
      <x:c r="B481" s="10"/>
      <x:c r="C481" s="10"/>
      <x:c r="D481" s="10"/>
    </x:row>
    <x:row r="482" ht="14.25" customHeight="1">
      <x:c r="A482" s="10"/>
      <x:c r="B482" s="10"/>
      <x:c r="C482" s="10"/>
      <x:c r="D482" s="10"/>
    </x:row>
    <x:row r="483" ht="14.25" customHeight="1">
      <x:c r="A483" s="10"/>
      <x:c r="B483" s="10"/>
      <x:c r="C483" s="10"/>
      <x:c r="D483" s="10"/>
    </x:row>
    <x:row r="484" ht="14.25" customHeight="1">
      <x:c r="A484" s="10"/>
      <x:c r="B484" s="10"/>
      <x:c r="C484" s="10"/>
      <x:c r="D484" s="10"/>
    </x:row>
    <x:row r="485" ht="14.25" customHeight="1">
      <x:c r="A485" s="10"/>
      <x:c r="B485" s="10"/>
      <x:c r="C485" s="10"/>
      <x:c r="D485" s="10"/>
    </x:row>
    <x:row r="486" ht="14.25" customHeight="1">
      <x:c r="A486" s="10"/>
      <x:c r="B486" s="10"/>
      <x:c r="C486" s="10"/>
      <x:c r="D486" s="10"/>
    </x:row>
    <x:row r="487" ht="14.25" customHeight="1">
      <x:c r="A487" s="10"/>
      <x:c r="B487" s="10"/>
      <x:c r="C487" s="10"/>
      <x:c r="D487" s="10"/>
    </x:row>
    <x:row r="488" ht="14.25" customHeight="1">
      <x:c r="A488" s="10"/>
      <x:c r="B488" s="10"/>
      <x:c r="C488" s="10"/>
      <x:c r="D488" s="10"/>
    </x:row>
    <x:row r="489" ht="14.25" customHeight="1">
      <x:c r="A489" s="10"/>
      <x:c r="B489" s="10"/>
      <x:c r="C489" s="10"/>
      <x:c r="D489" s="10"/>
    </x:row>
    <x:row r="490" ht="14.25" customHeight="1">
      <x:c r="A490" s="10"/>
      <x:c r="B490" s="10"/>
      <x:c r="C490" s="10"/>
      <x:c r="D490" s="10"/>
    </x:row>
    <x:row r="491" ht="14.25" customHeight="1">
      <x:c r="A491" s="10"/>
      <x:c r="B491" s="10"/>
      <x:c r="C491" s="10"/>
      <x:c r="D491" s="10"/>
    </x:row>
    <x:row r="492" ht="14.25" customHeight="1">
      <x:c r="A492" s="10"/>
      <x:c r="B492" s="10"/>
      <x:c r="C492" s="10"/>
      <x:c r="D492" s="10"/>
    </x:row>
    <x:row r="493" ht="14.25" customHeight="1">
      <x:c r="A493" s="10"/>
      <x:c r="B493" s="10"/>
      <x:c r="C493" s="10"/>
      <x:c r="D493" s="10"/>
    </x:row>
    <x:row r="494" ht="14.25" customHeight="1">
      <x:c r="A494" s="10"/>
      <x:c r="B494" s="10"/>
      <x:c r="C494" s="10"/>
      <x:c r="D494" s="10"/>
    </x:row>
    <x:row r="495" ht="14.25" customHeight="1">
      <x:c r="A495" s="10"/>
      <x:c r="B495" s="10"/>
      <x:c r="C495" s="10"/>
      <x:c r="D495" s="10"/>
    </x:row>
    <x:row r="496" ht="14.25" customHeight="1">
      <x:c r="A496" s="10"/>
      <x:c r="B496" s="10"/>
      <x:c r="C496" s="10"/>
      <x:c r="D496" s="10"/>
    </x:row>
    <x:row r="497" ht="14.25" customHeight="1">
      <x:c r="A497" s="10"/>
      <x:c r="B497" s="10"/>
      <x:c r="C497" s="10"/>
      <x:c r="D497" s="10"/>
    </x:row>
    <x:row r="498" ht="14.25" customHeight="1">
      <x:c r="A498" s="10"/>
      <x:c r="B498" s="10"/>
      <x:c r="C498" s="10"/>
      <x:c r="D498" s="10"/>
    </x:row>
    <x:row r="499" ht="14.25" customHeight="1">
      <x:c r="A499" s="10"/>
      <x:c r="B499" s="10"/>
      <x:c r="C499" s="10"/>
      <x:c r="D499" s="10"/>
    </x:row>
    <x:row r="500" ht="14.25" customHeight="1">
      <x:c r="A500" s="10"/>
      <x:c r="B500" s="10"/>
      <x:c r="C500" s="10"/>
      <x:c r="D500" s="10"/>
    </x:row>
    <x:row r="501" ht="14.25" customHeight="1">
      <x:c r="A501" s="10"/>
      <x:c r="B501" s="10"/>
      <x:c r="C501" s="10"/>
      <x:c r="D501" s="10"/>
    </x:row>
    <x:row r="502" ht="14.25" customHeight="1">
      <x:c r="A502" s="10"/>
      <x:c r="B502" s="10"/>
      <x:c r="C502" s="10"/>
      <x:c r="D502" s="10"/>
    </x:row>
    <x:row r="503" ht="14.25" customHeight="1">
      <x:c r="A503" s="10"/>
      <x:c r="B503" s="10"/>
      <x:c r="C503" s="10"/>
      <x:c r="D503" s="10"/>
    </x:row>
    <x:row r="504" ht="14.25" customHeight="1">
      <x:c r="A504" s="10"/>
      <x:c r="B504" s="10"/>
      <x:c r="C504" s="10"/>
      <x:c r="D504" s="10"/>
    </x:row>
    <x:row r="505" ht="14.25" customHeight="1">
      <x:c r="A505" s="10"/>
      <x:c r="B505" s="10"/>
      <x:c r="C505" s="10"/>
      <x:c r="D505" s="10"/>
    </x:row>
    <x:row r="506" ht="14.25" customHeight="1">
      <x:c r="A506" s="10"/>
      <x:c r="B506" s="10"/>
      <x:c r="C506" s="10"/>
      <x:c r="D506" s="10"/>
    </x:row>
    <x:row r="507" ht="14.25" customHeight="1">
      <x:c r="A507" s="10"/>
      <x:c r="B507" s="10"/>
      <x:c r="C507" s="10"/>
      <x:c r="D507" s="10"/>
    </x:row>
    <x:row r="508" ht="14.25" customHeight="1">
      <x:c r="A508" s="10"/>
      <x:c r="B508" s="10"/>
      <x:c r="C508" s="10"/>
      <x:c r="D508" s="10"/>
    </x:row>
    <x:row r="509" ht="14.25" customHeight="1">
      <x:c r="A509" s="10"/>
      <x:c r="B509" s="10"/>
      <x:c r="C509" s="10"/>
      <x:c r="D509" s="10"/>
    </x:row>
    <x:row r="510" ht="14.25" customHeight="1">
      <x:c r="A510" s="10"/>
      <x:c r="B510" s="10"/>
      <x:c r="C510" s="10"/>
      <x:c r="D510" s="10"/>
    </x:row>
    <x:row r="511" ht="14.25" customHeight="1">
      <x:c r="A511" s="10"/>
      <x:c r="B511" s="10"/>
      <x:c r="C511" s="10"/>
      <x:c r="D511" s="10"/>
    </x:row>
    <x:row r="512" ht="14.25" customHeight="1">
      <x:c r="A512" s="10"/>
      <x:c r="B512" s="10"/>
      <x:c r="C512" s="10"/>
      <x:c r="D512" s="10"/>
    </x:row>
    <x:row r="513" ht="14.25" customHeight="1">
      <x:c r="A513" s="10"/>
      <x:c r="B513" s="10"/>
      <x:c r="C513" s="10"/>
      <x:c r="D513" s="10"/>
    </x:row>
    <x:row r="514" ht="14.25" customHeight="1">
      <x:c r="A514" s="10"/>
      <x:c r="B514" s="10"/>
      <x:c r="C514" s="10"/>
      <x:c r="D514" s="10"/>
    </x:row>
    <x:row r="515" ht="14.25" customHeight="1">
      <x:c r="A515" s="10"/>
      <x:c r="B515" s="10"/>
      <x:c r="C515" s="10"/>
      <x:c r="D515" s="10"/>
    </x:row>
    <x:row r="516" ht="14.25" customHeight="1">
      <x:c r="A516" s="10"/>
      <x:c r="B516" s="10"/>
      <x:c r="C516" s="10"/>
      <x:c r="D516" s="10"/>
    </x:row>
    <x:row r="517" ht="14.25" customHeight="1">
      <x:c r="A517" s="10"/>
      <x:c r="B517" s="10"/>
      <x:c r="C517" s="10"/>
      <x:c r="D517" s="10"/>
    </x:row>
    <x:row r="518" ht="14.25" customHeight="1">
      <x:c r="A518" s="10"/>
      <x:c r="B518" s="10"/>
      <x:c r="C518" s="10"/>
      <x:c r="D518" s="10"/>
    </x:row>
    <x:row r="519" ht="14.25" customHeight="1">
      <x:c r="A519" s="10"/>
      <x:c r="B519" s="10"/>
      <x:c r="C519" s="10"/>
      <x:c r="D519" s="10"/>
    </x:row>
    <x:row r="520" ht="14.25" customHeight="1">
      <x:c r="A520" s="10"/>
      <x:c r="B520" s="10"/>
      <x:c r="C520" s="10"/>
      <x:c r="D520" s="10"/>
    </x:row>
    <x:row r="521" ht="14.25" customHeight="1">
      <x:c r="A521" s="10"/>
      <x:c r="B521" s="10"/>
      <x:c r="C521" s="10"/>
      <x:c r="D521" s="10"/>
    </x:row>
    <x:row r="522" ht="14.25" customHeight="1">
      <x:c r="A522" s="10"/>
      <x:c r="B522" s="10"/>
      <x:c r="C522" s="10"/>
      <x:c r="D522" s="10"/>
    </x:row>
    <x:row r="523" ht="14.25" customHeight="1">
      <x:c r="A523" s="10"/>
      <x:c r="B523" s="10"/>
      <x:c r="C523" s="10"/>
      <x:c r="D523" s="10"/>
    </x:row>
    <x:row r="524" ht="14.25" customHeight="1">
      <x:c r="A524" s="10"/>
      <x:c r="B524" s="10"/>
      <x:c r="C524" s="10"/>
      <x:c r="D524" s="10"/>
    </x:row>
    <x:row r="525" ht="14.25" customHeight="1">
      <x:c r="A525" s="10"/>
      <x:c r="B525" s="10"/>
      <x:c r="C525" s="10"/>
      <x:c r="D525" s="10"/>
    </x:row>
    <x:row r="526" ht="14.25" customHeight="1">
      <x:c r="A526" s="10"/>
      <x:c r="B526" s="10"/>
      <x:c r="C526" s="10"/>
      <x:c r="D526" s="10"/>
    </x:row>
    <x:row r="527" ht="14.25" customHeight="1">
      <x:c r="A527" s="10"/>
      <x:c r="B527" s="10"/>
      <x:c r="C527" s="10"/>
      <x:c r="D527" s="10"/>
    </x:row>
    <x:row r="528" ht="14.25" customHeight="1">
      <x:c r="A528" s="10"/>
      <x:c r="B528" s="10"/>
      <x:c r="C528" s="10"/>
      <x:c r="D528" s="10"/>
    </x:row>
    <x:row r="529" ht="14.25" customHeight="1">
      <x:c r="A529" s="10"/>
      <x:c r="B529" s="10"/>
      <x:c r="C529" s="10"/>
      <x:c r="D529" s="10"/>
    </x:row>
    <x:row r="530" ht="14.25" customHeight="1">
      <x:c r="A530" s="10"/>
      <x:c r="B530" s="10"/>
      <x:c r="C530" s="10"/>
      <x:c r="D530" s="10"/>
    </x:row>
    <x:row r="531" ht="14.25" customHeight="1">
      <x:c r="A531" s="10"/>
      <x:c r="B531" s="10"/>
      <x:c r="C531" s="10"/>
      <x:c r="D531" s="10"/>
    </x:row>
    <x:row r="532" ht="14.25" customHeight="1">
      <x:c r="A532" s="10"/>
      <x:c r="B532" s="10"/>
      <x:c r="C532" s="10"/>
      <x:c r="D532" s="10"/>
    </x:row>
    <x:row r="533" ht="14.25" customHeight="1">
      <x:c r="A533" s="10"/>
      <x:c r="B533" s="10"/>
      <x:c r="C533" s="10"/>
      <x:c r="D533" s="10"/>
    </x:row>
    <x:row r="534" ht="14.25" customHeight="1">
      <x:c r="A534" s="10"/>
      <x:c r="B534" s="10"/>
      <x:c r="C534" s="10"/>
      <x:c r="D534" s="10"/>
    </x:row>
    <x:row r="535" ht="14.25" customHeight="1">
      <x:c r="A535" s="10"/>
      <x:c r="B535" s="10"/>
      <x:c r="C535" s="10"/>
      <x:c r="D535" s="10"/>
    </x:row>
    <x:row r="536" ht="14.25" customHeight="1">
      <x:c r="A536" s="10"/>
      <x:c r="B536" s="10"/>
      <x:c r="C536" s="10"/>
      <x:c r="D536" s="10"/>
    </x:row>
    <x:row r="537" ht="14.25" customHeight="1">
      <x:c r="A537" s="10"/>
      <x:c r="B537" s="10"/>
      <x:c r="C537" s="10"/>
      <x:c r="D537" s="10"/>
    </x:row>
    <x:row r="538" ht="14.25" customHeight="1">
      <x:c r="A538" s="10"/>
      <x:c r="B538" s="10"/>
      <x:c r="C538" s="10"/>
      <x:c r="D538" s="10"/>
    </x:row>
    <x:row r="539" ht="14.25" customHeight="1">
      <x:c r="A539" s="10"/>
      <x:c r="B539" s="10"/>
      <x:c r="C539" s="10"/>
      <x:c r="D539" s="10"/>
    </x:row>
    <x:row r="540" ht="14.25" customHeight="1">
      <x:c r="A540" s="10"/>
      <x:c r="B540" s="10"/>
      <x:c r="C540" s="10"/>
      <x:c r="D540" s="10"/>
    </x:row>
    <x:row r="541" ht="14.25" customHeight="1">
      <x:c r="A541" s="10"/>
      <x:c r="B541" s="10"/>
      <x:c r="C541" s="10"/>
      <x:c r="D541" s="10"/>
    </x:row>
    <x:row r="542" ht="14.25" customHeight="1">
      <x:c r="A542" s="10"/>
      <x:c r="B542" s="10"/>
      <x:c r="C542" s="10"/>
      <x:c r="D542" s="10"/>
    </x:row>
    <x:row r="543" ht="14.25" customHeight="1">
      <x:c r="A543" s="10"/>
      <x:c r="B543" s="10"/>
      <x:c r="C543" s="10"/>
      <x:c r="D543" s="10"/>
    </x:row>
    <x:row r="544" ht="14.25" customHeight="1">
      <x:c r="A544" s="10"/>
      <x:c r="B544" s="10"/>
      <x:c r="C544" s="10"/>
      <x:c r="D544" s="10"/>
    </x:row>
    <x:row r="545" ht="14.25" customHeight="1">
      <x:c r="A545" s="10"/>
      <x:c r="B545" s="10"/>
      <x:c r="C545" s="10"/>
      <x:c r="D545" s="10"/>
    </x:row>
    <x:row r="546" ht="14.25" customHeight="1">
      <x:c r="A546" s="10"/>
      <x:c r="B546" s="10"/>
      <x:c r="C546" s="10"/>
      <x:c r="D546" s="10"/>
    </x:row>
    <x:row r="547" ht="14.25" customHeight="1">
      <x:c r="A547" s="10"/>
      <x:c r="B547" s="10"/>
      <x:c r="C547" s="10"/>
      <x:c r="D547" s="10"/>
    </x:row>
    <x:row r="548" ht="14.25" customHeight="1">
      <x:c r="A548" s="10"/>
      <x:c r="B548" s="10"/>
      <x:c r="C548" s="10"/>
      <x:c r="D548" s="10"/>
    </x:row>
    <x:row r="549" ht="14.25" customHeight="1">
      <x:c r="A549" s="10"/>
      <x:c r="B549" s="10"/>
      <x:c r="C549" s="10"/>
      <x:c r="D549" s="10"/>
    </x:row>
    <x:row r="550" ht="14.25" customHeight="1">
      <x:c r="A550" s="10"/>
      <x:c r="B550" s="10"/>
      <x:c r="C550" s="10"/>
      <x:c r="D550" s="10"/>
    </x:row>
    <x:row r="551" ht="14.25" customHeight="1">
      <x:c r="A551" s="10"/>
      <x:c r="B551" s="10"/>
      <x:c r="C551" s="10"/>
      <x:c r="D551" s="10"/>
    </x:row>
    <x:row r="552" ht="14.25" customHeight="1">
      <x:c r="A552" s="10"/>
      <x:c r="B552" s="10"/>
      <x:c r="C552" s="10"/>
      <x:c r="D552" s="10"/>
    </x:row>
    <x:row r="553" ht="14.25" customHeight="1">
      <x:c r="A553" s="10"/>
      <x:c r="B553" s="10"/>
      <x:c r="C553" s="10"/>
      <x:c r="D553" s="10"/>
    </x:row>
    <x:row r="554" ht="14.25" customHeight="1">
      <x:c r="A554" s="10"/>
      <x:c r="B554" s="10"/>
      <x:c r="C554" s="10"/>
      <x:c r="D554" s="10"/>
    </x:row>
    <x:row r="555" ht="14.25" customHeight="1">
      <x:c r="A555" s="10"/>
      <x:c r="B555" s="10"/>
      <x:c r="C555" s="10"/>
      <x:c r="D555" s="10"/>
    </x:row>
    <x:row r="556" ht="14.25" customHeight="1">
      <x:c r="A556" s="10"/>
      <x:c r="B556" s="10"/>
      <x:c r="C556" s="10"/>
      <x:c r="D556" s="10"/>
    </x:row>
    <x:row r="557" ht="14.25" customHeight="1">
      <x:c r="A557" s="10"/>
      <x:c r="B557" s="10"/>
      <x:c r="C557" s="10"/>
      <x:c r="D557" s="10"/>
    </x:row>
    <x:row r="558" ht="14.25" customHeight="1">
      <x:c r="A558" s="10"/>
      <x:c r="B558" s="10"/>
      <x:c r="C558" s="10"/>
      <x:c r="D558" s="10"/>
    </x:row>
    <x:row r="559" ht="14.25" customHeight="1">
      <x:c r="A559" s="10"/>
      <x:c r="B559" s="10"/>
      <x:c r="C559" s="10"/>
      <x:c r="D559" s="10"/>
    </x:row>
    <x:row r="560" ht="14.25" customHeight="1">
      <x:c r="A560" s="10"/>
      <x:c r="B560" s="10"/>
      <x:c r="C560" s="10"/>
      <x:c r="D560" s="10"/>
    </x:row>
    <x:row r="561" ht="14.25" customHeight="1">
      <x:c r="A561" s="10"/>
      <x:c r="B561" s="10"/>
      <x:c r="C561" s="10"/>
      <x:c r="D561" s="10"/>
    </x:row>
    <x:row r="562" ht="14.25" customHeight="1">
      <x:c r="A562" s="10"/>
      <x:c r="B562" s="10"/>
      <x:c r="C562" s="10"/>
      <x:c r="D562" s="10"/>
    </x:row>
    <x:row r="563" ht="14.25" customHeight="1">
      <x:c r="A563" s="10"/>
      <x:c r="B563" s="10"/>
      <x:c r="C563" s="10"/>
      <x:c r="D563" s="10"/>
    </x:row>
    <x:row r="564" ht="14.25" customHeight="1">
      <x:c r="A564" s="10"/>
      <x:c r="B564" s="10"/>
      <x:c r="C564" s="10"/>
      <x:c r="D564" s="10"/>
    </x:row>
    <x:row r="565" ht="14.25" customHeight="1">
      <x:c r="A565" s="10"/>
      <x:c r="B565" s="10"/>
      <x:c r="C565" s="10"/>
      <x:c r="D565" s="10"/>
    </x:row>
    <x:row r="566" ht="14.25" customHeight="1">
      <x:c r="A566" s="10"/>
      <x:c r="B566" s="10"/>
      <x:c r="C566" s="10"/>
      <x:c r="D566" s="10"/>
    </x:row>
    <x:row r="567" ht="14.25" customHeight="1">
      <x:c r="A567" s="10"/>
      <x:c r="B567" s="10"/>
      <x:c r="C567" s="10"/>
      <x:c r="D567" s="10"/>
    </x:row>
    <x:row r="568" ht="14.25" customHeight="1">
      <x:c r="A568" s="10"/>
      <x:c r="B568" s="10"/>
      <x:c r="C568" s="10"/>
      <x:c r="D568" s="10"/>
    </x:row>
    <x:row r="569" ht="14.25" customHeight="1">
      <x:c r="A569" s="10"/>
      <x:c r="B569" s="10"/>
      <x:c r="C569" s="10"/>
      <x:c r="D569" s="10"/>
    </x:row>
    <x:row r="570" ht="14.25" customHeight="1">
      <x:c r="A570" s="10"/>
      <x:c r="B570" s="10"/>
      <x:c r="C570" s="10"/>
      <x:c r="D570" s="10"/>
    </x:row>
    <x:row r="571" ht="14.25" customHeight="1">
      <x:c r="A571" s="10"/>
      <x:c r="B571" s="10"/>
      <x:c r="C571" s="10"/>
      <x:c r="D571" s="10"/>
    </x:row>
    <x:row r="572" ht="14.25" customHeight="1">
      <x:c r="A572" s="10"/>
      <x:c r="B572" s="10"/>
      <x:c r="C572" s="10"/>
      <x:c r="D572" s="10"/>
    </x:row>
    <x:row r="573" ht="14.25" customHeight="1">
      <x:c r="A573" s="10"/>
      <x:c r="B573" s="10"/>
      <x:c r="C573" s="10"/>
      <x:c r="D573" s="10"/>
    </x:row>
    <x:row r="574" ht="14.25" customHeight="1">
      <x:c r="A574" s="10"/>
      <x:c r="B574" s="10"/>
      <x:c r="C574" s="10"/>
      <x:c r="D574" s="10"/>
    </x:row>
    <x:row r="575" ht="14.25" customHeight="1">
      <x:c r="A575" s="10"/>
      <x:c r="B575" s="10"/>
      <x:c r="C575" s="10"/>
      <x:c r="D575" s="10"/>
    </x:row>
    <x:row r="576" ht="14.25" customHeight="1">
      <x:c r="A576" s="10"/>
      <x:c r="B576" s="10"/>
      <x:c r="C576" s="10"/>
      <x:c r="D576" s="10"/>
    </x:row>
    <x:row r="577" ht="14.25" customHeight="1">
      <x:c r="A577" s="10"/>
      <x:c r="B577" s="10"/>
      <x:c r="C577" s="10"/>
      <x:c r="D577" s="10"/>
    </x:row>
    <x:row r="578" ht="14.25" customHeight="1">
      <x:c r="A578" s="10"/>
      <x:c r="B578" s="10"/>
      <x:c r="C578" s="10"/>
      <x:c r="D578" s="10"/>
    </x:row>
    <x:row r="579" ht="14.25" customHeight="1">
      <x:c r="A579" s="10"/>
      <x:c r="B579" s="10"/>
      <x:c r="C579" s="10"/>
      <x:c r="D579" s="10"/>
    </x:row>
    <x:row r="580" ht="14.25" customHeight="1">
      <x:c r="A580" s="10"/>
      <x:c r="B580" s="10"/>
      <x:c r="C580" s="10"/>
      <x:c r="D580" s="10"/>
    </x:row>
    <x:row r="581" ht="14.25" customHeight="1">
      <x:c r="A581" s="10"/>
      <x:c r="B581" s="10"/>
      <x:c r="C581" s="10"/>
      <x:c r="D581" s="10"/>
    </x:row>
    <x:row r="582" ht="14.25" customHeight="1">
      <x:c r="A582" s="10"/>
      <x:c r="B582" s="10"/>
      <x:c r="C582" s="10"/>
      <x:c r="D582" s="10"/>
    </x:row>
    <x:row r="583" ht="14.25" customHeight="1">
      <x:c r="A583" s="10"/>
      <x:c r="B583" s="10"/>
      <x:c r="C583" s="10"/>
      <x:c r="D583" s="10"/>
    </x:row>
    <x:row r="584" ht="14.25" customHeight="1">
      <x:c r="A584" s="10"/>
      <x:c r="B584" s="10"/>
      <x:c r="C584" s="10"/>
      <x:c r="D584" s="10"/>
    </x:row>
    <x:row r="585" ht="14.25" customHeight="1">
      <x:c r="A585" s="10"/>
      <x:c r="B585" s="10"/>
      <x:c r="C585" s="10"/>
      <x:c r="D585" s="10"/>
    </x:row>
    <x:row r="586" ht="14.25" customHeight="1">
      <x:c r="A586" s="10"/>
      <x:c r="B586" s="10"/>
      <x:c r="C586" s="10"/>
      <x:c r="D586" s="10"/>
    </x:row>
    <x:row r="587" ht="14.25" customHeight="1">
      <x:c r="A587" s="10"/>
      <x:c r="B587" s="10"/>
      <x:c r="C587" s="10"/>
      <x:c r="D587" s="10"/>
    </x:row>
    <x:row r="588" ht="14.25" customHeight="1">
      <x:c r="A588" s="10"/>
      <x:c r="B588" s="10"/>
      <x:c r="C588" s="10"/>
      <x:c r="D588" s="10"/>
    </x:row>
    <x:row r="589" ht="14.25" customHeight="1">
      <x:c r="A589" s="10"/>
      <x:c r="B589" s="10"/>
      <x:c r="C589" s="10"/>
      <x:c r="D589" s="10"/>
    </x:row>
    <x:row r="590" ht="14.25" customHeight="1">
      <x:c r="A590" s="10"/>
      <x:c r="B590" s="10"/>
      <x:c r="C590" s="10"/>
      <x:c r="D590" s="10"/>
    </x:row>
    <x:row r="591" ht="14.25" customHeight="1">
      <x:c r="A591" s="10"/>
      <x:c r="B591" s="10"/>
      <x:c r="C591" s="10"/>
      <x:c r="D591" s="10"/>
    </x:row>
    <x:row r="592" ht="14.25" customHeight="1">
      <x:c r="A592" s="10"/>
      <x:c r="B592" s="10"/>
      <x:c r="C592" s="10"/>
      <x:c r="D592" s="10"/>
    </x:row>
    <x:row r="593" ht="14.25" customHeight="1">
      <x:c r="A593" s="10"/>
      <x:c r="B593" s="10"/>
      <x:c r="C593" s="10"/>
      <x:c r="D593" s="10"/>
    </x:row>
    <x:row r="594" ht="14.25" customHeight="1">
      <x:c r="A594" s="10"/>
      <x:c r="B594" s="10"/>
      <x:c r="C594" s="10"/>
      <x:c r="D594" s="10"/>
    </x:row>
    <x:row r="595" ht="14.25" customHeight="1">
      <x:c r="A595" s="10"/>
      <x:c r="B595" s="10"/>
      <x:c r="C595" s="10"/>
      <x:c r="D595" s="10"/>
    </x:row>
    <x:row r="596" ht="14.25" customHeight="1">
      <x:c r="A596" s="10"/>
      <x:c r="B596" s="10"/>
      <x:c r="C596" s="10"/>
      <x:c r="D596" s="10"/>
    </x:row>
    <x:row r="597" ht="14.25" customHeight="1">
      <x:c r="A597" s="10"/>
      <x:c r="B597" s="10"/>
      <x:c r="C597" s="10"/>
      <x:c r="D597" s="10"/>
    </x:row>
    <x:row r="598" ht="14.25" customHeight="1">
      <x:c r="A598" s="10"/>
      <x:c r="B598" s="10"/>
      <x:c r="C598" s="10"/>
      <x:c r="D598" s="10"/>
    </x:row>
    <x:row r="599" ht="14.25" customHeight="1">
      <x:c r="A599" s="10"/>
      <x:c r="B599" s="10"/>
      <x:c r="C599" s="10"/>
      <x:c r="D599" s="10"/>
    </x:row>
    <x:row r="600" ht="14.25" customHeight="1">
      <x:c r="A600" s="10"/>
      <x:c r="B600" s="10"/>
      <x:c r="C600" s="10"/>
      <x:c r="D600" s="10"/>
    </x:row>
    <x:row r="601" ht="14.25" customHeight="1">
      <x:c r="A601" s="10"/>
      <x:c r="B601" s="10"/>
      <x:c r="C601" s="10"/>
      <x:c r="D601" s="10"/>
    </x:row>
    <x:row r="602" ht="14.25" customHeight="1">
      <x:c r="A602" s="10"/>
      <x:c r="B602" s="10"/>
      <x:c r="C602" s="10"/>
      <x:c r="D602" s="10"/>
    </x:row>
    <x:row r="603" ht="14.25" customHeight="1">
      <x:c r="A603" s="10"/>
      <x:c r="B603" s="10"/>
      <x:c r="C603" s="10"/>
      <x:c r="D603" s="10"/>
    </x:row>
    <x:row r="604" ht="14.25" customHeight="1">
      <x:c r="A604" s="10"/>
      <x:c r="B604" s="10"/>
      <x:c r="C604" s="10"/>
      <x:c r="D604" s="10"/>
    </x:row>
    <x:row r="605" ht="14.25" customHeight="1">
      <x:c r="A605" s="10"/>
      <x:c r="B605" s="10"/>
      <x:c r="C605" s="10"/>
      <x:c r="D605" s="10"/>
    </x:row>
    <x:row r="606" ht="14.25" customHeight="1">
      <x:c r="A606" s="10"/>
      <x:c r="B606" s="10"/>
      <x:c r="C606" s="10"/>
      <x:c r="D606" s="10"/>
    </x:row>
    <x:row r="607" ht="14.25" customHeight="1">
      <x:c r="A607" s="10"/>
      <x:c r="B607" s="10"/>
      <x:c r="C607" s="10"/>
      <x:c r="D607" s="10"/>
    </x:row>
    <x:row r="608" ht="14.25" customHeight="1">
      <x:c r="A608" s="10"/>
      <x:c r="B608" s="10"/>
      <x:c r="C608" s="10"/>
      <x:c r="D608" s="10"/>
    </x:row>
    <x:row r="609" ht="14.25" customHeight="1">
      <x:c r="A609" s="10"/>
      <x:c r="B609" s="10"/>
      <x:c r="C609" s="10"/>
      <x:c r="D609" s="10"/>
    </x:row>
    <x:row r="610" ht="14.25" customHeight="1">
      <x:c r="A610" s="10"/>
      <x:c r="B610" s="10"/>
      <x:c r="C610" s="10"/>
      <x:c r="D610" s="10"/>
    </x:row>
    <x:row r="611" ht="14.25" customHeight="1">
      <x:c r="A611" s="10"/>
      <x:c r="B611" s="10"/>
      <x:c r="C611" s="10"/>
      <x:c r="D611" s="10"/>
    </x:row>
    <x:row r="612" ht="14.25" customHeight="1">
      <x:c r="A612" s="10"/>
      <x:c r="B612" s="10"/>
      <x:c r="C612" s="10"/>
      <x:c r="D612" s="10"/>
    </x:row>
    <x:row r="613" ht="14.25" customHeight="1">
      <x:c r="A613" s="10"/>
      <x:c r="B613" s="10"/>
      <x:c r="C613" s="10"/>
      <x:c r="D613" s="10"/>
    </x:row>
    <x:row r="614" ht="14.25" customHeight="1">
      <x:c r="A614" s="10"/>
      <x:c r="B614" s="10"/>
      <x:c r="C614" s="10"/>
      <x:c r="D614" s="10"/>
    </x:row>
    <x:row r="615" ht="14.25" customHeight="1">
      <x:c r="A615" s="10"/>
      <x:c r="B615" s="10"/>
      <x:c r="C615" s="10"/>
      <x:c r="D615" s="10"/>
    </x:row>
    <x:row r="616" ht="14.25" customHeight="1">
      <x:c r="A616" s="10"/>
      <x:c r="B616" s="10"/>
      <x:c r="C616" s="10"/>
      <x:c r="D616" s="10"/>
    </x:row>
    <x:row r="617" ht="14.25" customHeight="1">
      <x:c r="A617" s="10"/>
      <x:c r="B617" s="10"/>
      <x:c r="C617" s="10"/>
      <x:c r="D617" s="10"/>
    </x:row>
    <x:row r="618" ht="14.25" customHeight="1">
      <x:c r="A618" s="10"/>
      <x:c r="B618" s="10"/>
      <x:c r="C618" s="10"/>
      <x:c r="D618" s="10"/>
    </x:row>
    <x:row r="619" ht="14.25" customHeight="1">
      <x:c r="A619" s="10"/>
      <x:c r="B619" s="10"/>
      <x:c r="C619" s="10"/>
      <x:c r="D619" s="10"/>
    </x:row>
    <x:row r="620" ht="14.25" customHeight="1">
      <x:c r="A620" s="10"/>
      <x:c r="B620" s="10"/>
      <x:c r="C620" s="10"/>
      <x:c r="D620" s="10"/>
    </x:row>
    <x:row r="621" ht="14.25" customHeight="1">
      <x:c r="A621" s="10"/>
      <x:c r="B621" s="10"/>
      <x:c r="C621" s="10"/>
      <x:c r="D621" s="10"/>
    </x:row>
    <x:row r="622" ht="14.25" customHeight="1">
      <x:c r="A622" s="10"/>
      <x:c r="B622" s="10"/>
      <x:c r="C622" s="10"/>
      <x:c r="D622" s="10"/>
    </x:row>
    <x:row r="623" ht="14.25" customHeight="1">
      <x:c r="A623" s="10"/>
      <x:c r="B623" s="10"/>
      <x:c r="C623" s="10"/>
      <x:c r="D623" s="10"/>
    </x:row>
    <x:row r="624" ht="14.25" customHeight="1">
      <x:c r="A624" s="10"/>
      <x:c r="B624" s="10"/>
      <x:c r="C624" s="10"/>
      <x:c r="D624" s="10"/>
    </x:row>
    <x:row r="625" ht="14.25" customHeight="1">
      <x:c r="A625" s="10"/>
      <x:c r="B625" s="10"/>
      <x:c r="C625" s="10"/>
      <x:c r="D625" s="10"/>
    </x:row>
    <x:row r="626" ht="14.25" customHeight="1">
      <x:c r="A626" s="10"/>
      <x:c r="B626" s="10"/>
      <x:c r="C626" s="10"/>
      <x:c r="D626" s="10"/>
    </x:row>
    <x:row r="627" ht="14.25" customHeight="1">
      <x:c r="A627" s="10"/>
      <x:c r="B627" s="10"/>
      <x:c r="C627" s="10"/>
      <x:c r="D627" s="10"/>
    </x:row>
    <x:row r="628" ht="14.25" customHeight="1">
      <x:c r="A628" s="10"/>
      <x:c r="B628" s="10"/>
      <x:c r="C628" s="10"/>
      <x:c r="D628" s="10"/>
    </x:row>
    <x:row r="629" ht="14.25" customHeight="1">
      <x:c r="A629" s="10"/>
      <x:c r="B629" s="10"/>
      <x:c r="C629" s="10"/>
      <x:c r="D629" s="10"/>
    </x:row>
    <x:row r="630" ht="14.25" customHeight="1">
      <x:c r="A630" s="10"/>
      <x:c r="B630" s="10"/>
      <x:c r="C630" s="10"/>
      <x:c r="D630" s="10"/>
    </x:row>
    <x:row r="631" ht="14.25" customHeight="1">
      <x:c r="A631" s="10"/>
      <x:c r="B631" s="10"/>
      <x:c r="C631" s="10"/>
      <x:c r="D631" s="10"/>
    </x:row>
    <x:row r="632" ht="14.25" customHeight="1">
      <x:c r="A632" s="10"/>
      <x:c r="B632" s="10"/>
      <x:c r="C632" s="10"/>
      <x:c r="D632" s="10"/>
    </x:row>
    <x:row r="633" ht="14.25" customHeight="1">
      <x:c r="A633" s="10"/>
      <x:c r="B633" s="10"/>
      <x:c r="C633" s="10"/>
      <x:c r="D633" s="10"/>
    </x:row>
    <x:row r="634" ht="14.25" customHeight="1">
      <x:c r="A634" s="10"/>
      <x:c r="B634" s="10"/>
      <x:c r="C634" s="10"/>
      <x:c r="D634" s="10"/>
    </x:row>
    <x:row r="635" ht="14.25" customHeight="1">
      <x:c r="A635" s="10"/>
      <x:c r="B635" s="10"/>
      <x:c r="C635" s="10"/>
      <x:c r="D635" s="10"/>
    </x:row>
    <x:row r="636" ht="14.25" customHeight="1">
      <x:c r="A636" s="10"/>
      <x:c r="B636" s="10"/>
      <x:c r="C636" s="10"/>
      <x:c r="D636" s="10"/>
    </x:row>
    <x:row r="637" ht="14.25" customHeight="1">
      <x:c r="A637" s="10"/>
      <x:c r="B637" s="10"/>
      <x:c r="C637" s="10"/>
      <x:c r="D637" s="10"/>
    </x:row>
    <x:row r="638" ht="14.25" customHeight="1">
      <x:c r="A638" s="10"/>
      <x:c r="B638" s="10"/>
      <x:c r="C638" s="10"/>
      <x:c r="D638" s="10"/>
    </x:row>
    <x:row r="639" ht="14.25" customHeight="1">
      <x:c r="A639" s="10"/>
      <x:c r="B639" s="10"/>
      <x:c r="C639" s="10"/>
      <x:c r="D639" s="10"/>
    </x:row>
    <x:row r="640" ht="14.25" customHeight="1">
      <x:c r="A640" s="10"/>
      <x:c r="B640" s="10"/>
      <x:c r="C640" s="10"/>
      <x:c r="D640" s="10"/>
    </x:row>
    <x:row r="641" ht="14.25" customHeight="1">
      <x:c r="A641" s="10"/>
      <x:c r="B641" s="10"/>
      <x:c r="C641" s="10"/>
      <x:c r="D641" s="10"/>
    </x:row>
    <x:row r="642" ht="14.25" customHeight="1">
      <x:c r="A642" s="10"/>
      <x:c r="B642" s="10"/>
      <x:c r="C642" s="10"/>
      <x:c r="D642" s="10"/>
    </x:row>
    <x:row r="643" ht="14.25" customHeight="1">
      <x:c r="A643" s="10"/>
      <x:c r="B643" s="10"/>
      <x:c r="C643" s="10"/>
      <x:c r="D643" s="10"/>
    </x:row>
    <x:row r="644" ht="14.25" customHeight="1">
      <x:c r="A644" s="10"/>
      <x:c r="B644" s="10"/>
      <x:c r="C644" s="10"/>
      <x:c r="D644" s="10"/>
    </x:row>
    <x:row r="645" ht="14.25" customHeight="1">
      <x:c r="A645" s="10"/>
      <x:c r="B645" s="10"/>
      <x:c r="C645" s="10"/>
      <x:c r="D645" s="10"/>
    </x:row>
    <x:row r="646" ht="14.25" customHeight="1">
      <x:c r="A646" s="10"/>
      <x:c r="B646" s="10"/>
      <x:c r="C646" s="10"/>
      <x:c r="D646" s="10"/>
    </x:row>
    <x:row r="647" ht="14.25" customHeight="1">
      <x:c r="A647" s="10"/>
      <x:c r="B647" s="10"/>
      <x:c r="C647" s="10"/>
      <x:c r="D647" s="10"/>
    </x:row>
    <x:row r="648" ht="14.25" customHeight="1">
      <x:c r="A648" s="10"/>
      <x:c r="B648" s="10"/>
      <x:c r="C648" s="10"/>
      <x:c r="D648" s="10"/>
    </x:row>
    <x:row r="649" ht="14.25" customHeight="1">
      <x:c r="A649" s="10"/>
      <x:c r="B649" s="10"/>
      <x:c r="C649" s="10"/>
      <x:c r="D649" s="10"/>
    </x:row>
    <x:row r="650" ht="14.25" customHeight="1">
      <x:c r="A650" s="10"/>
      <x:c r="B650" s="10"/>
      <x:c r="C650" s="10"/>
      <x:c r="D650" s="10"/>
    </x:row>
    <x:row r="651" ht="14.25" customHeight="1">
      <x:c r="A651" s="10"/>
      <x:c r="B651" s="10"/>
      <x:c r="C651" s="10"/>
      <x:c r="D651" s="10"/>
    </x:row>
    <x:row r="652" ht="14.25" customHeight="1">
      <x:c r="A652" s="10"/>
      <x:c r="B652" s="10"/>
      <x:c r="C652" s="10"/>
      <x:c r="D652" s="10"/>
    </x:row>
    <x:row r="653" ht="14.25" customHeight="1">
      <x:c r="A653" s="10"/>
      <x:c r="B653" s="10"/>
      <x:c r="C653" s="10"/>
      <x:c r="D653" s="10"/>
    </x:row>
    <x:row r="654" ht="14.25" customHeight="1">
      <x:c r="A654" s="10"/>
      <x:c r="B654" s="10"/>
      <x:c r="C654" s="10"/>
      <x:c r="D654" s="10"/>
    </x:row>
    <x:row r="655" ht="14.25" customHeight="1">
      <x:c r="A655" s="10"/>
      <x:c r="B655" s="10"/>
      <x:c r="C655" s="10"/>
      <x:c r="D655" s="10"/>
    </x:row>
    <x:row r="656" ht="14.25" customHeight="1">
      <x:c r="A656" s="10"/>
      <x:c r="B656" s="10"/>
      <x:c r="C656" s="10"/>
      <x:c r="D656" s="10"/>
    </x:row>
    <x:row r="657" ht="14.25" customHeight="1">
      <x:c r="A657" s="10"/>
      <x:c r="B657" s="10"/>
      <x:c r="C657" s="10"/>
      <x:c r="D657" s="10"/>
    </x:row>
    <x:row r="658" ht="14.25" customHeight="1">
      <x:c r="A658" s="10"/>
      <x:c r="B658" s="10"/>
      <x:c r="C658" s="10"/>
      <x:c r="D658" s="10"/>
    </x:row>
    <x:row r="659" ht="14.25" customHeight="1">
      <x:c r="A659" s="10"/>
      <x:c r="B659" s="10"/>
      <x:c r="C659" s="10"/>
      <x:c r="D659" s="10"/>
    </x:row>
    <x:row r="660" ht="14.25" customHeight="1">
      <x:c r="A660" s="10"/>
      <x:c r="B660" s="10"/>
      <x:c r="C660" s="10"/>
      <x:c r="D660" s="10"/>
    </x:row>
    <x:row r="661" ht="14.25" customHeight="1">
      <x:c r="A661" s="10"/>
      <x:c r="B661" s="10"/>
      <x:c r="C661" s="10"/>
      <x:c r="D661" s="10"/>
    </x:row>
    <x:row r="662" ht="14.25" customHeight="1">
      <x:c r="A662" s="10"/>
      <x:c r="B662" s="10"/>
      <x:c r="C662" s="10"/>
      <x:c r="D662" s="10"/>
    </x:row>
    <x:row r="663" ht="14.25" customHeight="1">
      <x:c r="A663" s="10"/>
      <x:c r="B663" s="10"/>
      <x:c r="C663" s="10"/>
      <x:c r="D663" s="10"/>
    </x:row>
    <x:row r="664" ht="14.25" customHeight="1">
      <x:c r="A664" s="10"/>
      <x:c r="B664" s="10"/>
      <x:c r="C664" s="10"/>
      <x:c r="D664" s="10"/>
    </x:row>
    <x:row r="665" ht="14.25" customHeight="1">
      <x:c r="A665" s="10"/>
      <x:c r="B665" s="10"/>
      <x:c r="C665" s="10"/>
      <x:c r="D665" s="10"/>
    </x:row>
    <x:row r="666" ht="14.25" customHeight="1">
      <x:c r="A666" s="10"/>
      <x:c r="B666" s="10"/>
      <x:c r="C666" s="10"/>
      <x:c r="D666" s="10"/>
    </x:row>
    <x:row r="667" ht="14.25" customHeight="1">
      <x:c r="A667" s="10"/>
      <x:c r="B667" s="10"/>
      <x:c r="C667" s="10"/>
      <x:c r="D667" s="10"/>
    </x:row>
    <x:row r="668" ht="14.25" customHeight="1">
      <x:c r="A668" s="10"/>
      <x:c r="B668" s="10"/>
      <x:c r="C668" s="10"/>
      <x:c r="D668" s="10"/>
    </x:row>
    <x:row r="669" ht="14.25" customHeight="1">
      <x:c r="A669" s="10"/>
      <x:c r="B669" s="10"/>
      <x:c r="C669" s="10"/>
      <x:c r="D669" s="10"/>
    </x:row>
    <x:row r="670" ht="14.25" customHeight="1">
      <x:c r="A670" s="10"/>
      <x:c r="B670" s="10"/>
      <x:c r="C670" s="10"/>
      <x:c r="D670" s="10"/>
    </x:row>
    <x:row r="671" ht="14.25" customHeight="1">
      <x:c r="A671" s="10"/>
      <x:c r="B671" s="10"/>
      <x:c r="C671" s="10"/>
      <x:c r="D671" s="10"/>
    </x:row>
    <x:row r="672" ht="14.25" customHeight="1">
      <x:c r="A672" s="10"/>
      <x:c r="B672" s="10"/>
      <x:c r="C672" s="10"/>
      <x:c r="D672" s="10"/>
    </x:row>
    <x:row r="673" ht="14.25" customHeight="1">
      <x:c r="A673" s="10"/>
      <x:c r="B673" s="10"/>
      <x:c r="C673" s="10"/>
      <x:c r="D673" s="10"/>
    </x:row>
    <x:row r="674" ht="14.25" customHeight="1">
      <x:c r="A674" s="10"/>
      <x:c r="B674" s="10"/>
      <x:c r="C674" s="10"/>
      <x:c r="D674" s="10"/>
    </x:row>
    <x:row r="675" ht="14.25" customHeight="1">
      <x:c r="A675" s="10"/>
      <x:c r="B675" s="10"/>
      <x:c r="C675" s="10"/>
      <x:c r="D675" s="10"/>
    </x:row>
    <x:row r="676" ht="14.25" customHeight="1">
      <x:c r="A676" s="10"/>
      <x:c r="B676" s="10"/>
      <x:c r="C676" s="10"/>
      <x:c r="D676" s="10"/>
    </x:row>
    <x:row r="677" ht="14.25" customHeight="1">
      <x:c r="A677" s="10"/>
      <x:c r="B677" s="10"/>
      <x:c r="C677" s="10"/>
      <x:c r="D677" s="10"/>
    </x:row>
    <x:row r="678" ht="14.25" customHeight="1">
      <x:c r="A678" s="10"/>
      <x:c r="B678" s="10"/>
      <x:c r="C678" s="10"/>
      <x:c r="D678" s="10"/>
    </x:row>
    <x:row r="679" ht="14.25" customHeight="1">
      <x:c r="A679" s="10"/>
      <x:c r="B679" s="10"/>
      <x:c r="C679" s="10"/>
      <x:c r="D679" s="10"/>
    </x:row>
    <x:row r="680" ht="14.25" customHeight="1">
      <x:c r="A680" s="10"/>
      <x:c r="B680" s="10"/>
      <x:c r="C680" s="10"/>
      <x:c r="D680" s="10"/>
    </x:row>
    <x:row r="681" ht="14.25" customHeight="1">
      <x:c r="A681" s="10"/>
      <x:c r="B681" s="10"/>
      <x:c r="C681" s="10"/>
      <x:c r="D681" s="10"/>
    </x:row>
    <x:row r="682" ht="14.25" customHeight="1">
      <x:c r="A682" s="10"/>
      <x:c r="B682" s="10"/>
      <x:c r="C682" s="10"/>
      <x:c r="D682" s="10"/>
    </x:row>
    <x:row r="683" ht="14.25" customHeight="1">
      <x:c r="A683" s="10"/>
      <x:c r="B683" s="10"/>
      <x:c r="C683" s="10"/>
      <x:c r="D683" s="10"/>
    </x:row>
    <x:row r="684" ht="14.25" customHeight="1">
      <x:c r="A684" s="10"/>
      <x:c r="B684" s="10"/>
      <x:c r="C684" s="10"/>
      <x:c r="D684" s="10"/>
    </x:row>
    <x:row r="685" ht="14.25" customHeight="1">
      <x:c r="A685" s="10"/>
      <x:c r="B685" s="10"/>
      <x:c r="C685" s="10"/>
      <x:c r="D685" s="10"/>
    </x:row>
    <x:row r="686" ht="14.25" customHeight="1">
      <x:c r="A686" s="10"/>
      <x:c r="B686" s="10"/>
      <x:c r="C686" s="10"/>
      <x:c r="D686" s="10"/>
    </x:row>
    <x:row r="687" ht="14.25" customHeight="1">
      <x:c r="A687" s="10"/>
      <x:c r="B687" s="10"/>
      <x:c r="C687" s="10"/>
      <x:c r="D687" s="10"/>
    </x:row>
    <x:row r="688" ht="14.25" customHeight="1">
      <x:c r="A688" s="10"/>
      <x:c r="B688" s="10"/>
      <x:c r="C688" s="10"/>
      <x:c r="D688" s="10"/>
    </x:row>
    <x:row r="689" ht="14.25" customHeight="1">
      <x:c r="A689" s="10"/>
      <x:c r="B689" s="10"/>
      <x:c r="C689" s="10"/>
      <x:c r="D689" s="10"/>
    </x:row>
    <x:row r="690" ht="14.25" customHeight="1">
      <x:c r="A690" s="10"/>
      <x:c r="B690" s="10"/>
      <x:c r="C690" s="10"/>
      <x:c r="D690" s="10"/>
    </x:row>
    <x:row r="691" ht="14.25" customHeight="1">
      <x:c r="A691" s="10"/>
      <x:c r="B691" s="10"/>
      <x:c r="C691" s="10"/>
      <x:c r="D691" s="10"/>
    </x:row>
    <x:row r="692" ht="14.25" customHeight="1">
      <x:c r="A692" s="10"/>
      <x:c r="B692" s="10"/>
      <x:c r="C692" s="10"/>
      <x:c r="D692" s="10"/>
    </x:row>
    <x:row r="693" ht="14.25" customHeight="1">
      <x:c r="A693" s="10"/>
      <x:c r="B693" s="10"/>
      <x:c r="C693" s="10"/>
      <x:c r="D693" s="10"/>
    </x:row>
    <x:row r="694" ht="14.25" customHeight="1">
      <x:c r="A694" s="10"/>
      <x:c r="B694" s="10"/>
      <x:c r="C694" s="10"/>
      <x:c r="D694" s="10"/>
    </x:row>
    <x:row r="695" ht="14.25" customHeight="1">
      <x:c r="A695" s="10"/>
      <x:c r="B695" s="10"/>
      <x:c r="C695" s="10"/>
      <x:c r="D695" s="10"/>
    </x:row>
    <x:row r="696" ht="14.25" customHeight="1">
      <x:c r="A696" s="10"/>
      <x:c r="B696" s="10"/>
      <x:c r="C696" s="10"/>
      <x:c r="D696" s="10"/>
    </x:row>
    <x:row r="697" ht="14.25" customHeight="1">
      <x:c r="A697" s="10"/>
      <x:c r="B697" s="10"/>
      <x:c r="C697" s="10"/>
      <x:c r="D697" s="10"/>
    </x:row>
    <x:row r="698" ht="14.25" customHeight="1">
      <x:c r="A698" s="10"/>
      <x:c r="B698" s="10"/>
      <x:c r="C698" s="10"/>
      <x:c r="D698" s="10"/>
    </x:row>
    <x:row r="699" ht="14.25" customHeight="1">
      <x:c r="A699" s="10"/>
      <x:c r="B699" s="10"/>
      <x:c r="C699" s="10"/>
      <x:c r="D699" s="10"/>
    </x:row>
    <x:row r="700" ht="14.25" customHeight="1">
      <x:c r="A700" s="10"/>
      <x:c r="B700" s="10"/>
      <x:c r="C700" s="10"/>
      <x:c r="D700" s="10"/>
    </x:row>
    <x:row r="701" ht="14.25" customHeight="1">
      <x:c r="A701" s="10"/>
      <x:c r="B701" s="10"/>
      <x:c r="C701" s="10"/>
      <x:c r="D701" s="10"/>
    </x:row>
    <x:row r="702" ht="14.25" customHeight="1">
      <x:c r="A702" s="10"/>
      <x:c r="B702" s="10"/>
      <x:c r="C702" s="10"/>
      <x:c r="D702" s="10"/>
    </x:row>
    <x:row r="703" ht="14.25" customHeight="1">
      <x:c r="A703" s="10"/>
      <x:c r="B703" s="10"/>
      <x:c r="C703" s="10"/>
      <x:c r="D703" s="10"/>
    </x:row>
    <x:row r="704" ht="14.25" customHeight="1">
      <x:c r="A704" s="10"/>
      <x:c r="B704" s="10"/>
      <x:c r="C704" s="10"/>
      <x:c r="D704" s="10"/>
    </x:row>
    <x:row r="705" ht="14.25" customHeight="1">
      <x:c r="A705" s="10"/>
      <x:c r="B705" s="10"/>
      <x:c r="C705" s="10"/>
      <x:c r="D705" s="10"/>
    </x:row>
    <x:row r="706" ht="14.25" customHeight="1">
      <x:c r="A706" s="10"/>
      <x:c r="B706" s="10"/>
      <x:c r="C706" s="10"/>
      <x:c r="D706" s="10"/>
    </x:row>
    <x:row r="707" ht="14.25" customHeight="1">
      <x:c r="A707" s="10"/>
      <x:c r="B707" s="10"/>
      <x:c r="C707" s="10"/>
      <x:c r="D707" s="10"/>
    </x:row>
    <x:row r="708" ht="14.25" customHeight="1">
      <x:c r="A708" s="10"/>
      <x:c r="B708" s="10"/>
      <x:c r="C708" s="10"/>
      <x:c r="D708" s="10"/>
    </x:row>
    <x:row r="709" ht="14.25" customHeight="1">
      <x:c r="A709" s="10"/>
      <x:c r="B709" s="10"/>
      <x:c r="C709" s="10"/>
      <x:c r="D709" s="10"/>
    </x:row>
    <x:row r="710" ht="14.25" customHeight="1">
      <x:c r="A710" s="10"/>
      <x:c r="B710" s="10"/>
      <x:c r="C710" s="10"/>
      <x:c r="D710" s="10"/>
    </x:row>
    <x:row r="711" ht="14.25" customHeight="1">
      <x:c r="A711" s="10"/>
      <x:c r="B711" s="10"/>
      <x:c r="C711" s="10"/>
      <x:c r="D711" s="10"/>
    </x:row>
    <x:row r="712" ht="14.25" customHeight="1">
      <x:c r="A712" s="10"/>
      <x:c r="B712" s="10"/>
      <x:c r="C712" s="10"/>
      <x:c r="D712" s="10"/>
    </x:row>
    <x:row r="713" ht="14.25" customHeight="1">
      <x:c r="A713" s="10"/>
      <x:c r="B713" s="10"/>
      <x:c r="C713" s="10"/>
      <x:c r="D713" s="10"/>
    </x:row>
    <x:row r="714" ht="14.25" customHeight="1">
      <x:c r="A714" s="10"/>
      <x:c r="B714" s="10"/>
      <x:c r="C714" s="10"/>
      <x:c r="D714" s="10"/>
    </x:row>
    <x:row r="715" ht="14.25" customHeight="1">
      <x:c r="A715" s="10"/>
      <x:c r="B715" s="10"/>
      <x:c r="C715" s="10"/>
      <x:c r="D715" s="10"/>
    </x:row>
    <x:row r="716" ht="14.25" customHeight="1">
      <x:c r="A716" s="10"/>
      <x:c r="B716" s="10"/>
      <x:c r="C716" s="10"/>
      <x:c r="D716" s="10"/>
    </x:row>
    <x:row r="717" ht="14.25" customHeight="1">
      <x:c r="A717" s="10"/>
      <x:c r="B717" s="10"/>
      <x:c r="C717" s="10"/>
      <x:c r="D717" s="10"/>
    </x:row>
    <x:row r="718" ht="14.25" customHeight="1">
      <x:c r="A718" s="10"/>
      <x:c r="B718" s="10"/>
      <x:c r="C718" s="10"/>
      <x:c r="D718" s="10"/>
    </x:row>
    <x:row r="719" ht="14.25" customHeight="1">
      <x:c r="A719" s="10"/>
      <x:c r="B719" s="10"/>
      <x:c r="C719" s="10"/>
      <x:c r="D719" s="10"/>
    </x:row>
    <x:row r="720" ht="14.25" customHeight="1">
      <x:c r="A720" s="10"/>
      <x:c r="B720" s="10"/>
      <x:c r="C720" s="10"/>
      <x:c r="D720" s="10"/>
    </x:row>
    <x:row r="721" ht="14.25" customHeight="1">
      <x:c r="A721" s="10"/>
      <x:c r="B721" s="10"/>
      <x:c r="C721" s="10"/>
      <x:c r="D721" s="10"/>
    </x:row>
    <x:row r="722" ht="14.25" customHeight="1">
      <x:c r="A722" s="10"/>
      <x:c r="B722" s="10"/>
      <x:c r="C722" s="10"/>
      <x:c r="D722" s="10"/>
    </x:row>
    <x:row r="723" ht="14.25" customHeight="1">
      <x:c r="A723" s="10"/>
      <x:c r="B723" s="10"/>
      <x:c r="C723" s="10"/>
      <x:c r="D723" s="10"/>
    </x:row>
    <x:row r="724" ht="14.25" customHeight="1">
      <x:c r="A724" s="10"/>
      <x:c r="B724" s="10"/>
      <x:c r="C724" s="10"/>
      <x:c r="D724" s="10"/>
    </x:row>
    <x:row r="725" ht="14.25" customHeight="1">
      <x:c r="A725" s="10"/>
      <x:c r="B725" s="10"/>
      <x:c r="C725" s="10"/>
      <x:c r="D725" s="10"/>
    </x:row>
    <x:row r="726" ht="14.25" customHeight="1">
      <x:c r="A726" s="10"/>
      <x:c r="B726" s="10"/>
      <x:c r="C726" s="10"/>
      <x:c r="D726" s="10"/>
    </x:row>
    <x:row r="727" ht="14.25" customHeight="1">
      <x:c r="A727" s="10"/>
      <x:c r="B727" s="10"/>
      <x:c r="C727" s="10"/>
      <x:c r="D727" s="10"/>
    </x:row>
    <x:row r="728" ht="14.25" customHeight="1">
      <x:c r="A728" s="10"/>
      <x:c r="B728" s="10"/>
      <x:c r="C728" s="10"/>
      <x:c r="D728" s="10"/>
    </x:row>
    <x:row r="729" ht="14.25" customHeight="1">
      <x:c r="A729" s="10"/>
      <x:c r="B729" s="10"/>
      <x:c r="C729" s="10"/>
      <x:c r="D729" s="10"/>
    </x:row>
    <x:row r="730" ht="14.25" customHeight="1">
      <x:c r="A730" s="10"/>
      <x:c r="B730" s="10"/>
      <x:c r="C730" s="10"/>
      <x:c r="D730" s="10"/>
    </x:row>
    <x:row r="731" ht="14.25" customHeight="1">
      <x:c r="A731" s="10"/>
      <x:c r="B731" s="10"/>
      <x:c r="C731" s="10"/>
      <x:c r="D731" s="10"/>
    </x:row>
    <x:row r="732" ht="14.25" customHeight="1">
      <x:c r="A732" s="10"/>
      <x:c r="B732" s="10"/>
      <x:c r="C732" s="10"/>
      <x:c r="D732" s="10"/>
    </x:row>
    <x:row r="733" ht="14.25" customHeight="1">
      <x:c r="A733" s="10"/>
      <x:c r="B733" s="10"/>
      <x:c r="C733" s="10"/>
      <x:c r="D733" s="10"/>
    </x:row>
    <x:row r="734" ht="14.25" customHeight="1">
      <x:c r="A734" s="10"/>
      <x:c r="B734" s="10"/>
      <x:c r="C734" s="10"/>
      <x:c r="D734" s="10"/>
    </x:row>
    <x:row r="735" ht="14.25" customHeight="1">
      <x:c r="A735" s="10"/>
      <x:c r="B735" s="10"/>
      <x:c r="C735" s="10"/>
      <x:c r="D735" s="10"/>
    </x:row>
    <x:row r="736" ht="14.25" customHeight="1">
      <x:c r="A736" s="10"/>
      <x:c r="B736" s="10"/>
      <x:c r="C736" s="10"/>
      <x:c r="D736" s="10"/>
    </x:row>
    <x:row r="737" ht="14.25" customHeight="1">
      <x:c r="A737" s="10"/>
      <x:c r="B737" s="10"/>
      <x:c r="C737" s="10"/>
      <x:c r="D737" s="10"/>
    </x:row>
    <x:row r="738" ht="14.25" customHeight="1">
      <x:c r="A738" s="10"/>
      <x:c r="B738" s="10"/>
      <x:c r="C738" s="10"/>
      <x:c r="D738" s="10"/>
    </x:row>
    <x:row r="739" ht="14.25" customHeight="1">
      <x:c r="A739" s="10"/>
      <x:c r="B739" s="10"/>
      <x:c r="C739" s="10"/>
      <x:c r="D739" s="10"/>
    </x:row>
    <x:row r="740" ht="14.25" customHeight="1">
      <x:c r="A740" s="10"/>
      <x:c r="B740" s="10"/>
      <x:c r="C740" s="10"/>
      <x:c r="D740" s="10"/>
    </x:row>
    <x:row r="741" ht="14.25" customHeight="1">
      <x:c r="A741" s="10"/>
      <x:c r="B741" s="10"/>
      <x:c r="C741" s="10"/>
      <x:c r="D741" s="10"/>
    </x:row>
    <x:row r="742" ht="14.25" customHeight="1">
      <x:c r="A742" s="10"/>
      <x:c r="B742" s="10"/>
      <x:c r="C742" s="10"/>
      <x:c r="D742" s="10"/>
    </x:row>
    <x:row r="743" ht="14.25" customHeight="1">
      <x:c r="A743" s="10"/>
      <x:c r="B743" s="10"/>
      <x:c r="C743" s="10"/>
      <x:c r="D743" s="10"/>
    </x:row>
    <x:row r="744" ht="14.25" customHeight="1">
      <x:c r="A744" s="10"/>
      <x:c r="B744" s="10"/>
      <x:c r="C744" s="10"/>
      <x:c r="D744" s="10"/>
    </x:row>
    <x:row r="745" ht="14.25" customHeight="1">
      <x:c r="A745" s="10"/>
      <x:c r="B745" s="10"/>
      <x:c r="C745" s="10"/>
      <x:c r="D745" s="10"/>
    </x:row>
    <x:row r="746" ht="14.25" customHeight="1">
      <x:c r="A746" s="10"/>
      <x:c r="B746" s="10"/>
      <x:c r="C746" s="10"/>
      <x:c r="D746" s="10"/>
    </x:row>
    <x:row r="747" ht="14.25" customHeight="1">
      <x:c r="A747" s="10"/>
      <x:c r="B747" s="10"/>
      <x:c r="C747" s="10"/>
      <x:c r="D747" s="10"/>
    </x:row>
    <x:row r="748" ht="14.25" customHeight="1">
      <x:c r="A748" s="10"/>
      <x:c r="B748" s="10"/>
      <x:c r="C748" s="10"/>
      <x:c r="D748" s="10"/>
    </x:row>
    <x:row r="749" ht="14.25" customHeight="1">
      <x:c r="A749" s="10"/>
      <x:c r="B749" s="10"/>
      <x:c r="C749" s="10"/>
      <x:c r="D749" s="10"/>
    </x:row>
    <x:row r="750" ht="14.25" customHeight="1">
      <x:c r="A750" s="10"/>
      <x:c r="B750" s="10"/>
      <x:c r="C750" s="10"/>
      <x:c r="D750" s="10"/>
    </x:row>
    <x:row r="751" ht="14.25" customHeight="1">
      <x:c r="A751" s="10"/>
      <x:c r="B751" s="10"/>
      <x:c r="C751" s="10"/>
      <x:c r="D751" s="10"/>
    </x:row>
    <x:row r="752" ht="14.25" customHeight="1">
      <x:c r="A752" s="10"/>
      <x:c r="B752" s="10"/>
      <x:c r="C752" s="10"/>
      <x:c r="D752" s="10"/>
    </x:row>
    <x:row r="753" ht="14.25" customHeight="1">
      <x:c r="A753" s="10"/>
      <x:c r="B753" s="10"/>
      <x:c r="C753" s="10"/>
      <x:c r="D753" s="10"/>
    </x:row>
    <x:row r="754" ht="14.25" customHeight="1">
      <x:c r="A754" s="10"/>
      <x:c r="B754" s="10"/>
      <x:c r="C754" s="10"/>
      <x:c r="D754" s="10"/>
    </x:row>
    <x:row r="755" ht="14.25" customHeight="1">
      <x:c r="A755" s="10"/>
      <x:c r="B755" s="10"/>
      <x:c r="C755" s="10"/>
      <x:c r="D755" s="10"/>
    </x:row>
    <x:row r="756" ht="14.25" customHeight="1">
      <x:c r="A756" s="10"/>
      <x:c r="B756" s="10"/>
      <x:c r="C756" s="10"/>
      <x:c r="D756" s="10"/>
    </x:row>
    <x:row r="757" ht="14.25" customHeight="1">
      <x:c r="A757" s="10"/>
      <x:c r="B757" s="10"/>
      <x:c r="C757" s="10"/>
      <x:c r="D757" s="10"/>
    </x:row>
    <x:row r="758" ht="14.25" customHeight="1">
      <x:c r="A758" s="10"/>
      <x:c r="B758" s="10"/>
      <x:c r="C758" s="10"/>
      <x:c r="D758" s="10"/>
    </x:row>
    <x:row r="759" ht="14.25" customHeight="1">
      <x:c r="A759" s="10"/>
      <x:c r="B759" s="10"/>
      <x:c r="C759" s="10"/>
      <x:c r="D759" s="10"/>
    </x:row>
    <x:row r="760" ht="14.25" customHeight="1">
      <x:c r="A760" s="10"/>
      <x:c r="B760" s="10"/>
      <x:c r="C760" s="10"/>
      <x:c r="D760" s="10"/>
    </x:row>
    <x:row r="761" ht="14.25" customHeight="1">
      <x:c r="A761" s="10"/>
      <x:c r="B761" s="10"/>
      <x:c r="C761" s="10"/>
      <x:c r="D761" s="10"/>
    </x:row>
    <x:row r="762" ht="14.25" customHeight="1">
      <x:c r="A762" s="10"/>
      <x:c r="B762" s="10"/>
      <x:c r="C762" s="10"/>
      <x:c r="D762" s="10"/>
    </x:row>
    <x:row r="763" ht="14.25" customHeight="1">
      <x:c r="A763" s="10"/>
      <x:c r="B763" s="10"/>
      <x:c r="C763" s="10"/>
      <x:c r="D763" s="10"/>
    </x:row>
    <x:row r="764" ht="14.25" customHeight="1">
      <x:c r="A764" s="10"/>
      <x:c r="B764" s="10"/>
      <x:c r="C764" s="10"/>
      <x:c r="D764" s="10"/>
    </x:row>
    <x:row r="765" ht="14.25" customHeight="1">
      <x:c r="A765" s="10"/>
      <x:c r="B765" s="10"/>
      <x:c r="C765" s="10"/>
      <x:c r="D765" s="10"/>
    </x:row>
    <x:row r="766" ht="14.25" customHeight="1">
      <x:c r="A766" s="10"/>
      <x:c r="B766" s="10"/>
      <x:c r="C766" s="10"/>
      <x:c r="D766" s="10"/>
    </x:row>
    <x:row r="767" ht="14.25" customHeight="1">
      <x:c r="A767" s="10"/>
      <x:c r="B767" s="10"/>
      <x:c r="C767" s="10"/>
      <x:c r="D767" s="10"/>
    </x:row>
    <x:row r="768" ht="14.25" customHeight="1">
      <x:c r="A768" s="10"/>
      <x:c r="B768" s="10"/>
      <x:c r="C768" s="10"/>
      <x:c r="D768" s="10"/>
    </x:row>
    <x:row r="769" ht="14.25" customHeight="1">
      <x:c r="A769" s="10"/>
      <x:c r="B769" s="10"/>
      <x:c r="C769" s="10"/>
      <x:c r="D769" s="10"/>
    </x:row>
    <x:row r="770" ht="14.25" customHeight="1">
      <x:c r="A770" s="10"/>
      <x:c r="B770" s="10"/>
      <x:c r="C770" s="10"/>
      <x:c r="D770" s="10"/>
    </x:row>
    <x:row r="771" ht="14.25" customHeight="1">
      <x:c r="A771" s="10"/>
      <x:c r="B771" s="10"/>
      <x:c r="C771" s="10"/>
      <x:c r="D771" s="10"/>
    </x:row>
    <x:row r="772" ht="14.25" customHeight="1">
      <x:c r="A772" s="10"/>
      <x:c r="B772" s="10"/>
      <x:c r="C772" s="10"/>
      <x:c r="D772" s="10"/>
    </x:row>
    <x:row r="773" ht="14.25" customHeight="1">
      <x:c r="A773" s="10"/>
      <x:c r="B773" s="10"/>
      <x:c r="C773" s="10"/>
      <x:c r="D773" s="10"/>
    </x:row>
    <x:row r="774" ht="14.25" customHeight="1">
      <x:c r="A774" s="10"/>
      <x:c r="B774" s="10"/>
      <x:c r="C774" s="10"/>
      <x:c r="D774" s="10"/>
    </x:row>
    <x:row r="775" ht="14.25" customHeight="1">
      <x:c r="A775" s="10"/>
      <x:c r="B775" s="10"/>
      <x:c r="C775" s="10"/>
      <x:c r="D775" s="10"/>
    </x:row>
    <x:row r="776" ht="14.25" customHeight="1">
      <x:c r="A776" s="10"/>
      <x:c r="B776" s="10"/>
      <x:c r="C776" s="10"/>
      <x:c r="D776" s="10"/>
    </x:row>
    <x:row r="777" ht="14.25" customHeight="1">
      <x:c r="A777" s="10"/>
      <x:c r="B777" s="10"/>
      <x:c r="C777" s="10"/>
      <x:c r="D777" s="10"/>
    </x:row>
    <x:row r="778" ht="14.25" customHeight="1">
      <x:c r="A778" s="10"/>
      <x:c r="B778" s="10"/>
      <x:c r="C778" s="10"/>
      <x:c r="D778" s="10"/>
    </x:row>
    <x:row r="779" ht="14.25" customHeight="1">
      <x:c r="A779" s="10"/>
      <x:c r="B779" s="10"/>
      <x:c r="C779" s="10"/>
      <x:c r="D779" s="10"/>
    </x:row>
    <x:row r="780" ht="14.25" customHeight="1">
      <x:c r="A780" s="10"/>
      <x:c r="B780" s="10"/>
      <x:c r="C780" s="10"/>
      <x:c r="D780" s="10"/>
    </x:row>
    <x:row r="781" ht="14.25" customHeight="1">
      <x:c r="A781" s="10"/>
      <x:c r="B781" s="10"/>
      <x:c r="C781" s="10"/>
      <x:c r="D781" s="10"/>
    </x:row>
    <x:row r="782" ht="14.25" customHeight="1">
      <x:c r="A782" s="10"/>
      <x:c r="B782" s="10"/>
      <x:c r="C782" s="10"/>
      <x:c r="D782" s="10"/>
    </x:row>
    <x:row r="783" ht="14.25" customHeight="1">
      <x:c r="A783" s="10"/>
      <x:c r="B783" s="10"/>
      <x:c r="C783" s="10"/>
      <x:c r="D783" s="10"/>
    </x:row>
    <x:row r="784" ht="14.25" customHeight="1">
      <x:c r="A784" s="10"/>
      <x:c r="B784" s="10"/>
      <x:c r="C784" s="10"/>
      <x:c r="D784" s="10"/>
    </x:row>
    <x:row r="785" ht="14.25" customHeight="1">
      <x:c r="A785" s="10"/>
      <x:c r="B785" s="10"/>
      <x:c r="C785" s="10"/>
      <x:c r="D785" s="10"/>
    </x:row>
    <x:row r="786" ht="14.25" customHeight="1">
      <x:c r="A786" s="10"/>
      <x:c r="B786" s="10"/>
      <x:c r="C786" s="10"/>
      <x:c r="D786" s="10"/>
    </x:row>
    <x:row r="787" ht="14.25" customHeight="1">
      <x:c r="A787" s="10"/>
      <x:c r="B787" s="10"/>
      <x:c r="C787" s="10"/>
      <x:c r="D787" s="10"/>
    </x:row>
    <x:row r="788" ht="14.25" customHeight="1">
      <x:c r="A788" s="10"/>
      <x:c r="B788" s="10"/>
      <x:c r="C788" s="10"/>
      <x:c r="D788" s="10"/>
    </x:row>
    <x:row r="789" ht="14.25" customHeight="1">
      <x:c r="A789" s="10"/>
      <x:c r="B789" s="10"/>
      <x:c r="C789" s="10"/>
      <x:c r="D789" s="10"/>
    </x:row>
    <x:row r="790" ht="14.25" customHeight="1">
      <x:c r="A790" s="10"/>
      <x:c r="B790" s="10"/>
      <x:c r="C790" s="10"/>
      <x:c r="D790" s="10"/>
    </x:row>
    <x:row r="791" ht="14.25" customHeight="1">
      <x:c r="A791" s="10"/>
      <x:c r="B791" s="10"/>
      <x:c r="C791" s="10"/>
      <x:c r="D791" s="10"/>
    </x:row>
    <x:row r="792" ht="14.25" customHeight="1">
      <x:c r="A792" s="10"/>
      <x:c r="B792" s="10"/>
      <x:c r="C792" s="10"/>
      <x:c r="D792" s="10"/>
    </x:row>
    <x:row r="793" ht="14.25" customHeight="1">
      <x:c r="A793" s="10"/>
      <x:c r="B793" s="10"/>
      <x:c r="C793" s="10"/>
      <x:c r="D793" s="10"/>
    </x:row>
    <x:row r="794" ht="14.25" customHeight="1">
      <x:c r="A794" s="10"/>
      <x:c r="B794" s="10"/>
      <x:c r="C794" s="10"/>
      <x:c r="D794" s="10"/>
    </x:row>
    <x:row r="795" ht="14.25" customHeight="1">
      <x:c r="A795" s="10"/>
      <x:c r="B795" s="10"/>
      <x:c r="C795" s="10"/>
      <x:c r="D795" s="10"/>
    </x:row>
    <x:row r="796" ht="14.25" customHeight="1">
      <x:c r="A796" s="10"/>
      <x:c r="B796" s="10"/>
      <x:c r="C796" s="10"/>
      <x:c r="D796" s="10"/>
    </x:row>
    <x:row r="797" ht="14.25" customHeight="1">
      <x:c r="A797" s="10"/>
      <x:c r="B797" s="10"/>
      <x:c r="C797" s="10"/>
      <x:c r="D797" s="10"/>
    </x:row>
    <x:row r="798" ht="14.25" customHeight="1">
      <x:c r="A798" s="10"/>
      <x:c r="B798" s="10"/>
      <x:c r="C798" s="10"/>
      <x:c r="D798" s="10"/>
    </x:row>
    <x:row r="799" ht="14.25" customHeight="1">
      <x:c r="A799" s="10"/>
      <x:c r="B799" s="10"/>
      <x:c r="C799" s="10"/>
      <x:c r="D799" s="10"/>
    </x:row>
    <x:row r="800" ht="14.25" customHeight="1">
      <x:c r="A800" s="10"/>
      <x:c r="B800" s="10"/>
      <x:c r="C800" s="10"/>
      <x:c r="D800" s="10"/>
    </x:row>
    <x:row r="801" ht="14.25" customHeight="1">
      <x:c r="A801" s="10"/>
      <x:c r="B801" s="10"/>
      <x:c r="C801" s="10"/>
      <x:c r="D801" s="10"/>
    </x:row>
    <x:row r="802" ht="14.25" customHeight="1">
      <x:c r="A802" s="10"/>
      <x:c r="B802" s="10"/>
      <x:c r="C802" s="10"/>
      <x:c r="D802" s="10"/>
    </x:row>
    <x:row r="803" ht="14.25" customHeight="1">
      <x:c r="A803" s="10"/>
      <x:c r="B803" s="10"/>
      <x:c r="C803" s="10"/>
      <x:c r="D803" s="10"/>
    </x:row>
    <x:row r="804" ht="14.25" customHeight="1">
      <x:c r="A804" s="10"/>
      <x:c r="B804" s="10"/>
      <x:c r="C804" s="10"/>
      <x:c r="D804" s="10"/>
    </x:row>
    <x:row r="805" ht="14.25" customHeight="1">
      <x:c r="A805" s="10"/>
      <x:c r="B805" s="10"/>
      <x:c r="C805" s="10"/>
      <x:c r="D805" s="10"/>
    </x:row>
    <x:row r="806" ht="14.25" customHeight="1">
      <x:c r="A806" s="10"/>
      <x:c r="B806" s="10"/>
      <x:c r="C806" s="10"/>
      <x:c r="D806" s="10"/>
    </x:row>
    <x:row r="807" ht="14.25" customHeight="1">
      <x:c r="A807" s="10"/>
      <x:c r="B807" s="10"/>
      <x:c r="C807" s="10"/>
      <x:c r="D807" s="10"/>
    </x:row>
    <x:row r="808" ht="14.25" customHeight="1">
      <x:c r="A808" s="10"/>
      <x:c r="B808" s="10"/>
      <x:c r="C808" s="10"/>
      <x:c r="D808" s="10"/>
    </x:row>
    <x:row r="809" ht="14.25" customHeight="1">
      <x:c r="A809" s="10"/>
      <x:c r="B809" s="10"/>
      <x:c r="C809" s="10"/>
      <x:c r="D809" s="10"/>
    </x:row>
    <x:row r="810" ht="14.25" customHeight="1">
      <x:c r="A810" s="10"/>
      <x:c r="B810" s="10"/>
      <x:c r="C810" s="10"/>
      <x:c r="D810" s="10"/>
    </x:row>
    <x:row r="811" ht="14.25" customHeight="1">
      <x:c r="A811" s="10"/>
      <x:c r="B811" s="10"/>
      <x:c r="C811" s="10"/>
      <x:c r="D811" s="10"/>
    </x:row>
    <x:row r="812" ht="14.25" customHeight="1">
      <x:c r="A812" s="10"/>
      <x:c r="B812" s="10"/>
      <x:c r="C812" s="10"/>
      <x:c r="D812" s="10"/>
    </x:row>
    <x:row r="813" ht="14.25" customHeight="1">
      <x:c r="A813" s="10"/>
      <x:c r="B813" s="10"/>
      <x:c r="C813" s="10"/>
      <x:c r="D813" s="10"/>
    </x:row>
    <x:row r="814" ht="14.25" customHeight="1">
      <x:c r="A814" s="10"/>
      <x:c r="B814" s="10"/>
      <x:c r="C814" s="10"/>
      <x:c r="D814" s="10"/>
    </x:row>
    <x:row r="815" ht="14.25" customHeight="1">
      <x:c r="A815" s="10"/>
      <x:c r="B815" s="10"/>
      <x:c r="C815" s="10"/>
      <x:c r="D815" s="10"/>
    </x:row>
    <x:row r="816" ht="14.25" customHeight="1">
      <x:c r="A816" s="10"/>
      <x:c r="B816" s="10"/>
      <x:c r="C816" s="10"/>
      <x:c r="D816" s="10"/>
    </x:row>
    <x:row r="817" ht="14.25" customHeight="1">
      <x:c r="A817" s="10"/>
      <x:c r="B817" s="10"/>
      <x:c r="C817" s="10"/>
      <x:c r="D817" s="10"/>
    </x:row>
    <x:row r="818" ht="14.25" customHeight="1">
      <x:c r="A818" s="10"/>
      <x:c r="B818" s="10"/>
      <x:c r="C818" s="10"/>
      <x:c r="D818" s="10"/>
    </x:row>
    <x:row r="819" ht="14.25" customHeight="1">
      <x:c r="A819" s="10"/>
      <x:c r="B819" s="10"/>
      <x:c r="C819" s="10"/>
      <x:c r="D819" s="10"/>
    </x:row>
    <x:row r="820" ht="14.25" customHeight="1">
      <x:c r="A820" s="10"/>
      <x:c r="B820" s="10"/>
      <x:c r="C820" s="10"/>
      <x:c r="D820" s="10"/>
    </x:row>
    <x:row r="821" ht="14.25" customHeight="1">
      <x:c r="A821" s="10"/>
      <x:c r="B821" s="10"/>
      <x:c r="C821" s="10"/>
      <x:c r="D821" s="10"/>
    </x:row>
    <x:row r="822" ht="14.25" customHeight="1">
      <x:c r="A822" s="10"/>
      <x:c r="B822" s="10"/>
      <x:c r="C822" s="10"/>
      <x:c r="D822" s="10"/>
    </x:row>
    <x:row r="823" ht="14.25" customHeight="1">
      <x:c r="A823" s="10"/>
      <x:c r="B823" s="10"/>
      <x:c r="C823" s="10"/>
      <x:c r="D823" s="10"/>
    </x:row>
    <x:row r="824" ht="14.25" customHeight="1">
      <x:c r="A824" s="10"/>
      <x:c r="B824" s="10"/>
      <x:c r="C824" s="10"/>
      <x:c r="D824" s="10"/>
    </x:row>
    <x:row r="825" ht="14.25" customHeight="1">
      <x:c r="A825" s="10"/>
      <x:c r="B825" s="10"/>
      <x:c r="C825" s="10"/>
      <x:c r="D825" s="10"/>
    </x:row>
    <x:row r="826" ht="14.25" customHeight="1">
      <x:c r="A826" s="10"/>
      <x:c r="B826" s="10"/>
      <x:c r="C826" s="10"/>
      <x:c r="D826" s="10"/>
    </x:row>
    <x:row r="827" ht="14.25" customHeight="1">
      <x:c r="A827" s="10"/>
      <x:c r="B827" s="10"/>
      <x:c r="C827" s="10"/>
      <x:c r="D827" s="10"/>
    </x:row>
    <x:row r="828" ht="14.25" customHeight="1">
      <x:c r="A828" s="10"/>
      <x:c r="B828" s="10"/>
      <x:c r="C828" s="10"/>
      <x:c r="D828" s="10"/>
    </x:row>
    <x:row r="829" ht="14.25" customHeight="1">
      <x:c r="A829" s="10"/>
      <x:c r="B829" s="10"/>
      <x:c r="C829" s="10"/>
      <x:c r="D829" s="10"/>
    </x:row>
    <x:row r="830" ht="14.25" customHeight="1">
      <x:c r="A830" s="10"/>
      <x:c r="B830" s="10"/>
      <x:c r="C830" s="10"/>
      <x:c r="D830" s="10"/>
    </x:row>
    <x:row r="831" ht="14.25" customHeight="1">
      <x:c r="A831" s="10"/>
      <x:c r="B831" s="10"/>
      <x:c r="C831" s="10"/>
      <x:c r="D831" s="10"/>
    </x:row>
    <x:row r="832" ht="14.25" customHeight="1">
      <x:c r="A832" s="10"/>
      <x:c r="B832" s="10"/>
      <x:c r="C832" s="10"/>
      <x:c r="D832" s="10"/>
    </x:row>
    <x:row r="833" ht="14.25" customHeight="1">
      <x:c r="A833" s="10"/>
      <x:c r="B833" s="10"/>
      <x:c r="C833" s="10"/>
      <x:c r="D833" s="10"/>
    </x:row>
    <x:row r="834" ht="14.25" customHeight="1">
      <x:c r="A834" s="10"/>
      <x:c r="B834" s="10"/>
      <x:c r="C834" s="10"/>
      <x:c r="D834" s="10"/>
    </x:row>
    <x:row r="835" ht="14.25" customHeight="1">
      <x:c r="A835" s="10"/>
      <x:c r="B835" s="10"/>
      <x:c r="C835" s="10"/>
      <x:c r="D835" s="10"/>
    </x:row>
    <x:row r="836" ht="14.25" customHeight="1">
      <x:c r="A836" s="10"/>
      <x:c r="B836" s="10"/>
      <x:c r="C836" s="10"/>
      <x:c r="D836" s="10"/>
    </x:row>
    <x:row r="837" ht="14.25" customHeight="1">
      <x:c r="A837" s="10"/>
      <x:c r="B837" s="10"/>
      <x:c r="C837" s="10"/>
      <x:c r="D837" s="10"/>
    </x:row>
    <x:row r="838" ht="14.25" customHeight="1">
      <x:c r="A838" s="10"/>
      <x:c r="B838" s="10"/>
      <x:c r="C838" s="10"/>
      <x:c r="D838" s="10"/>
    </x:row>
    <x:row r="839" ht="14.25" customHeight="1">
      <x:c r="A839" s="10"/>
      <x:c r="B839" s="10"/>
      <x:c r="C839" s="10"/>
      <x:c r="D839" s="10"/>
    </x:row>
    <x:row r="840" ht="14.25" customHeight="1">
      <x:c r="A840" s="10"/>
      <x:c r="B840" s="10"/>
      <x:c r="C840" s="10"/>
      <x:c r="D840" s="10"/>
    </x:row>
    <x:row r="841" ht="14.25" customHeight="1">
      <x:c r="A841" s="10"/>
      <x:c r="B841" s="10"/>
      <x:c r="C841" s="10"/>
      <x:c r="D841" s="10"/>
    </x:row>
    <x:row r="842" ht="14.25" customHeight="1">
      <x:c r="A842" s="10"/>
      <x:c r="B842" s="10"/>
      <x:c r="C842" s="10"/>
      <x:c r="D842" s="10"/>
    </x:row>
    <x:row r="843" ht="14.25" customHeight="1">
      <x:c r="A843" s="10"/>
      <x:c r="B843" s="10"/>
      <x:c r="C843" s="10"/>
      <x:c r="D843" s="10"/>
    </x:row>
    <x:row r="844" ht="14.25" customHeight="1">
      <x:c r="A844" s="10"/>
      <x:c r="B844" s="10"/>
      <x:c r="C844" s="10"/>
      <x:c r="D844" s="10"/>
    </x:row>
    <x:row r="845" ht="14.25" customHeight="1">
      <x:c r="A845" s="10"/>
      <x:c r="B845" s="10"/>
      <x:c r="C845" s="10"/>
      <x:c r="D845" s="10"/>
    </x:row>
    <x:row r="846" ht="14.25" customHeight="1">
      <x:c r="A846" s="10"/>
      <x:c r="B846" s="10"/>
      <x:c r="C846" s="10"/>
      <x:c r="D846" s="10"/>
    </x:row>
    <x:row r="847" ht="14.25" customHeight="1">
      <x:c r="A847" s="10"/>
      <x:c r="B847" s="10"/>
      <x:c r="C847" s="10"/>
      <x:c r="D847" s="10"/>
    </x:row>
    <x:row r="848" ht="14.25" customHeight="1">
      <x:c r="A848" s="10"/>
      <x:c r="B848" s="10"/>
      <x:c r="C848" s="10"/>
      <x:c r="D848" s="10"/>
    </x:row>
    <x:row r="849" ht="14.25" customHeight="1">
      <x:c r="A849" s="10"/>
      <x:c r="B849" s="10"/>
      <x:c r="C849" s="10"/>
      <x:c r="D849" s="10"/>
    </x:row>
    <x:row r="850" ht="14.25" customHeight="1">
      <x:c r="A850" s="10"/>
      <x:c r="B850" s="10"/>
      <x:c r="C850" s="10"/>
      <x:c r="D850" s="10"/>
    </x:row>
    <x:row r="851" ht="14.25" customHeight="1">
      <x:c r="A851" s="10"/>
      <x:c r="B851" s="10"/>
      <x:c r="C851" s="10"/>
      <x:c r="D851" s="10"/>
    </x:row>
    <x:row r="852" ht="14.25" customHeight="1">
      <x:c r="A852" s="10"/>
      <x:c r="B852" s="10"/>
      <x:c r="C852" s="10"/>
      <x:c r="D852" s="10"/>
    </x:row>
    <x:row r="853" ht="14.25" customHeight="1">
      <x:c r="A853" s="10"/>
      <x:c r="B853" s="10"/>
      <x:c r="C853" s="10"/>
      <x:c r="D853" s="10"/>
    </x:row>
    <x:row r="854" ht="14.25" customHeight="1">
      <x:c r="A854" s="10"/>
      <x:c r="B854" s="10"/>
      <x:c r="C854" s="10"/>
      <x:c r="D854" s="10"/>
    </x:row>
    <x:row r="855" ht="14.25" customHeight="1">
      <x:c r="A855" s="10"/>
      <x:c r="B855" s="10"/>
      <x:c r="C855" s="10"/>
      <x:c r="D855" s="10"/>
    </x:row>
    <x:row r="856" ht="14.25" customHeight="1">
      <x:c r="A856" s="10"/>
      <x:c r="B856" s="10"/>
      <x:c r="C856" s="10"/>
      <x:c r="D856" s="10"/>
    </x:row>
    <x:row r="857" ht="14.25" customHeight="1">
      <x:c r="A857" s="10"/>
      <x:c r="B857" s="10"/>
      <x:c r="C857" s="10"/>
      <x:c r="D857" s="10"/>
    </x:row>
    <x:row r="858" ht="14.25" customHeight="1">
      <x:c r="A858" s="10"/>
      <x:c r="B858" s="10"/>
      <x:c r="C858" s="10"/>
      <x:c r="D858" s="10"/>
    </x:row>
    <x:row r="859" ht="14.25" customHeight="1">
      <x:c r="A859" s="10"/>
      <x:c r="B859" s="10"/>
      <x:c r="C859" s="10"/>
      <x:c r="D859" s="10"/>
    </x:row>
    <x:row r="860" ht="14.25" customHeight="1">
      <x:c r="A860" s="10"/>
      <x:c r="B860" s="10"/>
      <x:c r="C860" s="10"/>
      <x:c r="D860" s="10"/>
    </x:row>
    <x:row r="861" ht="14.25" customHeight="1">
      <x:c r="A861" s="10"/>
      <x:c r="B861" s="10"/>
      <x:c r="C861" s="10"/>
      <x:c r="D861" s="10"/>
    </x:row>
    <x:row r="862" ht="14.25" customHeight="1">
      <x:c r="A862" s="10"/>
      <x:c r="B862" s="10"/>
      <x:c r="C862" s="10"/>
      <x:c r="D862" s="10"/>
    </x:row>
    <x:row r="863" ht="14.25" customHeight="1">
      <x:c r="A863" s="10"/>
      <x:c r="B863" s="10"/>
      <x:c r="C863" s="10"/>
      <x:c r="D863" s="10"/>
    </x:row>
    <x:row r="864" ht="14.25" customHeight="1">
      <x:c r="A864" s="10"/>
      <x:c r="B864" s="10"/>
      <x:c r="C864" s="10"/>
      <x:c r="D864" s="10"/>
    </x:row>
    <x:row r="865" ht="14.25" customHeight="1">
      <x:c r="A865" s="10"/>
      <x:c r="B865" s="10"/>
      <x:c r="C865" s="10"/>
      <x:c r="D865" s="10"/>
    </x:row>
    <x:row r="866" ht="14.25" customHeight="1">
      <x:c r="A866" s="10"/>
      <x:c r="B866" s="10"/>
      <x:c r="C866" s="10"/>
      <x:c r="D866" s="10"/>
    </x:row>
    <x:row r="867" ht="14.25" customHeight="1">
      <x:c r="A867" s="10"/>
      <x:c r="B867" s="10"/>
      <x:c r="C867" s="10"/>
      <x:c r="D867" s="10"/>
    </x:row>
    <x:row r="868" ht="14.25" customHeight="1">
      <x:c r="A868" s="10"/>
      <x:c r="B868" s="10"/>
      <x:c r="C868" s="10"/>
      <x:c r="D868" s="10"/>
    </x:row>
    <x:row r="869" ht="14.25" customHeight="1">
      <x:c r="A869" s="10"/>
      <x:c r="B869" s="10"/>
      <x:c r="C869" s="10"/>
      <x:c r="D869" s="10"/>
    </x:row>
    <x:row r="870" ht="14.25" customHeight="1">
      <x:c r="A870" s="10"/>
      <x:c r="B870" s="10"/>
      <x:c r="C870" s="10"/>
      <x:c r="D870" s="10"/>
    </x:row>
    <x:row r="871" ht="14.25" customHeight="1">
      <x:c r="A871" s="10"/>
      <x:c r="B871" s="10"/>
      <x:c r="C871" s="10"/>
      <x:c r="D871" s="10"/>
    </x:row>
    <x:row r="872" ht="14.25" customHeight="1">
      <x:c r="A872" s="10"/>
      <x:c r="B872" s="10"/>
      <x:c r="C872" s="10"/>
      <x:c r="D872" s="10"/>
    </x:row>
    <x:row r="873" ht="14.25" customHeight="1">
      <x:c r="A873" s="10"/>
      <x:c r="B873" s="10"/>
      <x:c r="C873" s="10"/>
      <x:c r="D873" s="10"/>
    </x:row>
    <x:row r="874" ht="14.25" customHeight="1">
      <x:c r="A874" s="10"/>
      <x:c r="B874" s="10"/>
      <x:c r="C874" s="10"/>
      <x:c r="D874" s="10"/>
    </x:row>
    <x:row r="875" ht="14.25" customHeight="1">
      <x:c r="A875" s="10"/>
      <x:c r="B875" s="10"/>
      <x:c r="C875" s="10"/>
      <x:c r="D875" s="10"/>
    </x:row>
    <x:row r="876" ht="14.25" customHeight="1">
      <x:c r="A876" s="10"/>
      <x:c r="B876" s="10"/>
      <x:c r="C876" s="10"/>
      <x:c r="D876" s="10"/>
    </x:row>
    <x:row r="877" ht="14.25" customHeight="1">
      <x:c r="A877" s="10"/>
      <x:c r="B877" s="10"/>
      <x:c r="C877" s="10"/>
      <x:c r="D877" s="10"/>
    </x:row>
    <x:row r="878" ht="14.25" customHeight="1">
      <x:c r="A878" s="10"/>
      <x:c r="B878" s="10"/>
      <x:c r="C878" s="10"/>
      <x:c r="D878" s="10"/>
    </x:row>
    <x:row r="879" ht="14.25" customHeight="1">
      <x:c r="A879" s="10"/>
      <x:c r="B879" s="10"/>
      <x:c r="C879" s="10"/>
      <x:c r="D879" s="10"/>
    </x:row>
    <x:row r="880" ht="14.25" customHeight="1">
      <x:c r="A880" s="10"/>
      <x:c r="B880" s="10"/>
      <x:c r="C880" s="10"/>
      <x:c r="D880" s="10"/>
    </x:row>
    <x:row r="881" ht="14.25" customHeight="1">
      <x:c r="A881" s="10"/>
      <x:c r="B881" s="10"/>
      <x:c r="C881" s="10"/>
      <x:c r="D881" s="10"/>
    </x:row>
    <x:row r="882" ht="14.25" customHeight="1">
      <x:c r="A882" s="10"/>
      <x:c r="B882" s="10"/>
      <x:c r="C882" s="10"/>
      <x:c r="D882" s="10"/>
    </x:row>
    <x:row r="883" ht="14.25" customHeight="1">
      <x:c r="A883" s="10"/>
      <x:c r="B883" s="10"/>
      <x:c r="C883" s="10"/>
      <x:c r="D883" s="10"/>
    </x:row>
    <x:row r="884" ht="14.25" customHeight="1">
      <x:c r="A884" s="10"/>
      <x:c r="B884" s="10"/>
      <x:c r="C884" s="10"/>
      <x:c r="D884" s="10"/>
    </x:row>
    <x:row r="885" ht="14.25" customHeight="1">
      <x:c r="A885" s="10"/>
      <x:c r="B885" s="10"/>
      <x:c r="C885" s="10"/>
      <x:c r="D885" s="10"/>
    </x:row>
    <x:row r="886" ht="14.25" customHeight="1">
      <x:c r="A886" s="10"/>
      <x:c r="B886" s="10"/>
      <x:c r="C886" s="10"/>
      <x:c r="D886" s="10"/>
    </x:row>
    <x:row r="887" ht="14.25" customHeight="1">
      <x:c r="A887" s="10"/>
      <x:c r="B887" s="10"/>
      <x:c r="C887" s="10"/>
      <x:c r="D887" s="10"/>
    </x:row>
    <x:row r="888" ht="14.25" customHeight="1">
      <x:c r="A888" s="10"/>
      <x:c r="B888" s="10"/>
      <x:c r="C888" s="10"/>
      <x:c r="D888" s="10"/>
    </x:row>
    <x:row r="889" ht="14.25" customHeight="1">
      <x:c r="A889" s="10"/>
      <x:c r="B889" s="10"/>
      <x:c r="C889" s="10"/>
      <x:c r="D889" s="10"/>
    </x:row>
    <x:row r="890" ht="14.25" customHeight="1">
      <x:c r="A890" s="10"/>
      <x:c r="B890" s="10"/>
      <x:c r="C890" s="10"/>
      <x:c r="D890" s="10"/>
    </x:row>
    <x:row r="891" ht="14.25" customHeight="1">
      <x:c r="A891" s="10"/>
      <x:c r="B891" s="10"/>
      <x:c r="C891" s="10"/>
      <x:c r="D891" s="10"/>
    </x:row>
    <x:row r="892" ht="14.25" customHeight="1">
      <x:c r="A892" s="10"/>
      <x:c r="B892" s="10"/>
      <x:c r="C892" s="10"/>
      <x:c r="D892" s="10"/>
    </x:row>
    <x:row r="893" ht="14.25" customHeight="1">
      <x:c r="A893" s="10"/>
      <x:c r="B893" s="10"/>
      <x:c r="C893" s="10"/>
      <x:c r="D893" s="10"/>
    </x:row>
    <x:row r="894" ht="14.25" customHeight="1">
      <x:c r="A894" s="10"/>
      <x:c r="B894" s="10"/>
      <x:c r="C894" s="10"/>
      <x:c r="D894" s="10"/>
    </x:row>
    <x:row r="895" ht="14.25" customHeight="1">
      <x:c r="A895" s="10"/>
      <x:c r="B895" s="10"/>
      <x:c r="C895" s="10"/>
      <x:c r="D895" s="10"/>
    </x:row>
    <x:row r="896" ht="14.25" customHeight="1">
      <x:c r="A896" s="10"/>
      <x:c r="B896" s="10"/>
      <x:c r="C896" s="10"/>
      <x:c r="D896" s="10"/>
    </x:row>
    <x:row r="897" ht="14.25" customHeight="1">
      <x:c r="A897" s="10"/>
      <x:c r="B897" s="10"/>
      <x:c r="C897" s="10"/>
      <x:c r="D897" s="10"/>
    </x:row>
    <x:row r="898" ht="14.25" customHeight="1">
      <x:c r="A898" s="10"/>
      <x:c r="B898" s="10"/>
      <x:c r="C898" s="10"/>
      <x:c r="D898" s="10"/>
    </x:row>
    <x:row r="899" ht="14.25" customHeight="1">
      <x:c r="A899" s="10"/>
      <x:c r="B899" s="10"/>
      <x:c r="C899" s="10"/>
      <x:c r="D899" s="10"/>
    </x:row>
    <x:row r="900" ht="14.25" customHeight="1">
      <x:c r="A900" s="10"/>
      <x:c r="B900" s="10"/>
      <x:c r="C900" s="10"/>
      <x:c r="D900" s="10"/>
    </x:row>
    <x:row r="901" ht="14.25" customHeight="1">
      <x:c r="A901" s="10"/>
      <x:c r="B901" s="10"/>
      <x:c r="C901" s="10"/>
      <x:c r="D901" s="10"/>
    </x:row>
    <x:row r="902" ht="14.25" customHeight="1">
      <x:c r="A902" s="10"/>
      <x:c r="B902" s="10"/>
      <x:c r="C902" s="10"/>
      <x:c r="D902" s="10"/>
    </x:row>
    <x:row r="903" ht="14.25" customHeight="1">
      <x:c r="A903" s="10"/>
      <x:c r="B903" s="10"/>
      <x:c r="C903" s="10"/>
      <x:c r="D903" s="10"/>
    </x:row>
    <x:row r="904" ht="14.25" customHeight="1">
      <x:c r="A904" s="10"/>
      <x:c r="B904" s="10"/>
      <x:c r="C904" s="10"/>
      <x:c r="D904" s="10"/>
    </x:row>
    <x:row r="905" ht="14.25" customHeight="1">
      <x:c r="A905" s="10"/>
      <x:c r="B905" s="10"/>
      <x:c r="C905" s="10"/>
      <x:c r="D905" s="10"/>
    </x:row>
    <x:row r="906" ht="14.25" customHeight="1">
      <x:c r="A906" s="10"/>
      <x:c r="B906" s="10"/>
      <x:c r="C906" s="10"/>
      <x:c r="D906" s="10"/>
    </x:row>
    <x:row r="907" ht="14.25" customHeight="1">
      <x:c r="A907" s="10"/>
      <x:c r="B907" s="10"/>
      <x:c r="C907" s="10"/>
      <x:c r="D907" s="10"/>
    </x:row>
    <x:row r="908" ht="14.25" customHeight="1">
      <x:c r="A908" s="10"/>
      <x:c r="B908" s="10"/>
      <x:c r="C908" s="10"/>
      <x:c r="D908" s="10"/>
    </x:row>
    <x:row r="909" ht="14.25" customHeight="1">
      <x:c r="A909" s="10"/>
      <x:c r="B909" s="10"/>
      <x:c r="C909" s="10"/>
      <x:c r="D909" s="10"/>
    </x:row>
    <x:row r="910" ht="14.25" customHeight="1">
      <x:c r="A910" s="10"/>
      <x:c r="B910" s="10"/>
      <x:c r="C910" s="10"/>
      <x:c r="D910" s="10"/>
    </x:row>
    <x:row r="911" ht="14.25" customHeight="1">
      <x:c r="A911" s="10"/>
      <x:c r="B911" s="10"/>
      <x:c r="C911" s="10"/>
      <x:c r="D911" s="10"/>
    </x:row>
    <x:row r="912" ht="14.25" customHeight="1">
      <x:c r="A912" s="10"/>
      <x:c r="B912" s="10"/>
      <x:c r="C912" s="10"/>
      <x:c r="D912" s="10"/>
    </x:row>
    <x:row r="913" ht="14.25" customHeight="1">
      <x:c r="A913" s="10"/>
      <x:c r="B913" s="10"/>
      <x:c r="C913" s="10"/>
      <x:c r="D913" s="10"/>
    </x:row>
    <x:row r="914" ht="14.25" customHeight="1">
      <x:c r="A914" s="10"/>
      <x:c r="B914" s="10"/>
      <x:c r="C914" s="10"/>
      <x:c r="D914" s="10"/>
    </x:row>
    <x:row r="915" ht="14.25" customHeight="1">
      <x:c r="A915" s="10"/>
      <x:c r="B915" s="10"/>
      <x:c r="C915" s="10"/>
      <x:c r="D915" s="10"/>
    </x:row>
    <x:row r="916" ht="14.25" customHeight="1">
      <x:c r="A916" s="10"/>
      <x:c r="B916" s="10"/>
      <x:c r="C916" s="10"/>
      <x:c r="D916" s="10"/>
    </x:row>
    <x:row r="917" ht="14.25" customHeight="1">
      <x:c r="A917" s="10"/>
      <x:c r="B917" s="10"/>
      <x:c r="C917" s="10"/>
      <x:c r="D917" s="10"/>
    </x:row>
    <x:row r="918" ht="14.25" customHeight="1">
      <x:c r="A918" s="10"/>
      <x:c r="B918" s="10"/>
      <x:c r="C918" s="10"/>
      <x:c r="D918" s="10"/>
    </x:row>
    <x:row r="919" ht="14.25" customHeight="1">
      <x:c r="A919" s="10"/>
      <x:c r="B919" s="10"/>
      <x:c r="C919" s="10"/>
      <x:c r="D919" s="10"/>
    </x:row>
    <x:row r="920" ht="14.25" customHeight="1">
      <x:c r="A920" s="10"/>
      <x:c r="B920" s="10"/>
      <x:c r="C920" s="10"/>
      <x:c r="D920" s="10"/>
    </x:row>
    <x:row r="921" ht="14.25" customHeight="1">
      <x:c r="A921" s="10"/>
      <x:c r="B921" s="10"/>
      <x:c r="C921" s="10"/>
      <x:c r="D921" s="10"/>
    </x:row>
    <x:row r="922" ht="14.25" customHeight="1">
      <x:c r="A922" s="10"/>
      <x:c r="B922" s="10"/>
      <x:c r="C922" s="10"/>
      <x:c r="D922" s="10"/>
    </x:row>
    <x:row r="923" ht="14.25" customHeight="1">
      <x:c r="A923" s="10"/>
      <x:c r="B923" s="10"/>
      <x:c r="C923" s="10"/>
      <x:c r="D923" s="10"/>
    </x:row>
    <x:row r="924" ht="14.25" customHeight="1">
      <x:c r="A924" s="10"/>
      <x:c r="B924" s="10"/>
      <x:c r="C924" s="10"/>
      <x:c r="D924" s="10"/>
    </x:row>
    <x:row r="925" ht="14.25" customHeight="1">
      <x:c r="A925" s="10"/>
      <x:c r="B925" s="10"/>
      <x:c r="C925" s="10"/>
      <x:c r="D925" s="10"/>
    </x:row>
    <x:row r="926" ht="14.25" customHeight="1">
      <x:c r="A926" s="10"/>
      <x:c r="B926" s="10"/>
      <x:c r="C926" s="10"/>
      <x:c r="D926" s="10"/>
    </x:row>
    <x:row r="927" ht="14.25" customHeight="1">
      <x:c r="A927" s="10"/>
      <x:c r="B927" s="10"/>
      <x:c r="C927" s="10"/>
      <x:c r="D927" s="10"/>
    </x:row>
    <x:row r="928" ht="14.25" customHeight="1">
      <x:c r="A928" s="10"/>
      <x:c r="B928" s="10"/>
      <x:c r="C928" s="10"/>
      <x:c r="D928" s="10"/>
    </x:row>
    <x:row r="929" ht="14.25" customHeight="1">
      <x:c r="A929" s="10"/>
      <x:c r="B929" s="10"/>
      <x:c r="C929" s="10"/>
      <x:c r="D929" s="10"/>
    </x:row>
    <x:row r="930" ht="14.25" customHeight="1">
      <x:c r="A930" s="10"/>
      <x:c r="B930" s="10"/>
      <x:c r="C930" s="10"/>
      <x:c r="D930" s="10"/>
    </x:row>
    <x:row r="931" ht="14.25" customHeight="1">
      <x:c r="A931" s="10"/>
      <x:c r="B931" s="10"/>
      <x:c r="C931" s="10"/>
      <x:c r="D931" s="10"/>
    </x:row>
    <x:row r="932" ht="14.25" customHeight="1">
      <x:c r="A932" s="10"/>
      <x:c r="B932" s="10"/>
      <x:c r="C932" s="10"/>
      <x:c r="D932" s="10"/>
    </x:row>
    <x:row r="933" ht="14.25" customHeight="1">
      <x:c r="A933" s="10"/>
      <x:c r="B933" s="10"/>
      <x:c r="C933" s="10"/>
      <x:c r="D933" s="10"/>
    </x:row>
    <x:row r="934" ht="14.25" customHeight="1">
      <x:c r="A934" s="10"/>
      <x:c r="B934" s="10"/>
      <x:c r="C934" s="10"/>
      <x:c r="D934" s="10"/>
    </x:row>
    <x:row r="935" ht="14.25" customHeight="1">
      <x:c r="A935" s="10"/>
      <x:c r="B935" s="10"/>
      <x:c r="C935" s="10"/>
      <x:c r="D935" s="10"/>
    </x:row>
    <x:row r="936" ht="14.25" customHeight="1">
      <x:c r="A936" s="10"/>
      <x:c r="B936" s="10"/>
      <x:c r="C936" s="10"/>
      <x:c r="D936" s="10"/>
    </x:row>
    <x:row r="937" ht="14.25" customHeight="1">
      <x:c r="A937" s="10"/>
      <x:c r="B937" s="10"/>
      <x:c r="C937" s="10"/>
      <x:c r="D937" s="10"/>
    </x:row>
    <x:row r="938" ht="14.25" customHeight="1">
      <x:c r="A938" s="10"/>
      <x:c r="B938" s="10"/>
      <x:c r="C938" s="10"/>
      <x:c r="D938" s="10"/>
    </x:row>
    <x:row r="939" ht="14.25" customHeight="1">
      <x:c r="A939" s="10"/>
      <x:c r="B939" s="10"/>
      <x:c r="C939" s="10"/>
      <x:c r="D939" s="10"/>
    </x:row>
    <x:row r="940" ht="14.25" customHeight="1">
      <x:c r="A940" s="10"/>
      <x:c r="B940" s="10"/>
      <x:c r="C940" s="10"/>
      <x:c r="D940" s="10"/>
    </x:row>
    <x:row r="941" ht="14.25" customHeight="1">
      <x:c r="A941" s="10"/>
      <x:c r="B941" s="10"/>
      <x:c r="C941" s="10"/>
      <x:c r="D941" s="10"/>
    </x:row>
    <x:row r="942" ht="14.25" customHeight="1">
      <x:c r="A942" s="10"/>
      <x:c r="B942" s="10"/>
      <x:c r="C942" s="10"/>
      <x:c r="D942" s="10"/>
    </x:row>
    <x:row r="943" ht="14.25" customHeight="1">
      <x:c r="A943" s="10"/>
      <x:c r="B943" s="10"/>
      <x:c r="C943" s="10"/>
      <x:c r="D943" s="10"/>
    </x:row>
    <x:row r="944" ht="14.25" customHeight="1">
      <x:c r="A944" s="10"/>
      <x:c r="B944" s="10"/>
      <x:c r="C944" s="10"/>
      <x:c r="D944" s="10"/>
    </x:row>
    <x:row r="945" ht="14.25" customHeight="1">
      <x:c r="A945" s="10"/>
      <x:c r="B945" s="10"/>
      <x:c r="C945" s="10"/>
      <x:c r="D945" s="10"/>
    </x:row>
    <x:row r="946" ht="14.25" customHeight="1">
      <x:c r="A946" s="10"/>
      <x:c r="B946" s="10"/>
      <x:c r="C946" s="10"/>
      <x:c r="D946" s="10"/>
    </x:row>
    <x:row r="947" ht="14.25" customHeight="1">
      <x:c r="A947" s="10"/>
      <x:c r="B947" s="10"/>
      <x:c r="C947" s="10"/>
      <x:c r="D947" s="10"/>
    </x:row>
    <x:row r="948" ht="14.25" customHeight="1">
      <x:c r="A948" s="10"/>
      <x:c r="B948" s="10"/>
      <x:c r="C948" s="10"/>
      <x:c r="D948" s="10"/>
    </x:row>
    <x:row r="949" ht="14.25" customHeight="1">
      <x:c r="A949" s="10"/>
      <x:c r="B949" s="10"/>
      <x:c r="C949" s="10"/>
      <x:c r="D949" s="10"/>
    </x:row>
    <x:row r="950" ht="14.25" customHeight="1">
      <x:c r="A950" s="10"/>
      <x:c r="B950" s="10"/>
      <x:c r="C950" s="10"/>
      <x:c r="D950" s="10"/>
    </x:row>
    <x:row r="951" ht="14.25" customHeight="1">
      <x:c r="A951" s="10"/>
      <x:c r="B951" s="10"/>
      <x:c r="C951" s="10"/>
      <x:c r="D951" s="10"/>
    </x:row>
    <x:row r="952" ht="14.25" customHeight="1">
      <x:c r="A952" s="10"/>
      <x:c r="B952" s="10"/>
      <x:c r="C952" s="10"/>
      <x:c r="D952" s="10"/>
    </x:row>
    <x:row r="953" ht="14.25" customHeight="1">
      <x:c r="A953" s="10"/>
      <x:c r="B953" s="10"/>
      <x:c r="C953" s="10"/>
      <x:c r="D953" s="10"/>
    </x:row>
    <x:row r="954" ht="14.25" customHeight="1">
      <x:c r="A954" s="10"/>
      <x:c r="B954" s="10"/>
      <x:c r="C954" s="10"/>
      <x:c r="D954" s="10"/>
    </x:row>
    <x:row r="955" ht="14.25" customHeight="1">
      <x:c r="A955" s="10"/>
      <x:c r="B955" s="10"/>
      <x:c r="C955" s="10"/>
      <x:c r="D955" s="10"/>
    </x:row>
    <x:row r="956" ht="14.25" customHeight="1">
      <x:c r="A956" s="10"/>
      <x:c r="B956" s="10"/>
      <x:c r="C956" s="10"/>
      <x:c r="D956" s="10"/>
    </x:row>
    <x:row r="957" ht="14.25" customHeight="1">
      <x:c r="A957" s="10"/>
      <x:c r="B957" s="10"/>
      <x:c r="C957" s="10"/>
      <x:c r="D957" s="10"/>
    </x:row>
    <x:row r="958" ht="14.25" customHeight="1">
      <x:c r="A958" s="10"/>
      <x:c r="B958" s="10"/>
      <x:c r="C958" s="10"/>
      <x:c r="D958" s="10"/>
    </x:row>
    <x:row r="959" ht="14.25" customHeight="1">
      <x:c r="A959" s="10"/>
      <x:c r="B959" s="10"/>
      <x:c r="C959" s="10"/>
      <x:c r="D959" s="10"/>
    </x:row>
    <x:row r="960" ht="14.25" customHeight="1">
      <x:c r="A960" s="10"/>
      <x:c r="B960" s="10"/>
      <x:c r="C960" s="10"/>
      <x:c r="D960" s="10"/>
    </x:row>
    <x:row r="961" ht="14.25" customHeight="1">
      <x:c r="A961" s="10"/>
      <x:c r="B961" s="10"/>
      <x:c r="C961" s="10"/>
      <x:c r="D961" s="10"/>
    </x:row>
    <x:row r="962" ht="14.25" customHeight="1">
      <x:c r="A962" s="10"/>
      <x:c r="B962" s="10"/>
      <x:c r="C962" s="10"/>
      <x:c r="D962" s="10"/>
    </x:row>
    <x:row r="963" ht="14.25" customHeight="1">
      <x:c r="A963" s="10"/>
      <x:c r="B963" s="10"/>
      <x:c r="C963" s="10"/>
      <x:c r="D963" s="10"/>
    </x:row>
    <x:row r="964" ht="14.25" customHeight="1">
      <x:c r="A964" s="10"/>
      <x:c r="B964" s="10"/>
      <x:c r="C964" s="10"/>
      <x:c r="D964" s="10"/>
    </x:row>
    <x:row r="965" ht="14.25" customHeight="1">
      <x:c r="A965" s="10"/>
      <x:c r="B965" s="10"/>
      <x:c r="C965" s="10"/>
      <x:c r="D965" s="10"/>
    </x:row>
    <x:row r="966" ht="14.25" customHeight="1">
      <x:c r="A966" s="10"/>
      <x:c r="B966" s="10"/>
      <x:c r="C966" s="10"/>
      <x:c r="D966" s="10"/>
    </x:row>
    <x:row r="967" ht="14.25" customHeight="1">
      <x:c r="A967" s="10"/>
      <x:c r="B967" s="10"/>
      <x:c r="C967" s="10"/>
      <x:c r="D967" s="10"/>
    </x:row>
    <x:row r="968" ht="14.25" customHeight="1">
      <x:c r="A968" s="10"/>
      <x:c r="B968" s="10"/>
      <x:c r="C968" s="10"/>
      <x:c r="D968" s="10"/>
    </x:row>
    <x:row r="969" ht="14.25" customHeight="1">
      <x:c r="A969" s="10"/>
      <x:c r="B969" s="10"/>
      <x:c r="C969" s="10"/>
      <x:c r="D969" s="10"/>
    </x:row>
    <x:row r="970" ht="14.25" customHeight="1">
      <x:c r="A970" s="10"/>
      <x:c r="B970" s="10"/>
      <x:c r="C970" s="10"/>
      <x:c r="D970" s="10"/>
    </x:row>
    <x:row r="971" ht="14.25" customHeight="1">
      <x:c r="A971" s="10"/>
      <x:c r="B971" s="10"/>
      <x:c r="C971" s="10"/>
      <x:c r="D971" s="10"/>
    </x:row>
    <x:row r="972" ht="14.25" customHeight="1">
      <x:c r="A972" s="10"/>
      <x:c r="B972" s="10"/>
      <x:c r="C972" s="10"/>
      <x:c r="D972" s="10"/>
    </x:row>
    <x:row r="973" ht="14.25" customHeight="1">
      <x:c r="A973" s="10"/>
      <x:c r="B973" s="10"/>
      <x:c r="C973" s="10"/>
      <x:c r="D973" s="10"/>
    </x:row>
    <x:row r="974" ht="14.25" customHeight="1">
      <x:c r="A974" s="10"/>
      <x:c r="B974" s="10"/>
      <x:c r="C974" s="10"/>
      <x:c r="D974" s="10"/>
    </x:row>
    <x:row r="975" ht="14.25" customHeight="1">
      <x:c r="A975" s="10"/>
      <x:c r="B975" s="10"/>
      <x:c r="C975" s="10"/>
      <x:c r="D975" s="10"/>
    </x:row>
    <x:row r="976" ht="14.25" customHeight="1">
      <x:c r="A976" s="10"/>
      <x:c r="B976" s="10"/>
      <x:c r="C976" s="10"/>
      <x:c r="D976" s="10"/>
    </x:row>
    <x:row r="977" ht="14.25" customHeight="1">
      <x:c r="A977" s="10"/>
      <x:c r="B977" s="10"/>
      <x:c r="C977" s="10"/>
      <x:c r="D977" s="10"/>
    </x:row>
    <x:row r="978" ht="14.25" customHeight="1">
      <x:c r="A978" s="10"/>
      <x:c r="B978" s="10"/>
      <x:c r="C978" s="10"/>
      <x:c r="D978" s="10"/>
    </x:row>
    <x:row r="979" ht="14.25" customHeight="1">
      <x:c r="A979" s="10"/>
      <x:c r="B979" s="10"/>
      <x:c r="C979" s="10"/>
      <x:c r="D979" s="10"/>
    </x:row>
    <x:row r="980" ht="14.25" customHeight="1">
      <x:c r="A980" s="10"/>
      <x:c r="B980" s="10"/>
      <x:c r="C980" s="10"/>
      <x:c r="D980" s="10"/>
    </x:row>
    <x:row r="981" ht="14.25" customHeight="1">
      <x:c r="A981" s="10"/>
      <x:c r="B981" s="10"/>
      <x:c r="C981" s="10"/>
      <x:c r="D981" s="10"/>
    </x:row>
    <x:row r="982" ht="14.25" customHeight="1">
      <x:c r="A982" s="10"/>
      <x:c r="B982" s="10"/>
      <x:c r="C982" s="10"/>
      <x:c r="D982" s="10"/>
    </x:row>
    <x:row r="983" ht="14.25" customHeight="1">
      <x:c r="A983" s="10"/>
      <x:c r="B983" s="10"/>
      <x:c r="C983" s="10"/>
      <x:c r="D983" s="10"/>
    </x:row>
    <x:row r="984" ht="14.25" customHeight="1">
      <x:c r="A984" s="10"/>
      <x:c r="B984" s="10"/>
      <x:c r="C984" s="10"/>
      <x:c r="D984" s="10"/>
    </x:row>
    <x:row r="985" ht="14.25" customHeight="1">
      <x:c r="A985" s="10"/>
      <x:c r="B985" s="10"/>
      <x:c r="C985" s="10"/>
      <x:c r="D985" s="10"/>
    </x:row>
    <x:row r="986" ht="14.25" customHeight="1">
      <x:c r="A986" s="10"/>
      <x:c r="B986" s="10"/>
      <x:c r="C986" s="10"/>
      <x:c r="D986" s="10"/>
    </x:row>
    <x:row r="987" ht="14.25" customHeight="1">
      <x:c r="A987" s="10"/>
      <x:c r="B987" s="10"/>
      <x:c r="C987" s="10"/>
      <x:c r="D987" s="10"/>
    </x:row>
    <x:row r="988" ht="14.25" customHeight="1">
      <x:c r="A988" s="10"/>
      <x:c r="B988" s="10"/>
      <x:c r="C988" s="10"/>
      <x:c r="D988" s="10"/>
    </x:row>
    <x:row r="989" ht="14.25" customHeight="1">
      <x:c r="A989" s="10"/>
      <x:c r="B989" s="10"/>
      <x:c r="C989" s="10"/>
      <x:c r="D989" s="10"/>
    </x:row>
    <x:row r="990" ht="14.25" customHeight="1">
      <x:c r="A990" s="10"/>
      <x:c r="B990" s="10"/>
      <x:c r="C990" s="10"/>
      <x:c r="D990" s="10"/>
    </x:row>
    <x:row r="991" ht="14.25" customHeight="1">
      <x:c r="A991" s="10"/>
      <x:c r="B991" s="10"/>
      <x:c r="C991" s="10"/>
      <x:c r="D991" s="10"/>
    </x:row>
    <x:row r="992" ht="14.25" customHeight="1">
      <x:c r="A992" s="10"/>
      <x:c r="B992" s="10"/>
      <x:c r="C992" s="10"/>
      <x:c r="D992" s="10"/>
    </x:row>
    <x:row r="993" ht="14.25" customHeight="1">
      <x:c r="A993" s="10"/>
      <x:c r="B993" s="10"/>
      <x:c r="C993" s="10"/>
      <x:c r="D993" s="10"/>
    </x:row>
    <x:row r="994" ht="14.25" customHeight="1">
      <x:c r="A994" s="10"/>
      <x:c r="B994" s="10"/>
      <x:c r="C994" s="10"/>
      <x:c r="D994" s="10"/>
    </x:row>
    <x:row r="995" ht="14.25" customHeight="1">
      <x:c r="A995" s="10"/>
      <x:c r="B995" s="10"/>
      <x:c r="C995" s="10"/>
      <x:c r="D995" s="10"/>
    </x:row>
    <x:row r="996" ht="14.25" customHeight="1">
      <x:c r="A996" s="10"/>
      <x:c r="B996" s="10"/>
      <x:c r="C996" s="10"/>
      <x:c r="D996" s="10"/>
    </x:row>
    <x:row r="997" ht="14.25" customHeight="1">
      <x:c r="A997" s="10"/>
      <x:c r="B997" s="10"/>
      <x:c r="C997" s="10"/>
      <x:c r="D997" s="10"/>
    </x:row>
    <x:row r="998" ht="14.25" customHeight="1">
      <x:c r="A998" s="10"/>
      <x:c r="B998" s="10"/>
      <x:c r="C998" s="10"/>
      <x:c r="D998" s="10"/>
    </x:row>
    <x:row r="999" ht="14.25" customHeight="1">
      <x:c r="A999" s="10"/>
      <x:c r="B999" s="10"/>
      <x:c r="C999" s="10"/>
      <x:c r="D999" s="10"/>
    </x:row>
    <x:row r="1000" ht="14.25" customHeight="1">
      <x:c r="A1000" s="10"/>
      <x:c r="B1000" s="10"/>
      <x:c r="C1000" s="10"/>
      <x:c r="D1000" s="10"/>
    </x:row>
  </x:sheetData>
  <x:pageMargins left="0.7" right="0.7" top="0.75" bottom="0.75" header="0.3" footer="0.3"/>
</x:worksheet>
</file>

<file path=xl/worksheets/sheet10.xml><?xml version="1.0" encoding="utf-8"?>
<x:worksheet xmlns:x="http://schemas.openxmlformats.org/spreadsheetml/2006/main">
  <x:sheetFormatPr defaultColWidth="14.453125" defaultRowHeight="15"/>
  <x:cols>
    <x:col min="1" max="1" width="5" customWidth="1"/>
    <x:col min="2" max="2" width="12" customWidth="1"/>
    <x:col min="3" max="3" width="30" customWidth="1"/>
    <x:col min="4" max="4" width="6" customWidth="1"/>
    <x:col min="5" max="5" width="16" customWidth="1"/>
    <x:col min="6" max="6" width="9" customWidth="1"/>
    <x:col min="7" max="8" width="32" customWidth="1"/>
    <x:col min="9" max="9" width="7" customWidth="1"/>
    <x:col min="10" max="10" width="10" customWidth="1"/>
    <x:col min="11" max="26" width="8.54296875" customWidth="1"/>
  </x:cols>
  <x:sheetData>
    <x:row r="1" ht="15" customHeight="1">
      <x:c r="A1" s="14" t="s">
        <x:v>0</x:v>
      </x:c>
      <x:c r="B1" s="14" t="s">
        <x:v>1102</x:v>
      </x:c>
      <x:c r="C1" s="14" t="s">
        <x:v>918</x:v>
      </x:c>
      <x:c r="D1" s="14" t="s">
        <x:v>2</x:v>
      </x:c>
      <x:c r="E1" s="14" t="s">
        <x:v>5</x:v>
      </x:c>
      <x:c r="F1" s="14" t="s">
        <x:v>6</x:v>
      </x:c>
      <x:c r="G1" s="14" t="s">
        <x:v>1103</x:v>
      </x:c>
      <x:c r="H1" s="14" t="s">
        <x:v>1104</x:v>
      </x:c>
      <x:c r="I1" s="14" t="s">
        <x:v>1105</x:v>
      </x:c>
      <x:c r="J1" s="14" t="s">
        <x:v>1106</x:v>
      </x:c>
    </x:row>
    <x:row r="2" ht="15" customHeight="1">
      <x:c r="A2" s="19">
        <x:v>1</x:v>
      </x:c>
      <x:c r="B2" s="19" t="s">
        <x:v>904</x:v>
      </x:c>
      <x:c r="C2" s="19" t="s">
        <x:v>919</x:v>
      </x:c>
      <x:c r="D2" s="19" t="s">
        <x:v>11</x:v>
      </x:c>
      <x:c r="E2" s="19" t="s">
        <x:v>14</x:v>
      </x:c>
      <x:c r="F2" s="19" t="s">
        <x:v>15</x:v>
      </x:c>
      <x:c r="G2" s="19" t="s">
        <x:v>975</x:v>
      </x:c>
      <x:c r="H2" s="28" t="s">
        <x:v>1045</x:v>
      </x:c>
      <x:c r="I2" s="19">
        <x:v>1</x:v>
      </x:c>
      <x:c r="J2" s="19">
        <x:v>1</x:v>
      </x:c>
    </x:row>
    <x:row r="3" ht="15" customHeight="1">
      <x:c r="A3" s="19">
        <x:v>2</x:v>
      </x:c>
      <x:c r="B3" s="19" t="s">
        <x:v>904</x:v>
      </x:c>
      <x:c r="C3" s="19" t="s">
        <x:v>919</x:v>
      </x:c>
      <x:c r="D3" s="19" t="s">
        <x:v>11</x:v>
      </x:c>
      <x:c r="E3" s="19" t="s">
        <x:v>14</x:v>
      </x:c>
      <x:c r="F3" s="19" t="s">
        <x:v>15</x:v>
      </x:c>
      <x:c r="G3" s="19" t="s">
        <x:v>978</x:v>
      </x:c>
      <x:c r="H3" s="28" t="s">
        <x:v>1042</x:v>
      </x:c>
      <x:c r="I3" s="19">
        <x:v>1</x:v>
      </x:c>
      <x:c r="J3" s="19">
        <x:v>1</x:v>
      </x:c>
    </x:row>
    <x:row r="4" ht="15" customHeight="1">
      <x:c r="A4" s="19">
        <x:v>3</x:v>
      </x:c>
      <x:c r="B4" s="19" t="s">
        <x:v>904</x:v>
      </x:c>
      <x:c r="C4" s="19" t="s">
        <x:v>919</x:v>
      </x:c>
      <x:c r="D4" s="19" t="s">
        <x:v>22</x:v>
      </x:c>
      <x:c r="E4" s="19" t="s">
        <x:v>14</x:v>
      </x:c>
      <x:c r="F4" s="19" t="s">
        <x:v>15</x:v>
      </x:c>
      <x:c r="G4" s="19" t="s">
        <x:v>977</x:v>
      </x:c>
      <x:c r="H4" s="28" t="s">
        <x:v>1042</x:v>
      </x:c>
      <x:c r="I4" s="19">
        <x:v>1</x:v>
      </x:c>
      <x:c r="J4" s="19">
        <x:v>1</x:v>
      </x:c>
    </x:row>
    <x:row r="5" ht="15" customHeight="1">
      <x:c r="A5" s="19">
        <x:v>4</x:v>
      </x:c>
      <x:c r="B5" s="19" t="s">
        <x:v>904</x:v>
      </x:c>
      <x:c r="C5" s="19" t="s">
        <x:v>919</x:v>
      </x:c>
      <x:c r="D5" s="19" t="s">
        <x:v>22</x:v>
      </x:c>
      <x:c r="E5" s="19" t="s">
        <x:v>14</x:v>
      </x:c>
      <x:c r="F5" s="19" t="s">
        <x:v>15</x:v>
      </x:c>
      <x:c r="G5" s="19" t="s">
        <x:v>978</x:v>
      </x:c>
      <x:c r="H5" s="28" t="s">
        <x:v>1042</x:v>
      </x:c>
      <x:c r="I5" s="19">
        <x:v>1</x:v>
      </x:c>
      <x:c r="J5" s="19">
        <x:v>1</x:v>
      </x:c>
    </x:row>
    <x:row r="6" ht="15" customHeight="1">
      <x:c r="A6" s="19">
        <x:v>5</x:v>
      </x:c>
      <x:c r="B6" s="19" t="s">
        <x:v>904</x:v>
      </x:c>
      <x:c r="C6" s="19" t="s">
        <x:v>919</x:v>
      </x:c>
      <x:c r="D6" s="19" t="s">
        <x:v>22</x:v>
      </x:c>
      <x:c r="E6" s="19" t="s">
        <x:v>14</x:v>
      </x:c>
      <x:c r="F6" s="19" t="s">
        <x:v>15</x:v>
      </x:c>
      <x:c r="G6" s="19" t="s">
        <x:v>977</x:v>
      </x:c>
      <x:c r="H6" s="28" t="s">
        <x:v>1042</x:v>
      </x:c>
      <x:c r="I6" s="19">
        <x:v>1</x:v>
      </x:c>
      <x:c r="J6" s="19">
        <x:v>1</x:v>
      </x:c>
    </x:row>
    <x:row r="7" ht="26.25" customHeight="1">
      <x:c r="A7" s="19">
        <x:v>6</x:v>
      </x:c>
      <x:c r="B7" s="19" t="s">
        <x:v>904</x:v>
      </x:c>
      <x:c r="C7" s="19" t="s">
        <x:v>919</x:v>
      </x:c>
      <x:c r="D7" s="19" t="s">
        <x:v>22</x:v>
      </x:c>
      <x:c r="E7" s="19" t="s">
        <x:v>14</x:v>
      </x:c>
      <x:c r="F7" s="19" t="s">
        <x:v>15</x:v>
      </x:c>
      <x:c r="G7" s="19" t="s">
        <x:v>977</x:v>
      </x:c>
      <x:c r="H7" s="19" t="s">
        <x:v>969</x:v>
      </x:c>
      <x:c r="I7" s="19">
        <x:v>1</x:v>
      </x:c>
      <x:c r="J7" s="19">
        <x:v>1</x:v>
      </x:c>
    </x:row>
    <x:row r="8" ht="15" customHeight="1">
      <x:c r="A8" s="19">
        <x:v>7</x:v>
      </x:c>
      <x:c r="B8" s="19" t="s">
        <x:v>904</x:v>
      </x:c>
      <x:c r="C8" s="19" t="s">
        <x:v>919</x:v>
      </x:c>
      <x:c r="D8" s="19" t="s">
        <x:v>37</x:v>
      </x:c>
      <x:c r="E8" s="19" t="s">
        <x:v>14</x:v>
      </x:c>
      <x:c r="F8" s="19" t="s">
        <x:v>40</x:v>
      </x:c>
      <x:c r="G8" s="19" t="s">
        <x:v>977</x:v>
      </x:c>
      <x:c r="H8" s="28" t="s">
        <x:v>1041</x:v>
      </x:c>
      <x:c r="I8" s="19">
        <x:v>1</x:v>
      </x:c>
      <x:c r="J8" s="19">
        <x:v>1</x:v>
      </x:c>
    </x:row>
    <x:row r="9" ht="15" customHeight="1">
      <x:c r="A9" s="19">
        <x:v>8</x:v>
      </x:c>
      <x:c r="B9" s="19" t="s">
        <x:v>904</x:v>
      </x:c>
      <x:c r="C9" s="19" t="s">
        <x:v>919</x:v>
      </x:c>
      <x:c r="D9" s="19" t="s">
        <x:v>37</x:v>
      </x:c>
      <x:c r="E9" s="19" t="s">
        <x:v>14</x:v>
      </x:c>
      <x:c r="F9" s="19" t="s">
        <x:v>15</x:v>
      </x:c>
      <x:c r="G9" s="19" t="s">
        <x:v>989</x:v>
      </x:c>
      <x:c r="H9" s="28" t="s">
        <x:v>1107</x:v>
      </x:c>
      <x:c r="I9" s="19">
        <x:v>1</x:v>
      </x:c>
      <x:c r="J9" s="19">
        <x:v>1</x:v>
      </x:c>
    </x:row>
    <x:row r="10" ht="15" customHeight="1">
      <x:c r="A10" s="19">
        <x:v>9</x:v>
      </x:c>
      <x:c r="B10" s="19" t="s">
        <x:v>904</x:v>
      </x:c>
      <x:c r="C10" s="19" t="s">
        <x:v>919</x:v>
      </x:c>
      <x:c r="D10" s="19" t="s">
        <x:v>37</x:v>
      </x:c>
      <x:c r="E10" s="19" t="s">
        <x:v>14</x:v>
      </x:c>
      <x:c r="F10" s="19" t="s">
        <x:v>40</x:v>
      </x:c>
      <x:c r="G10" s="19" t="s">
        <x:v>977</x:v>
      </x:c>
      <x:c r="H10" s="28" t="s">
        <x:v>1042</x:v>
      </x:c>
      <x:c r="I10" s="19">
        <x:v>1</x:v>
      </x:c>
      <x:c r="J10" s="19">
        <x:v>1</x:v>
      </x:c>
    </x:row>
    <x:row r="11" ht="26.25" customHeight="1">
      <x:c r="A11" s="19">
        <x:v>10</x:v>
      </x:c>
      <x:c r="B11" s="19" t="s">
        <x:v>904</x:v>
      </x:c>
      <x:c r="C11" s="19" t="s">
        <x:v>919</x:v>
      </x:c>
      <x:c r="D11" s="19" t="s">
        <x:v>37</x:v>
      </x:c>
      <x:c r="E11" s="19" t="s">
        <x:v>14</x:v>
      </x:c>
      <x:c r="F11" s="19" t="s">
        <x:v>15</x:v>
      </x:c>
      <x:c r="G11" s="19" t="s">
        <x:v>990</x:v>
      </x:c>
      <x:c r="H11" s="19" t="s">
        <x:v>969</x:v>
      </x:c>
      <x:c r="I11" s="19">
        <x:v>1</x:v>
      </x:c>
      <x:c r="J11" s="19">
        <x:v>1</x:v>
      </x:c>
    </x:row>
    <x:row r="12" ht="15" customHeight="1">
      <x:c r="A12" s="19">
        <x:v>11</x:v>
      </x:c>
      <x:c r="B12" s="19" t="s">
        <x:v>904</x:v>
      </x:c>
      <x:c r="C12" s="19" t="s">
        <x:v>919</x:v>
      </x:c>
      <x:c r="D12" s="19" t="s">
        <x:v>37</x:v>
      </x:c>
      <x:c r="E12" s="19" t="s">
        <x:v>14</x:v>
      </x:c>
      <x:c r="F12" s="19" t="s">
        <x:v>15</x:v>
      </x:c>
      <x:c r="G12" s="19" t="s">
        <x:v>966</x:v>
      </x:c>
      <x:c r="H12" s="28" t="s">
        <x:v>1041</x:v>
      </x:c>
      <x:c r="I12" s="19">
        <x:v>1</x:v>
      </x:c>
      <x:c r="J12" s="19">
        <x:v>1</x:v>
      </x:c>
    </x:row>
    <x:row r="13" ht="15" customHeight="1">
      <x:c r="A13" s="19">
        <x:v>12</x:v>
      </x:c>
      <x:c r="B13" s="19" t="s">
        <x:v>904</x:v>
      </x:c>
      <x:c r="C13" s="19" t="s">
        <x:v>919</x:v>
      </x:c>
      <x:c r="D13" s="19" t="s">
        <x:v>37</x:v>
      </x:c>
      <x:c r="E13" s="19" t="s">
        <x:v>14</x:v>
      </x:c>
      <x:c r="F13" s="19" t="s">
        <x:v>15</x:v>
      </x:c>
      <x:c r="G13" s="19" t="s">
        <x:v>966</x:v>
      </x:c>
      <x:c r="H13" s="28" t="s">
        <x:v>1041</x:v>
      </x:c>
      <x:c r="I13" s="19">
        <x:v>1</x:v>
      </x:c>
      <x:c r="J13" s="19">
        <x:v>1</x:v>
      </x:c>
    </x:row>
    <x:row r="14" ht="26.25" customHeight="1">
      <x:c r="A14" s="19">
        <x:v>13</x:v>
      </x:c>
      <x:c r="B14" s="19" t="s">
        <x:v>904</x:v>
      </x:c>
      <x:c r="C14" s="19" t="s">
        <x:v>919</x:v>
      </x:c>
      <x:c r="D14" s="19" t="s">
        <x:v>62</x:v>
      </x:c>
      <x:c r="E14" s="19" t="s">
        <x:v>14</x:v>
      </x:c>
      <x:c r="F14" s="19" t="s">
        <x:v>15</x:v>
      </x:c>
      <x:c r="G14" s="19" t="s">
        <x:v>966</x:v>
      </x:c>
      <x:c r="H14" s="19" t="s">
        <x:v>969</x:v>
      </x:c>
      <x:c r="I14" s="19">
        <x:v>1</x:v>
      </x:c>
      <x:c r="J14" s="19">
        <x:v>1</x:v>
      </x:c>
    </x:row>
    <x:row r="15" ht="15" customHeight="1">
      <x:c r="A15" s="19">
        <x:v>14</x:v>
      </x:c>
      <x:c r="B15" s="19" t="s">
        <x:v>904</x:v>
      </x:c>
      <x:c r="C15" s="19" t="s">
        <x:v>919</x:v>
      </x:c>
      <x:c r="D15" s="19" t="s">
        <x:v>62</x:v>
      </x:c>
      <x:c r="E15" s="19" t="s">
        <x:v>14</x:v>
      </x:c>
      <x:c r="F15" s="19" t="s">
        <x:v>15</x:v>
      </x:c>
      <x:c r="G15" s="19" t="s">
        <x:v>966</x:v>
      </x:c>
      <x:c r="H15" s="28" t="s">
        <x:v>1052</x:v>
      </x:c>
      <x:c r="I15" s="19">
        <x:v>1</x:v>
      </x:c>
      <x:c r="J15" s="19">
        <x:v>1</x:v>
      </x:c>
    </x:row>
    <x:row r="16" ht="15" customHeight="1">
      <x:c r="A16" s="19">
        <x:v>15</x:v>
      </x:c>
      <x:c r="B16" s="19" t="s">
        <x:v>904</x:v>
      </x:c>
      <x:c r="C16" s="19" t="s">
        <x:v>919</x:v>
      </x:c>
      <x:c r="D16" s="19" t="s">
        <x:v>62</x:v>
      </x:c>
      <x:c r="E16" s="19" t="s">
        <x:v>14</x:v>
      </x:c>
      <x:c r="F16" s="19" t="s">
        <x:v>15</x:v>
      </x:c>
      <x:c r="G16" s="19" t="s">
        <x:v>977</x:v>
      </x:c>
      <x:c r="H16" s="28" t="s">
        <x:v>1042</x:v>
      </x:c>
      <x:c r="I16" s="19">
        <x:v>1</x:v>
      </x:c>
      <x:c r="J16" s="19">
        <x:v>1</x:v>
      </x:c>
    </x:row>
    <x:row r="17" ht="15" customHeight="1">
      <x:c r="A17" s="19">
        <x:v>16</x:v>
      </x:c>
      <x:c r="B17" s="19" t="s">
        <x:v>904</x:v>
      </x:c>
      <x:c r="C17" s="19" t="s">
        <x:v>919</x:v>
      </x:c>
      <x:c r="D17" s="19" t="s">
        <x:v>62</x:v>
      </x:c>
      <x:c r="E17" s="19" t="s">
        <x:v>14</x:v>
      </x:c>
      <x:c r="F17" s="19" t="s">
        <x:v>15</x:v>
      </x:c>
      <x:c r="G17" s="19" t="s">
        <x:v>966</x:v>
      </x:c>
      <x:c r="H17" s="28" t="s">
        <x:v>1042</x:v>
      </x:c>
      <x:c r="I17" s="19">
        <x:v>1</x:v>
      </x:c>
      <x:c r="J17" s="19">
        <x:v>1</x:v>
      </x:c>
    </x:row>
    <x:row r="18" ht="15" customHeight="1">
      <x:c r="A18" s="19">
        <x:v>17</x:v>
      </x:c>
      <x:c r="B18" s="19" t="s">
        <x:v>904</x:v>
      </x:c>
      <x:c r="C18" s="19" t="s">
        <x:v>919</x:v>
      </x:c>
      <x:c r="D18" s="19" t="s">
        <x:v>62</x:v>
      </x:c>
      <x:c r="E18" s="19" t="s">
        <x:v>14</x:v>
      </x:c>
      <x:c r="F18" s="19" t="s">
        <x:v>15</x:v>
      </x:c>
      <x:c r="G18" s="19" t="s">
        <x:v>977</x:v>
      </x:c>
      <x:c r="H18" s="28" t="s">
        <x:v>1041</x:v>
      </x:c>
      <x:c r="I18" s="19">
        <x:v>1</x:v>
      </x:c>
      <x:c r="J18" s="19">
        <x:v>1</x:v>
      </x:c>
    </x:row>
    <x:row r="19" ht="15" customHeight="1">
      <x:c r="A19" s="19">
        <x:v>18</x:v>
      </x:c>
      <x:c r="B19" s="19" t="s">
        <x:v>904</x:v>
      </x:c>
      <x:c r="C19" s="19" t="s">
        <x:v>919</x:v>
      </x:c>
      <x:c r="D19" s="19" t="s">
        <x:v>37</x:v>
      </x:c>
      <x:c r="E19" s="19" t="s">
        <x:v>84</x:v>
      </x:c>
      <x:c r="F19" s="19" t="s">
        <x:v>40</x:v>
      </x:c>
      <x:c r="G19" s="19" t="s">
        <x:v>977</x:v>
      </x:c>
      <x:c r="H19" s="28" t="s">
        <x:v>1055</x:v>
      </x:c>
      <x:c r="I19" s="19">
        <x:v>1</x:v>
      </x:c>
      <x:c r="J19" s="19">
        <x:v>1</x:v>
      </x:c>
    </x:row>
    <x:row r="20" ht="15" customHeight="1">
      <x:c r="A20" s="19">
        <x:v>19</x:v>
      </x:c>
      <x:c r="B20" s="19" t="s">
        <x:v>904</x:v>
      </x:c>
      <x:c r="C20" s="19" t="s">
        <x:v>919</x:v>
      </x:c>
      <x:c r="D20" s="19" t="s">
        <x:v>62</x:v>
      </x:c>
      <x:c r="E20" s="19" t="s">
        <x:v>89</x:v>
      </x:c>
      <x:c r="F20" s="19" t="s">
        <x:v>15</x:v>
      </x:c>
      <x:c r="G20" s="19" t="s">
        <x:v>977</x:v>
      </x:c>
      <x:c r="H20" s="28" t="s">
        <x:v>1042</x:v>
      </x:c>
      <x:c r="I20" s="19">
        <x:v>1</x:v>
      </x:c>
      <x:c r="J20" s="19">
        <x:v>1</x:v>
      </x:c>
    </x:row>
    <x:row r="21" ht="15" customHeight="1">
      <x:c r="A21" s="19">
        <x:v>20</x:v>
      </x:c>
      <x:c r="B21" s="19" t="s">
        <x:v>904</x:v>
      </x:c>
      <x:c r="C21" s="19" t="s">
        <x:v>919</x:v>
      </x:c>
      <x:c r="D21" s="19" t="s">
        <x:v>92</x:v>
      </x:c>
      <x:c r="E21" s="19" t="s">
        <x:v>95</x:v>
      </x:c>
      <x:c r="F21" s="19" t="s">
        <x:v>15</x:v>
      </x:c>
      <x:c r="G21" s="19" t="s">
        <x:v>966</x:v>
      </x:c>
      <x:c r="H21" s="28" t="s">
        <x:v>1041</x:v>
      </x:c>
      <x:c r="I21" s="19">
        <x:v>1</x:v>
      </x:c>
      <x:c r="J21" s="19">
        <x:v>1</x:v>
      </x:c>
    </x:row>
    <x:row r="22" ht="15" customHeight="1">
      <x:c r="A22" s="19">
        <x:v>21</x:v>
      </x:c>
      <x:c r="B22" s="19" t="s">
        <x:v>904</x:v>
      </x:c>
      <x:c r="C22" s="19" t="s">
        <x:v>919</x:v>
      </x:c>
      <x:c r="D22" s="19" t="s">
        <x:v>37</x:v>
      </x:c>
      <x:c r="E22" s="19" t="s">
        <x:v>95</x:v>
      </x:c>
      <x:c r="F22" s="19" t="s">
        <x:v>99</x:v>
      </x:c>
      <x:c r="G22" s="19" t="s">
        <x:v>977</x:v>
      </x:c>
      <x:c r="H22" s="28" t="s">
        <x:v>1042</x:v>
      </x:c>
      <x:c r="I22" s="19">
        <x:v>1</x:v>
      </x:c>
      <x:c r="J22" s="19">
        <x:v>1</x:v>
      </x:c>
    </x:row>
    <x:row r="23" ht="15" customHeight="1">
      <x:c r="A23" s="19">
        <x:v>22</x:v>
      </x:c>
      <x:c r="B23" s="19" t="s">
        <x:v>904</x:v>
      </x:c>
      <x:c r="C23" s="19" t="s">
        <x:v>919</x:v>
      </x:c>
      <x:c r="D23" s="19" t="s">
        <x:v>37</x:v>
      </x:c>
      <x:c r="E23" s="19" t="s">
        <x:v>95</x:v>
      </x:c>
      <x:c r="F23" s="19" t="s">
        <x:v>15</x:v>
      </x:c>
      <x:c r="G23" s="19" t="s">
        <x:v>968</x:v>
      </x:c>
      <x:c r="H23" s="28" t="s">
        <x:v>1043</x:v>
      </x:c>
      <x:c r="I23" s="19">
        <x:v>1</x:v>
      </x:c>
      <x:c r="J23" s="19">
        <x:v>1</x:v>
      </x:c>
    </x:row>
    <x:row r="24" ht="15" customHeight="1">
      <x:c r="A24" s="19">
        <x:v>23</x:v>
      </x:c>
      <x:c r="B24" s="19" t="s">
        <x:v>904</x:v>
      </x:c>
      <x:c r="C24" s="19" t="s">
        <x:v>919</x:v>
      </x:c>
      <x:c r="D24" s="19" t="s">
        <x:v>62</x:v>
      </x:c>
      <x:c r="E24" s="19" t="s">
        <x:v>14</x:v>
      </x:c>
      <x:c r="F24" s="19" t="s">
        <x:v>15</x:v>
      </x:c>
      <x:c r="G24" s="19" t="s">
        <x:v>981</x:v>
      </x:c>
      <x:c r="H24" s="28" t="s">
        <x:v>1108</x:v>
      </x:c>
      <x:c r="I24" s="19">
        <x:v>1</x:v>
      </x:c>
      <x:c r="J24" s="19">
        <x:v>1</x:v>
      </x:c>
    </x:row>
    <x:row r="25" ht="15" customHeight="1">
      <x:c r="A25" s="19">
        <x:v>23</x:v>
      </x:c>
      <x:c r="B25" s="19" t="s">
        <x:v>904</x:v>
      </x:c>
      <x:c r="C25" s="19" t="s">
        <x:v>919</x:v>
      </x:c>
      <x:c r="D25" s="19" t="s">
        <x:v>62</x:v>
      </x:c>
      <x:c r="E25" s="19" t="s">
        <x:v>95</x:v>
      </x:c>
      <x:c r="F25" s="19" t="s">
        <x:v>15</x:v>
      </x:c>
      <x:c r="G25" s="19" t="s">
        <x:v>981</x:v>
      </x:c>
      <x:c r="H25" s="28" t="s">
        <x:v>1108</x:v>
      </x:c>
      <x:c r="I25" s="19">
        <x:v>0</x:v>
      </x:c>
      <x:c r="J25" s="19">
        <x:v>1</x:v>
      </x:c>
    </x:row>
    <x:row r="26" ht="15" customHeight="1">
      <x:c r="A26" s="19">
        <x:v>24</x:v>
      </x:c>
      <x:c r="B26" s="19" t="s">
        <x:v>904</x:v>
      </x:c>
      <x:c r="C26" s="19" t="s">
        <x:v>919</x:v>
      </x:c>
      <x:c r="D26" s="19" t="s">
        <x:v>22</x:v>
      </x:c>
      <x:c r="E26" s="19" t="s">
        <x:v>111</x:v>
      </x:c>
      <x:c r="F26" s="19" t="s">
        <x:v>15</x:v>
      </x:c>
      <x:c r="G26" s="19" t="s">
        <x:v>966</x:v>
      </x:c>
      <x:c r="H26" s="28" t="s">
        <x:v>1042</x:v>
      </x:c>
      <x:c r="I26" s="19">
        <x:v>1</x:v>
      </x:c>
      <x:c r="J26" s="19">
        <x:v>0</x:v>
      </x:c>
    </x:row>
    <x:row r="27" ht="26.25" customHeight="1">
      <x:c r="A27" s="19">
        <x:v>25</x:v>
      </x:c>
      <x:c r="B27" s="19" t="s">
        <x:v>904</x:v>
      </x:c>
      <x:c r="C27" s="19" t="s">
        <x:v>919</x:v>
      </x:c>
      <x:c r="D27" s="19" t="s">
        <x:v>22</x:v>
      </x:c>
      <x:c r="E27" s="19" t="s">
        <x:v>116</x:v>
      </x:c>
      <x:c r="F27" s="19" t="s">
        <x:v>15</x:v>
      </x:c>
      <x:c r="G27" s="19" t="s">
        <x:v>988</x:v>
      </x:c>
      <x:c r="H27" s="19" t="s">
        <x:v>969</x:v>
      </x:c>
      <x:c r="I27" s="19">
        <x:v>1</x:v>
      </x:c>
      <x:c r="J27" s="19">
        <x:v>0</x:v>
      </x:c>
    </x:row>
    <x:row r="28" ht="15" customHeight="1">
      <x:c r="A28" s="19">
        <x:v>26</x:v>
      </x:c>
      <x:c r="B28" s="19" t="s">
        <x:v>904</x:v>
      </x:c>
      <x:c r="C28" s="19" t="s">
        <x:v>927</x:v>
      </x:c>
      <x:c r="D28" s="19" t="s">
        <x:v>92</x:v>
      </x:c>
      <x:c r="E28" s="19" t="s">
        <x:v>14</x:v>
      </x:c>
      <x:c r="F28" s="19" t="s">
        <x:v>15</x:v>
      </x:c>
      <x:c r="G28" s="19" t="s">
        <x:v>967</x:v>
      </x:c>
      <x:c r="H28" s="28" t="s">
        <x:v>1040</x:v>
      </x:c>
      <x:c r="I28" s="19">
        <x:v>1</x:v>
      </x:c>
      <x:c r="J28" s="19">
        <x:v>1</x:v>
      </x:c>
    </x:row>
    <x:row r="29" ht="15" customHeight="1">
      <x:c r="A29" s="19">
        <x:v>27</x:v>
      </x:c>
      <x:c r="B29" s="19" t="s">
        <x:v>904</x:v>
      </x:c>
      <x:c r="C29" s="19" t="s">
        <x:v>927</x:v>
      </x:c>
      <x:c r="D29" s="19" t="s">
        <x:v>37</x:v>
      </x:c>
      <x:c r="E29" s="19" t="s">
        <x:v>14</x:v>
      </x:c>
      <x:c r="F29" s="19" t="s">
        <x:v>15</x:v>
      </x:c>
      <x:c r="G29" s="19" t="s">
        <x:v>966</x:v>
      </x:c>
      <x:c r="H29" s="28" t="s">
        <x:v>1041</x:v>
      </x:c>
      <x:c r="I29" s="19">
        <x:v>1</x:v>
      </x:c>
      <x:c r="J29" s="19">
        <x:v>1</x:v>
      </x:c>
    </x:row>
    <x:row r="30" ht="26.25" customHeight="1">
      <x:c r="A30" s="19">
        <x:v>28</x:v>
      </x:c>
      <x:c r="B30" s="19" t="s">
        <x:v>904</x:v>
      </x:c>
      <x:c r="C30" s="19" t="s">
        <x:v>927</x:v>
      </x:c>
      <x:c r="D30" s="19" t="s">
        <x:v>62</x:v>
      </x:c>
      <x:c r="E30" s="19" t="s">
        <x:v>14</x:v>
      </x:c>
      <x:c r="F30" s="19" t="s">
        <x:v>15</x:v>
      </x:c>
      <x:c r="G30" s="19" t="s">
        <x:v>965</x:v>
      </x:c>
      <x:c r="H30" s="19" t="s">
        <x:v>969</x:v>
      </x:c>
      <x:c r="I30" s="19">
        <x:v>1</x:v>
      </x:c>
      <x:c r="J30" s="19">
        <x:v>1</x:v>
      </x:c>
    </x:row>
    <x:row r="31" ht="26.25" customHeight="1">
      <x:c r="A31" s="19">
        <x:v>29</x:v>
      </x:c>
      <x:c r="B31" s="19" t="s">
        <x:v>904</x:v>
      </x:c>
      <x:c r="C31" s="19" t="s">
        <x:v>928</x:v>
      </x:c>
      <x:c r="D31" s="19" t="s">
        <x:v>11</x:v>
      </x:c>
      <x:c r="E31" s="19" t="s">
        <x:v>14</x:v>
      </x:c>
      <x:c r="F31" s="19" t="s">
        <x:v>15</x:v>
      </x:c>
      <x:c r="G31" s="19" t="s">
        <x:v>968</x:v>
      </x:c>
      <x:c r="H31" s="28" t="s">
        <x:v>1043</x:v>
      </x:c>
      <x:c r="I31" s="19">
        <x:v>1</x:v>
      </x:c>
      <x:c r="J31" s="19">
        <x:v>1</x:v>
      </x:c>
    </x:row>
    <x:row r="32" ht="26.25" customHeight="1">
      <x:c r="A32" s="19">
        <x:v>30</x:v>
      </x:c>
      <x:c r="B32" s="19" t="s">
        <x:v>904</x:v>
      </x:c>
      <x:c r="C32" s="19" t="s">
        <x:v>928</x:v>
      </x:c>
      <x:c r="D32" s="19" t="s">
        <x:v>11</x:v>
      </x:c>
      <x:c r="E32" s="19" t="s">
        <x:v>14</x:v>
      </x:c>
      <x:c r="F32" s="19" t="s">
        <x:v>15</x:v>
      </x:c>
      <x:c r="G32" s="19" t="s">
        <x:v>980</x:v>
      </x:c>
      <x:c r="H32" s="28" t="s">
        <x:v>1047</x:v>
      </x:c>
      <x:c r="I32" s="19">
        <x:v>1</x:v>
      </x:c>
      <x:c r="J32" s="19">
        <x:v>1</x:v>
      </x:c>
    </x:row>
    <x:row r="33" ht="15" customHeight="1">
      <x:c r="A33" s="19">
        <x:v>31</x:v>
      </x:c>
      <x:c r="B33" s="19" t="s">
        <x:v>904</x:v>
      </x:c>
      <x:c r="C33" s="19" t="s">
        <x:v>920</x:v>
      </x:c>
      <x:c r="D33" s="19" t="s">
        <x:v>11</x:v>
      </x:c>
      <x:c r="E33" s="19" t="s">
        <x:v>14</x:v>
      </x:c>
      <x:c r="F33" s="19" t="s">
        <x:v>15</x:v>
      </x:c>
      <x:c r="G33" s="19" t="s">
        <x:v>992</x:v>
      </x:c>
      <x:c r="H33" s="28" t="s">
        <x:v>1041</x:v>
      </x:c>
      <x:c r="I33" s="19">
        <x:v>1</x:v>
      </x:c>
      <x:c r="J33" s="19">
        <x:v>1</x:v>
      </x:c>
    </x:row>
    <x:row r="34" ht="26.25" customHeight="1">
      <x:c r="A34" s="19">
        <x:v>32</x:v>
      </x:c>
      <x:c r="B34" s="19" t="s">
        <x:v>904</x:v>
      </x:c>
      <x:c r="C34" s="19" t="s">
        <x:v>925</x:v>
      </x:c>
      <x:c r="D34" s="19" t="s">
        <x:v>92</x:v>
      </x:c>
      <x:c r="E34" s="19" t="s">
        <x:v>14</x:v>
      </x:c>
      <x:c r="F34" s="19" t="s">
        <x:v>15</x:v>
      </x:c>
      <x:c r="G34" s="19" t="s">
        <x:v>999</x:v>
      </x:c>
      <x:c r="H34" s="28" t="s">
        <x:v>1042</x:v>
      </x:c>
      <x:c r="I34" s="19">
        <x:v>1</x:v>
      </x:c>
      <x:c r="J34" s="19">
        <x:v>1</x:v>
      </x:c>
    </x:row>
    <x:row r="35" ht="15" customHeight="1">
      <x:c r="A35" s="19">
        <x:v>33</x:v>
      </x:c>
      <x:c r="B35" s="19" t="s">
        <x:v>904</x:v>
      </x:c>
      <x:c r="C35" s="19" t="s">
        <x:v>920</x:v>
      </x:c>
      <x:c r="D35" s="19" t="s">
        <x:v>92</x:v>
      </x:c>
      <x:c r="E35" s="19" t="s">
        <x:v>14</x:v>
      </x:c>
      <x:c r="F35" s="19" t="s">
        <x:v>15</x:v>
      </x:c>
      <x:c r="G35" s="19" t="s">
        <x:v>966</x:v>
      </x:c>
      <x:c r="H35" s="28" t="s">
        <x:v>1042</x:v>
      </x:c>
      <x:c r="I35" s="19">
        <x:v>1</x:v>
      </x:c>
      <x:c r="J35" s="19">
        <x:v>1</x:v>
      </x:c>
    </x:row>
    <x:row r="36" ht="26.25" customHeight="1">
      <x:c r="A36" s="19">
        <x:v>34</x:v>
      </x:c>
      <x:c r="B36" s="19" t="s">
        <x:v>904</x:v>
      </x:c>
      <x:c r="C36" s="19" t="s">
        <x:v>925</x:v>
      </x:c>
      <x:c r="D36" s="19" t="s">
        <x:v>22</x:v>
      </x:c>
      <x:c r="E36" s="19" t="s">
        <x:v>14</x:v>
      </x:c>
      <x:c r="F36" s="19" t="s">
        <x:v>15</x:v>
      </x:c>
      <x:c r="G36" s="19" t="s">
        <x:v>1001</x:v>
      </x:c>
      <x:c r="H36" s="28" t="s">
        <x:v>1041</x:v>
      </x:c>
      <x:c r="I36" s="19">
        <x:v>1</x:v>
      </x:c>
      <x:c r="J36" s="19">
        <x:v>1</x:v>
      </x:c>
    </x:row>
    <x:row r="37" ht="15" customHeight="1">
      <x:c r="A37" s="19">
        <x:v>35</x:v>
      </x:c>
      <x:c r="B37" s="19" t="s">
        <x:v>904</x:v>
      </x:c>
      <x:c r="C37" s="19" t="s">
        <x:v>920</x:v>
      </x:c>
      <x:c r="D37" s="19" t="s">
        <x:v>37</x:v>
      </x:c>
      <x:c r="E37" s="19" t="s">
        <x:v>14</x:v>
      </x:c>
      <x:c r="F37" s="19" t="s">
        <x:v>15</x:v>
      </x:c>
      <x:c r="G37" s="19" t="s">
        <x:v>996</x:v>
      </x:c>
      <x:c r="H37" s="28" t="s">
        <x:v>1061</x:v>
      </x:c>
      <x:c r="I37" s="19">
        <x:v>1</x:v>
      </x:c>
      <x:c r="J37" s="19">
        <x:v>1</x:v>
      </x:c>
    </x:row>
    <x:row r="38" ht="15" customHeight="1">
      <x:c r="A38" s="19">
        <x:v>36</x:v>
      </x:c>
      <x:c r="B38" s="19" t="s">
        <x:v>904</x:v>
      </x:c>
      <x:c r="C38" s="19" t="s">
        <x:v>920</x:v>
      </x:c>
      <x:c r="D38" s="19" t="s">
        <x:v>37</x:v>
      </x:c>
      <x:c r="E38" s="19" t="s">
        <x:v>14</x:v>
      </x:c>
      <x:c r="F38" s="19" t="s">
        <x:v>15</x:v>
      </x:c>
      <x:c r="G38" s="19" t="s">
        <x:v>979</x:v>
      </x:c>
      <x:c r="H38" s="28" t="s">
        <x:v>1043</x:v>
      </x:c>
      <x:c r="I38" s="19">
        <x:v>1</x:v>
      </x:c>
      <x:c r="J38" s="19">
        <x:v>1</x:v>
      </x:c>
    </x:row>
    <x:row r="39" ht="26.25" customHeight="1">
      <x:c r="A39" s="19">
        <x:v>37</x:v>
      </x:c>
      <x:c r="B39" s="19" t="s">
        <x:v>904</x:v>
      </x:c>
      <x:c r="C39" s="19" t="s">
        <x:v>925</x:v>
      </x:c>
      <x:c r="D39" s="19" t="s">
        <x:v>37</x:v>
      </x:c>
      <x:c r="E39" s="19" t="s">
        <x:v>14</x:v>
      </x:c>
      <x:c r="F39" s="19" t="s">
        <x:v>15</x:v>
      </x:c>
      <x:c r="G39" s="19" t="s">
        <x:v>966</x:v>
      </x:c>
      <x:c r="H39" s="28" t="s">
        <x:v>1041</x:v>
      </x:c>
      <x:c r="I39" s="19">
        <x:v>1</x:v>
      </x:c>
      <x:c r="J39" s="19">
        <x:v>1</x:v>
      </x:c>
    </x:row>
    <x:row r="40" ht="15" customHeight="1">
      <x:c r="A40" s="19">
        <x:v>38</x:v>
      </x:c>
      <x:c r="B40" s="19" t="s">
        <x:v>904</x:v>
      </x:c>
      <x:c r="C40" s="19" t="s">
        <x:v>926</x:v>
      </x:c>
      <x:c r="D40" s="19" t="s">
        <x:v>37</x:v>
      </x:c>
      <x:c r="E40" s="19" t="s">
        <x:v>14</x:v>
      </x:c>
      <x:c r="F40" s="19" t="s">
        <x:v>15</x:v>
      </x:c>
      <x:c r="G40" s="19" t="s">
        <x:v>977</x:v>
      </x:c>
      <x:c r="H40" s="28" t="s">
        <x:v>1042</x:v>
      </x:c>
      <x:c r="I40" s="19">
        <x:v>1</x:v>
      </x:c>
      <x:c r="J40" s="19">
        <x:v>1</x:v>
      </x:c>
    </x:row>
    <x:row r="41" ht="26.25" customHeight="1">
      <x:c r="A41" s="19">
        <x:v>39</x:v>
      </x:c>
      <x:c r="B41" s="19" t="s">
        <x:v>904</x:v>
      </x:c>
      <x:c r="C41" s="19" t="s">
        <x:v>925</x:v>
      </x:c>
      <x:c r="D41" s="19" t="s">
        <x:v>37</x:v>
      </x:c>
      <x:c r="E41" s="19" t="s">
        <x:v>14</x:v>
      </x:c>
      <x:c r="F41" s="19" t="s">
        <x:v>15</x:v>
      </x:c>
      <x:c r="G41" s="19" t="s">
        <x:v>1000</x:v>
      </x:c>
      <x:c r="H41" s="28" t="s">
        <x:v>1064</x:v>
      </x:c>
      <x:c r="I41" s="19">
        <x:v>1</x:v>
      </x:c>
      <x:c r="J41" s="19">
        <x:v>1</x:v>
      </x:c>
    </x:row>
    <x:row r="42" ht="15" customHeight="1">
      <x:c r="A42" s="19">
        <x:v>40</x:v>
      </x:c>
      <x:c r="B42" s="19" t="s">
        <x:v>904</x:v>
      </x:c>
      <x:c r="C42" s="19" t="s">
        <x:v>926</x:v>
      </x:c>
      <x:c r="D42" s="19" t="s">
        <x:v>37</x:v>
      </x:c>
      <x:c r="E42" s="19" t="s">
        <x:v>14</x:v>
      </x:c>
      <x:c r="F42" s="19" t="s">
        <x:v>15</x:v>
      </x:c>
      <x:c r="G42" s="19" t="s">
        <x:v>966</x:v>
      </x:c>
      <x:c r="H42" s="28" t="s">
        <x:v>1042</x:v>
      </x:c>
      <x:c r="I42" s="19">
        <x:v>1</x:v>
      </x:c>
      <x:c r="J42" s="19">
        <x:v>1</x:v>
      </x:c>
    </x:row>
    <x:row r="43" ht="15" customHeight="1">
      <x:c r="A43" s="19">
        <x:v>41</x:v>
      </x:c>
      <x:c r="B43" s="19" t="s">
        <x:v>904</x:v>
      </x:c>
      <x:c r="C43" s="19" t="s">
        <x:v>926</x:v>
      </x:c>
      <x:c r="D43" s="19" t="s">
        <x:v>37</x:v>
      </x:c>
      <x:c r="E43" s="19" t="s">
        <x:v>14</x:v>
      </x:c>
      <x:c r="F43" s="19" t="s">
        <x:v>15</x:v>
      </x:c>
      <x:c r="G43" s="19" t="s">
        <x:v>998</x:v>
      </x:c>
      <x:c r="H43" s="28" t="s">
        <x:v>1042</x:v>
      </x:c>
      <x:c r="I43" s="19">
        <x:v>1</x:v>
      </x:c>
      <x:c r="J43" s="19">
        <x:v>1</x:v>
      </x:c>
    </x:row>
    <x:row r="44" ht="15" customHeight="1">
      <x:c r="A44" s="19">
        <x:v>42</x:v>
      </x:c>
      <x:c r="B44" s="19" t="s">
        <x:v>904</x:v>
      </x:c>
      <x:c r="C44" s="19" t="s">
        <x:v>920</x:v>
      </x:c>
      <x:c r="D44" s="19" t="s">
        <x:v>37</x:v>
      </x:c>
      <x:c r="E44" s="19" t="s">
        <x:v>14</x:v>
      </x:c>
      <x:c r="F44" s="19" t="s">
        <x:v>99</x:v>
      </x:c>
      <x:c r="G44" s="19" t="s">
        <x:v>977</x:v>
      </x:c>
      <x:c r="H44" s="28" t="s">
        <x:v>1042</x:v>
      </x:c>
      <x:c r="I44" s="19">
        <x:v>1</x:v>
      </x:c>
      <x:c r="J44" s="19">
        <x:v>1</x:v>
      </x:c>
    </x:row>
    <x:row r="45" ht="15" customHeight="1">
      <x:c r="A45" s="19">
        <x:v>43</x:v>
      </x:c>
      <x:c r="B45" s="19" t="s">
        <x:v>904</x:v>
      </x:c>
      <x:c r="C45" s="19" t="s">
        <x:v>920</x:v>
      </x:c>
      <x:c r="D45" s="19" t="s">
        <x:v>37</x:v>
      </x:c>
      <x:c r="E45" s="19" t="s">
        <x:v>14</x:v>
      </x:c>
      <x:c r="F45" s="19" t="s">
        <x:v>15</x:v>
      </x:c>
      <x:c r="G45" s="19" t="s">
        <x:v>977</x:v>
      </x:c>
      <x:c r="H45" s="28" t="s">
        <x:v>1043</x:v>
      </x:c>
      <x:c r="I45" s="19">
        <x:v>1</x:v>
      </x:c>
      <x:c r="J45" s="19">
        <x:v>1</x:v>
      </x:c>
    </x:row>
    <x:row r="46" ht="15" customHeight="1">
      <x:c r="A46" s="19">
        <x:v>44</x:v>
      </x:c>
      <x:c r="B46" s="19" t="s">
        <x:v>904</x:v>
      </x:c>
      <x:c r="C46" s="19" t="s">
        <x:v>920</x:v>
      </x:c>
      <x:c r="D46" s="19" t="s">
        <x:v>62</x:v>
      </x:c>
      <x:c r="E46" s="19" t="s">
        <x:v>14</x:v>
      </x:c>
      <x:c r="F46" s="19" t="s">
        <x:v>15</x:v>
      </x:c>
      <x:c r="G46" s="19" t="s">
        <x:v>966</x:v>
      </x:c>
      <x:c r="H46" s="28" t="s">
        <x:v>1041</x:v>
      </x:c>
      <x:c r="I46" s="19">
        <x:v>1</x:v>
      </x:c>
      <x:c r="J46" s="19">
        <x:v>1</x:v>
      </x:c>
    </x:row>
    <x:row r="47" ht="26.25" customHeight="1">
      <x:c r="A47" s="19">
        <x:v>45</x:v>
      </x:c>
      <x:c r="B47" s="19" t="s">
        <x:v>904</x:v>
      </x:c>
      <x:c r="C47" s="19" t="s">
        <x:v>920</x:v>
      </x:c>
      <x:c r="D47" s="19" t="s">
        <x:v>11</x:v>
      </x:c>
      <x:c r="E47" s="19" t="s">
        <x:v>199</x:v>
      </x:c>
      <x:c r="F47" s="19" t="s">
        <x:v>15</x:v>
      </x:c>
      <x:c r="G47" s="19" t="s">
        <x:v>994</x:v>
      </x:c>
      <x:c r="H47" s="28" t="s">
        <x:v>1059</x:v>
      </x:c>
      <x:c r="I47" s="19">
        <x:v>1</x:v>
      </x:c>
      <x:c r="J47" s="19">
        <x:v>0</x:v>
      </x:c>
    </x:row>
    <x:row r="48" ht="26.25" customHeight="1">
      <x:c r="A48" s="19">
        <x:v>46</x:v>
      </x:c>
      <x:c r="B48" s="19" t="s">
        <x:v>904</x:v>
      </x:c>
      <x:c r="C48" s="19" t="s">
        <x:v>920</x:v>
      </x:c>
      <x:c r="D48" s="19" t="s">
        <x:v>92</x:v>
      </x:c>
      <x:c r="E48" s="19" t="s">
        <x:v>203</x:v>
      </x:c>
      <x:c r="F48" s="19" t="s">
        <x:v>15</x:v>
      </x:c>
      <x:c r="G48" s="19" t="s">
        <x:v>993</x:v>
      </x:c>
      <x:c r="H48" s="28" t="s">
        <x:v>1040</x:v>
      </x:c>
      <x:c r="I48" s="19">
        <x:v>1</x:v>
      </x:c>
      <x:c r="J48" s="19">
        <x:v>0</x:v>
      </x:c>
    </x:row>
    <x:row r="49" ht="15" customHeight="1">
      <x:c r="A49" s="19">
        <x:v>47</x:v>
      </x:c>
      <x:c r="B49" s="19" t="s">
        <x:v>904</x:v>
      </x:c>
      <x:c r="C49" s="19" t="s">
        <x:v>920</x:v>
      </x:c>
      <x:c r="D49" s="19" t="s">
        <x:v>62</x:v>
      </x:c>
      <x:c r="E49" s="19" t="s">
        <x:v>208</x:v>
      </x:c>
      <x:c r="F49" s="19" t="s">
        <x:v>40</x:v>
      </x:c>
      <x:c r="G49" s="19" t="s">
        <x:v>977</x:v>
      </x:c>
      <x:c r="H49" s="28" t="s">
        <x:v>1060</x:v>
      </x:c>
      <x:c r="I49" s="19">
        <x:v>1</x:v>
      </x:c>
      <x:c r="J49" s="19">
        <x:v>0</x:v>
      </x:c>
    </x:row>
    <x:row r="50" ht="15" customHeight="1">
      <x:c r="A50" s="19">
        <x:v>48</x:v>
      </x:c>
      <x:c r="B50" s="19" t="s">
        <x:v>904</x:v>
      </x:c>
      <x:c r="C50" s="19" t="s">
        <x:v>920</x:v>
      </x:c>
      <x:c r="D50" s="19" t="s">
        <x:v>62</x:v>
      </x:c>
      <x:c r="E50" s="19" t="s">
        <x:v>212</x:v>
      </x:c>
      <x:c r="F50" s="19" t="s">
        <x:v>40</x:v>
      </x:c>
      <x:c r="G50" s="19" t="s">
        <x:v>968</x:v>
      </x:c>
      <x:c r="H50" s="28" t="s">
        <x:v>1042</x:v>
      </x:c>
      <x:c r="I50" s="19">
        <x:v>1</x:v>
      </x:c>
      <x:c r="J50" s="19">
        <x:v>0</x:v>
      </x:c>
    </x:row>
    <x:row r="51" ht="26.25" customHeight="1">
      <x:c r="A51" s="19">
        <x:v>49</x:v>
      </x:c>
      <x:c r="B51" s="19" t="s">
        <x:v>904</x:v>
      </x:c>
      <x:c r="C51" s="19" t="s">
        <x:v>920</x:v>
      </x:c>
      <x:c r="D51" s="19" t="s">
        <x:v>62</x:v>
      </x:c>
      <x:c r="E51" s="19" t="s">
        <x:v>203</x:v>
      </x:c>
      <x:c r="F51" s="19" t="s">
        <x:v>40</x:v>
      </x:c>
      <x:c r="G51" s="19" t="s">
        <x:v>995</x:v>
      </x:c>
      <x:c r="H51" s="28" t="s">
        <x:v>1062</x:v>
      </x:c>
      <x:c r="I51" s="19">
        <x:v>1</x:v>
      </x:c>
      <x:c r="J51" s="19">
        <x:v>0</x:v>
      </x:c>
    </x:row>
    <x:row r="52" ht="15" customHeight="1">
      <x:c r="A52" s="19">
        <x:v>50</x:v>
      </x:c>
      <x:c r="B52" s="19" t="s">
        <x:v>904</x:v>
      </x:c>
      <x:c r="C52" s="19" t="s">
        <x:v>926</x:v>
      </x:c>
      <x:c r="D52" s="19" t="s">
        <x:v>22</x:v>
      </x:c>
      <x:c r="E52" s="19" t="s">
        <x:v>89</x:v>
      </x:c>
      <x:c r="F52" s="19" t="s">
        <x:v>15</x:v>
      </x:c>
      <x:c r="G52" s="19" t="s">
        <x:v>997</x:v>
      </x:c>
      <x:c r="H52" s="28" t="s">
        <x:v>1063</x:v>
      </x:c>
      <x:c r="I52" s="19">
        <x:v>1</x:v>
      </x:c>
      <x:c r="J52" s="19">
        <x:v>1</x:v>
      </x:c>
    </x:row>
    <x:row r="53" ht="26.25" customHeight="1">
      <x:c r="A53" s="19">
        <x:v>51</x:v>
      </x:c>
      <x:c r="B53" s="19" t="s">
        <x:v>904</x:v>
      </x:c>
      <x:c r="C53" s="19" t="s">
        <x:v>920</x:v>
      </x:c>
      <x:c r="D53" s="19" t="s">
        <x:v>92</x:v>
      </x:c>
      <x:c r="E53" s="19" t="s">
        <x:v>225</x:v>
      </x:c>
      <x:c r="F53" s="19" t="s">
        <x:v>99</x:v>
      </x:c>
      <x:c r="G53" s="19" t="s">
        <x:v>969</x:v>
      </x:c>
      <x:c r="H53" s="19" t="s">
        <x:v>969</x:v>
      </x:c>
      <x:c r="I53" s="19">
        <x:v>1</x:v>
      </x:c>
      <x:c r="J53" s="19">
        <x:v>0</x:v>
      </x:c>
    </x:row>
    <x:row r="54" ht="15" customHeight="1">
      <x:c r="A54" s="19">
        <x:v>52</x:v>
      </x:c>
      <x:c r="B54" s="19" t="s">
        <x:v>904</x:v>
      </x:c>
      <x:c r="C54" s="19" t="s">
        <x:v>920</x:v>
      </x:c>
      <x:c r="D54" s="19" t="s">
        <x:v>37</x:v>
      </x:c>
      <x:c r="E54" s="19" t="s">
        <x:v>14</x:v>
      </x:c>
      <x:c r="F54" s="19" t="s">
        <x:v>99</x:v>
      </x:c>
      <x:c r="G54" s="19" t="s">
        <x:v>977</x:v>
      </x:c>
      <x:c r="H54" s="28" t="s">
        <x:v>1042</x:v>
      </x:c>
      <x:c r="I54" s="19">
        <x:v>1</x:v>
      </x:c>
      <x:c r="J54" s="19">
        <x:v>1</x:v>
      </x:c>
    </x:row>
    <x:row r="55" ht="15" customHeight="1">
      <x:c r="A55" s="19">
        <x:v>53</x:v>
      </x:c>
      <x:c r="B55" s="19" t="s">
        <x:v>904</x:v>
      </x:c>
      <x:c r="C55" s="19" t="s">
        <x:v>920</x:v>
      </x:c>
      <x:c r="D55" s="19" t="s">
        <x:v>62</x:v>
      </x:c>
      <x:c r="E55" s="19" t="s">
        <x:v>95</x:v>
      </x:c>
      <x:c r="F55" s="19" t="s">
        <x:v>40</x:v>
      </x:c>
      <x:c r="G55" s="19" t="s">
        <x:v>966</x:v>
      </x:c>
      <x:c r="H55" s="28" t="s">
        <x:v>1041</x:v>
      </x:c>
      <x:c r="I55" s="19">
        <x:v>1</x:v>
      </x:c>
      <x:c r="J55" s="19">
        <x:v>1</x:v>
      </x:c>
    </x:row>
    <x:row r="56" ht="26.25" customHeight="1">
      <x:c r="A56" s="19">
        <x:v>54</x:v>
      </x:c>
      <x:c r="B56" s="19" t="s">
        <x:v>904</x:v>
      </x:c>
      <x:c r="C56" s="19" t="s">
        <x:v>920</x:v>
      </x:c>
      <x:c r="D56" s="19" t="s">
        <x:v>62</x:v>
      </x:c>
      <x:c r="E56" s="19" t="s">
        <x:v>95</x:v>
      </x:c>
      <x:c r="F56" s="19" t="s">
        <x:v>40</x:v>
      </x:c>
      <x:c r="G56" s="19" t="s">
        <x:v>981</x:v>
      </x:c>
      <x:c r="H56" s="19" t="s">
        <x:v>969</x:v>
      </x:c>
      <x:c r="I56" s="19">
        <x:v>1</x:v>
      </x:c>
      <x:c r="J56" s="19">
        <x:v>1</x:v>
      </x:c>
    </x:row>
    <x:row r="57" ht="26.25" customHeight="1">
      <x:c r="A57" s="19">
        <x:v>55</x:v>
      </x:c>
      <x:c r="B57" s="19" t="s">
        <x:v>904</x:v>
      </x:c>
      <x:c r="C57" s="19" t="s">
        <x:v>920</x:v>
      </x:c>
      <x:c r="D57" s="19" t="s">
        <x:v>92</x:v>
      </x:c>
      <x:c r="E57" s="19" t="s">
        <x:v>203</x:v>
      </x:c>
      <x:c r="F57" s="19" t="s">
        <x:v>15</x:v>
      </x:c>
      <x:c r="G57" s="19" t="s">
        <x:v>969</x:v>
      </x:c>
      <x:c r="H57" s="28" t="s">
        <x:v>1041</x:v>
      </x:c>
      <x:c r="I57" s="19">
        <x:v>1</x:v>
      </x:c>
      <x:c r="J57" s="19">
        <x:v>0</x:v>
      </x:c>
    </x:row>
    <x:row r="58" ht="15" customHeight="1">
      <x:c r="A58" s="19">
        <x:v>56</x:v>
      </x:c>
      <x:c r="B58" s="19" t="s">
        <x:v>904</x:v>
      </x:c>
      <x:c r="C58" s="19" t="s">
        <x:v>920</x:v>
      </x:c>
      <x:c r="D58" s="19" t="s">
        <x:v>22</x:v>
      </x:c>
      <x:c r="E58" s="19" t="s">
        <x:v>14</x:v>
      </x:c>
      <x:c r="F58" s="19" t="s">
        <x:v>40</x:v>
      </x:c>
      <x:c r="G58" s="19" t="s">
        <x:v>968</x:v>
      </x:c>
      <x:c r="H58" s="28" t="s">
        <x:v>1042</x:v>
      </x:c>
      <x:c r="I58" s="19">
        <x:v>1</x:v>
      </x:c>
      <x:c r="J58" s="19">
        <x:v>1</x:v>
      </x:c>
    </x:row>
    <x:row r="59" ht="15" customHeight="1">
      <x:c r="A59" s="19">
        <x:v>57</x:v>
      </x:c>
      <x:c r="B59" s="19" t="s">
        <x:v>904</x:v>
      </x:c>
      <x:c r="C59" s="19" t="s">
        <x:v>920</x:v>
      </x:c>
      <x:c r="D59" s="19" t="s">
        <x:v>37</x:v>
      </x:c>
      <x:c r="E59" s="19" t="s">
        <x:v>244</x:v>
      </x:c>
      <x:c r="F59" s="19" t="s">
        <x:v>99</x:v>
      </x:c>
      <x:c r="G59" s="19" t="s">
        <x:v>977</x:v>
      </x:c>
      <x:c r="H59" s="28" t="s">
        <x:v>1042</x:v>
      </x:c>
      <x:c r="I59" s="19">
        <x:v>1</x:v>
      </x:c>
      <x:c r="J59" s="19">
        <x:v>0</x:v>
      </x:c>
    </x:row>
    <x:row r="60" ht="15" customHeight="1">
      <x:c r="A60" s="19">
        <x:v>58</x:v>
      </x:c>
      <x:c r="B60" s="19" t="s">
        <x:v>904</x:v>
      </x:c>
      <x:c r="C60" s="19" t="s">
        <x:v>924</x:v>
      </x:c>
      <x:c r="D60" s="19" t="s">
        <x:v>37</x:v>
      </x:c>
      <x:c r="E60" s="19" t="s">
        <x:v>250</x:v>
      </x:c>
      <x:c r="F60" s="19" t="s">
        <x:v>15</x:v>
      </x:c>
      <x:c r="G60" s="19" t="s">
        <x:v>978</x:v>
      </x:c>
      <x:c r="H60" s="28" t="s">
        <x:v>1043</x:v>
      </x:c>
      <x:c r="I60" s="19">
        <x:v>1</x:v>
      </x:c>
      <x:c r="J60" s="19">
        <x:v>0</x:v>
      </x:c>
    </x:row>
    <x:row r="61" ht="15" customHeight="1">
      <x:c r="A61" s="19">
        <x:v>59</x:v>
      </x:c>
      <x:c r="B61" s="19" t="s">
        <x:v>904</x:v>
      </x:c>
      <x:c r="C61" s="19" t="s">
        <x:v>924</x:v>
      </x:c>
      <x:c r="D61" s="19" t="s">
        <x:v>62</x:v>
      </x:c>
      <x:c r="E61" s="19" t="s">
        <x:v>14</x:v>
      </x:c>
      <x:c r="F61" s="19" t="s">
        <x:v>15</x:v>
      </x:c>
      <x:c r="G61" s="19" t="s">
        <x:v>978</x:v>
      </x:c>
      <x:c r="H61" s="28" t="s">
        <x:v>1042</x:v>
      </x:c>
      <x:c r="I61" s="19">
        <x:v>1</x:v>
      </x:c>
      <x:c r="J61" s="19">
        <x:v>1</x:v>
      </x:c>
    </x:row>
    <x:row r="62" ht="15" customHeight="1">
      <x:c r="A62" s="19">
        <x:v>60</x:v>
      </x:c>
      <x:c r="B62" s="19" t="s">
        <x:v>904</x:v>
      </x:c>
      <x:c r="C62" s="19" t="s">
        <x:v>924</x:v>
      </x:c>
      <x:c r="D62" s="19" t="s">
        <x:v>22</x:v>
      </x:c>
      <x:c r="E62" s="19" t="s">
        <x:v>89</x:v>
      </x:c>
      <x:c r="F62" s="19" t="s">
        <x:v>99</x:v>
      </x:c>
      <x:c r="G62" s="19" t="s">
        <x:v>979</x:v>
      </x:c>
      <x:c r="H62" s="28" t="s">
        <x:v>1041</x:v>
      </x:c>
      <x:c r="I62" s="19">
        <x:v>1</x:v>
      </x:c>
      <x:c r="J62" s="19">
        <x:v>1</x:v>
      </x:c>
    </x:row>
    <x:row r="63" ht="15" customHeight="1">
      <x:c r="A63" s="19">
        <x:v>61</x:v>
      </x:c>
      <x:c r="B63" s="19" t="s">
        <x:v>904</x:v>
      </x:c>
      <x:c r="C63" s="19" t="s">
        <x:v>924</x:v>
      </x:c>
      <x:c r="D63" s="19" t="s">
        <x:v>37</x:v>
      </x:c>
      <x:c r="E63" s="19" t="s">
        <x:v>89</x:v>
      </x:c>
      <x:c r="F63" s="19" t="s">
        <x:v>15</x:v>
      </x:c>
      <x:c r="G63" s="19" t="s">
        <x:v>968</x:v>
      </x:c>
      <x:c r="H63" s="28" t="s">
        <x:v>1042</x:v>
      </x:c>
      <x:c r="I63" s="19">
        <x:v>1</x:v>
      </x:c>
      <x:c r="J63" s="19">
        <x:v>1</x:v>
      </x:c>
    </x:row>
    <x:row r="64" ht="26.25" customHeight="1">
      <x:c r="A64" s="19">
        <x:v>62</x:v>
      </x:c>
      <x:c r="B64" s="19" t="s">
        <x:v>904</x:v>
      </x:c>
      <x:c r="C64" s="19" t="s">
        <x:v>924</x:v>
      </x:c>
      <x:c r="D64" s="19" t="s">
        <x:v>22</x:v>
      </x:c>
      <x:c r="E64" s="19" t="s">
        <x:v>203</x:v>
      </x:c>
      <x:c r="F64" s="19" t="s">
        <x:v>15</x:v>
      </x:c>
      <x:c r="G64" s="19" t="s">
        <x:v>972</x:v>
      </x:c>
      <x:c r="H64" s="28" t="s">
        <x:v>1046</x:v>
      </x:c>
      <x:c r="I64" s="19">
        <x:v>1</x:v>
      </x:c>
      <x:c r="J64" s="19">
        <x:v>0</x:v>
      </x:c>
    </x:row>
    <x:row r="65" ht="15" customHeight="1">
      <x:c r="A65" s="19">
        <x:v>63</x:v>
      </x:c>
      <x:c r="B65" s="19" t="s">
        <x:v>904</x:v>
      </x:c>
      <x:c r="C65" s="19" t="s">
        <x:v>924</x:v>
      </x:c>
      <x:c r="D65" s="19" t="s">
        <x:v>22</x:v>
      </x:c>
      <x:c r="E65" s="19" t="s">
        <x:v>14</x:v>
      </x:c>
      <x:c r="F65" s="19" t="s">
        <x:v>15</x:v>
      </x:c>
      <x:c r="G65" s="19" t="s">
        <x:v>966</x:v>
      </x:c>
      <x:c r="H65" s="28" t="s">
        <x:v>1042</x:v>
      </x:c>
      <x:c r="I65" s="19">
        <x:v>1</x:v>
      </x:c>
      <x:c r="J65" s="19">
        <x:v>1</x:v>
      </x:c>
    </x:row>
    <x:row r="66" ht="15" customHeight="1">
      <x:c r="A66" s="19">
        <x:v>64</x:v>
      </x:c>
      <x:c r="B66" s="19" t="s">
        <x:v>904</x:v>
      </x:c>
      <x:c r="C66" s="19" t="s">
        <x:v>924</x:v>
      </x:c>
      <x:c r="D66" s="19" t="s">
        <x:v>37</x:v>
      </x:c>
      <x:c r="E66" s="19" t="s">
        <x:v>250</x:v>
      </x:c>
      <x:c r="F66" s="19" t="s">
        <x:v>99</x:v>
      </x:c>
      <x:c r="G66" s="19" t="s">
        <x:v>966</x:v>
      </x:c>
      <x:c r="H66" s="28" t="s">
        <x:v>1041</x:v>
      </x:c>
      <x:c r="I66" s="19">
        <x:v>1</x:v>
      </x:c>
      <x:c r="J66" s="19">
        <x:v>0</x:v>
      </x:c>
    </x:row>
    <x:row r="67" ht="15" customHeight="1">
      <x:c r="A67" s="19">
        <x:v>65</x:v>
      </x:c>
      <x:c r="B67" s="19" t="s">
        <x:v>904</x:v>
      </x:c>
      <x:c r="C67" s="19" t="s">
        <x:v>921</x:v>
      </x:c>
      <x:c r="D67" s="19" t="s">
        <x:v>37</x:v>
      </x:c>
      <x:c r="E67" s="19" t="s">
        <x:v>14</x:v>
      </x:c>
      <x:c r="F67" s="19" t="s">
        <x:v>99</x:v>
      </x:c>
      <x:c r="G67" s="19" t="s">
        <x:v>977</x:v>
      </x:c>
      <x:c r="H67" s="28" t="s">
        <x:v>1043</x:v>
      </x:c>
      <x:c r="I67" s="19">
        <x:v>1</x:v>
      </x:c>
      <x:c r="J67" s="19">
        <x:v>1</x:v>
      </x:c>
    </x:row>
    <x:row r="68" ht="15" customHeight="1">
      <x:c r="A68" s="19">
        <x:v>66</x:v>
      </x:c>
      <x:c r="B68" s="19" t="s">
        <x:v>904</x:v>
      </x:c>
      <x:c r="C68" s="19" t="s">
        <x:v>921</x:v>
      </x:c>
      <x:c r="D68" s="19" t="s">
        <x:v>37</x:v>
      </x:c>
      <x:c r="E68" s="19" t="s">
        <x:v>14</x:v>
      </x:c>
      <x:c r="F68" s="19" t="s">
        <x:v>15</x:v>
      </x:c>
      <x:c r="G68" s="19" t="s">
        <x:v>982</x:v>
      </x:c>
      <x:c r="H68" s="28" t="s">
        <x:v>1042</x:v>
      </x:c>
      <x:c r="I68" s="19">
        <x:v>1</x:v>
      </x:c>
      <x:c r="J68" s="19">
        <x:v>1</x:v>
      </x:c>
    </x:row>
    <x:row r="69" ht="15" customHeight="1">
      <x:c r="A69" s="19">
        <x:v>67</x:v>
      </x:c>
      <x:c r="B69" s="19" t="s">
        <x:v>904</x:v>
      </x:c>
      <x:c r="C69" s="19" t="s">
        <x:v>921</x:v>
      </x:c>
      <x:c r="D69" s="19" t="s">
        <x:v>37</x:v>
      </x:c>
      <x:c r="E69" s="19" t="s">
        <x:v>244</x:v>
      </x:c>
      <x:c r="F69" s="19" t="s">
        <x:v>15</x:v>
      </x:c>
      <x:c r="G69" s="19" t="s">
        <x:v>985</x:v>
      </x:c>
      <x:c r="H69" s="28" t="s">
        <x:v>1050</x:v>
      </x:c>
      <x:c r="I69" s="19">
        <x:v>1</x:v>
      </x:c>
      <x:c r="J69" s="19">
        <x:v>0</x:v>
      </x:c>
    </x:row>
    <x:row r="70" ht="15" customHeight="1">
      <x:c r="A70" s="19">
        <x:v>68</x:v>
      </x:c>
      <x:c r="B70" s="19" t="s">
        <x:v>904</x:v>
      </x:c>
      <x:c r="C70" s="19" t="s">
        <x:v>921</x:v>
      </x:c>
      <x:c r="D70" s="19" t="s">
        <x:v>62</x:v>
      </x:c>
      <x:c r="E70" s="19" t="s">
        <x:v>14</x:v>
      </x:c>
      <x:c r="F70" s="19" t="s">
        <x:v>15</x:v>
      </x:c>
      <x:c r="G70" s="19" t="s">
        <x:v>984</x:v>
      </x:c>
      <x:c r="H70" s="28" t="s">
        <x:v>1049</x:v>
      </x:c>
      <x:c r="I70" s="19">
        <x:v>1</x:v>
      </x:c>
      <x:c r="J70" s="19">
        <x:v>1</x:v>
      </x:c>
    </x:row>
    <x:row r="71" ht="15" customHeight="1">
      <x:c r="A71" s="19">
        <x:v>69</x:v>
      </x:c>
      <x:c r="B71" s="19" t="s">
        <x:v>904</x:v>
      </x:c>
      <x:c r="C71" s="19" t="s">
        <x:v>921</x:v>
      </x:c>
      <x:c r="D71" s="19" t="s">
        <x:v>62</x:v>
      </x:c>
      <x:c r="E71" s="19" t="s">
        <x:v>14</x:v>
      </x:c>
      <x:c r="F71" s="19" t="s">
        <x:v>15</x:v>
      </x:c>
      <x:c r="G71" s="19" t="s">
        <x:v>981</x:v>
      </x:c>
      <x:c r="H71" s="28" t="s">
        <x:v>1048</x:v>
      </x:c>
      <x:c r="I71" s="19">
        <x:v>1</x:v>
      </x:c>
      <x:c r="J71" s="19">
        <x:v>1</x:v>
      </x:c>
    </x:row>
    <x:row r="72" ht="15" customHeight="1">
      <x:c r="A72" s="19">
        <x:v>70</x:v>
      </x:c>
      <x:c r="B72" s="19" t="s">
        <x:v>904</x:v>
      </x:c>
      <x:c r="C72" s="19" t="s">
        <x:v>921</x:v>
      </x:c>
      <x:c r="D72" s="19" t="s">
        <x:v>62</x:v>
      </x:c>
      <x:c r="E72" s="19" t="s">
        <x:v>14</x:v>
      </x:c>
      <x:c r="F72" s="19" t="s">
        <x:v>15</x:v>
      </x:c>
      <x:c r="G72" s="19" t="s">
        <x:v>987</x:v>
      </x:c>
      <x:c r="H72" s="28" t="s">
        <x:v>1109</x:v>
      </x:c>
      <x:c r="I72" s="19">
        <x:v>1</x:v>
      </x:c>
      <x:c r="J72" s="19">
        <x:v>1</x:v>
      </x:c>
    </x:row>
    <x:row r="73" ht="15" customHeight="1">
      <x:c r="A73" s="19">
        <x:v>71</x:v>
      </x:c>
      <x:c r="B73" s="19" t="s">
        <x:v>904</x:v>
      </x:c>
      <x:c r="C73" s="19" t="s">
        <x:v>921</x:v>
      </x:c>
      <x:c r="D73" s="19" t="s">
        <x:v>92</x:v>
      </x:c>
      <x:c r="E73" s="19" t="s">
        <x:v>14</x:v>
      </x:c>
      <x:c r="F73" s="19" t="s">
        <x:v>99</x:v>
      </x:c>
      <x:c r="G73" s="19" t="s">
        <x:v>981</x:v>
      </x:c>
      <x:c r="H73" s="28" t="s">
        <x:v>1048</x:v>
      </x:c>
      <x:c r="I73" s="19">
        <x:v>1</x:v>
      </x:c>
      <x:c r="J73" s="19">
        <x:v>1</x:v>
      </x:c>
    </x:row>
    <x:row r="74" ht="15" customHeight="1">
      <x:c r="A74" s="19">
        <x:v>72</x:v>
      </x:c>
      <x:c r="B74" s="19" t="s">
        <x:v>904</x:v>
      </x:c>
      <x:c r="C74" s="19" t="s">
        <x:v>921</x:v>
      </x:c>
      <x:c r="D74" s="19" t="s">
        <x:v>22</x:v>
      </x:c>
      <x:c r="E74" s="19" t="s">
        <x:v>84</x:v>
      </x:c>
      <x:c r="F74" s="19" t="s">
        <x:v>40</x:v>
      </x:c>
      <x:c r="G74" s="19" t="s">
        <x:v>986</x:v>
      </x:c>
      <x:c r="H74" s="28" t="s">
        <x:v>1041</x:v>
      </x:c>
      <x:c r="I74" s="19">
        <x:v>1</x:v>
      </x:c>
      <x:c r="J74" s="19">
        <x:v>1</x:v>
      </x:c>
    </x:row>
    <x:row r="75" ht="15" customHeight="1">
      <x:c r="A75" s="19">
        <x:v>73</x:v>
      </x:c>
      <x:c r="B75" s="19" t="s">
        <x:v>904</x:v>
      </x:c>
      <x:c r="C75" s="19" t="s">
        <x:v>921</x:v>
      </x:c>
      <x:c r="D75" s="19" t="s">
        <x:v>92</x:v>
      </x:c>
      <x:c r="E75" s="19" t="s">
        <x:v>89</x:v>
      </x:c>
      <x:c r="F75" s="19" t="s">
        <x:v>40</x:v>
      </x:c>
      <x:c r="G75" s="19" t="s">
        <x:v>982</x:v>
      </x:c>
      <x:c r="H75" s="28" t="s">
        <x:v>1042</x:v>
      </x:c>
      <x:c r="I75" s="19">
        <x:v>1</x:v>
      </x:c>
      <x:c r="J75" s="19">
        <x:v>1</x:v>
      </x:c>
    </x:row>
    <x:row r="76" ht="26.25" customHeight="1">
      <x:c r="A76" s="19">
        <x:v>74</x:v>
      </x:c>
      <x:c r="B76" s="19" t="s">
        <x:v>904</x:v>
      </x:c>
      <x:c r="C76" s="19" t="s">
        <x:v>921</x:v>
      </x:c>
      <x:c r="D76" s="19" t="s">
        <x:v>62</x:v>
      </x:c>
      <x:c r="E76" s="19" t="s">
        <x:v>89</x:v>
      </x:c>
      <x:c r="F76" s="19" t="s">
        <x:v>40</x:v>
      </x:c>
      <x:c r="G76" s="19" t="s">
        <x:v>969</x:v>
      </x:c>
      <x:c r="H76" s="19" t="s">
        <x:v>969</x:v>
      </x:c>
      <x:c r="I76" s="19">
        <x:v>1</x:v>
      </x:c>
      <x:c r="J76" s="19">
        <x:v>1</x:v>
      </x:c>
    </x:row>
    <x:row r="77" ht="15" customHeight="1">
      <x:c r="A77" s="19">
        <x:v>75</x:v>
      </x:c>
      <x:c r="B77" s="19" t="s">
        <x:v>904</x:v>
      </x:c>
      <x:c r="C77" s="19" t="s">
        <x:v>921</x:v>
      </x:c>
      <x:c r="D77" s="19" t="s">
        <x:v>92</x:v>
      </x:c>
      <x:c r="E77" s="19" t="s">
        <x:v>314</x:v>
      </x:c>
      <x:c r="F77" s="19" t="s">
        <x:v>40</x:v>
      </x:c>
      <x:c r="G77" s="19" t="s">
        <x:v>983</x:v>
      </x:c>
      <x:c r="H77" s="28" t="s">
        <x:v>1042</x:v>
      </x:c>
      <x:c r="I77" s="19">
        <x:v>1</x:v>
      </x:c>
      <x:c r="J77" s="19">
        <x:v>0</x:v>
      </x:c>
    </x:row>
    <x:row r="78" ht="15" customHeight="1">
      <x:c r="A78" s="19">
        <x:v>76</x:v>
      </x:c>
      <x:c r="B78" s="19" t="s">
        <x:v>904</x:v>
      </x:c>
      <x:c r="C78" s="19" t="s">
        <x:v>921</x:v>
      </x:c>
      <x:c r="D78" s="19" t="s">
        <x:v>22</x:v>
      </x:c>
      <x:c r="E78" s="19" t="s">
        <x:v>314</x:v>
      </x:c>
      <x:c r="F78" s="19" t="s">
        <x:v>40</x:v>
      </x:c>
      <x:c r="G78" s="19" t="s">
        <x:v>983</x:v>
      </x:c>
      <x:c r="H78" s="28" t="s">
        <x:v>1042</x:v>
      </x:c>
      <x:c r="I78" s="19">
        <x:v>1</x:v>
      </x:c>
      <x:c r="J78" s="19">
        <x:v>0</x:v>
      </x:c>
    </x:row>
    <x:row r="79" ht="26.25" customHeight="1">
      <x:c r="A79" s="19">
        <x:v>77</x:v>
      </x:c>
      <x:c r="B79" s="19" t="s">
        <x:v>904</x:v>
      </x:c>
      <x:c r="C79" s="19" t="s">
        <x:v>921</x:v>
      </x:c>
      <x:c r="D79" s="19" t="s">
        <x:v>62</x:v>
      </x:c>
      <x:c r="E79" s="19" t="s">
        <x:v>95</x:v>
      </x:c>
      <x:c r="F79" s="19" t="s">
        <x:v>40</x:v>
      </x:c>
      <x:c r="G79" s="19" t="s">
        <x:v>966</x:v>
      </x:c>
      <x:c r="H79" s="19" t="s">
        <x:v>969</x:v>
      </x:c>
      <x:c r="I79" s="19">
        <x:v>1</x:v>
      </x:c>
      <x:c r="J79" s="19">
        <x:v>1</x:v>
      </x:c>
    </x:row>
    <x:row r="80" ht="26.25" customHeight="1">
      <x:c r="A80" s="19">
        <x:v>78</x:v>
      </x:c>
      <x:c r="B80" s="19" t="s">
        <x:v>904</x:v>
      </x:c>
      <x:c r="C80" s="19" t="s">
        <x:v>921</x:v>
      </x:c>
      <x:c r="D80" s="19" t="s">
        <x:v>22</x:v>
      </x:c>
      <x:c r="E80" s="19" t="s">
        <x:v>323</x:v>
      </x:c>
      <x:c r="F80" s="19" t="s">
        <x:v>40</x:v>
      </x:c>
      <x:c r="G80" s="19" t="s">
        <x:v>969</x:v>
      </x:c>
      <x:c r="H80" s="19" t="s">
        <x:v>969</x:v>
      </x:c>
      <x:c r="I80" s="19">
        <x:v>1</x:v>
      </x:c>
      <x:c r="J80" s="19">
        <x:v>0</x:v>
      </x:c>
    </x:row>
    <x:row r="81" ht="15" customHeight="1">
      <x:c r="A81" s="19">
        <x:v>79</x:v>
      </x:c>
      <x:c r="B81" s="19" t="s">
        <x:v>904</x:v>
      </x:c>
      <x:c r="C81" s="19" t="s">
        <x:v>921</x:v>
      </x:c>
      <x:c r="D81" s="19" t="s">
        <x:v>37</x:v>
      </x:c>
      <x:c r="E81" s="19" t="s">
        <x:v>244</x:v>
      </x:c>
      <x:c r="F81" s="19" t="s">
        <x:v>40</x:v>
      </x:c>
      <x:c r="G81" s="19" t="s">
        <x:v>966</x:v>
      </x:c>
      <x:c r="H81" s="28" t="s">
        <x:v>1041</x:v>
      </x:c>
      <x:c r="I81" s="19">
        <x:v>1</x:v>
      </x:c>
      <x:c r="J81" s="19">
        <x:v>0</x:v>
      </x:c>
    </x:row>
    <x:row r="82" ht="15" customHeight="1">
      <x:c r="A82" s="19">
        <x:v>80</x:v>
      </x:c>
      <x:c r="B82" s="19" t="s">
        <x:v>904</x:v>
      </x:c>
      <x:c r="C82" s="19" t="s">
        <x:v>921</x:v>
      </x:c>
      <x:c r="D82" s="19" t="s">
        <x:v>37</x:v>
      </x:c>
      <x:c r="E82" s="19" t="s">
        <x:v>329</x:v>
      </x:c>
      <x:c r="F82" s="19" t="s">
        <x:v>40</x:v>
      </x:c>
      <x:c r="G82" s="19" t="s">
        <x:v>966</x:v>
      </x:c>
      <x:c r="H82" s="28" t="s">
        <x:v>1041</x:v>
      </x:c>
      <x:c r="I82" s="19">
        <x:v>1</x:v>
      </x:c>
      <x:c r="J82" s="19">
        <x:v>0</x:v>
      </x:c>
    </x:row>
    <x:row r="83" ht="15" customHeight="1">
      <x:c r="A83" s="19">
        <x:v>81</x:v>
      </x:c>
      <x:c r="B83" s="19" t="s">
        <x:v>904</x:v>
      </x:c>
      <x:c r="C83" s="19" t="s">
        <x:v>921</x:v>
      </x:c>
      <x:c r="D83" s="19" t="s">
        <x:v>37</x:v>
      </x:c>
      <x:c r="E83" s="19" t="s">
        <x:v>250</x:v>
      </x:c>
      <x:c r="F83" s="19" t="s">
        <x:v>40</x:v>
      </x:c>
      <x:c r="G83" s="19" t="s">
        <x:v>977</x:v>
      </x:c>
      <x:c r="H83" s="28" t="s">
        <x:v>1041</x:v>
      </x:c>
      <x:c r="I83" s="19">
        <x:v>1</x:v>
      </x:c>
      <x:c r="J83" s="19">
        <x:v>0</x:v>
      </x:c>
    </x:row>
    <x:row r="84" ht="15" customHeight="1">
      <x:c r="A84" s="19">
        <x:v>82</x:v>
      </x:c>
      <x:c r="B84" s="19" t="s">
        <x:v>904</x:v>
      </x:c>
      <x:c r="C84" s="19" t="s">
        <x:v>929</x:v>
      </x:c>
      <x:c r="D84" s="19" t="s">
        <x:v>37</x:v>
      </x:c>
      <x:c r="E84" s="19" t="s">
        <x:v>339</x:v>
      </x:c>
      <x:c r="F84" s="19" t="s">
        <x:v>15</x:v>
      </x:c>
      <x:c r="G84" s="19" t="s">
        <x:v>981</x:v>
      </x:c>
      <x:c r="H84" s="28" t="s">
        <x:v>1058</x:v>
      </x:c>
      <x:c r="I84" s="19">
        <x:v>1</x:v>
      </x:c>
      <x:c r="J84" s="19">
        <x:v>0</x:v>
      </x:c>
    </x:row>
    <x:row r="85" ht="15" customHeight="1">
      <x:c r="A85" s="19">
        <x:v>83</x:v>
      </x:c>
      <x:c r="B85" s="19" t="s">
        <x:v>904</x:v>
      </x:c>
      <x:c r="C85" s="19" t="s">
        <x:v>929</x:v>
      </x:c>
      <x:c r="D85" s="19" t="s">
        <x:v>37</x:v>
      </x:c>
      <x:c r="E85" s="19" t="s">
        <x:v>339</x:v>
      </x:c>
      <x:c r="F85" s="19" t="s">
        <x:v>40</x:v>
      </x:c>
      <x:c r="G85" s="19" t="s">
        <x:v>981</x:v>
      </x:c>
      <x:c r="H85" s="28" t="s">
        <x:v>1048</x:v>
      </x:c>
      <x:c r="I85" s="19">
        <x:v>1</x:v>
      </x:c>
      <x:c r="J85" s="19">
        <x:v>0</x:v>
      </x:c>
    </x:row>
    <x:row r="86" ht="15" customHeight="1">
      <x:c r="A86" s="19">
        <x:v>84</x:v>
      </x:c>
      <x:c r="B86" s="19" t="s">
        <x:v>904</x:v>
      </x:c>
      <x:c r="C86" s="19" t="s">
        <x:v>922</x:v>
      </x:c>
      <x:c r="D86" s="19" t="s">
        <x:v>62</x:v>
      </x:c>
      <x:c r="E86" s="19" t="s">
        <x:v>14</x:v>
      </x:c>
      <x:c r="F86" s="19" t="s">
        <x:v>15</x:v>
      </x:c>
      <x:c r="G86" s="19" t="s">
        <x:v>973</x:v>
      </x:c>
      <x:c r="H86" s="28" t="s">
        <x:v>1043</x:v>
      </x:c>
      <x:c r="I86" s="19">
        <x:v>1</x:v>
      </x:c>
      <x:c r="J86" s="19">
        <x:v>1</x:v>
      </x:c>
    </x:row>
    <x:row r="87" ht="26.25" customHeight="1">
      <x:c r="A87" s="19">
        <x:v>85</x:v>
      </x:c>
      <x:c r="B87" s="19" t="s">
        <x:v>904</x:v>
      </x:c>
      <x:c r="C87" s="19" t="s">
        <x:v>922</x:v>
      </x:c>
      <x:c r="D87" s="19" t="s">
        <x:v>92</x:v>
      </x:c>
      <x:c r="E87" s="19" t="s">
        <x:v>84</x:v>
      </x:c>
      <x:c r="F87" s="19" t="s">
        <x:v>15</x:v>
      </x:c>
      <x:c r="G87" s="19" t="s">
        <x:v>969</x:v>
      </x:c>
      <x:c r="H87" s="28" t="s">
        <x:v>1042</x:v>
      </x:c>
      <x:c r="I87" s="19">
        <x:v>1</x:v>
      </x:c>
      <x:c r="J87" s="19">
        <x:v>1</x:v>
      </x:c>
    </x:row>
    <x:row r="88" ht="15" customHeight="1">
      <x:c r="A88" s="19">
        <x:v>86</x:v>
      </x:c>
      <x:c r="B88" s="19" t="s">
        <x:v>904</x:v>
      </x:c>
      <x:c r="C88" s="19" t="s">
        <x:v>922</x:v>
      </x:c>
      <x:c r="D88" s="19" t="s">
        <x:v>92</x:v>
      </x:c>
      <x:c r="E88" s="19" t="s">
        <x:v>84</x:v>
      </x:c>
      <x:c r="F88" s="19" t="s">
        <x:v>15</x:v>
      </x:c>
      <x:c r="G88" s="19" t="s">
        <x:v>970</x:v>
      </x:c>
      <x:c r="H88" s="28" t="s">
        <x:v>1045</x:v>
      </x:c>
      <x:c r="I88" s="19">
        <x:v>1</x:v>
      </x:c>
      <x:c r="J88" s="19">
        <x:v>1</x:v>
      </x:c>
    </x:row>
    <x:row r="89" ht="15" customHeight="1">
      <x:c r="A89" s="19">
        <x:v>87</x:v>
      </x:c>
      <x:c r="B89" s="19" t="s">
        <x:v>904</x:v>
      </x:c>
      <x:c r="C89" s="19" t="s">
        <x:v>922</x:v>
      </x:c>
      <x:c r="D89" s="19" t="s">
        <x:v>22</x:v>
      </x:c>
      <x:c r="E89" s="19" t="s">
        <x:v>84</x:v>
      </x:c>
      <x:c r="F89" s="19" t="s">
        <x:v>15</x:v>
      </x:c>
      <x:c r="G89" s="19" t="s">
        <x:v>975</x:v>
      </x:c>
      <x:c r="H89" s="28" t="s">
        <x:v>1042</x:v>
      </x:c>
      <x:c r="I89" s="19">
        <x:v>1</x:v>
      </x:c>
      <x:c r="J89" s="19">
        <x:v>1</x:v>
      </x:c>
    </x:row>
    <x:row r="90" ht="15" customHeight="1">
      <x:c r="A90" s="19">
        <x:v>88</x:v>
      </x:c>
      <x:c r="B90" s="19" t="s">
        <x:v>904</x:v>
      </x:c>
      <x:c r="C90" s="19" t="s">
        <x:v>922</x:v>
      </x:c>
      <x:c r="D90" s="19" t="s">
        <x:v>37</x:v>
      </x:c>
      <x:c r="E90" s="19" t="s">
        <x:v>84</x:v>
      </x:c>
      <x:c r="F90" s="19" t="s">
        <x:v>15</x:v>
      </x:c>
      <x:c r="G90" s="19" t="s">
        <x:v>974</x:v>
      </x:c>
      <x:c r="H90" s="28" t="s">
        <x:v>1044</x:v>
      </x:c>
      <x:c r="I90" s="19">
        <x:v>1</x:v>
      </x:c>
      <x:c r="J90" s="19">
        <x:v>1</x:v>
      </x:c>
    </x:row>
    <x:row r="91" ht="15" customHeight="1">
      <x:c r="A91" s="19">
        <x:v>89</x:v>
      </x:c>
      <x:c r="B91" s="19" t="s">
        <x:v>904</x:v>
      </x:c>
      <x:c r="C91" s="19" t="s">
        <x:v>922</x:v>
      </x:c>
      <x:c r="D91" s="19" t="s">
        <x:v>37</x:v>
      </x:c>
      <x:c r="E91" s="19" t="s">
        <x:v>84</x:v>
      </x:c>
      <x:c r="F91" s="19" t="s">
        <x:v>40</x:v>
      </x:c>
      <x:c r="G91" s="19" t="s">
        <x:v>972</x:v>
      </x:c>
      <x:c r="H91" s="28" t="s">
        <x:v>1046</x:v>
      </x:c>
      <x:c r="I91" s="19">
        <x:v>1</x:v>
      </x:c>
      <x:c r="J91" s="19">
        <x:v>1</x:v>
      </x:c>
    </x:row>
    <x:row r="92" ht="15" customHeight="1">
      <x:c r="A92" s="19">
        <x:v>90</x:v>
      </x:c>
      <x:c r="B92" s="19" t="s">
        <x:v>904</x:v>
      </x:c>
      <x:c r="C92" s="19" t="s">
        <x:v>922</x:v>
      </x:c>
      <x:c r="D92" s="19" t="s">
        <x:v>62</x:v>
      </x:c>
      <x:c r="E92" s="19" t="s">
        <x:v>84</x:v>
      </x:c>
      <x:c r="F92" s="19" t="s">
        <x:v>15</x:v>
      </x:c>
      <x:c r="G92" s="19" t="s">
        <x:v>976</x:v>
      </x:c>
      <x:c r="H92" s="28" t="s">
        <x:v>1042</x:v>
      </x:c>
      <x:c r="I92" s="19">
        <x:v>1</x:v>
      </x:c>
      <x:c r="J92" s="19">
        <x:v>1</x:v>
      </x:c>
    </x:row>
    <x:row r="93" ht="15" customHeight="1">
      <x:c r="A93" s="19">
        <x:v>91</x:v>
      </x:c>
      <x:c r="B93" s="19" t="s">
        <x:v>904</x:v>
      </x:c>
      <x:c r="C93" s="19" t="s">
        <x:v>922</x:v>
      </x:c>
      <x:c r="D93" s="19" t="s">
        <x:v>62</x:v>
      </x:c>
      <x:c r="E93" s="19" t="s">
        <x:v>84</x:v>
      </x:c>
      <x:c r="F93" s="19" t="s">
        <x:v>15</x:v>
      </x:c>
      <x:c r="G93" s="19" t="s">
        <x:v>971</x:v>
      </x:c>
      <x:c r="H93" s="28" t="s">
        <x:v>1040</x:v>
      </x:c>
      <x:c r="I93" s="19">
        <x:v>1</x:v>
      </x:c>
      <x:c r="J93" s="19">
        <x:v>1</x:v>
      </x:c>
    </x:row>
    <x:row r="94" ht="15" customHeight="1">
      <x:c r="A94" s="19">
        <x:v>92</x:v>
      </x:c>
      <x:c r="B94" s="19" t="s">
        <x:v>904</x:v>
      </x:c>
      <x:c r="C94" s="19" t="s">
        <x:v>922</x:v>
      </x:c>
      <x:c r="D94" s="19" t="s">
        <x:v>62</x:v>
      </x:c>
      <x:c r="E94" s="19" t="s">
        <x:v>84</x:v>
      </x:c>
      <x:c r="F94" s="19" t="s">
        <x:v>99</x:v>
      </x:c>
      <x:c r="G94" s="19" t="s">
        <x:v>977</x:v>
      </x:c>
      <x:c r="H94" s="28" t="s">
        <x:v>1042</x:v>
      </x:c>
      <x:c r="I94" s="19">
        <x:v>1</x:v>
      </x:c>
      <x:c r="J94" s="19">
        <x:v>1</x:v>
      </x:c>
    </x:row>
    <x:row r="95" ht="15" customHeight="1">
      <x:c r="A95" s="19">
        <x:v>93</x:v>
      </x:c>
      <x:c r="B95" s="19" t="s">
        <x:v>904</x:v>
      </x:c>
      <x:c r="C95" s="19" t="s">
        <x:v>922</x:v>
      </x:c>
      <x:c r="D95" s="19" t="s">
        <x:v>62</x:v>
      </x:c>
      <x:c r="E95" s="19" t="s">
        <x:v>84</x:v>
      </x:c>
      <x:c r="F95" s="19" t="s">
        <x:v>99</x:v>
      </x:c>
      <x:c r="G95" s="19" t="s">
        <x:v>968</x:v>
      </x:c>
      <x:c r="H95" s="28" t="s">
        <x:v>1042</x:v>
      </x:c>
      <x:c r="I95" s="19">
        <x:v>1</x:v>
      </x:c>
      <x:c r="J95" s="19">
        <x:v>1</x:v>
      </x:c>
    </x:row>
    <x:row r="96" ht="15" customHeight="1">
      <x:c r="A96" s="19">
        <x:v>94</x:v>
      </x:c>
      <x:c r="B96" s="19" t="s">
        <x:v>904</x:v>
      </x:c>
      <x:c r="C96" s="19" t="s">
        <x:v>922</x:v>
      </x:c>
      <x:c r="D96" s="19" t="s">
        <x:v>92</x:v>
      </x:c>
      <x:c r="E96" s="19" t="s">
        <x:v>89</x:v>
      </x:c>
      <x:c r="F96" s="19" t="s">
        <x:v>99</x:v>
      </x:c>
      <x:c r="G96" s="19" t="s">
        <x:v>968</x:v>
      </x:c>
      <x:c r="H96" s="28" t="s">
        <x:v>1042</x:v>
      </x:c>
      <x:c r="I96" s="19">
        <x:v>1</x:v>
      </x:c>
      <x:c r="J96" s="19">
        <x:v>1</x:v>
      </x:c>
    </x:row>
    <x:row r="97" ht="15" customHeight="1">
      <x:c r="A97" s="19">
        <x:v>95</x:v>
      </x:c>
      <x:c r="B97" s="19" t="s">
        <x:v>904</x:v>
      </x:c>
      <x:c r="C97" s="19" t="s">
        <x:v>922</x:v>
      </x:c>
      <x:c r="D97" s="19" t="s">
        <x:v>92</x:v>
      </x:c>
      <x:c r="E97" s="19" t="s">
        <x:v>89</x:v>
      </x:c>
      <x:c r="F97" s="19" t="s">
        <x:v>15</x:v>
      </x:c>
      <x:c r="G97" s="19" t="s">
        <x:v>968</x:v>
      </x:c>
      <x:c r="H97" s="28" t="s">
        <x:v>1043</x:v>
      </x:c>
      <x:c r="I97" s="19">
        <x:v>1</x:v>
      </x:c>
      <x:c r="J97" s="19">
        <x:v>1</x:v>
      </x:c>
    </x:row>
    <x:row r="98" ht="15" customHeight="1">
      <x:c r="A98" s="19">
        <x:v>96</x:v>
      </x:c>
      <x:c r="B98" s="19" t="s">
        <x:v>904</x:v>
      </x:c>
      <x:c r="C98" s="19" t="s">
        <x:v>923</x:v>
      </x:c>
      <x:c r="D98" s="19" t="s">
        <x:v>22</x:v>
      </x:c>
      <x:c r="E98" s="19" t="s">
        <x:v>84</x:v>
      </x:c>
      <x:c r="F98" s="19" t="s">
        <x:v>99</x:v>
      </x:c>
      <x:c r="G98" s="19" t="s">
        <x:v>977</x:v>
      </x:c>
      <x:c r="H98" s="28" t="s">
        <x:v>1042</x:v>
      </x:c>
      <x:c r="I98" s="19">
        <x:v>1</x:v>
      </x:c>
      <x:c r="J98" s="19">
        <x:v>1</x:v>
      </x:c>
    </x:row>
    <x:row r="99" ht="15" customHeight="1">
      <x:c r="A99" s="19">
        <x:v>97</x:v>
      </x:c>
      <x:c r="B99" s="19" t="s">
        <x:v>904</x:v>
      </x:c>
      <x:c r="C99" s="19" t="s">
        <x:v>923</x:v>
      </x:c>
      <x:c r="D99" s="19" t="s">
        <x:v>37</x:v>
      </x:c>
      <x:c r="E99" s="19" t="s">
        <x:v>84</x:v>
      </x:c>
      <x:c r="F99" s="19" t="s">
        <x:v>99</x:v>
      </x:c>
      <x:c r="G99" s="19" t="s">
        <x:v>986</x:v>
      </x:c>
      <x:c r="H99" s="28" t="s">
        <x:v>1041</x:v>
      </x:c>
      <x:c r="I99" s="19">
        <x:v>1</x:v>
      </x:c>
      <x:c r="J99" s="19">
        <x:v>1</x:v>
      </x:c>
    </x:row>
    <x:row r="100" ht="15" customHeight="1">
      <x:c r="A100" s="19">
        <x:v>98</x:v>
      </x:c>
      <x:c r="B100" s="19" t="s">
        <x:v>904</x:v>
      </x:c>
      <x:c r="C100" s="19" t="s">
        <x:v>923</x:v>
      </x:c>
      <x:c r="D100" s="19" t="s">
        <x:v>37</x:v>
      </x:c>
      <x:c r="E100" s="19" t="s">
        <x:v>84</x:v>
      </x:c>
      <x:c r="F100" s="19" t="s">
        <x:v>15</x:v>
      </x:c>
      <x:c r="G100" s="19" t="s">
        <x:v>981</x:v>
      </x:c>
      <x:c r="H100" s="28" t="s">
        <x:v>1057</x:v>
      </x:c>
      <x:c r="I100" s="19">
        <x:v>1</x:v>
      </x:c>
      <x:c r="J100" s="19">
        <x:v>1</x:v>
      </x:c>
    </x:row>
    <x:row r="101" ht="15" customHeight="1">
      <x:c r="A101" s="19">
        <x:v>99</x:v>
      </x:c>
      <x:c r="B101" s="19" t="s">
        <x:v>904</x:v>
      </x:c>
      <x:c r="C101" s="19" t="s">
        <x:v>923</x:v>
      </x:c>
      <x:c r="D101" s="19" t="s">
        <x:v>37</x:v>
      </x:c>
      <x:c r="E101" s="19" t="s">
        <x:v>84</x:v>
      </x:c>
      <x:c r="F101" s="19" t="s">
        <x:v>99</x:v>
      </x:c>
      <x:c r="G101" s="19" t="s">
        <x:v>991</x:v>
      </x:c>
      <x:c r="H101" s="28" t="s">
        <x:v>1041</x:v>
      </x:c>
      <x:c r="I101" s="19">
        <x:v>1</x:v>
      </x:c>
      <x:c r="J101" s="19">
        <x:v>1</x:v>
      </x:c>
    </x:row>
    <x:row r="102" ht="15" customHeight="1">
      <x:c r="A102" s="19">
        <x:v>100</x:v>
      </x:c>
      <x:c r="B102" s="19" t="s">
        <x:v>904</x:v>
      </x:c>
      <x:c r="C102" s="19" t="s">
        <x:v>923</x:v>
      </x:c>
      <x:c r="D102" s="19" t="s">
        <x:v>62</x:v>
      </x:c>
      <x:c r="E102" s="19" t="s">
        <x:v>84</x:v>
      </x:c>
      <x:c r="F102" s="19" t="s">
        <x:v>40</x:v>
      </x:c>
      <x:c r="G102" s="19" t="s">
        <x:v>968</x:v>
      </x:c>
      <x:c r="H102" s="28" t="s">
        <x:v>1042</x:v>
      </x:c>
      <x:c r="I102" s="19">
        <x:v>1</x:v>
      </x:c>
      <x:c r="J102" s="19">
        <x:v>1</x:v>
      </x:c>
    </x:row>
    <x:row r="103" ht="15" customHeight="1">
      <x:c r="A103" s="19">
        <x:v>101</x:v>
      </x:c>
      <x:c r="B103" s="19" t="s">
        <x:v>904</x:v>
      </x:c>
      <x:c r="C103" s="19" t="s">
        <x:v>923</x:v>
      </x:c>
      <x:c r="D103" s="19" t="s">
        <x:v>62</x:v>
      </x:c>
      <x:c r="E103" s="19" t="s">
        <x:v>84</x:v>
      </x:c>
      <x:c r="F103" s="19" t="s">
        <x:v>40</x:v>
      </x:c>
      <x:c r="G103" s="19" t="s">
        <x:v>976</x:v>
      </x:c>
      <x:c r="H103" s="28" t="s">
        <x:v>1042</x:v>
      </x:c>
      <x:c r="I103" s="19">
        <x:v>1</x:v>
      </x:c>
      <x:c r="J103" s="19">
        <x:v>1</x:v>
      </x:c>
    </x:row>
    <x:row r="104" ht="15" customHeight="1">
      <x:c r="A104" s="19">
        <x:v>102</x:v>
      </x:c>
      <x:c r="B104" s="19" t="s">
        <x:v>904</x:v>
      </x:c>
      <x:c r="C104" s="19" t="s">
        <x:v>923</x:v>
      </x:c>
      <x:c r="D104" s="19" t="s">
        <x:v>62</x:v>
      </x:c>
      <x:c r="E104" s="19" t="s">
        <x:v>84</x:v>
      </x:c>
      <x:c r="F104" s="19" t="s">
        <x:v>99</x:v>
      </x:c>
      <x:c r="G104" s="19" t="s">
        <x:v>977</x:v>
      </x:c>
      <x:c r="H104" s="28" t="s">
        <x:v>1110</x:v>
      </x:c>
      <x:c r="I104" s="19">
        <x:v>1</x:v>
      </x:c>
      <x:c r="J104" s="19">
        <x:v>1</x:v>
      </x:c>
    </x:row>
    <x:row r="105" ht="15" customHeight="1">
      <x:c r="A105" s="19">
        <x:v>103</x:v>
      </x:c>
      <x:c r="B105" s="19" t="s">
        <x:v>904</x:v>
      </x:c>
      <x:c r="C105" s="19" t="s">
        <x:v>923</x:v>
      </x:c>
      <x:c r="D105" s="19" t="s">
        <x:v>62</x:v>
      </x:c>
      <x:c r="E105" s="19" t="s">
        <x:v>84</x:v>
      </x:c>
      <x:c r="F105" s="19" t="s">
        <x:v>40</x:v>
      </x:c>
      <x:c r="G105" s="19" t="s">
        <x:v>977</x:v>
      </x:c>
      <x:c r="H105" s="28" t="s">
        <x:v>1041</x:v>
      </x:c>
      <x:c r="I105" s="19">
        <x:v>1</x:v>
      </x:c>
      <x:c r="J105" s="19">
        <x:v>1</x:v>
      </x:c>
    </x:row>
    <x:row r="106" ht="15" customHeight="1">
      <x:c r="A106" s="19">
        <x:v>104</x:v>
      </x:c>
      <x:c r="B106" s="19" t="s">
        <x:v>904</x:v>
      </x:c>
      <x:c r="C106" s="19" t="s">
        <x:v>923</x:v>
      </x:c>
      <x:c r="D106" s="19" t="s">
        <x:v>62</x:v>
      </x:c>
      <x:c r="E106" s="19" t="s">
        <x:v>84</x:v>
      </x:c>
      <x:c r="F106" s="19" t="s">
        <x:v>40</x:v>
      </x:c>
      <x:c r="G106" s="19" t="s">
        <x:v>968</x:v>
      </x:c>
      <x:c r="H106" s="28" t="s">
        <x:v>1042</x:v>
      </x:c>
      <x:c r="I106" s="19">
        <x:v>1</x:v>
      </x:c>
      <x:c r="J106" s="19">
        <x:v>1</x:v>
      </x:c>
    </x:row>
    <x:row r="107" ht="15" customHeight="1">
      <x:c r="A107" s="19">
        <x:v>105</x:v>
      </x:c>
      <x:c r="B107" s="19" t="s">
        <x:v>905</x:v>
      </x:c>
      <x:c r="C107" s="19" t="s">
        <x:v>934</x:v>
      </x:c>
      <x:c r="D107" s="19" t="s">
        <x:v>11</x:v>
      </x:c>
      <x:c r="E107" s="19" t="s">
        <x:v>427</x:v>
      </x:c>
      <x:c r="F107" s="19" t="s">
        <x:v>15</x:v>
      </x:c>
      <x:c r="G107" s="19" t="s">
        <x:v>1002</x:v>
      </x:c>
      <x:c r="H107" s="28" t="s">
        <x:v>1111</x:v>
      </x:c>
      <x:c r="I107" s="19">
        <x:v>1</x:v>
      </x:c>
      <x:c r="J107" s="19">
        <x:v>0</x:v>
      </x:c>
    </x:row>
    <x:row r="108" ht="26.25" customHeight="1">
      <x:c r="A108" s="19">
        <x:v>106</x:v>
      </x:c>
      <x:c r="B108" s="19" t="s">
        <x:v>905</x:v>
      </x:c>
      <x:c r="C108" s="19" t="s">
        <x:v>936</x:v>
      </x:c>
      <x:c r="D108" s="19" t="s">
        <x:v>11</x:v>
      </x:c>
      <x:c r="E108" s="19" t="s">
        <x:v>433</x:v>
      </x:c>
      <x:c r="F108" s="19" t="s">
        <x:v>15</x:v>
      </x:c>
      <x:c r="G108" s="19" t="s">
        <x:v>969</x:v>
      </x:c>
      <x:c r="H108" s="19" t="s">
        <x:v>969</x:v>
      </x:c>
      <x:c r="I108" s="19">
        <x:v>1</x:v>
      </x:c>
      <x:c r="J108" s="19">
        <x:v>0</x:v>
      </x:c>
    </x:row>
    <x:row r="109" ht="15" customHeight="1">
      <x:c r="A109" s="19">
        <x:v>107</x:v>
      </x:c>
      <x:c r="B109" s="19" t="s">
        <x:v>905</x:v>
      </x:c>
      <x:c r="C109" s="19" t="s">
        <x:v>934</x:v>
      </x:c>
      <x:c r="D109" s="19" t="s">
        <x:v>11</x:v>
      </x:c>
      <x:c r="E109" s="19" t="s">
        <x:v>433</x:v>
      </x:c>
      <x:c r="F109" s="19" t="s">
        <x:v>15</x:v>
      </x:c>
      <x:c r="G109" s="19" t="s">
        <x:v>994</x:v>
      </x:c>
      <x:c r="H109" s="28" t="s">
        <x:v>1042</x:v>
      </x:c>
      <x:c r="I109" s="19">
        <x:v>1</x:v>
      </x:c>
      <x:c r="J109" s="19">
        <x:v>0</x:v>
      </x:c>
    </x:row>
    <x:row r="110" ht="15" customHeight="1">
      <x:c r="A110" s="19">
        <x:v>108</x:v>
      </x:c>
      <x:c r="B110" s="19" t="s">
        <x:v>905</x:v>
      </x:c>
      <x:c r="C110" s="19" t="s">
        <x:v>936</x:v>
      </x:c>
      <x:c r="D110" s="19" t="s">
        <x:v>11</x:v>
      </x:c>
      <x:c r="E110" s="19" t="s">
        <x:v>14</x:v>
      </x:c>
      <x:c r="F110" s="19" t="s">
        <x:v>15</x:v>
      </x:c>
      <x:c r="G110" s="19" t="s">
        <x:v>967</x:v>
      </x:c>
      <x:c r="H110" s="28" t="s">
        <x:v>1071</x:v>
      </x:c>
      <x:c r="I110" s="19">
        <x:v>1</x:v>
      </x:c>
      <x:c r="J110" s="19">
        <x:v>1</x:v>
      </x:c>
    </x:row>
    <x:row r="111" ht="15" customHeight="1">
      <x:c r="A111" s="19">
        <x:v>109</x:v>
      </x:c>
      <x:c r="B111" s="19" t="s">
        <x:v>905</x:v>
      </x:c>
      <x:c r="C111" s="19" t="s">
        <x:v>938</x:v>
      </x:c>
      <x:c r="D111" s="19" t="s">
        <x:v>92</x:v>
      </x:c>
      <x:c r="E111" s="19" t="s">
        <x:v>14</x:v>
      </x:c>
      <x:c r="F111" s="19" t="s">
        <x:v>15</x:v>
      </x:c>
      <x:c r="G111" s="19" t="s">
        <x:v>1011</x:v>
      </x:c>
      <x:c r="H111" s="28" t="s">
        <x:v>1064</x:v>
      </x:c>
      <x:c r="I111" s="19">
        <x:v>1</x:v>
      </x:c>
      <x:c r="J111" s="19">
        <x:v>1</x:v>
      </x:c>
    </x:row>
    <x:row r="112" ht="15" customHeight="1">
      <x:c r="A112" s="19">
        <x:v>110</x:v>
      </x:c>
      <x:c r="B112" s="19" t="s">
        <x:v>905</x:v>
      </x:c>
      <x:c r="C112" s="19" t="s">
        <x:v>934</x:v>
      </x:c>
      <x:c r="D112" s="19" t="s">
        <x:v>92</x:v>
      </x:c>
      <x:c r="E112" s="19" t="s">
        <x:v>14</x:v>
      </x:c>
      <x:c r="F112" s="19" t="s">
        <x:v>15</x:v>
      </x:c>
      <x:c r="G112" s="19" t="s">
        <x:v>1003</x:v>
      </x:c>
      <x:c r="H112" s="28" t="s">
        <x:v>1068</x:v>
      </x:c>
      <x:c r="I112" s="19">
        <x:v>1</x:v>
      </x:c>
      <x:c r="J112" s="19">
        <x:v>1</x:v>
      </x:c>
    </x:row>
    <x:row r="113" ht="15" customHeight="1">
      <x:c r="A113" s="19">
        <x:v>111</x:v>
      </x:c>
      <x:c r="B113" s="19" t="s">
        <x:v>905</x:v>
      </x:c>
      <x:c r="C113" s="19" t="s">
        <x:v>934</x:v>
      </x:c>
      <x:c r="D113" s="19" t="s">
        <x:v>92</x:v>
      </x:c>
      <x:c r="E113" s="19" t="s">
        <x:v>14</x:v>
      </x:c>
      <x:c r="F113" s="19" t="s">
        <x:v>15</x:v>
      </x:c>
      <x:c r="G113" s="19" t="s">
        <x:v>1004</x:v>
      </x:c>
      <x:c r="H113" s="28" t="s">
        <x:v>1066</x:v>
      </x:c>
      <x:c r="I113" s="19">
        <x:v>1</x:v>
      </x:c>
      <x:c r="J113" s="19">
        <x:v>1</x:v>
      </x:c>
    </x:row>
    <x:row r="114" ht="15" customHeight="1">
      <x:c r="A114" s="19">
        <x:v>112</x:v>
      </x:c>
      <x:c r="B114" s="19" t="s">
        <x:v>905</x:v>
      </x:c>
      <x:c r="C114" s="19" t="s">
        <x:v>934</x:v>
      </x:c>
      <x:c r="D114" s="19" t="s">
        <x:v>92</x:v>
      </x:c>
      <x:c r="E114" s="19" t="s">
        <x:v>14</x:v>
      </x:c>
      <x:c r="F114" s="19" t="s">
        <x:v>15</x:v>
      </x:c>
      <x:c r="G114" s="19" t="s">
        <x:v>1007</x:v>
      </x:c>
      <x:c r="H114" s="28" t="s">
        <x:v>1043</x:v>
      </x:c>
      <x:c r="I114" s="19">
        <x:v>1</x:v>
      </x:c>
      <x:c r="J114" s="19">
        <x:v>1</x:v>
      </x:c>
    </x:row>
    <x:row r="115" ht="15" customHeight="1">
      <x:c r="A115" s="19">
        <x:v>113</x:v>
      </x:c>
      <x:c r="B115" s="19" t="s">
        <x:v>905</x:v>
      </x:c>
      <x:c r="C115" s="19" t="s">
        <x:v>937</x:v>
      </x:c>
      <x:c r="D115" s="19" t="s">
        <x:v>92</x:v>
      </x:c>
      <x:c r="E115" s="19" t="s">
        <x:v>14</x:v>
      </x:c>
      <x:c r="F115" s="19" t="s">
        <x:v>15</x:v>
      </x:c>
      <x:c r="G115" s="19" t="s">
        <x:v>1004</x:v>
      </x:c>
      <x:c r="H115" s="28" t="s">
        <x:v>1112</x:v>
      </x:c>
      <x:c r="I115" s="19">
        <x:v>1</x:v>
      </x:c>
      <x:c r="J115" s="19">
        <x:v>1</x:v>
      </x:c>
    </x:row>
    <x:row r="116" ht="15" customHeight="1">
      <x:c r="A116" s="19">
        <x:v>114</x:v>
      </x:c>
      <x:c r="B116" s="19" t="s">
        <x:v>905</x:v>
      </x:c>
      <x:c r="C116" s="19" t="s">
        <x:v>938</x:v>
      </x:c>
      <x:c r="D116" s="19" t="s">
        <x:v>92</x:v>
      </x:c>
      <x:c r="E116" s="19" t="s">
        <x:v>14</x:v>
      </x:c>
      <x:c r="F116" s="19" t="s">
        <x:v>15</x:v>
      </x:c>
      <x:c r="G116" s="19" t="s">
        <x:v>1004</x:v>
      </x:c>
      <x:c r="H116" s="28" t="s">
        <x:v>1066</x:v>
      </x:c>
      <x:c r="I116" s="19">
        <x:v>1</x:v>
      </x:c>
      <x:c r="J116" s="19">
        <x:v>1</x:v>
      </x:c>
    </x:row>
    <x:row r="117" ht="15" customHeight="1">
      <x:c r="A117" s="19">
        <x:v>115</x:v>
      </x:c>
      <x:c r="B117" s="19" t="s">
        <x:v>905</x:v>
      </x:c>
      <x:c r="C117" s="19" t="s">
        <x:v>934</x:v>
      </x:c>
      <x:c r="D117" s="19" t="s">
        <x:v>37</x:v>
      </x:c>
      <x:c r="E117" s="19" t="s">
        <x:v>14</x:v>
      </x:c>
      <x:c r="F117" s="19" t="s">
        <x:v>15</x:v>
      </x:c>
      <x:c r="G117" s="19" t="s">
        <x:v>1004</x:v>
      </x:c>
      <x:c r="H117" s="28" t="s">
        <x:v>1041</x:v>
      </x:c>
      <x:c r="I117" s="19">
        <x:v>1</x:v>
      </x:c>
      <x:c r="J117" s="19">
        <x:v>1</x:v>
      </x:c>
    </x:row>
    <x:row r="118" ht="15" customHeight="1">
      <x:c r="A118" s="19">
        <x:v>116</x:v>
      </x:c>
      <x:c r="B118" s="19" t="s">
        <x:v>905</x:v>
      </x:c>
      <x:c r="C118" s="19" t="s">
        <x:v>934</x:v>
      </x:c>
      <x:c r="D118" s="19" t="s">
        <x:v>37</x:v>
      </x:c>
      <x:c r="E118" s="19" t="s">
        <x:v>14</x:v>
      </x:c>
      <x:c r="F118" s="19" t="s">
        <x:v>15</x:v>
      </x:c>
      <x:c r="G118" s="19" t="s">
        <x:v>977</x:v>
      </x:c>
      <x:c r="H118" s="28" t="s">
        <x:v>1043</x:v>
      </x:c>
      <x:c r="I118" s="19">
        <x:v>1</x:v>
      </x:c>
      <x:c r="J118" s="19">
        <x:v>1</x:v>
      </x:c>
    </x:row>
    <x:row r="119" ht="26.25" customHeight="1">
      <x:c r="A119" s="19">
        <x:v>117</x:v>
      </x:c>
      <x:c r="B119" s="19" t="s">
        <x:v>905</x:v>
      </x:c>
      <x:c r="C119" s="19" t="s">
        <x:v>936</x:v>
      </x:c>
      <x:c r="D119" s="19" t="s">
        <x:v>37</x:v>
      </x:c>
      <x:c r="E119" s="19" t="s">
        <x:v>14</x:v>
      </x:c>
      <x:c r="F119" s="19" t="s">
        <x:v>15</x:v>
      </x:c>
      <x:c r="G119" s="19" t="s">
        <x:v>969</x:v>
      </x:c>
      <x:c r="H119" s="19" t="s">
        <x:v>969</x:v>
      </x:c>
      <x:c r="I119" s="19">
        <x:v>1</x:v>
      </x:c>
      <x:c r="J119" s="19">
        <x:v>1</x:v>
      </x:c>
    </x:row>
    <x:row r="120" ht="26.25" customHeight="1">
      <x:c r="A120" s="19">
        <x:v>118</x:v>
      </x:c>
      <x:c r="B120" s="19" t="s">
        <x:v>905</x:v>
      </x:c>
      <x:c r="C120" s="19" t="s">
        <x:v>934</x:v>
      </x:c>
      <x:c r="D120" s="19" t="s">
        <x:v>37</x:v>
      </x:c>
      <x:c r="E120" s="19" t="s">
        <x:v>14</x:v>
      </x:c>
      <x:c r="F120" s="19" t="s">
        <x:v>15</x:v>
      </x:c>
      <x:c r="G120" s="19" t="s">
        <x:v>969</x:v>
      </x:c>
      <x:c r="H120" s="28" t="s">
        <x:v>1111</x:v>
      </x:c>
      <x:c r="I120" s="19">
        <x:v>1</x:v>
      </x:c>
      <x:c r="J120" s="19">
        <x:v>1</x:v>
      </x:c>
    </x:row>
    <x:row r="121" ht="15" customHeight="1">
      <x:c r="A121" s="19">
        <x:v>119</x:v>
      </x:c>
      <x:c r="B121" s="19" t="s">
        <x:v>905</x:v>
      </x:c>
      <x:c r="C121" s="19" t="s">
        <x:v>939</x:v>
      </x:c>
      <x:c r="D121" s="19" t="s">
        <x:v>37</x:v>
      </x:c>
      <x:c r="E121" s="19" t="s">
        <x:v>14</x:v>
      </x:c>
      <x:c r="F121" s="19" t="s">
        <x:v>15</x:v>
      </x:c>
      <x:c r="G121" s="19" t="s">
        <x:v>1012</x:v>
      </x:c>
      <x:c r="H121" s="29" t="s">
        <x:v>1113</x:v>
      </x:c>
      <x:c r="I121" s="19">
        <x:v>1</x:v>
      </x:c>
      <x:c r="J121" s="19">
        <x:v>1</x:v>
      </x:c>
    </x:row>
    <x:row r="122" ht="15" customHeight="1">
      <x:c r="A122" s="19">
        <x:v>120</x:v>
      </x:c>
      <x:c r="B122" s="19" t="s">
        <x:v>905</x:v>
      </x:c>
      <x:c r="C122" s="19" t="s">
        <x:v>934</x:v>
      </x:c>
      <x:c r="D122" s="19" t="s">
        <x:v>62</x:v>
      </x:c>
      <x:c r="E122" s="19" t="s">
        <x:v>14</x:v>
      </x:c>
      <x:c r="F122" s="19" t="s">
        <x:v>15</x:v>
      </x:c>
      <x:c r="G122" s="19" t="s">
        <x:v>1002</x:v>
      </x:c>
      <x:c r="H122" s="28" t="s">
        <x:v>1044</x:v>
      </x:c>
      <x:c r="I122" s="19">
        <x:v>1</x:v>
      </x:c>
      <x:c r="J122" s="19">
        <x:v>1</x:v>
      </x:c>
    </x:row>
    <x:row r="123" ht="26.25" customHeight="1">
      <x:c r="A123" s="19">
        <x:v>121</x:v>
      </x:c>
      <x:c r="B123" s="19" t="s">
        <x:v>905</x:v>
      </x:c>
      <x:c r="C123" s="19" t="s">
        <x:v>934</x:v>
      </x:c>
      <x:c r="D123" s="19" t="s">
        <x:v>62</x:v>
      </x:c>
      <x:c r="E123" s="19" t="s">
        <x:v>14</x:v>
      </x:c>
      <x:c r="F123" s="19" t="s">
        <x:v>15</x:v>
      </x:c>
      <x:c r="G123" s="19" t="s">
        <x:v>1002</x:v>
      </x:c>
      <x:c r="H123" s="19" t="s">
        <x:v>969</x:v>
      </x:c>
      <x:c r="I123" s="19">
        <x:v>1</x:v>
      </x:c>
      <x:c r="J123" s="19">
        <x:v>1</x:v>
      </x:c>
    </x:row>
    <x:row r="124" ht="26.25" customHeight="1">
      <x:c r="A124" s="19">
        <x:v>122</x:v>
      </x:c>
      <x:c r="B124" s="19" t="s">
        <x:v>905</x:v>
      </x:c>
      <x:c r="C124" s="19" t="s">
        <x:v>937</x:v>
      </x:c>
      <x:c r="D124" s="19" t="s">
        <x:v>62</x:v>
      </x:c>
      <x:c r="E124" s="19" t="s">
        <x:v>14</x:v>
      </x:c>
      <x:c r="F124" s="19" t="s">
        <x:v>15</x:v>
      </x:c>
      <x:c r="G124" s="19" t="s">
        <x:v>1004</x:v>
      </x:c>
      <x:c r="H124" s="19" t="s">
        <x:v>969</x:v>
      </x:c>
      <x:c r="I124" s="19">
        <x:v>1</x:v>
      </x:c>
      <x:c r="J124" s="19">
        <x:v>1</x:v>
      </x:c>
    </x:row>
    <x:row r="125" ht="15" customHeight="1">
      <x:c r="A125" s="19">
        <x:v>123</x:v>
      </x:c>
      <x:c r="B125" s="19" t="s">
        <x:v>905</x:v>
      </x:c>
      <x:c r="C125" s="19" t="s">
        <x:v>934</x:v>
      </x:c>
      <x:c r="D125" s="19" t="s">
        <x:v>62</x:v>
      </x:c>
      <x:c r="E125" s="19" t="s">
        <x:v>14</x:v>
      </x:c>
      <x:c r="F125" s="19" t="s">
        <x:v>15</x:v>
      </x:c>
      <x:c r="G125" s="19" t="s">
        <x:v>1006</x:v>
      </x:c>
      <x:c r="H125" s="28" t="s">
        <x:v>1052</x:v>
      </x:c>
      <x:c r="I125" s="19">
        <x:v>1</x:v>
      </x:c>
      <x:c r="J125" s="19">
        <x:v>1</x:v>
      </x:c>
    </x:row>
    <x:row r="126" ht="15" customHeight="1">
      <x:c r="A126" s="19">
        <x:v>124</x:v>
      </x:c>
      <x:c r="B126" s="19" t="s">
        <x:v>905</x:v>
      </x:c>
      <x:c r="C126" s="19" t="s">
        <x:v>934</x:v>
      </x:c>
      <x:c r="D126" s="19" t="s">
        <x:v>62</x:v>
      </x:c>
      <x:c r="E126" s="19" t="s">
        <x:v>14</x:v>
      </x:c>
      <x:c r="F126" s="19" t="s">
        <x:v>15</x:v>
      </x:c>
      <x:c r="G126" s="19" t="s">
        <x:v>981</x:v>
      </x:c>
      <x:c r="H126" s="28" t="s">
        <x:v>1108</x:v>
      </x:c>
      <x:c r="I126" s="19">
        <x:v>1</x:v>
      </x:c>
      <x:c r="J126" s="19">
        <x:v>1</x:v>
      </x:c>
    </x:row>
    <x:row r="127" ht="26.25" customHeight="1">
      <x:c r="A127" s="19">
        <x:v>125</x:v>
      </x:c>
      <x:c r="B127" s="19" t="s">
        <x:v>905</x:v>
      </x:c>
      <x:c r="C127" s="19" t="s">
        <x:v>934</x:v>
      </x:c>
      <x:c r="D127" s="19" t="s">
        <x:v>62</x:v>
      </x:c>
      <x:c r="E127" s="19" t="s">
        <x:v>14</x:v>
      </x:c>
      <x:c r="F127" s="19" t="s">
        <x:v>15</x:v>
      </x:c>
      <x:c r="G127" s="19" t="s">
        <x:v>969</x:v>
      </x:c>
      <x:c r="H127" s="28" t="s">
        <x:v>1111</x:v>
      </x:c>
      <x:c r="I127" s="19">
        <x:v>1</x:v>
      </x:c>
      <x:c r="J127" s="19">
        <x:v>1</x:v>
      </x:c>
    </x:row>
    <x:row r="128" ht="15" customHeight="1">
      <x:c r="A128" s="19">
        <x:v>126</x:v>
      </x:c>
      <x:c r="B128" s="19" t="s">
        <x:v>905</x:v>
      </x:c>
      <x:c r="C128" s="19" t="s">
        <x:v>934</x:v>
      </x:c>
      <x:c r="D128" s="19" t="s">
        <x:v>62</x:v>
      </x:c>
      <x:c r="E128" s="19" t="s">
        <x:v>89</x:v>
      </x:c>
      <x:c r="F128" s="19" t="s">
        <x:v>15</x:v>
      </x:c>
      <x:c r="G128" s="19" t="s">
        <x:v>1005</x:v>
      </x:c>
      <x:c r="H128" s="28" t="s">
        <x:v>1043</x:v>
      </x:c>
      <x:c r="I128" s="19">
        <x:v>1</x:v>
      </x:c>
      <x:c r="J128" s="19">
        <x:v>1</x:v>
      </x:c>
    </x:row>
    <x:row r="129" ht="15" customHeight="1">
      <x:c r="A129" s="19">
        <x:v>127</x:v>
      </x:c>
      <x:c r="B129" s="19" t="s">
        <x:v>905</x:v>
      </x:c>
      <x:c r="C129" s="19" t="s">
        <x:v>934</x:v>
      </x:c>
      <x:c r="D129" s="19" t="s">
        <x:v>22</x:v>
      </x:c>
      <x:c r="E129" s="19" t="s">
        <x:v>513</x:v>
      </x:c>
      <x:c r="F129" s="19" t="s">
        <x:v>15</x:v>
      </x:c>
      <x:c r="G129" s="19" t="s">
        <x:v>1002</x:v>
      </x:c>
      <x:c r="H129" s="28" t="s">
        <x:v>1114</x:v>
      </x:c>
      <x:c r="I129" s="19">
        <x:v>1</x:v>
      </x:c>
      <x:c r="J129" s="19">
        <x:v>0</x:v>
      </x:c>
    </x:row>
    <x:row r="130" ht="15" customHeight="1">
      <x:c r="A130" s="19">
        <x:v>128</x:v>
      </x:c>
      <x:c r="B130" s="19" t="s">
        <x:v>905</x:v>
      </x:c>
      <x:c r="C130" s="19" t="s">
        <x:v>934</x:v>
      </x:c>
      <x:c r="D130" s="19" t="s">
        <x:v>22</x:v>
      </x:c>
      <x:c r="E130" s="19" t="s">
        <x:v>89</x:v>
      </x:c>
      <x:c r="F130" s="19" t="s">
        <x:v>15</x:v>
      </x:c>
      <x:c r="G130" s="19" t="s">
        <x:v>1003</x:v>
      </x:c>
      <x:c r="H130" s="28" t="s">
        <x:v>1111</x:v>
      </x:c>
      <x:c r="I130" s="19">
        <x:v>1</x:v>
      </x:c>
      <x:c r="J130" s="19">
        <x:v>1</x:v>
      </x:c>
    </x:row>
    <x:row r="131" ht="15" customHeight="1">
      <x:c r="A131" s="19">
        <x:v>128</x:v>
      </x:c>
      <x:c r="B131" s="19" t="s">
        <x:v>905</x:v>
      </x:c>
      <x:c r="C131" s="19" t="s">
        <x:v>934</x:v>
      </x:c>
      <x:c r="D131" s="19" t="s">
        <x:v>22</x:v>
      </x:c>
      <x:c r="E131" s="19" t="s">
        <x:v>14</x:v>
      </x:c>
      <x:c r="F131" s="19" t="s">
        <x:v>15</x:v>
      </x:c>
      <x:c r="G131" s="19" t="s">
        <x:v>1003</x:v>
      </x:c>
      <x:c r="H131" s="28" t="s">
        <x:v>1111</x:v>
      </x:c>
      <x:c r="I131" s="19">
        <x:v>0</x:v>
      </x:c>
      <x:c r="J131" s="19">
        <x:v>1</x:v>
      </x:c>
    </x:row>
    <x:row r="132" ht="15" customHeight="1">
      <x:c r="A132" s="19">
        <x:v>129</x:v>
      </x:c>
      <x:c r="B132" s="19" t="s">
        <x:v>905</x:v>
      </x:c>
      <x:c r="C132" s="19" t="s">
        <x:v>934</x:v>
      </x:c>
      <x:c r="D132" s="19" t="s">
        <x:v>62</x:v>
      </x:c>
      <x:c r="E132" s="19" t="s">
        <x:v>522</x:v>
      </x:c>
      <x:c r="F132" s="19" t="s">
        <x:v>15</x:v>
      </x:c>
      <x:c r="G132" s="19" t="s">
        <x:v>976</x:v>
      </x:c>
      <x:c r="H132" s="28" t="s">
        <x:v>1042</x:v>
      </x:c>
      <x:c r="I132" s="19">
        <x:v>1</x:v>
      </x:c>
      <x:c r="J132" s="19">
        <x:v>0</x:v>
      </x:c>
    </x:row>
    <x:row r="133" ht="15" customHeight="1">
      <x:c r="A133" s="19">
        <x:v>130</x:v>
      </x:c>
      <x:c r="B133" s="19" t="s">
        <x:v>905</x:v>
      </x:c>
      <x:c r="C133" s="19" t="s">
        <x:v>937</x:v>
      </x:c>
      <x:c r="D133" s="19" t="s">
        <x:v>62</x:v>
      </x:c>
      <x:c r="E133" s="19" t="s">
        <x:v>14</x:v>
      </x:c>
      <x:c r="F133" s="19" t="s">
        <x:v>15</x:v>
      </x:c>
      <x:c r="G133" s="19" t="s">
        <x:v>1004</x:v>
      </x:c>
      <x:c r="H133" s="28" t="s">
        <x:v>1041</x:v>
      </x:c>
      <x:c r="I133" s="19">
        <x:v>1</x:v>
      </x:c>
      <x:c r="J133" s="19">
        <x:v>1</x:v>
      </x:c>
    </x:row>
    <x:row r="134" ht="15" customHeight="1">
      <x:c r="A134" s="19">
        <x:v>131</x:v>
      </x:c>
      <x:c r="B134" s="19" t="s">
        <x:v>905</x:v>
      </x:c>
      <x:c r="C134" s="19" t="s">
        <x:v>935</x:v>
      </x:c>
      <x:c r="D134" s="19" t="s">
        <x:v>62</x:v>
      </x:c>
      <x:c r="E134" s="19" t="s">
        <x:v>14</x:v>
      </x:c>
      <x:c r="F134" s="19" t="s">
        <x:v>15</x:v>
      </x:c>
      <x:c r="G134" s="19" t="s">
        <x:v>1006</x:v>
      </x:c>
      <x:c r="H134" s="28" t="s">
        <x:v>1111</x:v>
      </x:c>
      <x:c r="I134" s="19">
        <x:v>1</x:v>
      </x:c>
      <x:c r="J134" s="19">
        <x:v>1</x:v>
      </x:c>
    </x:row>
    <x:row r="135" ht="15" customHeight="1">
      <x:c r="A135" s="19">
        <x:v>132</x:v>
      </x:c>
      <x:c r="B135" s="19" t="s">
        <x:v>905</x:v>
      </x:c>
      <x:c r="C135" s="19" t="s">
        <x:v>935</x:v>
      </x:c>
      <x:c r="D135" s="19" t="s">
        <x:v>62</x:v>
      </x:c>
      <x:c r="E135" s="19" t="s">
        <x:v>14</x:v>
      </x:c>
      <x:c r="F135" s="19" t="s">
        <x:v>15</x:v>
      </x:c>
      <x:c r="G135" s="19" t="s">
        <x:v>1002</x:v>
      </x:c>
      <x:c r="H135" s="28" t="s">
        <x:v>1074</x:v>
      </x:c>
      <x:c r="I135" s="19">
        <x:v>1</x:v>
      </x:c>
      <x:c r="J135" s="19">
        <x:v>1</x:v>
      </x:c>
    </x:row>
    <x:row r="136" ht="15" customHeight="1">
      <x:c r="A136" s="19">
        <x:v>133</x:v>
      </x:c>
      <x:c r="B136" s="19" t="s">
        <x:v>905</x:v>
      </x:c>
      <x:c r="C136" s="19" t="s">
        <x:v>935</x:v>
      </x:c>
      <x:c r="D136" s="19" t="s">
        <x:v>62</x:v>
      </x:c>
      <x:c r="E136" s="19" t="s">
        <x:v>14</x:v>
      </x:c>
      <x:c r="F136" s="19" t="s">
        <x:v>40</x:v>
      </x:c>
      <x:c r="G136" s="19" t="s">
        <x:v>1010</x:v>
      </x:c>
      <x:c r="H136" s="28" t="s">
        <x:v>1073</x:v>
      </x:c>
      <x:c r="I136" s="19">
        <x:v>1</x:v>
      </x:c>
      <x:c r="J136" s="19">
        <x:v>1</x:v>
      </x:c>
    </x:row>
    <x:row r="137" ht="15" customHeight="1">
      <x:c r="A137" s="19">
        <x:v>134</x:v>
      </x:c>
      <x:c r="B137" s="19" t="s">
        <x:v>905</x:v>
      </x:c>
      <x:c r="C137" s="19" t="s">
        <x:v>935</x:v>
      </x:c>
      <x:c r="D137" s="19" t="s">
        <x:v>62</x:v>
      </x:c>
      <x:c r="E137" s="19" t="s">
        <x:v>14</x:v>
      </x:c>
      <x:c r="F137" s="19" t="s">
        <x:v>40</x:v>
      </x:c>
      <x:c r="G137" s="19" t="s">
        <x:v>1009</x:v>
      </x:c>
      <x:c r="H137" s="28" t="s">
        <x:v>1072</x:v>
      </x:c>
      <x:c r="I137" s="19">
        <x:v>1</x:v>
      </x:c>
      <x:c r="J137" s="19">
        <x:v>1</x:v>
      </x:c>
    </x:row>
    <x:row r="138" ht="15" customHeight="1">
      <x:c r="A138" s="19">
        <x:v>135</x:v>
      </x:c>
      <x:c r="B138" s="19" t="s">
        <x:v>905</x:v>
      </x:c>
      <x:c r="C138" s="19" t="s">
        <x:v>935</x:v>
      </x:c>
      <x:c r="D138" s="19" t="s">
        <x:v>92</x:v>
      </x:c>
      <x:c r="E138" s="19" t="s">
        <x:v>89</x:v>
      </x:c>
      <x:c r="F138" s="19" t="s">
        <x:v>40</x:v>
      </x:c>
      <x:c r="G138" s="19" t="s">
        <x:v>1008</x:v>
      </x:c>
      <x:c r="H138" s="28" t="s">
        <x:v>1115</x:v>
      </x:c>
      <x:c r="I138" s="19">
        <x:v>1</x:v>
      </x:c>
      <x:c r="J138" s="19">
        <x:v>1</x:v>
      </x:c>
    </x:row>
    <x:row r="139" ht="26.25" customHeight="1">
      <x:c r="A139" s="19">
        <x:v>136</x:v>
      </x:c>
      <x:c r="B139" s="19" t="s">
        <x:v>906</x:v>
      </x:c>
      <x:c r="C139" s="19" t="s">
        <x:v>943</x:v>
      </x:c>
      <x:c r="D139" s="19" t="s">
        <x:v>62</x:v>
      </x:c>
      <x:c r="E139" s="19" t="s">
        <x:v>14</x:v>
      </x:c>
      <x:c r="F139" s="19" t="s">
        <x:v>15</x:v>
      </x:c>
      <x:c r="G139" s="19" t="s">
        <x:v>1004</x:v>
      </x:c>
      <x:c r="H139" s="28" t="s">
        <x:v>1077</x:v>
      </x:c>
      <x:c r="I139" s="19">
        <x:v>1</x:v>
      </x:c>
      <x:c r="J139" s="19">
        <x:v>1</x:v>
      </x:c>
    </x:row>
    <x:row r="140" ht="26.25" customHeight="1">
      <x:c r="A140" s="19">
        <x:v>137</x:v>
      </x:c>
      <x:c r="B140" s="19" t="s">
        <x:v>906</x:v>
      </x:c>
      <x:c r="C140" s="19" t="s">
        <x:v>943</x:v>
      </x:c>
      <x:c r="D140" s="19" t="s">
        <x:v>11</x:v>
      </x:c>
      <x:c r="E140" s="19" t="s">
        <x:v>433</x:v>
      </x:c>
      <x:c r="F140" s="19" t="s">
        <x:v>15</x:v>
      </x:c>
      <x:c r="G140" s="19" t="s">
        <x:v>1004</x:v>
      </x:c>
      <x:c r="H140" s="28" t="s">
        <x:v>1077</x:v>
      </x:c>
      <x:c r="I140" s="19">
        <x:v>1</x:v>
      </x:c>
      <x:c r="J140" s="19">
        <x:v>0</x:v>
      </x:c>
    </x:row>
    <x:row r="141" ht="26.25" customHeight="1">
      <x:c r="A141" s="19">
        <x:v>138</x:v>
      </x:c>
      <x:c r="B141" s="19" t="s">
        <x:v>906</x:v>
      </x:c>
      <x:c r="C141" s="19" t="s">
        <x:v>943</x:v>
      </x:c>
      <x:c r="D141" s="19" t="s">
        <x:v>92</x:v>
      </x:c>
      <x:c r="E141" s="19" t="s">
        <x:v>14</x:v>
      </x:c>
      <x:c r="F141" s="19" t="s">
        <x:v>15</x:v>
      </x:c>
      <x:c r="G141" s="19" t="s">
        <x:v>1004</x:v>
      </x:c>
      <x:c r="H141" s="28" t="s">
        <x:v>1066</x:v>
      </x:c>
      <x:c r="I141" s="19">
        <x:v>1</x:v>
      </x:c>
      <x:c r="J141" s="19">
        <x:v>1</x:v>
      </x:c>
    </x:row>
    <x:row r="142" ht="26.25" customHeight="1">
      <x:c r="A142" s="19">
        <x:v>139</x:v>
      </x:c>
      <x:c r="B142" s="19" t="s">
        <x:v>906</x:v>
      </x:c>
      <x:c r="C142" s="19" t="s">
        <x:v>943</x:v>
      </x:c>
      <x:c r="D142" s="19" t="s">
        <x:v>37</x:v>
      </x:c>
      <x:c r="E142" s="19" t="s">
        <x:v>14</x:v>
      </x:c>
      <x:c r="F142" s="19" t="s">
        <x:v>15</x:v>
      </x:c>
      <x:c r="G142" s="19" t="s">
        <x:v>1004</x:v>
      </x:c>
      <x:c r="H142" s="28" t="s">
        <x:v>1077</x:v>
      </x:c>
      <x:c r="I142" s="19">
        <x:v>1</x:v>
      </x:c>
      <x:c r="J142" s="19">
        <x:v>1</x:v>
      </x:c>
    </x:row>
    <x:row r="143" ht="26.25" customHeight="1">
      <x:c r="A143" s="19">
        <x:v>140</x:v>
      </x:c>
      <x:c r="B143" s="19" t="s">
        <x:v>906</x:v>
      </x:c>
      <x:c r="C143" s="19" t="s">
        <x:v>943</x:v>
      </x:c>
      <x:c r="D143" s="19" t="s">
        <x:v>37</x:v>
      </x:c>
      <x:c r="E143" s="19" t="s">
        <x:v>14</x:v>
      </x:c>
      <x:c r="F143" s="19" t="s">
        <x:v>15</x:v>
      </x:c>
      <x:c r="G143" s="19" t="s">
        <x:v>1004</x:v>
      </x:c>
      <x:c r="H143" s="28" t="s">
        <x:v>1041</x:v>
      </x:c>
      <x:c r="I143" s="19">
        <x:v>1</x:v>
      </x:c>
      <x:c r="J143" s="19">
        <x:v>1</x:v>
      </x:c>
    </x:row>
    <x:row r="144" ht="26.25" customHeight="1">
      <x:c r="A144" s="19">
        <x:v>141</x:v>
      </x:c>
      <x:c r="B144" s="19" t="s">
        <x:v>906</x:v>
      </x:c>
      <x:c r="C144" s="19" t="s">
        <x:v>943</x:v>
      </x:c>
      <x:c r="D144" s="19" t="s">
        <x:v>37</x:v>
      </x:c>
      <x:c r="E144" s="19" t="s">
        <x:v>14</x:v>
      </x:c>
      <x:c r="F144" s="19" t="s">
        <x:v>99</x:v>
      </x:c>
      <x:c r="G144" s="19" t="s">
        <x:v>1004</x:v>
      </x:c>
      <x:c r="H144" s="28" t="s">
        <x:v>1041</x:v>
      </x:c>
      <x:c r="I144" s="19">
        <x:v>1</x:v>
      </x:c>
      <x:c r="J144" s="19">
        <x:v>1</x:v>
      </x:c>
    </x:row>
    <x:row r="145" ht="26.25" customHeight="1">
      <x:c r="A145" s="19">
        <x:v>142</x:v>
      </x:c>
      <x:c r="B145" s="19" t="s">
        <x:v>906</x:v>
      </x:c>
      <x:c r="C145" s="19" t="s">
        <x:v>943</x:v>
      </x:c>
      <x:c r="D145" s="19" t="s">
        <x:v>62</x:v>
      </x:c>
      <x:c r="E145" s="19" t="s">
        <x:v>14</x:v>
      </x:c>
      <x:c r="F145" s="19" t="s">
        <x:v>99</x:v>
      </x:c>
      <x:c r="G145" s="19" t="s">
        <x:v>1004</x:v>
      </x:c>
      <x:c r="H145" s="28" t="s">
        <x:v>1077</x:v>
      </x:c>
      <x:c r="I145" s="19">
        <x:v>1</x:v>
      </x:c>
      <x:c r="J145" s="19">
        <x:v>1</x:v>
      </x:c>
    </x:row>
    <x:row r="146" ht="26.25" customHeight="1">
      <x:c r="A146" s="19">
        <x:v>143</x:v>
      </x:c>
      <x:c r="B146" s="19" t="s">
        <x:v>906</x:v>
      </x:c>
      <x:c r="C146" s="19" t="s">
        <x:v>943</x:v>
      </x:c>
      <x:c r="D146" s="19" t="s">
        <x:v>92</x:v>
      </x:c>
      <x:c r="E146" s="19" t="s">
        <x:v>579</x:v>
      </x:c>
      <x:c r="F146" s="19" t="s">
        <x:v>15</x:v>
      </x:c>
      <x:c r="G146" s="19" t="s">
        <x:v>1014</x:v>
      </x:c>
      <x:c r="H146" s="28" t="s">
        <x:v>1116</x:v>
      </x:c>
      <x:c r="I146" s="19">
        <x:v>1</x:v>
      </x:c>
      <x:c r="J146" s="19">
        <x:v>0</x:v>
      </x:c>
    </x:row>
    <x:row r="147" ht="26.25" customHeight="1">
      <x:c r="A147" s="19">
        <x:v>144</x:v>
      </x:c>
      <x:c r="B147" s="19" t="s">
        <x:v>906</x:v>
      </x:c>
      <x:c r="C147" s="19" t="s">
        <x:v>943</x:v>
      </x:c>
      <x:c r="D147" s="19" t="s">
        <x:v>37</x:v>
      </x:c>
      <x:c r="E147" s="19" t="s">
        <x:v>244</x:v>
      </x:c>
      <x:c r="F147" s="19" t="s">
        <x:v>15</x:v>
      </x:c>
      <x:c r="G147" s="19" t="s">
        <x:v>1004</x:v>
      </x:c>
      <x:c r="H147" s="28" t="s">
        <x:v>1041</x:v>
      </x:c>
      <x:c r="I147" s="19">
        <x:v>1</x:v>
      </x:c>
      <x:c r="J147" s="19">
        <x:v>0</x:v>
      </x:c>
    </x:row>
    <x:row r="148" ht="26.25" customHeight="1">
      <x:c r="A148" s="19">
        <x:v>145</x:v>
      </x:c>
      <x:c r="B148" s="19" t="s">
        <x:v>906</x:v>
      </x:c>
      <x:c r="C148" s="19" t="s">
        <x:v>944</x:v>
      </x:c>
      <x:c r="D148" s="19" t="s">
        <x:v>37</x:v>
      </x:c>
      <x:c r="E148" s="19" t="s">
        <x:v>329</x:v>
      </x:c>
      <x:c r="F148" s="19" t="s">
        <x:v>15</x:v>
      </x:c>
      <x:c r="G148" s="19" t="s">
        <x:v>1013</x:v>
      </x:c>
      <x:c r="H148" s="19" t="s">
        <x:v>969</x:v>
      </x:c>
      <x:c r="I148" s="19">
        <x:v>1</x:v>
      </x:c>
      <x:c r="J148" s="19">
        <x:v>0</x:v>
      </x:c>
    </x:row>
    <x:row r="149" ht="15" customHeight="1">
      <x:c r="A149" s="19">
        <x:v>146</x:v>
      </x:c>
      <x:c r="B149" s="19" t="s">
        <x:v>906</x:v>
      </x:c>
      <x:c r="C149" s="19" t="s">
        <x:v>947</x:v>
      </x:c>
      <x:c r="D149" s="19" t="s">
        <x:v>92</x:v>
      </x:c>
      <x:c r="E149" s="19" t="s">
        <x:v>14</x:v>
      </x:c>
      <x:c r="F149" s="19" t="s">
        <x:v>15</x:v>
      </x:c>
      <x:c r="G149" s="19" t="s">
        <x:v>1004</x:v>
      </x:c>
      <x:c r="H149" s="28" t="s">
        <x:v>1042</x:v>
      </x:c>
      <x:c r="I149" s="19">
        <x:v>1</x:v>
      </x:c>
      <x:c r="J149" s="19">
        <x:v>1</x:v>
      </x:c>
    </x:row>
    <x:row r="150" ht="15" customHeight="1">
      <x:c r="A150" s="19">
        <x:v>147</x:v>
      </x:c>
      <x:c r="B150" s="19" t="s">
        <x:v>906</x:v>
      </x:c>
      <x:c r="C150" s="19" t="s">
        <x:v>948</x:v>
      </x:c>
      <x:c r="D150" s="19" t="s">
        <x:v>37</x:v>
      </x:c>
      <x:c r="E150" s="19" t="s">
        <x:v>14</x:v>
      </x:c>
      <x:c r="F150" s="19" t="s">
        <x:v>15</x:v>
      </x:c>
      <x:c r="G150" s="19" t="s">
        <x:v>1004</x:v>
      </x:c>
      <x:c r="H150" s="28" t="s">
        <x:v>1041</x:v>
      </x:c>
      <x:c r="I150" s="19">
        <x:v>1</x:v>
      </x:c>
      <x:c r="J150" s="19">
        <x:v>1</x:v>
      </x:c>
    </x:row>
    <x:row r="151" ht="15" customHeight="1">
      <x:c r="A151" s="19">
        <x:v>148</x:v>
      </x:c>
      <x:c r="B151" s="19" t="s">
        <x:v>906</x:v>
      </x:c>
      <x:c r="C151" s="19" t="s">
        <x:v>947</x:v>
      </x:c>
      <x:c r="D151" s="19" t="s">
        <x:v>37</x:v>
      </x:c>
      <x:c r="E151" s="19" t="s">
        <x:v>14</x:v>
      </x:c>
      <x:c r="F151" s="19" t="s">
        <x:v>40</x:v>
      </x:c>
      <x:c r="G151" s="19" t="s">
        <x:v>1004</x:v>
      </x:c>
      <x:c r="H151" s="28" t="s">
        <x:v>1041</x:v>
      </x:c>
      <x:c r="I151" s="19">
        <x:v>1</x:v>
      </x:c>
      <x:c r="J151" s="19">
        <x:v>1</x:v>
      </x:c>
    </x:row>
    <x:row r="152" ht="15" customHeight="1">
      <x:c r="A152" s="19">
        <x:v>149</x:v>
      </x:c>
      <x:c r="B152" s="19" t="s">
        <x:v>906</x:v>
      </x:c>
      <x:c r="C152" s="19" t="s">
        <x:v>947</x:v>
      </x:c>
      <x:c r="D152" s="19" t="s">
        <x:v>62</x:v>
      </x:c>
      <x:c r="E152" s="19" t="s">
        <x:v>14</x:v>
      </x:c>
      <x:c r="F152" s="19" t="s">
        <x:v>15</x:v>
      </x:c>
      <x:c r="G152" s="19" t="s">
        <x:v>1004</x:v>
      </x:c>
      <x:c r="H152" s="28" t="s">
        <x:v>1077</x:v>
      </x:c>
      <x:c r="I152" s="19">
        <x:v>1</x:v>
      </x:c>
      <x:c r="J152" s="19">
        <x:v>1</x:v>
      </x:c>
    </x:row>
    <x:row r="153" ht="15" customHeight="1">
      <x:c r="A153" s="19">
        <x:v>150</x:v>
      </x:c>
      <x:c r="B153" s="19" t="s">
        <x:v>906</x:v>
      </x:c>
      <x:c r="C153" s="19" t="s">
        <x:v>949</x:v>
      </x:c>
      <x:c r="D153" s="19" t="s">
        <x:v>22</x:v>
      </x:c>
      <x:c r="E153" s="19" t="s">
        <x:v>14</x:v>
      </x:c>
      <x:c r="F153" s="19" t="s">
        <x:v>99</x:v>
      </x:c>
      <x:c r="G153" s="19" t="s">
        <x:v>1004</x:v>
      </x:c>
      <x:c r="H153" s="28" t="s">
        <x:v>1077</x:v>
      </x:c>
      <x:c r="I153" s="19">
        <x:v>1</x:v>
      </x:c>
      <x:c r="J153" s="19">
        <x:v>1</x:v>
      </x:c>
    </x:row>
    <x:row r="154" ht="15" customHeight="1">
      <x:c r="A154" s="19">
        <x:v>151</x:v>
      </x:c>
      <x:c r="B154" s="19" t="s">
        <x:v>906</x:v>
      </x:c>
      <x:c r="C154" s="19" t="s">
        <x:v>950</x:v>
      </x:c>
      <x:c r="D154" s="19" t="s">
        <x:v>37</x:v>
      </x:c>
      <x:c r="E154" s="19" t="s">
        <x:v>14</x:v>
      </x:c>
      <x:c r="F154" s="19" t="s">
        <x:v>40</x:v>
      </x:c>
      <x:c r="G154" s="19" t="s">
        <x:v>1004</x:v>
      </x:c>
      <x:c r="H154" s="28" t="s">
        <x:v>1041</x:v>
      </x:c>
      <x:c r="I154" s="19">
        <x:v>1</x:v>
      </x:c>
      <x:c r="J154" s="19">
        <x:v>1</x:v>
      </x:c>
    </x:row>
    <x:row r="155" ht="15" customHeight="1">
      <x:c r="A155" s="19">
        <x:v>152</x:v>
      </x:c>
      <x:c r="B155" s="19" t="s">
        <x:v>906</x:v>
      </x:c>
      <x:c r="C155" s="19" t="s">
        <x:v>951</x:v>
      </x:c>
      <x:c r="D155" s="19" t="s">
        <x:v>11</x:v>
      </x:c>
      <x:c r="E155" s="19" t="s">
        <x:v>14</x:v>
      </x:c>
      <x:c r="F155" s="19" t="s">
        <x:v>15</x:v>
      </x:c>
      <x:c r="G155" s="19" t="s">
        <x:v>1004</x:v>
      </x:c>
      <x:c r="H155" s="28" t="s">
        <x:v>1066</x:v>
      </x:c>
      <x:c r="I155" s="19">
        <x:v>1</x:v>
      </x:c>
      <x:c r="J155" s="19">
        <x:v>1</x:v>
      </x:c>
    </x:row>
    <x:row r="156" ht="15" customHeight="1">
      <x:c r="A156" s="19">
        <x:v>153</x:v>
      </x:c>
      <x:c r="B156" s="19" t="s">
        <x:v>906</x:v>
      </x:c>
      <x:c r="C156" s="19" t="s">
        <x:v>945</x:v>
      </x:c>
      <x:c r="D156" s="19" t="s">
        <x:v>62</x:v>
      </x:c>
      <x:c r="E156" s="19" t="s">
        <x:v>14</x:v>
      </x:c>
      <x:c r="F156" s="19" t="s">
        <x:v>99</x:v>
      </x:c>
      <x:c r="G156" s="19" t="s">
        <x:v>1004</x:v>
      </x:c>
      <x:c r="H156" s="28" t="s">
        <x:v>1077</x:v>
      </x:c>
      <x:c r="I156" s="19">
        <x:v>1</x:v>
      </x:c>
      <x:c r="J156" s="19">
        <x:v>1</x:v>
      </x:c>
    </x:row>
    <x:row r="157" ht="15" customHeight="1">
      <x:c r="A157" s="19">
        <x:v>154</x:v>
      </x:c>
      <x:c r="B157" s="19" t="s">
        <x:v>906</x:v>
      </x:c>
      <x:c r="C157" s="19" t="s">
        <x:v>945</x:v>
      </x:c>
      <x:c r="D157" s="19" t="s">
        <x:v>92</x:v>
      </x:c>
      <x:c r="E157" s="19" t="s">
        <x:v>14</x:v>
      </x:c>
      <x:c r="F157" s="19" t="s">
        <x:v>15</x:v>
      </x:c>
      <x:c r="G157" s="19" t="s">
        <x:v>1004</x:v>
      </x:c>
      <x:c r="H157" s="28" t="s">
        <x:v>1066</x:v>
      </x:c>
      <x:c r="I157" s="19">
        <x:v>1</x:v>
      </x:c>
      <x:c r="J157" s="19">
        <x:v>1</x:v>
      </x:c>
    </x:row>
    <x:row r="158" ht="15" customHeight="1">
      <x:c r="A158" s="19">
        <x:v>155</x:v>
      </x:c>
      <x:c r="B158" s="19" t="s">
        <x:v>906</x:v>
      </x:c>
      <x:c r="C158" s="19" t="s">
        <x:v>945</x:v>
      </x:c>
      <x:c r="D158" s="19" t="s">
        <x:v>92</x:v>
      </x:c>
      <x:c r="E158" s="19" t="s">
        <x:v>14</x:v>
      </x:c>
      <x:c r="F158" s="19" t="s">
        <x:v>15</x:v>
      </x:c>
      <x:c r="G158" s="19" t="s">
        <x:v>1004</x:v>
      </x:c>
      <x:c r="H158" s="28" t="s">
        <x:v>1066</x:v>
      </x:c>
      <x:c r="I158" s="19">
        <x:v>1</x:v>
      </x:c>
      <x:c r="J158" s="19">
        <x:v>1</x:v>
      </x:c>
    </x:row>
    <x:row r="159" ht="15" customHeight="1">
      <x:c r="A159" s="19">
        <x:v>156</x:v>
      </x:c>
      <x:c r="B159" s="19" t="s">
        <x:v>906</x:v>
      </x:c>
      <x:c r="C159" s="19" t="s">
        <x:v>945</x:v>
      </x:c>
      <x:c r="D159" s="19" t="s">
        <x:v>22</x:v>
      </x:c>
      <x:c r="E159" s="19" t="s">
        <x:v>14</x:v>
      </x:c>
      <x:c r="F159" s="19" t="s">
        <x:v>15</x:v>
      </x:c>
      <x:c r="G159" s="19" t="s">
        <x:v>1017</x:v>
      </x:c>
      <x:c r="H159" s="28" t="s">
        <x:v>1042</x:v>
      </x:c>
      <x:c r="I159" s="19">
        <x:v>1</x:v>
      </x:c>
      <x:c r="J159" s="19">
        <x:v>1</x:v>
      </x:c>
    </x:row>
    <x:row r="160" ht="15" customHeight="1">
      <x:c r="A160" s="19">
        <x:v>157</x:v>
      </x:c>
      <x:c r="B160" s="19" t="s">
        <x:v>906</x:v>
      </x:c>
      <x:c r="C160" s="19" t="s">
        <x:v>945</x:v>
      </x:c>
      <x:c r="D160" s="19" t="s">
        <x:v>22</x:v>
      </x:c>
      <x:c r="E160" s="19" t="s">
        <x:v>14</x:v>
      </x:c>
      <x:c r="F160" s="19" t="s">
        <x:v>40</x:v>
      </x:c>
      <x:c r="G160" s="19" t="s">
        <x:v>1004</x:v>
      </x:c>
      <x:c r="H160" s="28" t="s">
        <x:v>1066</x:v>
      </x:c>
      <x:c r="I160" s="19">
        <x:v>1</x:v>
      </x:c>
      <x:c r="J160" s="19">
        <x:v>1</x:v>
      </x:c>
    </x:row>
    <x:row r="161" ht="15" customHeight="1">
      <x:c r="A161" s="19">
        <x:v>158</x:v>
      </x:c>
      <x:c r="B161" s="19" t="s">
        <x:v>906</x:v>
      </x:c>
      <x:c r="C161" s="19" t="s">
        <x:v>945</x:v>
      </x:c>
      <x:c r="D161" s="19" t="s">
        <x:v>62</x:v>
      </x:c>
      <x:c r="E161" s="19" t="s">
        <x:v>14</x:v>
      </x:c>
      <x:c r="F161" s="19" t="s">
        <x:v>15</x:v>
      </x:c>
      <x:c r="G161" s="19" t="s">
        <x:v>1015</x:v>
      </x:c>
      <x:c r="H161" s="28" t="s">
        <x:v>1041</x:v>
      </x:c>
      <x:c r="I161" s="19">
        <x:v>1</x:v>
      </x:c>
      <x:c r="J161" s="19">
        <x:v>1</x:v>
      </x:c>
    </x:row>
    <x:row r="162" ht="26.25" customHeight="1">
      <x:c r="A162" s="19">
        <x:v>159</x:v>
      </x:c>
      <x:c r="B162" s="19" t="s">
        <x:v>906</x:v>
      </x:c>
      <x:c r="C162" s="19" t="s">
        <x:v>945</x:v>
      </x:c>
      <x:c r="D162" s="19" t="s">
        <x:v>62</x:v>
      </x:c>
      <x:c r="E162" s="19" t="s">
        <x:v>89</x:v>
      </x:c>
      <x:c r="F162" s="19" t="s">
        <x:v>15</x:v>
      </x:c>
      <x:c r="G162" s="19" t="s">
        <x:v>1016</x:v>
      </x:c>
      <x:c r="H162" s="19" t="s">
        <x:v>969</x:v>
      </x:c>
      <x:c r="I162" s="19">
        <x:v>1</x:v>
      </x:c>
      <x:c r="J162" s="19">
        <x:v>1</x:v>
      </x:c>
    </x:row>
    <x:row r="163" ht="26.25" customHeight="1">
      <x:c r="A163" s="19">
        <x:v>160</x:v>
      </x:c>
      <x:c r="B163" s="19" t="s">
        <x:v>906</x:v>
      </x:c>
      <x:c r="C163" s="19" t="s">
        <x:v>952</x:v>
      </x:c>
      <x:c r="D163" s="19" t="s">
        <x:v>22</x:v>
      </x:c>
      <x:c r="E163" s="19" t="s">
        <x:v>14</x:v>
      </x:c>
      <x:c r="F163" s="19" t="s">
        <x:v>15</x:v>
      </x:c>
      <x:c r="G163" s="19" t="s">
        <x:v>969</x:v>
      </x:c>
      <x:c r="H163" s="19" t="s">
        <x:v>969</x:v>
      </x:c>
      <x:c r="I163" s="19">
        <x:v>1</x:v>
      </x:c>
      <x:c r="J163" s="19">
        <x:v>1</x:v>
      </x:c>
    </x:row>
    <x:row r="164" ht="15" customHeight="1">
      <x:c r="A164" s="19">
        <x:v>161</x:v>
      </x:c>
      <x:c r="B164" s="19" t="s">
        <x:v>906</x:v>
      </x:c>
      <x:c r="C164" s="19" t="s">
        <x:v>651</x:v>
      </x:c>
      <x:c r="D164" s="19" t="s">
        <x:v>11</x:v>
      </x:c>
      <x:c r="E164" s="19" t="s">
        <x:v>14</x:v>
      </x:c>
      <x:c r="F164" s="19" t="s">
        <x:v>15</x:v>
      </x:c>
      <x:c r="G164" s="19" t="s">
        <x:v>1004</x:v>
      </x:c>
      <x:c r="H164" s="28" t="s">
        <x:v>1066</x:v>
      </x:c>
      <x:c r="I164" s="19">
        <x:v>1</x:v>
      </x:c>
      <x:c r="J164" s="19">
        <x:v>1</x:v>
      </x:c>
    </x:row>
    <x:row r="165" ht="15" customHeight="1">
      <x:c r="A165" s="19">
        <x:v>162</x:v>
      </x:c>
      <x:c r="B165" s="19" t="s">
        <x:v>906</x:v>
      </x:c>
      <x:c r="C165" s="19" t="s">
        <x:v>651</x:v>
      </x:c>
      <x:c r="D165" s="19" t="s">
        <x:v>92</x:v>
      </x:c>
      <x:c r="E165" s="19" t="s">
        <x:v>14</x:v>
      </x:c>
      <x:c r="F165" s="19" t="s">
        <x:v>15</x:v>
      </x:c>
      <x:c r="G165" s="19" t="s">
        <x:v>1004</x:v>
      </x:c>
      <x:c r="H165" s="28" t="s">
        <x:v>1071</x:v>
      </x:c>
      <x:c r="I165" s="19">
        <x:v>1</x:v>
      </x:c>
      <x:c r="J165" s="19">
        <x:v>1</x:v>
      </x:c>
    </x:row>
    <x:row r="166" ht="26.25" customHeight="1">
      <x:c r="A166" s="19">
        <x:v>163</x:v>
      </x:c>
      <x:c r="B166" s="19" t="s">
        <x:v>906</x:v>
      </x:c>
      <x:c r="C166" s="19" t="s">
        <x:v>946</x:v>
      </x:c>
      <x:c r="D166" s="19" t="s">
        <x:v>37</x:v>
      </x:c>
      <x:c r="E166" s="19" t="s">
        <x:v>14</x:v>
      </x:c>
      <x:c r="F166" s="19" t="s">
        <x:v>15</x:v>
      </x:c>
      <x:c r="G166" s="19" t="s">
        <x:v>969</x:v>
      </x:c>
      <x:c r="H166" s="28" t="s">
        <x:v>1111</x:v>
      </x:c>
      <x:c r="I166" s="19">
        <x:v>1</x:v>
      </x:c>
      <x:c r="J166" s="19">
        <x:v>1</x:v>
      </x:c>
    </x:row>
    <x:row r="167" ht="15" customHeight="1">
      <x:c r="A167" s="19">
        <x:v>164</x:v>
      </x:c>
      <x:c r="B167" s="19" t="s">
        <x:v>906</x:v>
      </x:c>
      <x:c r="C167" s="19" t="s">
        <x:v>946</x:v>
      </x:c>
      <x:c r="D167" s="19" t="s">
        <x:v>37</x:v>
      </x:c>
      <x:c r="E167" s="19" t="s">
        <x:v>14</x:v>
      </x:c>
      <x:c r="F167" s="19" t="s">
        <x:v>15</x:v>
      </x:c>
      <x:c r="G167" s="19" t="s">
        <x:v>1018</x:v>
      </x:c>
      <x:c r="H167" s="28" t="s">
        <x:v>1071</x:v>
      </x:c>
      <x:c r="I167" s="19">
        <x:v>1</x:v>
      </x:c>
      <x:c r="J167" s="19">
        <x:v>1</x:v>
      </x:c>
    </x:row>
    <x:row r="168" ht="15" customHeight="1">
      <x:c r="A168" s="19">
        <x:v>165</x:v>
      </x:c>
      <x:c r="B168" s="19" t="s">
        <x:v>906</x:v>
      </x:c>
      <x:c r="C168" s="19" t="s">
        <x:v>946</x:v>
      </x:c>
      <x:c r="D168" s="19" t="s">
        <x:v>62</x:v>
      </x:c>
      <x:c r="E168" s="19" t="s">
        <x:v>14</x:v>
      </x:c>
      <x:c r="F168" s="19" t="s">
        <x:v>40</x:v>
      </x:c>
      <x:c r="G168" s="19" t="s">
        <x:v>1004</x:v>
      </x:c>
      <x:c r="H168" s="28" t="s">
        <x:v>1041</x:v>
      </x:c>
      <x:c r="I168" s="19">
        <x:v>1</x:v>
      </x:c>
      <x:c r="J168" s="19">
        <x:v>1</x:v>
      </x:c>
    </x:row>
    <x:row r="169" ht="15" customHeight="1">
      <x:c r="A169" s="19">
        <x:v>166</x:v>
      </x:c>
      <x:c r="B169" s="19" t="s">
        <x:v>906</x:v>
      </x:c>
      <x:c r="C169" s="19" t="s">
        <x:v>946</x:v>
      </x:c>
      <x:c r="D169" s="19" t="s">
        <x:v>37</x:v>
      </x:c>
      <x:c r="E169" s="19" t="s">
        <x:v>244</x:v>
      </x:c>
      <x:c r="F169" s="19" t="s">
        <x:v>99</x:v>
      </x:c>
      <x:c r="G169" s="19" t="s">
        <x:v>1004</x:v>
      </x:c>
      <x:c r="H169" s="28" t="s">
        <x:v>1041</x:v>
      </x:c>
      <x:c r="I169" s="19">
        <x:v>1</x:v>
      </x:c>
      <x:c r="J169" s="19">
        <x:v>0</x:v>
      </x:c>
    </x:row>
    <x:row r="170" ht="15" customHeight="1">
      <x:c r="A170" s="19">
        <x:v>167</x:v>
      </x:c>
      <x:c r="B170" s="19" t="s">
        <x:v>906</x:v>
      </x:c>
      <x:c r="C170" s="19" t="s">
        <x:v>944</x:v>
      </x:c>
      <x:c r="D170" s="19" t="s">
        <x:v>22</x:v>
      </x:c>
      <x:c r="E170" s="19" t="s">
        <x:v>14</x:v>
      </x:c>
      <x:c r="F170" s="19" t="s">
        <x:v>15</x:v>
      </x:c>
      <x:c r="G170" s="19" t="s">
        <x:v>967</x:v>
      </x:c>
      <x:c r="H170" s="28" t="s">
        <x:v>1042</x:v>
      </x:c>
      <x:c r="I170" s="19">
        <x:v>1</x:v>
      </x:c>
      <x:c r="J170" s="19">
        <x:v>1</x:v>
      </x:c>
    </x:row>
    <x:row r="171" ht="15" customHeight="1">
      <x:c r="A171" s="19">
        <x:v>168</x:v>
      </x:c>
      <x:c r="B171" s="19" t="s">
        <x:v>906</x:v>
      </x:c>
      <x:c r="C171" s="19" t="s">
        <x:v>944</x:v>
      </x:c>
      <x:c r="D171" s="19" t="s">
        <x:v>37</x:v>
      </x:c>
      <x:c r="E171" s="19" t="s">
        <x:v>14</x:v>
      </x:c>
      <x:c r="F171" s="19" t="s">
        <x:v>15</x:v>
      </x:c>
      <x:c r="G171" s="19" t="s">
        <x:v>1004</x:v>
      </x:c>
      <x:c r="H171" s="28" t="s">
        <x:v>1041</x:v>
      </x:c>
      <x:c r="I171" s="19">
        <x:v>1</x:v>
      </x:c>
      <x:c r="J171" s="19">
        <x:v>1</x:v>
      </x:c>
    </x:row>
    <x:row r="172" ht="15" customHeight="1">
      <x:c r="A172" s="19">
        <x:v>169</x:v>
      </x:c>
      <x:c r="B172" s="19" t="s">
        <x:v>906</x:v>
      </x:c>
      <x:c r="C172" s="19" t="s">
        <x:v>944</x:v>
      </x:c>
      <x:c r="D172" s="19" t="s">
        <x:v>37</x:v>
      </x:c>
      <x:c r="E172" s="19" t="s">
        <x:v>14</x:v>
      </x:c>
      <x:c r="F172" s="19" t="s">
        <x:v>15</x:v>
      </x:c>
      <x:c r="G172" s="19" t="s">
        <x:v>1004</x:v>
      </x:c>
      <x:c r="H172" s="28" t="s">
        <x:v>1041</x:v>
      </x:c>
      <x:c r="I172" s="19">
        <x:v>1</x:v>
      </x:c>
      <x:c r="J172" s="19">
        <x:v>1</x:v>
      </x:c>
    </x:row>
    <x:row r="173" ht="15" customHeight="1">
      <x:c r="A173" s="19">
        <x:v>170</x:v>
      </x:c>
      <x:c r="B173" s="19" t="s">
        <x:v>906</x:v>
      </x:c>
      <x:c r="C173" s="19" t="s">
        <x:v>944</x:v>
      </x:c>
      <x:c r="D173" s="19" t="s">
        <x:v>37</x:v>
      </x:c>
      <x:c r="E173" s="19" t="s">
        <x:v>84</x:v>
      </x:c>
      <x:c r="F173" s="19" t="s">
        <x:v>99</x:v>
      </x:c>
      <x:c r="G173" s="19" t="s">
        <x:v>1004</x:v>
      </x:c>
      <x:c r="H173" s="28" t="s">
        <x:v>1071</x:v>
      </x:c>
      <x:c r="I173" s="19">
        <x:v>1</x:v>
      </x:c>
      <x:c r="J173" s="19">
        <x:v>1</x:v>
      </x:c>
    </x:row>
    <x:row r="174" ht="15" customHeight="1">
      <x:c r="A174" s="19">
        <x:v>171</x:v>
      </x:c>
      <x:c r="B174" s="19" t="s">
        <x:v>906</x:v>
      </x:c>
      <x:c r="C174" s="19" t="s">
        <x:v>944</x:v>
      </x:c>
      <x:c r="D174" s="19" t="s">
        <x:v>37</x:v>
      </x:c>
      <x:c r="E174" s="19" t="s">
        <x:v>14</x:v>
      </x:c>
      <x:c r="F174" s="19" t="s">
        <x:v>15</x:v>
      </x:c>
      <x:c r="G174" s="19" t="s">
        <x:v>1004</x:v>
      </x:c>
      <x:c r="H174" s="28" t="s">
        <x:v>1078</x:v>
      </x:c>
      <x:c r="I174" s="19">
        <x:v>1</x:v>
      </x:c>
      <x:c r="J174" s="19">
        <x:v>1</x:v>
      </x:c>
    </x:row>
    <x:row r="175" ht="15" customHeight="1">
      <x:c r="A175" s="19">
        <x:v>172</x:v>
      </x:c>
      <x:c r="B175" s="19" t="s">
        <x:v>906</x:v>
      </x:c>
      <x:c r="C175" s="19" t="s">
        <x:v>944</x:v>
      </x:c>
      <x:c r="D175" s="19" t="s">
        <x:v>62</x:v>
      </x:c>
      <x:c r="E175" s="19" t="s">
        <x:v>14</x:v>
      </x:c>
      <x:c r="F175" s="19" t="s">
        <x:v>15</x:v>
      </x:c>
      <x:c r="G175" s="19" t="s">
        <x:v>1004</x:v>
      </x:c>
      <x:c r="H175" s="28" t="s">
        <x:v>1077</x:v>
      </x:c>
      <x:c r="I175" s="19">
        <x:v>1</x:v>
      </x:c>
      <x:c r="J175" s="19">
        <x:v>1</x:v>
      </x:c>
    </x:row>
    <x:row r="176" ht="15" customHeight="1">
      <x:c r="A176" s="19">
        <x:v>173</x:v>
      </x:c>
      <x:c r="B176" s="19" t="s">
        <x:v>906</x:v>
      </x:c>
      <x:c r="C176" s="19" t="s">
        <x:v>944</x:v>
      </x:c>
      <x:c r="D176" s="19" t="s">
        <x:v>37</x:v>
      </x:c>
      <x:c r="E176" s="19" t="s">
        <x:v>84</x:v>
      </x:c>
      <x:c r="F176" s="19" t="s">
        <x:v>99</x:v>
      </x:c>
      <x:c r="G176" s="19" t="s">
        <x:v>1004</x:v>
      </x:c>
      <x:c r="H176" s="28" t="s">
        <x:v>1042</x:v>
      </x:c>
      <x:c r="I176" s="19">
        <x:v>1</x:v>
      </x:c>
      <x:c r="J176" s="19">
        <x:v>1</x:v>
      </x:c>
    </x:row>
    <x:row r="177" ht="15" customHeight="1">
      <x:c r="A177" s="19">
        <x:v>174</x:v>
      </x:c>
      <x:c r="B177" s="19" t="s">
        <x:v>906</x:v>
      </x:c>
      <x:c r="C177" s="19" t="s">
        <x:v>948</x:v>
      </x:c>
      <x:c r="D177" s="19" t="s">
        <x:v>37</x:v>
      </x:c>
      <x:c r="E177" s="19" t="s">
        <x:v>14</x:v>
      </x:c>
      <x:c r="F177" s="19" t="s">
        <x:v>40</x:v>
      </x:c>
      <x:c r="G177" s="19" t="s">
        <x:v>1004</x:v>
      </x:c>
      <x:c r="H177" s="28" t="s">
        <x:v>1071</x:v>
      </x:c>
      <x:c r="I177" s="19">
        <x:v>1</x:v>
      </x:c>
      <x:c r="J177" s="19">
        <x:v>1</x:v>
      </x:c>
    </x:row>
    <x:row r="178" ht="15" customHeight="1">
      <x:c r="A178" s="19">
        <x:v>175</x:v>
      </x:c>
      <x:c r="B178" s="19" t="s">
        <x:v>907</x:v>
      </x:c>
      <x:c r="C178" s="19" t="s">
        <x:v>744</x:v>
      </x:c>
      <x:c r="D178" s="19" t="s">
        <x:v>37</x:v>
      </x:c>
      <x:c r="E178" s="19" t="s">
        <x:v>95</x:v>
      </x:c>
      <x:c r="F178" s="19" t="s">
        <x:v>99</x:v>
      </x:c>
      <x:c r="G178" s="19" t="s">
        <x:v>1022</x:v>
      </x:c>
      <x:c r="H178" s="28" t="s">
        <x:v>1077</x:v>
      </x:c>
      <x:c r="I178" s="19">
        <x:v>1</x:v>
      </x:c>
      <x:c r="J178" s="19">
        <x:v>1</x:v>
      </x:c>
    </x:row>
    <x:row r="179" ht="15" customHeight="1">
      <x:c r="A179" s="19">
        <x:v>176</x:v>
      </x:c>
      <x:c r="B179" s="19" t="s">
        <x:v>907</x:v>
      </x:c>
      <x:c r="C179" s="19" t="s">
        <x:v>744</x:v>
      </x:c>
      <x:c r="D179" s="19" t="s">
        <x:v>37</x:v>
      </x:c>
      <x:c r="E179" s="19" t="s">
        <x:v>95</x:v>
      </x:c>
      <x:c r="F179" s="19" t="s">
        <x:v>15</x:v>
      </x:c>
      <x:c r="G179" s="19" t="s">
        <x:v>1022</x:v>
      </x:c>
      <x:c r="H179" s="28" t="s">
        <x:v>1066</x:v>
      </x:c>
      <x:c r="I179" s="19">
        <x:v>1</x:v>
      </x:c>
      <x:c r="J179" s="19">
        <x:v>1</x:v>
      </x:c>
    </x:row>
    <x:row r="180" ht="15" customHeight="1">
      <x:c r="A180" s="19">
        <x:v>177</x:v>
      </x:c>
      <x:c r="B180" s="19" t="s">
        <x:v>907</x:v>
      </x:c>
      <x:c r="C180" s="19" t="s">
        <x:v>744</x:v>
      </x:c>
      <x:c r="D180" s="19" t="s">
        <x:v>62</x:v>
      </x:c>
      <x:c r="E180" s="19" t="s">
        <x:v>95</x:v>
      </x:c>
      <x:c r="F180" s="19" t="s">
        <x:v>15</x:v>
      </x:c>
      <x:c r="G180" s="19" t="s">
        <x:v>1022</x:v>
      </x:c>
      <x:c r="H180" s="28" t="s">
        <x:v>1089</x:v>
      </x:c>
      <x:c r="I180" s="19">
        <x:v>1</x:v>
      </x:c>
      <x:c r="J180" s="19">
        <x:v>1</x:v>
      </x:c>
    </x:row>
    <x:row r="181" ht="15" customHeight="1">
      <x:c r="A181" s="19">
        <x:v>178</x:v>
      </x:c>
      <x:c r="B181" s="19" t="s">
        <x:v>907</x:v>
      </x:c>
      <x:c r="C181" s="19" t="s">
        <x:v>960</x:v>
      </x:c>
      <x:c r="D181" s="19" t="s">
        <x:v>62</x:v>
      </x:c>
      <x:c r="E181" s="19" t="s">
        <x:v>89</x:v>
      </x:c>
      <x:c r="F181" s="19" t="s">
        <x:v>40</x:v>
      </x:c>
      <x:c r="G181" s="19" t="s">
        <x:v>1032</x:v>
      </x:c>
      <x:c r="H181" s="28" t="s">
        <x:v>1117</x:v>
      </x:c>
      <x:c r="I181" s="19">
        <x:v>1</x:v>
      </x:c>
      <x:c r="J181" s="19">
        <x:v>1</x:v>
      </x:c>
    </x:row>
    <x:row r="182" ht="26.25" customHeight="1">
      <x:c r="A182" s="19">
        <x:v>179</x:v>
      </x:c>
      <x:c r="B182" s="19" t="s">
        <x:v>907</x:v>
      </x:c>
      <x:c r="C182" s="19" t="s">
        <x:v>744</x:v>
      </x:c>
      <x:c r="D182" s="19" t="s">
        <x:v>37</x:v>
      </x:c>
      <x:c r="E182" s="19" t="s">
        <x:v>95</x:v>
      </x:c>
      <x:c r="F182" s="19" t="s">
        <x:v>99</x:v>
      </x:c>
      <x:c r="G182" s="19" t="s">
        <x:v>1019</x:v>
      </x:c>
      <x:c r="H182" s="19" t="s">
        <x:v>969</x:v>
      </x:c>
      <x:c r="I182" s="19">
        <x:v>1</x:v>
      </x:c>
      <x:c r="J182" s="19">
        <x:v>1</x:v>
      </x:c>
    </x:row>
    <x:row r="183" ht="15" customHeight="1">
      <x:c r="A183" s="19">
        <x:v>180</x:v>
      </x:c>
      <x:c r="B183" s="19" t="s">
        <x:v>907</x:v>
      </x:c>
      <x:c r="C183" s="19" t="s">
        <x:v>744</x:v>
      </x:c>
      <x:c r="D183" s="19" t="s">
        <x:v>92</x:v>
      </x:c>
      <x:c r="E183" s="19" t="s">
        <x:v>14</x:v>
      </x:c>
      <x:c r="F183" s="19" t="s">
        <x:v>15</x:v>
      </x:c>
      <x:c r="G183" s="19" t="s">
        <x:v>1023</x:v>
      </x:c>
      <x:c r="H183" s="28" t="s">
        <x:v>1077</x:v>
      </x:c>
      <x:c r="I183" s="19">
        <x:v>1</x:v>
      </x:c>
      <x:c r="J183" s="19">
        <x:v>1</x:v>
      </x:c>
    </x:row>
    <x:row r="184" ht="15" customHeight="1">
      <x:c r="A184" s="19">
        <x:v>181</x:v>
      </x:c>
      <x:c r="B184" s="19" t="s">
        <x:v>907</x:v>
      </x:c>
      <x:c r="C184" s="19" t="s">
        <x:v>744</x:v>
      </x:c>
      <x:c r="D184" s="19" t="s">
        <x:v>22</x:v>
      </x:c>
      <x:c r="E184" s="19" t="s">
        <x:v>14</x:v>
      </x:c>
      <x:c r="F184" s="19" t="s">
        <x:v>15</x:v>
      </x:c>
      <x:c r="G184" s="19" t="s">
        <x:v>1028</x:v>
      </x:c>
      <x:c r="H184" s="28" t="s">
        <x:v>1118</x:v>
      </x:c>
      <x:c r="I184" s="19">
        <x:v>1</x:v>
      </x:c>
      <x:c r="J184" s="19">
        <x:v>1</x:v>
      </x:c>
    </x:row>
    <x:row r="185" ht="15" customHeight="1">
      <x:c r="A185" s="19">
        <x:v>182</x:v>
      </x:c>
      <x:c r="B185" s="19" t="s">
        <x:v>907</x:v>
      </x:c>
      <x:c r="C185" s="19" t="s">
        <x:v>744</x:v>
      </x:c>
      <x:c r="D185" s="19" t="s">
        <x:v>37</x:v>
      </x:c>
      <x:c r="E185" s="19" t="s">
        <x:v>730</x:v>
      </x:c>
      <x:c r="F185" s="19" t="s">
        <x:v>15</x:v>
      </x:c>
      <x:c r="G185" s="19" t="s">
        <x:v>1022</x:v>
      </x:c>
      <x:c r="H185" s="28" t="s">
        <x:v>1066</x:v>
      </x:c>
      <x:c r="I185" s="19">
        <x:v>1</x:v>
      </x:c>
      <x:c r="J185" s="19">
        <x:v>0</x:v>
      </x:c>
    </x:row>
    <x:row r="186" ht="15" customHeight="1">
      <x:c r="A186" s="19">
        <x:v>183</x:v>
      </x:c>
      <x:c r="B186" s="19" t="s">
        <x:v>907</x:v>
      </x:c>
      <x:c r="C186" s="19" t="s">
        <x:v>744</x:v>
      </x:c>
      <x:c r="D186" s="19" t="s">
        <x:v>37</x:v>
      </x:c>
      <x:c r="E186" s="19" t="s">
        <x:v>14</x:v>
      </x:c>
      <x:c r="F186" s="19" t="s">
        <x:v>40</x:v>
      </x:c>
      <x:c r="G186" s="19" t="s">
        <x:v>1031</x:v>
      </x:c>
      <x:c r="H186" s="28" t="s">
        <x:v>1081</x:v>
      </x:c>
      <x:c r="I186" s="19">
        <x:v>1</x:v>
      </x:c>
      <x:c r="J186" s="19">
        <x:v>1</x:v>
      </x:c>
    </x:row>
    <x:row r="187" ht="15" customHeight="1">
      <x:c r="A187" s="19">
        <x:v>184</x:v>
      </x:c>
      <x:c r="B187" s="19" t="s">
        <x:v>907</x:v>
      </x:c>
      <x:c r="C187" s="19" t="s">
        <x:v>744</x:v>
      </x:c>
      <x:c r="D187" s="19" t="s">
        <x:v>37</x:v>
      </x:c>
      <x:c r="E187" s="19" t="s">
        <x:v>14</x:v>
      </x:c>
      <x:c r="F187" s="19" t="s">
        <x:v>40</x:v>
      </x:c>
      <x:c r="G187" s="19" t="s">
        <x:v>1022</x:v>
      </x:c>
      <x:c r="H187" s="28" t="s">
        <x:v>1071</x:v>
      </x:c>
      <x:c r="I187" s="19">
        <x:v>1</x:v>
      </x:c>
      <x:c r="J187" s="19">
        <x:v>1</x:v>
      </x:c>
    </x:row>
    <x:row r="188" ht="15" customHeight="1">
      <x:c r="A188" s="19">
        <x:v>185</x:v>
      </x:c>
      <x:c r="B188" s="19" t="s">
        <x:v>907</x:v>
      </x:c>
      <x:c r="C188" s="19" t="s">
        <x:v>744</x:v>
      </x:c>
      <x:c r="D188" s="19" t="s">
        <x:v>37</x:v>
      </x:c>
      <x:c r="E188" s="19" t="s">
        <x:v>14</x:v>
      </x:c>
      <x:c r="F188" s="19" t="s">
        <x:v>40</x:v>
      </x:c>
      <x:c r="G188" s="19" t="s">
        <x:v>1022</x:v>
      </x:c>
      <x:c r="H188" s="28" t="s">
        <x:v>1077</x:v>
      </x:c>
      <x:c r="I188" s="19">
        <x:v>1</x:v>
      </x:c>
      <x:c r="J188" s="19">
        <x:v>1</x:v>
      </x:c>
    </x:row>
    <x:row r="189" ht="15" customHeight="1">
      <x:c r="A189" s="19">
        <x:v>186</x:v>
      </x:c>
      <x:c r="B189" s="19" t="s">
        <x:v>907</x:v>
      </x:c>
      <x:c r="C189" s="19" t="s">
        <x:v>744</x:v>
      </x:c>
      <x:c r="D189" s="19" t="s">
        <x:v>37</x:v>
      </x:c>
      <x:c r="E189" s="19" t="s">
        <x:v>95</x:v>
      </x:c>
      <x:c r="F189" s="19" t="s">
        <x:v>40</x:v>
      </x:c>
      <x:c r="G189" s="19" t="s">
        <x:v>1026</x:v>
      </x:c>
      <x:c r="H189" s="28" t="s">
        <x:v>1090</x:v>
      </x:c>
      <x:c r="I189" s="19">
        <x:v>1</x:v>
      </x:c>
      <x:c r="J189" s="19">
        <x:v>1</x:v>
      </x:c>
    </x:row>
    <x:row r="190" ht="15" customHeight="1">
      <x:c r="A190" s="19">
        <x:v>187</x:v>
      </x:c>
      <x:c r="B190" s="19" t="s">
        <x:v>907</x:v>
      </x:c>
      <x:c r="C190" s="19" t="s">
        <x:v>744</x:v>
      </x:c>
      <x:c r="D190" s="19" t="s">
        <x:v>37</x:v>
      </x:c>
      <x:c r="E190" s="19" t="s">
        <x:v>95</x:v>
      </x:c>
      <x:c r="F190" s="19" t="s">
        <x:v>40</x:v>
      </x:c>
      <x:c r="G190" s="19" t="s">
        <x:v>1027</x:v>
      </x:c>
      <x:c r="H190" s="28" t="s">
        <x:v>1119</x:v>
      </x:c>
      <x:c r="I190" s="19">
        <x:v>1</x:v>
      </x:c>
      <x:c r="J190" s="19">
        <x:v>1</x:v>
      </x:c>
    </x:row>
    <x:row r="191" ht="15" customHeight="1">
      <x:c r="A191" s="19">
        <x:v>188</x:v>
      </x:c>
      <x:c r="B191" s="19" t="s">
        <x:v>907</x:v>
      </x:c>
      <x:c r="C191" s="19" t="s">
        <x:v>744</x:v>
      </x:c>
      <x:c r="D191" s="19" t="s">
        <x:v>37</x:v>
      </x:c>
      <x:c r="E191" s="19" t="s">
        <x:v>95</x:v>
      </x:c>
      <x:c r="F191" s="19" t="s">
        <x:v>40</x:v>
      </x:c>
      <x:c r="G191" s="19" t="s">
        <x:v>1027</x:v>
      </x:c>
      <x:c r="H191" s="28" t="s">
        <x:v>1119</x:v>
      </x:c>
      <x:c r="I191" s="19">
        <x:v>1</x:v>
      </x:c>
      <x:c r="J191" s="19">
        <x:v>1</x:v>
      </x:c>
    </x:row>
    <x:row r="192" ht="26.25" customHeight="1">
      <x:c r="A192" s="19">
        <x:v>189</x:v>
      </x:c>
      <x:c r="B192" s="19" t="s">
        <x:v>907</x:v>
      </x:c>
      <x:c r="C192" s="19" t="s">
        <x:v>744</x:v>
      </x:c>
      <x:c r="D192" s="19" t="s">
        <x:v>37</x:v>
      </x:c>
      <x:c r="E192" s="19" t="s">
        <x:v>95</x:v>
      </x:c>
      <x:c r="F192" s="19" t="s">
        <x:v>15</x:v>
      </x:c>
      <x:c r="G192" s="19" t="s">
        <x:v>1026</x:v>
      </x:c>
      <x:c r="H192" s="19" t="s">
        <x:v>969</x:v>
      </x:c>
      <x:c r="I192" s="19">
        <x:v>1</x:v>
      </x:c>
      <x:c r="J192" s="19">
        <x:v>1</x:v>
      </x:c>
    </x:row>
    <x:row r="193" ht="15" customHeight="1">
      <x:c r="A193" s="19">
        <x:v>190</x:v>
      </x:c>
      <x:c r="B193" s="19" t="s">
        <x:v>907</x:v>
      </x:c>
      <x:c r="C193" s="19" t="s">
        <x:v>744</x:v>
      </x:c>
      <x:c r="D193" s="19" t="s">
        <x:v>37</x:v>
      </x:c>
      <x:c r="E193" s="19" t="s">
        <x:v>95</x:v>
      </x:c>
      <x:c r="F193" s="19" t="s">
        <x:v>15</x:v>
      </x:c>
      <x:c r="G193" s="19" t="s">
        <x:v>1023</x:v>
      </x:c>
      <x:c r="H193" s="28" t="s">
        <x:v>1093</x:v>
      </x:c>
      <x:c r="I193" s="19">
        <x:v>1</x:v>
      </x:c>
      <x:c r="J193" s="19">
        <x:v>1</x:v>
      </x:c>
    </x:row>
    <x:row r="194" ht="15" customHeight="1">
      <x:c r="A194" s="19">
        <x:v>191</x:v>
      </x:c>
      <x:c r="B194" s="19" t="s">
        <x:v>907</x:v>
      </x:c>
      <x:c r="C194" s="19" t="s">
        <x:v>744</x:v>
      </x:c>
      <x:c r="D194" s="19" t="s">
        <x:v>62</x:v>
      </x:c>
      <x:c r="E194" s="19" t="s">
        <x:v>84</x:v>
      </x:c>
      <x:c r="F194" s="19" t="s">
        <x:v>99</x:v>
      </x:c>
      <x:c r="G194" s="19" t="s">
        <x:v>1022</x:v>
      </x:c>
      <x:c r="H194" s="28" t="s">
        <x:v>1089</x:v>
      </x:c>
      <x:c r="I194" s="19">
        <x:v>1</x:v>
      </x:c>
      <x:c r="J194" s="19">
        <x:v>1</x:v>
      </x:c>
    </x:row>
    <x:row r="195" ht="15" customHeight="1">
      <x:c r="A195" s="19">
        <x:v>192</x:v>
      </x:c>
      <x:c r="B195" s="19" t="s">
        <x:v>907</x:v>
      </x:c>
      <x:c r="C195" s="19" t="s">
        <x:v>744</x:v>
      </x:c>
      <x:c r="D195" s="19" t="s">
        <x:v>37</x:v>
      </x:c>
      <x:c r="E195" s="19" t="s">
        <x:v>14</x:v>
      </x:c>
      <x:c r="F195" s="19" t="s">
        <x:v>99</x:v>
      </x:c>
      <x:c r="G195" s="19" t="s">
        <x:v>1019</x:v>
      </x:c>
      <x:c r="H195" s="28" t="s">
        <x:v>1120</x:v>
      </x:c>
      <x:c r="I195" s="19">
        <x:v>1</x:v>
      </x:c>
      <x:c r="J195" s="19">
        <x:v>1</x:v>
      </x:c>
    </x:row>
    <x:row r="196" ht="15" customHeight="1">
      <x:c r="A196" s="19">
        <x:v>193</x:v>
      </x:c>
      <x:c r="B196" s="19" t="s">
        <x:v>907</x:v>
      </x:c>
      <x:c r="C196" s="19" t="s">
        <x:v>956</x:v>
      </x:c>
      <x:c r="D196" s="19" t="s">
        <x:v>62</x:v>
      </x:c>
      <x:c r="E196" s="19" t="s">
        <x:v>14</x:v>
      </x:c>
      <x:c r="F196" s="19" t="s">
        <x:v>15</x:v>
      </x:c>
      <x:c r="G196" s="19" t="s">
        <x:v>1022</x:v>
      </x:c>
      <x:c r="H196" s="28" t="s">
        <x:v>1121</x:v>
      </x:c>
      <x:c r="I196" s="19">
        <x:v>1</x:v>
      </x:c>
      <x:c r="J196" s="19">
        <x:v>1</x:v>
      </x:c>
    </x:row>
    <x:row r="197" ht="15" customHeight="1">
      <x:c r="A197" s="19">
        <x:v>194</x:v>
      </x:c>
      <x:c r="B197" s="19" t="s">
        <x:v>907</x:v>
      </x:c>
      <x:c r="C197" s="19" t="s">
        <x:v>744</x:v>
      </x:c>
      <x:c r="D197" s="19" t="s">
        <x:v>22</x:v>
      </x:c>
      <x:c r="E197" s="19" t="s">
        <x:v>95</x:v>
      </x:c>
      <x:c r="F197" s="19" t="s">
        <x:v>40</x:v>
      </x:c>
      <x:c r="G197" s="19" t="s">
        <x:v>1026</x:v>
      </x:c>
      <x:c r="H197" s="28" t="s">
        <x:v>1122</x:v>
      </x:c>
      <x:c r="I197" s="19">
        <x:v>1</x:v>
      </x:c>
      <x:c r="J197" s="19">
        <x:v>1</x:v>
      </x:c>
    </x:row>
    <x:row r="198" ht="15" customHeight="1">
      <x:c r="A198" s="19">
        <x:v>195</x:v>
      </x:c>
      <x:c r="B198" s="19" t="s">
        <x:v>907</x:v>
      </x:c>
      <x:c r="C198" s="19" t="s">
        <x:v>744</x:v>
      </x:c>
      <x:c r="D198" s="19" t="s">
        <x:v>37</x:v>
      </x:c>
      <x:c r="E198" s="19" t="s">
        <x:v>95</x:v>
      </x:c>
      <x:c r="F198" s="19" t="s">
        <x:v>15</x:v>
      </x:c>
      <x:c r="G198" s="19" t="s">
        <x:v>1022</x:v>
      </x:c>
      <x:c r="H198" s="28" t="s">
        <x:v>1085</x:v>
      </x:c>
      <x:c r="I198" s="19">
        <x:v>1</x:v>
      </x:c>
      <x:c r="J198" s="19">
        <x:v>1</x:v>
      </x:c>
    </x:row>
    <x:row r="199" ht="15" customHeight="1">
      <x:c r="A199" s="19">
        <x:v>196</x:v>
      </x:c>
      <x:c r="B199" s="19" t="s">
        <x:v>907</x:v>
      </x:c>
      <x:c r="C199" s="19" t="s">
        <x:v>744</x:v>
      </x:c>
      <x:c r="D199" s="19" t="s">
        <x:v>37</x:v>
      </x:c>
      <x:c r="E199" s="19" t="s">
        <x:v>84</x:v>
      </x:c>
      <x:c r="F199" s="19" t="s">
        <x:v>99</x:v>
      </x:c>
      <x:c r="G199" s="19" t="s">
        <x:v>1022</x:v>
      </x:c>
      <x:c r="H199" s="28" t="s">
        <x:v>1077</x:v>
      </x:c>
      <x:c r="I199" s="19">
        <x:v>1</x:v>
      </x:c>
      <x:c r="J199" s="19">
        <x:v>1</x:v>
      </x:c>
    </x:row>
    <x:row r="200" ht="15" customHeight="1">
      <x:c r="A200" s="19">
        <x:v>197</x:v>
      </x:c>
      <x:c r="B200" s="19" t="s">
        <x:v>907</x:v>
      </x:c>
      <x:c r="C200" s="19" t="s">
        <x:v>744</x:v>
      </x:c>
      <x:c r="D200" s="19" t="s">
        <x:v>37</x:v>
      </x:c>
      <x:c r="E200" s="19" t="s">
        <x:v>95</x:v>
      </x:c>
      <x:c r="F200" s="19" t="s">
        <x:v>99</x:v>
      </x:c>
      <x:c r="G200" s="19" t="s">
        <x:v>1022</x:v>
      </x:c>
      <x:c r="H200" s="28" t="s">
        <x:v>1077</x:v>
      </x:c>
      <x:c r="I200" s="19">
        <x:v>1</x:v>
      </x:c>
      <x:c r="J200" s="19">
        <x:v>1</x:v>
      </x:c>
    </x:row>
    <x:row r="201" ht="15" customHeight="1">
      <x:c r="A201" s="19">
        <x:v>198</x:v>
      </x:c>
      <x:c r="B201" s="19" t="s">
        <x:v>907</x:v>
      </x:c>
      <x:c r="C201" s="19" t="s">
        <x:v>744</x:v>
      </x:c>
      <x:c r="D201" s="19" t="s">
        <x:v>37</x:v>
      </x:c>
      <x:c r="E201" s="19" t="s">
        <x:v>95</x:v>
      </x:c>
      <x:c r="F201" s="19" t="s">
        <x:v>99</x:v>
      </x:c>
      <x:c r="G201" s="19" t="s">
        <x:v>1022</x:v>
      </x:c>
      <x:c r="H201" s="28" t="s">
        <x:v>1066</x:v>
      </x:c>
      <x:c r="I201" s="19">
        <x:v>1</x:v>
      </x:c>
      <x:c r="J201" s="19">
        <x:v>1</x:v>
      </x:c>
    </x:row>
    <x:row r="202" ht="15" customHeight="1">
      <x:c r="A202" s="19">
        <x:v>199</x:v>
      </x:c>
      <x:c r="B202" s="19" t="s">
        <x:v>907</x:v>
      </x:c>
      <x:c r="C202" s="19" t="s">
        <x:v>744</x:v>
      </x:c>
      <x:c r="D202" s="19" t="s">
        <x:v>62</x:v>
      </x:c>
      <x:c r="E202" s="19" t="s">
        <x:v>95</x:v>
      </x:c>
      <x:c r="F202" s="19" t="s">
        <x:v>40</x:v>
      </x:c>
      <x:c r="G202" s="19" t="s">
        <x:v>1026</x:v>
      </x:c>
      <x:c r="H202" s="28" t="s">
        <x:v>1123</x:v>
      </x:c>
      <x:c r="I202" s="19">
        <x:v>1</x:v>
      </x:c>
      <x:c r="J202" s="19">
        <x:v>1</x:v>
      </x:c>
    </x:row>
    <x:row r="203" ht="26.25" customHeight="1">
      <x:c r="A203" s="19">
        <x:v>200</x:v>
      </x:c>
      <x:c r="B203" s="19" t="s">
        <x:v>907</x:v>
      </x:c>
      <x:c r="C203" s="19" t="s">
        <x:v>744</x:v>
      </x:c>
      <x:c r="D203" s="19" t="s">
        <x:v>62</x:v>
      </x:c>
      <x:c r="E203" s="19" t="s">
        <x:v>95</x:v>
      </x:c>
      <x:c r="F203" s="19" t="s">
        <x:v>40</x:v>
      </x:c>
      <x:c r="G203" s="19" t="s">
        <x:v>1026</x:v>
      </x:c>
      <x:c r="H203" s="19" t="s">
        <x:v>969</x:v>
      </x:c>
      <x:c r="I203" s="19">
        <x:v>1</x:v>
      </x:c>
      <x:c r="J203" s="19">
        <x:v>1</x:v>
      </x:c>
    </x:row>
    <x:row r="204" ht="15" customHeight="1">
      <x:c r="A204" s="19">
        <x:v>201</x:v>
      </x:c>
      <x:c r="B204" s="19" t="s">
        <x:v>907</x:v>
      </x:c>
      <x:c r="C204" s="19" t="s">
        <x:v>744</x:v>
      </x:c>
      <x:c r="D204" s="19" t="s">
        <x:v>62</x:v>
      </x:c>
      <x:c r="E204" s="19" t="s">
        <x:v>95</x:v>
      </x:c>
      <x:c r="F204" s="19" t="s">
        <x:v>40</x:v>
      </x:c>
      <x:c r="G204" s="19" t="s">
        <x:v>1022</x:v>
      </x:c>
      <x:c r="H204" s="28" t="s">
        <x:v>1077</x:v>
      </x:c>
      <x:c r="I204" s="19">
        <x:v>1</x:v>
      </x:c>
      <x:c r="J204" s="19">
        <x:v>1</x:v>
      </x:c>
    </x:row>
    <x:row r="205" ht="26.25" customHeight="1">
      <x:c r="A205" s="19">
        <x:v>202</x:v>
      </x:c>
      <x:c r="B205" s="19" t="s">
        <x:v>907</x:v>
      </x:c>
      <x:c r="C205" s="19" t="s">
        <x:v>744</x:v>
      </x:c>
      <x:c r="D205" s="19" t="s">
        <x:v>62</x:v>
      </x:c>
      <x:c r="E205" s="19" t="s">
        <x:v>95</x:v>
      </x:c>
      <x:c r="F205" s="19" t="s">
        <x:v>99</x:v>
      </x:c>
      <x:c r="G205" s="19" t="s">
        <x:v>1030</x:v>
      </x:c>
      <x:c r="H205" s="19" t="s">
        <x:v>969</x:v>
      </x:c>
      <x:c r="I205" s="19">
        <x:v>1</x:v>
      </x:c>
      <x:c r="J205" s="19">
        <x:v>1</x:v>
      </x:c>
    </x:row>
    <x:row r="206" ht="15" customHeight="1">
      <x:c r="A206" s="19">
        <x:v>203</x:v>
      </x:c>
      <x:c r="B206" s="19" t="s">
        <x:v>907</x:v>
      </x:c>
      <x:c r="C206" s="19" t="s">
        <x:v>744</x:v>
      </x:c>
      <x:c r="D206" s="19" t="s">
        <x:v>62</x:v>
      </x:c>
      <x:c r="E206" s="19" t="s">
        <x:v>95</x:v>
      </x:c>
      <x:c r="F206" s="19" t="s">
        <x:v>99</x:v>
      </x:c>
      <x:c r="G206" s="19" t="s">
        <x:v>1029</x:v>
      </x:c>
      <x:c r="H206" s="28" t="s">
        <x:v>1077</x:v>
      </x:c>
      <x:c r="I206" s="19">
        <x:v>1</x:v>
      </x:c>
      <x:c r="J206" s="19">
        <x:v>1</x:v>
      </x:c>
    </x:row>
    <x:row r="207" ht="15" customHeight="1">
      <x:c r="A207" s="19">
        <x:v>204</x:v>
      </x:c>
      <x:c r="B207" s="19" t="s">
        <x:v>907</x:v>
      </x:c>
      <x:c r="C207" s="19" t="s">
        <x:v>956</x:v>
      </x:c>
      <x:c r="D207" s="19" t="s">
        <x:v>37</x:v>
      </x:c>
      <x:c r="E207" s="19" t="s">
        <x:v>84</x:v>
      </x:c>
      <x:c r="F207" s="19" t="s">
        <x:v>15</x:v>
      </x:c>
      <x:c r="G207" s="19" t="s">
        <x:v>1026</x:v>
      </x:c>
      <x:c r="H207" s="28" t="s">
        <x:v>1086</x:v>
      </x:c>
      <x:c r="I207" s="19">
        <x:v>1</x:v>
      </x:c>
      <x:c r="J207" s="19">
        <x:v>1</x:v>
      </x:c>
    </x:row>
    <x:row r="208" ht="26.25" customHeight="1">
      <x:c r="A208" s="19">
        <x:v>205</x:v>
      </x:c>
      <x:c r="B208" s="19" t="s">
        <x:v>907</x:v>
      </x:c>
      <x:c r="C208" s="19" t="s">
        <x:v>956</x:v>
      </x:c>
      <x:c r="D208" s="19" t="s">
        <x:v>11</x:v>
      </x:c>
      <x:c r="E208" s="19" t="s">
        <x:v>203</x:v>
      </x:c>
      <x:c r="F208" s="19" t="s">
        <x:v>15</x:v>
      </x:c>
      <x:c r="G208" s="19" t="s">
        <x:v>1033</x:v>
      </x:c>
      <x:c r="H208" s="19" t="s">
        <x:v>969</x:v>
      </x:c>
      <x:c r="I208" s="19">
        <x:v>1</x:v>
      </x:c>
      <x:c r="J208" s="19">
        <x:v>0</x:v>
      </x:c>
    </x:row>
    <x:row r="209" ht="26.25" customHeight="1">
      <x:c r="A209" s="19">
        <x:v>206</x:v>
      </x:c>
      <x:c r="B209" s="19" t="s">
        <x:v>907</x:v>
      </x:c>
      <x:c r="C209" s="19" t="s">
        <x:v>956</x:v>
      </x:c>
      <x:c r="D209" s="19" t="s">
        <x:v>11</x:v>
      </x:c>
      <x:c r="E209" s="19" t="s">
        <x:v>203</x:v>
      </x:c>
      <x:c r="F209" s="19" t="s">
        <x:v>15</x:v>
      </x:c>
      <x:c r="G209" s="19" t="s">
        <x:v>969</x:v>
      </x:c>
      <x:c r="H209" s="19" t="s">
        <x:v>969</x:v>
      </x:c>
      <x:c r="I209" s="19">
        <x:v>1</x:v>
      </x:c>
      <x:c r="J209" s="19">
        <x:v>0</x:v>
      </x:c>
    </x:row>
    <x:row r="210" ht="26.25" customHeight="1">
      <x:c r="A210" s="19">
        <x:v>207</x:v>
      </x:c>
      <x:c r="B210" s="19" t="s">
        <x:v>907</x:v>
      </x:c>
      <x:c r="C210" s="19" t="s">
        <x:v>956</x:v>
      </x:c>
      <x:c r="D210" s="19" t="s">
        <x:v>37</x:v>
      </x:c>
      <x:c r="E210" s="19" t="s">
        <x:v>203</x:v>
      </x:c>
      <x:c r="F210" s="19" t="s">
        <x:v>15</x:v>
      </x:c>
      <x:c r="G210" s="19" t="s">
        <x:v>1022</x:v>
      </x:c>
      <x:c r="H210" s="28" t="s">
        <x:v>1071</x:v>
      </x:c>
      <x:c r="I210" s="19">
        <x:v>1</x:v>
      </x:c>
      <x:c r="J210" s="19">
        <x:v>0</x:v>
      </x:c>
    </x:row>
    <x:row r="211" ht="26.25" customHeight="1">
      <x:c r="A211" s="19">
        <x:v>208</x:v>
      </x:c>
      <x:c r="B211" s="19" t="s">
        <x:v>907</x:v>
      </x:c>
      <x:c r="C211" s="19" t="s">
        <x:v>956</x:v>
      </x:c>
      <x:c r="D211" s="19" t="s">
        <x:v>37</x:v>
      </x:c>
      <x:c r="E211" s="19" t="s">
        <x:v>203</x:v>
      </x:c>
      <x:c r="F211" s="19" t="s">
        <x:v>15</x:v>
      </x:c>
      <x:c r="G211" s="19" t="s">
        <x:v>981</x:v>
      </x:c>
      <x:c r="H211" s="28" t="s">
        <x:v>1058</x:v>
      </x:c>
      <x:c r="I211" s="19">
        <x:v>1</x:v>
      </x:c>
      <x:c r="J211" s="19">
        <x:v>0</x:v>
      </x:c>
    </x:row>
    <x:row r="212" ht="15" customHeight="1">
      <x:c r="A212" s="19">
        <x:v>209</x:v>
      </x:c>
      <x:c r="B212" s="19" t="s">
        <x:v>907</x:v>
      </x:c>
      <x:c r="C212" s="19" t="s">
        <x:v>956</x:v>
      </x:c>
      <x:c r="D212" s="19" t="s">
        <x:v>37</x:v>
      </x:c>
      <x:c r="E212" s="19" t="s">
        <x:v>14</x:v>
      </x:c>
      <x:c r="F212" s="19" t="s">
        <x:v>15</x:v>
      </x:c>
      <x:c r="G212" s="19" t="s">
        <x:v>1036</x:v>
      </x:c>
      <x:c r="H212" s="28" t="s">
        <x:v>1071</x:v>
      </x:c>
      <x:c r="I212" s="19">
        <x:v>1</x:v>
      </x:c>
      <x:c r="J212" s="19">
        <x:v>1</x:v>
      </x:c>
    </x:row>
    <x:row r="213" ht="15" customHeight="1">
      <x:c r="A213" s="19">
        <x:v>210</x:v>
      </x:c>
      <x:c r="B213" s="19" t="s">
        <x:v>907</x:v>
      </x:c>
      <x:c r="C213" s="19" t="s">
        <x:v>956</x:v>
      </x:c>
      <x:c r="D213" s="19" t="s">
        <x:v>37</x:v>
      </x:c>
      <x:c r="E213" s="19" t="s">
        <x:v>95</x:v>
      </x:c>
      <x:c r="F213" s="19" t="s">
        <x:v>40</x:v>
      </x:c>
      <x:c r="G213" s="19" t="s">
        <x:v>1034</x:v>
      </x:c>
      <x:c r="H213" s="28" t="s">
        <x:v>1097</x:v>
      </x:c>
      <x:c r="I213" s="19">
        <x:v>1</x:v>
      </x:c>
      <x:c r="J213" s="19">
        <x:v>1</x:v>
      </x:c>
    </x:row>
    <x:row r="214" ht="15" customHeight="1">
      <x:c r="A214" s="19">
        <x:v>211</x:v>
      </x:c>
      <x:c r="B214" s="19" t="s">
        <x:v>907</x:v>
      </x:c>
      <x:c r="C214" s="19" t="s">
        <x:v>956</x:v>
      </x:c>
      <x:c r="D214" s="19" t="s">
        <x:v>62</x:v>
      </x:c>
      <x:c r="E214" s="19" t="s">
        <x:v>95</x:v>
      </x:c>
      <x:c r="F214" s="19" t="s">
        <x:v>15</x:v>
      </x:c>
      <x:c r="G214" s="19" t="s">
        <x:v>1026</x:v>
      </x:c>
      <x:c r="H214" s="28" t="s">
        <x:v>1090</x:v>
      </x:c>
      <x:c r="I214" s="19">
        <x:v>1</x:v>
      </x:c>
      <x:c r="J214" s="19">
        <x:v>1</x:v>
      </x:c>
    </x:row>
    <x:row r="215" ht="15" customHeight="1">
      <x:c r="A215" s="19">
        <x:v>212</x:v>
      </x:c>
      <x:c r="B215" s="19" t="s">
        <x:v>907</x:v>
      </x:c>
      <x:c r="C215" s="19" t="s">
        <x:v>956</x:v>
      </x:c>
      <x:c r="D215" s="19" t="s">
        <x:v>62</x:v>
      </x:c>
      <x:c r="E215" s="19" t="s">
        <x:v>95</x:v>
      </x:c>
      <x:c r="F215" s="19" t="s">
        <x:v>40</x:v>
      </x:c>
      <x:c r="G215" s="19" t="s">
        <x:v>1035</x:v>
      </x:c>
      <x:c r="H215" s="28" t="s">
        <x:v>1119</x:v>
      </x:c>
      <x:c r="I215" s="19">
        <x:v>1</x:v>
      </x:c>
      <x:c r="J215" s="19">
        <x:v>1</x:v>
      </x:c>
    </x:row>
    <x:row r="216" ht="15" customHeight="1">
      <x:c r="A216" s="19">
        <x:v>213</x:v>
      </x:c>
      <x:c r="B216" s="19" t="s">
        <x:v>907</x:v>
      </x:c>
      <x:c r="C216" s="19" t="s">
        <x:v>956</x:v>
      </x:c>
      <x:c r="D216" s="19" t="s">
        <x:v>92</x:v>
      </x:c>
      <x:c r="E216" s="19" t="s">
        <x:v>834</x:v>
      </x:c>
      <x:c r="F216" s="19" t="s">
        <x:v>15</x:v>
      </x:c>
      <x:c r="G216" s="19" t="s">
        <x:v>1022</x:v>
      </x:c>
      <x:c r="H216" s="28" t="s">
        <x:v>1085</x:v>
      </x:c>
      <x:c r="I216" s="19">
        <x:v>1</x:v>
      </x:c>
      <x:c r="J216" s="19">
        <x:v>0</x:v>
      </x:c>
    </x:row>
    <x:row r="217" ht="26.25" customHeight="1">
      <x:c r="A217" s="19">
        <x:v>214</x:v>
      </x:c>
      <x:c r="B217" s="19" t="s">
        <x:v>907</x:v>
      </x:c>
      <x:c r="C217" s="19" t="s">
        <x:v>957</x:v>
      </x:c>
      <x:c r="D217" s="19" t="s">
        <x:v>11</x:v>
      </x:c>
      <x:c r="E217" s="19" t="s">
        <x:v>203</x:v>
      </x:c>
      <x:c r="F217" s="19" t="s">
        <x:v>15</x:v>
      </x:c>
      <x:c r="G217" s="19" t="s">
        <x:v>1022</x:v>
      </x:c>
      <x:c r="H217" s="28" t="s">
        <x:v>1100</x:v>
      </x:c>
      <x:c r="I217" s="19">
        <x:v>1</x:v>
      </x:c>
      <x:c r="J217" s="19">
        <x:v>0</x:v>
      </x:c>
    </x:row>
    <x:row r="218" ht="26.25" customHeight="1">
      <x:c r="A218" s="19">
        <x:v>215</x:v>
      </x:c>
      <x:c r="B218" s="19" t="s">
        <x:v>907</x:v>
      </x:c>
      <x:c r="C218" s="19" t="s">
        <x:v>957</x:v>
      </x:c>
      <x:c r="D218" s="19" t="s">
        <x:v>11</x:v>
      </x:c>
      <x:c r="E218" s="19" t="s">
        <x:v>203</x:v>
      </x:c>
      <x:c r="F218" s="19" t="s">
        <x:v>15</x:v>
      </x:c>
      <x:c r="G218" s="19" t="s">
        <x:v>969</x:v>
      </x:c>
      <x:c r="H218" s="19" t="s">
        <x:v>969</x:v>
      </x:c>
      <x:c r="I218" s="19">
        <x:v>1</x:v>
      </x:c>
      <x:c r="J218" s="19">
        <x:v>0</x:v>
      </x:c>
    </x:row>
    <x:row r="219" ht="26.25" customHeight="1">
      <x:c r="A219" s="19">
        <x:v>216</x:v>
      </x:c>
      <x:c r="B219" s="19" t="s">
        <x:v>907</x:v>
      </x:c>
      <x:c r="C219" s="19" t="s">
        <x:v>957</x:v>
      </x:c>
      <x:c r="D219" s="19" t="s">
        <x:v>11</x:v>
      </x:c>
      <x:c r="E219" s="19" t="s">
        <x:v>203</x:v>
      </x:c>
      <x:c r="F219" s="19" t="s">
        <x:v>99</x:v>
      </x:c>
      <x:c r="G219" s="19" t="s">
        <x:v>1022</x:v>
      </x:c>
      <x:c r="H219" s="28" t="s">
        <x:v>1100</x:v>
      </x:c>
      <x:c r="I219" s="19">
        <x:v>1</x:v>
      </x:c>
      <x:c r="J219" s="19">
        <x:v>0</x:v>
      </x:c>
    </x:row>
    <x:row r="220" ht="26.25" customHeight="1">
      <x:c r="A220" s="19">
        <x:v>217</x:v>
      </x:c>
      <x:c r="B220" s="19" t="s">
        <x:v>907</x:v>
      </x:c>
      <x:c r="C220" s="19" t="s">
        <x:v>957</x:v>
      </x:c>
      <x:c r="D220" s="19" t="s">
        <x:v>92</x:v>
      </x:c>
      <x:c r="E220" s="19" t="s">
        <x:v>203</x:v>
      </x:c>
      <x:c r="F220" s="19" t="s">
        <x:v>15</x:v>
      </x:c>
      <x:c r="G220" s="19" t="s">
        <x:v>1022</x:v>
      </x:c>
      <x:c r="H220" s="28" t="s">
        <x:v>1100</x:v>
      </x:c>
      <x:c r="I220" s="19">
        <x:v>1</x:v>
      </x:c>
      <x:c r="J220" s="19">
        <x:v>0</x:v>
      </x:c>
    </x:row>
    <x:row r="221" ht="26.25" customHeight="1">
      <x:c r="A221" s="19">
        <x:v>218</x:v>
      </x:c>
      <x:c r="B221" s="19" t="s">
        <x:v>907</x:v>
      </x:c>
      <x:c r="C221" s="19" t="s">
        <x:v>957</x:v>
      </x:c>
      <x:c r="D221" s="19" t="s">
        <x:v>37</x:v>
      </x:c>
      <x:c r="E221" s="19" t="s">
        <x:v>84</x:v>
      </x:c>
      <x:c r="F221" s="19" t="s">
        <x:v>99</x:v>
      </x:c>
      <x:c r="G221" s="19" t="s">
        <x:v>1022</x:v>
      </x:c>
      <x:c r="H221" s="19" t="s">
        <x:v>969</x:v>
      </x:c>
      <x:c r="I221" s="19">
        <x:v>1</x:v>
      </x:c>
      <x:c r="J221" s="19">
        <x:v>1</x:v>
      </x:c>
    </x:row>
    <x:row r="222" ht="15" customHeight="1">
      <x:c r="A222" s="19">
        <x:v>219</x:v>
      </x:c>
      <x:c r="B222" s="19" t="s">
        <x:v>907</x:v>
      </x:c>
      <x:c r="C222" s="19" t="s">
        <x:v>957</x:v>
      </x:c>
      <x:c r="D222" s="19" t="s">
        <x:v>92</x:v>
      </x:c>
      <x:c r="E222" s="19" t="s">
        <x:v>95</x:v>
      </x:c>
      <x:c r="F222" s="19" t="s">
        <x:v>99</x:v>
      </x:c>
      <x:c r="G222" s="19" t="s">
        <x:v>1037</x:v>
      </x:c>
      <x:c r="H222" s="28" t="s">
        <x:v>1085</x:v>
      </x:c>
      <x:c r="I222" s="19">
        <x:v>1</x:v>
      </x:c>
      <x:c r="J222" s="19">
        <x:v>1</x:v>
      </x:c>
    </x:row>
    <x:row r="223" ht="15" customHeight="1">
      <x:c r="A223" s="19">
        <x:v>220</x:v>
      </x:c>
      <x:c r="B223" s="19" t="s">
        <x:v>907</x:v>
      </x:c>
      <x:c r="C223" s="19" t="s">
        <x:v>958</x:v>
      </x:c>
      <x:c r="D223" s="19" t="s">
        <x:v>37</x:v>
      </x:c>
      <x:c r="E223" s="19" t="s">
        <x:v>95</x:v>
      </x:c>
      <x:c r="F223" s="19" t="s">
        <x:v>40</x:v>
      </x:c>
      <x:c r="G223" s="19" t="s">
        <x:v>1022</x:v>
      </x:c>
      <x:c r="H223" s="28" t="s">
        <x:v>1119</x:v>
      </x:c>
      <x:c r="I223" s="19">
        <x:v>1</x:v>
      </x:c>
      <x:c r="J223" s="19">
        <x:v>1</x:v>
      </x:c>
    </x:row>
    <x:row r="224" ht="15" customHeight="1">
      <x:c r="A224" s="19">
        <x:v>221</x:v>
      </x:c>
      <x:c r="B224" s="19" t="s">
        <x:v>907</x:v>
      </x:c>
      <x:c r="C224" s="19" t="s">
        <x:v>958</x:v>
      </x:c>
      <x:c r="D224" s="19" t="s">
        <x:v>37</x:v>
      </x:c>
      <x:c r="E224" s="19" t="s">
        <x:v>95</x:v>
      </x:c>
      <x:c r="F224" s="19" t="s">
        <x:v>40</x:v>
      </x:c>
      <x:c r="G224" s="19" t="s">
        <x:v>1022</x:v>
      </x:c>
      <x:c r="H224" s="28" t="s">
        <x:v>1085</x:v>
      </x:c>
      <x:c r="I224" s="19">
        <x:v>1</x:v>
      </x:c>
      <x:c r="J224" s="19">
        <x:v>1</x:v>
      </x:c>
    </x:row>
    <x:row r="225" ht="15" customHeight="1">
      <x:c r="A225" s="19">
        <x:v>222</x:v>
      </x:c>
      <x:c r="B225" s="19" t="s">
        <x:v>907</x:v>
      </x:c>
      <x:c r="C225" s="19" t="s">
        <x:v>958</x:v>
      </x:c>
      <x:c r="D225" s="19" t="s">
        <x:v>92</x:v>
      </x:c>
      <x:c r="E225" s="19" t="s">
        <x:v>95</x:v>
      </x:c>
      <x:c r="F225" s="19" t="s">
        <x:v>40</x:v>
      </x:c>
      <x:c r="G225" s="19" t="s">
        <x:v>1025</x:v>
      </x:c>
      <x:c r="H225" s="28" t="s">
        <x:v>1087</x:v>
      </x:c>
      <x:c r="I225" s="19">
        <x:v>1</x:v>
      </x:c>
      <x:c r="J225" s="19">
        <x:v>1</x:v>
      </x:c>
    </x:row>
    <x:row r="226" ht="26.25" customHeight="1">
      <x:c r="A226" s="19">
        <x:v>223</x:v>
      </x:c>
      <x:c r="B226" s="19" t="s">
        <x:v>907</x:v>
      </x:c>
      <x:c r="C226" s="19" t="s">
        <x:v>958</x:v>
      </x:c>
      <x:c r="D226" s="19" t="s">
        <x:v>37</x:v>
      </x:c>
      <x:c r="E226" s="19" t="s">
        <x:v>866</x:v>
      </x:c>
      <x:c r="F226" s="19" t="s">
        <x:v>99</x:v>
      </x:c>
      <x:c r="G226" s="19" t="s">
        <x:v>1024</x:v>
      </x:c>
      <x:c r="H226" s="19" t="s">
        <x:v>969</x:v>
      </x:c>
      <x:c r="I226" s="19">
        <x:v>1</x:v>
      </x:c>
      <x:c r="J226" s="19">
        <x:v>0</x:v>
      </x:c>
    </x:row>
    <x:row r="227" ht="15" customHeight="1">
      <x:c r="A227" s="19">
        <x:v>224</x:v>
      </x:c>
      <x:c r="B227" s="19" t="s">
        <x:v>907</x:v>
      </x:c>
      <x:c r="C227" s="19" t="s">
        <x:v>958</x:v>
      </x:c>
      <x:c r="D227" s="19" t="s">
        <x:v>37</x:v>
      </x:c>
      <x:c r="E227" s="19" t="s">
        <x:v>84</x:v>
      </x:c>
      <x:c r="F227" s="19" t="s">
        <x:v>99</x:v>
      </x:c>
      <x:c r="G227" s="19" t="s">
        <x:v>1023</x:v>
      </x:c>
      <x:c r="H227" s="28" t="s">
        <x:v>1086</x:v>
      </x:c>
      <x:c r="I227" s="19">
        <x:v>1</x:v>
      </x:c>
      <x:c r="J227" s="19">
        <x:v>1</x:v>
      </x:c>
    </x:row>
    <x:row r="228" ht="26.25" customHeight="1">
      <x:c r="A228" s="19">
        <x:v>225</x:v>
      </x:c>
      <x:c r="B228" s="19" t="s">
        <x:v>907</x:v>
      </x:c>
      <x:c r="C228" s="19" t="s">
        <x:v>959</x:v>
      </x:c>
      <x:c r="D228" s="19" t="s">
        <x:v>11</x:v>
      </x:c>
      <x:c r="E228" s="19" t="s">
        <x:v>203</x:v>
      </x:c>
      <x:c r="F228" s="19" t="s">
        <x:v>15</x:v>
      </x:c>
      <x:c r="G228" s="19" t="s">
        <x:v>1021</x:v>
      </x:c>
      <x:c r="H228" s="28" t="s">
        <x:v>1082</x:v>
      </x:c>
      <x:c r="I228" s="19">
        <x:v>1</x:v>
      </x:c>
      <x:c r="J228" s="19">
        <x:v>0</x:v>
      </x:c>
    </x:row>
    <x:row r="229" ht="15" customHeight="1">
      <x:c r="A229" s="19">
        <x:v>226</x:v>
      </x:c>
      <x:c r="B229" s="19" t="s">
        <x:v>907</x:v>
      </x:c>
      <x:c r="C229" s="19" t="s">
        <x:v>959</x:v>
      </x:c>
      <x:c r="D229" s="19" t="s">
        <x:v>37</x:v>
      </x:c>
      <x:c r="E229" s="19" t="s">
        <x:v>14</x:v>
      </x:c>
      <x:c r="F229" s="19" t="s">
        <x:v>40</x:v>
      </x:c>
      <x:c r="G229" s="19" t="s">
        <x:v>1019</x:v>
      </x:c>
      <x:c r="H229" s="28" t="s">
        <x:v>1124</x:v>
      </x:c>
      <x:c r="I229" s="19">
        <x:v>1</x:v>
      </x:c>
      <x:c r="J229" s="19">
        <x:v>1</x:v>
      </x:c>
    </x:row>
    <x:row r="230" ht="15" customHeight="1">
      <x:c r="A230" s="19">
        <x:v>227</x:v>
      </x:c>
      <x:c r="B230" s="19" t="s">
        <x:v>907</x:v>
      </x:c>
      <x:c r="C230" s="19" t="s">
        <x:v>959</x:v>
      </x:c>
      <x:c r="D230" s="19" t="s">
        <x:v>62</x:v>
      </x:c>
      <x:c r="E230" s="19" t="s">
        <x:v>95</x:v>
      </x:c>
      <x:c r="F230" s="19" t="s">
        <x:v>40</x:v>
      </x:c>
      <x:c r="G230" s="19" t="s">
        <x:v>1020</x:v>
      </x:c>
      <x:c r="H230" s="28" t="s">
        <x:v>1081</x:v>
      </x:c>
      <x:c r="I230" s="19">
        <x:v>1</x:v>
      </x:c>
      <x:c r="J230" s="19">
        <x:v>1</x:v>
      </x:c>
    </x:row>
    <x:row r="231" ht="15" customHeight="1">
      <x:c r="A231" s="19">
        <x:v>228</x:v>
      </x:c>
      <x:c r="B231" s="19" t="s">
        <x:v>907</x:v>
      </x:c>
      <x:c r="C231" s="19" t="s">
        <x:v>959</x:v>
      </x:c>
      <x:c r="D231" s="19" t="s">
        <x:v>37</x:v>
      </x:c>
      <x:c r="E231" s="19" t="s">
        <x:v>84</x:v>
      </x:c>
      <x:c r="F231" s="19" t="s">
        <x:v>15</x:v>
      </x:c>
      <x:c r="G231" s="19" t="s">
        <x:v>1019</x:v>
      </x:c>
      <x:c r="H231" s="28" t="s">
        <x:v>1125</x:v>
      </x:c>
      <x:c r="I231" s="19">
        <x:v>1</x:v>
      </x:c>
      <x:c r="J231" s="19">
        <x:v>1</x:v>
      </x:c>
    </x:row>
    <x:row r="232" ht="15" customHeight="1">
      <x:c r="A232" s="19">
        <x:v>229</x:v>
      </x:c>
      <x:c r="B232" s="19" t="s">
        <x:v>907</x:v>
      </x:c>
      <x:c r="C232" s="19" t="s">
        <x:v>959</x:v>
      </x:c>
      <x:c r="D232" s="19" t="s">
        <x:v>62</x:v>
      </x:c>
      <x:c r="E232" s="19" t="s">
        <x:v>84</x:v>
      </x:c>
      <x:c r="F232" s="19" t="s">
        <x:v>15</x:v>
      </x:c>
      <x:c r="G232" s="19" t="s">
        <x:v>1022</x:v>
      </x:c>
      <x:c r="H232" s="28" t="s">
        <x:v>1071</x:v>
      </x:c>
      <x:c r="I232" s="19">
        <x:v>1</x:v>
      </x:c>
      <x:c r="J232" s="19">
        <x:v>1</x:v>
      </x:c>
    </x:row>
    <x:row r="233" ht="15" customHeight="1">
      <x:c r="A233" s="19">
        <x:v>229</x:v>
      </x:c>
      <x:c r="B233" s="19" t="s">
        <x:v>907</x:v>
      </x:c>
      <x:c r="C233" s="19" t="s">
        <x:v>959</x:v>
      </x:c>
      <x:c r="D233" s="19" t="s">
        <x:v>62</x:v>
      </x:c>
      <x:c r="E233" s="19" t="s">
        <x:v>95</x:v>
      </x:c>
      <x:c r="F233" s="19" t="s">
        <x:v>15</x:v>
      </x:c>
      <x:c r="G233" s="19" t="s">
        <x:v>1022</x:v>
      </x:c>
      <x:c r="H233" s="28" t="s">
        <x:v>1071</x:v>
      </x:c>
      <x:c r="I233" s="19">
        <x:v>0</x:v>
      </x:c>
      <x:c r="J233" s="19">
        <x:v>1</x:v>
      </x:c>
    </x:row>
    <x:row r="234" ht="26.25" customHeight="1">
      <x:c r="A234" s="19">
        <x:v>230</x:v>
      </x:c>
      <x:c r="B234" s="19" t="s">
        <x:v>907</x:v>
      </x:c>
      <x:c r="C234" s="19" t="s">
        <x:v>892</x:v>
      </x:c>
      <x:c r="D234" s="19" t="s">
        <x:v>37</x:v>
      </x:c>
      <x:c r="E234" s="19" t="s">
        <x:v>95</x:v>
      </x:c>
      <x:c r="F234" s="19" t="s">
        <x:v>15</x:v>
      </x:c>
      <x:c r="G234" s="19" t="s">
        <x:v>969</x:v>
      </x:c>
      <x:c r="H234" s="28" t="s">
        <x:v>1085</x:v>
      </x:c>
      <x:c r="I234" s="19">
        <x:v>1</x:v>
      </x:c>
      <x:c r="J234" s="19">
        <x:v>1</x:v>
      </x:c>
    </x:row>
    <x:row r="235" ht="15" customHeight="1">
      <x:c r="A235" s="19">
        <x:v>231</x:v>
      </x:c>
      <x:c r="B235" s="19" t="s">
        <x:v>907</x:v>
      </x:c>
      <x:c r="C235" s="19" t="s">
        <x:v>892</x:v>
      </x:c>
      <x:c r="D235" s="19" t="s">
        <x:v>37</x:v>
      </x:c>
      <x:c r="E235" s="19" t="s">
        <x:v>84</x:v>
      </x:c>
      <x:c r="F235" s="19" t="s">
        <x:v>99</x:v>
      </x:c>
      <x:c r="G235" s="19" t="s">
        <x:v>1038</x:v>
      </x:c>
      <x:c r="H235" s="28" t="s">
        <x:v>1101</x:v>
      </x:c>
      <x:c r="I235" s="19">
        <x:v>1</x:v>
      </x:c>
      <x:c r="J235" s="19">
        <x:v>1</x:v>
      </x:c>
    </x:row>
    <x:row r="236" ht="14.25" customHeight="1">
      <x:c r="A236" s="10"/>
      <x:c r="B236" s="10"/>
      <x:c r="C236" s="10"/>
      <x:c r="D236" s="10"/>
      <x:c r="E236" s="10"/>
      <x:c r="F236" s="10"/>
      <x:c r="G236" s="10"/>
      <x:c r="H236" s="10"/>
      <x:c r="I236" s="10"/>
      <x:c r="J236" s="10"/>
    </x:row>
    <x:row r="237" ht="14.25" customHeight="1">
      <x:c r="A237" s="10"/>
      <x:c r="B237" s="10"/>
      <x:c r="C237" s="10"/>
      <x:c r="D237" s="10"/>
      <x:c r="E237" s="10"/>
      <x:c r="F237" s="10"/>
      <x:c r="G237" s="10"/>
      <x:c r="H237" s="10"/>
      <x:c r="I237" s="10"/>
      <x:c r="J237" s="10"/>
    </x:row>
    <x:row r="238" ht="14.25" customHeight="1">
      <x:c r="A238" s="10"/>
      <x:c r="B238" s="10"/>
      <x:c r="C238" s="10"/>
      <x:c r="D238" s="10"/>
      <x:c r="E238" s="10"/>
      <x:c r="F238" s="10"/>
      <x:c r="G238" s="10"/>
      <x:c r="H238" s="10"/>
      <x:c r="I238" s="10"/>
      <x:c r="J238" s="10"/>
    </x:row>
    <x:row r="239" ht="14.25" customHeight="1">
      <x:c r="A239" s="10"/>
      <x:c r="B239" s="10"/>
      <x:c r="C239" s="10"/>
      <x:c r="D239" s="10"/>
      <x:c r="E239" s="10"/>
      <x:c r="F239" s="10"/>
      <x:c r="G239" s="10"/>
      <x:c r="H239" s="10"/>
      <x:c r="I239" s="10"/>
      <x:c r="J239" s="10"/>
    </x:row>
    <x:row r="240" ht="14.25" customHeight="1">
      <x:c r="A240" s="10"/>
      <x:c r="B240" s="10"/>
      <x:c r="C240" s="10"/>
      <x:c r="D240" s="10"/>
      <x:c r="E240" s="10"/>
      <x:c r="F240" s="10"/>
      <x:c r="G240" s="10"/>
      <x:c r="H240" s="10"/>
      <x:c r="I240" s="10"/>
      <x:c r="J240" s="10"/>
    </x:row>
    <x:row r="241" ht="14.25" customHeight="1">
      <x:c r="A241" s="10"/>
      <x:c r="B241" s="10"/>
      <x:c r="C241" s="10"/>
      <x:c r="D241" s="10"/>
      <x:c r="E241" s="10"/>
      <x:c r="F241" s="10"/>
      <x:c r="G241" s="10"/>
      <x:c r="H241" s="10"/>
      <x:c r="I241" s="10"/>
      <x:c r="J241" s="10"/>
    </x:row>
    <x:row r="242" ht="14.25" customHeight="1">
      <x:c r="A242" s="10"/>
      <x:c r="B242" s="10"/>
      <x:c r="C242" s="10"/>
      <x:c r="D242" s="10"/>
      <x:c r="E242" s="10"/>
      <x:c r="F242" s="10"/>
      <x:c r="G242" s="10"/>
      <x:c r="H242" s="10"/>
      <x:c r="I242" s="10"/>
      <x:c r="J242" s="10"/>
    </x:row>
    <x:row r="243" ht="14.25" customHeight="1">
      <x:c r="A243" s="10"/>
      <x:c r="B243" s="10"/>
      <x:c r="C243" s="10"/>
      <x:c r="D243" s="10"/>
      <x:c r="E243" s="10"/>
      <x:c r="F243" s="10"/>
      <x:c r="G243" s="10"/>
      <x:c r="H243" s="10"/>
      <x:c r="I243" s="10"/>
      <x:c r="J243" s="10"/>
    </x:row>
    <x:row r="244" ht="14.25" customHeight="1">
      <x:c r="A244" s="10"/>
      <x:c r="B244" s="10"/>
      <x:c r="C244" s="10"/>
      <x:c r="D244" s="10"/>
      <x:c r="E244" s="10"/>
      <x:c r="F244" s="10"/>
      <x:c r="G244" s="10"/>
      <x:c r="H244" s="10"/>
      <x:c r="I244" s="10"/>
      <x:c r="J244" s="10"/>
    </x:row>
    <x:row r="245" ht="14.25" customHeight="1">
      <x:c r="A245" s="10"/>
      <x:c r="B245" s="10"/>
      <x:c r="C245" s="10"/>
      <x:c r="D245" s="10"/>
      <x:c r="E245" s="10"/>
      <x:c r="F245" s="10"/>
      <x:c r="G245" s="10"/>
      <x:c r="H245" s="10"/>
      <x:c r="I245" s="10"/>
      <x:c r="J245" s="10"/>
    </x:row>
    <x:row r="246" ht="14.25" customHeight="1">
      <x:c r="A246" s="10"/>
      <x:c r="B246" s="10"/>
      <x:c r="C246" s="10"/>
      <x:c r="D246" s="10"/>
      <x:c r="E246" s="10"/>
      <x:c r="F246" s="10"/>
      <x:c r="G246" s="10"/>
      <x:c r="H246" s="10"/>
      <x:c r="I246" s="10"/>
      <x:c r="J246" s="10"/>
    </x:row>
    <x:row r="247" ht="14.25" customHeight="1">
      <x:c r="A247" s="10"/>
      <x:c r="B247" s="10"/>
      <x:c r="C247" s="10"/>
      <x:c r="D247" s="10"/>
      <x:c r="E247" s="10"/>
      <x:c r="F247" s="10"/>
      <x:c r="G247" s="10"/>
      <x:c r="H247" s="10"/>
      <x:c r="I247" s="10"/>
      <x:c r="J247" s="10"/>
    </x:row>
    <x:row r="248" ht="14.25" customHeight="1">
      <x:c r="A248" s="10"/>
      <x:c r="B248" s="10"/>
      <x:c r="C248" s="10"/>
      <x:c r="D248" s="10"/>
      <x:c r="E248" s="10"/>
      <x:c r="F248" s="10"/>
      <x:c r="G248" s="10"/>
      <x:c r="H248" s="10"/>
      <x:c r="I248" s="10"/>
      <x:c r="J248" s="10"/>
    </x:row>
    <x:row r="249" ht="14.25" customHeight="1">
      <x:c r="A249" s="10"/>
      <x:c r="B249" s="10"/>
      <x:c r="C249" s="10"/>
      <x:c r="D249" s="10"/>
      <x:c r="E249" s="10"/>
      <x:c r="F249" s="10"/>
      <x:c r="G249" s="10"/>
      <x:c r="H249" s="10"/>
      <x:c r="I249" s="10"/>
      <x:c r="J249" s="10"/>
    </x:row>
    <x:row r="250" ht="14.25" customHeight="1">
      <x:c r="A250" s="10"/>
      <x:c r="B250" s="10"/>
      <x:c r="C250" s="10"/>
      <x:c r="D250" s="10"/>
      <x:c r="E250" s="10"/>
      <x:c r="F250" s="10"/>
      <x:c r="G250" s="10"/>
      <x:c r="H250" s="10"/>
      <x:c r="I250" s="10"/>
      <x:c r="J250" s="10"/>
    </x:row>
    <x:row r="251" ht="14.25" customHeight="1">
      <x:c r="A251" s="10"/>
      <x:c r="B251" s="10"/>
      <x:c r="C251" s="10"/>
      <x:c r="D251" s="10"/>
      <x:c r="E251" s="10"/>
      <x:c r="F251" s="10"/>
      <x:c r="G251" s="10"/>
      <x:c r="H251" s="10"/>
      <x:c r="I251" s="10"/>
      <x:c r="J251" s="10"/>
    </x:row>
    <x:row r="252" ht="14.25" customHeight="1">
      <x:c r="A252" s="10"/>
      <x:c r="B252" s="10"/>
      <x:c r="C252" s="10"/>
      <x:c r="D252" s="10"/>
      <x:c r="E252" s="10"/>
      <x:c r="F252" s="10"/>
      <x:c r="G252" s="10"/>
      <x:c r="H252" s="10"/>
      <x:c r="I252" s="10"/>
      <x:c r="J252" s="10"/>
    </x:row>
    <x:row r="253" ht="14.25" customHeight="1">
      <x:c r="A253" s="10"/>
      <x:c r="B253" s="10"/>
      <x:c r="C253" s="10"/>
      <x:c r="D253" s="10"/>
      <x:c r="E253" s="10"/>
      <x:c r="F253" s="10"/>
      <x:c r="G253" s="10"/>
      <x:c r="H253" s="10"/>
      <x:c r="I253" s="10"/>
      <x:c r="J253" s="10"/>
    </x:row>
    <x:row r="254" ht="14.25" customHeight="1">
      <x:c r="A254" s="10"/>
      <x:c r="B254" s="10"/>
      <x:c r="C254" s="10"/>
      <x:c r="D254" s="10"/>
      <x:c r="E254" s="10"/>
      <x:c r="F254" s="10"/>
      <x:c r="G254" s="10"/>
      <x:c r="H254" s="10"/>
      <x:c r="I254" s="10"/>
      <x:c r="J254" s="10"/>
    </x:row>
    <x:row r="255" ht="14.25" customHeight="1">
      <x:c r="A255" s="10"/>
      <x:c r="B255" s="10"/>
      <x:c r="C255" s="10"/>
      <x:c r="D255" s="10"/>
      <x:c r="E255" s="10"/>
      <x:c r="F255" s="10"/>
      <x:c r="G255" s="10"/>
      <x:c r="H255" s="10"/>
      <x:c r="I255" s="10"/>
      <x:c r="J255" s="10"/>
    </x:row>
    <x:row r="256" ht="14.25" customHeight="1">
      <x:c r="A256" s="10"/>
      <x:c r="B256" s="10"/>
      <x:c r="C256" s="10"/>
      <x:c r="D256" s="10"/>
      <x:c r="E256" s="10"/>
      <x:c r="F256" s="10"/>
      <x:c r="G256" s="10"/>
      <x:c r="H256" s="10"/>
      <x:c r="I256" s="10"/>
      <x:c r="J256" s="10"/>
    </x:row>
    <x:row r="257" ht="14.25" customHeight="1">
      <x:c r="A257" s="10"/>
      <x:c r="B257" s="10"/>
      <x:c r="C257" s="10"/>
      <x:c r="D257" s="10"/>
      <x:c r="E257" s="10"/>
      <x:c r="F257" s="10"/>
      <x:c r="G257" s="10"/>
      <x:c r="H257" s="10"/>
      <x:c r="I257" s="10"/>
      <x:c r="J257" s="10"/>
    </x:row>
    <x:row r="258" ht="14.25" customHeight="1">
      <x:c r="A258" s="10"/>
      <x:c r="B258" s="10"/>
      <x:c r="C258" s="10"/>
      <x:c r="D258" s="10"/>
      <x:c r="E258" s="10"/>
      <x:c r="F258" s="10"/>
      <x:c r="G258" s="10"/>
      <x:c r="H258" s="10"/>
      <x:c r="I258" s="10"/>
      <x:c r="J258" s="10"/>
    </x:row>
    <x:row r="259" ht="14.25" customHeight="1">
      <x:c r="A259" s="10"/>
      <x:c r="B259" s="10"/>
      <x:c r="C259" s="10"/>
      <x:c r="D259" s="10"/>
      <x:c r="E259" s="10"/>
      <x:c r="F259" s="10"/>
      <x:c r="G259" s="10"/>
      <x:c r="H259" s="10"/>
      <x:c r="I259" s="10"/>
      <x:c r="J259" s="10"/>
    </x:row>
    <x:row r="260" ht="14.25" customHeight="1">
      <x:c r="A260" s="10"/>
      <x:c r="B260" s="10"/>
      <x:c r="C260" s="10"/>
      <x:c r="D260" s="10"/>
      <x:c r="E260" s="10"/>
      <x:c r="F260" s="10"/>
      <x:c r="G260" s="10"/>
      <x:c r="H260" s="10"/>
      <x:c r="I260" s="10"/>
      <x:c r="J260" s="10"/>
    </x:row>
    <x:row r="261" ht="14.25" customHeight="1">
      <x:c r="A261" s="10"/>
      <x:c r="B261" s="10"/>
      <x:c r="C261" s="10"/>
      <x:c r="D261" s="10"/>
      <x:c r="E261" s="10"/>
      <x:c r="F261" s="10"/>
      <x:c r="G261" s="10"/>
      <x:c r="H261" s="10"/>
      <x:c r="I261" s="10"/>
      <x:c r="J261" s="10"/>
    </x:row>
    <x:row r="262" ht="14.25" customHeight="1">
      <x:c r="A262" s="10"/>
      <x:c r="B262" s="10"/>
      <x:c r="C262" s="10"/>
      <x:c r="D262" s="10"/>
      <x:c r="E262" s="10"/>
      <x:c r="F262" s="10"/>
      <x:c r="G262" s="10"/>
      <x:c r="H262" s="10"/>
      <x:c r="I262" s="10"/>
      <x:c r="J262" s="10"/>
    </x:row>
    <x:row r="263" ht="14.25" customHeight="1">
      <x:c r="A263" s="10"/>
      <x:c r="B263" s="10"/>
      <x:c r="C263" s="10"/>
      <x:c r="D263" s="10"/>
      <x:c r="E263" s="10"/>
      <x:c r="F263" s="10"/>
      <x:c r="G263" s="10"/>
      <x:c r="H263" s="10"/>
      <x:c r="I263" s="10"/>
      <x:c r="J263" s="10"/>
    </x:row>
    <x:row r="264" ht="14.25" customHeight="1">
      <x:c r="A264" s="10"/>
      <x:c r="B264" s="10"/>
      <x:c r="C264" s="10"/>
      <x:c r="D264" s="10"/>
      <x:c r="E264" s="10"/>
      <x:c r="F264" s="10"/>
      <x:c r="G264" s="10"/>
      <x:c r="H264" s="10"/>
      <x:c r="I264" s="10"/>
      <x:c r="J264" s="10"/>
    </x:row>
    <x:row r="265" ht="14.25" customHeight="1">
      <x:c r="A265" s="10"/>
      <x:c r="B265" s="10"/>
      <x:c r="C265" s="10"/>
      <x:c r="D265" s="10"/>
      <x:c r="E265" s="10"/>
      <x:c r="F265" s="10"/>
      <x:c r="G265" s="10"/>
      <x:c r="H265" s="10"/>
      <x:c r="I265" s="10"/>
      <x:c r="J265" s="10"/>
    </x:row>
    <x:row r="266" ht="14.25" customHeight="1">
      <x:c r="A266" s="10"/>
      <x:c r="B266" s="10"/>
      <x:c r="C266" s="10"/>
      <x:c r="D266" s="10"/>
      <x:c r="E266" s="10"/>
      <x:c r="F266" s="10"/>
      <x:c r="G266" s="10"/>
      <x:c r="H266" s="10"/>
      <x:c r="I266" s="10"/>
      <x:c r="J266" s="10"/>
    </x:row>
    <x:row r="267" ht="14.25" customHeight="1">
      <x:c r="A267" s="10"/>
      <x:c r="B267" s="10"/>
      <x:c r="C267" s="10"/>
      <x:c r="D267" s="10"/>
      <x:c r="E267" s="10"/>
      <x:c r="F267" s="10"/>
      <x:c r="G267" s="10"/>
      <x:c r="H267" s="10"/>
      <x:c r="I267" s="10"/>
      <x:c r="J267" s="10"/>
    </x:row>
    <x:row r="268" ht="14.25" customHeight="1">
      <x:c r="A268" s="10"/>
      <x:c r="B268" s="10"/>
      <x:c r="C268" s="10"/>
      <x:c r="D268" s="10"/>
      <x:c r="E268" s="10"/>
      <x:c r="F268" s="10"/>
      <x:c r="G268" s="10"/>
      <x:c r="H268" s="10"/>
      <x:c r="I268" s="10"/>
      <x:c r="J268" s="10"/>
    </x:row>
    <x:row r="269" ht="14.25" customHeight="1">
      <x:c r="A269" s="10"/>
      <x:c r="B269" s="10"/>
      <x:c r="C269" s="10"/>
      <x:c r="D269" s="10"/>
      <x:c r="E269" s="10"/>
      <x:c r="F269" s="10"/>
      <x:c r="G269" s="10"/>
      <x:c r="H269" s="10"/>
      <x:c r="I269" s="10"/>
      <x:c r="J269" s="10"/>
    </x:row>
    <x:row r="270" ht="14.25" customHeight="1">
      <x:c r="A270" s="10"/>
      <x:c r="B270" s="10"/>
      <x:c r="C270" s="10"/>
      <x:c r="D270" s="10"/>
      <x:c r="E270" s="10"/>
      <x:c r="F270" s="10"/>
      <x:c r="G270" s="10"/>
      <x:c r="H270" s="10"/>
      <x:c r="I270" s="10"/>
      <x:c r="J270" s="10"/>
    </x:row>
    <x:row r="271" ht="14.25" customHeight="1">
      <x:c r="A271" s="10"/>
      <x:c r="B271" s="10"/>
      <x:c r="C271" s="10"/>
      <x:c r="D271" s="10"/>
      <x:c r="E271" s="10"/>
      <x:c r="F271" s="10"/>
      <x:c r="G271" s="10"/>
      <x:c r="H271" s="10"/>
      <x:c r="I271" s="10"/>
      <x:c r="J271" s="10"/>
    </x:row>
    <x:row r="272" ht="14.25" customHeight="1">
      <x:c r="A272" s="10"/>
      <x:c r="B272" s="10"/>
      <x:c r="C272" s="10"/>
      <x:c r="D272" s="10"/>
      <x:c r="E272" s="10"/>
      <x:c r="F272" s="10"/>
      <x:c r="G272" s="10"/>
      <x:c r="H272" s="10"/>
      <x:c r="I272" s="10"/>
      <x:c r="J272" s="10"/>
    </x:row>
    <x:row r="273" ht="14.25" customHeight="1">
      <x:c r="A273" s="10"/>
      <x:c r="B273" s="10"/>
      <x:c r="C273" s="10"/>
      <x:c r="D273" s="10"/>
      <x:c r="E273" s="10"/>
      <x:c r="F273" s="10"/>
      <x:c r="G273" s="10"/>
      <x:c r="H273" s="10"/>
      <x:c r="I273" s="10"/>
      <x:c r="J273" s="10"/>
    </x:row>
    <x:row r="274" ht="14.25" customHeight="1">
      <x:c r="A274" s="10"/>
      <x:c r="B274" s="10"/>
      <x:c r="C274" s="10"/>
      <x:c r="D274" s="10"/>
      <x:c r="E274" s="10"/>
      <x:c r="F274" s="10"/>
      <x:c r="G274" s="10"/>
      <x:c r="H274" s="10"/>
      <x:c r="I274" s="10"/>
      <x:c r="J274" s="10"/>
    </x:row>
    <x:row r="275" ht="14.25" customHeight="1">
      <x:c r="A275" s="10"/>
      <x:c r="B275" s="10"/>
      <x:c r="C275" s="10"/>
      <x:c r="D275" s="10"/>
      <x:c r="E275" s="10"/>
      <x:c r="F275" s="10"/>
      <x:c r="G275" s="10"/>
      <x:c r="H275" s="10"/>
      <x:c r="I275" s="10"/>
      <x:c r="J275" s="10"/>
    </x:row>
    <x:row r="276" ht="14.25" customHeight="1">
      <x:c r="A276" s="10"/>
      <x:c r="B276" s="10"/>
      <x:c r="C276" s="10"/>
      <x:c r="D276" s="10"/>
      <x:c r="E276" s="10"/>
      <x:c r="F276" s="10"/>
      <x:c r="G276" s="10"/>
      <x:c r="H276" s="10"/>
      <x:c r="I276" s="10"/>
      <x:c r="J276" s="10"/>
    </x:row>
    <x:row r="277" ht="14.25" customHeight="1">
      <x:c r="A277" s="10"/>
      <x:c r="B277" s="10"/>
      <x:c r="C277" s="10"/>
      <x:c r="D277" s="10"/>
      <x:c r="E277" s="10"/>
      <x:c r="F277" s="10"/>
      <x:c r="G277" s="10"/>
      <x:c r="H277" s="10"/>
      <x:c r="I277" s="10"/>
      <x:c r="J277" s="10"/>
    </x:row>
    <x:row r="278" ht="14.25" customHeight="1">
      <x:c r="A278" s="10"/>
      <x:c r="B278" s="10"/>
      <x:c r="C278" s="10"/>
      <x:c r="D278" s="10"/>
      <x:c r="E278" s="10"/>
      <x:c r="F278" s="10"/>
      <x:c r="G278" s="10"/>
      <x:c r="H278" s="10"/>
      <x:c r="I278" s="10"/>
      <x:c r="J278" s="10"/>
    </x:row>
    <x:row r="279" ht="14.25" customHeight="1">
      <x:c r="A279" s="10"/>
      <x:c r="B279" s="10"/>
      <x:c r="C279" s="10"/>
      <x:c r="D279" s="10"/>
      <x:c r="E279" s="10"/>
      <x:c r="F279" s="10"/>
      <x:c r="G279" s="10"/>
      <x:c r="H279" s="10"/>
      <x:c r="I279" s="10"/>
      <x:c r="J279" s="10"/>
    </x:row>
    <x:row r="280" ht="14.25" customHeight="1">
      <x:c r="A280" s="10"/>
      <x:c r="B280" s="10"/>
      <x:c r="C280" s="10"/>
      <x:c r="D280" s="10"/>
      <x:c r="E280" s="10"/>
      <x:c r="F280" s="10"/>
      <x:c r="G280" s="10"/>
      <x:c r="H280" s="10"/>
      <x:c r="I280" s="10"/>
      <x:c r="J280" s="10"/>
    </x:row>
    <x:row r="281" ht="14.25" customHeight="1">
      <x:c r="A281" s="10"/>
      <x:c r="B281" s="10"/>
      <x:c r="C281" s="10"/>
      <x:c r="D281" s="10"/>
      <x:c r="E281" s="10"/>
      <x:c r="F281" s="10"/>
      <x:c r="G281" s="10"/>
      <x:c r="H281" s="10"/>
      <x:c r="I281" s="10"/>
      <x:c r="J281" s="10"/>
    </x:row>
    <x:row r="282" ht="14.25" customHeight="1">
      <x:c r="A282" s="10"/>
      <x:c r="B282" s="10"/>
      <x:c r="C282" s="10"/>
      <x:c r="D282" s="10"/>
      <x:c r="E282" s="10"/>
      <x:c r="F282" s="10"/>
      <x:c r="G282" s="10"/>
      <x:c r="H282" s="10"/>
      <x:c r="I282" s="10"/>
      <x:c r="J282" s="10"/>
    </x:row>
    <x:row r="283" ht="14.25" customHeight="1">
      <x:c r="A283" s="10"/>
      <x:c r="B283" s="10"/>
      <x:c r="C283" s="10"/>
      <x:c r="D283" s="10"/>
      <x:c r="E283" s="10"/>
      <x:c r="F283" s="10"/>
      <x:c r="G283" s="10"/>
      <x:c r="H283" s="10"/>
      <x:c r="I283" s="10"/>
      <x:c r="J283" s="10"/>
    </x:row>
    <x:row r="284" ht="14.25" customHeight="1">
      <x:c r="A284" s="10"/>
      <x:c r="B284" s="10"/>
      <x:c r="C284" s="10"/>
      <x:c r="D284" s="10"/>
      <x:c r="E284" s="10"/>
      <x:c r="F284" s="10"/>
      <x:c r="G284" s="10"/>
      <x:c r="H284" s="10"/>
      <x:c r="I284" s="10"/>
      <x:c r="J284" s="10"/>
    </x:row>
    <x:row r="285" ht="14.25" customHeight="1">
      <x:c r="A285" s="10"/>
      <x:c r="B285" s="10"/>
      <x:c r="C285" s="10"/>
      <x:c r="D285" s="10"/>
      <x:c r="E285" s="10"/>
      <x:c r="F285" s="10"/>
      <x:c r="G285" s="10"/>
      <x:c r="H285" s="10"/>
      <x:c r="I285" s="10"/>
      <x:c r="J285" s="10"/>
    </x:row>
    <x:row r="286" ht="14.25" customHeight="1">
      <x:c r="A286" s="10"/>
      <x:c r="B286" s="10"/>
      <x:c r="C286" s="10"/>
      <x:c r="D286" s="10"/>
      <x:c r="E286" s="10"/>
      <x:c r="F286" s="10"/>
      <x:c r="G286" s="10"/>
      <x:c r="H286" s="10"/>
      <x:c r="I286" s="10"/>
      <x:c r="J286" s="10"/>
    </x:row>
    <x:row r="287" ht="14.25" customHeight="1">
      <x:c r="A287" s="10"/>
      <x:c r="B287" s="10"/>
      <x:c r="C287" s="10"/>
      <x:c r="D287" s="10"/>
      <x:c r="E287" s="10"/>
      <x:c r="F287" s="10"/>
      <x:c r="G287" s="10"/>
      <x:c r="H287" s="10"/>
      <x:c r="I287" s="10"/>
      <x:c r="J287" s="10"/>
    </x:row>
    <x:row r="288" ht="14.25" customHeight="1">
      <x:c r="A288" s="10"/>
      <x:c r="B288" s="10"/>
      <x:c r="C288" s="10"/>
      <x:c r="D288" s="10"/>
      <x:c r="E288" s="10"/>
      <x:c r="F288" s="10"/>
      <x:c r="G288" s="10"/>
      <x:c r="H288" s="10"/>
      <x:c r="I288" s="10"/>
      <x:c r="J288" s="10"/>
    </x:row>
    <x:row r="289" ht="14.25" customHeight="1">
      <x:c r="A289" s="10"/>
      <x:c r="B289" s="10"/>
      <x:c r="C289" s="10"/>
      <x:c r="D289" s="10"/>
      <x:c r="E289" s="10"/>
      <x:c r="F289" s="10"/>
      <x:c r="G289" s="10"/>
      <x:c r="H289" s="10"/>
      <x:c r="I289" s="10"/>
      <x:c r="J289" s="10"/>
    </x:row>
    <x:row r="290" ht="14.25" customHeight="1">
      <x:c r="A290" s="10"/>
      <x:c r="B290" s="10"/>
      <x:c r="C290" s="10"/>
      <x:c r="D290" s="10"/>
      <x:c r="E290" s="10"/>
      <x:c r="F290" s="10"/>
      <x:c r="G290" s="10"/>
      <x:c r="H290" s="10"/>
      <x:c r="I290" s="10"/>
      <x:c r="J290" s="10"/>
    </x:row>
    <x:row r="291" ht="14.25" customHeight="1">
      <x:c r="A291" s="10"/>
      <x:c r="B291" s="10"/>
      <x:c r="C291" s="10"/>
      <x:c r="D291" s="10"/>
      <x:c r="E291" s="10"/>
      <x:c r="F291" s="10"/>
      <x:c r="G291" s="10"/>
      <x:c r="H291" s="10"/>
      <x:c r="I291" s="10"/>
      <x:c r="J291" s="10"/>
    </x:row>
    <x:row r="292" ht="14.25" customHeight="1">
      <x:c r="A292" s="10"/>
      <x:c r="B292" s="10"/>
      <x:c r="C292" s="10"/>
      <x:c r="D292" s="10"/>
      <x:c r="E292" s="10"/>
      <x:c r="F292" s="10"/>
      <x:c r="G292" s="10"/>
      <x:c r="H292" s="10"/>
      <x:c r="I292" s="10"/>
      <x:c r="J292" s="10"/>
    </x:row>
    <x:row r="293" ht="14.25" customHeight="1">
      <x:c r="A293" s="10"/>
      <x:c r="B293" s="10"/>
      <x:c r="C293" s="10"/>
      <x:c r="D293" s="10"/>
      <x:c r="E293" s="10"/>
      <x:c r="F293" s="10"/>
      <x:c r="G293" s="10"/>
      <x:c r="H293" s="10"/>
      <x:c r="I293" s="10"/>
      <x:c r="J293" s="10"/>
    </x:row>
    <x:row r="294" ht="14.25" customHeight="1">
      <x:c r="A294" s="10"/>
      <x:c r="B294" s="10"/>
      <x:c r="C294" s="10"/>
      <x:c r="D294" s="10"/>
      <x:c r="E294" s="10"/>
      <x:c r="F294" s="10"/>
      <x:c r="G294" s="10"/>
      <x:c r="H294" s="10"/>
      <x:c r="I294" s="10"/>
      <x:c r="J294" s="10"/>
    </x:row>
    <x:row r="295" ht="14.25" customHeight="1">
      <x:c r="A295" s="10"/>
      <x:c r="B295" s="10"/>
      <x:c r="C295" s="10"/>
      <x:c r="D295" s="10"/>
      <x:c r="E295" s="10"/>
      <x:c r="F295" s="10"/>
      <x:c r="G295" s="10"/>
      <x:c r="H295" s="10"/>
      <x:c r="I295" s="10"/>
      <x:c r="J295" s="10"/>
    </x:row>
    <x:row r="296" ht="14.25" customHeight="1">
      <x:c r="A296" s="10"/>
      <x:c r="B296" s="10"/>
      <x:c r="C296" s="10"/>
      <x:c r="D296" s="10"/>
      <x:c r="E296" s="10"/>
      <x:c r="F296" s="10"/>
      <x:c r="G296" s="10"/>
      <x:c r="H296" s="10"/>
      <x:c r="I296" s="10"/>
      <x:c r="J296" s="10"/>
    </x:row>
    <x:row r="297" ht="14.25" customHeight="1">
      <x:c r="A297" s="10"/>
      <x:c r="B297" s="10"/>
      <x:c r="C297" s="10"/>
      <x:c r="D297" s="10"/>
      <x:c r="E297" s="10"/>
      <x:c r="F297" s="10"/>
      <x:c r="G297" s="10"/>
      <x:c r="H297" s="10"/>
      <x:c r="I297" s="10"/>
      <x:c r="J297" s="10"/>
    </x:row>
    <x:row r="298" ht="14.25" customHeight="1">
      <x:c r="A298" s="10"/>
      <x:c r="B298" s="10"/>
      <x:c r="C298" s="10"/>
      <x:c r="D298" s="10"/>
      <x:c r="E298" s="10"/>
      <x:c r="F298" s="10"/>
      <x:c r="G298" s="10"/>
      <x:c r="H298" s="10"/>
      <x:c r="I298" s="10"/>
      <x:c r="J298" s="10"/>
    </x:row>
    <x:row r="299" ht="14.25" customHeight="1">
      <x:c r="A299" s="10"/>
      <x:c r="B299" s="10"/>
      <x:c r="C299" s="10"/>
      <x:c r="D299" s="10"/>
      <x:c r="E299" s="10"/>
      <x:c r="F299" s="10"/>
      <x:c r="G299" s="10"/>
      <x:c r="H299" s="10"/>
      <x:c r="I299" s="10"/>
      <x:c r="J299" s="10"/>
    </x:row>
    <x:row r="300" ht="14.25" customHeight="1">
      <x:c r="A300" s="10"/>
      <x:c r="B300" s="10"/>
      <x:c r="C300" s="10"/>
      <x:c r="D300" s="10"/>
      <x:c r="E300" s="10"/>
      <x:c r="F300" s="10"/>
      <x:c r="G300" s="10"/>
      <x:c r="H300" s="10"/>
      <x:c r="I300" s="10"/>
      <x:c r="J300" s="10"/>
    </x:row>
    <x:row r="301" ht="14.25" customHeight="1">
      <x:c r="A301" s="10"/>
      <x:c r="B301" s="10"/>
      <x:c r="C301" s="10"/>
      <x:c r="D301" s="10"/>
      <x:c r="E301" s="10"/>
      <x:c r="F301" s="10"/>
      <x:c r="G301" s="10"/>
      <x:c r="H301" s="10"/>
      <x:c r="I301" s="10"/>
      <x:c r="J301" s="10"/>
    </x:row>
    <x:row r="302" ht="14.25" customHeight="1">
      <x:c r="A302" s="10"/>
      <x:c r="B302" s="10"/>
      <x:c r="C302" s="10"/>
      <x:c r="D302" s="10"/>
      <x:c r="E302" s="10"/>
      <x:c r="F302" s="10"/>
      <x:c r="G302" s="10"/>
      <x:c r="H302" s="10"/>
      <x:c r="I302" s="10"/>
      <x:c r="J302" s="10"/>
    </x:row>
    <x:row r="303" ht="14.25" customHeight="1">
      <x:c r="A303" s="10"/>
      <x:c r="B303" s="10"/>
      <x:c r="C303" s="10"/>
      <x:c r="D303" s="10"/>
      <x:c r="E303" s="10"/>
      <x:c r="F303" s="10"/>
      <x:c r="G303" s="10"/>
      <x:c r="H303" s="10"/>
      <x:c r="I303" s="10"/>
      <x:c r="J303" s="10"/>
    </x:row>
    <x:row r="304" ht="14.25" customHeight="1">
      <x:c r="A304" s="10"/>
      <x:c r="B304" s="10"/>
      <x:c r="C304" s="10"/>
      <x:c r="D304" s="10"/>
      <x:c r="E304" s="10"/>
      <x:c r="F304" s="10"/>
      <x:c r="G304" s="10"/>
      <x:c r="H304" s="10"/>
      <x:c r="I304" s="10"/>
      <x:c r="J304" s="10"/>
    </x:row>
    <x:row r="305" ht="14.25" customHeight="1">
      <x:c r="A305" s="10"/>
      <x:c r="B305" s="10"/>
      <x:c r="C305" s="10"/>
      <x:c r="D305" s="10"/>
      <x:c r="E305" s="10"/>
      <x:c r="F305" s="10"/>
      <x:c r="G305" s="10"/>
      <x:c r="H305" s="10"/>
      <x:c r="I305" s="10"/>
      <x:c r="J305" s="10"/>
    </x:row>
    <x:row r="306" ht="14.25" customHeight="1">
      <x:c r="A306" s="10"/>
      <x:c r="B306" s="10"/>
      <x:c r="C306" s="10"/>
      <x:c r="D306" s="10"/>
      <x:c r="E306" s="10"/>
      <x:c r="F306" s="10"/>
      <x:c r="G306" s="10"/>
      <x:c r="H306" s="10"/>
      <x:c r="I306" s="10"/>
      <x:c r="J306" s="10"/>
    </x:row>
    <x:row r="307" ht="14.25" customHeight="1">
      <x:c r="A307" s="10"/>
      <x:c r="B307" s="10"/>
      <x:c r="C307" s="10"/>
      <x:c r="D307" s="10"/>
      <x:c r="E307" s="10"/>
      <x:c r="F307" s="10"/>
      <x:c r="G307" s="10"/>
      <x:c r="H307" s="10"/>
      <x:c r="I307" s="10"/>
      <x:c r="J307" s="10"/>
    </x:row>
    <x:row r="308" ht="14.25" customHeight="1">
      <x:c r="A308" s="10"/>
      <x:c r="B308" s="10"/>
      <x:c r="C308" s="10"/>
      <x:c r="D308" s="10"/>
      <x:c r="E308" s="10"/>
      <x:c r="F308" s="10"/>
      <x:c r="G308" s="10"/>
      <x:c r="H308" s="10"/>
      <x:c r="I308" s="10"/>
      <x:c r="J308" s="10"/>
    </x:row>
    <x:row r="309" ht="14.25" customHeight="1">
      <x:c r="A309" s="10"/>
      <x:c r="B309" s="10"/>
      <x:c r="C309" s="10"/>
      <x:c r="D309" s="10"/>
      <x:c r="E309" s="10"/>
      <x:c r="F309" s="10"/>
      <x:c r="G309" s="10"/>
      <x:c r="H309" s="10"/>
      <x:c r="I309" s="10"/>
      <x:c r="J309" s="10"/>
    </x:row>
    <x:row r="310" ht="14.25" customHeight="1">
      <x:c r="A310" s="10"/>
      <x:c r="B310" s="10"/>
      <x:c r="C310" s="10"/>
      <x:c r="D310" s="10"/>
      <x:c r="E310" s="10"/>
      <x:c r="F310" s="10"/>
      <x:c r="G310" s="10"/>
      <x:c r="H310" s="10"/>
      <x:c r="I310" s="10"/>
      <x:c r="J310" s="10"/>
    </x:row>
    <x:row r="311" ht="14.25" customHeight="1">
      <x:c r="A311" s="10"/>
      <x:c r="B311" s="10"/>
      <x:c r="C311" s="10"/>
      <x:c r="D311" s="10"/>
      <x:c r="E311" s="10"/>
      <x:c r="F311" s="10"/>
      <x:c r="G311" s="10"/>
      <x:c r="H311" s="10"/>
      <x:c r="I311" s="10"/>
      <x:c r="J311" s="10"/>
    </x:row>
    <x:row r="312" ht="14.25" customHeight="1">
      <x:c r="A312" s="10"/>
      <x:c r="B312" s="10"/>
      <x:c r="C312" s="10"/>
      <x:c r="D312" s="10"/>
      <x:c r="E312" s="10"/>
      <x:c r="F312" s="10"/>
      <x:c r="G312" s="10"/>
      <x:c r="H312" s="10"/>
      <x:c r="I312" s="10"/>
      <x:c r="J312" s="10"/>
    </x:row>
    <x:row r="313" ht="14.25" customHeight="1">
      <x:c r="A313" s="10"/>
      <x:c r="B313" s="10"/>
      <x:c r="C313" s="10"/>
      <x:c r="D313" s="10"/>
      <x:c r="E313" s="10"/>
      <x:c r="F313" s="10"/>
      <x:c r="G313" s="10"/>
      <x:c r="H313" s="10"/>
      <x:c r="I313" s="10"/>
      <x:c r="J313" s="10"/>
    </x:row>
    <x:row r="314" ht="14.25" customHeight="1">
      <x:c r="A314" s="10"/>
      <x:c r="B314" s="10"/>
      <x:c r="C314" s="10"/>
      <x:c r="D314" s="10"/>
      <x:c r="E314" s="10"/>
      <x:c r="F314" s="10"/>
      <x:c r="G314" s="10"/>
      <x:c r="H314" s="10"/>
      <x:c r="I314" s="10"/>
      <x:c r="J314" s="10"/>
    </x:row>
    <x:row r="315" ht="14.25" customHeight="1">
      <x:c r="A315" s="10"/>
      <x:c r="B315" s="10"/>
      <x:c r="C315" s="10"/>
      <x:c r="D315" s="10"/>
      <x:c r="E315" s="10"/>
      <x:c r="F315" s="10"/>
      <x:c r="G315" s="10"/>
      <x:c r="H315" s="10"/>
      <x:c r="I315" s="10"/>
      <x:c r="J315" s="10"/>
    </x:row>
    <x:row r="316" ht="14.25" customHeight="1">
      <x:c r="A316" s="10"/>
      <x:c r="B316" s="10"/>
      <x:c r="C316" s="10"/>
      <x:c r="D316" s="10"/>
      <x:c r="E316" s="10"/>
      <x:c r="F316" s="10"/>
      <x:c r="G316" s="10"/>
      <x:c r="H316" s="10"/>
      <x:c r="I316" s="10"/>
      <x:c r="J316" s="10"/>
    </x:row>
    <x:row r="317" ht="14.25" customHeight="1">
      <x:c r="A317" s="10"/>
      <x:c r="B317" s="10"/>
      <x:c r="C317" s="10"/>
      <x:c r="D317" s="10"/>
      <x:c r="E317" s="10"/>
      <x:c r="F317" s="10"/>
      <x:c r="G317" s="10"/>
      <x:c r="H317" s="10"/>
      <x:c r="I317" s="10"/>
      <x:c r="J317" s="10"/>
    </x:row>
    <x:row r="318" ht="14.25" customHeight="1">
      <x:c r="A318" s="10"/>
      <x:c r="B318" s="10"/>
      <x:c r="C318" s="10"/>
      <x:c r="D318" s="10"/>
      <x:c r="E318" s="10"/>
      <x:c r="F318" s="10"/>
      <x:c r="G318" s="10"/>
      <x:c r="H318" s="10"/>
      <x:c r="I318" s="10"/>
      <x:c r="J318" s="10"/>
    </x:row>
    <x:row r="319" ht="14.25" customHeight="1">
      <x:c r="A319" s="10"/>
      <x:c r="B319" s="10"/>
      <x:c r="C319" s="10"/>
      <x:c r="D319" s="10"/>
      <x:c r="E319" s="10"/>
      <x:c r="F319" s="10"/>
      <x:c r="G319" s="10"/>
      <x:c r="H319" s="10"/>
      <x:c r="I319" s="10"/>
      <x:c r="J319" s="10"/>
    </x:row>
    <x:row r="320" ht="14.25" customHeight="1">
      <x:c r="A320" s="10"/>
      <x:c r="B320" s="10"/>
      <x:c r="C320" s="10"/>
      <x:c r="D320" s="10"/>
      <x:c r="E320" s="10"/>
      <x:c r="F320" s="10"/>
      <x:c r="G320" s="10"/>
      <x:c r="H320" s="10"/>
      <x:c r="I320" s="10"/>
      <x:c r="J320" s="10"/>
    </x:row>
    <x:row r="321" ht="14.25" customHeight="1">
      <x:c r="A321" s="10"/>
      <x:c r="B321" s="10"/>
      <x:c r="C321" s="10"/>
      <x:c r="D321" s="10"/>
      <x:c r="E321" s="10"/>
      <x:c r="F321" s="10"/>
      <x:c r="G321" s="10"/>
      <x:c r="H321" s="10"/>
      <x:c r="I321" s="10"/>
      <x:c r="J321" s="10"/>
    </x:row>
    <x:row r="322" ht="14.25" customHeight="1">
      <x:c r="A322" s="10"/>
      <x:c r="B322" s="10"/>
      <x:c r="C322" s="10"/>
      <x:c r="D322" s="10"/>
      <x:c r="E322" s="10"/>
      <x:c r="F322" s="10"/>
      <x:c r="G322" s="10"/>
      <x:c r="H322" s="10"/>
      <x:c r="I322" s="10"/>
      <x:c r="J322" s="10"/>
    </x:row>
    <x:row r="323" ht="14.25" customHeight="1">
      <x:c r="A323" s="10"/>
      <x:c r="B323" s="10"/>
      <x:c r="C323" s="10"/>
      <x:c r="D323" s="10"/>
      <x:c r="E323" s="10"/>
      <x:c r="F323" s="10"/>
      <x:c r="G323" s="10"/>
      <x:c r="H323" s="10"/>
      <x:c r="I323" s="10"/>
      <x:c r="J323" s="10"/>
    </x:row>
    <x:row r="324" ht="14.25" customHeight="1">
      <x:c r="A324" s="10"/>
      <x:c r="B324" s="10"/>
      <x:c r="C324" s="10"/>
      <x:c r="D324" s="10"/>
      <x:c r="E324" s="10"/>
      <x:c r="F324" s="10"/>
      <x:c r="G324" s="10"/>
      <x:c r="H324" s="10"/>
      <x:c r="I324" s="10"/>
      <x:c r="J324" s="10"/>
    </x:row>
    <x:row r="325" ht="14.25" customHeight="1">
      <x:c r="A325" s="10"/>
      <x:c r="B325" s="10"/>
      <x:c r="C325" s="10"/>
      <x:c r="D325" s="10"/>
      <x:c r="E325" s="10"/>
      <x:c r="F325" s="10"/>
      <x:c r="G325" s="10"/>
      <x:c r="H325" s="10"/>
      <x:c r="I325" s="10"/>
      <x:c r="J325" s="10"/>
    </x:row>
    <x:row r="326" ht="14.25" customHeight="1">
      <x:c r="A326" s="10"/>
      <x:c r="B326" s="10"/>
      <x:c r="C326" s="10"/>
      <x:c r="D326" s="10"/>
      <x:c r="E326" s="10"/>
      <x:c r="F326" s="10"/>
      <x:c r="G326" s="10"/>
      <x:c r="H326" s="10"/>
      <x:c r="I326" s="10"/>
      <x:c r="J326" s="10"/>
    </x:row>
    <x:row r="327" ht="14.25" customHeight="1">
      <x:c r="A327" s="10"/>
      <x:c r="B327" s="10"/>
      <x:c r="C327" s="10"/>
      <x:c r="D327" s="10"/>
      <x:c r="E327" s="10"/>
      <x:c r="F327" s="10"/>
      <x:c r="G327" s="10"/>
      <x:c r="H327" s="10"/>
      <x:c r="I327" s="10"/>
      <x:c r="J327" s="10"/>
    </x:row>
    <x:row r="328" ht="14.25" customHeight="1">
      <x:c r="A328" s="10"/>
      <x:c r="B328" s="10"/>
      <x:c r="C328" s="10"/>
      <x:c r="D328" s="10"/>
      <x:c r="E328" s="10"/>
      <x:c r="F328" s="10"/>
      <x:c r="G328" s="10"/>
      <x:c r="H328" s="10"/>
      <x:c r="I328" s="10"/>
      <x:c r="J328" s="10"/>
    </x:row>
    <x:row r="329" ht="14.25" customHeight="1">
      <x:c r="A329" s="10"/>
      <x:c r="B329" s="10"/>
      <x:c r="C329" s="10"/>
      <x:c r="D329" s="10"/>
      <x:c r="E329" s="10"/>
      <x:c r="F329" s="10"/>
      <x:c r="G329" s="10"/>
      <x:c r="H329" s="10"/>
      <x:c r="I329" s="10"/>
      <x:c r="J329" s="10"/>
    </x:row>
    <x:row r="330" ht="14.25" customHeight="1">
      <x:c r="A330" s="10"/>
      <x:c r="B330" s="10"/>
      <x:c r="C330" s="10"/>
      <x:c r="D330" s="10"/>
      <x:c r="E330" s="10"/>
      <x:c r="F330" s="10"/>
      <x:c r="G330" s="10"/>
      <x:c r="H330" s="10"/>
      <x:c r="I330" s="10"/>
      <x:c r="J330" s="10"/>
    </x:row>
    <x:row r="331" ht="14.25" customHeight="1">
      <x:c r="A331" s="10"/>
      <x:c r="B331" s="10"/>
      <x:c r="C331" s="10"/>
      <x:c r="D331" s="10"/>
      <x:c r="E331" s="10"/>
      <x:c r="F331" s="10"/>
      <x:c r="G331" s="10"/>
      <x:c r="H331" s="10"/>
      <x:c r="I331" s="10"/>
      <x:c r="J331" s="10"/>
    </x:row>
    <x:row r="332" ht="14.25" customHeight="1">
      <x:c r="A332" s="10"/>
      <x:c r="B332" s="10"/>
      <x:c r="C332" s="10"/>
      <x:c r="D332" s="10"/>
      <x:c r="E332" s="10"/>
      <x:c r="F332" s="10"/>
      <x:c r="G332" s="10"/>
      <x:c r="H332" s="10"/>
      <x:c r="I332" s="10"/>
      <x:c r="J332" s="10"/>
    </x:row>
    <x:row r="333" ht="14.25" customHeight="1">
      <x:c r="A333" s="10"/>
      <x:c r="B333" s="10"/>
      <x:c r="C333" s="10"/>
      <x:c r="D333" s="10"/>
      <x:c r="E333" s="10"/>
      <x:c r="F333" s="10"/>
      <x:c r="G333" s="10"/>
      <x:c r="H333" s="10"/>
      <x:c r="I333" s="10"/>
      <x:c r="J333" s="10"/>
    </x:row>
    <x:row r="334" ht="14.25" customHeight="1">
      <x:c r="A334" s="10"/>
      <x:c r="B334" s="10"/>
      <x:c r="C334" s="10"/>
      <x:c r="D334" s="10"/>
      <x:c r="E334" s="10"/>
      <x:c r="F334" s="10"/>
      <x:c r="G334" s="10"/>
      <x:c r="H334" s="10"/>
      <x:c r="I334" s="10"/>
      <x:c r="J334" s="10"/>
    </x:row>
    <x:row r="335" ht="14.25" customHeight="1">
      <x:c r="A335" s="10"/>
      <x:c r="B335" s="10"/>
      <x:c r="C335" s="10"/>
      <x:c r="D335" s="10"/>
      <x:c r="E335" s="10"/>
      <x:c r="F335" s="10"/>
      <x:c r="G335" s="10"/>
      <x:c r="H335" s="10"/>
      <x:c r="I335" s="10"/>
      <x:c r="J335" s="10"/>
    </x:row>
    <x:row r="336" ht="14.25" customHeight="1">
      <x:c r="A336" s="10"/>
      <x:c r="B336" s="10"/>
      <x:c r="C336" s="10"/>
      <x:c r="D336" s="10"/>
      <x:c r="E336" s="10"/>
      <x:c r="F336" s="10"/>
      <x:c r="G336" s="10"/>
      <x:c r="H336" s="10"/>
      <x:c r="I336" s="10"/>
      <x:c r="J336" s="10"/>
    </x:row>
    <x:row r="337" ht="14.25" customHeight="1">
      <x:c r="A337" s="10"/>
      <x:c r="B337" s="10"/>
      <x:c r="C337" s="10"/>
      <x:c r="D337" s="10"/>
      <x:c r="E337" s="10"/>
      <x:c r="F337" s="10"/>
      <x:c r="G337" s="10"/>
      <x:c r="H337" s="10"/>
      <x:c r="I337" s="10"/>
      <x:c r="J337" s="10"/>
    </x:row>
    <x:row r="338" ht="14.25" customHeight="1">
      <x:c r="A338" s="10"/>
      <x:c r="B338" s="10"/>
      <x:c r="C338" s="10"/>
      <x:c r="D338" s="10"/>
      <x:c r="E338" s="10"/>
      <x:c r="F338" s="10"/>
      <x:c r="G338" s="10"/>
      <x:c r="H338" s="10"/>
      <x:c r="I338" s="10"/>
      <x:c r="J338" s="10"/>
    </x:row>
    <x:row r="339" ht="14.25" customHeight="1">
      <x:c r="A339" s="10"/>
      <x:c r="B339" s="10"/>
      <x:c r="C339" s="10"/>
      <x:c r="D339" s="10"/>
      <x:c r="E339" s="10"/>
      <x:c r="F339" s="10"/>
      <x:c r="G339" s="10"/>
      <x:c r="H339" s="10"/>
      <x:c r="I339" s="10"/>
      <x:c r="J339" s="10"/>
    </x:row>
    <x:row r="340" ht="14.25" customHeight="1">
      <x:c r="A340" s="10"/>
      <x:c r="B340" s="10"/>
      <x:c r="C340" s="10"/>
      <x:c r="D340" s="10"/>
      <x:c r="E340" s="10"/>
      <x:c r="F340" s="10"/>
      <x:c r="G340" s="10"/>
      <x:c r="H340" s="10"/>
      <x:c r="I340" s="10"/>
      <x:c r="J340" s="10"/>
    </x:row>
    <x:row r="341" ht="14.25" customHeight="1">
      <x:c r="A341" s="10"/>
      <x:c r="B341" s="10"/>
      <x:c r="C341" s="10"/>
      <x:c r="D341" s="10"/>
      <x:c r="E341" s="10"/>
      <x:c r="F341" s="10"/>
      <x:c r="G341" s="10"/>
      <x:c r="H341" s="10"/>
      <x:c r="I341" s="10"/>
      <x:c r="J341" s="10"/>
    </x:row>
    <x:row r="342" ht="14.25" customHeight="1">
      <x:c r="A342" s="10"/>
      <x:c r="B342" s="10"/>
      <x:c r="C342" s="10"/>
      <x:c r="D342" s="10"/>
      <x:c r="E342" s="10"/>
      <x:c r="F342" s="10"/>
      <x:c r="G342" s="10"/>
      <x:c r="H342" s="10"/>
      <x:c r="I342" s="10"/>
      <x:c r="J342" s="10"/>
    </x:row>
    <x:row r="343" ht="14.25" customHeight="1">
      <x:c r="A343" s="10"/>
      <x:c r="B343" s="10"/>
      <x:c r="C343" s="10"/>
      <x:c r="D343" s="10"/>
      <x:c r="E343" s="10"/>
      <x:c r="F343" s="10"/>
      <x:c r="G343" s="10"/>
      <x:c r="H343" s="10"/>
      <x:c r="I343" s="10"/>
      <x:c r="J343" s="10"/>
    </x:row>
    <x:row r="344" ht="14.25" customHeight="1">
      <x:c r="A344" s="10"/>
      <x:c r="B344" s="10"/>
      <x:c r="C344" s="10"/>
      <x:c r="D344" s="10"/>
      <x:c r="E344" s="10"/>
      <x:c r="F344" s="10"/>
      <x:c r="G344" s="10"/>
      <x:c r="H344" s="10"/>
      <x:c r="I344" s="10"/>
      <x:c r="J344" s="10"/>
    </x:row>
    <x:row r="345" ht="14.25" customHeight="1">
      <x:c r="A345" s="10"/>
      <x:c r="B345" s="10"/>
      <x:c r="C345" s="10"/>
      <x:c r="D345" s="10"/>
      <x:c r="E345" s="10"/>
      <x:c r="F345" s="10"/>
      <x:c r="G345" s="10"/>
      <x:c r="H345" s="10"/>
      <x:c r="I345" s="10"/>
      <x:c r="J345" s="10"/>
    </x:row>
    <x:row r="346" ht="14.25" customHeight="1">
      <x:c r="A346" s="10"/>
      <x:c r="B346" s="10"/>
      <x:c r="C346" s="10"/>
      <x:c r="D346" s="10"/>
      <x:c r="E346" s="10"/>
      <x:c r="F346" s="10"/>
      <x:c r="G346" s="10"/>
      <x:c r="H346" s="10"/>
      <x:c r="I346" s="10"/>
      <x:c r="J346" s="10"/>
    </x:row>
    <x:row r="347" ht="14.25" customHeight="1">
      <x:c r="A347" s="10"/>
      <x:c r="B347" s="10"/>
      <x:c r="C347" s="10"/>
      <x:c r="D347" s="10"/>
      <x:c r="E347" s="10"/>
      <x:c r="F347" s="10"/>
      <x:c r="G347" s="10"/>
      <x:c r="H347" s="10"/>
      <x:c r="I347" s="10"/>
      <x:c r="J347" s="10"/>
    </x:row>
    <x:row r="348" ht="14.25" customHeight="1">
      <x:c r="A348" s="10"/>
      <x:c r="B348" s="10"/>
      <x:c r="C348" s="10"/>
      <x:c r="D348" s="10"/>
      <x:c r="E348" s="10"/>
      <x:c r="F348" s="10"/>
      <x:c r="G348" s="10"/>
      <x:c r="H348" s="10"/>
      <x:c r="I348" s="10"/>
      <x:c r="J348" s="10"/>
    </x:row>
    <x:row r="349" ht="14.25" customHeight="1">
      <x:c r="A349" s="10"/>
      <x:c r="B349" s="10"/>
      <x:c r="C349" s="10"/>
      <x:c r="D349" s="10"/>
      <x:c r="E349" s="10"/>
      <x:c r="F349" s="10"/>
      <x:c r="G349" s="10"/>
      <x:c r="H349" s="10"/>
      <x:c r="I349" s="10"/>
      <x:c r="J349" s="10"/>
    </x:row>
    <x:row r="350" ht="14.25" customHeight="1">
      <x:c r="A350" s="10"/>
      <x:c r="B350" s="10"/>
      <x:c r="C350" s="10"/>
      <x:c r="D350" s="10"/>
      <x:c r="E350" s="10"/>
      <x:c r="F350" s="10"/>
      <x:c r="G350" s="10"/>
      <x:c r="H350" s="10"/>
      <x:c r="I350" s="10"/>
      <x:c r="J350" s="10"/>
    </x:row>
    <x:row r="351" ht="14.25" customHeight="1">
      <x:c r="A351" s="10"/>
      <x:c r="B351" s="10"/>
      <x:c r="C351" s="10"/>
      <x:c r="D351" s="10"/>
      <x:c r="E351" s="10"/>
      <x:c r="F351" s="10"/>
      <x:c r="G351" s="10"/>
      <x:c r="H351" s="10"/>
      <x:c r="I351" s="10"/>
      <x:c r="J351" s="10"/>
    </x:row>
    <x:row r="352" ht="14.25" customHeight="1">
      <x:c r="A352" s="10"/>
      <x:c r="B352" s="10"/>
      <x:c r="C352" s="10"/>
      <x:c r="D352" s="10"/>
      <x:c r="E352" s="10"/>
      <x:c r="F352" s="10"/>
      <x:c r="G352" s="10"/>
      <x:c r="H352" s="10"/>
      <x:c r="I352" s="10"/>
      <x:c r="J352" s="10"/>
    </x:row>
    <x:row r="353" ht="14.25" customHeight="1">
      <x:c r="A353" s="10"/>
      <x:c r="B353" s="10"/>
      <x:c r="C353" s="10"/>
      <x:c r="D353" s="10"/>
      <x:c r="E353" s="10"/>
      <x:c r="F353" s="10"/>
      <x:c r="G353" s="10"/>
      <x:c r="H353" s="10"/>
      <x:c r="I353" s="10"/>
      <x:c r="J353" s="10"/>
    </x:row>
    <x:row r="354" ht="14.25" customHeight="1">
      <x:c r="A354" s="10"/>
      <x:c r="B354" s="10"/>
      <x:c r="C354" s="10"/>
      <x:c r="D354" s="10"/>
      <x:c r="E354" s="10"/>
      <x:c r="F354" s="10"/>
      <x:c r="G354" s="10"/>
      <x:c r="H354" s="10"/>
      <x:c r="I354" s="10"/>
      <x:c r="J354" s="10"/>
    </x:row>
    <x:row r="355" ht="14.25" customHeight="1">
      <x:c r="A355" s="10"/>
      <x:c r="B355" s="10"/>
      <x:c r="C355" s="10"/>
      <x:c r="D355" s="10"/>
      <x:c r="E355" s="10"/>
      <x:c r="F355" s="10"/>
      <x:c r="G355" s="10"/>
      <x:c r="H355" s="10"/>
      <x:c r="I355" s="10"/>
      <x:c r="J355" s="10"/>
    </x:row>
    <x:row r="356" ht="14.25" customHeight="1">
      <x:c r="A356" s="10"/>
      <x:c r="B356" s="10"/>
      <x:c r="C356" s="10"/>
      <x:c r="D356" s="10"/>
      <x:c r="E356" s="10"/>
      <x:c r="F356" s="10"/>
      <x:c r="G356" s="10"/>
      <x:c r="H356" s="10"/>
      <x:c r="I356" s="10"/>
      <x:c r="J356" s="10"/>
    </x:row>
    <x:row r="357" ht="14.25" customHeight="1">
      <x:c r="A357" s="10"/>
      <x:c r="B357" s="10"/>
      <x:c r="C357" s="10"/>
      <x:c r="D357" s="10"/>
      <x:c r="E357" s="10"/>
      <x:c r="F357" s="10"/>
      <x:c r="G357" s="10"/>
      <x:c r="H357" s="10"/>
      <x:c r="I357" s="10"/>
      <x:c r="J357" s="10"/>
    </x:row>
    <x:row r="358" ht="14.25" customHeight="1">
      <x:c r="A358" s="10"/>
      <x:c r="B358" s="10"/>
      <x:c r="C358" s="10"/>
      <x:c r="D358" s="10"/>
      <x:c r="E358" s="10"/>
      <x:c r="F358" s="10"/>
      <x:c r="G358" s="10"/>
      <x:c r="H358" s="10"/>
      <x:c r="I358" s="10"/>
      <x:c r="J358" s="10"/>
    </x:row>
    <x:row r="359" ht="14.25" customHeight="1">
      <x:c r="A359" s="10"/>
      <x:c r="B359" s="10"/>
      <x:c r="C359" s="10"/>
      <x:c r="D359" s="10"/>
      <x:c r="E359" s="10"/>
      <x:c r="F359" s="10"/>
      <x:c r="G359" s="10"/>
      <x:c r="H359" s="10"/>
      <x:c r="I359" s="10"/>
      <x:c r="J359" s="10"/>
    </x:row>
    <x:row r="360" ht="14.25" customHeight="1">
      <x:c r="A360" s="10"/>
      <x:c r="B360" s="10"/>
      <x:c r="C360" s="10"/>
      <x:c r="D360" s="10"/>
      <x:c r="E360" s="10"/>
      <x:c r="F360" s="10"/>
      <x:c r="G360" s="10"/>
      <x:c r="H360" s="10"/>
      <x:c r="I360" s="10"/>
      <x:c r="J360" s="10"/>
    </x:row>
    <x:row r="361" ht="14.25" customHeight="1">
      <x:c r="A361" s="10"/>
      <x:c r="B361" s="10"/>
      <x:c r="C361" s="10"/>
      <x:c r="D361" s="10"/>
      <x:c r="E361" s="10"/>
      <x:c r="F361" s="10"/>
      <x:c r="G361" s="10"/>
      <x:c r="H361" s="10"/>
      <x:c r="I361" s="10"/>
      <x:c r="J361" s="10"/>
    </x:row>
    <x:row r="362" ht="14.25" customHeight="1">
      <x:c r="A362" s="10"/>
      <x:c r="B362" s="10"/>
      <x:c r="C362" s="10"/>
      <x:c r="D362" s="10"/>
      <x:c r="E362" s="10"/>
      <x:c r="F362" s="10"/>
      <x:c r="G362" s="10"/>
      <x:c r="H362" s="10"/>
      <x:c r="I362" s="10"/>
      <x:c r="J362" s="10"/>
    </x:row>
    <x:row r="363" ht="14.25" customHeight="1">
      <x:c r="A363" s="10"/>
      <x:c r="B363" s="10"/>
      <x:c r="C363" s="10"/>
      <x:c r="D363" s="10"/>
      <x:c r="E363" s="10"/>
      <x:c r="F363" s="10"/>
      <x:c r="G363" s="10"/>
      <x:c r="H363" s="10"/>
      <x:c r="I363" s="10"/>
      <x:c r="J363" s="10"/>
    </x:row>
    <x:row r="364" ht="14.25" customHeight="1">
      <x:c r="A364" s="10"/>
      <x:c r="B364" s="10"/>
      <x:c r="C364" s="10"/>
      <x:c r="D364" s="10"/>
      <x:c r="E364" s="10"/>
      <x:c r="F364" s="10"/>
      <x:c r="G364" s="10"/>
      <x:c r="H364" s="10"/>
      <x:c r="I364" s="10"/>
      <x:c r="J364" s="10"/>
    </x:row>
    <x:row r="365" ht="14.25" customHeight="1">
      <x:c r="A365" s="10"/>
      <x:c r="B365" s="10"/>
      <x:c r="C365" s="10"/>
      <x:c r="D365" s="10"/>
      <x:c r="E365" s="10"/>
      <x:c r="F365" s="10"/>
      <x:c r="G365" s="10"/>
      <x:c r="H365" s="10"/>
      <x:c r="I365" s="10"/>
      <x:c r="J365" s="10"/>
    </x:row>
    <x:row r="366" ht="14.25" customHeight="1">
      <x:c r="A366" s="10"/>
      <x:c r="B366" s="10"/>
      <x:c r="C366" s="10"/>
      <x:c r="D366" s="10"/>
      <x:c r="E366" s="10"/>
      <x:c r="F366" s="10"/>
      <x:c r="G366" s="10"/>
      <x:c r="H366" s="10"/>
      <x:c r="I366" s="10"/>
      <x:c r="J366" s="10"/>
    </x:row>
    <x:row r="367" ht="14.25" customHeight="1">
      <x:c r="A367" s="10"/>
      <x:c r="B367" s="10"/>
      <x:c r="C367" s="10"/>
      <x:c r="D367" s="10"/>
      <x:c r="E367" s="10"/>
      <x:c r="F367" s="10"/>
      <x:c r="G367" s="10"/>
      <x:c r="H367" s="10"/>
      <x:c r="I367" s="10"/>
      <x:c r="J367" s="10"/>
    </x:row>
    <x:row r="368" ht="14.25" customHeight="1">
      <x:c r="A368" s="10"/>
      <x:c r="B368" s="10"/>
      <x:c r="C368" s="10"/>
      <x:c r="D368" s="10"/>
      <x:c r="E368" s="10"/>
      <x:c r="F368" s="10"/>
      <x:c r="G368" s="10"/>
      <x:c r="H368" s="10"/>
      <x:c r="I368" s="10"/>
      <x:c r="J368" s="10"/>
    </x:row>
    <x:row r="369" ht="14.25" customHeight="1">
      <x:c r="A369" s="10"/>
      <x:c r="B369" s="10"/>
      <x:c r="C369" s="10"/>
      <x:c r="D369" s="10"/>
      <x:c r="E369" s="10"/>
      <x:c r="F369" s="10"/>
      <x:c r="G369" s="10"/>
      <x:c r="H369" s="10"/>
      <x:c r="I369" s="10"/>
      <x:c r="J369" s="10"/>
    </x:row>
    <x:row r="370" ht="14.25" customHeight="1">
      <x:c r="A370" s="10"/>
      <x:c r="B370" s="10"/>
      <x:c r="C370" s="10"/>
      <x:c r="D370" s="10"/>
      <x:c r="E370" s="10"/>
      <x:c r="F370" s="10"/>
      <x:c r="G370" s="10"/>
      <x:c r="H370" s="10"/>
      <x:c r="I370" s="10"/>
      <x:c r="J370" s="10"/>
    </x:row>
    <x:row r="371" ht="14.25" customHeight="1">
      <x:c r="A371" s="10"/>
      <x:c r="B371" s="10"/>
      <x:c r="C371" s="10"/>
      <x:c r="D371" s="10"/>
      <x:c r="E371" s="10"/>
      <x:c r="F371" s="10"/>
      <x:c r="G371" s="10"/>
      <x:c r="H371" s="10"/>
      <x:c r="I371" s="10"/>
      <x:c r="J371" s="10"/>
    </x:row>
    <x:row r="372" ht="14.25" customHeight="1">
      <x:c r="A372" s="10"/>
      <x:c r="B372" s="10"/>
      <x:c r="C372" s="10"/>
      <x:c r="D372" s="10"/>
      <x:c r="E372" s="10"/>
      <x:c r="F372" s="10"/>
      <x:c r="G372" s="10"/>
      <x:c r="H372" s="10"/>
      <x:c r="I372" s="10"/>
      <x:c r="J372" s="10"/>
    </x:row>
    <x:row r="373" ht="14.25" customHeight="1">
      <x:c r="A373" s="10"/>
      <x:c r="B373" s="10"/>
      <x:c r="C373" s="10"/>
      <x:c r="D373" s="10"/>
      <x:c r="E373" s="10"/>
      <x:c r="F373" s="10"/>
      <x:c r="G373" s="10"/>
      <x:c r="H373" s="10"/>
      <x:c r="I373" s="10"/>
      <x:c r="J373" s="10"/>
    </x:row>
    <x:row r="374" ht="14.25" customHeight="1">
      <x:c r="A374" s="10"/>
      <x:c r="B374" s="10"/>
      <x:c r="C374" s="10"/>
      <x:c r="D374" s="10"/>
      <x:c r="E374" s="10"/>
      <x:c r="F374" s="10"/>
      <x:c r="G374" s="10"/>
      <x:c r="H374" s="10"/>
      <x:c r="I374" s="10"/>
      <x:c r="J374" s="10"/>
    </x:row>
    <x:row r="375" ht="14.25" customHeight="1">
      <x:c r="A375" s="10"/>
      <x:c r="B375" s="10"/>
      <x:c r="C375" s="10"/>
      <x:c r="D375" s="10"/>
      <x:c r="E375" s="10"/>
      <x:c r="F375" s="10"/>
      <x:c r="G375" s="10"/>
      <x:c r="H375" s="10"/>
      <x:c r="I375" s="10"/>
      <x:c r="J375" s="10"/>
    </x:row>
    <x:row r="376" ht="14.25" customHeight="1">
      <x:c r="A376" s="10"/>
      <x:c r="B376" s="10"/>
      <x:c r="C376" s="10"/>
      <x:c r="D376" s="10"/>
      <x:c r="E376" s="10"/>
      <x:c r="F376" s="10"/>
      <x:c r="G376" s="10"/>
      <x:c r="H376" s="10"/>
      <x:c r="I376" s="10"/>
      <x:c r="J376" s="10"/>
    </x:row>
    <x:row r="377" ht="14.25" customHeight="1">
      <x:c r="A377" s="10"/>
      <x:c r="B377" s="10"/>
      <x:c r="C377" s="10"/>
      <x:c r="D377" s="10"/>
      <x:c r="E377" s="10"/>
      <x:c r="F377" s="10"/>
      <x:c r="G377" s="10"/>
      <x:c r="H377" s="10"/>
      <x:c r="I377" s="10"/>
      <x:c r="J377" s="10"/>
    </x:row>
    <x:row r="378" ht="14.25" customHeight="1">
      <x:c r="A378" s="10"/>
      <x:c r="B378" s="10"/>
      <x:c r="C378" s="10"/>
      <x:c r="D378" s="10"/>
      <x:c r="E378" s="10"/>
      <x:c r="F378" s="10"/>
      <x:c r="G378" s="10"/>
      <x:c r="H378" s="10"/>
      <x:c r="I378" s="10"/>
      <x:c r="J378" s="10"/>
    </x:row>
    <x:row r="379" ht="14.25" customHeight="1">
      <x:c r="A379" s="10"/>
      <x:c r="B379" s="10"/>
      <x:c r="C379" s="10"/>
      <x:c r="D379" s="10"/>
      <x:c r="E379" s="10"/>
      <x:c r="F379" s="10"/>
      <x:c r="G379" s="10"/>
      <x:c r="H379" s="10"/>
      <x:c r="I379" s="10"/>
      <x:c r="J379" s="10"/>
    </x:row>
    <x:row r="380" ht="14.25" customHeight="1">
      <x:c r="A380" s="10"/>
      <x:c r="B380" s="10"/>
      <x:c r="C380" s="10"/>
      <x:c r="D380" s="10"/>
      <x:c r="E380" s="10"/>
      <x:c r="F380" s="10"/>
      <x:c r="G380" s="10"/>
      <x:c r="H380" s="10"/>
      <x:c r="I380" s="10"/>
      <x:c r="J380" s="10"/>
    </x:row>
    <x:row r="381" ht="14.25" customHeight="1">
      <x:c r="A381" s="10"/>
      <x:c r="B381" s="10"/>
      <x:c r="C381" s="10"/>
      <x:c r="D381" s="10"/>
      <x:c r="E381" s="10"/>
      <x:c r="F381" s="10"/>
      <x:c r="G381" s="10"/>
      <x:c r="H381" s="10"/>
      <x:c r="I381" s="10"/>
      <x:c r="J381" s="10"/>
    </x:row>
    <x:row r="382" ht="14.25" customHeight="1">
      <x:c r="A382" s="10"/>
      <x:c r="B382" s="10"/>
      <x:c r="C382" s="10"/>
      <x:c r="D382" s="10"/>
      <x:c r="E382" s="10"/>
      <x:c r="F382" s="10"/>
      <x:c r="G382" s="10"/>
      <x:c r="H382" s="10"/>
      <x:c r="I382" s="10"/>
      <x:c r="J382" s="10"/>
    </x:row>
    <x:row r="383" ht="14.25" customHeight="1">
      <x:c r="A383" s="10"/>
      <x:c r="B383" s="10"/>
      <x:c r="C383" s="10"/>
      <x:c r="D383" s="10"/>
      <x:c r="E383" s="10"/>
      <x:c r="F383" s="10"/>
      <x:c r="G383" s="10"/>
      <x:c r="H383" s="10"/>
      <x:c r="I383" s="10"/>
      <x:c r="J383" s="10"/>
    </x:row>
    <x:row r="384" ht="14.25" customHeight="1">
      <x:c r="A384" s="10"/>
      <x:c r="B384" s="10"/>
      <x:c r="C384" s="10"/>
      <x:c r="D384" s="10"/>
      <x:c r="E384" s="10"/>
      <x:c r="F384" s="10"/>
      <x:c r="G384" s="10"/>
      <x:c r="H384" s="10"/>
      <x:c r="I384" s="10"/>
      <x:c r="J384" s="10"/>
    </x:row>
    <x:row r="385" ht="14.25" customHeight="1">
      <x:c r="A385" s="10"/>
      <x:c r="B385" s="10"/>
      <x:c r="C385" s="10"/>
      <x:c r="D385" s="10"/>
      <x:c r="E385" s="10"/>
      <x:c r="F385" s="10"/>
      <x:c r="G385" s="10"/>
      <x:c r="H385" s="10"/>
      <x:c r="I385" s="10"/>
      <x:c r="J385" s="10"/>
    </x:row>
    <x:row r="386" ht="14.25" customHeight="1">
      <x:c r="A386" s="10"/>
      <x:c r="B386" s="10"/>
      <x:c r="C386" s="10"/>
      <x:c r="D386" s="10"/>
      <x:c r="E386" s="10"/>
      <x:c r="F386" s="10"/>
      <x:c r="G386" s="10"/>
      <x:c r="H386" s="10"/>
      <x:c r="I386" s="10"/>
      <x:c r="J386" s="10"/>
    </x:row>
    <x:row r="387" ht="14.25" customHeight="1">
      <x:c r="A387" s="10"/>
      <x:c r="B387" s="10"/>
      <x:c r="C387" s="10"/>
      <x:c r="D387" s="10"/>
      <x:c r="E387" s="10"/>
      <x:c r="F387" s="10"/>
      <x:c r="G387" s="10"/>
      <x:c r="H387" s="10"/>
      <x:c r="I387" s="10"/>
      <x:c r="J387" s="10"/>
    </x:row>
    <x:row r="388" ht="14.25" customHeight="1">
      <x:c r="A388" s="10"/>
      <x:c r="B388" s="10"/>
      <x:c r="C388" s="10"/>
      <x:c r="D388" s="10"/>
      <x:c r="E388" s="10"/>
      <x:c r="F388" s="10"/>
      <x:c r="G388" s="10"/>
      <x:c r="H388" s="10"/>
      <x:c r="I388" s="10"/>
      <x:c r="J388" s="10"/>
    </x:row>
    <x:row r="389" ht="14.25" customHeight="1">
      <x:c r="A389" s="10"/>
      <x:c r="B389" s="10"/>
      <x:c r="C389" s="10"/>
      <x:c r="D389" s="10"/>
      <x:c r="E389" s="10"/>
      <x:c r="F389" s="10"/>
      <x:c r="G389" s="10"/>
      <x:c r="H389" s="10"/>
      <x:c r="I389" s="10"/>
      <x:c r="J389" s="10"/>
    </x:row>
    <x:row r="390" ht="14.25" customHeight="1">
      <x:c r="A390" s="10"/>
      <x:c r="B390" s="10"/>
      <x:c r="C390" s="10"/>
      <x:c r="D390" s="10"/>
      <x:c r="E390" s="10"/>
      <x:c r="F390" s="10"/>
      <x:c r="G390" s="10"/>
      <x:c r="H390" s="10"/>
      <x:c r="I390" s="10"/>
      <x:c r="J390" s="10"/>
    </x:row>
    <x:row r="391" ht="14.25" customHeight="1">
      <x:c r="A391" s="10"/>
      <x:c r="B391" s="10"/>
      <x:c r="C391" s="10"/>
      <x:c r="D391" s="10"/>
      <x:c r="E391" s="10"/>
      <x:c r="F391" s="10"/>
      <x:c r="G391" s="10"/>
      <x:c r="H391" s="10"/>
      <x:c r="I391" s="10"/>
      <x:c r="J391" s="10"/>
    </x:row>
    <x:row r="392" ht="14.25" customHeight="1">
      <x:c r="A392" s="10"/>
      <x:c r="B392" s="10"/>
      <x:c r="C392" s="10"/>
      <x:c r="D392" s="10"/>
      <x:c r="E392" s="10"/>
      <x:c r="F392" s="10"/>
      <x:c r="G392" s="10"/>
      <x:c r="H392" s="10"/>
      <x:c r="I392" s="10"/>
      <x:c r="J392" s="10"/>
    </x:row>
    <x:row r="393" ht="14.25" customHeight="1">
      <x:c r="A393" s="10"/>
      <x:c r="B393" s="10"/>
      <x:c r="C393" s="10"/>
      <x:c r="D393" s="10"/>
      <x:c r="E393" s="10"/>
      <x:c r="F393" s="10"/>
      <x:c r="G393" s="10"/>
      <x:c r="H393" s="10"/>
      <x:c r="I393" s="10"/>
      <x:c r="J393" s="10"/>
    </x:row>
    <x:row r="394" ht="14.25" customHeight="1">
      <x:c r="A394" s="10"/>
      <x:c r="B394" s="10"/>
      <x:c r="C394" s="10"/>
      <x:c r="D394" s="10"/>
      <x:c r="E394" s="10"/>
      <x:c r="F394" s="10"/>
      <x:c r="G394" s="10"/>
      <x:c r="H394" s="10"/>
      <x:c r="I394" s="10"/>
      <x:c r="J394" s="10"/>
    </x:row>
    <x:row r="395" ht="14.25" customHeight="1">
      <x:c r="A395" s="10"/>
      <x:c r="B395" s="10"/>
      <x:c r="C395" s="10"/>
      <x:c r="D395" s="10"/>
      <x:c r="E395" s="10"/>
      <x:c r="F395" s="10"/>
      <x:c r="G395" s="10"/>
      <x:c r="H395" s="10"/>
      <x:c r="I395" s="10"/>
      <x:c r="J395" s="10"/>
    </x:row>
    <x:row r="396" ht="14.25" customHeight="1">
      <x:c r="A396" s="10"/>
      <x:c r="B396" s="10"/>
      <x:c r="C396" s="10"/>
      <x:c r="D396" s="10"/>
      <x:c r="E396" s="10"/>
      <x:c r="F396" s="10"/>
      <x:c r="G396" s="10"/>
      <x:c r="H396" s="10"/>
      <x:c r="I396" s="10"/>
      <x:c r="J396" s="10"/>
    </x:row>
    <x:row r="397" ht="14.25" customHeight="1">
      <x:c r="A397" s="10"/>
      <x:c r="B397" s="10"/>
      <x:c r="C397" s="10"/>
      <x:c r="D397" s="10"/>
      <x:c r="E397" s="10"/>
      <x:c r="F397" s="10"/>
      <x:c r="G397" s="10"/>
      <x:c r="H397" s="10"/>
      <x:c r="I397" s="10"/>
      <x:c r="J397" s="10"/>
    </x:row>
    <x:row r="398" ht="14.25" customHeight="1">
      <x:c r="A398" s="10"/>
      <x:c r="B398" s="10"/>
      <x:c r="C398" s="10"/>
      <x:c r="D398" s="10"/>
      <x:c r="E398" s="10"/>
      <x:c r="F398" s="10"/>
      <x:c r="G398" s="10"/>
      <x:c r="H398" s="10"/>
      <x:c r="I398" s="10"/>
      <x:c r="J398" s="10"/>
    </x:row>
    <x:row r="399" ht="14.25" customHeight="1">
      <x:c r="A399" s="10"/>
      <x:c r="B399" s="10"/>
      <x:c r="C399" s="10"/>
      <x:c r="D399" s="10"/>
      <x:c r="E399" s="10"/>
      <x:c r="F399" s="10"/>
      <x:c r="G399" s="10"/>
      <x:c r="H399" s="10"/>
      <x:c r="I399" s="10"/>
      <x:c r="J399" s="10"/>
    </x:row>
    <x:row r="400" ht="14.25" customHeight="1">
      <x:c r="A400" s="10"/>
      <x:c r="B400" s="10"/>
      <x:c r="C400" s="10"/>
      <x:c r="D400" s="10"/>
      <x:c r="E400" s="10"/>
      <x:c r="F400" s="10"/>
      <x:c r="G400" s="10"/>
      <x:c r="H400" s="10"/>
      <x:c r="I400" s="10"/>
      <x:c r="J400" s="10"/>
    </x:row>
    <x:row r="401" ht="14.25" customHeight="1">
      <x:c r="A401" s="10"/>
      <x:c r="B401" s="10"/>
      <x:c r="C401" s="10"/>
      <x:c r="D401" s="10"/>
      <x:c r="E401" s="10"/>
      <x:c r="F401" s="10"/>
      <x:c r="G401" s="10"/>
      <x:c r="H401" s="10"/>
      <x:c r="I401" s="10"/>
      <x:c r="J401" s="10"/>
    </x:row>
    <x:row r="402" ht="14.25" customHeight="1">
      <x:c r="A402" s="10"/>
      <x:c r="B402" s="10"/>
      <x:c r="C402" s="10"/>
      <x:c r="D402" s="10"/>
      <x:c r="E402" s="10"/>
      <x:c r="F402" s="10"/>
      <x:c r="G402" s="10"/>
      <x:c r="H402" s="10"/>
      <x:c r="I402" s="10"/>
      <x:c r="J402" s="10"/>
    </x:row>
    <x:row r="403" ht="14.25" customHeight="1">
      <x:c r="A403" s="10"/>
      <x:c r="B403" s="10"/>
      <x:c r="C403" s="10"/>
      <x:c r="D403" s="10"/>
      <x:c r="E403" s="10"/>
      <x:c r="F403" s="10"/>
      <x:c r="G403" s="10"/>
      <x:c r="H403" s="10"/>
      <x:c r="I403" s="10"/>
      <x:c r="J403" s="10"/>
    </x:row>
    <x:row r="404" ht="14.25" customHeight="1">
      <x:c r="A404" s="10"/>
      <x:c r="B404" s="10"/>
      <x:c r="C404" s="10"/>
      <x:c r="D404" s="10"/>
      <x:c r="E404" s="10"/>
      <x:c r="F404" s="10"/>
      <x:c r="G404" s="10"/>
      <x:c r="H404" s="10"/>
      <x:c r="I404" s="10"/>
      <x:c r="J404" s="10"/>
    </x:row>
    <x:row r="405" ht="14.25" customHeight="1">
      <x:c r="A405" s="10"/>
      <x:c r="B405" s="10"/>
      <x:c r="C405" s="10"/>
      <x:c r="D405" s="10"/>
      <x:c r="E405" s="10"/>
      <x:c r="F405" s="10"/>
      <x:c r="G405" s="10"/>
      <x:c r="H405" s="10"/>
      <x:c r="I405" s="10"/>
      <x:c r="J405" s="10"/>
    </x:row>
    <x:row r="406" ht="14.25" customHeight="1">
      <x:c r="A406" s="10"/>
      <x:c r="B406" s="10"/>
      <x:c r="C406" s="10"/>
      <x:c r="D406" s="10"/>
      <x:c r="E406" s="10"/>
      <x:c r="F406" s="10"/>
      <x:c r="G406" s="10"/>
      <x:c r="H406" s="10"/>
      <x:c r="I406" s="10"/>
      <x:c r="J406" s="10"/>
    </x:row>
    <x:row r="407" ht="14.25" customHeight="1">
      <x:c r="A407" s="10"/>
      <x:c r="B407" s="10"/>
      <x:c r="C407" s="10"/>
      <x:c r="D407" s="10"/>
      <x:c r="E407" s="10"/>
      <x:c r="F407" s="10"/>
      <x:c r="G407" s="10"/>
      <x:c r="H407" s="10"/>
      <x:c r="I407" s="10"/>
      <x:c r="J407" s="10"/>
    </x:row>
    <x:row r="408" ht="14.25" customHeight="1">
      <x:c r="A408" s="10"/>
      <x:c r="B408" s="10"/>
      <x:c r="C408" s="10"/>
      <x:c r="D408" s="10"/>
      <x:c r="E408" s="10"/>
      <x:c r="F408" s="10"/>
      <x:c r="G408" s="10"/>
      <x:c r="H408" s="10"/>
      <x:c r="I408" s="10"/>
      <x:c r="J408" s="10"/>
    </x:row>
    <x:row r="409" ht="14.25" customHeight="1">
      <x:c r="A409" s="10"/>
      <x:c r="B409" s="10"/>
      <x:c r="C409" s="10"/>
      <x:c r="D409" s="10"/>
      <x:c r="E409" s="10"/>
      <x:c r="F409" s="10"/>
      <x:c r="G409" s="10"/>
      <x:c r="H409" s="10"/>
      <x:c r="I409" s="10"/>
      <x:c r="J409" s="10"/>
    </x:row>
    <x:row r="410" ht="14.25" customHeight="1">
      <x:c r="A410" s="10"/>
      <x:c r="B410" s="10"/>
      <x:c r="C410" s="10"/>
      <x:c r="D410" s="10"/>
      <x:c r="E410" s="10"/>
      <x:c r="F410" s="10"/>
      <x:c r="G410" s="10"/>
      <x:c r="H410" s="10"/>
      <x:c r="I410" s="10"/>
      <x:c r="J410" s="10"/>
    </x:row>
    <x:row r="411" ht="14.25" customHeight="1">
      <x:c r="A411" s="10"/>
      <x:c r="B411" s="10"/>
      <x:c r="C411" s="10"/>
      <x:c r="D411" s="10"/>
      <x:c r="E411" s="10"/>
      <x:c r="F411" s="10"/>
      <x:c r="G411" s="10"/>
      <x:c r="H411" s="10"/>
      <x:c r="I411" s="10"/>
      <x:c r="J411" s="10"/>
    </x:row>
    <x:row r="412" ht="14.25" customHeight="1">
      <x:c r="A412" s="10"/>
      <x:c r="B412" s="10"/>
      <x:c r="C412" s="10"/>
      <x:c r="D412" s="10"/>
      <x:c r="E412" s="10"/>
      <x:c r="F412" s="10"/>
      <x:c r="G412" s="10"/>
      <x:c r="H412" s="10"/>
      <x:c r="I412" s="10"/>
      <x:c r="J412" s="10"/>
    </x:row>
    <x:row r="413" ht="14.25" customHeight="1">
      <x:c r="A413" s="10"/>
      <x:c r="B413" s="10"/>
      <x:c r="C413" s="10"/>
      <x:c r="D413" s="10"/>
      <x:c r="E413" s="10"/>
      <x:c r="F413" s="10"/>
      <x:c r="G413" s="10"/>
      <x:c r="H413" s="10"/>
      <x:c r="I413" s="10"/>
      <x:c r="J413" s="10"/>
    </x:row>
    <x:row r="414" ht="14.25" customHeight="1">
      <x:c r="A414" s="10"/>
      <x:c r="B414" s="10"/>
      <x:c r="C414" s="10"/>
      <x:c r="D414" s="10"/>
      <x:c r="E414" s="10"/>
      <x:c r="F414" s="10"/>
      <x:c r="G414" s="10"/>
      <x:c r="H414" s="10"/>
      <x:c r="I414" s="10"/>
      <x:c r="J414" s="10"/>
    </x:row>
    <x:row r="415" ht="14.25" customHeight="1">
      <x:c r="A415" s="10"/>
      <x:c r="B415" s="10"/>
      <x:c r="C415" s="10"/>
      <x:c r="D415" s="10"/>
      <x:c r="E415" s="10"/>
      <x:c r="F415" s="10"/>
      <x:c r="G415" s="10"/>
      <x:c r="H415" s="10"/>
      <x:c r="I415" s="10"/>
      <x:c r="J415" s="10"/>
    </x:row>
    <x:row r="416" ht="14.25" customHeight="1">
      <x:c r="A416" s="10"/>
      <x:c r="B416" s="10"/>
      <x:c r="C416" s="10"/>
      <x:c r="D416" s="10"/>
      <x:c r="E416" s="10"/>
      <x:c r="F416" s="10"/>
      <x:c r="G416" s="10"/>
      <x:c r="H416" s="10"/>
      <x:c r="I416" s="10"/>
      <x:c r="J416" s="10"/>
    </x:row>
    <x:row r="417" ht="14.25" customHeight="1">
      <x:c r="A417" s="10"/>
      <x:c r="B417" s="10"/>
      <x:c r="C417" s="10"/>
      <x:c r="D417" s="10"/>
      <x:c r="E417" s="10"/>
      <x:c r="F417" s="10"/>
      <x:c r="G417" s="10"/>
      <x:c r="H417" s="10"/>
      <x:c r="I417" s="10"/>
      <x:c r="J417" s="10"/>
    </x:row>
    <x:row r="418" ht="14.25" customHeight="1">
      <x:c r="A418" s="10"/>
      <x:c r="B418" s="10"/>
      <x:c r="C418" s="10"/>
      <x:c r="D418" s="10"/>
      <x:c r="E418" s="10"/>
      <x:c r="F418" s="10"/>
      <x:c r="G418" s="10"/>
      <x:c r="H418" s="10"/>
      <x:c r="I418" s="10"/>
      <x:c r="J418" s="10"/>
    </x:row>
    <x:row r="419" ht="14.25" customHeight="1">
      <x:c r="A419" s="10"/>
      <x:c r="B419" s="10"/>
      <x:c r="C419" s="10"/>
      <x:c r="D419" s="10"/>
      <x:c r="E419" s="10"/>
      <x:c r="F419" s="10"/>
      <x:c r="G419" s="10"/>
      <x:c r="H419" s="10"/>
      <x:c r="I419" s="10"/>
      <x:c r="J419" s="10"/>
    </x:row>
    <x:row r="420" ht="14.25" customHeight="1">
      <x:c r="A420" s="10"/>
      <x:c r="B420" s="10"/>
      <x:c r="C420" s="10"/>
      <x:c r="D420" s="10"/>
      <x:c r="E420" s="10"/>
      <x:c r="F420" s="10"/>
      <x:c r="G420" s="10"/>
      <x:c r="H420" s="10"/>
      <x:c r="I420" s="10"/>
      <x:c r="J420" s="10"/>
    </x:row>
    <x:row r="421" ht="14.25" customHeight="1">
      <x:c r="A421" s="10"/>
      <x:c r="B421" s="10"/>
      <x:c r="C421" s="10"/>
      <x:c r="D421" s="10"/>
      <x:c r="E421" s="10"/>
      <x:c r="F421" s="10"/>
      <x:c r="G421" s="10"/>
      <x:c r="H421" s="10"/>
      <x:c r="I421" s="10"/>
      <x:c r="J421" s="10"/>
    </x:row>
    <x:row r="422" ht="14.25" customHeight="1">
      <x:c r="A422" s="10"/>
      <x:c r="B422" s="10"/>
      <x:c r="C422" s="10"/>
      <x:c r="D422" s="10"/>
      <x:c r="E422" s="10"/>
      <x:c r="F422" s="10"/>
      <x:c r="G422" s="10"/>
      <x:c r="H422" s="10"/>
      <x:c r="I422" s="10"/>
      <x:c r="J422" s="10"/>
    </x:row>
    <x:row r="423" ht="14.25" customHeight="1">
      <x:c r="A423" s="10"/>
      <x:c r="B423" s="10"/>
      <x:c r="C423" s="10"/>
      <x:c r="D423" s="10"/>
      <x:c r="E423" s="10"/>
      <x:c r="F423" s="10"/>
      <x:c r="G423" s="10"/>
      <x:c r="H423" s="10"/>
      <x:c r="I423" s="10"/>
      <x:c r="J423" s="10"/>
    </x:row>
    <x:row r="424" ht="14.25" customHeight="1">
      <x:c r="A424" s="10"/>
      <x:c r="B424" s="10"/>
      <x:c r="C424" s="10"/>
      <x:c r="D424" s="10"/>
      <x:c r="E424" s="10"/>
      <x:c r="F424" s="10"/>
      <x:c r="G424" s="10"/>
      <x:c r="H424" s="10"/>
      <x:c r="I424" s="10"/>
      <x:c r="J424" s="10"/>
    </x:row>
    <x:row r="425" ht="14.25" customHeight="1">
      <x:c r="A425" s="10"/>
      <x:c r="B425" s="10"/>
      <x:c r="C425" s="10"/>
      <x:c r="D425" s="10"/>
      <x:c r="E425" s="10"/>
      <x:c r="F425" s="10"/>
      <x:c r="G425" s="10"/>
      <x:c r="H425" s="10"/>
      <x:c r="I425" s="10"/>
      <x:c r="J425" s="10"/>
    </x:row>
    <x:row r="426" ht="14.25" customHeight="1">
      <x:c r="A426" s="10"/>
      <x:c r="B426" s="10"/>
      <x:c r="C426" s="10"/>
      <x:c r="D426" s="10"/>
      <x:c r="E426" s="10"/>
      <x:c r="F426" s="10"/>
      <x:c r="G426" s="10"/>
      <x:c r="H426" s="10"/>
      <x:c r="I426" s="10"/>
      <x:c r="J426" s="10"/>
    </x:row>
    <x:row r="427" ht="14.25" customHeight="1">
      <x:c r="A427" s="10"/>
      <x:c r="B427" s="10"/>
      <x:c r="C427" s="10"/>
      <x:c r="D427" s="10"/>
      <x:c r="E427" s="10"/>
      <x:c r="F427" s="10"/>
      <x:c r="G427" s="10"/>
      <x:c r="H427" s="10"/>
      <x:c r="I427" s="10"/>
      <x:c r="J427" s="10"/>
    </x:row>
    <x:row r="428" ht="14.25" customHeight="1">
      <x:c r="A428" s="10"/>
      <x:c r="B428" s="10"/>
      <x:c r="C428" s="10"/>
      <x:c r="D428" s="10"/>
      <x:c r="E428" s="10"/>
      <x:c r="F428" s="10"/>
      <x:c r="G428" s="10"/>
      <x:c r="H428" s="10"/>
      <x:c r="I428" s="10"/>
      <x:c r="J428" s="10"/>
    </x:row>
    <x:row r="429" ht="14.25" customHeight="1">
      <x:c r="A429" s="10"/>
      <x:c r="B429" s="10"/>
      <x:c r="C429" s="10"/>
      <x:c r="D429" s="10"/>
      <x:c r="E429" s="10"/>
      <x:c r="F429" s="10"/>
      <x:c r="G429" s="10"/>
      <x:c r="H429" s="10"/>
      <x:c r="I429" s="10"/>
      <x:c r="J429" s="10"/>
    </x:row>
    <x:row r="430" ht="14.25" customHeight="1">
      <x:c r="A430" s="10"/>
      <x:c r="B430" s="10"/>
      <x:c r="C430" s="10"/>
      <x:c r="D430" s="10"/>
      <x:c r="E430" s="10"/>
      <x:c r="F430" s="10"/>
      <x:c r="G430" s="10"/>
      <x:c r="H430" s="10"/>
      <x:c r="I430" s="10"/>
      <x:c r="J430" s="10"/>
    </x:row>
    <x:row r="431" ht="14.25" customHeight="1">
      <x:c r="A431" s="10"/>
      <x:c r="B431" s="10"/>
      <x:c r="C431" s="10"/>
      <x:c r="D431" s="10"/>
      <x:c r="E431" s="10"/>
      <x:c r="F431" s="10"/>
      <x:c r="G431" s="10"/>
      <x:c r="H431" s="10"/>
      <x:c r="I431" s="10"/>
      <x:c r="J431" s="10"/>
    </x:row>
    <x:row r="432" ht="14.25" customHeight="1">
      <x:c r="A432" s="10"/>
      <x:c r="B432" s="10"/>
      <x:c r="C432" s="10"/>
      <x:c r="D432" s="10"/>
      <x:c r="E432" s="10"/>
      <x:c r="F432" s="10"/>
      <x:c r="G432" s="10"/>
      <x:c r="H432" s="10"/>
      <x:c r="I432" s="10"/>
      <x:c r="J432" s="10"/>
    </x:row>
    <x:row r="433" ht="14.25" customHeight="1">
      <x:c r="A433" s="10"/>
      <x:c r="B433" s="10"/>
      <x:c r="C433" s="10"/>
      <x:c r="D433" s="10"/>
      <x:c r="E433" s="10"/>
      <x:c r="F433" s="10"/>
      <x:c r="G433" s="10"/>
      <x:c r="H433" s="10"/>
      <x:c r="I433" s="10"/>
      <x:c r="J433" s="10"/>
    </x:row>
    <x:row r="434" ht="14.25" customHeight="1">
      <x:c r="A434" s="10"/>
      <x:c r="B434" s="10"/>
      <x:c r="C434" s="10"/>
      <x:c r="D434" s="10"/>
      <x:c r="E434" s="10"/>
      <x:c r="F434" s="10"/>
      <x:c r="G434" s="10"/>
      <x:c r="H434" s="10"/>
      <x:c r="I434" s="10"/>
      <x:c r="J434" s="10"/>
    </x:row>
    <x:row r="435" ht="14.25" customHeight="1">
      <x:c r="A435" s="10"/>
      <x:c r="B435" s="10"/>
      <x:c r="C435" s="10"/>
      <x:c r="D435" s="10"/>
      <x:c r="E435" s="10"/>
      <x:c r="F435" s="10"/>
      <x:c r="G435" s="10"/>
      <x:c r="H435" s="10"/>
      <x:c r="I435" s="10"/>
      <x:c r="J435" s="10"/>
    </x:row>
    <x:row r="436" ht="14.25" customHeight="1">
      <x:c r="A436" s="10"/>
      <x:c r="B436" s="10"/>
      <x:c r="C436" s="10"/>
      <x:c r="D436" s="10"/>
      <x:c r="E436" s="10"/>
      <x:c r="F436" s="10"/>
      <x:c r="G436" s="10"/>
      <x:c r="H436" s="10"/>
      <x:c r="I436" s="10"/>
      <x:c r="J436" s="10"/>
    </x:row>
    <x:row r="437" ht="14.25" customHeight="1">
      <x:c r="A437" s="10"/>
      <x:c r="B437" s="10"/>
      <x:c r="C437" s="10"/>
      <x:c r="D437" s="10"/>
      <x:c r="E437" s="10"/>
      <x:c r="F437" s="10"/>
      <x:c r="G437" s="10"/>
      <x:c r="H437" s="10"/>
      <x:c r="I437" s="10"/>
      <x:c r="J437" s="10"/>
    </x:row>
    <x:row r="438" ht="14.25" customHeight="1">
      <x:c r="A438" s="10"/>
      <x:c r="B438" s="10"/>
      <x:c r="C438" s="10"/>
      <x:c r="D438" s="10"/>
      <x:c r="E438" s="10"/>
      <x:c r="F438" s="10"/>
      <x:c r="G438" s="10"/>
      <x:c r="H438" s="10"/>
      <x:c r="I438" s="10"/>
      <x:c r="J438" s="10"/>
    </x:row>
    <x:row r="439" ht="14.25" customHeight="1">
      <x:c r="A439" s="10"/>
      <x:c r="B439" s="10"/>
      <x:c r="C439" s="10"/>
      <x:c r="D439" s="10"/>
      <x:c r="E439" s="10"/>
      <x:c r="F439" s="10"/>
      <x:c r="G439" s="10"/>
      <x:c r="H439" s="10"/>
      <x:c r="I439" s="10"/>
      <x:c r="J439" s="10"/>
    </x:row>
    <x:row r="440" ht="14.25" customHeight="1">
      <x:c r="A440" s="10"/>
      <x:c r="B440" s="10"/>
      <x:c r="C440" s="10"/>
      <x:c r="D440" s="10"/>
      <x:c r="E440" s="10"/>
      <x:c r="F440" s="10"/>
      <x:c r="G440" s="10"/>
      <x:c r="H440" s="10"/>
      <x:c r="I440" s="10"/>
      <x:c r="J440" s="10"/>
    </x:row>
    <x:row r="441" ht="14.25" customHeight="1">
      <x:c r="A441" s="10"/>
      <x:c r="B441" s="10"/>
      <x:c r="C441" s="10"/>
      <x:c r="D441" s="10"/>
      <x:c r="E441" s="10"/>
      <x:c r="F441" s="10"/>
      <x:c r="G441" s="10"/>
      <x:c r="H441" s="10"/>
      <x:c r="I441" s="10"/>
      <x:c r="J441" s="10"/>
    </x:row>
    <x:row r="442" ht="14.25" customHeight="1">
      <x:c r="A442" s="10"/>
      <x:c r="B442" s="10"/>
      <x:c r="C442" s="10"/>
      <x:c r="D442" s="10"/>
      <x:c r="E442" s="10"/>
      <x:c r="F442" s="10"/>
      <x:c r="G442" s="10"/>
      <x:c r="H442" s="10"/>
      <x:c r="I442" s="10"/>
      <x:c r="J442" s="10"/>
    </x:row>
    <x:row r="443" ht="14.25" customHeight="1">
      <x:c r="A443" s="10"/>
      <x:c r="B443" s="10"/>
      <x:c r="C443" s="10"/>
      <x:c r="D443" s="10"/>
      <x:c r="E443" s="10"/>
      <x:c r="F443" s="10"/>
      <x:c r="G443" s="10"/>
      <x:c r="H443" s="10"/>
      <x:c r="I443" s="10"/>
      <x:c r="J443" s="10"/>
    </x:row>
    <x:row r="444" ht="14.25" customHeight="1">
      <x:c r="A444" s="10"/>
      <x:c r="B444" s="10"/>
      <x:c r="C444" s="10"/>
      <x:c r="D444" s="10"/>
      <x:c r="E444" s="10"/>
      <x:c r="F444" s="10"/>
      <x:c r="G444" s="10"/>
      <x:c r="H444" s="10"/>
      <x:c r="I444" s="10"/>
      <x:c r="J444" s="10"/>
    </x:row>
    <x:row r="445" ht="14.25" customHeight="1">
      <x:c r="A445" s="10"/>
      <x:c r="B445" s="10"/>
      <x:c r="C445" s="10"/>
      <x:c r="D445" s="10"/>
      <x:c r="E445" s="10"/>
      <x:c r="F445" s="10"/>
      <x:c r="G445" s="10"/>
      <x:c r="H445" s="10"/>
      <x:c r="I445" s="10"/>
      <x:c r="J445" s="10"/>
    </x:row>
    <x:row r="446" ht="14.25" customHeight="1">
      <x:c r="A446" s="10"/>
      <x:c r="B446" s="10"/>
      <x:c r="C446" s="10"/>
      <x:c r="D446" s="10"/>
      <x:c r="E446" s="10"/>
      <x:c r="F446" s="10"/>
      <x:c r="G446" s="10"/>
      <x:c r="H446" s="10"/>
      <x:c r="I446" s="10"/>
      <x:c r="J446" s="10"/>
    </x:row>
    <x:row r="447" ht="14.25" customHeight="1">
      <x:c r="A447" s="10"/>
      <x:c r="B447" s="10"/>
      <x:c r="C447" s="10"/>
      <x:c r="D447" s="10"/>
      <x:c r="E447" s="10"/>
      <x:c r="F447" s="10"/>
      <x:c r="G447" s="10"/>
      <x:c r="H447" s="10"/>
      <x:c r="I447" s="10"/>
      <x:c r="J447" s="10"/>
    </x:row>
    <x:row r="448" ht="14.25" customHeight="1">
      <x:c r="A448" s="10"/>
      <x:c r="B448" s="10"/>
      <x:c r="C448" s="10"/>
      <x:c r="D448" s="10"/>
      <x:c r="E448" s="10"/>
      <x:c r="F448" s="10"/>
      <x:c r="G448" s="10"/>
      <x:c r="H448" s="10"/>
      <x:c r="I448" s="10"/>
      <x:c r="J448" s="10"/>
    </x:row>
    <x:row r="449" ht="14.25" customHeight="1">
      <x:c r="A449" s="10"/>
      <x:c r="B449" s="10"/>
      <x:c r="C449" s="10"/>
      <x:c r="D449" s="10"/>
      <x:c r="E449" s="10"/>
      <x:c r="F449" s="10"/>
      <x:c r="G449" s="10"/>
      <x:c r="H449" s="10"/>
      <x:c r="I449" s="10"/>
      <x:c r="J449" s="10"/>
    </x:row>
    <x:row r="450" ht="14.25" customHeight="1">
      <x:c r="A450" s="10"/>
      <x:c r="B450" s="10"/>
      <x:c r="C450" s="10"/>
      <x:c r="D450" s="10"/>
      <x:c r="E450" s="10"/>
      <x:c r="F450" s="10"/>
      <x:c r="G450" s="10"/>
      <x:c r="H450" s="10"/>
      <x:c r="I450" s="10"/>
      <x:c r="J450" s="10"/>
    </x:row>
    <x:row r="451" ht="14.25" customHeight="1">
      <x:c r="A451" s="10"/>
      <x:c r="B451" s="10"/>
      <x:c r="C451" s="10"/>
      <x:c r="D451" s="10"/>
      <x:c r="E451" s="10"/>
      <x:c r="F451" s="10"/>
      <x:c r="G451" s="10"/>
      <x:c r="H451" s="10"/>
      <x:c r="I451" s="10"/>
      <x:c r="J451" s="10"/>
    </x:row>
    <x:row r="452" ht="14.25" customHeight="1">
      <x:c r="A452" s="10"/>
      <x:c r="B452" s="10"/>
      <x:c r="C452" s="10"/>
      <x:c r="D452" s="10"/>
      <x:c r="E452" s="10"/>
      <x:c r="F452" s="10"/>
      <x:c r="G452" s="10"/>
      <x:c r="H452" s="10"/>
      <x:c r="I452" s="10"/>
      <x:c r="J452" s="10"/>
    </x:row>
    <x:row r="453" ht="14.25" customHeight="1">
      <x:c r="A453" s="10"/>
      <x:c r="B453" s="10"/>
      <x:c r="C453" s="10"/>
      <x:c r="D453" s="10"/>
      <x:c r="E453" s="10"/>
      <x:c r="F453" s="10"/>
      <x:c r="G453" s="10"/>
      <x:c r="H453" s="10"/>
      <x:c r="I453" s="10"/>
      <x:c r="J453" s="10"/>
    </x:row>
    <x:row r="454" ht="14.25" customHeight="1">
      <x:c r="A454" s="10"/>
      <x:c r="B454" s="10"/>
      <x:c r="C454" s="10"/>
      <x:c r="D454" s="10"/>
      <x:c r="E454" s="10"/>
      <x:c r="F454" s="10"/>
      <x:c r="G454" s="10"/>
      <x:c r="H454" s="10"/>
      <x:c r="I454" s="10"/>
      <x:c r="J454" s="10"/>
    </x:row>
    <x:row r="455" ht="14.25" customHeight="1">
      <x:c r="A455" s="10"/>
      <x:c r="B455" s="10"/>
      <x:c r="C455" s="10"/>
      <x:c r="D455" s="10"/>
      <x:c r="E455" s="10"/>
      <x:c r="F455" s="10"/>
      <x:c r="G455" s="10"/>
      <x:c r="H455" s="10"/>
      <x:c r="I455" s="10"/>
      <x:c r="J455" s="10"/>
    </x:row>
    <x:row r="456" ht="14.25" customHeight="1">
      <x:c r="A456" s="10"/>
      <x:c r="B456" s="10"/>
      <x:c r="C456" s="10"/>
      <x:c r="D456" s="10"/>
      <x:c r="E456" s="10"/>
      <x:c r="F456" s="10"/>
      <x:c r="G456" s="10"/>
      <x:c r="H456" s="10"/>
      <x:c r="I456" s="10"/>
      <x:c r="J456" s="10"/>
    </x:row>
    <x:row r="457" ht="14.25" customHeight="1">
      <x:c r="A457" s="10"/>
      <x:c r="B457" s="10"/>
      <x:c r="C457" s="10"/>
      <x:c r="D457" s="10"/>
      <x:c r="E457" s="10"/>
      <x:c r="F457" s="10"/>
      <x:c r="G457" s="10"/>
      <x:c r="H457" s="10"/>
      <x:c r="I457" s="10"/>
      <x:c r="J457" s="10"/>
    </x:row>
    <x:row r="458" ht="14.25" customHeight="1">
      <x:c r="A458" s="10"/>
      <x:c r="B458" s="10"/>
      <x:c r="C458" s="10"/>
      <x:c r="D458" s="10"/>
      <x:c r="E458" s="10"/>
      <x:c r="F458" s="10"/>
      <x:c r="G458" s="10"/>
      <x:c r="H458" s="10"/>
      <x:c r="I458" s="10"/>
      <x:c r="J458" s="10"/>
    </x:row>
    <x:row r="459" ht="14.25" customHeight="1">
      <x:c r="A459" s="10"/>
      <x:c r="B459" s="10"/>
      <x:c r="C459" s="10"/>
      <x:c r="D459" s="10"/>
      <x:c r="E459" s="10"/>
      <x:c r="F459" s="10"/>
      <x:c r="G459" s="10"/>
      <x:c r="H459" s="10"/>
      <x:c r="I459" s="10"/>
      <x:c r="J459" s="10"/>
    </x:row>
    <x:row r="460" ht="14.25" customHeight="1">
      <x:c r="A460" s="10"/>
      <x:c r="B460" s="10"/>
      <x:c r="C460" s="10"/>
      <x:c r="D460" s="10"/>
      <x:c r="E460" s="10"/>
      <x:c r="F460" s="10"/>
      <x:c r="G460" s="10"/>
      <x:c r="H460" s="10"/>
      <x:c r="I460" s="10"/>
      <x:c r="J460" s="10"/>
    </x:row>
    <x:row r="461" ht="14.25" customHeight="1">
      <x:c r="A461" s="10"/>
      <x:c r="B461" s="10"/>
      <x:c r="C461" s="10"/>
      <x:c r="D461" s="10"/>
      <x:c r="E461" s="10"/>
      <x:c r="F461" s="10"/>
      <x:c r="G461" s="10"/>
      <x:c r="H461" s="10"/>
      <x:c r="I461" s="10"/>
      <x:c r="J461" s="10"/>
    </x:row>
    <x:row r="462" ht="14.25" customHeight="1">
      <x:c r="A462" s="10"/>
      <x:c r="B462" s="10"/>
      <x:c r="C462" s="10"/>
      <x:c r="D462" s="10"/>
      <x:c r="E462" s="10"/>
      <x:c r="F462" s="10"/>
      <x:c r="G462" s="10"/>
      <x:c r="H462" s="10"/>
      <x:c r="I462" s="10"/>
      <x:c r="J462" s="10"/>
    </x:row>
    <x:row r="463" ht="14.25" customHeight="1">
      <x:c r="A463" s="10"/>
      <x:c r="B463" s="10"/>
      <x:c r="C463" s="10"/>
      <x:c r="D463" s="10"/>
      <x:c r="E463" s="10"/>
      <x:c r="F463" s="10"/>
      <x:c r="G463" s="10"/>
      <x:c r="H463" s="10"/>
      <x:c r="I463" s="10"/>
      <x:c r="J463" s="10"/>
    </x:row>
    <x:row r="464" ht="14.25" customHeight="1">
      <x:c r="A464" s="10"/>
      <x:c r="B464" s="10"/>
      <x:c r="C464" s="10"/>
      <x:c r="D464" s="10"/>
      <x:c r="E464" s="10"/>
      <x:c r="F464" s="10"/>
      <x:c r="G464" s="10"/>
      <x:c r="H464" s="10"/>
      <x:c r="I464" s="10"/>
      <x:c r="J464" s="10"/>
    </x:row>
    <x:row r="465" ht="14.25" customHeight="1">
      <x:c r="A465" s="10"/>
      <x:c r="B465" s="10"/>
      <x:c r="C465" s="10"/>
      <x:c r="D465" s="10"/>
      <x:c r="E465" s="10"/>
      <x:c r="F465" s="10"/>
      <x:c r="G465" s="10"/>
      <x:c r="H465" s="10"/>
      <x:c r="I465" s="10"/>
      <x:c r="J465" s="10"/>
    </x:row>
    <x:row r="466" ht="14.25" customHeight="1">
      <x:c r="A466" s="10"/>
      <x:c r="B466" s="10"/>
      <x:c r="C466" s="10"/>
      <x:c r="D466" s="10"/>
      <x:c r="E466" s="10"/>
      <x:c r="F466" s="10"/>
      <x:c r="G466" s="10"/>
      <x:c r="H466" s="10"/>
      <x:c r="I466" s="10"/>
      <x:c r="J466" s="10"/>
    </x:row>
    <x:row r="467" ht="14.25" customHeight="1">
      <x:c r="A467" s="10"/>
      <x:c r="B467" s="10"/>
      <x:c r="C467" s="10"/>
      <x:c r="D467" s="10"/>
      <x:c r="E467" s="10"/>
      <x:c r="F467" s="10"/>
      <x:c r="G467" s="10"/>
      <x:c r="H467" s="10"/>
      <x:c r="I467" s="10"/>
      <x:c r="J467" s="10"/>
    </x:row>
    <x:row r="468" ht="14.25" customHeight="1">
      <x:c r="A468" s="10"/>
      <x:c r="B468" s="10"/>
      <x:c r="C468" s="10"/>
      <x:c r="D468" s="10"/>
      <x:c r="E468" s="10"/>
      <x:c r="F468" s="10"/>
      <x:c r="G468" s="10"/>
      <x:c r="H468" s="10"/>
      <x:c r="I468" s="10"/>
      <x:c r="J468" s="10"/>
    </x:row>
    <x:row r="469" ht="14.25" customHeight="1">
      <x:c r="A469" s="10"/>
      <x:c r="B469" s="10"/>
      <x:c r="C469" s="10"/>
      <x:c r="D469" s="10"/>
      <x:c r="E469" s="10"/>
      <x:c r="F469" s="10"/>
      <x:c r="G469" s="10"/>
      <x:c r="H469" s="10"/>
      <x:c r="I469" s="10"/>
      <x:c r="J469" s="10"/>
    </x:row>
    <x:row r="470" ht="14.25" customHeight="1">
      <x:c r="A470" s="10"/>
      <x:c r="B470" s="10"/>
      <x:c r="C470" s="10"/>
      <x:c r="D470" s="10"/>
      <x:c r="E470" s="10"/>
      <x:c r="F470" s="10"/>
      <x:c r="G470" s="10"/>
      <x:c r="H470" s="10"/>
      <x:c r="I470" s="10"/>
      <x:c r="J470" s="10"/>
    </x:row>
    <x:row r="471" ht="14.25" customHeight="1">
      <x:c r="A471" s="10"/>
      <x:c r="B471" s="10"/>
      <x:c r="C471" s="10"/>
      <x:c r="D471" s="10"/>
      <x:c r="E471" s="10"/>
      <x:c r="F471" s="10"/>
      <x:c r="G471" s="10"/>
      <x:c r="H471" s="10"/>
      <x:c r="I471" s="10"/>
      <x:c r="J471" s="10"/>
    </x:row>
    <x:row r="472" ht="14.25" customHeight="1">
      <x:c r="A472" s="10"/>
      <x:c r="B472" s="10"/>
      <x:c r="C472" s="10"/>
      <x:c r="D472" s="10"/>
      <x:c r="E472" s="10"/>
      <x:c r="F472" s="10"/>
      <x:c r="G472" s="10"/>
      <x:c r="H472" s="10"/>
      <x:c r="I472" s="10"/>
      <x:c r="J472" s="10"/>
    </x:row>
    <x:row r="473" ht="14.25" customHeight="1">
      <x:c r="A473" s="10"/>
      <x:c r="B473" s="10"/>
      <x:c r="C473" s="10"/>
      <x:c r="D473" s="10"/>
      <x:c r="E473" s="10"/>
      <x:c r="F473" s="10"/>
      <x:c r="G473" s="10"/>
      <x:c r="H473" s="10"/>
      <x:c r="I473" s="10"/>
      <x:c r="J473" s="10"/>
    </x:row>
    <x:row r="474" ht="14.25" customHeight="1">
      <x:c r="A474" s="10"/>
      <x:c r="B474" s="10"/>
      <x:c r="C474" s="10"/>
      <x:c r="D474" s="10"/>
      <x:c r="E474" s="10"/>
      <x:c r="F474" s="10"/>
      <x:c r="G474" s="10"/>
      <x:c r="H474" s="10"/>
      <x:c r="I474" s="10"/>
      <x:c r="J474" s="10"/>
    </x:row>
    <x:row r="475" ht="14.25" customHeight="1">
      <x:c r="A475" s="10"/>
      <x:c r="B475" s="10"/>
      <x:c r="C475" s="10"/>
      <x:c r="D475" s="10"/>
      <x:c r="E475" s="10"/>
      <x:c r="F475" s="10"/>
      <x:c r="G475" s="10"/>
      <x:c r="H475" s="10"/>
      <x:c r="I475" s="10"/>
      <x:c r="J475" s="10"/>
    </x:row>
    <x:row r="476" ht="14.25" customHeight="1">
      <x:c r="A476" s="10"/>
      <x:c r="B476" s="10"/>
      <x:c r="C476" s="10"/>
      <x:c r="D476" s="10"/>
      <x:c r="E476" s="10"/>
      <x:c r="F476" s="10"/>
      <x:c r="G476" s="10"/>
      <x:c r="H476" s="10"/>
      <x:c r="I476" s="10"/>
      <x:c r="J476" s="10"/>
    </x:row>
    <x:row r="477" ht="14.25" customHeight="1">
      <x:c r="A477" s="10"/>
      <x:c r="B477" s="10"/>
      <x:c r="C477" s="10"/>
      <x:c r="D477" s="10"/>
      <x:c r="E477" s="10"/>
      <x:c r="F477" s="10"/>
      <x:c r="G477" s="10"/>
      <x:c r="H477" s="10"/>
      <x:c r="I477" s="10"/>
      <x:c r="J477" s="10"/>
    </x:row>
    <x:row r="478" ht="14.25" customHeight="1">
      <x:c r="A478" s="10"/>
      <x:c r="B478" s="10"/>
      <x:c r="C478" s="10"/>
      <x:c r="D478" s="10"/>
      <x:c r="E478" s="10"/>
      <x:c r="F478" s="10"/>
      <x:c r="G478" s="10"/>
      <x:c r="H478" s="10"/>
      <x:c r="I478" s="10"/>
      <x:c r="J478" s="10"/>
    </x:row>
    <x:row r="479" ht="14.25" customHeight="1">
      <x:c r="A479" s="10"/>
      <x:c r="B479" s="10"/>
      <x:c r="C479" s="10"/>
      <x:c r="D479" s="10"/>
      <x:c r="E479" s="10"/>
      <x:c r="F479" s="10"/>
      <x:c r="G479" s="10"/>
      <x:c r="H479" s="10"/>
      <x:c r="I479" s="10"/>
      <x:c r="J479" s="10"/>
    </x:row>
    <x:row r="480" ht="14.25" customHeight="1">
      <x:c r="A480" s="10"/>
      <x:c r="B480" s="10"/>
      <x:c r="C480" s="10"/>
      <x:c r="D480" s="10"/>
      <x:c r="E480" s="10"/>
      <x:c r="F480" s="10"/>
      <x:c r="G480" s="10"/>
      <x:c r="H480" s="10"/>
      <x:c r="I480" s="10"/>
      <x:c r="J480" s="10"/>
    </x:row>
    <x:row r="481" ht="14.25" customHeight="1">
      <x:c r="A481" s="10"/>
      <x:c r="B481" s="10"/>
      <x:c r="C481" s="10"/>
      <x:c r="D481" s="10"/>
      <x:c r="E481" s="10"/>
      <x:c r="F481" s="10"/>
      <x:c r="G481" s="10"/>
      <x:c r="H481" s="10"/>
      <x:c r="I481" s="10"/>
      <x:c r="J481" s="10"/>
    </x:row>
    <x:row r="482" ht="14.25" customHeight="1">
      <x:c r="A482" s="10"/>
      <x:c r="B482" s="10"/>
      <x:c r="C482" s="10"/>
      <x:c r="D482" s="10"/>
      <x:c r="E482" s="10"/>
      <x:c r="F482" s="10"/>
      <x:c r="G482" s="10"/>
      <x:c r="H482" s="10"/>
      <x:c r="I482" s="10"/>
      <x:c r="J482" s="10"/>
    </x:row>
    <x:row r="483" ht="14.25" customHeight="1">
      <x:c r="A483" s="10"/>
      <x:c r="B483" s="10"/>
      <x:c r="C483" s="10"/>
      <x:c r="D483" s="10"/>
      <x:c r="E483" s="10"/>
      <x:c r="F483" s="10"/>
      <x:c r="G483" s="10"/>
      <x:c r="H483" s="10"/>
      <x:c r="I483" s="10"/>
      <x:c r="J483" s="10"/>
    </x:row>
    <x:row r="484" ht="14.25" customHeight="1">
      <x:c r="A484" s="10"/>
      <x:c r="B484" s="10"/>
      <x:c r="C484" s="10"/>
      <x:c r="D484" s="10"/>
      <x:c r="E484" s="10"/>
      <x:c r="F484" s="10"/>
      <x:c r="G484" s="10"/>
      <x:c r="H484" s="10"/>
      <x:c r="I484" s="10"/>
      <x:c r="J484" s="10"/>
    </x:row>
    <x:row r="485" ht="14.25" customHeight="1">
      <x:c r="A485" s="10"/>
      <x:c r="B485" s="10"/>
      <x:c r="C485" s="10"/>
      <x:c r="D485" s="10"/>
      <x:c r="E485" s="10"/>
      <x:c r="F485" s="10"/>
      <x:c r="G485" s="10"/>
      <x:c r="H485" s="10"/>
      <x:c r="I485" s="10"/>
      <x:c r="J485" s="10"/>
    </x:row>
    <x:row r="486" ht="14.25" customHeight="1">
      <x:c r="A486" s="10"/>
      <x:c r="B486" s="10"/>
      <x:c r="C486" s="10"/>
      <x:c r="D486" s="10"/>
      <x:c r="E486" s="10"/>
      <x:c r="F486" s="10"/>
      <x:c r="G486" s="10"/>
      <x:c r="H486" s="10"/>
      <x:c r="I486" s="10"/>
      <x:c r="J486" s="10"/>
    </x:row>
    <x:row r="487" ht="14.25" customHeight="1">
      <x:c r="A487" s="10"/>
      <x:c r="B487" s="10"/>
      <x:c r="C487" s="10"/>
      <x:c r="D487" s="10"/>
      <x:c r="E487" s="10"/>
      <x:c r="F487" s="10"/>
      <x:c r="G487" s="10"/>
      <x:c r="H487" s="10"/>
      <x:c r="I487" s="10"/>
      <x:c r="J487" s="10"/>
    </x:row>
    <x:row r="488" ht="14.25" customHeight="1">
      <x:c r="A488" s="10"/>
      <x:c r="B488" s="10"/>
      <x:c r="C488" s="10"/>
      <x:c r="D488" s="10"/>
      <x:c r="E488" s="10"/>
      <x:c r="F488" s="10"/>
      <x:c r="G488" s="10"/>
      <x:c r="H488" s="10"/>
      <x:c r="I488" s="10"/>
      <x:c r="J488" s="10"/>
    </x:row>
    <x:row r="489" ht="14.25" customHeight="1">
      <x:c r="A489" s="10"/>
      <x:c r="B489" s="10"/>
      <x:c r="C489" s="10"/>
      <x:c r="D489" s="10"/>
      <x:c r="E489" s="10"/>
      <x:c r="F489" s="10"/>
      <x:c r="G489" s="10"/>
      <x:c r="H489" s="10"/>
      <x:c r="I489" s="10"/>
      <x:c r="J489" s="10"/>
    </x:row>
    <x:row r="490" ht="14.25" customHeight="1">
      <x:c r="A490" s="10"/>
      <x:c r="B490" s="10"/>
      <x:c r="C490" s="10"/>
      <x:c r="D490" s="10"/>
      <x:c r="E490" s="10"/>
      <x:c r="F490" s="10"/>
      <x:c r="G490" s="10"/>
      <x:c r="H490" s="10"/>
      <x:c r="I490" s="10"/>
      <x:c r="J490" s="10"/>
    </x:row>
    <x:row r="491" ht="14.25" customHeight="1">
      <x:c r="A491" s="10"/>
      <x:c r="B491" s="10"/>
      <x:c r="C491" s="10"/>
      <x:c r="D491" s="10"/>
      <x:c r="E491" s="10"/>
      <x:c r="F491" s="10"/>
      <x:c r="G491" s="10"/>
      <x:c r="H491" s="10"/>
      <x:c r="I491" s="10"/>
      <x:c r="J491" s="10"/>
    </x:row>
    <x:row r="492" ht="14.25" customHeight="1">
      <x:c r="A492" s="10"/>
      <x:c r="B492" s="10"/>
      <x:c r="C492" s="10"/>
      <x:c r="D492" s="10"/>
      <x:c r="E492" s="10"/>
      <x:c r="F492" s="10"/>
      <x:c r="G492" s="10"/>
      <x:c r="H492" s="10"/>
      <x:c r="I492" s="10"/>
      <x:c r="J492" s="10"/>
    </x:row>
    <x:row r="493" ht="14.25" customHeight="1">
      <x:c r="A493" s="10"/>
      <x:c r="B493" s="10"/>
      <x:c r="C493" s="10"/>
      <x:c r="D493" s="10"/>
      <x:c r="E493" s="10"/>
      <x:c r="F493" s="10"/>
      <x:c r="G493" s="10"/>
      <x:c r="H493" s="10"/>
      <x:c r="I493" s="10"/>
      <x:c r="J493" s="10"/>
    </x:row>
    <x:row r="494" ht="14.25" customHeight="1">
      <x:c r="A494" s="10"/>
      <x:c r="B494" s="10"/>
      <x:c r="C494" s="10"/>
      <x:c r="D494" s="10"/>
      <x:c r="E494" s="10"/>
      <x:c r="F494" s="10"/>
      <x:c r="G494" s="10"/>
      <x:c r="H494" s="10"/>
      <x:c r="I494" s="10"/>
      <x:c r="J494" s="10"/>
    </x:row>
    <x:row r="495" ht="14.25" customHeight="1">
      <x:c r="A495" s="10"/>
      <x:c r="B495" s="10"/>
      <x:c r="C495" s="10"/>
      <x:c r="D495" s="10"/>
      <x:c r="E495" s="10"/>
      <x:c r="F495" s="10"/>
      <x:c r="G495" s="10"/>
      <x:c r="H495" s="10"/>
      <x:c r="I495" s="10"/>
      <x:c r="J495" s="10"/>
    </x:row>
    <x:row r="496" ht="14.25" customHeight="1">
      <x:c r="A496" s="10"/>
      <x:c r="B496" s="10"/>
      <x:c r="C496" s="10"/>
      <x:c r="D496" s="10"/>
      <x:c r="E496" s="10"/>
      <x:c r="F496" s="10"/>
      <x:c r="G496" s="10"/>
      <x:c r="H496" s="10"/>
      <x:c r="I496" s="10"/>
      <x:c r="J496" s="10"/>
    </x:row>
    <x:row r="497" ht="14.25" customHeight="1">
      <x:c r="A497" s="10"/>
      <x:c r="B497" s="10"/>
      <x:c r="C497" s="10"/>
      <x:c r="D497" s="10"/>
      <x:c r="E497" s="10"/>
      <x:c r="F497" s="10"/>
      <x:c r="G497" s="10"/>
      <x:c r="H497" s="10"/>
      <x:c r="I497" s="10"/>
      <x:c r="J497" s="10"/>
    </x:row>
    <x:row r="498" ht="14.25" customHeight="1">
      <x:c r="A498" s="10"/>
      <x:c r="B498" s="10"/>
      <x:c r="C498" s="10"/>
      <x:c r="D498" s="10"/>
      <x:c r="E498" s="10"/>
      <x:c r="F498" s="10"/>
      <x:c r="G498" s="10"/>
      <x:c r="H498" s="10"/>
      <x:c r="I498" s="10"/>
      <x:c r="J498" s="10"/>
    </x:row>
    <x:row r="499" ht="14.25" customHeight="1">
      <x:c r="A499" s="10"/>
      <x:c r="B499" s="10"/>
      <x:c r="C499" s="10"/>
      <x:c r="D499" s="10"/>
      <x:c r="E499" s="10"/>
      <x:c r="F499" s="10"/>
      <x:c r="G499" s="10"/>
      <x:c r="H499" s="10"/>
      <x:c r="I499" s="10"/>
      <x:c r="J499" s="10"/>
    </x:row>
    <x:row r="500" ht="14.25" customHeight="1">
      <x:c r="A500" s="10"/>
      <x:c r="B500" s="10"/>
      <x:c r="C500" s="10"/>
      <x:c r="D500" s="10"/>
      <x:c r="E500" s="10"/>
      <x:c r="F500" s="10"/>
      <x:c r="G500" s="10"/>
      <x:c r="H500" s="10"/>
      <x:c r="I500" s="10"/>
      <x:c r="J500" s="10"/>
    </x:row>
    <x:row r="501" ht="14.25" customHeight="1">
      <x:c r="A501" s="10"/>
      <x:c r="B501" s="10"/>
      <x:c r="C501" s="10"/>
      <x:c r="D501" s="10"/>
      <x:c r="E501" s="10"/>
      <x:c r="F501" s="10"/>
      <x:c r="G501" s="10"/>
      <x:c r="H501" s="10"/>
      <x:c r="I501" s="10"/>
      <x:c r="J501" s="10"/>
    </x:row>
    <x:row r="502" ht="14.25" customHeight="1">
      <x:c r="A502" s="10"/>
      <x:c r="B502" s="10"/>
      <x:c r="C502" s="10"/>
      <x:c r="D502" s="10"/>
      <x:c r="E502" s="10"/>
      <x:c r="F502" s="10"/>
      <x:c r="G502" s="10"/>
      <x:c r="H502" s="10"/>
      <x:c r="I502" s="10"/>
      <x:c r="J502" s="10"/>
    </x:row>
    <x:row r="503" ht="14.25" customHeight="1">
      <x:c r="A503" s="10"/>
      <x:c r="B503" s="10"/>
      <x:c r="C503" s="10"/>
      <x:c r="D503" s="10"/>
      <x:c r="E503" s="10"/>
      <x:c r="F503" s="10"/>
      <x:c r="G503" s="10"/>
      <x:c r="H503" s="10"/>
      <x:c r="I503" s="10"/>
      <x:c r="J503" s="10"/>
    </x:row>
    <x:row r="504" ht="14.25" customHeight="1">
      <x:c r="A504" s="10"/>
      <x:c r="B504" s="10"/>
      <x:c r="C504" s="10"/>
      <x:c r="D504" s="10"/>
      <x:c r="E504" s="10"/>
      <x:c r="F504" s="10"/>
      <x:c r="G504" s="10"/>
      <x:c r="H504" s="10"/>
      <x:c r="I504" s="10"/>
      <x:c r="J504" s="10"/>
    </x:row>
    <x:row r="505" ht="14.25" customHeight="1">
      <x:c r="A505" s="10"/>
      <x:c r="B505" s="10"/>
      <x:c r="C505" s="10"/>
      <x:c r="D505" s="10"/>
      <x:c r="E505" s="10"/>
      <x:c r="F505" s="10"/>
      <x:c r="G505" s="10"/>
      <x:c r="H505" s="10"/>
      <x:c r="I505" s="10"/>
      <x:c r="J505" s="10"/>
    </x:row>
    <x:row r="506" ht="14.25" customHeight="1">
      <x:c r="A506" s="10"/>
      <x:c r="B506" s="10"/>
      <x:c r="C506" s="10"/>
      <x:c r="D506" s="10"/>
      <x:c r="E506" s="10"/>
      <x:c r="F506" s="10"/>
      <x:c r="G506" s="10"/>
      <x:c r="H506" s="10"/>
      <x:c r="I506" s="10"/>
      <x:c r="J506" s="10"/>
    </x:row>
    <x:row r="507" ht="14.25" customHeight="1">
      <x:c r="A507" s="10"/>
      <x:c r="B507" s="10"/>
      <x:c r="C507" s="10"/>
      <x:c r="D507" s="10"/>
      <x:c r="E507" s="10"/>
      <x:c r="F507" s="10"/>
      <x:c r="G507" s="10"/>
      <x:c r="H507" s="10"/>
      <x:c r="I507" s="10"/>
      <x:c r="J507" s="10"/>
    </x:row>
    <x:row r="508" ht="14.25" customHeight="1">
      <x:c r="A508" s="10"/>
      <x:c r="B508" s="10"/>
      <x:c r="C508" s="10"/>
      <x:c r="D508" s="10"/>
      <x:c r="E508" s="10"/>
      <x:c r="F508" s="10"/>
      <x:c r="G508" s="10"/>
      <x:c r="H508" s="10"/>
      <x:c r="I508" s="10"/>
      <x:c r="J508" s="10"/>
    </x:row>
    <x:row r="509" ht="14.25" customHeight="1">
      <x:c r="A509" s="10"/>
      <x:c r="B509" s="10"/>
      <x:c r="C509" s="10"/>
      <x:c r="D509" s="10"/>
      <x:c r="E509" s="10"/>
      <x:c r="F509" s="10"/>
      <x:c r="G509" s="10"/>
      <x:c r="H509" s="10"/>
      <x:c r="I509" s="10"/>
      <x:c r="J509" s="10"/>
    </x:row>
    <x:row r="510" ht="14.25" customHeight="1">
      <x:c r="A510" s="10"/>
      <x:c r="B510" s="10"/>
      <x:c r="C510" s="10"/>
      <x:c r="D510" s="10"/>
      <x:c r="E510" s="10"/>
      <x:c r="F510" s="10"/>
      <x:c r="G510" s="10"/>
      <x:c r="H510" s="10"/>
      <x:c r="I510" s="10"/>
      <x:c r="J510" s="10"/>
    </x:row>
    <x:row r="511" ht="14.25" customHeight="1">
      <x:c r="A511" s="10"/>
      <x:c r="B511" s="10"/>
      <x:c r="C511" s="10"/>
      <x:c r="D511" s="10"/>
      <x:c r="E511" s="10"/>
      <x:c r="F511" s="10"/>
      <x:c r="G511" s="10"/>
      <x:c r="H511" s="10"/>
      <x:c r="I511" s="10"/>
      <x:c r="J511" s="10"/>
    </x:row>
    <x:row r="512" ht="14.25" customHeight="1">
      <x:c r="A512" s="10"/>
      <x:c r="B512" s="10"/>
      <x:c r="C512" s="10"/>
      <x:c r="D512" s="10"/>
      <x:c r="E512" s="10"/>
      <x:c r="F512" s="10"/>
      <x:c r="G512" s="10"/>
      <x:c r="H512" s="10"/>
      <x:c r="I512" s="10"/>
      <x:c r="J512" s="10"/>
    </x:row>
    <x:row r="513" ht="14.25" customHeight="1">
      <x:c r="A513" s="10"/>
      <x:c r="B513" s="10"/>
      <x:c r="C513" s="10"/>
      <x:c r="D513" s="10"/>
      <x:c r="E513" s="10"/>
      <x:c r="F513" s="10"/>
      <x:c r="G513" s="10"/>
      <x:c r="H513" s="10"/>
      <x:c r="I513" s="10"/>
      <x:c r="J513" s="10"/>
    </x:row>
    <x:row r="514" ht="14.25" customHeight="1">
      <x:c r="A514" s="10"/>
      <x:c r="B514" s="10"/>
      <x:c r="C514" s="10"/>
      <x:c r="D514" s="10"/>
      <x:c r="E514" s="10"/>
      <x:c r="F514" s="10"/>
      <x:c r="G514" s="10"/>
      <x:c r="H514" s="10"/>
      <x:c r="I514" s="10"/>
      <x:c r="J514" s="10"/>
    </x:row>
    <x:row r="515" ht="14.25" customHeight="1">
      <x:c r="A515" s="10"/>
      <x:c r="B515" s="10"/>
      <x:c r="C515" s="10"/>
      <x:c r="D515" s="10"/>
      <x:c r="E515" s="10"/>
      <x:c r="F515" s="10"/>
      <x:c r="G515" s="10"/>
      <x:c r="H515" s="10"/>
      <x:c r="I515" s="10"/>
      <x:c r="J515" s="10"/>
    </x:row>
    <x:row r="516" ht="14.25" customHeight="1">
      <x:c r="A516" s="10"/>
      <x:c r="B516" s="10"/>
      <x:c r="C516" s="10"/>
      <x:c r="D516" s="10"/>
      <x:c r="E516" s="10"/>
      <x:c r="F516" s="10"/>
      <x:c r="G516" s="10"/>
      <x:c r="H516" s="10"/>
      <x:c r="I516" s="10"/>
      <x:c r="J516" s="10"/>
    </x:row>
    <x:row r="517" ht="14.25" customHeight="1">
      <x:c r="A517" s="10"/>
      <x:c r="B517" s="10"/>
      <x:c r="C517" s="10"/>
      <x:c r="D517" s="10"/>
      <x:c r="E517" s="10"/>
      <x:c r="F517" s="10"/>
      <x:c r="G517" s="10"/>
      <x:c r="H517" s="10"/>
      <x:c r="I517" s="10"/>
      <x:c r="J517" s="10"/>
    </x:row>
    <x:row r="518" ht="14.25" customHeight="1">
      <x:c r="A518" s="10"/>
      <x:c r="B518" s="10"/>
      <x:c r="C518" s="10"/>
      <x:c r="D518" s="10"/>
      <x:c r="E518" s="10"/>
      <x:c r="F518" s="10"/>
      <x:c r="G518" s="10"/>
      <x:c r="H518" s="10"/>
      <x:c r="I518" s="10"/>
      <x:c r="J518" s="10"/>
    </x:row>
    <x:row r="519" ht="14.25" customHeight="1">
      <x:c r="A519" s="10"/>
      <x:c r="B519" s="10"/>
      <x:c r="C519" s="10"/>
      <x:c r="D519" s="10"/>
      <x:c r="E519" s="10"/>
      <x:c r="F519" s="10"/>
      <x:c r="G519" s="10"/>
      <x:c r="H519" s="10"/>
      <x:c r="I519" s="10"/>
      <x:c r="J519" s="10"/>
    </x:row>
    <x:row r="520" ht="14.25" customHeight="1">
      <x:c r="A520" s="10"/>
      <x:c r="B520" s="10"/>
      <x:c r="C520" s="10"/>
      <x:c r="D520" s="10"/>
      <x:c r="E520" s="10"/>
      <x:c r="F520" s="10"/>
      <x:c r="G520" s="10"/>
      <x:c r="H520" s="10"/>
      <x:c r="I520" s="10"/>
      <x:c r="J520" s="10"/>
    </x:row>
    <x:row r="521" ht="14.25" customHeight="1">
      <x:c r="A521" s="10"/>
      <x:c r="B521" s="10"/>
      <x:c r="C521" s="10"/>
      <x:c r="D521" s="10"/>
      <x:c r="E521" s="10"/>
      <x:c r="F521" s="10"/>
      <x:c r="G521" s="10"/>
      <x:c r="H521" s="10"/>
      <x:c r="I521" s="10"/>
      <x:c r="J521" s="10"/>
    </x:row>
    <x:row r="522" ht="14.25" customHeight="1">
      <x:c r="A522" s="10"/>
      <x:c r="B522" s="10"/>
      <x:c r="C522" s="10"/>
      <x:c r="D522" s="10"/>
      <x:c r="E522" s="10"/>
      <x:c r="F522" s="10"/>
      <x:c r="G522" s="10"/>
      <x:c r="H522" s="10"/>
      <x:c r="I522" s="10"/>
      <x:c r="J522" s="10"/>
    </x:row>
    <x:row r="523" ht="14.25" customHeight="1">
      <x:c r="A523" s="10"/>
      <x:c r="B523" s="10"/>
      <x:c r="C523" s="10"/>
      <x:c r="D523" s="10"/>
      <x:c r="E523" s="10"/>
      <x:c r="F523" s="10"/>
      <x:c r="G523" s="10"/>
      <x:c r="H523" s="10"/>
      <x:c r="I523" s="10"/>
      <x:c r="J523" s="10"/>
    </x:row>
    <x:row r="524" ht="14.25" customHeight="1">
      <x:c r="A524" s="10"/>
      <x:c r="B524" s="10"/>
      <x:c r="C524" s="10"/>
      <x:c r="D524" s="10"/>
      <x:c r="E524" s="10"/>
      <x:c r="F524" s="10"/>
      <x:c r="G524" s="10"/>
      <x:c r="H524" s="10"/>
      <x:c r="I524" s="10"/>
      <x:c r="J524" s="10"/>
    </x:row>
    <x:row r="525" ht="14.25" customHeight="1">
      <x:c r="A525" s="10"/>
      <x:c r="B525" s="10"/>
      <x:c r="C525" s="10"/>
      <x:c r="D525" s="10"/>
      <x:c r="E525" s="10"/>
      <x:c r="F525" s="10"/>
      <x:c r="G525" s="10"/>
      <x:c r="H525" s="10"/>
      <x:c r="I525" s="10"/>
      <x:c r="J525" s="10"/>
    </x:row>
    <x:row r="526" ht="14.25" customHeight="1">
      <x:c r="A526" s="10"/>
      <x:c r="B526" s="10"/>
      <x:c r="C526" s="10"/>
      <x:c r="D526" s="10"/>
      <x:c r="E526" s="10"/>
      <x:c r="F526" s="10"/>
      <x:c r="G526" s="10"/>
      <x:c r="H526" s="10"/>
      <x:c r="I526" s="10"/>
      <x:c r="J526" s="10"/>
    </x:row>
    <x:row r="527" ht="14.25" customHeight="1">
      <x:c r="A527" s="10"/>
      <x:c r="B527" s="10"/>
      <x:c r="C527" s="10"/>
      <x:c r="D527" s="10"/>
      <x:c r="E527" s="10"/>
      <x:c r="F527" s="10"/>
      <x:c r="G527" s="10"/>
      <x:c r="H527" s="10"/>
      <x:c r="I527" s="10"/>
      <x:c r="J527" s="10"/>
    </x:row>
    <x:row r="528" ht="14.25" customHeight="1">
      <x:c r="A528" s="10"/>
      <x:c r="B528" s="10"/>
      <x:c r="C528" s="10"/>
      <x:c r="D528" s="10"/>
      <x:c r="E528" s="10"/>
      <x:c r="F528" s="10"/>
      <x:c r="G528" s="10"/>
      <x:c r="H528" s="10"/>
      <x:c r="I528" s="10"/>
      <x:c r="J528" s="10"/>
    </x:row>
    <x:row r="529" ht="14.25" customHeight="1">
      <x:c r="A529" s="10"/>
      <x:c r="B529" s="10"/>
      <x:c r="C529" s="10"/>
      <x:c r="D529" s="10"/>
      <x:c r="E529" s="10"/>
      <x:c r="F529" s="10"/>
      <x:c r="G529" s="10"/>
      <x:c r="H529" s="10"/>
      <x:c r="I529" s="10"/>
      <x:c r="J529" s="10"/>
    </x:row>
    <x:row r="530" ht="14.25" customHeight="1">
      <x:c r="A530" s="10"/>
      <x:c r="B530" s="10"/>
      <x:c r="C530" s="10"/>
      <x:c r="D530" s="10"/>
      <x:c r="E530" s="10"/>
      <x:c r="F530" s="10"/>
      <x:c r="G530" s="10"/>
      <x:c r="H530" s="10"/>
      <x:c r="I530" s="10"/>
      <x:c r="J530" s="10"/>
    </x:row>
    <x:row r="531" ht="14.25" customHeight="1">
      <x:c r="A531" s="10"/>
      <x:c r="B531" s="10"/>
      <x:c r="C531" s="10"/>
      <x:c r="D531" s="10"/>
      <x:c r="E531" s="10"/>
      <x:c r="F531" s="10"/>
      <x:c r="G531" s="10"/>
      <x:c r="H531" s="10"/>
      <x:c r="I531" s="10"/>
      <x:c r="J531" s="10"/>
    </x:row>
    <x:row r="532" ht="14.25" customHeight="1">
      <x:c r="A532" s="10"/>
      <x:c r="B532" s="10"/>
      <x:c r="C532" s="10"/>
      <x:c r="D532" s="10"/>
      <x:c r="E532" s="10"/>
      <x:c r="F532" s="10"/>
      <x:c r="G532" s="10"/>
      <x:c r="H532" s="10"/>
      <x:c r="I532" s="10"/>
      <x:c r="J532" s="10"/>
    </x:row>
    <x:row r="533" ht="14.25" customHeight="1">
      <x:c r="A533" s="10"/>
      <x:c r="B533" s="10"/>
      <x:c r="C533" s="10"/>
      <x:c r="D533" s="10"/>
      <x:c r="E533" s="10"/>
      <x:c r="F533" s="10"/>
      <x:c r="G533" s="10"/>
      <x:c r="H533" s="10"/>
      <x:c r="I533" s="10"/>
      <x:c r="J533" s="10"/>
    </x:row>
    <x:row r="534" ht="14.25" customHeight="1">
      <x:c r="A534" s="10"/>
      <x:c r="B534" s="10"/>
      <x:c r="C534" s="10"/>
      <x:c r="D534" s="10"/>
      <x:c r="E534" s="10"/>
      <x:c r="F534" s="10"/>
      <x:c r="G534" s="10"/>
      <x:c r="H534" s="10"/>
      <x:c r="I534" s="10"/>
      <x:c r="J534" s="10"/>
    </x:row>
    <x:row r="535" ht="14.25" customHeight="1">
      <x:c r="A535" s="10"/>
      <x:c r="B535" s="10"/>
      <x:c r="C535" s="10"/>
      <x:c r="D535" s="10"/>
      <x:c r="E535" s="10"/>
      <x:c r="F535" s="10"/>
      <x:c r="G535" s="10"/>
      <x:c r="H535" s="10"/>
      <x:c r="I535" s="10"/>
      <x:c r="J535" s="10"/>
    </x:row>
    <x:row r="536" ht="14.25" customHeight="1">
      <x:c r="A536" s="10"/>
      <x:c r="B536" s="10"/>
      <x:c r="C536" s="10"/>
      <x:c r="D536" s="10"/>
      <x:c r="E536" s="10"/>
      <x:c r="F536" s="10"/>
      <x:c r="G536" s="10"/>
      <x:c r="H536" s="10"/>
      <x:c r="I536" s="10"/>
      <x:c r="J536" s="10"/>
    </x:row>
    <x:row r="537" ht="14.25" customHeight="1">
      <x:c r="A537" s="10"/>
      <x:c r="B537" s="10"/>
      <x:c r="C537" s="10"/>
      <x:c r="D537" s="10"/>
      <x:c r="E537" s="10"/>
      <x:c r="F537" s="10"/>
      <x:c r="G537" s="10"/>
      <x:c r="H537" s="10"/>
      <x:c r="I537" s="10"/>
      <x:c r="J537" s="10"/>
    </x:row>
    <x:row r="538" ht="14.25" customHeight="1">
      <x:c r="A538" s="10"/>
      <x:c r="B538" s="10"/>
      <x:c r="C538" s="10"/>
      <x:c r="D538" s="10"/>
      <x:c r="E538" s="10"/>
      <x:c r="F538" s="10"/>
      <x:c r="G538" s="10"/>
      <x:c r="H538" s="10"/>
      <x:c r="I538" s="10"/>
      <x:c r="J538" s="10"/>
    </x:row>
    <x:row r="539" ht="14.25" customHeight="1">
      <x:c r="A539" s="10"/>
      <x:c r="B539" s="10"/>
      <x:c r="C539" s="10"/>
      <x:c r="D539" s="10"/>
      <x:c r="E539" s="10"/>
      <x:c r="F539" s="10"/>
      <x:c r="G539" s="10"/>
      <x:c r="H539" s="10"/>
      <x:c r="I539" s="10"/>
      <x:c r="J539" s="10"/>
    </x:row>
    <x:row r="540" ht="14.25" customHeight="1">
      <x:c r="A540" s="10"/>
      <x:c r="B540" s="10"/>
      <x:c r="C540" s="10"/>
      <x:c r="D540" s="10"/>
      <x:c r="E540" s="10"/>
      <x:c r="F540" s="10"/>
      <x:c r="G540" s="10"/>
      <x:c r="H540" s="10"/>
      <x:c r="I540" s="10"/>
      <x:c r="J540" s="10"/>
    </x:row>
    <x:row r="541" ht="14.25" customHeight="1">
      <x:c r="A541" s="10"/>
      <x:c r="B541" s="10"/>
      <x:c r="C541" s="10"/>
      <x:c r="D541" s="10"/>
      <x:c r="E541" s="10"/>
      <x:c r="F541" s="10"/>
      <x:c r="G541" s="10"/>
      <x:c r="H541" s="10"/>
      <x:c r="I541" s="10"/>
      <x:c r="J541" s="10"/>
    </x:row>
    <x:row r="542" ht="14.25" customHeight="1">
      <x:c r="A542" s="10"/>
      <x:c r="B542" s="10"/>
      <x:c r="C542" s="10"/>
      <x:c r="D542" s="10"/>
      <x:c r="E542" s="10"/>
      <x:c r="F542" s="10"/>
      <x:c r="G542" s="10"/>
      <x:c r="H542" s="10"/>
      <x:c r="I542" s="10"/>
      <x:c r="J542" s="10"/>
    </x:row>
    <x:row r="543" ht="14.25" customHeight="1">
      <x:c r="A543" s="10"/>
      <x:c r="B543" s="10"/>
      <x:c r="C543" s="10"/>
      <x:c r="D543" s="10"/>
      <x:c r="E543" s="10"/>
      <x:c r="F543" s="10"/>
      <x:c r="G543" s="10"/>
      <x:c r="H543" s="10"/>
      <x:c r="I543" s="10"/>
      <x:c r="J543" s="10"/>
    </x:row>
    <x:row r="544" ht="14.25" customHeight="1">
      <x:c r="A544" s="10"/>
      <x:c r="B544" s="10"/>
      <x:c r="C544" s="10"/>
      <x:c r="D544" s="10"/>
      <x:c r="E544" s="10"/>
      <x:c r="F544" s="10"/>
      <x:c r="G544" s="10"/>
      <x:c r="H544" s="10"/>
      <x:c r="I544" s="10"/>
      <x:c r="J544" s="10"/>
    </x:row>
    <x:row r="545" ht="14.25" customHeight="1">
      <x:c r="A545" s="10"/>
      <x:c r="B545" s="10"/>
      <x:c r="C545" s="10"/>
      <x:c r="D545" s="10"/>
      <x:c r="E545" s="10"/>
      <x:c r="F545" s="10"/>
      <x:c r="G545" s="10"/>
      <x:c r="H545" s="10"/>
      <x:c r="I545" s="10"/>
      <x:c r="J545" s="10"/>
    </x:row>
    <x:row r="546" ht="14.25" customHeight="1">
      <x:c r="A546" s="10"/>
      <x:c r="B546" s="10"/>
      <x:c r="C546" s="10"/>
      <x:c r="D546" s="10"/>
      <x:c r="E546" s="10"/>
      <x:c r="F546" s="10"/>
      <x:c r="G546" s="10"/>
      <x:c r="H546" s="10"/>
      <x:c r="I546" s="10"/>
      <x:c r="J546" s="10"/>
    </x:row>
    <x:row r="547" ht="14.25" customHeight="1">
      <x:c r="A547" s="10"/>
      <x:c r="B547" s="10"/>
      <x:c r="C547" s="10"/>
      <x:c r="D547" s="10"/>
      <x:c r="E547" s="10"/>
      <x:c r="F547" s="10"/>
      <x:c r="G547" s="10"/>
      <x:c r="H547" s="10"/>
      <x:c r="I547" s="10"/>
      <x:c r="J547" s="10"/>
    </x:row>
    <x:row r="548" ht="14.25" customHeight="1">
      <x:c r="A548" s="10"/>
      <x:c r="B548" s="10"/>
      <x:c r="C548" s="10"/>
      <x:c r="D548" s="10"/>
      <x:c r="E548" s="10"/>
      <x:c r="F548" s="10"/>
      <x:c r="G548" s="10"/>
      <x:c r="H548" s="10"/>
      <x:c r="I548" s="10"/>
      <x:c r="J548" s="10"/>
    </x:row>
    <x:row r="549" ht="14.25" customHeight="1">
      <x:c r="A549" s="10"/>
      <x:c r="B549" s="10"/>
      <x:c r="C549" s="10"/>
      <x:c r="D549" s="10"/>
      <x:c r="E549" s="10"/>
      <x:c r="F549" s="10"/>
      <x:c r="G549" s="10"/>
      <x:c r="H549" s="10"/>
      <x:c r="I549" s="10"/>
      <x:c r="J549" s="10"/>
    </x:row>
    <x:row r="550" ht="14.25" customHeight="1">
      <x:c r="A550" s="10"/>
      <x:c r="B550" s="10"/>
      <x:c r="C550" s="10"/>
      <x:c r="D550" s="10"/>
      <x:c r="E550" s="10"/>
      <x:c r="F550" s="10"/>
      <x:c r="G550" s="10"/>
      <x:c r="H550" s="10"/>
      <x:c r="I550" s="10"/>
      <x:c r="J550" s="10"/>
    </x:row>
    <x:row r="551" ht="14.25" customHeight="1">
      <x:c r="A551" s="10"/>
      <x:c r="B551" s="10"/>
      <x:c r="C551" s="10"/>
      <x:c r="D551" s="10"/>
      <x:c r="E551" s="10"/>
      <x:c r="F551" s="10"/>
      <x:c r="G551" s="10"/>
      <x:c r="H551" s="10"/>
      <x:c r="I551" s="10"/>
      <x:c r="J551" s="10"/>
    </x:row>
    <x:row r="552" ht="14.25" customHeight="1">
      <x:c r="A552" s="10"/>
      <x:c r="B552" s="10"/>
      <x:c r="C552" s="10"/>
      <x:c r="D552" s="10"/>
      <x:c r="E552" s="10"/>
      <x:c r="F552" s="10"/>
      <x:c r="G552" s="10"/>
      <x:c r="H552" s="10"/>
      <x:c r="I552" s="10"/>
      <x:c r="J552" s="10"/>
    </x:row>
    <x:row r="553" ht="14.25" customHeight="1">
      <x:c r="A553" s="10"/>
      <x:c r="B553" s="10"/>
      <x:c r="C553" s="10"/>
      <x:c r="D553" s="10"/>
      <x:c r="E553" s="10"/>
      <x:c r="F553" s="10"/>
      <x:c r="G553" s="10"/>
      <x:c r="H553" s="10"/>
      <x:c r="I553" s="10"/>
      <x:c r="J553" s="10"/>
    </x:row>
    <x:row r="554" ht="14.25" customHeight="1">
      <x:c r="A554" s="10"/>
      <x:c r="B554" s="10"/>
      <x:c r="C554" s="10"/>
      <x:c r="D554" s="10"/>
      <x:c r="E554" s="10"/>
      <x:c r="F554" s="10"/>
      <x:c r="G554" s="10"/>
      <x:c r="H554" s="10"/>
      <x:c r="I554" s="10"/>
      <x:c r="J554" s="10"/>
    </x:row>
    <x:row r="555" ht="14.25" customHeight="1">
      <x:c r="A555" s="10"/>
      <x:c r="B555" s="10"/>
      <x:c r="C555" s="10"/>
      <x:c r="D555" s="10"/>
      <x:c r="E555" s="10"/>
      <x:c r="F555" s="10"/>
      <x:c r="G555" s="10"/>
      <x:c r="H555" s="10"/>
      <x:c r="I555" s="10"/>
      <x:c r="J555" s="10"/>
    </x:row>
    <x:row r="556" ht="14.25" customHeight="1">
      <x:c r="A556" s="10"/>
      <x:c r="B556" s="10"/>
      <x:c r="C556" s="10"/>
      <x:c r="D556" s="10"/>
      <x:c r="E556" s="10"/>
      <x:c r="F556" s="10"/>
      <x:c r="G556" s="10"/>
      <x:c r="H556" s="10"/>
      <x:c r="I556" s="10"/>
      <x:c r="J556" s="10"/>
    </x:row>
    <x:row r="557" ht="14.25" customHeight="1">
      <x:c r="A557" s="10"/>
      <x:c r="B557" s="10"/>
      <x:c r="C557" s="10"/>
      <x:c r="D557" s="10"/>
      <x:c r="E557" s="10"/>
      <x:c r="F557" s="10"/>
      <x:c r="G557" s="10"/>
      <x:c r="H557" s="10"/>
      <x:c r="I557" s="10"/>
      <x:c r="J557" s="10"/>
    </x:row>
    <x:row r="558" ht="14.25" customHeight="1">
      <x:c r="A558" s="10"/>
      <x:c r="B558" s="10"/>
      <x:c r="C558" s="10"/>
      <x:c r="D558" s="10"/>
      <x:c r="E558" s="10"/>
      <x:c r="F558" s="10"/>
      <x:c r="G558" s="10"/>
      <x:c r="H558" s="10"/>
      <x:c r="I558" s="10"/>
      <x:c r="J558" s="10"/>
    </x:row>
    <x:row r="559" ht="14.25" customHeight="1">
      <x:c r="A559" s="10"/>
      <x:c r="B559" s="10"/>
      <x:c r="C559" s="10"/>
      <x:c r="D559" s="10"/>
      <x:c r="E559" s="10"/>
      <x:c r="F559" s="10"/>
      <x:c r="G559" s="10"/>
      <x:c r="H559" s="10"/>
      <x:c r="I559" s="10"/>
      <x:c r="J559" s="10"/>
    </x:row>
    <x:row r="560" ht="14.25" customHeight="1">
      <x:c r="A560" s="10"/>
      <x:c r="B560" s="10"/>
      <x:c r="C560" s="10"/>
      <x:c r="D560" s="10"/>
      <x:c r="E560" s="10"/>
      <x:c r="F560" s="10"/>
      <x:c r="G560" s="10"/>
      <x:c r="H560" s="10"/>
      <x:c r="I560" s="10"/>
      <x:c r="J560" s="10"/>
    </x:row>
    <x:row r="561" ht="14.25" customHeight="1">
      <x:c r="A561" s="10"/>
      <x:c r="B561" s="10"/>
      <x:c r="C561" s="10"/>
      <x:c r="D561" s="10"/>
      <x:c r="E561" s="10"/>
      <x:c r="F561" s="10"/>
      <x:c r="G561" s="10"/>
      <x:c r="H561" s="10"/>
      <x:c r="I561" s="10"/>
      <x:c r="J561" s="10"/>
    </x:row>
    <x:row r="562" ht="14.25" customHeight="1">
      <x:c r="A562" s="10"/>
      <x:c r="B562" s="10"/>
      <x:c r="C562" s="10"/>
      <x:c r="D562" s="10"/>
      <x:c r="E562" s="10"/>
      <x:c r="F562" s="10"/>
      <x:c r="G562" s="10"/>
      <x:c r="H562" s="10"/>
      <x:c r="I562" s="10"/>
      <x:c r="J562" s="10"/>
    </x:row>
    <x:row r="563" ht="14.25" customHeight="1">
      <x:c r="A563" s="10"/>
      <x:c r="B563" s="10"/>
      <x:c r="C563" s="10"/>
      <x:c r="D563" s="10"/>
      <x:c r="E563" s="10"/>
      <x:c r="F563" s="10"/>
      <x:c r="G563" s="10"/>
      <x:c r="H563" s="10"/>
      <x:c r="I563" s="10"/>
      <x:c r="J563" s="10"/>
    </x:row>
    <x:row r="564" ht="14.25" customHeight="1">
      <x:c r="A564" s="10"/>
      <x:c r="B564" s="10"/>
      <x:c r="C564" s="10"/>
      <x:c r="D564" s="10"/>
      <x:c r="E564" s="10"/>
      <x:c r="F564" s="10"/>
      <x:c r="G564" s="10"/>
      <x:c r="H564" s="10"/>
      <x:c r="I564" s="10"/>
      <x:c r="J564" s="10"/>
    </x:row>
    <x:row r="565" ht="14.25" customHeight="1">
      <x:c r="A565" s="10"/>
      <x:c r="B565" s="10"/>
      <x:c r="C565" s="10"/>
      <x:c r="D565" s="10"/>
      <x:c r="E565" s="10"/>
      <x:c r="F565" s="10"/>
      <x:c r="G565" s="10"/>
      <x:c r="H565" s="10"/>
      <x:c r="I565" s="10"/>
      <x:c r="J565" s="10"/>
    </x:row>
    <x:row r="566" ht="14.25" customHeight="1">
      <x:c r="A566" s="10"/>
      <x:c r="B566" s="10"/>
      <x:c r="C566" s="10"/>
      <x:c r="D566" s="10"/>
      <x:c r="E566" s="10"/>
      <x:c r="F566" s="10"/>
      <x:c r="G566" s="10"/>
      <x:c r="H566" s="10"/>
      <x:c r="I566" s="10"/>
      <x:c r="J566" s="10"/>
    </x:row>
    <x:row r="567" ht="14.25" customHeight="1">
      <x:c r="A567" s="10"/>
      <x:c r="B567" s="10"/>
      <x:c r="C567" s="10"/>
      <x:c r="D567" s="10"/>
      <x:c r="E567" s="10"/>
      <x:c r="F567" s="10"/>
      <x:c r="G567" s="10"/>
      <x:c r="H567" s="10"/>
      <x:c r="I567" s="10"/>
      <x:c r="J567" s="10"/>
    </x:row>
    <x:row r="568" ht="14.25" customHeight="1">
      <x:c r="A568" s="10"/>
      <x:c r="B568" s="10"/>
      <x:c r="C568" s="10"/>
      <x:c r="D568" s="10"/>
      <x:c r="E568" s="10"/>
      <x:c r="F568" s="10"/>
      <x:c r="G568" s="10"/>
      <x:c r="H568" s="10"/>
      <x:c r="I568" s="10"/>
      <x:c r="J568" s="10"/>
    </x:row>
    <x:row r="569" ht="14.25" customHeight="1">
      <x:c r="A569" s="10"/>
      <x:c r="B569" s="10"/>
      <x:c r="C569" s="10"/>
      <x:c r="D569" s="10"/>
      <x:c r="E569" s="10"/>
      <x:c r="F569" s="10"/>
      <x:c r="G569" s="10"/>
      <x:c r="H569" s="10"/>
      <x:c r="I569" s="10"/>
      <x:c r="J569" s="10"/>
    </x:row>
    <x:row r="570" ht="14.25" customHeight="1">
      <x:c r="A570" s="10"/>
      <x:c r="B570" s="10"/>
      <x:c r="C570" s="10"/>
      <x:c r="D570" s="10"/>
      <x:c r="E570" s="10"/>
      <x:c r="F570" s="10"/>
      <x:c r="G570" s="10"/>
      <x:c r="H570" s="10"/>
      <x:c r="I570" s="10"/>
      <x:c r="J570" s="10"/>
    </x:row>
    <x:row r="571" ht="14.25" customHeight="1">
      <x:c r="A571" s="10"/>
      <x:c r="B571" s="10"/>
      <x:c r="C571" s="10"/>
      <x:c r="D571" s="10"/>
      <x:c r="E571" s="10"/>
      <x:c r="F571" s="10"/>
      <x:c r="G571" s="10"/>
      <x:c r="H571" s="10"/>
      <x:c r="I571" s="10"/>
      <x:c r="J571" s="10"/>
    </x:row>
    <x:row r="572" ht="14.25" customHeight="1">
      <x:c r="A572" s="10"/>
      <x:c r="B572" s="10"/>
      <x:c r="C572" s="10"/>
      <x:c r="D572" s="10"/>
      <x:c r="E572" s="10"/>
      <x:c r="F572" s="10"/>
      <x:c r="G572" s="10"/>
      <x:c r="H572" s="10"/>
      <x:c r="I572" s="10"/>
      <x:c r="J572" s="10"/>
    </x:row>
    <x:row r="573" ht="14.25" customHeight="1">
      <x:c r="A573" s="10"/>
      <x:c r="B573" s="10"/>
      <x:c r="C573" s="10"/>
      <x:c r="D573" s="10"/>
      <x:c r="E573" s="10"/>
      <x:c r="F573" s="10"/>
      <x:c r="G573" s="10"/>
      <x:c r="H573" s="10"/>
      <x:c r="I573" s="10"/>
      <x:c r="J573" s="10"/>
    </x:row>
    <x:row r="574" ht="14.25" customHeight="1">
      <x:c r="A574" s="10"/>
      <x:c r="B574" s="10"/>
      <x:c r="C574" s="10"/>
      <x:c r="D574" s="10"/>
      <x:c r="E574" s="10"/>
      <x:c r="F574" s="10"/>
      <x:c r="G574" s="10"/>
      <x:c r="H574" s="10"/>
      <x:c r="I574" s="10"/>
      <x:c r="J574" s="10"/>
    </x:row>
    <x:row r="575" ht="14.25" customHeight="1">
      <x:c r="A575" s="10"/>
      <x:c r="B575" s="10"/>
      <x:c r="C575" s="10"/>
      <x:c r="D575" s="10"/>
      <x:c r="E575" s="10"/>
      <x:c r="F575" s="10"/>
      <x:c r="G575" s="10"/>
      <x:c r="H575" s="10"/>
      <x:c r="I575" s="10"/>
      <x:c r="J575" s="10"/>
    </x:row>
    <x:row r="576" ht="14.25" customHeight="1">
      <x:c r="A576" s="10"/>
      <x:c r="B576" s="10"/>
      <x:c r="C576" s="10"/>
      <x:c r="D576" s="10"/>
      <x:c r="E576" s="10"/>
      <x:c r="F576" s="10"/>
      <x:c r="G576" s="10"/>
      <x:c r="H576" s="10"/>
      <x:c r="I576" s="10"/>
      <x:c r="J576" s="10"/>
    </x:row>
    <x:row r="577" ht="14.25" customHeight="1">
      <x:c r="A577" s="10"/>
      <x:c r="B577" s="10"/>
      <x:c r="C577" s="10"/>
      <x:c r="D577" s="10"/>
      <x:c r="E577" s="10"/>
      <x:c r="F577" s="10"/>
      <x:c r="G577" s="10"/>
      <x:c r="H577" s="10"/>
      <x:c r="I577" s="10"/>
      <x:c r="J577" s="10"/>
    </x:row>
    <x:row r="578" ht="14.25" customHeight="1">
      <x:c r="A578" s="10"/>
      <x:c r="B578" s="10"/>
      <x:c r="C578" s="10"/>
      <x:c r="D578" s="10"/>
      <x:c r="E578" s="10"/>
      <x:c r="F578" s="10"/>
      <x:c r="G578" s="10"/>
      <x:c r="H578" s="10"/>
      <x:c r="I578" s="10"/>
      <x:c r="J578" s="10"/>
    </x:row>
    <x:row r="579" ht="14.25" customHeight="1">
      <x:c r="A579" s="10"/>
      <x:c r="B579" s="10"/>
      <x:c r="C579" s="10"/>
      <x:c r="D579" s="10"/>
      <x:c r="E579" s="10"/>
      <x:c r="F579" s="10"/>
      <x:c r="G579" s="10"/>
      <x:c r="H579" s="10"/>
      <x:c r="I579" s="10"/>
      <x:c r="J579" s="10"/>
    </x:row>
    <x:row r="580" ht="14.25" customHeight="1">
      <x:c r="A580" s="10"/>
      <x:c r="B580" s="10"/>
      <x:c r="C580" s="10"/>
      <x:c r="D580" s="10"/>
      <x:c r="E580" s="10"/>
      <x:c r="F580" s="10"/>
      <x:c r="G580" s="10"/>
      <x:c r="H580" s="10"/>
      <x:c r="I580" s="10"/>
      <x:c r="J580" s="10"/>
    </x:row>
    <x:row r="581" ht="14.25" customHeight="1">
      <x:c r="A581" s="10"/>
      <x:c r="B581" s="10"/>
      <x:c r="C581" s="10"/>
      <x:c r="D581" s="10"/>
      <x:c r="E581" s="10"/>
      <x:c r="F581" s="10"/>
      <x:c r="G581" s="10"/>
      <x:c r="H581" s="10"/>
      <x:c r="I581" s="10"/>
      <x:c r="J581" s="10"/>
    </x:row>
    <x:row r="582" ht="14.25" customHeight="1">
      <x:c r="A582" s="10"/>
      <x:c r="B582" s="10"/>
      <x:c r="C582" s="10"/>
      <x:c r="D582" s="10"/>
      <x:c r="E582" s="10"/>
      <x:c r="F582" s="10"/>
      <x:c r="G582" s="10"/>
      <x:c r="H582" s="10"/>
      <x:c r="I582" s="10"/>
      <x:c r="J582" s="10"/>
    </x:row>
    <x:row r="583" ht="14.25" customHeight="1">
      <x:c r="A583" s="10"/>
      <x:c r="B583" s="10"/>
      <x:c r="C583" s="10"/>
      <x:c r="D583" s="10"/>
      <x:c r="E583" s="10"/>
      <x:c r="F583" s="10"/>
      <x:c r="G583" s="10"/>
      <x:c r="H583" s="10"/>
      <x:c r="I583" s="10"/>
      <x:c r="J583" s="10"/>
    </x:row>
    <x:row r="584" ht="14.25" customHeight="1">
      <x:c r="A584" s="10"/>
      <x:c r="B584" s="10"/>
      <x:c r="C584" s="10"/>
      <x:c r="D584" s="10"/>
      <x:c r="E584" s="10"/>
      <x:c r="F584" s="10"/>
      <x:c r="G584" s="10"/>
      <x:c r="H584" s="10"/>
      <x:c r="I584" s="10"/>
      <x:c r="J584" s="10"/>
    </x:row>
    <x:row r="585" ht="14.25" customHeight="1">
      <x:c r="A585" s="10"/>
      <x:c r="B585" s="10"/>
      <x:c r="C585" s="10"/>
      <x:c r="D585" s="10"/>
      <x:c r="E585" s="10"/>
      <x:c r="F585" s="10"/>
      <x:c r="G585" s="10"/>
      <x:c r="H585" s="10"/>
      <x:c r="I585" s="10"/>
      <x:c r="J585" s="10"/>
    </x:row>
    <x:row r="586" ht="14.25" customHeight="1">
      <x:c r="A586" s="10"/>
      <x:c r="B586" s="10"/>
      <x:c r="C586" s="10"/>
      <x:c r="D586" s="10"/>
      <x:c r="E586" s="10"/>
      <x:c r="F586" s="10"/>
      <x:c r="G586" s="10"/>
      <x:c r="H586" s="10"/>
      <x:c r="I586" s="10"/>
      <x:c r="J586" s="10"/>
    </x:row>
    <x:row r="587" ht="14.25" customHeight="1">
      <x:c r="A587" s="10"/>
      <x:c r="B587" s="10"/>
      <x:c r="C587" s="10"/>
      <x:c r="D587" s="10"/>
      <x:c r="E587" s="10"/>
      <x:c r="F587" s="10"/>
      <x:c r="G587" s="10"/>
      <x:c r="H587" s="10"/>
      <x:c r="I587" s="10"/>
      <x:c r="J587" s="10"/>
    </x:row>
    <x:row r="588" ht="14.25" customHeight="1">
      <x:c r="A588" s="10"/>
      <x:c r="B588" s="10"/>
      <x:c r="C588" s="10"/>
      <x:c r="D588" s="10"/>
      <x:c r="E588" s="10"/>
      <x:c r="F588" s="10"/>
      <x:c r="G588" s="10"/>
      <x:c r="H588" s="10"/>
      <x:c r="I588" s="10"/>
      <x:c r="J588" s="10"/>
    </x:row>
    <x:row r="589" ht="14.25" customHeight="1">
      <x:c r="A589" s="10"/>
      <x:c r="B589" s="10"/>
      <x:c r="C589" s="10"/>
      <x:c r="D589" s="10"/>
      <x:c r="E589" s="10"/>
      <x:c r="F589" s="10"/>
      <x:c r="G589" s="10"/>
      <x:c r="H589" s="10"/>
      <x:c r="I589" s="10"/>
      <x:c r="J589" s="10"/>
    </x:row>
    <x:row r="590" ht="14.25" customHeight="1">
      <x:c r="A590" s="10"/>
      <x:c r="B590" s="10"/>
      <x:c r="C590" s="10"/>
      <x:c r="D590" s="10"/>
      <x:c r="E590" s="10"/>
      <x:c r="F590" s="10"/>
      <x:c r="G590" s="10"/>
      <x:c r="H590" s="10"/>
      <x:c r="I590" s="10"/>
      <x:c r="J590" s="10"/>
    </x:row>
    <x:row r="591" ht="14.25" customHeight="1">
      <x:c r="A591" s="10"/>
      <x:c r="B591" s="10"/>
      <x:c r="C591" s="10"/>
      <x:c r="D591" s="10"/>
      <x:c r="E591" s="10"/>
      <x:c r="F591" s="10"/>
      <x:c r="G591" s="10"/>
      <x:c r="H591" s="10"/>
      <x:c r="I591" s="10"/>
      <x:c r="J591" s="10"/>
    </x:row>
    <x:row r="592" ht="14.25" customHeight="1">
      <x:c r="A592" s="10"/>
      <x:c r="B592" s="10"/>
      <x:c r="C592" s="10"/>
      <x:c r="D592" s="10"/>
      <x:c r="E592" s="10"/>
      <x:c r="F592" s="10"/>
      <x:c r="G592" s="10"/>
      <x:c r="H592" s="10"/>
      <x:c r="I592" s="10"/>
      <x:c r="J592" s="10"/>
    </x:row>
    <x:row r="593" ht="14.25" customHeight="1">
      <x:c r="A593" s="10"/>
      <x:c r="B593" s="10"/>
      <x:c r="C593" s="10"/>
      <x:c r="D593" s="10"/>
      <x:c r="E593" s="10"/>
      <x:c r="F593" s="10"/>
      <x:c r="G593" s="10"/>
      <x:c r="H593" s="10"/>
      <x:c r="I593" s="10"/>
      <x:c r="J593" s="10"/>
    </x:row>
    <x:row r="594" ht="14.25" customHeight="1">
      <x:c r="A594" s="10"/>
      <x:c r="B594" s="10"/>
      <x:c r="C594" s="10"/>
      <x:c r="D594" s="10"/>
      <x:c r="E594" s="10"/>
      <x:c r="F594" s="10"/>
      <x:c r="G594" s="10"/>
      <x:c r="H594" s="10"/>
      <x:c r="I594" s="10"/>
      <x:c r="J594" s="10"/>
    </x:row>
    <x:row r="595" ht="14.25" customHeight="1">
      <x:c r="A595" s="10"/>
      <x:c r="B595" s="10"/>
      <x:c r="C595" s="10"/>
      <x:c r="D595" s="10"/>
      <x:c r="E595" s="10"/>
      <x:c r="F595" s="10"/>
      <x:c r="G595" s="10"/>
      <x:c r="H595" s="10"/>
      <x:c r="I595" s="10"/>
      <x:c r="J595" s="10"/>
    </x:row>
    <x:row r="596" ht="14.25" customHeight="1">
      <x:c r="A596" s="10"/>
      <x:c r="B596" s="10"/>
      <x:c r="C596" s="10"/>
      <x:c r="D596" s="10"/>
      <x:c r="E596" s="10"/>
      <x:c r="F596" s="10"/>
      <x:c r="G596" s="10"/>
      <x:c r="H596" s="10"/>
      <x:c r="I596" s="10"/>
      <x:c r="J596" s="10"/>
    </x:row>
    <x:row r="597" ht="14.25" customHeight="1">
      <x:c r="A597" s="10"/>
      <x:c r="B597" s="10"/>
      <x:c r="C597" s="10"/>
      <x:c r="D597" s="10"/>
      <x:c r="E597" s="10"/>
      <x:c r="F597" s="10"/>
      <x:c r="G597" s="10"/>
      <x:c r="H597" s="10"/>
      <x:c r="I597" s="10"/>
      <x:c r="J597" s="10"/>
    </x:row>
    <x:row r="598" ht="14.25" customHeight="1">
      <x:c r="A598" s="10"/>
      <x:c r="B598" s="10"/>
      <x:c r="C598" s="10"/>
      <x:c r="D598" s="10"/>
      <x:c r="E598" s="10"/>
      <x:c r="F598" s="10"/>
      <x:c r="G598" s="10"/>
      <x:c r="H598" s="10"/>
      <x:c r="I598" s="10"/>
      <x:c r="J598" s="10"/>
    </x:row>
    <x:row r="599" ht="14.25" customHeight="1">
      <x:c r="A599" s="10"/>
      <x:c r="B599" s="10"/>
      <x:c r="C599" s="10"/>
      <x:c r="D599" s="10"/>
      <x:c r="E599" s="10"/>
      <x:c r="F599" s="10"/>
      <x:c r="G599" s="10"/>
      <x:c r="H599" s="10"/>
      <x:c r="I599" s="10"/>
      <x:c r="J599" s="10"/>
    </x:row>
    <x:row r="600" ht="14.25" customHeight="1">
      <x:c r="A600" s="10"/>
      <x:c r="B600" s="10"/>
      <x:c r="C600" s="10"/>
      <x:c r="D600" s="10"/>
      <x:c r="E600" s="10"/>
      <x:c r="F600" s="10"/>
      <x:c r="G600" s="10"/>
      <x:c r="H600" s="10"/>
      <x:c r="I600" s="10"/>
      <x:c r="J600" s="10"/>
    </x:row>
    <x:row r="601" ht="14.25" customHeight="1">
      <x:c r="A601" s="10"/>
      <x:c r="B601" s="10"/>
      <x:c r="C601" s="10"/>
      <x:c r="D601" s="10"/>
      <x:c r="E601" s="10"/>
      <x:c r="F601" s="10"/>
      <x:c r="G601" s="10"/>
      <x:c r="H601" s="10"/>
      <x:c r="I601" s="10"/>
      <x:c r="J601" s="10"/>
    </x:row>
    <x:row r="602" ht="14.25" customHeight="1">
      <x:c r="A602" s="10"/>
      <x:c r="B602" s="10"/>
      <x:c r="C602" s="10"/>
      <x:c r="D602" s="10"/>
      <x:c r="E602" s="10"/>
      <x:c r="F602" s="10"/>
      <x:c r="G602" s="10"/>
      <x:c r="H602" s="10"/>
      <x:c r="I602" s="10"/>
      <x:c r="J602" s="10"/>
    </x:row>
    <x:row r="603" ht="14.25" customHeight="1">
      <x:c r="A603" s="10"/>
      <x:c r="B603" s="10"/>
      <x:c r="C603" s="10"/>
      <x:c r="D603" s="10"/>
      <x:c r="E603" s="10"/>
      <x:c r="F603" s="10"/>
      <x:c r="G603" s="10"/>
      <x:c r="H603" s="10"/>
      <x:c r="I603" s="10"/>
      <x:c r="J603" s="10"/>
    </x:row>
    <x:row r="604" ht="14.25" customHeight="1">
      <x:c r="A604" s="10"/>
      <x:c r="B604" s="10"/>
      <x:c r="C604" s="10"/>
      <x:c r="D604" s="10"/>
      <x:c r="E604" s="10"/>
      <x:c r="F604" s="10"/>
      <x:c r="G604" s="10"/>
      <x:c r="H604" s="10"/>
      <x:c r="I604" s="10"/>
      <x:c r="J604" s="10"/>
    </x:row>
    <x:row r="605" ht="14.25" customHeight="1">
      <x:c r="A605" s="10"/>
      <x:c r="B605" s="10"/>
      <x:c r="C605" s="10"/>
      <x:c r="D605" s="10"/>
      <x:c r="E605" s="10"/>
      <x:c r="F605" s="10"/>
      <x:c r="G605" s="10"/>
      <x:c r="H605" s="10"/>
      <x:c r="I605" s="10"/>
      <x:c r="J605" s="10"/>
    </x:row>
    <x:row r="606" ht="14.25" customHeight="1">
      <x:c r="A606" s="10"/>
      <x:c r="B606" s="10"/>
      <x:c r="C606" s="10"/>
      <x:c r="D606" s="10"/>
      <x:c r="E606" s="10"/>
      <x:c r="F606" s="10"/>
      <x:c r="G606" s="10"/>
      <x:c r="H606" s="10"/>
      <x:c r="I606" s="10"/>
      <x:c r="J606" s="10"/>
    </x:row>
    <x:row r="607" ht="14.25" customHeight="1">
      <x:c r="A607" s="10"/>
      <x:c r="B607" s="10"/>
      <x:c r="C607" s="10"/>
      <x:c r="D607" s="10"/>
      <x:c r="E607" s="10"/>
      <x:c r="F607" s="10"/>
      <x:c r="G607" s="10"/>
      <x:c r="H607" s="10"/>
      <x:c r="I607" s="10"/>
      <x:c r="J607" s="10"/>
    </x:row>
    <x:row r="608" ht="14.25" customHeight="1">
      <x:c r="A608" s="10"/>
      <x:c r="B608" s="10"/>
      <x:c r="C608" s="10"/>
      <x:c r="D608" s="10"/>
      <x:c r="E608" s="10"/>
      <x:c r="F608" s="10"/>
      <x:c r="G608" s="10"/>
      <x:c r="H608" s="10"/>
      <x:c r="I608" s="10"/>
      <x:c r="J608" s="10"/>
    </x:row>
    <x:row r="609" ht="14.25" customHeight="1">
      <x:c r="A609" s="10"/>
      <x:c r="B609" s="10"/>
      <x:c r="C609" s="10"/>
      <x:c r="D609" s="10"/>
      <x:c r="E609" s="10"/>
      <x:c r="F609" s="10"/>
      <x:c r="G609" s="10"/>
      <x:c r="H609" s="10"/>
      <x:c r="I609" s="10"/>
      <x:c r="J609" s="10"/>
    </x:row>
    <x:row r="610" ht="14.25" customHeight="1">
      <x:c r="A610" s="10"/>
      <x:c r="B610" s="10"/>
      <x:c r="C610" s="10"/>
      <x:c r="D610" s="10"/>
      <x:c r="E610" s="10"/>
      <x:c r="F610" s="10"/>
      <x:c r="G610" s="10"/>
      <x:c r="H610" s="10"/>
      <x:c r="I610" s="10"/>
      <x:c r="J610" s="10"/>
    </x:row>
    <x:row r="611" ht="14.25" customHeight="1">
      <x:c r="A611" s="10"/>
      <x:c r="B611" s="10"/>
      <x:c r="C611" s="10"/>
      <x:c r="D611" s="10"/>
      <x:c r="E611" s="10"/>
      <x:c r="F611" s="10"/>
      <x:c r="G611" s="10"/>
      <x:c r="H611" s="10"/>
      <x:c r="I611" s="10"/>
      <x:c r="J611" s="10"/>
    </x:row>
    <x:row r="612" ht="14.25" customHeight="1">
      <x:c r="A612" s="10"/>
      <x:c r="B612" s="10"/>
      <x:c r="C612" s="10"/>
      <x:c r="D612" s="10"/>
      <x:c r="E612" s="10"/>
      <x:c r="F612" s="10"/>
      <x:c r="G612" s="10"/>
      <x:c r="H612" s="10"/>
      <x:c r="I612" s="10"/>
      <x:c r="J612" s="10"/>
    </x:row>
    <x:row r="613" ht="14.25" customHeight="1">
      <x:c r="A613" s="10"/>
      <x:c r="B613" s="10"/>
      <x:c r="C613" s="10"/>
      <x:c r="D613" s="10"/>
      <x:c r="E613" s="10"/>
      <x:c r="F613" s="10"/>
      <x:c r="G613" s="10"/>
      <x:c r="H613" s="10"/>
      <x:c r="I613" s="10"/>
      <x:c r="J613" s="10"/>
    </x:row>
    <x:row r="614" ht="14.25" customHeight="1">
      <x:c r="A614" s="10"/>
      <x:c r="B614" s="10"/>
      <x:c r="C614" s="10"/>
      <x:c r="D614" s="10"/>
      <x:c r="E614" s="10"/>
      <x:c r="F614" s="10"/>
      <x:c r="G614" s="10"/>
      <x:c r="H614" s="10"/>
      <x:c r="I614" s="10"/>
      <x:c r="J614" s="10"/>
    </x:row>
    <x:row r="615" ht="14.25" customHeight="1">
      <x:c r="A615" s="10"/>
      <x:c r="B615" s="10"/>
      <x:c r="C615" s="10"/>
      <x:c r="D615" s="10"/>
      <x:c r="E615" s="10"/>
      <x:c r="F615" s="10"/>
      <x:c r="G615" s="10"/>
      <x:c r="H615" s="10"/>
      <x:c r="I615" s="10"/>
      <x:c r="J615" s="10"/>
    </x:row>
    <x:row r="616" ht="14.25" customHeight="1">
      <x:c r="A616" s="10"/>
      <x:c r="B616" s="10"/>
      <x:c r="C616" s="10"/>
      <x:c r="D616" s="10"/>
      <x:c r="E616" s="10"/>
      <x:c r="F616" s="10"/>
      <x:c r="G616" s="10"/>
      <x:c r="H616" s="10"/>
      <x:c r="I616" s="10"/>
      <x:c r="J616" s="10"/>
    </x:row>
    <x:row r="617" ht="14.25" customHeight="1">
      <x:c r="A617" s="10"/>
      <x:c r="B617" s="10"/>
      <x:c r="C617" s="10"/>
      <x:c r="D617" s="10"/>
      <x:c r="E617" s="10"/>
      <x:c r="F617" s="10"/>
      <x:c r="G617" s="10"/>
      <x:c r="H617" s="10"/>
      <x:c r="I617" s="10"/>
      <x:c r="J617" s="10"/>
    </x:row>
    <x:row r="618" ht="14.25" customHeight="1">
      <x:c r="A618" s="10"/>
      <x:c r="B618" s="10"/>
      <x:c r="C618" s="10"/>
      <x:c r="D618" s="10"/>
      <x:c r="E618" s="10"/>
      <x:c r="F618" s="10"/>
      <x:c r="G618" s="10"/>
      <x:c r="H618" s="10"/>
      <x:c r="I618" s="10"/>
      <x:c r="J618" s="10"/>
    </x:row>
    <x:row r="619" ht="14.25" customHeight="1">
      <x:c r="A619" s="10"/>
      <x:c r="B619" s="10"/>
      <x:c r="C619" s="10"/>
      <x:c r="D619" s="10"/>
      <x:c r="E619" s="10"/>
      <x:c r="F619" s="10"/>
      <x:c r="G619" s="10"/>
      <x:c r="H619" s="10"/>
      <x:c r="I619" s="10"/>
      <x:c r="J619" s="10"/>
    </x:row>
    <x:row r="620" ht="14.25" customHeight="1">
      <x:c r="A620" s="10"/>
      <x:c r="B620" s="10"/>
      <x:c r="C620" s="10"/>
      <x:c r="D620" s="10"/>
      <x:c r="E620" s="10"/>
      <x:c r="F620" s="10"/>
      <x:c r="G620" s="10"/>
      <x:c r="H620" s="10"/>
      <x:c r="I620" s="10"/>
      <x:c r="J620" s="10"/>
    </x:row>
    <x:row r="621" ht="14.25" customHeight="1">
      <x:c r="A621" s="10"/>
      <x:c r="B621" s="10"/>
      <x:c r="C621" s="10"/>
      <x:c r="D621" s="10"/>
      <x:c r="E621" s="10"/>
      <x:c r="F621" s="10"/>
      <x:c r="G621" s="10"/>
      <x:c r="H621" s="10"/>
      <x:c r="I621" s="10"/>
      <x:c r="J621" s="10"/>
    </x:row>
    <x:row r="622" ht="14.25" customHeight="1">
      <x:c r="A622" s="10"/>
      <x:c r="B622" s="10"/>
      <x:c r="C622" s="10"/>
      <x:c r="D622" s="10"/>
      <x:c r="E622" s="10"/>
      <x:c r="F622" s="10"/>
      <x:c r="G622" s="10"/>
      <x:c r="H622" s="10"/>
      <x:c r="I622" s="10"/>
      <x:c r="J622" s="10"/>
    </x:row>
    <x:row r="623" ht="14.25" customHeight="1">
      <x:c r="A623" s="10"/>
      <x:c r="B623" s="10"/>
      <x:c r="C623" s="10"/>
      <x:c r="D623" s="10"/>
      <x:c r="E623" s="10"/>
      <x:c r="F623" s="10"/>
      <x:c r="G623" s="10"/>
      <x:c r="H623" s="10"/>
      <x:c r="I623" s="10"/>
      <x:c r="J623" s="10"/>
    </x:row>
    <x:row r="624" ht="14.25" customHeight="1">
      <x:c r="A624" s="10"/>
      <x:c r="B624" s="10"/>
      <x:c r="C624" s="10"/>
      <x:c r="D624" s="10"/>
      <x:c r="E624" s="10"/>
      <x:c r="F624" s="10"/>
      <x:c r="G624" s="10"/>
      <x:c r="H624" s="10"/>
      <x:c r="I624" s="10"/>
      <x:c r="J624" s="10"/>
    </x:row>
    <x:row r="625" ht="14.25" customHeight="1">
      <x:c r="A625" s="10"/>
      <x:c r="B625" s="10"/>
      <x:c r="C625" s="10"/>
      <x:c r="D625" s="10"/>
      <x:c r="E625" s="10"/>
      <x:c r="F625" s="10"/>
      <x:c r="G625" s="10"/>
      <x:c r="H625" s="10"/>
      <x:c r="I625" s="10"/>
      <x:c r="J625" s="10"/>
    </x:row>
    <x:row r="626" ht="14.25" customHeight="1">
      <x:c r="A626" s="10"/>
      <x:c r="B626" s="10"/>
      <x:c r="C626" s="10"/>
      <x:c r="D626" s="10"/>
      <x:c r="E626" s="10"/>
      <x:c r="F626" s="10"/>
      <x:c r="G626" s="10"/>
      <x:c r="H626" s="10"/>
      <x:c r="I626" s="10"/>
      <x:c r="J626" s="10"/>
    </x:row>
    <x:row r="627" ht="14.25" customHeight="1">
      <x:c r="A627" s="10"/>
      <x:c r="B627" s="10"/>
      <x:c r="C627" s="10"/>
      <x:c r="D627" s="10"/>
      <x:c r="E627" s="10"/>
      <x:c r="F627" s="10"/>
      <x:c r="G627" s="10"/>
      <x:c r="H627" s="10"/>
      <x:c r="I627" s="10"/>
      <x:c r="J627" s="10"/>
    </x:row>
    <x:row r="628" ht="14.25" customHeight="1">
      <x:c r="A628" s="10"/>
      <x:c r="B628" s="10"/>
      <x:c r="C628" s="10"/>
      <x:c r="D628" s="10"/>
      <x:c r="E628" s="10"/>
      <x:c r="F628" s="10"/>
      <x:c r="G628" s="10"/>
      <x:c r="H628" s="10"/>
      <x:c r="I628" s="10"/>
      <x:c r="J628" s="10"/>
    </x:row>
    <x:row r="629" ht="14.25" customHeight="1">
      <x:c r="A629" s="10"/>
      <x:c r="B629" s="10"/>
      <x:c r="C629" s="10"/>
      <x:c r="D629" s="10"/>
      <x:c r="E629" s="10"/>
      <x:c r="F629" s="10"/>
      <x:c r="G629" s="10"/>
      <x:c r="H629" s="10"/>
      <x:c r="I629" s="10"/>
      <x:c r="J629" s="10"/>
    </x:row>
    <x:row r="630" ht="14.25" customHeight="1">
      <x:c r="A630" s="10"/>
      <x:c r="B630" s="10"/>
      <x:c r="C630" s="10"/>
      <x:c r="D630" s="10"/>
      <x:c r="E630" s="10"/>
      <x:c r="F630" s="10"/>
      <x:c r="G630" s="10"/>
      <x:c r="H630" s="10"/>
      <x:c r="I630" s="10"/>
      <x:c r="J630" s="10"/>
    </x:row>
    <x:row r="631" ht="14.25" customHeight="1">
      <x:c r="A631" s="10"/>
      <x:c r="B631" s="10"/>
      <x:c r="C631" s="10"/>
      <x:c r="D631" s="10"/>
      <x:c r="E631" s="10"/>
      <x:c r="F631" s="10"/>
      <x:c r="G631" s="10"/>
      <x:c r="H631" s="10"/>
      <x:c r="I631" s="10"/>
      <x:c r="J631" s="10"/>
    </x:row>
    <x:row r="632" ht="14.25" customHeight="1">
      <x:c r="A632" s="10"/>
      <x:c r="B632" s="10"/>
      <x:c r="C632" s="10"/>
      <x:c r="D632" s="10"/>
      <x:c r="E632" s="10"/>
      <x:c r="F632" s="10"/>
      <x:c r="G632" s="10"/>
      <x:c r="H632" s="10"/>
      <x:c r="I632" s="10"/>
      <x:c r="J632" s="10"/>
    </x:row>
    <x:row r="633" ht="14.25" customHeight="1">
      <x:c r="A633" s="10"/>
      <x:c r="B633" s="10"/>
      <x:c r="C633" s="10"/>
      <x:c r="D633" s="10"/>
      <x:c r="E633" s="10"/>
      <x:c r="F633" s="10"/>
      <x:c r="G633" s="10"/>
      <x:c r="H633" s="10"/>
      <x:c r="I633" s="10"/>
      <x:c r="J633" s="10"/>
    </x:row>
    <x:row r="634" ht="14.25" customHeight="1">
      <x:c r="A634" s="10"/>
      <x:c r="B634" s="10"/>
      <x:c r="C634" s="10"/>
      <x:c r="D634" s="10"/>
      <x:c r="E634" s="10"/>
      <x:c r="F634" s="10"/>
      <x:c r="G634" s="10"/>
      <x:c r="H634" s="10"/>
      <x:c r="I634" s="10"/>
      <x:c r="J634" s="10"/>
    </x:row>
    <x:row r="635" ht="14.25" customHeight="1">
      <x:c r="A635" s="10"/>
      <x:c r="B635" s="10"/>
      <x:c r="C635" s="10"/>
      <x:c r="D635" s="10"/>
      <x:c r="E635" s="10"/>
      <x:c r="F635" s="10"/>
      <x:c r="G635" s="10"/>
      <x:c r="H635" s="10"/>
      <x:c r="I635" s="10"/>
      <x:c r="J635" s="10"/>
    </x:row>
    <x:row r="636" ht="14.25" customHeight="1">
      <x:c r="A636" s="10"/>
      <x:c r="B636" s="10"/>
      <x:c r="C636" s="10"/>
      <x:c r="D636" s="10"/>
      <x:c r="E636" s="10"/>
      <x:c r="F636" s="10"/>
      <x:c r="G636" s="10"/>
      <x:c r="H636" s="10"/>
      <x:c r="I636" s="10"/>
      <x:c r="J636" s="10"/>
    </x:row>
    <x:row r="637" ht="14.25" customHeight="1">
      <x:c r="A637" s="10"/>
      <x:c r="B637" s="10"/>
      <x:c r="C637" s="10"/>
      <x:c r="D637" s="10"/>
      <x:c r="E637" s="10"/>
      <x:c r="F637" s="10"/>
      <x:c r="G637" s="10"/>
      <x:c r="H637" s="10"/>
      <x:c r="I637" s="10"/>
      <x:c r="J637" s="10"/>
    </x:row>
    <x:row r="638" ht="14.25" customHeight="1">
      <x:c r="A638" s="10"/>
      <x:c r="B638" s="10"/>
      <x:c r="C638" s="10"/>
      <x:c r="D638" s="10"/>
      <x:c r="E638" s="10"/>
      <x:c r="F638" s="10"/>
      <x:c r="G638" s="10"/>
      <x:c r="H638" s="10"/>
      <x:c r="I638" s="10"/>
      <x:c r="J638" s="10"/>
    </x:row>
    <x:row r="639" ht="14.25" customHeight="1">
      <x:c r="A639" s="10"/>
      <x:c r="B639" s="10"/>
      <x:c r="C639" s="10"/>
      <x:c r="D639" s="10"/>
      <x:c r="E639" s="10"/>
      <x:c r="F639" s="10"/>
      <x:c r="G639" s="10"/>
      <x:c r="H639" s="10"/>
      <x:c r="I639" s="10"/>
      <x:c r="J639" s="10"/>
    </x:row>
    <x:row r="640" ht="14.25" customHeight="1">
      <x:c r="A640" s="10"/>
      <x:c r="B640" s="10"/>
      <x:c r="C640" s="10"/>
      <x:c r="D640" s="10"/>
      <x:c r="E640" s="10"/>
      <x:c r="F640" s="10"/>
      <x:c r="G640" s="10"/>
      <x:c r="H640" s="10"/>
      <x:c r="I640" s="10"/>
      <x:c r="J640" s="10"/>
    </x:row>
    <x:row r="641" ht="14.25" customHeight="1">
      <x:c r="A641" s="10"/>
      <x:c r="B641" s="10"/>
      <x:c r="C641" s="10"/>
      <x:c r="D641" s="10"/>
      <x:c r="E641" s="10"/>
      <x:c r="F641" s="10"/>
      <x:c r="G641" s="10"/>
      <x:c r="H641" s="10"/>
      <x:c r="I641" s="10"/>
      <x:c r="J641" s="10"/>
    </x:row>
    <x:row r="642" ht="14.25" customHeight="1">
      <x:c r="A642" s="10"/>
      <x:c r="B642" s="10"/>
      <x:c r="C642" s="10"/>
      <x:c r="D642" s="10"/>
      <x:c r="E642" s="10"/>
      <x:c r="F642" s="10"/>
      <x:c r="G642" s="10"/>
      <x:c r="H642" s="10"/>
      <x:c r="I642" s="10"/>
      <x:c r="J642" s="10"/>
    </x:row>
    <x:row r="643" ht="14.25" customHeight="1">
      <x:c r="A643" s="10"/>
      <x:c r="B643" s="10"/>
      <x:c r="C643" s="10"/>
      <x:c r="D643" s="10"/>
      <x:c r="E643" s="10"/>
      <x:c r="F643" s="10"/>
      <x:c r="G643" s="10"/>
      <x:c r="H643" s="10"/>
      <x:c r="I643" s="10"/>
      <x:c r="J643" s="10"/>
    </x:row>
    <x:row r="644" ht="14.25" customHeight="1">
      <x:c r="A644" s="10"/>
      <x:c r="B644" s="10"/>
      <x:c r="C644" s="10"/>
      <x:c r="D644" s="10"/>
      <x:c r="E644" s="10"/>
      <x:c r="F644" s="10"/>
      <x:c r="G644" s="10"/>
      <x:c r="H644" s="10"/>
      <x:c r="I644" s="10"/>
      <x:c r="J644" s="10"/>
    </x:row>
    <x:row r="645" ht="14.25" customHeight="1">
      <x:c r="A645" s="10"/>
      <x:c r="B645" s="10"/>
      <x:c r="C645" s="10"/>
      <x:c r="D645" s="10"/>
      <x:c r="E645" s="10"/>
      <x:c r="F645" s="10"/>
      <x:c r="G645" s="10"/>
      <x:c r="H645" s="10"/>
      <x:c r="I645" s="10"/>
      <x:c r="J645" s="10"/>
    </x:row>
    <x:row r="646" ht="14.25" customHeight="1">
      <x:c r="A646" s="10"/>
      <x:c r="B646" s="10"/>
      <x:c r="C646" s="10"/>
      <x:c r="D646" s="10"/>
      <x:c r="E646" s="10"/>
      <x:c r="F646" s="10"/>
      <x:c r="G646" s="10"/>
      <x:c r="H646" s="10"/>
      <x:c r="I646" s="10"/>
      <x:c r="J646" s="10"/>
    </x:row>
    <x:row r="647" ht="14.25" customHeight="1">
      <x:c r="A647" s="10"/>
      <x:c r="B647" s="10"/>
      <x:c r="C647" s="10"/>
      <x:c r="D647" s="10"/>
      <x:c r="E647" s="10"/>
      <x:c r="F647" s="10"/>
      <x:c r="G647" s="10"/>
      <x:c r="H647" s="10"/>
      <x:c r="I647" s="10"/>
      <x:c r="J647" s="10"/>
    </x:row>
    <x:row r="648" ht="14.25" customHeight="1">
      <x:c r="A648" s="10"/>
      <x:c r="B648" s="10"/>
      <x:c r="C648" s="10"/>
      <x:c r="D648" s="10"/>
      <x:c r="E648" s="10"/>
      <x:c r="F648" s="10"/>
      <x:c r="G648" s="10"/>
      <x:c r="H648" s="10"/>
      <x:c r="I648" s="10"/>
      <x:c r="J648" s="10"/>
    </x:row>
    <x:row r="649" ht="14.25" customHeight="1">
      <x:c r="A649" s="10"/>
      <x:c r="B649" s="10"/>
      <x:c r="C649" s="10"/>
      <x:c r="D649" s="10"/>
      <x:c r="E649" s="10"/>
      <x:c r="F649" s="10"/>
      <x:c r="G649" s="10"/>
      <x:c r="H649" s="10"/>
      <x:c r="I649" s="10"/>
      <x:c r="J649" s="10"/>
    </x:row>
    <x:row r="650" ht="14.25" customHeight="1">
      <x:c r="A650" s="10"/>
      <x:c r="B650" s="10"/>
      <x:c r="C650" s="10"/>
      <x:c r="D650" s="10"/>
      <x:c r="E650" s="10"/>
      <x:c r="F650" s="10"/>
      <x:c r="G650" s="10"/>
      <x:c r="H650" s="10"/>
      <x:c r="I650" s="10"/>
      <x:c r="J650" s="10"/>
    </x:row>
    <x:row r="651" ht="14.25" customHeight="1">
      <x:c r="A651" s="10"/>
      <x:c r="B651" s="10"/>
      <x:c r="C651" s="10"/>
      <x:c r="D651" s="10"/>
      <x:c r="E651" s="10"/>
      <x:c r="F651" s="10"/>
      <x:c r="G651" s="10"/>
      <x:c r="H651" s="10"/>
      <x:c r="I651" s="10"/>
      <x:c r="J651" s="10"/>
    </x:row>
    <x:row r="652" ht="14.25" customHeight="1">
      <x:c r="A652" s="10"/>
      <x:c r="B652" s="10"/>
      <x:c r="C652" s="10"/>
      <x:c r="D652" s="10"/>
      <x:c r="E652" s="10"/>
      <x:c r="F652" s="10"/>
      <x:c r="G652" s="10"/>
      <x:c r="H652" s="10"/>
      <x:c r="I652" s="10"/>
      <x:c r="J652" s="10"/>
    </x:row>
    <x:row r="653" ht="14.25" customHeight="1">
      <x:c r="A653" s="10"/>
      <x:c r="B653" s="10"/>
      <x:c r="C653" s="10"/>
      <x:c r="D653" s="10"/>
      <x:c r="E653" s="10"/>
      <x:c r="F653" s="10"/>
      <x:c r="G653" s="10"/>
      <x:c r="H653" s="10"/>
      <x:c r="I653" s="10"/>
      <x:c r="J653" s="10"/>
    </x:row>
    <x:row r="654" ht="14.25" customHeight="1">
      <x:c r="A654" s="10"/>
      <x:c r="B654" s="10"/>
      <x:c r="C654" s="10"/>
      <x:c r="D654" s="10"/>
      <x:c r="E654" s="10"/>
      <x:c r="F654" s="10"/>
      <x:c r="G654" s="10"/>
      <x:c r="H654" s="10"/>
      <x:c r="I654" s="10"/>
      <x:c r="J654" s="10"/>
    </x:row>
    <x:row r="655" ht="14.25" customHeight="1">
      <x:c r="A655" s="10"/>
      <x:c r="B655" s="10"/>
      <x:c r="C655" s="10"/>
      <x:c r="D655" s="10"/>
      <x:c r="E655" s="10"/>
      <x:c r="F655" s="10"/>
      <x:c r="G655" s="10"/>
      <x:c r="H655" s="10"/>
      <x:c r="I655" s="10"/>
      <x:c r="J655" s="10"/>
    </x:row>
    <x:row r="656" ht="14.25" customHeight="1">
      <x:c r="A656" s="10"/>
      <x:c r="B656" s="10"/>
      <x:c r="C656" s="10"/>
      <x:c r="D656" s="10"/>
      <x:c r="E656" s="10"/>
      <x:c r="F656" s="10"/>
      <x:c r="G656" s="10"/>
      <x:c r="H656" s="10"/>
      <x:c r="I656" s="10"/>
      <x:c r="J656" s="10"/>
    </x:row>
    <x:row r="657" ht="14.25" customHeight="1">
      <x:c r="A657" s="10"/>
      <x:c r="B657" s="10"/>
      <x:c r="C657" s="10"/>
      <x:c r="D657" s="10"/>
      <x:c r="E657" s="10"/>
      <x:c r="F657" s="10"/>
      <x:c r="G657" s="10"/>
      <x:c r="H657" s="10"/>
      <x:c r="I657" s="10"/>
      <x:c r="J657" s="10"/>
    </x:row>
    <x:row r="658" ht="14.25" customHeight="1">
      <x:c r="A658" s="10"/>
      <x:c r="B658" s="10"/>
      <x:c r="C658" s="10"/>
      <x:c r="D658" s="10"/>
      <x:c r="E658" s="10"/>
      <x:c r="F658" s="10"/>
      <x:c r="G658" s="10"/>
      <x:c r="H658" s="10"/>
      <x:c r="I658" s="10"/>
      <x:c r="J658" s="10"/>
    </x:row>
    <x:row r="659" ht="14.25" customHeight="1">
      <x:c r="A659" s="10"/>
      <x:c r="B659" s="10"/>
      <x:c r="C659" s="10"/>
      <x:c r="D659" s="10"/>
      <x:c r="E659" s="10"/>
      <x:c r="F659" s="10"/>
      <x:c r="G659" s="10"/>
      <x:c r="H659" s="10"/>
      <x:c r="I659" s="10"/>
      <x:c r="J659" s="10"/>
    </x:row>
    <x:row r="660" ht="14.25" customHeight="1">
      <x:c r="A660" s="10"/>
      <x:c r="B660" s="10"/>
      <x:c r="C660" s="10"/>
      <x:c r="D660" s="10"/>
      <x:c r="E660" s="10"/>
      <x:c r="F660" s="10"/>
      <x:c r="G660" s="10"/>
      <x:c r="H660" s="10"/>
      <x:c r="I660" s="10"/>
      <x:c r="J660" s="10"/>
    </x:row>
    <x:row r="661" ht="14.25" customHeight="1">
      <x:c r="A661" s="10"/>
      <x:c r="B661" s="10"/>
      <x:c r="C661" s="10"/>
      <x:c r="D661" s="10"/>
      <x:c r="E661" s="10"/>
      <x:c r="F661" s="10"/>
      <x:c r="G661" s="10"/>
      <x:c r="H661" s="10"/>
      <x:c r="I661" s="10"/>
      <x:c r="J661" s="10"/>
    </x:row>
    <x:row r="662" ht="14.25" customHeight="1">
      <x:c r="A662" s="10"/>
      <x:c r="B662" s="10"/>
      <x:c r="C662" s="10"/>
      <x:c r="D662" s="10"/>
      <x:c r="E662" s="10"/>
      <x:c r="F662" s="10"/>
      <x:c r="G662" s="10"/>
      <x:c r="H662" s="10"/>
      <x:c r="I662" s="10"/>
      <x:c r="J662" s="10"/>
    </x:row>
    <x:row r="663" ht="14.25" customHeight="1">
      <x:c r="A663" s="10"/>
      <x:c r="B663" s="10"/>
      <x:c r="C663" s="10"/>
      <x:c r="D663" s="10"/>
      <x:c r="E663" s="10"/>
      <x:c r="F663" s="10"/>
      <x:c r="G663" s="10"/>
      <x:c r="H663" s="10"/>
      <x:c r="I663" s="10"/>
      <x:c r="J663" s="10"/>
    </x:row>
    <x:row r="664" ht="14.25" customHeight="1">
      <x:c r="A664" s="10"/>
      <x:c r="B664" s="10"/>
      <x:c r="C664" s="10"/>
      <x:c r="D664" s="10"/>
      <x:c r="E664" s="10"/>
      <x:c r="F664" s="10"/>
      <x:c r="G664" s="10"/>
      <x:c r="H664" s="10"/>
      <x:c r="I664" s="10"/>
      <x:c r="J664" s="10"/>
    </x:row>
    <x:row r="665" ht="14.25" customHeight="1">
      <x:c r="A665" s="10"/>
      <x:c r="B665" s="10"/>
      <x:c r="C665" s="10"/>
      <x:c r="D665" s="10"/>
      <x:c r="E665" s="10"/>
      <x:c r="F665" s="10"/>
      <x:c r="G665" s="10"/>
      <x:c r="H665" s="10"/>
      <x:c r="I665" s="10"/>
      <x:c r="J665" s="10"/>
    </x:row>
    <x:row r="666" ht="14.25" customHeight="1">
      <x:c r="A666" s="10"/>
      <x:c r="B666" s="10"/>
      <x:c r="C666" s="10"/>
      <x:c r="D666" s="10"/>
      <x:c r="E666" s="10"/>
      <x:c r="F666" s="10"/>
      <x:c r="G666" s="10"/>
      <x:c r="H666" s="10"/>
      <x:c r="I666" s="10"/>
      <x:c r="J666" s="10"/>
    </x:row>
    <x:row r="667" ht="14.25" customHeight="1">
      <x:c r="A667" s="10"/>
      <x:c r="B667" s="10"/>
      <x:c r="C667" s="10"/>
      <x:c r="D667" s="10"/>
      <x:c r="E667" s="10"/>
      <x:c r="F667" s="10"/>
      <x:c r="G667" s="10"/>
      <x:c r="H667" s="10"/>
      <x:c r="I667" s="10"/>
      <x:c r="J667" s="10"/>
    </x:row>
    <x:row r="668" ht="14.25" customHeight="1">
      <x:c r="A668" s="10"/>
      <x:c r="B668" s="10"/>
      <x:c r="C668" s="10"/>
      <x:c r="D668" s="10"/>
      <x:c r="E668" s="10"/>
      <x:c r="F668" s="10"/>
      <x:c r="G668" s="10"/>
      <x:c r="H668" s="10"/>
      <x:c r="I668" s="10"/>
      <x:c r="J668" s="10"/>
    </x:row>
    <x:row r="669" ht="14.25" customHeight="1">
      <x:c r="A669" s="10"/>
      <x:c r="B669" s="10"/>
      <x:c r="C669" s="10"/>
      <x:c r="D669" s="10"/>
      <x:c r="E669" s="10"/>
      <x:c r="F669" s="10"/>
      <x:c r="G669" s="10"/>
      <x:c r="H669" s="10"/>
      <x:c r="I669" s="10"/>
      <x:c r="J669" s="10"/>
    </x:row>
    <x:row r="670" ht="14.25" customHeight="1">
      <x:c r="A670" s="10"/>
      <x:c r="B670" s="10"/>
      <x:c r="C670" s="10"/>
      <x:c r="D670" s="10"/>
      <x:c r="E670" s="10"/>
      <x:c r="F670" s="10"/>
      <x:c r="G670" s="10"/>
      <x:c r="H670" s="10"/>
      <x:c r="I670" s="10"/>
      <x:c r="J670" s="10"/>
    </x:row>
    <x:row r="671" ht="14.25" customHeight="1">
      <x:c r="A671" s="10"/>
      <x:c r="B671" s="10"/>
      <x:c r="C671" s="10"/>
      <x:c r="D671" s="10"/>
      <x:c r="E671" s="10"/>
      <x:c r="F671" s="10"/>
      <x:c r="G671" s="10"/>
      <x:c r="H671" s="10"/>
      <x:c r="I671" s="10"/>
      <x:c r="J671" s="10"/>
    </x:row>
    <x:row r="672" ht="14.25" customHeight="1">
      <x:c r="A672" s="10"/>
      <x:c r="B672" s="10"/>
      <x:c r="C672" s="10"/>
      <x:c r="D672" s="10"/>
      <x:c r="E672" s="10"/>
      <x:c r="F672" s="10"/>
      <x:c r="G672" s="10"/>
      <x:c r="H672" s="10"/>
      <x:c r="I672" s="10"/>
      <x:c r="J672" s="10"/>
    </x:row>
    <x:row r="673" ht="14.25" customHeight="1">
      <x:c r="A673" s="10"/>
      <x:c r="B673" s="10"/>
      <x:c r="C673" s="10"/>
      <x:c r="D673" s="10"/>
      <x:c r="E673" s="10"/>
      <x:c r="F673" s="10"/>
      <x:c r="G673" s="10"/>
      <x:c r="H673" s="10"/>
      <x:c r="I673" s="10"/>
      <x:c r="J673" s="10"/>
    </x:row>
    <x:row r="674" ht="14.25" customHeight="1">
      <x:c r="A674" s="10"/>
      <x:c r="B674" s="10"/>
      <x:c r="C674" s="10"/>
      <x:c r="D674" s="10"/>
      <x:c r="E674" s="10"/>
      <x:c r="F674" s="10"/>
      <x:c r="G674" s="10"/>
      <x:c r="H674" s="10"/>
      <x:c r="I674" s="10"/>
      <x:c r="J674" s="10"/>
    </x:row>
    <x:row r="675" ht="14.25" customHeight="1">
      <x:c r="A675" s="10"/>
      <x:c r="B675" s="10"/>
      <x:c r="C675" s="10"/>
      <x:c r="D675" s="10"/>
      <x:c r="E675" s="10"/>
      <x:c r="F675" s="10"/>
      <x:c r="G675" s="10"/>
      <x:c r="H675" s="10"/>
      <x:c r="I675" s="10"/>
      <x:c r="J675" s="10"/>
    </x:row>
    <x:row r="676" ht="14.25" customHeight="1">
      <x:c r="A676" s="10"/>
      <x:c r="B676" s="10"/>
      <x:c r="C676" s="10"/>
      <x:c r="D676" s="10"/>
      <x:c r="E676" s="10"/>
      <x:c r="F676" s="10"/>
      <x:c r="G676" s="10"/>
      <x:c r="H676" s="10"/>
      <x:c r="I676" s="10"/>
      <x:c r="J676" s="10"/>
    </x:row>
    <x:row r="677" ht="14.25" customHeight="1">
      <x:c r="A677" s="10"/>
      <x:c r="B677" s="10"/>
      <x:c r="C677" s="10"/>
      <x:c r="D677" s="10"/>
      <x:c r="E677" s="10"/>
      <x:c r="F677" s="10"/>
      <x:c r="G677" s="10"/>
      <x:c r="H677" s="10"/>
      <x:c r="I677" s="10"/>
      <x:c r="J677" s="10"/>
    </x:row>
    <x:row r="678" ht="14.25" customHeight="1">
      <x:c r="A678" s="10"/>
      <x:c r="B678" s="10"/>
      <x:c r="C678" s="10"/>
      <x:c r="D678" s="10"/>
      <x:c r="E678" s="10"/>
      <x:c r="F678" s="10"/>
      <x:c r="G678" s="10"/>
      <x:c r="H678" s="10"/>
      <x:c r="I678" s="10"/>
      <x:c r="J678" s="10"/>
    </x:row>
    <x:row r="679" ht="14.25" customHeight="1">
      <x:c r="A679" s="10"/>
      <x:c r="B679" s="10"/>
      <x:c r="C679" s="10"/>
      <x:c r="D679" s="10"/>
      <x:c r="E679" s="10"/>
      <x:c r="F679" s="10"/>
      <x:c r="G679" s="10"/>
      <x:c r="H679" s="10"/>
      <x:c r="I679" s="10"/>
      <x:c r="J679" s="10"/>
    </x:row>
    <x:row r="680" ht="14.25" customHeight="1">
      <x:c r="A680" s="10"/>
      <x:c r="B680" s="10"/>
      <x:c r="C680" s="10"/>
      <x:c r="D680" s="10"/>
      <x:c r="E680" s="10"/>
      <x:c r="F680" s="10"/>
      <x:c r="G680" s="10"/>
      <x:c r="H680" s="10"/>
      <x:c r="I680" s="10"/>
      <x:c r="J680" s="10"/>
    </x:row>
    <x:row r="681" ht="14.25" customHeight="1">
      <x:c r="A681" s="10"/>
      <x:c r="B681" s="10"/>
      <x:c r="C681" s="10"/>
      <x:c r="D681" s="10"/>
      <x:c r="E681" s="10"/>
      <x:c r="F681" s="10"/>
      <x:c r="G681" s="10"/>
      <x:c r="H681" s="10"/>
      <x:c r="I681" s="10"/>
      <x:c r="J681" s="10"/>
    </x:row>
    <x:row r="682" ht="14.25" customHeight="1">
      <x:c r="A682" s="10"/>
      <x:c r="B682" s="10"/>
      <x:c r="C682" s="10"/>
      <x:c r="D682" s="10"/>
      <x:c r="E682" s="10"/>
      <x:c r="F682" s="10"/>
      <x:c r="G682" s="10"/>
      <x:c r="H682" s="10"/>
      <x:c r="I682" s="10"/>
      <x:c r="J682" s="10"/>
    </x:row>
    <x:row r="683" ht="14.25" customHeight="1">
      <x:c r="A683" s="10"/>
      <x:c r="B683" s="10"/>
      <x:c r="C683" s="10"/>
      <x:c r="D683" s="10"/>
      <x:c r="E683" s="10"/>
      <x:c r="F683" s="10"/>
      <x:c r="G683" s="10"/>
      <x:c r="H683" s="10"/>
      <x:c r="I683" s="10"/>
      <x:c r="J683" s="10"/>
    </x:row>
    <x:row r="684" ht="14.25" customHeight="1">
      <x:c r="A684" s="10"/>
      <x:c r="B684" s="10"/>
      <x:c r="C684" s="10"/>
      <x:c r="D684" s="10"/>
      <x:c r="E684" s="10"/>
      <x:c r="F684" s="10"/>
      <x:c r="G684" s="10"/>
      <x:c r="H684" s="10"/>
      <x:c r="I684" s="10"/>
      <x:c r="J684" s="10"/>
    </x:row>
    <x:row r="685" ht="14.25" customHeight="1">
      <x:c r="A685" s="10"/>
      <x:c r="B685" s="10"/>
      <x:c r="C685" s="10"/>
      <x:c r="D685" s="10"/>
      <x:c r="E685" s="10"/>
      <x:c r="F685" s="10"/>
      <x:c r="G685" s="10"/>
      <x:c r="H685" s="10"/>
      <x:c r="I685" s="10"/>
      <x:c r="J685" s="10"/>
    </x:row>
    <x:row r="686" ht="14.25" customHeight="1">
      <x:c r="A686" s="10"/>
      <x:c r="B686" s="10"/>
      <x:c r="C686" s="10"/>
      <x:c r="D686" s="10"/>
      <x:c r="E686" s="10"/>
      <x:c r="F686" s="10"/>
      <x:c r="G686" s="10"/>
      <x:c r="H686" s="10"/>
      <x:c r="I686" s="10"/>
      <x:c r="J686" s="10"/>
    </x:row>
    <x:row r="687" ht="14.25" customHeight="1">
      <x:c r="A687" s="10"/>
      <x:c r="B687" s="10"/>
      <x:c r="C687" s="10"/>
      <x:c r="D687" s="10"/>
      <x:c r="E687" s="10"/>
      <x:c r="F687" s="10"/>
      <x:c r="G687" s="10"/>
      <x:c r="H687" s="10"/>
      <x:c r="I687" s="10"/>
      <x:c r="J687" s="10"/>
    </x:row>
    <x:row r="688" ht="14.25" customHeight="1">
      <x:c r="A688" s="10"/>
      <x:c r="B688" s="10"/>
      <x:c r="C688" s="10"/>
      <x:c r="D688" s="10"/>
      <x:c r="E688" s="10"/>
      <x:c r="F688" s="10"/>
      <x:c r="G688" s="10"/>
      <x:c r="H688" s="10"/>
      <x:c r="I688" s="10"/>
      <x:c r="J688" s="10"/>
    </x:row>
    <x:row r="689" ht="14.25" customHeight="1">
      <x:c r="A689" s="10"/>
      <x:c r="B689" s="10"/>
      <x:c r="C689" s="10"/>
      <x:c r="D689" s="10"/>
      <x:c r="E689" s="10"/>
      <x:c r="F689" s="10"/>
      <x:c r="G689" s="10"/>
      <x:c r="H689" s="10"/>
      <x:c r="I689" s="10"/>
      <x:c r="J689" s="10"/>
    </x:row>
    <x:row r="690" ht="14.25" customHeight="1">
      <x:c r="A690" s="10"/>
      <x:c r="B690" s="10"/>
      <x:c r="C690" s="10"/>
      <x:c r="D690" s="10"/>
      <x:c r="E690" s="10"/>
      <x:c r="F690" s="10"/>
      <x:c r="G690" s="10"/>
      <x:c r="H690" s="10"/>
      <x:c r="I690" s="10"/>
      <x:c r="J690" s="10"/>
    </x:row>
    <x:row r="691" ht="14.25" customHeight="1">
      <x:c r="A691" s="10"/>
      <x:c r="B691" s="10"/>
      <x:c r="C691" s="10"/>
      <x:c r="D691" s="10"/>
      <x:c r="E691" s="10"/>
      <x:c r="F691" s="10"/>
      <x:c r="G691" s="10"/>
      <x:c r="H691" s="10"/>
      <x:c r="I691" s="10"/>
      <x:c r="J691" s="10"/>
    </x:row>
    <x:row r="692" ht="14.25" customHeight="1">
      <x:c r="A692" s="10"/>
      <x:c r="B692" s="10"/>
      <x:c r="C692" s="10"/>
      <x:c r="D692" s="10"/>
      <x:c r="E692" s="10"/>
      <x:c r="F692" s="10"/>
      <x:c r="G692" s="10"/>
      <x:c r="H692" s="10"/>
      <x:c r="I692" s="10"/>
      <x:c r="J692" s="10"/>
    </x:row>
    <x:row r="693" ht="14.25" customHeight="1">
      <x:c r="A693" s="10"/>
      <x:c r="B693" s="10"/>
      <x:c r="C693" s="10"/>
      <x:c r="D693" s="10"/>
      <x:c r="E693" s="10"/>
      <x:c r="F693" s="10"/>
      <x:c r="G693" s="10"/>
      <x:c r="H693" s="10"/>
      <x:c r="I693" s="10"/>
      <x:c r="J693" s="10"/>
    </x:row>
    <x:row r="694" ht="14.25" customHeight="1">
      <x:c r="A694" s="10"/>
      <x:c r="B694" s="10"/>
      <x:c r="C694" s="10"/>
      <x:c r="D694" s="10"/>
      <x:c r="E694" s="10"/>
      <x:c r="F694" s="10"/>
      <x:c r="G694" s="10"/>
      <x:c r="H694" s="10"/>
      <x:c r="I694" s="10"/>
      <x:c r="J694" s="10"/>
    </x:row>
    <x:row r="695" ht="14.25" customHeight="1">
      <x:c r="A695" s="10"/>
      <x:c r="B695" s="10"/>
      <x:c r="C695" s="10"/>
      <x:c r="D695" s="10"/>
      <x:c r="E695" s="10"/>
      <x:c r="F695" s="10"/>
      <x:c r="G695" s="10"/>
      <x:c r="H695" s="10"/>
      <x:c r="I695" s="10"/>
      <x:c r="J695" s="10"/>
    </x:row>
    <x:row r="696" ht="14.25" customHeight="1">
      <x:c r="A696" s="10"/>
      <x:c r="B696" s="10"/>
      <x:c r="C696" s="10"/>
      <x:c r="D696" s="10"/>
      <x:c r="E696" s="10"/>
      <x:c r="F696" s="10"/>
      <x:c r="G696" s="10"/>
      <x:c r="H696" s="10"/>
      <x:c r="I696" s="10"/>
      <x:c r="J696" s="10"/>
    </x:row>
    <x:row r="697" ht="14.25" customHeight="1">
      <x:c r="A697" s="10"/>
      <x:c r="B697" s="10"/>
      <x:c r="C697" s="10"/>
      <x:c r="D697" s="10"/>
      <x:c r="E697" s="10"/>
      <x:c r="F697" s="10"/>
      <x:c r="G697" s="10"/>
      <x:c r="H697" s="10"/>
      <x:c r="I697" s="10"/>
      <x:c r="J697" s="10"/>
    </x:row>
    <x:row r="698" ht="14.25" customHeight="1">
      <x:c r="A698" s="10"/>
      <x:c r="B698" s="10"/>
      <x:c r="C698" s="10"/>
      <x:c r="D698" s="10"/>
      <x:c r="E698" s="10"/>
      <x:c r="F698" s="10"/>
      <x:c r="G698" s="10"/>
      <x:c r="H698" s="10"/>
      <x:c r="I698" s="10"/>
      <x:c r="J698" s="10"/>
    </x:row>
    <x:row r="699" ht="14.25" customHeight="1">
      <x:c r="A699" s="10"/>
      <x:c r="B699" s="10"/>
      <x:c r="C699" s="10"/>
      <x:c r="D699" s="10"/>
      <x:c r="E699" s="10"/>
      <x:c r="F699" s="10"/>
      <x:c r="G699" s="10"/>
      <x:c r="H699" s="10"/>
      <x:c r="I699" s="10"/>
      <x:c r="J699" s="10"/>
    </x:row>
    <x:row r="700" ht="14.25" customHeight="1">
      <x:c r="A700" s="10"/>
      <x:c r="B700" s="10"/>
      <x:c r="C700" s="10"/>
      <x:c r="D700" s="10"/>
      <x:c r="E700" s="10"/>
      <x:c r="F700" s="10"/>
      <x:c r="G700" s="10"/>
      <x:c r="H700" s="10"/>
      <x:c r="I700" s="10"/>
      <x:c r="J700" s="10"/>
    </x:row>
    <x:row r="701" ht="14.25" customHeight="1">
      <x:c r="A701" s="10"/>
      <x:c r="B701" s="10"/>
      <x:c r="C701" s="10"/>
      <x:c r="D701" s="10"/>
      <x:c r="E701" s="10"/>
      <x:c r="F701" s="10"/>
      <x:c r="G701" s="10"/>
      <x:c r="H701" s="10"/>
      <x:c r="I701" s="10"/>
      <x:c r="J701" s="10"/>
    </x:row>
    <x:row r="702" ht="14.25" customHeight="1">
      <x:c r="A702" s="10"/>
      <x:c r="B702" s="10"/>
      <x:c r="C702" s="10"/>
      <x:c r="D702" s="10"/>
      <x:c r="E702" s="10"/>
      <x:c r="F702" s="10"/>
      <x:c r="G702" s="10"/>
      <x:c r="H702" s="10"/>
      <x:c r="I702" s="10"/>
      <x:c r="J702" s="10"/>
    </x:row>
    <x:row r="703" ht="14.25" customHeight="1">
      <x:c r="A703" s="10"/>
      <x:c r="B703" s="10"/>
      <x:c r="C703" s="10"/>
      <x:c r="D703" s="10"/>
      <x:c r="E703" s="10"/>
      <x:c r="F703" s="10"/>
      <x:c r="G703" s="10"/>
      <x:c r="H703" s="10"/>
      <x:c r="I703" s="10"/>
      <x:c r="J703" s="10"/>
    </x:row>
    <x:row r="704" ht="14.25" customHeight="1">
      <x:c r="A704" s="10"/>
      <x:c r="B704" s="10"/>
      <x:c r="C704" s="10"/>
      <x:c r="D704" s="10"/>
      <x:c r="E704" s="10"/>
      <x:c r="F704" s="10"/>
      <x:c r="G704" s="10"/>
      <x:c r="H704" s="10"/>
      <x:c r="I704" s="10"/>
      <x:c r="J704" s="10"/>
    </x:row>
    <x:row r="705" ht="14.25" customHeight="1">
      <x:c r="A705" s="10"/>
      <x:c r="B705" s="10"/>
      <x:c r="C705" s="10"/>
      <x:c r="D705" s="10"/>
      <x:c r="E705" s="10"/>
      <x:c r="F705" s="10"/>
      <x:c r="G705" s="10"/>
      <x:c r="H705" s="10"/>
      <x:c r="I705" s="10"/>
      <x:c r="J705" s="10"/>
    </x:row>
    <x:row r="706" ht="14.25" customHeight="1">
      <x:c r="A706" s="10"/>
      <x:c r="B706" s="10"/>
      <x:c r="C706" s="10"/>
      <x:c r="D706" s="10"/>
      <x:c r="E706" s="10"/>
      <x:c r="F706" s="10"/>
      <x:c r="G706" s="10"/>
      <x:c r="H706" s="10"/>
      <x:c r="I706" s="10"/>
      <x:c r="J706" s="10"/>
    </x:row>
    <x:row r="707" ht="14.25" customHeight="1">
      <x:c r="A707" s="10"/>
      <x:c r="B707" s="10"/>
      <x:c r="C707" s="10"/>
      <x:c r="D707" s="10"/>
      <x:c r="E707" s="10"/>
      <x:c r="F707" s="10"/>
      <x:c r="G707" s="10"/>
      <x:c r="H707" s="10"/>
      <x:c r="I707" s="10"/>
      <x:c r="J707" s="10"/>
    </x:row>
    <x:row r="708" ht="14.25" customHeight="1">
      <x:c r="A708" s="10"/>
      <x:c r="B708" s="10"/>
      <x:c r="C708" s="10"/>
      <x:c r="D708" s="10"/>
      <x:c r="E708" s="10"/>
      <x:c r="F708" s="10"/>
      <x:c r="G708" s="10"/>
      <x:c r="H708" s="10"/>
      <x:c r="I708" s="10"/>
      <x:c r="J708" s="10"/>
    </x:row>
    <x:row r="709" ht="14.25" customHeight="1">
      <x:c r="A709" s="10"/>
      <x:c r="B709" s="10"/>
      <x:c r="C709" s="10"/>
      <x:c r="D709" s="10"/>
      <x:c r="E709" s="10"/>
      <x:c r="F709" s="10"/>
      <x:c r="G709" s="10"/>
      <x:c r="H709" s="10"/>
      <x:c r="I709" s="10"/>
      <x:c r="J709" s="10"/>
    </x:row>
    <x:row r="710" ht="14.25" customHeight="1">
      <x:c r="A710" s="10"/>
      <x:c r="B710" s="10"/>
      <x:c r="C710" s="10"/>
      <x:c r="D710" s="10"/>
      <x:c r="E710" s="10"/>
      <x:c r="F710" s="10"/>
      <x:c r="G710" s="10"/>
      <x:c r="H710" s="10"/>
      <x:c r="I710" s="10"/>
      <x:c r="J710" s="10"/>
    </x:row>
    <x:row r="711" ht="14.25" customHeight="1">
      <x:c r="A711" s="10"/>
      <x:c r="B711" s="10"/>
      <x:c r="C711" s="10"/>
      <x:c r="D711" s="10"/>
      <x:c r="E711" s="10"/>
      <x:c r="F711" s="10"/>
      <x:c r="G711" s="10"/>
      <x:c r="H711" s="10"/>
      <x:c r="I711" s="10"/>
      <x:c r="J711" s="10"/>
    </x:row>
    <x:row r="712" ht="14.25" customHeight="1">
      <x:c r="A712" s="10"/>
      <x:c r="B712" s="10"/>
      <x:c r="C712" s="10"/>
      <x:c r="D712" s="10"/>
      <x:c r="E712" s="10"/>
      <x:c r="F712" s="10"/>
      <x:c r="G712" s="10"/>
      <x:c r="H712" s="10"/>
      <x:c r="I712" s="10"/>
      <x:c r="J712" s="10"/>
    </x:row>
    <x:row r="713" ht="14.25" customHeight="1">
      <x:c r="A713" s="10"/>
      <x:c r="B713" s="10"/>
      <x:c r="C713" s="10"/>
      <x:c r="D713" s="10"/>
      <x:c r="E713" s="10"/>
      <x:c r="F713" s="10"/>
      <x:c r="G713" s="10"/>
      <x:c r="H713" s="10"/>
      <x:c r="I713" s="10"/>
      <x:c r="J713" s="10"/>
    </x:row>
    <x:row r="714" ht="14.25" customHeight="1">
      <x:c r="A714" s="10"/>
      <x:c r="B714" s="10"/>
      <x:c r="C714" s="10"/>
      <x:c r="D714" s="10"/>
      <x:c r="E714" s="10"/>
      <x:c r="F714" s="10"/>
      <x:c r="G714" s="10"/>
      <x:c r="H714" s="10"/>
      <x:c r="I714" s="10"/>
      <x:c r="J714" s="10"/>
    </x:row>
    <x:row r="715" ht="14.25" customHeight="1">
      <x:c r="A715" s="10"/>
      <x:c r="B715" s="10"/>
      <x:c r="C715" s="10"/>
      <x:c r="D715" s="10"/>
      <x:c r="E715" s="10"/>
      <x:c r="F715" s="10"/>
      <x:c r="G715" s="10"/>
      <x:c r="H715" s="10"/>
      <x:c r="I715" s="10"/>
      <x:c r="J715" s="10"/>
    </x:row>
    <x:row r="716" ht="14.25" customHeight="1">
      <x:c r="A716" s="10"/>
      <x:c r="B716" s="10"/>
      <x:c r="C716" s="10"/>
      <x:c r="D716" s="10"/>
      <x:c r="E716" s="10"/>
      <x:c r="F716" s="10"/>
      <x:c r="G716" s="10"/>
      <x:c r="H716" s="10"/>
      <x:c r="I716" s="10"/>
      <x:c r="J716" s="10"/>
    </x:row>
    <x:row r="717" ht="14.25" customHeight="1">
      <x:c r="A717" s="10"/>
      <x:c r="B717" s="10"/>
      <x:c r="C717" s="10"/>
      <x:c r="D717" s="10"/>
      <x:c r="E717" s="10"/>
      <x:c r="F717" s="10"/>
      <x:c r="G717" s="10"/>
      <x:c r="H717" s="10"/>
      <x:c r="I717" s="10"/>
      <x:c r="J717" s="10"/>
    </x:row>
    <x:row r="718" ht="14.25" customHeight="1">
      <x:c r="A718" s="10"/>
      <x:c r="B718" s="10"/>
      <x:c r="C718" s="10"/>
      <x:c r="D718" s="10"/>
      <x:c r="E718" s="10"/>
      <x:c r="F718" s="10"/>
      <x:c r="G718" s="10"/>
      <x:c r="H718" s="10"/>
      <x:c r="I718" s="10"/>
      <x:c r="J718" s="10"/>
    </x:row>
    <x:row r="719" ht="14.25" customHeight="1">
      <x:c r="A719" s="10"/>
      <x:c r="B719" s="10"/>
      <x:c r="C719" s="10"/>
      <x:c r="D719" s="10"/>
      <x:c r="E719" s="10"/>
      <x:c r="F719" s="10"/>
      <x:c r="G719" s="10"/>
      <x:c r="H719" s="10"/>
      <x:c r="I719" s="10"/>
      <x:c r="J719" s="10"/>
    </x:row>
    <x:row r="720" ht="14.25" customHeight="1">
      <x:c r="A720" s="10"/>
      <x:c r="B720" s="10"/>
      <x:c r="C720" s="10"/>
      <x:c r="D720" s="10"/>
      <x:c r="E720" s="10"/>
      <x:c r="F720" s="10"/>
      <x:c r="G720" s="10"/>
      <x:c r="H720" s="10"/>
      <x:c r="I720" s="10"/>
      <x:c r="J720" s="10"/>
    </x:row>
    <x:row r="721" ht="14.25" customHeight="1">
      <x:c r="A721" s="10"/>
      <x:c r="B721" s="10"/>
      <x:c r="C721" s="10"/>
      <x:c r="D721" s="10"/>
      <x:c r="E721" s="10"/>
      <x:c r="F721" s="10"/>
      <x:c r="G721" s="10"/>
      <x:c r="H721" s="10"/>
      <x:c r="I721" s="10"/>
      <x:c r="J721" s="10"/>
    </x:row>
    <x:row r="722" ht="14.25" customHeight="1">
      <x:c r="A722" s="10"/>
      <x:c r="B722" s="10"/>
      <x:c r="C722" s="10"/>
      <x:c r="D722" s="10"/>
      <x:c r="E722" s="10"/>
      <x:c r="F722" s="10"/>
      <x:c r="G722" s="10"/>
      <x:c r="H722" s="10"/>
      <x:c r="I722" s="10"/>
      <x:c r="J722" s="10"/>
    </x:row>
    <x:row r="723" ht="14.25" customHeight="1">
      <x:c r="A723" s="10"/>
      <x:c r="B723" s="10"/>
      <x:c r="C723" s="10"/>
      <x:c r="D723" s="10"/>
      <x:c r="E723" s="10"/>
      <x:c r="F723" s="10"/>
      <x:c r="G723" s="10"/>
      <x:c r="H723" s="10"/>
      <x:c r="I723" s="10"/>
      <x:c r="J723" s="10"/>
    </x:row>
    <x:row r="724" ht="14.25" customHeight="1">
      <x:c r="A724" s="10"/>
      <x:c r="B724" s="10"/>
      <x:c r="C724" s="10"/>
      <x:c r="D724" s="10"/>
      <x:c r="E724" s="10"/>
      <x:c r="F724" s="10"/>
      <x:c r="G724" s="10"/>
      <x:c r="H724" s="10"/>
      <x:c r="I724" s="10"/>
      <x:c r="J724" s="10"/>
    </x:row>
    <x:row r="725" ht="14.25" customHeight="1">
      <x:c r="A725" s="10"/>
      <x:c r="B725" s="10"/>
      <x:c r="C725" s="10"/>
      <x:c r="D725" s="10"/>
      <x:c r="E725" s="10"/>
      <x:c r="F725" s="10"/>
      <x:c r="G725" s="10"/>
      <x:c r="H725" s="10"/>
      <x:c r="I725" s="10"/>
      <x:c r="J725" s="10"/>
    </x:row>
    <x:row r="726" ht="14.25" customHeight="1">
      <x:c r="A726" s="10"/>
      <x:c r="B726" s="10"/>
      <x:c r="C726" s="10"/>
      <x:c r="D726" s="10"/>
      <x:c r="E726" s="10"/>
      <x:c r="F726" s="10"/>
      <x:c r="G726" s="10"/>
      <x:c r="H726" s="10"/>
      <x:c r="I726" s="10"/>
      <x:c r="J726" s="10"/>
    </x:row>
    <x:row r="727" ht="14.25" customHeight="1">
      <x:c r="A727" s="10"/>
      <x:c r="B727" s="10"/>
      <x:c r="C727" s="10"/>
      <x:c r="D727" s="10"/>
      <x:c r="E727" s="10"/>
      <x:c r="F727" s="10"/>
      <x:c r="G727" s="10"/>
      <x:c r="H727" s="10"/>
      <x:c r="I727" s="10"/>
      <x:c r="J727" s="10"/>
    </x:row>
    <x:row r="728" ht="14.25" customHeight="1">
      <x:c r="A728" s="10"/>
      <x:c r="B728" s="10"/>
      <x:c r="C728" s="10"/>
      <x:c r="D728" s="10"/>
      <x:c r="E728" s="10"/>
      <x:c r="F728" s="10"/>
      <x:c r="G728" s="10"/>
      <x:c r="H728" s="10"/>
      <x:c r="I728" s="10"/>
      <x:c r="J728" s="10"/>
    </x:row>
    <x:row r="729" ht="14.25" customHeight="1">
      <x:c r="A729" s="10"/>
      <x:c r="B729" s="10"/>
      <x:c r="C729" s="10"/>
      <x:c r="D729" s="10"/>
      <x:c r="E729" s="10"/>
      <x:c r="F729" s="10"/>
      <x:c r="G729" s="10"/>
      <x:c r="H729" s="10"/>
      <x:c r="I729" s="10"/>
      <x:c r="J729" s="10"/>
    </x:row>
    <x:row r="730" ht="14.25" customHeight="1">
      <x:c r="A730" s="10"/>
      <x:c r="B730" s="10"/>
      <x:c r="C730" s="10"/>
      <x:c r="D730" s="10"/>
      <x:c r="E730" s="10"/>
      <x:c r="F730" s="10"/>
      <x:c r="G730" s="10"/>
      <x:c r="H730" s="10"/>
      <x:c r="I730" s="10"/>
      <x:c r="J730" s="10"/>
    </x:row>
    <x:row r="731" ht="14.25" customHeight="1">
      <x:c r="A731" s="10"/>
      <x:c r="B731" s="10"/>
      <x:c r="C731" s="10"/>
      <x:c r="D731" s="10"/>
      <x:c r="E731" s="10"/>
      <x:c r="F731" s="10"/>
      <x:c r="G731" s="10"/>
      <x:c r="H731" s="10"/>
      <x:c r="I731" s="10"/>
      <x:c r="J731" s="10"/>
    </x:row>
    <x:row r="732" ht="14.25" customHeight="1">
      <x:c r="A732" s="10"/>
      <x:c r="B732" s="10"/>
      <x:c r="C732" s="10"/>
      <x:c r="D732" s="10"/>
      <x:c r="E732" s="10"/>
      <x:c r="F732" s="10"/>
      <x:c r="G732" s="10"/>
      <x:c r="H732" s="10"/>
      <x:c r="I732" s="10"/>
      <x:c r="J732" s="10"/>
    </x:row>
    <x:row r="733" ht="14.25" customHeight="1">
      <x:c r="A733" s="10"/>
      <x:c r="B733" s="10"/>
      <x:c r="C733" s="10"/>
      <x:c r="D733" s="10"/>
      <x:c r="E733" s="10"/>
      <x:c r="F733" s="10"/>
      <x:c r="G733" s="10"/>
      <x:c r="H733" s="10"/>
      <x:c r="I733" s="10"/>
      <x:c r="J733" s="10"/>
    </x:row>
    <x:row r="734" ht="14.25" customHeight="1">
      <x:c r="A734" s="10"/>
      <x:c r="B734" s="10"/>
      <x:c r="C734" s="10"/>
      <x:c r="D734" s="10"/>
      <x:c r="E734" s="10"/>
      <x:c r="F734" s="10"/>
      <x:c r="G734" s="10"/>
      <x:c r="H734" s="10"/>
      <x:c r="I734" s="10"/>
      <x:c r="J734" s="10"/>
    </x:row>
    <x:row r="735" ht="14.25" customHeight="1">
      <x:c r="A735" s="10"/>
      <x:c r="B735" s="10"/>
      <x:c r="C735" s="10"/>
      <x:c r="D735" s="10"/>
      <x:c r="E735" s="10"/>
      <x:c r="F735" s="10"/>
      <x:c r="G735" s="10"/>
      <x:c r="H735" s="10"/>
      <x:c r="I735" s="10"/>
      <x:c r="J735" s="10"/>
    </x:row>
    <x:row r="736" ht="14.25" customHeight="1">
      <x:c r="A736" s="10"/>
      <x:c r="B736" s="10"/>
      <x:c r="C736" s="10"/>
      <x:c r="D736" s="10"/>
      <x:c r="E736" s="10"/>
      <x:c r="F736" s="10"/>
      <x:c r="G736" s="10"/>
      <x:c r="H736" s="10"/>
      <x:c r="I736" s="10"/>
      <x:c r="J736" s="10"/>
    </x:row>
    <x:row r="737" ht="14.25" customHeight="1">
      <x:c r="A737" s="10"/>
      <x:c r="B737" s="10"/>
      <x:c r="C737" s="10"/>
      <x:c r="D737" s="10"/>
      <x:c r="E737" s="10"/>
      <x:c r="F737" s="10"/>
      <x:c r="G737" s="10"/>
      <x:c r="H737" s="10"/>
      <x:c r="I737" s="10"/>
      <x:c r="J737" s="10"/>
    </x:row>
    <x:row r="738" ht="14.25" customHeight="1">
      <x:c r="A738" s="10"/>
      <x:c r="B738" s="10"/>
      <x:c r="C738" s="10"/>
      <x:c r="D738" s="10"/>
      <x:c r="E738" s="10"/>
      <x:c r="F738" s="10"/>
      <x:c r="G738" s="10"/>
      <x:c r="H738" s="10"/>
      <x:c r="I738" s="10"/>
      <x:c r="J738" s="10"/>
    </x:row>
    <x:row r="739" ht="14.25" customHeight="1">
      <x:c r="A739" s="10"/>
      <x:c r="B739" s="10"/>
      <x:c r="C739" s="10"/>
      <x:c r="D739" s="10"/>
      <x:c r="E739" s="10"/>
      <x:c r="F739" s="10"/>
      <x:c r="G739" s="10"/>
      <x:c r="H739" s="10"/>
      <x:c r="I739" s="10"/>
      <x:c r="J739" s="10"/>
    </x:row>
    <x:row r="740" ht="14.25" customHeight="1">
      <x:c r="A740" s="10"/>
      <x:c r="B740" s="10"/>
      <x:c r="C740" s="10"/>
      <x:c r="D740" s="10"/>
      <x:c r="E740" s="10"/>
      <x:c r="F740" s="10"/>
      <x:c r="G740" s="10"/>
      <x:c r="H740" s="10"/>
      <x:c r="I740" s="10"/>
      <x:c r="J740" s="10"/>
    </x:row>
    <x:row r="741" ht="14.25" customHeight="1">
      <x:c r="A741" s="10"/>
      <x:c r="B741" s="10"/>
      <x:c r="C741" s="10"/>
      <x:c r="D741" s="10"/>
      <x:c r="E741" s="10"/>
      <x:c r="F741" s="10"/>
      <x:c r="G741" s="10"/>
      <x:c r="H741" s="10"/>
      <x:c r="I741" s="10"/>
      <x:c r="J741" s="10"/>
    </x:row>
    <x:row r="742" ht="14.25" customHeight="1">
      <x:c r="A742" s="10"/>
      <x:c r="B742" s="10"/>
      <x:c r="C742" s="10"/>
      <x:c r="D742" s="10"/>
      <x:c r="E742" s="10"/>
      <x:c r="F742" s="10"/>
      <x:c r="G742" s="10"/>
      <x:c r="H742" s="10"/>
      <x:c r="I742" s="10"/>
      <x:c r="J742" s="10"/>
    </x:row>
    <x:row r="743" ht="14.25" customHeight="1">
      <x:c r="A743" s="10"/>
      <x:c r="B743" s="10"/>
      <x:c r="C743" s="10"/>
      <x:c r="D743" s="10"/>
      <x:c r="E743" s="10"/>
      <x:c r="F743" s="10"/>
      <x:c r="G743" s="10"/>
      <x:c r="H743" s="10"/>
      <x:c r="I743" s="10"/>
      <x:c r="J743" s="10"/>
    </x:row>
    <x:row r="744" ht="14.25" customHeight="1">
      <x:c r="A744" s="10"/>
      <x:c r="B744" s="10"/>
      <x:c r="C744" s="10"/>
      <x:c r="D744" s="10"/>
      <x:c r="E744" s="10"/>
      <x:c r="F744" s="10"/>
      <x:c r="G744" s="10"/>
      <x:c r="H744" s="10"/>
      <x:c r="I744" s="10"/>
      <x:c r="J744" s="10"/>
    </x:row>
    <x:row r="745" ht="14.25" customHeight="1">
      <x:c r="A745" s="10"/>
      <x:c r="B745" s="10"/>
      <x:c r="C745" s="10"/>
      <x:c r="D745" s="10"/>
      <x:c r="E745" s="10"/>
      <x:c r="F745" s="10"/>
      <x:c r="G745" s="10"/>
      <x:c r="H745" s="10"/>
      <x:c r="I745" s="10"/>
      <x:c r="J745" s="10"/>
    </x:row>
    <x:row r="746" ht="14.25" customHeight="1">
      <x:c r="A746" s="10"/>
      <x:c r="B746" s="10"/>
      <x:c r="C746" s="10"/>
      <x:c r="D746" s="10"/>
      <x:c r="E746" s="10"/>
      <x:c r="F746" s="10"/>
      <x:c r="G746" s="10"/>
      <x:c r="H746" s="10"/>
      <x:c r="I746" s="10"/>
      <x:c r="J746" s="10"/>
    </x:row>
    <x:row r="747" ht="14.25" customHeight="1">
      <x:c r="A747" s="10"/>
      <x:c r="B747" s="10"/>
      <x:c r="C747" s="10"/>
      <x:c r="D747" s="10"/>
      <x:c r="E747" s="10"/>
      <x:c r="F747" s="10"/>
      <x:c r="G747" s="10"/>
      <x:c r="H747" s="10"/>
      <x:c r="I747" s="10"/>
      <x:c r="J747" s="10"/>
    </x:row>
    <x:row r="748" ht="14.25" customHeight="1">
      <x:c r="A748" s="10"/>
      <x:c r="B748" s="10"/>
      <x:c r="C748" s="10"/>
      <x:c r="D748" s="10"/>
      <x:c r="E748" s="10"/>
      <x:c r="F748" s="10"/>
      <x:c r="G748" s="10"/>
      <x:c r="H748" s="10"/>
      <x:c r="I748" s="10"/>
      <x:c r="J748" s="10"/>
    </x:row>
    <x:row r="749" ht="14.25" customHeight="1">
      <x:c r="A749" s="10"/>
      <x:c r="B749" s="10"/>
      <x:c r="C749" s="10"/>
      <x:c r="D749" s="10"/>
      <x:c r="E749" s="10"/>
      <x:c r="F749" s="10"/>
      <x:c r="G749" s="10"/>
      <x:c r="H749" s="10"/>
      <x:c r="I749" s="10"/>
      <x:c r="J749" s="10"/>
    </x:row>
    <x:row r="750" ht="14.25" customHeight="1">
      <x:c r="A750" s="10"/>
      <x:c r="B750" s="10"/>
      <x:c r="C750" s="10"/>
      <x:c r="D750" s="10"/>
      <x:c r="E750" s="10"/>
      <x:c r="F750" s="10"/>
      <x:c r="G750" s="10"/>
      <x:c r="H750" s="10"/>
      <x:c r="I750" s="10"/>
      <x:c r="J750" s="10"/>
    </x:row>
    <x:row r="751" ht="14.25" customHeight="1">
      <x:c r="A751" s="10"/>
      <x:c r="B751" s="10"/>
      <x:c r="C751" s="10"/>
      <x:c r="D751" s="10"/>
      <x:c r="E751" s="10"/>
      <x:c r="F751" s="10"/>
      <x:c r="G751" s="10"/>
      <x:c r="H751" s="10"/>
      <x:c r="I751" s="10"/>
      <x:c r="J751" s="10"/>
    </x:row>
    <x:row r="752" ht="14.25" customHeight="1">
      <x:c r="A752" s="10"/>
      <x:c r="B752" s="10"/>
      <x:c r="C752" s="10"/>
      <x:c r="D752" s="10"/>
      <x:c r="E752" s="10"/>
      <x:c r="F752" s="10"/>
      <x:c r="G752" s="10"/>
      <x:c r="H752" s="10"/>
      <x:c r="I752" s="10"/>
      <x:c r="J752" s="10"/>
    </x:row>
    <x:row r="753" ht="14.25" customHeight="1">
      <x:c r="A753" s="10"/>
      <x:c r="B753" s="10"/>
      <x:c r="C753" s="10"/>
      <x:c r="D753" s="10"/>
      <x:c r="E753" s="10"/>
      <x:c r="F753" s="10"/>
      <x:c r="G753" s="10"/>
      <x:c r="H753" s="10"/>
      <x:c r="I753" s="10"/>
      <x:c r="J753" s="10"/>
    </x:row>
    <x:row r="754" ht="14.25" customHeight="1">
      <x:c r="A754" s="10"/>
      <x:c r="B754" s="10"/>
      <x:c r="C754" s="10"/>
      <x:c r="D754" s="10"/>
      <x:c r="E754" s="10"/>
      <x:c r="F754" s="10"/>
      <x:c r="G754" s="10"/>
      <x:c r="H754" s="10"/>
      <x:c r="I754" s="10"/>
      <x:c r="J754" s="10"/>
    </x:row>
    <x:row r="755" ht="14.25" customHeight="1">
      <x:c r="A755" s="10"/>
      <x:c r="B755" s="10"/>
      <x:c r="C755" s="10"/>
      <x:c r="D755" s="10"/>
      <x:c r="E755" s="10"/>
      <x:c r="F755" s="10"/>
      <x:c r="G755" s="10"/>
      <x:c r="H755" s="10"/>
      <x:c r="I755" s="10"/>
      <x:c r="J755" s="10"/>
    </x:row>
    <x:row r="756" ht="14.25" customHeight="1">
      <x:c r="A756" s="10"/>
      <x:c r="B756" s="10"/>
      <x:c r="C756" s="10"/>
      <x:c r="D756" s="10"/>
      <x:c r="E756" s="10"/>
      <x:c r="F756" s="10"/>
      <x:c r="G756" s="10"/>
      <x:c r="H756" s="10"/>
      <x:c r="I756" s="10"/>
      <x:c r="J756" s="10"/>
    </x:row>
    <x:row r="757" ht="14.25" customHeight="1">
      <x:c r="A757" s="10"/>
      <x:c r="B757" s="10"/>
      <x:c r="C757" s="10"/>
      <x:c r="D757" s="10"/>
      <x:c r="E757" s="10"/>
      <x:c r="F757" s="10"/>
      <x:c r="G757" s="10"/>
      <x:c r="H757" s="10"/>
      <x:c r="I757" s="10"/>
      <x:c r="J757" s="10"/>
    </x:row>
    <x:row r="758" ht="14.25" customHeight="1">
      <x:c r="A758" s="10"/>
      <x:c r="B758" s="10"/>
      <x:c r="C758" s="10"/>
      <x:c r="D758" s="10"/>
      <x:c r="E758" s="10"/>
      <x:c r="F758" s="10"/>
      <x:c r="G758" s="10"/>
      <x:c r="H758" s="10"/>
      <x:c r="I758" s="10"/>
      <x:c r="J758" s="10"/>
    </x:row>
    <x:row r="759" ht="14.25" customHeight="1">
      <x:c r="A759" s="10"/>
      <x:c r="B759" s="10"/>
      <x:c r="C759" s="10"/>
      <x:c r="D759" s="10"/>
      <x:c r="E759" s="10"/>
      <x:c r="F759" s="10"/>
      <x:c r="G759" s="10"/>
      <x:c r="H759" s="10"/>
      <x:c r="I759" s="10"/>
      <x:c r="J759" s="10"/>
    </x:row>
    <x:row r="760" ht="14.25" customHeight="1">
      <x:c r="A760" s="10"/>
      <x:c r="B760" s="10"/>
      <x:c r="C760" s="10"/>
      <x:c r="D760" s="10"/>
      <x:c r="E760" s="10"/>
      <x:c r="F760" s="10"/>
      <x:c r="G760" s="10"/>
      <x:c r="H760" s="10"/>
      <x:c r="I760" s="10"/>
      <x:c r="J760" s="10"/>
    </x:row>
    <x:row r="761" ht="14.25" customHeight="1">
      <x:c r="A761" s="10"/>
      <x:c r="B761" s="10"/>
      <x:c r="C761" s="10"/>
      <x:c r="D761" s="10"/>
      <x:c r="E761" s="10"/>
      <x:c r="F761" s="10"/>
      <x:c r="G761" s="10"/>
      <x:c r="H761" s="10"/>
      <x:c r="I761" s="10"/>
      <x:c r="J761" s="10"/>
    </x:row>
    <x:row r="762" ht="14.25" customHeight="1">
      <x:c r="A762" s="10"/>
      <x:c r="B762" s="10"/>
      <x:c r="C762" s="10"/>
      <x:c r="D762" s="10"/>
      <x:c r="E762" s="10"/>
      <x:c r="F762" s="10"/>
      <x:c r="G762" s="10"/>
      <x:c r="H762" s="10"/>
      <x:c r="I762" s="10"/>
      <x:c r="J762" s="10"/>
    </x:row>
    <x:row r="763" ht="14.25" customHeight="1">
      <x:c r="A763" s="10"/>
      <x:c r="B763" s="10"/>
      <x:c r="C763" s="10"/>
      <x:c r="D763" s="10"/>
      <x:c r="E763" s="10"/>
      <x:c r="F763" s="10"/>
      <x:c r="G763" s="10"/>
      <x:c r="H763" s="10"/>
      <x:c r="I763" s="10"/>
      <x:c r="J763" s="10"/>
    </x:row>
    <x:row r="764" ht="14.25" customHeight="1">
      <x:c r="A764" s="10"/>
      <x:c r="B764" s="10"/>
      <x:c r="C764" s="10"/>
      <x:c r="D764" s="10"/>
      <x:c r="E764" s="10"/>
      <x:c r="F764" s="10"/>
      <x:c r="G764" s="10"/>
      <x:c r="H764" s="10"/>
      <x:c r="I764" s="10"/>
      <x:c r="J764" s="10"/>
    </x:row>
    <x:row r="765" ht="14.25" customHeight="1">
      <x:c r="A765" s="10"/>
      <x:c r="B765" s="10"/>
      <x:c r="C765" s="10"/>
      <x:c r="D765" s="10"/>
      <x:c r="E765" s="10"/>
      <x:c r="F765" s="10"/>
      <x:c r="G765" s="10"/>
      <x:c r="H765" s="10"/>
      <x:c r="I765" s="10"/>
      <x:c r="J765" s="10"/>
    </x:row>
    <x:row r="766" ht="14.25" customHeight="1">
      <x:c r="A766" s="10"/>
      <x:c r="B766" s="10"/>
      <x:c r="C766" s="10"/>
      <x:c r="D766" s="10"/>
      <x:c r="E766" s="10"/>
      <x:c r="F766" s="10"/>
      <x:c r="G766" s="10"/>
      <x:c r="H766" s="10"/>
      <x:c r="I766" s="10"/>
      <x:c r="J766" s="10"/>
    </x:row>
    <x:row r="767" ht="14.25" customHeight="1">
      <x:c r="A767" s="10"/>
      <x:c r="B767" s="10"/>
      <x:c r="C767" s="10"/>
      <x:c r="D767" s="10"/>
      <x:c r="E767" s="10"/>
      <x:c r="F767" s="10"/>
      <x:c r="G767" s="10"/>
      <x:c r="H767" s="10"/>
      <x:c r="I767" s="10"/>
      <x:c r="J767" s="10"/>
    </x:row>
    <x:row r="768" ht="14.25" customHeight="1">
      <x:c r="A768" s="10"/>
      <x:c r="B768" s="10"/>
      <x:c r="C768" s="10"/>
      <x:c r="D768" s="10"/>
      <x:c r="E768" s="10"/>
      <x:c r="F768" s="10"/>
      <x:c r="G768" s="10"/>
      <x:c r="H768" s="10"/>
      <x:c r="I768" s="10"/>
      <x:c r="J768" s="10"/>
    </x:row>
    <x:row r="769" ht="14.25" customHeight="1">
      <x:c r="A769" s="10"/>
      <x:c r="B769" s="10"/>
      <x:c r="C769" s="10"/>
      <x:c r="D769" s="10"/>
      <x:c r="E769" s="10"/>
      <x:c r="F769" s="10"/>
      <x:c r="G769" s="10"/>
      <x:c r="H769" s="10"/>
      <x:c r="I769" s="10"/>
      <x:c r="J769" s="10"/>
    </x:row>
    <x:row r="770" ht="14.25" customHeight="1">
      <x:c r="A770" s="10"/>
      <x:c r="B770" s="10"/>
      <x:c r="C770" s="10"/>
      <x:c r="D770" s="10"/>
      <x:c r="E770" s="10"/>
      <x:c r="F770" s="10"/>
      <x:c r="G770" s="10"/>
      <x:c r="H770" s="10"/>
      <x:c r="I770" s="10"/>
      <x:c r="J770" s="10"/>
    </x:row>
    <x:row r="771" ht="14.25" customHeight="1">
      <x:c r="A771" s="10"/>
      <x:c r="B771" s="10"/>
      <x:c r="C771" s="10"/>
      <x:c r="D771" s="10"/>
      <x:c r="E771" s="10"/>
      <x:c r="F771" s="10"/>
      <x:c r="G771" s="10"/>
      <x:c r="H771" s="10"/>
      <x:c r="I771" s="10"/>
      <x:c r="J771" s="10"/>
    </x:row>
    <x:row r="772" ht="14.25" customHeight="1">
      <x:c r="A772" s="10"/>
      <x:c r="B772" s="10"/>
      <x:c r="C772" s="10"/>
      <x:c r="D772" s="10"/>
      <x:c r="E772" s="10"/>
      <x:c r="F772" s="10"/>
      <x:c r="G772" s="10"/>
      <x:c r="H772" s="10"/>
      <x:c r="I772" s="10"/>
      <x:c r="J772" s="10"/>
    </x:row>
    <x:row r="773" ht="14.25" customHeight="1">
      <x:c r="A773" s="10"/>
      <x:c r="B773" s="10"/>
      <x:c r="C773" s="10"/>
      <x:c r="D773" s="10"/>
      <x:c r="E773" s="10"/>
      <x:c r="F773" s="10"/>
      <x:c r="G773" s="10"/>
      <x:c r="H773" s="10"/>
      <x:c r="I773" s="10"/>
      <x:c r="J773" s="10"/>
    </x:row>
    <x:row r="774" ht="14.25" customHeight="1">
      <x:c r="A774" s="10"/>
      <x:c r="B774" s="10"/>
      <x:c r="C774" s="10"/>
      <x:c r="D774" s="10"/>
      <x:c r="E774" s="10"/>
      <x:c r="F774" s="10"/>
      <x:c r="G774" s="10"/>
      <x:c r="H774" s="10"/>
      <x:c r="I774" s="10"/>
      <x:c r="J774" s="10"/>
    </x:row>
    <x:row r="775" ht="14.25" customHeight="1">
      <x:c r="A775" s="10"/>
      <x:c r="B775" s="10"/>
      <x:c r="C775" s="10"/>
      <x:c r="D775" s="10"/>
      <x:c r="E775" s="10"/>
      <x:c r="F775" s="10"/>
      <x:c r="G775" s="10"/>
      <x:c r="H775" s="10"/>
      <x:c r="I775" s="10"/>
      <x:c r="J775" s="10"/>
    </x:row>
    <x:row r="776" ht="14.25" customHeight="1">
      <x:c r="A776" s="10"/>
      <x:c r="B776" s="10"/>
      <x:c r="C776" s="10"/>
      <x:c r="D776" s="10"/>
      <x:c r="E776" s="10"/>
      <x:c r="F776" s="10"/>
      <x:c r="G776" s="10"/>
      <x:c r="H776" s="10"/>
      <x:c r="I776" s="10"/>
      <x:c r="J776" s="10"/>
    </x:row>
    <x:row r="777" ht="14.25" customHeight="1">
      <x:c r="A777" s="10"/>
      <x:c r="B777" s="10"/>
      <x:c r="C777" s="10"/>
      <x:c r="D777" s="10"/>
      <x:c r="E777" s="10"/>
      <x:c r="F777" s="10"/>
      <x:c r="G777" s="10"/>
      <x:c r="H777" s="10"/>
      <x:c r="I777" s="10"/>
      <x:c r="J777" s="10"/>
    </x:row>
    <x:row r="778" ht="14.25" customHeight="1">
      <x:c r="A778" s="10"/>
      <x:c r="B778" s="10"/>
      <x:c r="C778" s="10"/>
      <x:c r="D778" s="10"/>
      <x:c r="E778" s="10"/>
      <x:c r="F778" s="10"/>
      <x:c r="G778" s="10"/>
      <x:c r="H778" s="10"/>
      <x:c r="I778" s="10"/>
      <x:c r="J778" s="10"/>
    </x:row>
    <x:row r="779" ht="14.25" customHeight="1">
      <x:c r="A779" s="10"/>
      <x:c r="B779" s="10"/>
      <x:c r="C779" s="10"/>
      <x:c r="D779" s="10"/>
      <x:c r="E779" s="10"/>
      <x:c r="F779" s="10"/>
      <x:c r="G779" s="10"/>
      <x:c r="H779" s="10"/>
      <x:c r="I779" s="10"/>
      <x:c r="J779" s="10"/>
    </x:row>
    <x:row r="780" ht="14.25" customHeight="1">
      <x:c r="A780" s="10"/>
      <x:c r="B780" s="10"/>
      <x:c r="C780" s="10"/>
      <x:c r="D780" s="10"/>
      <x:c r="E780" s="10"/>
      <x:c r="F780" s="10"/>
      <x:c r="G780" s="10"/>
      <x:c r="H780" s="10"/>
      <x:c r="I780" s="10"/>
      <x:c r="J780" s="10"/>
    </x:row>
    <x:row r="781" ht="14.25" customHeight="1">
      <x:c r="A781" s="10"/>
      <x:c r="B781" s="10"/>
      <x:c r="C781" s="10"/>
      <x:c r="D781" s="10"/>
      <x:c r="E781" s="10"/>
      <x:c r="F781" s="10"/>
      <x:c r="G781" s="10"/>
      <x:c r="H781" s="10"/>
      <x:c r="I781" s="10"/>
      <x:c r="J781" s="10"/>
    </x:row>
    <x:row r="782" ht="14.25" customHeight="1">
      <x:c r="A782" s="10"/>
      <x:c r="B782" s="10"/>
      <x:c r="C782" s="10"/>
      <x:c r="D782" s="10"/>
      <x:c r="E782" s="10"/>
      <x:c r="F782" s="10"/>
      <x:c r="G782" s="10"/>
      <x:c r="H782" s="10"/>
      <x:c r="I782" s="10"/>
      <x:c r="J782" s="10"/>
    </x:row>
    <x:row r="783" ht="14.25" customHeight="1">
      <x:c r="A783" s="10"/>
      <x:c r="B783" s="10"/>
      <x:c r="C783" s="10"/>
      <x:c r="D783" s="10"/>
      <x:c r="E783" s="10"/>
      <x:c r="F783" s="10"/>
      <x:c r="G783" s="10"/>
      <x:c r="H783" s="10"/>
      <x:c r="I783" s="10"/>
      <x:c r="J783" s="10"/>
    </x:row>
    <x:row r="784" ht="14.25" customHeight="1">
      <x:c r="A784" s="10"/>
      <x:c r="B784" s="10"/>
      <x:c r="C784" s="10"/>
      <x:c r="D784" s="10"/>
      <x:c r="E784" s="10"/>
      <x:c r="F784" s="10"/>
      <x:c r="G784" s="10"/>
      <x:c r="H784" s="10"/>
      <x:c r="I784" s="10"/>
      <x:c r="J784" s="10"/>
    </x:row>
    <x:row r="785" ht="14.25" customHeight="1">
      <x:c r="A785" s="10"/>
      <x:c r="B785" s="10"/>
      <x:c r="C785" s="10"/>
      <x:c r="D785" s="10"/>
      <x:c r="E785" s="10"/>
      <x:c r="F785" s="10"/>
      <x:c r="G785" s="10"/>
      <x:c r="H785" s="10"/>
      <x:c r="I785" s="10"/>
      <x:c r="J785" s="10"/>
    </x:row>
    <x:row r="786" ht="14.25" customHeight="1">
      <x:c r="A786" s="10"/>
      <x:c r="B786" s="10"/>
      <x:c r="C786" s="10"/>
      <x:c r="D786" s="10"/>
      <x:c r="E786" s="10"/>
      <x:c r="F786" s="10"/>
      <x:c r="G786" s="10"/>
      <x:c r="H786" s="10"/>
      <x:c r="I786" s="10"/>
      <x:c r="J786" s="10"/>
    </x:row>
    <x:row r="787" ht="14.25" customHeight="1">
      <x:c r="A787" s="10"/>
      <x:c r="B787" s="10"/>
      <x:c r="C787" s="10"/>
      <x:c r="D787" s="10"/>
      <x:c r="E787" s="10"/>
      <x:c r="F787" s="10"/>
      <x:c r="G787" s="10"/>
      <x:c r="H787" s="10"/>
      <x:c r="I787" s="10"/>
      <x:c r="J787" s="10"/>
    </x:row>
    <x:row r="788" ht="14.25" customHeight="1">
      <x:c r="A788" s="10"/>
      <x:c r="B788" s="10"/>
      <x:c r="C788" s="10"/>
      <x:c r="D788" s="10"/>
      <x:c r="E788" s="10"/>
      <x:c r="F788" s="10"/>
      <x:c r="G788" s="10"/>
      <x:c r="H788" s="10"/>
      <x:c r="I788" s="10"/>
      <x:c r="J788" s="10"/>
    </x:row>
    <x:row r="789" ht="14.25" customHeight="1">
      <x:c r="A789" s="10"/>
      <x:c r="B789" s="10"/>
      <x:c r="C789" s="10"/>
      <x:c r="D789" s="10"/>
      <x:c r="E789" s="10"/>
      <x:c r="F789" s="10"/>
      <x:c r="G789" s="10"/>
      <x:c r="H789" s="10"/>
      <x:c r="I789" s="10"/>
      <x:c r="J789" s="10"/>
    </x:row>
    <x:row r="790" ht="14.25" customHeight="1">
      <x:c r="A790" s="10"/>
      <x:c r="B790" s="10"/>
      <x:c r="C790" s="10"/>
      <x:c r="D790" s="10"/>
      <x:c r="E790" s="10"/>
      <x:c r="F790" s="10"/>
      <x:c r="G790" s="10"/>
      <x:c r="H790" s="10"/>
      <x:c r="I790" s="10"/>
      <x:c r="J790" s="10"/>
    </x:row>
    <x:row r="791" ht="14.25" customHeight="1">
      <x:c r="A791" s="10"/>
      <x:c r="B791" s="10"/>
      <x:c r="C791" s="10"/>
      <x:c r="D791" s="10"/>
      <x:c r="E791" s="10"/>
      <x:c r="F791" s="10"/>
      <x:c r="G791" s="10"/>
      <x:c r="H791" s="10"/>
      <x:c r="I791" s="10"/>
      <x:c r="J791" s="10"/>
    </x:row>
    <x:row r="792" ht="14.25" customHeight="1">
      <x:c r="A792" s="10"/>
      <x:c r="B792" s="10"/>
      <x:c r="C792" s="10"/>
      <x:c r="D792" s="10"/>
      <x:c r="E792" s="10"/>
      <x:c r="F792" s="10"/>
      <x:c r="G792" s="10"/>
      <x:c r="H792" s="10"/>
      <x:c r="I792" s="10"/>
      <x:c r="J792" s="10"/>
    </x:row>
    <x:row r="793" ht="14.25" customHeight="1">
      <x:c r="A793" s="10"/>
      <x:c r="B793" s="10"/>
      <x:c r="C793" s="10"/>
      <x:c r="D793" s="10"/>
      <x:c r="E793" s="10"/>
      <x:c r="F793" s="10"/>
      <x:c r="G793" s="10"/>
      <x:c r="H793" s="10"/>
      <x:c r="I793" s="10"/>
      <x:c r="J793" s="10"/>
    </x:row>
    <x:row r="794" ht="14.25" customHeight="1">
      <x:c r="A794" s="10"/>
      <x:c r="B794" s="10"/>
      <x:c r="C794" s="10"/>
      <x:c r="D794" s="10"/>
      <x:c r="E794" s="10"/>
      <x:c r="F794" s="10"/>
      <x:c r="G794" s="10"/>
      <x:c r="H794" s="10"/>
      <x:c r="I794" s="10"/>
      <x:c r="J794" s="10"/>
    </x:row>
    <x:row r="795" ht="14.25" customHeight="1">
      <x:c r="A795" s="10"/>
      <x:c r="B795" s="10"/>
      <x:c r="C795" s="10"/>
      <x:c r="D795" s="10"/>
      <x:c r="E795" s="10"/>
      <x:c r="F795" s="10"/>
      <x:c r="G795" s="10"/>
      <x:c r="H795" s="10"/>
      <x:c r="I795" s="10"/>
      <x:c r="J795" s="10"/>
    </x:row>
    <x:row r="796" ht="14.25" customHeight="1">
      <x:c r="A796" s="10"/>
      <x:c r="B796" s="10"/>
      <x:c r="C796" s="10"/>
      <x:c r="D796" s="10"/>
      <x:c r="E796" s="10"/>
      <x:c r="F796" s="10"/>
      <x:c r="G796" s="10"/>
      <x:c r="H796" s="10"/>
      <x:c r="I796" s="10"/>
      <x:c r="J796" s="10"/>
    </x:row>
    <x:row r="797" ht="14.25" customHeight="1">
      <x:c r="A797" s="10"/>
      <x:c r="B797" s="10"/>
      <x:c r="C797" s="10"/>
      <x:c r="D797" s="10"/>
      <x:c r="E797" s="10"/>
      <x:c r="F797" s="10"/>
      <x:c r="G797" s="10"/>
      <x:c r="H797" s="10"/>
      <x:c r="I797" s="10"/>
      <x:c r="J797" s="10"/>
    </x:row>
    <x:row r="798" ht="14.25" customHeight="1">
      <x:c r="A798" s="10"/>
      <x:c r="B798" s="10"/>
      <x:c r="C798" s="10"/>
      <x:c r="D798" s="10"/>
      <x:c r="E798" s="10"/>
      <x:c r="F798" s="10"/>
      <x:c r="G798" s="10"/>
      <x:c r="H798" s="10"/>
      <x:c r="I798" s="10"/>
      <x:c r="J798" s="10"/>
    </x:row>
    <x:row r="799" ht="14.25" customHeight="1">
      <x:c r="A799" s="10"/>
      <x:c r="B799" s="10"/>
      <x:c r="C799" s="10"/>
      <x:c r="D799" s="10"/>
      <x:c r="E799" s="10"/>
      <x:c r="F799" s="10"/>
      <x:c r="G799" s="10"/>
      <x:c r="H799" s="10"/>
      <x:c r="I799" s="10"/>
      <x:c r="J799" s="10"/>
    </x:row>
    <x:row r="800" ht="14.25" customHeight="1">
      <x:c r="A800" s="10"/>
      <x:c r="B800" s="10"/>
      <x:c r="C800" s="10"/>
      <x:c r="D800" s="10"/>
      <x:c r="E800" s="10"/>
      <x:c r="F800" s="10"/>
      <x:c r="G800" s="10"/>
      <x:c r="H800" s="10"/>
      <x:c r="I800" s="10"/>
      <x:c r="J800" s="10"/>
    </x:row>
    <x:row r="801" ht="14.25" customHeight="1">
      <x:c r="A801" s="10"/>
      <x:c r="B801" s="10"/>
      <x:c r="C801" s="10"/>
      <x:c r="D801" s="10"/>
      <x:c r="E801" s="10"/>
      <x:c r="F801" s="10"/>
      <x:c r="G801" s="10"/>
      <x:c r="H801" s="10"/>
      <x:c r="I801" s="10"/>
      <x:c r="J801" s="10"/>
    </x:row>
    <x:row r="802" ht="14.25" customHeight="1">
      <x:c r="A802" s="10"/>
      <x:c r="B802" s="10"/>
      <x:c r="C802" s="10"/>
      <x:c r="D802" s="10"/>
      <x:c r="E802" s="10"/>
      <x:c r="F802" s="10"/>
      <x:c r="G802" s="10"/>
      <x:c r="H802" s="10"/>
      <x:c r="I802" s="10"/>
      <x:c r="J802" s="10"/>
    </x:row>
    <x:row r="803" ht="14.25" customHeight="1">
      <x:c r="A803" s="10"/>
      <x:c r="B803" s="10"/>
      <x:c r="C803" s="10"/>
      <x:c r="D803" s="10"/>
      <x:c r="E803" s="10"/>
      <x:c r="F803" s="10"/>
      <x:c r="G803" s="10"/>
      <x:c r="H803" s="10"/>
      <x:c r="I803" s="10"/>
      <x:c r="J803" s="10"/>
    </x:row>
    <x:row r="804" ht="14.25" customHeight="1">
      <x:c r="A804" s="10"/>
      <x:c r="B804" s="10"/>
      <x:c r="C804" s="10"/>
      <x:c r="D804" s="10"/>
      <x:c r="E804" s="10"/>
      <x:c r="F804" s="10"/>
      <x:c r="G804" s="10"/>
      <x:c r="H804" s="10"/>
      <x:c r="I804" s="10"/>
      <x:c r="J804" s="10"/>
    </x:row>
    <x:row r="805" ht="14.25" customHeight="1">
      <x:c r="A805" s="10"/>
      <x:c r="B805" s="10"/>
      <x:c r="C805" s="10"/>
      <x:c r="D805" s="10"/>
      <x:c r="E805" s="10"/>
      <x:c r="F805" s="10"/>
      <x:c r="G805" s="10"/>
      <x:c r="H805" s="10"/>
      <x:c r="I805" s="10"/>
      <x:c r="J805" s="10"/>
    </x:row>
    <x:row r="806" ht="14.25" customHeight="1">
      <x:c r="A806" s="10"/>
      <x:c r="B806" s="10"/>
      <x:c r="C806" s="10"/>
      <x:c r="D806" s="10"/>
      <x:c r="E806" s="10"/>
      <x:c r="F806" s="10"/>
      <x:c r="G806" s="10"/>
      <x:c r="H806" s="10"/>
      <x:c r="I806" s="10"/>
      <x:c r="J806" s="10"/>
    </x:row>
    <x:row r="807" ht="14.25" customHeight="1">
      <x:c r="A807" s="10"/>
      <x:c r="B807" s="10"/>
      <x:c r="C807" s="10"/>
      <x:c r="D807" s="10"/>
      <x:c r="E807" s="10"/>
      <x:c r="F807" s="10"/>
      <x:c r="G807" s="10"/>
      <x:c r="H807" s="10"/>
      <x:c r="I807" s="10"/>
      <x:c r="J807" s="10"/>
    </x:row>
    <x:row r="808" ht="14.25" customHeight="1">
      <x:c r="A808" s="10"/>
      <x:c r="B808" s="10"/>
      <x:c r="C808" s="10"/>
      <x:c r="D808" s="10"/>
      <x:c r="E808" s="10"/>
      <x:c r="F808" s="10"/>
      <x:c r="G808" s="10"/>
      <x:c r="H808" s="10"/>
      <x:c r="I808" s="10"/>
      <x:c r="J808" s="10"/>
    </x:row>
    <x:row r="809" ht="14.25" customHeight="1">
      <x:c r="A809" s="10"/>
      <x:c r="B809" s="10"/>
      <x:c r="C809" s="10"/>
      <x:c r="D809" s="10"/>
      <x:c r="E809" s="10"/>
      <x:c r="F809" s="10"/>
      <x:c r="G809" s="10"/>
      <x:c r="H809" s="10"/>
      <x:c r="I809" s="10"/>
      <x:c r="J809" s="10"/>
    </x:row>
    <x:row r="810" ht="14.25" customHeight="1">
      <x:c r="A810" s="10"/>
      <x:c r="B810" s="10"/>
      <x:c r="C810" s="10"/>
      <x:c r="D810" s="10"/>
      <x:c r="E810" s="10"/>
      <x:c r="F810" s="10"/>
      <x:c r="G810" s="10"/>
      <x:c r="H810" s="10"/>
      <x:c r="I810" s="10"/>
      <x:c r="J810" s="10"/>
    </x:row>
    <x:row r="811" ht="14.25" customHeight="1">
      <x:c r="A811" s="10"/>
      <x:c r="B811" s="10"/>
      <x:c r="C811" s="10"/>
      <x:c r="D811" s="10"/>
      <x:c r="E811" s="10"/>
      <x:c r="F811" s="10"/>
      <x:c r="G811" s="10"/>
      <x:c r="H811" s="10"/>
      <x:c r="I811" s="10"/>
      <x:c r="J811" s="10"/>
    </x:row>
    <x:row r="812" ht="14.25" customHeight="1">
      <x:c r="A812" s="10"/>
      <x:c r="B812" s="10"/>
      <x:c r="C812" s="10"/>
      <x:c r="D812" s="10"/>
      <x:c r="E812" s="10"/>
      <x:c r="F812" s="10"/>
      <x:c r="G812" s="10"/>
      <x:c r="H812" s="10"/>
      <x:c r="I812" s="10"/>
      <x:c r="J812" s="10"/>
    </x:row>
    <x:row r="813" ht="14.25" customHeight="1">
      <x:c r="A813" s="10"/>
      <x:c r="B813" s="10"/>
      <x:c r="C813" s="10"/>
      <x:c r="D813" s="10"/>
      <x:c r="E813" s="10"/>
      <x:c r="F813" s="10"/>
      <x:c r="G813" s="10"/>
      <x:c r="H813" s="10"/>
      <x:c r="I813" s="10"/>
      <x:c r="J813" s="10"/>
    </x:row>
    <x:row r="814" ht="14.25" customHeight="1">
      <x:c r="A814" s="10"/>
      <x:c r="B814" s="10"/>
      <x:c r="C814" s="10"/>
      <x:c r="D814" s="10"/>
      <x:c r="E814" s="10"/>
      <x:c r="F814" s="10"/>
      <x:c r="G814" s="10"/>
      <x:c r="H814" s="10"/>
      <x:c r="I814" s="10"/>
      <x:c r="J814" s="10"/>
    </x:row>
    <x:row r="815" ht="14.25" customHeight="1">
      <x:c r="A815" s="10"/>
      <x:c r="B815" s="10"/>
      <x:c r="C815" s="10"/>
      <x:c r="D815" s="10"/>
      <x:c r="E815" s="10"/>
      <x:c r="F815" s="10"/>
      <x:c r="G815" s="10"/>
      <x:c r="H815" s="10"/>
      <x:c r="I815" s="10"/>
      <x:c r="J815" s="10"/>
    </x:row>
    <x:row r="816" ht="14.25" customHeight="1">
      <x:c r="A816" s="10"/>
      <x:c r="B816" s="10"/>
      <x:c r="C816" s="10"/>
      <x:c r="D816" s="10"/>
      <x:c r="E816" s="10"/>
      <x:c r="F816" s="10"/>
      <x:c r="G816" s="10"/>
      <x:c r="H816" s="10"/>
      <x:c r="I816" s="10"/>
      <x:c r="J816" s="10"/>
    </x:row>
    <x:row r="817" ht="14.25" customHeight="1">
      <x:c r="A817" s="10"/>
      <x:c r="B817" s="10"/>
      <x:c r="C817" s="10"/>
      <x:c r="D817" s="10"/>
      <x:c r="E817" s="10"/>
      <x:c r="F817" s="10"/>
      <x:c r="G817" s="10"/>
      <x:c r="H817" s="10"/>
      <x:c r="I817" s="10"/>
      <x:c r="J817" s="10"/>
    </x:row>
    <x:row r="818" ht="14.25" customHeight="1">
      <x:c r="A818" s="10"/>
      <x:c r="B818" s="10"/>
      <x:c r="C818" s="10"/>
      <x:c r="D818" s="10"/>
      <x:c r="E818" s="10"/>
      <x:c r="F818" s="10"/>
      <x:c r="G818" s="10"/>
      <x:c r="H818" s="10"/>
      <x:c r="I818" s="10"/>
      <x:c r="J818" s="10"/>
    </x:row>
    <x:row r="819" ht="14.25" customHeight="1">
      <x:c r="A819" s="10"/>
      <x:c r="B819" s="10"/>
      <x:c r="C819" s="10"/>
      <x:c r="D819" s="10"/>
      <x:c r="E819" s="10"/>
      <x:c r="F819" s="10"/>
      <x:c r="G819" s="10"/>
      <x:c r="H819" s="10"/>
      <x:c r="I819" s="10"/>
      <x:c r="J819" s="10"/>
    </x:row>
    <x:row r="820" ht="14.25" customHeight="1">
      <x:c r="A820" s="10"/>
      <x:c r="B820" s="10"/>
      <x:c r="C820" s="10"/>
      <x:c r="D820" s="10"/>
      <x:c r="E820" s="10"/>
      <x:c r="F820" s="10"/>
      <x:c r="G820" s="10"/>
      <x:c r="H820" s="10"/>
      <x:c r="I820" s="10"/>
      <x:c r="J820" s="10"/>
    </x:row>
    <x:row r="821" ht="14.25" customHeight="1">
      <x:c r="A821" s="10"/>
      <x:c r="B821" s="10"/>
      <x:c r="C821" s="10"/>
      <x:c r="D821" s="10"/>
      <x:c r="E821" s="10"/>
      <x:c r="F821" s="10"/>
      <x:c r="G821" s="10"/>
      <x:c r="H821" s="10"/>
      <x:c r="I821" s="10"/>
      <x:c r="J821" s="10"/>
    </x:row>
    <x:row r="822" ht="14.25" customHeight="1">
      <x:c r="A822" s="10"/>
      <x:c r="B822" s="10"/>
      <x:c r="C822" s="10"/>
      <x:c r="D822" s="10"/>
      <x:c r="E822" s="10"/>
      <x:c r="F822" s="10"/>
      <x:c r="G822" s="10"/>
      <x:c r="H822" s="10"/>
      <x:c r="I822" s="10"/>
      <x:c r="J822" s="10"/>
    </x:row>
    <x:row r="823" ht="14.25" customHeight="1">
      <x:c r="A823" s="10"/>
      <x:c r="B823" s="10"/>
      <x:c r="C823" s="10"/>
      <x:c r="D823" s="10"/>
      <x:c r="E823" s="10"/>
      <x:c r="F823" s="10"/>
      <x:c r="G823" s="10"/>
      <x:c r="H823" s="10"/>
      <x:c r="I823" s="10"/>
      <x:c r="J823" s="10"/>
    </x:row>
    <x:row r="824" ht="14.25" customHeight="1">
      <x:c r="A824" s="10"/>
      <x:c r="B824" s="10"/>
      <x:c r="C824" s="10"/>
      <x:c r="D824" s="10"/>
      <x:c r="E824" s="10"/>
      <x:c r="F824" s="10"/>
      <x:c r="G824" s="10"/>
      <x:c r="H824" s="10"/>
      <x:c r="I824" s="10"/>
      <x:c r="J824" s="10"/>
    </x:row>
    <x:row r="825" ht="14.25" customHeight="1">
      <x:c r="A825" s="10"/>
      <x:c r="B825" s="10"/>
      <x:c r="C825" s="10"/>
      <x:c r="D825" s="10"/>
      <x:c r="E825" s="10"/>
      <x:c r="F825" s="10"/>
      <x:c r="G825" s="10"/>
      <x:c r="H825" s="10"/>
      <x:c r="I825" s="10"/>
      <x:c r="J825" s="10"/>
    </x:row>
    <x:row r="826" ht="14.25" customHeight="1">
      <x:c r="A826" s="10"/>
      <x:c r="B826" s="10"/>
      <x:c r="C826" s="10"/>
      <x:c r="D826" s="10"/>
      <x:c r="E826" s="10"/>
      <x:c r="F826" s="10"/>
      <x:c r="G826" s="10"/>
      <x:c r="H826" s="10"/>
      <x:c r="I826" s="10"/>
      <x:c r="J826" s="10"/>
    </x:row>
    <x:row r="827" ht="14.25" customHeight="1">
      <x:c r="A827" s="10"/>
      <x:c r="B827" s="10"/>
      <x:c r="C827" s="10"/>
      <x:c r="D827" s="10"/>
      <x:c r="E827" s="10"/>
      <x:c r="F827" s="10"/>
      <x:c r="G827" s="10"/>
      <x:c r="H827" s="10"/>
      <x:c r="I827" s="10"/>
      <x:c r="J827" s="10"/>
    </x:row>
    <x:row r="828" ht="14.25" customHeight="1">
      <x:c r="A828" s="10"/>
      <x:c r="B828" s="10"/>
      <x:c r="C828" s="10"/>
      <x:c r="D828" s="10"/>
      <x:c r="E828" s="10"/>
      <x:c r="F828" s="10"/>
      <x:c r="G828" s="10"/>
      <x:c r="H828" s="10"/>
      <x:c r="I828" s="10"/>
      <x:c r="J828" s="10"/>
    </x:row>
    <x:row r="829" ht="14.25" customHeight="1">
      <x:c r="A829" s="10"/>
      <x:c r="B829" s="10"/>
      <x:c r="C829" s="10"/>
      <x:c r="D829" s="10"/>
      <x:c r="E829" s="10"/>
      <x:c r="F829" s="10"/>
      <x:c r="G829" s="10"/>
      <x:c r="H829" s="10"/>
      <x:c r="I829" s="10"/>
      <x:c r="J829" s="10"/>
    </x:row>
    <x:row r="830" ht="14.25" customHeight="1">
      <x:c r="A830" s="10"/>
      <x:c r="B830" s="10"/>
      <x:c r="C830" s="10"/>
      <x:c r="D830" s="10"/>
      <x:c r="E830" s="10"/>
      <x:c r="F830" s="10"/>
      <x:c r="G830" s="10"/>
      <x:c r="H830" s="10"/>
      <x:c r="I830" s="10"/>
      <x:c r="J830" s="10"/>
    </x:row>
    <x:row r="831" ht="14.25" customHeight="1">
      <x:c r="A831" s="10"/>
      <x:c r="B831" s="10"/>
      <x:c r="C831" s="10"/>
      <x:c r="D831" s="10"/>
      <x:c r="E831" s="10"/>
      <x:c r="F831" s="10"/>
      <x:c r="G831" s="10"/>
      <x:c r="H831" s="10"/>
      <x:c r="I831" s="10"/>
      <x:c r="J831" s="10"/>
    </x:row>
    <x:row r="832" ht="14.25" customHeight="1">
      <x:c r="A832" s="10"/>
      <x:c r="B832" s="10"/>
      <x:c r="C832" s="10"/>
      <x:c r="D832" s="10"/>
      <x:c r="E832" s="10"/>
      <x:c r="F832" s="10"/>
      <x:c r="G832" s="10"/>
      <x:c r="H832" s="10"/>
      <x:c r="I832" s="10"/>
      <x:c r="J832" s="10"/>
    </x:row>
    <x:row r="833" ht="14.25" customHeight="1">
      <x:c r="A833" s="10"/>
      <x:c r="B833" s="10"/>
      <x:c r="C833" s="10"/>
      <x:c r="D833" s="10"/>
      <x:c r="E833" s="10"/>
      <x:c r="F833" s="10"/>
      <x:c r="G833" s="10"/>
      <x:c r="H833" s="10"/>
      <x:c r="I833" s="10"/>
      <x:c r="J833" s="10"/>
    </x:row>
    <x:row r="834" ht="14.25" customHeight="1">
      <x:c r="A834" s="10"/>
      <x:c r="B834" s="10"/>
      <x:c r="C834" s="10"/>
      <x:c r="D834" s="10"/>
      <x:c r="E834" s="10"/>
      <x:c r="F834" s="10"/>
      <x:c r="G834" s="10"/>
      <x:c r="H834" s="10"/>
      <x:c r="I834" s="10"/>
      <x:c r="J834" s="10"/>
    </x:row>
    <x:row r="835" ht="14.25" customHeight="1">
      <x:c r="A835" s="10"/>
      <x:c r="B835" s="10"/>
      <x:c r="C835" s="10"/>
      <x:c r="D835" s="10"/>
      <x:c r="E835" s="10"/>
      <x:c r="F835" s="10"/>
      <x:c r="G835" s="10"/>
      <x:c r="H835" s="10"/>
      <x:c r="I835" s="10"/>
      <x:c r="J835" s="10"/>
    </x:row>
    <x:row r="836" ht="14.25" customHeight="1">
      <x:c r="A836" s="10"/>
      <x:c r="B836" s="10"/>
      <x:c r="C836" s="10"/>
      <x:c r="D836" s="10"/>
      <x:c r="E836" s="10"/>
      <x:c r="F836" s="10"/>
      <x:c r="G836" s="10"/>
      <x:c r="H836" s="10"/>
      <x:c r="I836" s="10"/>
      <x:c r="J836" s="10"/>
    </x:row>
    <x:row r="837" ht="14.25" customHeight="1">
      <x:c r="A837" s="10"/>
      <x:c r="B837" s="10"/>
      <x:c r="C837" s="10"/>
      <x:c r="D837" s="10"/>
      <x:c r="E837" s="10"/>
      <x:c r="F837" s="10"/>
      <x:c r="G837" s="10"/>
      <x:c r="H837" s="10"/>
      <x:c r="I837" s="10"/>
      <x:c r="J837" s="10"/>
    </x:row>
    <x:row r="838" ht="14.25" customHeight="1">
      <x:c r="A838" s="10"/>
      <x:c r="B838" s="10"/>
      <x:c r="C838" s="10"/>
      <x:c r="D838" s="10"/>
      <x:c r="E838" s="10"/>
      <x:c r="F838" s="10"/>
      <x:c r="G838" s="10"/>
      <x:c r="H838" s="10"/>
      <x:c r="I838" s="10"/>
      <x:c r="J838" s="10"/>
    </x:row>
    <x:row r="839" ht="14.25" customHeight="1">
      <x:c r="A839" s="10"/>
      <x:c r="B839" s="10"/>
      <x:c r="C839" s="10"/>
      <x:c r="D839" s="10"/>
      <x:c r="E839" s="10"/>
      <x:c r="F839" s="10"/>
      <x:c r="G839" s="10"/>
      <x:c r="H839" s="10"/>
      <x:c r="I839" s="10"/>
      <x:c r="J839" s="10"/>
    </x:row>
    <x:row r="840" ht="14.25" customHeight="1">
      <x:c r="A840" s="10"/>
      <x:c r="B840" s="10"/>
      <x:c r="C840" s="10"/>
      <x:c r="D840" s="10"/>
      <x:c r="E840" s="10"/>
      <x:c r="F840" s="10"/>
      <x:c r="G840" s="10"/>
      <x:c r="H840" s="10"/>
      <x:c r="I840" s="10"/>
      <x:c r="J840" s="10"/>
    </x:row>
    <x:row r="841" ht="14.25" customHeight="1">
      <x:c r="A841" s="10"/>
      <x:c r="B841" s="10"/>
      <x:c r="C841" s="10"/>
      <x:c r="D841" s="10"/>
      <x:c r="E841" s="10"/>
      <x:c r="F841" s="10"/>
      <x:c r="G841" s="10"/>
      <x:c r="H841" s="10"/>
      <x:c r="I841" s="10"/>
      <x:c r="J841" s="10"/>
    </x:row>
    <x:row r="842" ht="14.25" customHeight="1">
      <x:c r="A842" s="10"/>
      <x:c r="B842" s="10"/>
      <x:c r="C842" s="10"/>
      <x:c r="D842" s="10"/>
      <x:c r="E842" s="10"/>
      <x:c r="F842" s="10"/>
      <x:c r="G842" s="10"/>
      <x:c r="H842" s="10"/>
      <x:c r="I842" s="10"/>
      <x:c r="J842" s="10"/>
    </x:row>
    <x:row r="843" ht="14.25" customHeight="1">
      <x:c r="A843" s="10"/>
      <x:c r="B843" s="10"/>
      <x:c r="C843" s="10"/>
      <x:c r="D843" s="10"/>
      <x:c r="E843" s="10"/>
      <x:c r="F843" s="10"/>
      <x:c r="G843" s="10"/>
      <x:c r="H843" s="10"/>
      <x:c r="I843" s="10"/>
      <x:c r="J843" s="10"/>
    </x:row>
    <x:row r="844" ht="14.25" customHeight="1">
      <x:c r="A844" s="10"/>
      <x:c r="B844" s="10"/>
      <x:c r="C844" s="10"/>
      <x:c r="D844" s="10"/>
      <x:c r="E844" s="10"/>
      <x:c r="F844" s="10"/>
      <x:c r="G844" s="10"/>
      <x:c r="H844" s="10"/>
      <x:c r="I844" s="10"/>
      <x:c r="J844" s="10"/>
    </x:row>
    <x:row r="845" ht="14.25" customHeight="1">
      <x:c r="A845" s="10"/>
      <x:c r="B845" s="10"/>
      <x:c r="C845" s="10"/>
      <x:c r="D845" s="10"/>
      <x:c r="E845" s="10"/>
      <x:c r="F845" s="10"/>
      <x:c r="G845" s="10"/>
      <x:c r="H845" s="10"/>
      <x:c r="I845" s="10"/>
      <x:c r="J845" s="10"/>
    </x:row>
    <x:row r="846" ht="14.25" customHeight="1">
      <x:c r="A846" s="10"/>
      <x:c r="B846" s="10"/>
      <x:c r="C846" s="10"/>
      <x:c r="D846" s="10"/>
      <x:c r="E846" s="10"/>
      <x:c r="F846" s="10"/>
      <x:c r="G846" s="10"/>
      <x:c r="H846" s="10"/>
      <x:c r="I846" s="10"/>
      <x:c r="J846" s="10"/>
    </x:row>
    <x:row r="847" ht="14.25" customHeight="1">
      <x:c r="A847" s="10"/>
      <x:c r="B847" s="10"/>
      <x:c r="C847" s="10"/>
      <x:c r="D847" s="10"/>
      <x:c r="E847" s="10"/>
      <x:c r="F847" s="10"/>
      <x:c r="G847" s="10"/>
      <x:c r="H847" s="10"/>
      <x:c r="I847" s="10"/>
      <x:c r="J847" s="10"/>
    </x:row>
    <x:row r="848" ht="14.25" customHeight="1">
      <x:c r="A848" s="10"/>
      <x:c r="B848" s="10"/>
      <x:c r="C848" s="10"/>
      <x:c r="D848" s="10"/>
      <x:c r="E848" s="10"/>
      <x:c r="F848" s="10"/>
      <x:c r="G848" s="10"/>
      <x:c r="H848" s="10"/>
      <x:c r="I848" s="10"/>
      <x:c r="J848" s="10"/>
    </x:row>
    <x:row r="849" ht="14.25" customHeight="1">
      <x:c r="A849" s="10"/>
      <x:c r="B849" s="10"/>
      <x:c r="C849" s="10"/>
      <x:c r="D849" s="10"/>
      <x:c r="E849" s="10"/>
      <x:c r="F849" s="10"/>
      <x:c r="G849" s="10"/>
      <x:c r="H849" s="10"/>
      <x:c r="I849" s="10"/>
      <x:c r="J849" s="10"/>
    </x:row>
    <x:row r="850" ht="14.25" customHeight="1">
      <x:c r="A850" s="10"/>
      <x:c r="B850" s="10"/>
      <x:c r="C850" s="10"/>
      <x:c r="D850" s="10"/>
      <x:c r="E850" s="10"/>
      <x:c r="F850" s="10"/>
      <x:c r="G850" s="10"/>
      <x:c r="H850" s="10"/>
      <x:c r="I850" s="10"/>
      <x:c r="J850" s="10"/>
    </x:row>
    <x:row r="851" ht="14.25" customHeight="1">
      <x:c r="A851" s="10"/>
      <x:c r="B851" s="10"/>
      <x:c r="C851" s="10"/>
      <x:c r="D851" s="10"/>
      <x:c r="E851" s="10"/>
      <x:c r="F851" s="10"/>
      <x:c r="G851" s="10"/>
      <x:c r="H851" s="10"/>
      <x:c r="I851" s="10"/>
      <x:c r="J851" s="10"/>
    </x:row>
    <x:row r="852" ht="14.25" customHeight="1">
      <x:c r="A852" s="10"/>
      <x:c r="B852" s="10"/>
      <x:c r="C852" s="10"/>
      <x:c r="D852" s="10"/>
      <x:c r="E852" s="10"/>
      <x:c r="F852" s="10"/>
      <x:c r="G852" s="10"/>
      <x:c r="H852" s="10"/>
      <x:c r="I852" s="10"/>
      <x:c r="J852" s="10"/>
    </x:row>
    <x:row r="853" ht="14.25" customHeight="1">
      <x:c r="A853" s="10"/>
      <x:c r="B853" s="10"/>
      <x:c r="C853" s="10"/>
      <x:c r="D853" s="10"/>
      <x:c r="E853" s="10"/>
      <x:c r="F853" s="10"/>
      <x:c r="G853" s="10"/>
      <x:c r="H853" s="10"/>
      <x:c r="I853" s="10"/>
      <x:c r="J853" s="10"/>
    </x:row>
    <x:row r="854" ht="14.25" customHeight="1">
      <x:c r="A854" s="10"/>
      <x:c r="B854" s="10"/>
      <x:c r="C854" s="10"/>
      <x:c r="D854" s="10"/>
      <x:c r="E854" s="10"/>
      <x:c r="F854" s="10"/>
      <x:c r="G854" s="10"/>
      <x:c r="H854" s="10"/>
      <x:c r="I854" s="10"/>
      <x:c r="J854" s="10"/>
    </x:row>
    <x:row r="855" ht="14.25" customHeight="1">
      <x:c r="A855" s="10"/>
      <x:c r="B855" s="10"/>
      <x:c r="C855" s="10"/>
      <x:c r="D855" s="10"/>
      <x:c r="E855" s="10"/>
      <x:c r="F855" s="10"/>
      <x:c r="G855" s="10"/>
      <x:c r="H855" s="10"/>
      <x:c r="I855" s="10"/>
      <x:c r="J855" s="10"/>
    </x:row>
    <x:row r="856" ht="14.25" customHeight="1">
      <x:c r="A856" s="10"/>
      <x:c r="B856" s="10"/>
      <x:c r="C856" s="10"/>
      <x:c r="D856" s="10"/>
      <x:c r="E856" s="10"/>
      <x:c r="F856" s="10"/>
      <x:c r="G856" s="10"/>
      <x:c r="H856" s="10"/>
      <x:c r="I856" s="10"/>
      <x:c r="J856" s="10"/>
    </x:row>
    <x:row r="857" ht="14.25" customHeight="1">
      <x:c r="A857" s="10"/>
      <x:c r="B857" s="10"/>
      <x:c r="C857" s="10"/>
      <x:c r="D857" s="10"/>
      <x:c r="E857" s="10"/>
      <x:c r="F857" s="10"/>
      <x:c r="G857" s="10"/>
      <x:c r="H857" s="10"/>
      <x:c r="I857" s="10"/>
      <x:c r="J857" s="10"/>
    </x:row>
    <x:row r="858" ht="14.25" customHeight="1">
      <x:c r="A858" s="10"/>
      <x:c r="B858" s="10"/>
      <x:c r="C858" s="10"/>
      <x:c r="D858" s="10"/>
      <x:c r="E858" s="10"/>
      <x:c r="F858" s="10"/>
      <x:c r="G858" s="10"/>
      <x:c r="H858" s="10"/>
      <x:c r="I858" s="10"/>
      <x:c r="J858" s="10"/>
    </x:row>
    <x:row r="859" ht="14.25" customHeight="1">
      <x:c r="A859" s="10"/>
      <x:c r="B859" s="10"/>
      <x:c r="C859" s="10"/>
      <x:c r="D859" s="10"/>
      <x:c r="E859" s="10"/>
      <x:c r="F859" s="10"/>
      <x:c r="G859" s="10"/>
      <x:c r="H859" s="10"/>
      <x:c r="I859" s="10"/>
      <x:c r="J859" s="10"/>
    </x:row>
    <x:row r="860" ht="14.25" customHeight="1">
      <x:c r="A860" s="10"/>
      <x:c r="B860" s="10"/>
      <x:c r="C860" s="10"/>
      <x:c r="D860" s="10"/>
      <x:c r="E860" s="10"/>
      <x:c r="F860" s="10"/>
      <x:c r="G860" s="10"/>
      <x:c r="H860" s="10"/>
      <x:c r="I860" s="10"/>
      <x:c r="J860" s="10"/>
    </x:row>
    <x:row r="861" ht="14.25" customHeight="1">
      <x:c r="A861" s="10"/>
      <x:c r="B861" s="10"/>
      <x:c r="C861" s="10"/>
      <x:c r="D861" s="10"/>
      <x:c r="E861" s="10"/>
      <x:c r="F861" s="10"/>
      <x:c r="G861" s="10"/>
      <x:c r="H861" s="10"/>
      <x:c r="I861" s="10"/>
      <x:c r="J861" s="10"/>
    </x:row>
    <x:row r="862" ht="14.25" customHeight="1">
      <x:c r="A862" s="10"/>
      <x:c r="B862" s="10"/>
      <x:c r="C862" s="10"/>
      <x:c r="D862" s="10"/>
      <x:c r="E862" s="10"/>
      <x:c r="F862" s="10"/>
      <x:c r="G862" s="10"/>
      <x:c r="H862" s="10"/>
      <x:c r="I862" s="10"/>
      <x:c r="J862" s="10"/>
    </x:row>
    <x:row r="863" ht="14.25" customHeight="1">
      <x:c r="A863" s="10"/>
      <x:c r="B863" s="10"/>
      <x:c r="C863" s="10"/>
      <x:c r="D863" s="10"/>
      <x:c r="E863" s="10"/>
      <x:c r="F863" s="10"/>
      <x:c r="G863" s="10"/>
      <x:c r="H863" s="10"/>
      <x:c r="I863" s="10"/>
      <x:c r="J863" s="10"/>
    </x:row>
    <x:row r="864" ht="14.25" customHeight="1">
      <x:c r="A864" s="10"/>
      <x:c r="B864" s="10"/>
      <x:c r="C864" s="10"/>
      <x:c r="D864" s="10"/>
      <x:c r="E864" s="10"/>
      <x:c r="F864" s="10"/>
      <x:c r="G864" s="10"/>
      <x:c r="H864" s="10"/>
      <x:c r="I864" s="10"/>
      <x:c r="J864" s="10"/>
    </x:row>
    <x:row r="865" ht="14.25" customHeight="1">
      <x:c r="A865" s="10"/>
      <x:c r="B865" s="10"/>
      <x:c r="C865" s="10"/>
      <x:c r="D865" s="10"/>
      <x:c r="E865" s="10"/>
      <x:c r="F865" s="10"/>
      <x:c r="G865" s="10"/>
      <x:c r="H865" s="10"/>
      <x:c r="I865" s="10"/>
      <x:c r="J865" s="10"/>
    </x:row>
    <x:row r="866" ht="14.25" customHeight="1">
      <x:c r="A866" s="10"/>
      <x:c r="B866" s="10"/>
      <x:c r="C866" s="10"/>
      <x:c r="D866" s="10"/>
      <x:c r="E866" s="10"/>
      <x:c r="F866" s="10"/>
      <x:c r="G866" s="10"/>
      <x:c r="H866" s="10"/>
      <x:c r="I866" s="10"/>
      <x:c r="J866" s="10"/>
    </x:row>
    <x:row r="867" ht="14.25" customHeight="1">
      <x:c r="A867" s="10"/>
      <x:c r="B867" s="10"/>
      <x:c r="C867" s="10"/>
      <x:c r="D867" s="10"/>
      <x:c r="E867" s="10"/>
      <x:c r="F867" s="10"/>
      <x:c r="G867" s="10"/>
      <x:c r="H867" s="10"/>
      <x:c r="I867" s="10"/>
      <x:c r="J867" s="10"/>
    </x:row>
    <x:row r="868" ht="14.25" customHeight="1">
      <x:c r="A868" s="10"/>
      <x:c r="B868" s="10"/>
      <x:c r="C868" s="10"/>
      <x:c r="D868" s="10"/>
      <x:c r="E868" s="10"/>
      <x:c r="F868" s="10"/>
      <x:c r="G868" s="10"/>
      <x:c r="H868" s="10"/>
      <x:c r="I868" s="10"/>
      <x:c r="J868" s="10"/>
    </x:row>
    <x:row r="869" ht="14.25" customHeight="1">
      <x:c r="A869" s="10"/>
      <x:c r="B869" s="10"/>
      <x:c r="C869" s="10"/>
      <x:c r="D869" s="10"/>
      <x:c r="E869" s="10"/>
      <x:c r="F869" s="10"/>
      <x:c r="G869" s="10"/>
      <x:c r="H869" s="10"/>
      <x:c r="I869" s="10"/>
      <x:c r="J869" s="10"/>
    </x:row>
    <x:row r="870" ht="14.25" customHeight="1">
      <x:c r="A870" s="10"/>
      <x:c r="B870" s="10"/>
      <x:c r="C870" s="10"/>
      <x:c r="D870" s="10"/>
      <x:c r="E870" s="10"/>
      <x:c r="F870" s="10"/>
      <x:c r="G870" s="10"/>
      <x:c r="H870" s="10"/>
      <x:c r="I870" s="10"/>
      <x:c r="J870" s="10"/>
    </x:row>
    <x:row r="871" ht="14.25" customHeight="1">
      <x:c r="A871" s="10"/>
      <x:c r="B871" s="10"/>
      <x:c r="C871" s="10"/>
      <x:c r="D871" s="10"/>
      <x:c r="E871" s="10"/>
      <x:c r="F871" s="10"/>
      <x:c r="G871" s="10"/>
      <x:c r="H871" s="10"/>
      <x:c r="I871" s="10"/>
      <x:c r="J871" s="10"/>
    </x:row>
    <x:row r="872" ht="14.25" customHeight="1">
      <x:c r="A872" s="10"/>
      <x:c r="B872" s="10"/>
      <x:c r="C872" s="10"/>
      <x:c r="D872" s="10"/>
      <x:c r="E872" s="10"/>
      <x:c r="F872" s="10"/>
      <x:c r="G872" s="10"/>
      <x:c r="H872" s="10"/>
      <x:c r="I872" s="10"/>
      <x:c r="J872" s="10"/>
    </x:row>
    <x:row r="873" ht="14.25" customHeight="1">
      <x:c r="A873" s="10"/>
      <x:c r="B873" s="10"/>
      <x:c r="C873" s="10"/>
      <x:c r="D873" s="10"/>
      <x:c r="E873" s="10"/>
      <x:c r="F873" s="10"/>
      <x:c r="G873" s="10"/>
      <x:c r="H873" s="10"/>
      <x:c r="I873" s="10"/>
      <x:c r="J873" s="10"/>
    </x:row>
    <x:row r="874" ht="14.25" customHeight="1">
      <x:c r="A874" s="10"/>
      <x:c r="B874" s="10"/>
      <x:c r="C874" s="10"/>
      <x:c r="D874" s="10"/>
      <x:c r="E874" s="10"/>
      <x:c r="F874" s="10"/>
      <x:c r="G874" s="10"/>
      <x:c r="H874" s="10"/>
      <x:c r="I874" s="10"/>
      <x:c r="J874" s="10"/>
    </x:row>
    <x:row r="875" ht="14.25" customHeight="1">
      <x:c r="A875" s="10"/>
      <x:c r="B875" s="10"/>
      <x:c r="C875" s="10"/>
      <x:c r="D875" s="10"/>
      <x:c r="E875" s="10"/>
      <x:c r="F875" s="10"/>
      <x:c r="G875" s="10"/>
      <x:c r="H875" s="10"/>
      <x:c r="I875" s="10"/>
      <x:c r="J875" s="10"/>
    </x:row>
    <x:row r="876" ht="14.25" customHeight="1">
      <x:c r="A876" s="10"/>
      <x:c r="B876" s="10"/>
      <x:c r="C876" s="10"/>
      <x:c r="D876" s="10"/>
      <x:c r="E876" s="10"/>
      <x:c r="F876" s="10"/>
      <x:c r="G876" s="10"/>
      <x:c r="H876" s="10"/>
      <x:c r="I876" s="10"/>
      <x:c r="J876" s="10"/>
    </x:row>
    <x:row r="877" ht="14.25" customHeight="1">
      <x:c r="A877" s="10"/>
      <x:c r="B877" s="10"/>
      <x:c r="C877" s="10"/>
      <x:c r="D877" s="10"/>
      <x:c r="E877" s="10"/>
      <x:c r="F877" s="10"/>
      <x:c r="G877" s="10"/>
      <x:c r="H877" s="10"/>
      <x:c r="I877" s="10"/>
      <x:c r="J877" s="10"/>
    </x:row>
    <x:row r="878" ht="14.25" customHeight="1">
      <x:c r="A878" s="10"/>
      <x:c r="B878" s="10"/>
      <x:c r="C878" s="10"/>
      <x:c r="D878" s="10"/>
      <x:c r="E878" s="10"/>
      <x:c r="F878" s="10"/>
      <x:c r="G878" s="10"/>
      <x:c r="H878" s="10"/>
      <x:c r="I878" s="10"/>
      <x:c r="J878" s="10"/>
    </x:row>
    <x:row r="879" ht="14.25" customHeight="1">
      <x:c r="A879" s="10"/>
      <x:c r="B879" s="10"/>
      <x:c r="C879" s="10"/>
      <x:c r="D879" s="10"/>
      <x:c r="E879" s="10"/>
      <x:c r="F879" s="10"/>
      <x:c r="G879" s="10"/>
      <x:c r="H879" s="10"/>
      <x:c r="I879" s="10"/>
      <x:c r="J879" s="10"/>
    </x:row>
    <x:row r="880" ht="14.25" customHeight="1">
      <x:c r="A880" s="10"/>
      <x:c r="B880" s="10"/>
      <x:c r="C880" s="10"/>
      <x:c r="D880" s="10"/>
      <x:c r="E880" s="10"/>
      <x:c r="F880" s="10"/>
      <x:c r="G880" s="10"/>
      <x:c r="H880" s="10"/>
      <x:c r="I880" s="10"/>
      <x:c r="J880" s="10"/>
    </x:row>
    <x:row r="881" ht="14.25" customHeight="1">
      <x:c r="A881" s="10"/>
      <x:c r="B881" s="10"/>
      <x:c r="C881" s="10"/>
      <x:c r="D881" s="10"/>
      <x:c r="E881" s="10"/>
      <x:c r="F881" s="10"/>
      <x:c r="G881" s="10"/>
      <x:c r="H881" s="10"/>
      <x:c r="I881" s="10"/>
      <x:c r="J881" s="10"/>
    </x:row>
    <x:row r="882" ht="14.25" customHeight="1">
      <x:c r="A882" s="10"/>
      <x:c r="B882" s="10"/>
      <x:c r="C882" s="10"/>
      <x:c r="D882" s="10"/>
      <x:c r="E882" s="10"/>
      <x:c r="F882" s="10"/>
      <x:c r="G882" s="10"/>
      <x:c r="H882" s="10"/>
      <x:c r="I882" s="10"/>
      <x:c r="J882" s="10"/>
    </x:row>
    <x:row r="883" ht="14.25" customHeight="1">
      <x:c r="A883" s="10"/>
      <x:c r="B883" s="10"/>
      <x:c r="C883" s="10"/>
      <x:c r="D883" s="10"/>
      <x:c r="E883" s="10"/>
      <x:c r="F883" s="10"/>
      <x:c r="G883" s="10"/>
      <x:c r="H883" s="10"/>
      <x:c r="I883" s="10"/>
      <x:c r="J883" s="10"/>
    </x:row>
    <x:row r="884" ht="14.25" customHeight="1">
      <x:c r="A884" s="10"/>
      <x:c r="B884" s="10"/>
      <x:c r="C884" s="10"/>
      <x:c r="D884" s="10"/>
      <x:c r="E884" s="10"/>
      <x:c r="F884" s="10"/>
      <x:c r="G884" s="10"/>
      <x:c r="H884" s="10"/>
      <x:c r="I884" s="10"/>
      <x:c r="J884" s="10"/>
    </x:row>
    <x:row r="885" ht="14.25" customHeight="1">
      <x:c r="A885" s="10"/>
      <x:c r="B885" s="10"/>
      <x:c r="C885" s="10"/>
      <x:c r="D885" s="10"/>
      <x:c r="E885" s="10"/>
      <x:c r="F885" s="10"/>
      <x:c r="G885" s="10"/>
      <x:c r="H885" s="10"/>
      <x:c r="I885" s="10"/>
      <x:c r="J885" s="10"/>
    </x:row>
    <x:row r="886" ht="14.25" customHeight="1">
      <x:c r="A886" s="10"/>
      <x:c r="B886" s="10"/>
      <x:c r="C886" s="10"/>
      <x:c r="D886" s="10"/>
      <x:c r="E886" s="10"/>
      <x:c r="F886" s="10"/>
      <x:c r="G886" s="10"/>
      <x:c r="H886" s="10"/>
      <x:c r="I886" s="10"/>
      <x:c r="J886" s="10"/>
    </x:row>
    <x:row r="887" ht="14.25" customHeight="1">
      <x:c r="A887" s="10"/>
      <x:c r="B887" s="10"/>
      <x:c r="C887" s="10"/>
      <x:c r="D887" s="10"/>
      <x:c r="E887" s="10"/>
      <x:c r="F887" s="10"/>
      <x:c r="G887" s="10"/>
      <x:c r="H887" s="10"/>
      <x:c r="I887" s="10"/>
      <x:c r="J887" s="10"/>
    </x:row>
    <x:row r="888" ht="14.25" customHeight="1">
      <x:c r="A888" s="10"/>
      <x:c r="B888" s="10"/>
      <x:c r="C888" s="10"/>
      <x:c r="D888" s="10"/>
      <x:c r="E888" s="10"/>
      <x:c r="F888" s="10"/>
      <x:c r="G888" s="10"/>
      <x:c r="H888" s="10"/>
      <x:c r="I888" s="10"/>
      <x:c r="J888" s="10"/>
    </x:row>
    <x:row r="889" ht="14.25" customHeight="1">
      <x:c r="A889" s="10"/>
      <x:c r="B889" s="10"/>
      <x:c r="C889" s="10"/>
      <x:c r="D889" s="10"/>
      <x:c r="E889" s="10"/>
      <x:c r="F889" s="10"/>
      <x:c r="G889" s="10"/>
      <x:c r="H889" s="10"/>
      <x:c r="I889" s="10"/>
      <x:c r="J889" s="10"/>
    </x:row>
    <x:row r="890" ht="14.25" customHeight="1">
      <x:c r="A890" s="10"/>
      <x:c r="B890" s="10"/>
      <x:c r="C890" s="10"/>
      <x:c r="D890" s="10"/>
      <x:c r="E890" s="10"/>
      <x:c r="F890" s="10"/>
      <x:c r="G890" s="10"/>
      <x:c r="H890" s="10"/>
      <x:c r="I890" s="10"/>
      <x:c r="J890" s="10"/>
    </x:row>
    <x:row r="891" ht="14.25" customHeight="1">
      <x:c r="A891" s="10"/>
      <x:c r="B891" s="10"/>
      <x:c r="C891" s="10"/>
      <x:c r="D891" s="10"/>
      <x:c r="E891" s="10"/>
      <x:c r="F891" s="10"/>
      <x:c r="G891" s="10"/>
      <x:c r="H891" s="10"/>
      <x:c r="I891" s="10"/>
      <x:c r="J891" s="10"/>
    </x:row>
    <x:row r="892" ht="14.25" customHeight="1">
      <x:c r="A892" s="10"/>
      <x:c r="B892" s="10"/>
      <x:c r="C892" s="10"/>
      <x:c r="D892" s="10"/>
      <x:c r="E892" s="10"/>
      <x:c r="F892" s="10"/>
      <x:c r="G892" s="10"/>
      <x:c r="H892" s="10"/>
      <x:c r="I892" s="10"/>
      <x:c r="J892" s="10"/>
    </x:row>
    <x:row r="893" ht="14.25" customHeight="1">
      <x:c r="A893" s="10"/>
      <x:c r="B893" s="10"/>
      <x:c r="C893" s="10"/>
      <x:c r="D893" s="10"/>
      <x:c r="E893" s="10"/>
      <x:c r="F893" s="10"/>
      <x:c r="G893" s="10"/>
      <x:c r="H893" s="10"/>
      <x:c r="I893" s="10"/>
      <x:c r="J893" s="10"/>
    </x:row>
    <x:row r="894" ht="14.25" customHeight="1">
      <x:c r="A894" s="10"/>
      <x:c r="B894" s="10"/>
      <x:c r="C894" s="10"/>
      <x:c r="D894" s="10"/>
      <x:c r="E894" s="10"/>
      <x:c r="F894" s="10"/>
      <x:c r="G894" s="10"/>
      <x:c r="H894" s="10"/>
      <x:c r="I894" s="10"/>
      <x:c r="J894" s="10"/>
    </x:row>
    <x:row r="895" ht="14.25" customHeight="1">
      <x:c r="A895" s="10"/>
      <x:c r="B895" s="10"/>
      <x:c r="C895" s="10"/>
      <x:c r="D895" s="10"/>
      <x:c r="E895" s="10"/>
      <x:c r="F895" s="10"/>
      <x:c r="G895" s="10"/>
      <x:c r="H895" s="10"/>
      <x:c r="I895" s="10"/>
      <x:c r="J895" s="10"/>
    </x:row>
    <x:row r="896" ht="14.25" customHeight="1">
      <x:c r="A896" s="10"/>
      <x:c r="B896" s="10"/>
      <x:c r="C896" s="10"/>
      <x:c r="D896" s="10"/>
      <x:c r="E896" s="10"/>
      <x:c r="F896" s="10"/>
      <x:c r="G896" s="10"/>
      <x:c r="H896" s="10"/>
      <x:c r="I896" s="10"/>
      <x:c r="J896" s="10"/>
    </x:row>
    <x:row r="897" ht="14.25" customHeight="1">
      <x:c r="A897" s="10"/>
      <x:c r="B897" s="10"/>
      <x:c r="C897" s="10"/>
      <x:c r="D897" s="10"/>
      <x:c r="E897" s="10"/>
      <x:c r="F897" s="10"/>
      <x:c r="G897" s="10"/>
      <x:c r="H897" s="10"/>
      <x:c r="I897" s="10"/>
      <x:c r="J897" s="10"/>
    </x:row>
    <x:row r="898" ht="14.25" customHeight="1">
      <x:c r="A898" s="10"/>
      <x:c r="B898" s="10"/>
      <x:c r="C898" s="10"/>
      <x:c r="D898" s="10"/>
      <x:c r="E898" s="10"/>
      <x:c r="F898" s="10"/>
      <x:c r="G898" s="10"/>
      <x:c r="H898" s="10"/>
      <x:c r="I898" s="10"/>
      <x:c r="J898" s="10"/>
    </x:row>
    <x:row r="899" ht="14.25" customHeight="1">
      <x:c r="A899" s="10"/>
      <x:c r="B899" s="10"/>
      <x:c r="C899" s="10"/>
      <x:c r="D899" s="10"/>
      <x:c r="E899" s="10"/>
      <x:c r="F899" s="10"/>
      <x:c r="G899" s="10"/>
      <x:c r="H899" s="10"/>
      <x:c r="I899" s="10"/>
      <x:c r="J899" s="10"/>
    </x:row>
    <x:row r="900" ht="14.25" customHeight="1">
      <x:c r="A900" s="10"/>
      <x:c r="B900" s="10"/>
      <x:c r="C900" s="10"/>
      <x:c r="D900" s="10"/>
      <x:c r="E900" s="10"/>
      <x:c r="F900" s="10"/>
      <x:c r="G900" s="10"/>
      <x:c r="H900" s="10"/>
      <x:c r="I900" s="10"/>
      <x:c r="J900" s="10"/>
    </x:row>
    <x:row r="901" ht="14.25" customHeight="1">
      <x:c r="A901" s="10"/>
      <x:c r="B901" s="10"/>
      <x:c r="C901" s="10"/>
      <x:c r="D901" s="10"/>
      <x:c r="E901" s="10"/>
      <x:c r="F901" s="10"/>
      <x:c r="G901" s="10"/>
      <x:c r="H901" s="10"/>
      <x:c r="I901" s="10"/>
      <x:c r="J901" s="10"/>
    </x:row>
    <x:row r="902" ht="14.25" customHeight="1">
      <x:c r="A902" s="10"/>
      <x:c r="B902" s="10"/>
      <x:c r="C902" s="10"/>
      <x:c r="D902" s="10"/>
      <x:c r="E902" s="10"/>
      <x:c r="F902" s="10"/>
      <x:c r="G902" s="10"/>
      <x:c r="H902" s="10"/>
      <x:c r="I902" s="10"/>
      <x:c r="J902" s="10"/>
    </x:row>
    <x:row r="903" ht="14.25" customHeight="1">
      <x:c r="A903" s="10"/>
      <x:c r="B903" s="10"/>
      <x:c r="C903" s="10"/>
      <x:c r="D903" s="10"/>
      <x:c r="E903" s="10"/>
      <x:c r="F903" s="10"/>
      <x:c r="G903" s="10"/>
      <x:c r="H903" s="10"/>
      <x:c r="I903" s="10"/>
      <x:c r="J903" s="10"/>
    </x:row>
    <x:row r="904" ht="14.25" customHeight="1">
      <x:c r="A904" s="10"/>
      <x:c r="B904" s="10"/>
      <x:c r="C904" s="10"/>
      <x:c r="D904" s="10"/>
      <x:c r="E904" s="10"/>
      <x:c r="F904" s="10"/>
      <x:c r="G904" s="10"/>
      <x:c r="H904" s="10"/>
      <x:c r="I904" s="10"/>
      <x:c r="J904" s="10"/>
    </x:row>
    <x:row r="905" ht="14.25" customHeight="1">
      <x:c r="A905" s="10"/>
      <x:c r="B905" s="10"/>
      <x:c r="C905" s="10"/>
      <x:c r="D905" s="10"/>
      <x:c r="E905" s="10"/>
      <x:c r="F905" s="10"/>
      <x:c r="G905" s="10"/>
      <x:c r="H905" s="10"/>
      <x:c r="I905" s="10"/>
      <x:c r="J905" s="10"/>
    </x:row>
    <x:row r="906" ht="14.25" customHeight="1">
      <x:c r="A906" s="10"/>
      <x:c r="B906" s="10"/>
      <x:c r="C906" s="10"/>
      <x:c r="D906" s="10"/>
      <x:c r="E906" s="10"/>
      <x:c r="F906" s="10"/>
      <x:c r="G906" s="10"/>
      <x:c r="H906" s="10"/>
      <x:c r="I906" s="10"/>
      <x:c r="J906" s="10"/>
    </x:row>
    <x:row r="907" ht="14.25" customHeight="1">
      <x:c r="A907" s="10"/>
      <x:c r="B907" s="10"/>
      <x:c r="C907" s="10"/>
      <x:c r="D907" s="10"/>
      <x:c r="E907" s="10"/>
      <x:c r="F907" s="10"/>
      <x:c r="G907" s="10"/>
      <x:c r="H907" s="10"/>
      <x:c r="I907" s="10"/>
      <x:c r="J907" s="10"/>
    </x:row>
    <x:row r="908" ht="14.25" customHeight="1">
      <x:c r="A908" s="10"/>
      <x:c r="B908" s="10"/>
      <x:c r="C908" s="10"/>
      <x:c r="D908" s="10"/>
      <x:c r="E908" s="10"/>
      <x:c r="F908" s="10"/>
      <x:c r="G908" s="10"/>
      <x:c r="H908" s="10"/>
      <x:c r="I908" s="10"/>
      <x:c r="J908" s="10"/>
    </x:row>
    <x:row r="909" ht="14.25" customHeight="1">
      <x:c r="A909" s="10"/>
      <x:c r="B909" s="10"/>
      <x:c r="C909" s="10"/>
      <x:c r="D909" s="10"/>
      <x:c r="E909" s="10"/>
      <x:c r="F909" s="10"/>
      <x:c r="G909" s="10"/>
      <x:c r="H909" s="10"/>
      <x:c r="I909" s="10"/>
      <x:c r="J909" s="10"/>
    </x:row>
    <x:row r="910" ht="14.25" customHeight="1">
      <x:c r="A910" s="10"/>
      <x:c r="B910" s="10"/>
      <x:c r="C910" s="10"/>
      <x:c r="D910" s="10"/>
      <x:c r="E910" s="10"/>
      <x:c r="F910" s="10"/>
      <x:c r="G910" s="10"/>
      <x:c r="H910" s="10"/>
      <x:c r="I910" s="10"/>
      <x:c r="J910" s="10"/>
    </x:row>
    <x:row r="911" ht="14.25" customHeight="1">
      <x:c r="A911" s="10"/>
      <x:c r="B911" s="10"/>
      <x:c r="C911" s="10"/>
      <x:c r="D911" s="10"/>
      <x:c r="E911" s="10"/>
      <x:c r="F911" s="10"/>
      <x:c r="G911" s="10"/>
      <x:c r="H911" s="10"/>
      <x:c r="I911" s="10"/>
      <x:c r="J911" s="10"/>
    </x:row>
    <x:row r="912" ht="14.25" customHeight="1">
      <x:c r="A912" s="10"/>
      <x:c r="B912" s="10"/>
      <x:c r="C912" s="10"/>
      <x:c r="D912" s="10"/>
      <x:c r="E912" s="10"/>
      <x:c r="F912" s="10"/>
      <x:c r="G912" s="10"/>
      <x:c r="H912" s="10"/>
      <x:c r="I912" s="10"/>
      <x:c r="J912" s="10"/>
    </x:row>
    <x:row r="913" ht="14.25" customHeight="1">
      <x:c r="A913" s="10"/>
      <x:c r="B913" s="10"/>
      <x:c r="C913" s="10"/>
      <x:c r="D913" s="10"/>
      <x:c r="E913" s="10"/>
      <x:c r="F913" s="10"/>
      <x:c r="G913" s="10"/>
      <x:c r="H913" s="10"/>
      <x:c r="I913" s="10"/>
      <x:c r="J913" s="10"/>
    </x:row>
    <x:row r="914" ht="14.25" customHeight="1">
      <x:c r="A914" s="10"/>
      <x:c r="B914" s="10"/>
      <x:c r="C914" s="10"/>
      <x:c r="D914" s="10"/>
      <x:c r="E914" s="10"/>
      <x:c r="F914" s="10"/>
      <x:c r="G914" s="10"/>
      <x:c r="H914" s="10"/>
      <x:c r="I914" s="10"/>
      <x:c r="J914" s="10"/>
    </x:row>
    <x:row r="915" ht="14.25" customHeight="1">
      <x:c r="A915" s="10"/>
      <x:c r="B915" s="10"/>
      <x:c r="C915" s="10"/>
      <x:c r="D915" s="10"/>
      <x:c r="E915" s="10"/>
      <x:c r="F915" s="10"/>
      <x:c r="G915" s="10"/>
      <x:c r="H915" s="10"/>
      <x:c r="I915" s="10"/>
      <x:c r="J915" s="10"/>
    </x:row>
    <x:row r="916" ht="14.25" customHeight="1">
      <x:c r="A916" s="10"/>
      <x:c r="B916" s="10"/>
      <x:c r="C916" s="10"/>
      <x:c r="D916" s="10"/>
      <x:c r="E916" s="10"/>
      <x:c r="F916" s="10"/>
      <x:c r="G916" s="10"/>
      <x:c r="H916" s="10"/>
      <x:c r="I916" s="10"/>
      <x:c r="J916" s="10"/>
    </x:row>
    <x:row r="917" ht="14.25" customHeight="1">
      <x:c r="A917" s="10"/>
      <x:c r="B917" s="10"/>
      <x:c r="C917" s="10"/>
      <x:c r="D917" s="10"/>
      <x:c r="E917" s="10"/>
      <x:c r="F917" s="10"/>
      <x:c r="G917" s="10"/>
      <x:c r="H917" s="10"/>
      <x:c r="I917" s="10"/>
      <x:c r="J917" s="10"/>
    </x:row>
    <x:row r="918" ht="14.25" customHeight="1">
      <x:c r="A918" s="10"/>
      <x:c r="B918" s="10"/>
      <x:c r="C918" s="10"/>
      <x:c r="D918" s="10"/>
      <x:c r="E918" s="10"/>
      <x:c r="F918" s="10"/>
      <x:c r="G918" s="10"/>
      <x:c r="H918" s="10"/>
      <x:c r="I918" s="10"/>
      <x:c r="J918" s="10"/>
    </x:row>
    <x:row r="919" ht="14.25" customHeight="1">
      <x:c r="A919" s="10"/>
      <x:c r="B919" s="10"/>
      <x:c r="C919" s="10"/>
      <x:c r="D919" s="10"/>
      <x:c r="E919" s="10"/>
      <x:c r="F919" s="10"/>
      <x:c r="G919" s="10"/>
      <x:c r="H919" s="10"/>
      <x:c r="I919" s="10"/>
      <x:c r="J919" s="10"/>
    </x:row>
    <x:row r="920" ht="14.25" customHeight="1">
      <x:c r="A920" s="10"/>
      <x:c r="B920" s="10"/>
      <x:c r="C920" s="10"/>
      <x:c r="D920" s="10"/>
      <x:c r="E920" s="10"/>
      <x:c r="F920" s="10"/>
      <x:c r="G920" s="10"/>
      <x:c r="H920" s="10"/>
      <x:c r="I920" s="10"/>
      <x:c r="J920" s="10"/>
    </x:row>
    <x:row r="921" ht="14.25" customHeight="1">
      <x:c r="A921" s="10"/>
      <x:c r="B921" s="10"/>
      <x:c r="C921" s="10"/>
      <x:c r="D921" s="10"/>
      <x:c r="E921" s="10"/>
      <x:c r="F921" s="10"/>
      <x:c r="G921" s="10"/>
      <x:c r="H921" s="10"/>
      <x:c r="I921" s="10"/>
      <x:c r="J921" s="10"/>
    </x:row>
    <x:row r="922" ht="14.25" customHeight="1">
      <x:c r="A922" s="10"/>
      <x:c r="B922" s="10"/>
      <x:c r="C922" s="10"/>
      <x:c r="D922" s="10"/>
      <x:c r="E922" s="10"/>
      <x:c r="F922" s="10"/>
      <x:c r="G922" s="10"/>
      <x:c r="H922" s="10"/>
      <x:c r="I922" s="10"/>
      <x:c r="J922" s="10"/>
    </x:row>
    <x:row r="923" ht="14.25" customHeight="1">
      <x:c r="A923" s="10"/>
      <x:c r="B923" s="10"/>
      <x:c r="C923" s="10"/>
      <x:c r="D923" s="10"/>
      <x:c r="E923" s="10"/>
      <x:c r="F923" s="10"/>
      <x:c r="G923" s="10"/>
      <x:c r="H923" s="10"/>
      <x:c r="I923" s="10"/>
      <x:c r="J923" s="10"/>
    </x:row>
    <x:row r="924" ht="14.25" customHeight="1">
      <x:c r="A924" s="10"/>
      <x:c r="B924" s="10"/>
      <x:c r="C924" s="10"/>
      <x:c r="D924" s="10"/>
      <x:c r="E924" s="10"/>
      <x:c r="F924" s="10"/>
      <x:c r="G924" s="10"/>
      <x:c r="H924" s="10"/>
      <x:c r="I924" s="10"/>
      <x:c r="J924" s="10"/>
    </x:row>
    <x:row r="925" ht="14.25" customHeight="1">
      <x:c r="A925" s="10"/>
      <x:c r="B925" s="10"/>
      <x:c r="C925" s="10"/>
      <x:c r="D925" s="10"/>
      <x:c r="E925" s="10"/>
      <x:c r="F925" s="10"/>
      <x:c r="G925" s="10"/>
      <x:c r="H925" s="10"/>
      <x:c r="I925" s="10"/>
      <x:c r="J925" s="10"/>
    </x:row>
    <x:row r="926" ht="14.25" customHeight="1">
      <x:c r="A926" s="10"/>
      <x:c r="B926" s="10"/>
      <x:c r="C926" s="10"/>
      <x:c r="D926" s="10"/>
      <x:c r="E926" s="10"/>
      <x:c r="F926" s="10"/>
      <x:c r="G926" s="10"/>
      <x:c r="H926" s="10"/>
      <x:c r="I926" s="10"/>
      <x:c r="J926" s="10"/>
    </x:row>
    <x:row r="927" ht="14.25" customHeight="1">
      <x:c r="A927" s="10"/>
      <x:c r="B927" s="10"/>
      <x:c r="C927" s="10"/>
      <x:c r="D927" s="10"/>
      <x:c r="E927" s="10"/>
      <x:c r="F927" s="10"/>
      <x:c r="G927" s="10"/>
      <x:c r="H927" s="10"/>
      <x:c r="I927" s="10"/>
      <x:c r="J927" s="10"/>
    </x:row>
    <x:row r="928" ht="14.25" customHeight="1">
      <x:c r="A928" s="10"/>
      <x:c r="B928" s="10"/>
      <x:c r="C928" s="10"/>
      <x:c r="D928" s="10"/>
      <x:c r="E928" s="10"/>
      <x:c r="F928" s="10"/>
      <x:c r="G928" s="10"/>
      <x:c r="H928" s="10"/>
      <x:c r="I928" s="10"/>
      <x:c r="J928" s="10"/>
    </x:row>
    <x:row r="929" ht="14.25" customHeight="1">
      <x:c r="A929" s="10"/>
      <x:c r="B929" s="10"/>
      <x:c r="C929" s="10"/>
      <x:c r="D929" s="10"/>
      <x:c r="E929" s="10"/>
      <x:c r="F929" s="10"/>
      <x:c r="G929" s="10"/>
      <x:c r="H929" s="10"/>
      <x:c r="I929" s="10"/>
      <x:c r="J929" s="10"/>
    </x:row>
    <x:row r="930" ht="14.25" customHeight="1">
      <x:c r="A930" s="10"/>
      <x:c r="B930" s="10"/>
      <x:c r="C930" s="10"/>
      <x:c r="D930" s="10"/>
      <x:c r="E930" s="10"/>
      <x:c r="F930" s="10"/>
      <x:c r="G930" s="10"/>
      <x:c r="H930" s="10"/>
      <x:c r="I930" s="10"/>
      <x:c r="J930" s="10"/>
    </x:row>
    <x:row r="931" ht="14.25" customHeight="1">
      <x:c r="A931" s="10"/>
      <x:c r="B931" s="10"/>
      <x:c r="C931" s="10"/>
      <x:c r="D931" s="10"/>
      <x:c r="E931" s="10"/>
      <x:c r="F931" s="10"/>
      <x:c r="G931" s="10"/>
      <x:c r="H931" s="10"/>
      <x:c r="I931" s="10"/>
      <x:c r="J931" s="10"/>
    </x:row>
    <x:row r="932" ht="14.25" customHeight="1">
      <x:c r="A932" s="10"/>
      <x:c r="B932" s="10"/>
      <x:c r="C932" s="10"/>
      <x:c r="D932" s="10"/>
      <x:c r="E932" s="10"/>
      <x:c r="F932" s="10"/>
      <x:c r="G932" s="10"/>
      <x:c r="H932" s="10"/>
      <x:c r="I932" s="10"/>
      <x:c r="J932" s="10"/>
    </x:row>
    <x:row r="933" ht="14.25" customHeight="1">
      <x:c r="A933" s="10"/>
      <x:c r="B933" s="10"/>
      <x:c r="C933" s="10"/>
      <x:c r="D933" s="10"/>
      <x:c r="E933" s="10"/>
      <x:c r="F933" s="10"/>
      <x:c r="G933" s="10"/>
      <x:c r="H933" s="10"/>
      <x:c r="I933" s="10"/>
      <x:c r="J933" s="10"/>
    </x:row>
    <x:row r="934" ht="14.25" customHeight="1">
      <x:c r="A934" s="10"/>
      <x:c r="B934" s="10"/>
      <x:c r="C934" s="10"/>
      <x:c r="D934" s="10"/>
      <x:c r="E934" s="10"/>
      <x:c r="F934" s="10"/>
      <x:c r="G934" s="10"/>
      <x:c r="H934" s="10"/>
      <x:c r="I934" s="10"/>
      <x:c r="J934" s="10"/>
    </x:row>
    <x:row r="935" ht="14.25" customHeight="1">
      <x:c r="A935" s="10"/>
      <x:c r="B935" s="10"/>
      <x:c r="C935" s="10"/>
      <x:c r="D935" s="10"/>
      <x:c r="E935" s="10"/>
      <x:c r="F935" s="10"/>
      <x:c r="G935" s="10"/>
      <x:c r="H935" s="10"/>
      <x:c r="I935" s="10"/>
      <x:c r="J935" s="10"/>
    </x:row>
    <x:row r="936" ht="14.25" customHeight="1">
      <x:c r="A936" s="10"/>
      <x:c r="B936" s="10"/>
      <x:c r="C936" s="10"/>
      <x:c r="D936" s="10"/>
      <x:c r="E936" s="10"/>
      <x:c r="F936" s="10"/>
      <x:c r="G936" s="10"/>
      <x:c r="H936" s="10"/>
      <x:c r="I936" s="10"/>
      <x:c r="J936" s="10"/>
    </x:row>
    <x:row r="937" ht="14.25" customHeight="1">
      <x:c r="A937" s="10"/>
      <x:c r="B937" s="10"/>
      <x:c r="C937" s="10"/>
      <x:c r="D937" s="10"/>
      <x:c r="E937" s="10"/>
      <x:c r="F937" s="10"/>
      <x:c r="G937" s="10"/>
      <x:c r="H937" s="10"/>
      <x:c r="I937" s="10"/>
      <x:c r="J937" s="10"/>
    </x:row>
    <x:row r="938" ht="14.25" customHeight="1">
      <x:c r="A938" s="10"/>
      <x:c r="B938" s="10"/>
      <x:c r="C938" s="10"/>
      <x:c r="D938" s="10"/>
      <x:c r="E938" s="10"/>
      <x:c r="F938" s="10"/>
      <x:c r="G938" s="10"/>
      <x:c r="H938" s="10"/>
      <x:c r="I938" s="10"/>
      <x:c r="J938" s="10"/>
    </x:row>
    <x:row r="939" ht="14.25" customHeight="1">
      <x:c r="A939" s="10"/>
      <x:c r="B939" s="10"/>
      <x:c r="C939" s="10"/>
      <x:c r="D939" s="10"/>
      <x:c r="E939" s="10"/>
      <x:c r="F939" s="10"/>
      <x:c r="G939" s="10"/>
      <x:c r="H939" s="10"/>
      <x:c r="I939" s="10"/>
      <x:c r="J939" s="10"/>
    </x:row>
    <x:row r="940" ht="14.25" customHeight="1">
      <x:c r="A940" s="10"/>
      <x:c r="B940" s="10"/>
      <x:c r="C940" s="10"/>
      <x:c r="D940" s="10"/>
      <x:c r="E940" s="10"/>
      <x:c r="F940" s="10"/>
      <x:c r="G940" s="10"/>
      <x:c r="H940" s="10"/>
      <x:c r="I940" s="10"/>
      <x:c r="J940" s="10"/>
    </x:row>
    <x:row r="941" ht="14.25" customHeight="1">
      <x:c r="A941" s="10"/>
      <x:c r="B941" s="10"/>
      <x:c r="C941" s="10"/>
      <x:c r="D941" s="10"/>
      <x:c r="E941" s="10"/>
      <x:c r="F941" s="10"/>
      <x:c r="G941" s="10"/>
      <x:c r="H941" s="10"/>
      <x:c r="I941" s="10"/>
      <x:c r="J941" s="10"/>
    </x:row>
    <x:row r="942" ht="14.25" customHeight="1">
      <x:c r="A942" s="10"/>
      <x:c r="B942" s="10"/>
      <x:c r="C942" s="10"/>
      <x:c r="D942" s="10"/>
      <x:c r="E942" s="10"/>
      <x:c r="F942" s="10"/>
      <x:c r="G942" s="10"/>
      <x:c r="H942" s="10"/>
      <x:c r="I942" s="10"/>
      <x:c r="J942" s="10"/>
    </x:row>
    <x:row r="943" ht="14.25" customHeight="1">
      <x:c r="A943" s="10"/>
      <x:c r="B943" s="10"/>
      <x:c r="C943" s="10"/>
      <x:c r="D943" s="10"/>
      <x:c r="E943" s="10"/>
      <x:c r="F943" s="10"/>
      <x:c r="G943" s="10"/>
      <x:c r="H943" s="10"/>
      <x:c r="I943" s="10"/>
      <x:c r="J943" s="10"/>
    </x:row>
    <x:row r="944" ht="14.25" customHeight="1">
      <x:c r="A944" s="10"/>
      <x:c r="B944" s="10"/>
      <x:c r="C944" s="10"/>
      <x:c r="D944" s="10"/>
      <x:c r="E944" s="10"/>
      <x:c r="F944" s="10"/>
      <x:c r="G944" s="10"/>
      <x:c r="H944" s="10"/>
      <x:c r="I944" s="10"/>
      <x:c r="J944" s="10"/>
    </x:row>
    <x:row r="945" ht="14.25" customHeight="1">
      <x:c r="A945" s="10"/>
      <x:c r="B945" s="10"/>
      <x:c r="C945" s="10"/>
      <x:c r="D945" s="10"/>
      <x:c r="E945" s="10"/>
      <x:c r="F945" s="10"/>
      <x:c r="G945" s="10"/>
      <x:c r="H945" s="10"/>
      <x:c r="I945" s="10"/>
      <x:c r="J945" s="10"/>
    </x:row>
    <x:row r="946" ht="14.25" customHeight="1">
      <x:c r="A946" s="10"/>
      <x:c r="B946" s="10"/>
      <x:c r="C946" s="10"/>
      <x:c r="D946" s="10"/>
      <x:c r="E946" s="10"/>
      <x:c r="F946" s="10"/>
      <x:c r="G946" s="10"/>
      <x:c r="H946" s="10"/>
      <x:c r="I946" s="10"/>
      <x:c r="J946" s="10"/>
    </x:row>
    <x:row r="947" ht="14.25" customHeight="1">
      <x:c r="A947" s="10"/>
      <x:c r="B947" s="10"/>
      <x:c r="C947" s="10"/>
      <x:c r="D947" s="10"/>
      <x:c r="E947" s="10"/>
      <x:c r="F947" s="10"/>
      <x:c r="G947" s="10"/>
      <x:c r="H947" s="10"/>
      <x:c r="I947" s="10"/>
      <x:c r="J947" s="10"/>
    </x:row>
    <x:row r="948" ht="14.25" customHeight="1">
      <x:c r="A948" s="10"/>
      <x:c r="B948" s="10"/>
      <x:c r="C948" s="10"/>
      <x:c r="D948" s="10"/>
      <x:c r="E948" s="10"/>
      <x:c r="F948" s="10"/>
      <x:c r="G948" s="10"/>
      <x:c r="H948" s="10"/>
      <x:c r="I948" s="10"/>
      <x:c r="J948" s="10"/>
    </x:row>
    <x:row r="949" ht="14.25" customHeight="1">
      <x:c r="A949" s="10"/>
      <x:c r="B949" s="10"/>
      <x:c r="C949" s="10"/>
      <x:c r="D949" s="10"/>
      <x:c r="E949" s="10"/>
      <x:c r="F949" s="10"/>
      <x:c r="G949" s="10"/>
      <x:c r="H949" s="10"/>
      <x:c r="I949" s="10"/>
      <x:c r="J949" s="10"/>
    </x:row>
    <x:row r="950" ht="14.25" customHeight="1">
      <x:c r="A950" s="10"/>
      <x:c r="B950" s="10"/>
      <x:c r="C950" s="10"/>
      <x:c r="D950" s="10"/>
      <x:c r="E950" s="10"/>
      <x:c r="F950" s="10"/>
      <x:c r="G950" s="10"/>
      <x:c r="H950" s="10"/>
      <x:c r="I950" s="10"/>
      <x:c r="J950" s="10"/>
    </x:row>
    <x:row r="951" ht="14.25" customHeight="1">
      <x:c r="A951" s="10"/>
      <x:c r="B951" s="10"/>
      <x:c r="C951" s="10"/>
      <x:c r="D951" s="10"/>
      <x:c r="E951" s="10"/>
      <x:c r="F951" s="10"/>
      <x:c r="G951" s="10"/>
      <x:c r="H951" s="10"/>
      <x:c r="I951" s="10"/>
      <x:c r="J951" s="10"/>
    </x:row>
    <x:row r="952" ht="14.25" customHeight="1">
      <x:c r="A952" s="10"/>
      <x:c r="B952" s="10"/>
      <x:c r="C952" s="10"/>
      <x:c r="D952" s="10"/>
      <x:c r="E952" s="10"/>
      <x:c r="F952" s="10"/>
      <x:c r="G952" s="10"/>
      <x:c r="H952" s="10"/>
      <x:c r="I952" s="10"/>
      <x:c r="J952" s="10"/>
    </x:row>
    <x:row r="953" ht="14.25" customHeight="1">
      <x:c r="A953" s="10"/>
      <x:c r="B953" s="10"/>
      <x:c r="C953" s="10"/>
      <x:c r="D953" s="10"/>
      <x:c r="E953" s="10"/>
      <x:c r="F953" s="10"/>
      <x:c r="G953" s="10"/>
      <x:c r="H953" s="10"/>
      <x:c r="I953" s="10"/>
      <x:c r="J953" s="10"/>
    </x:row>
    <x:row r="954" ht="14.25" customHeight="1">
      <x:c r="A954" s="10"/>
      <x:c r="B954" s="10"/>
      <x:c r="C954" s="10"/>
      <x:c r="D954" s="10"/>
      <x:c r="E954" s="10"/>
      <x:c r="F954" s="10"/>
      <x:c r="G954" s="10"/>
      <x:c r="H954" s="10"/>
      <x:c r="I954" s="10"/>
      <x:c r="J954" s="10"/>
    </x:row>
    <x:row r="955" ht="14.25" customHeight="1">
      <x:c r="A955" s="10"/>
      <x:c r="B955" s="10"/>
      <x:c r="C955" s="10"/>
      <x:c r="D955" s="10"/>
      <x:c r="E955" s="10"/>
      <x:c r="F955" s="10"/>
      <x:c r="G955" s="10"/>
      <x:c r="H955" s="10"/>
      <x:c r="I955" s="10"/>
      <x:c r="J955" s="10"/>
    </x:row>
    <x:row r="956" ht="14.25" customHeight="1">
      <x:c r="A956" s="10"/>
      <x:c r="B956" s="10"/>
      <x:c r="C956" s="10"/>
      <x:c r="D956" s="10"/>
      <x:c r="E956" s="10"/>
      <x:c r="F956" s="10"/>
      <x:c r="G956" s="10"/>
      <x:c r="H956" s="10"/>
      <x:c r="I956" s="10"/>
      <x:c r="J956" s="10"/>
    </x:row>
    <x:row r="957" ht="14.25" customHeight="1">
      <x:c r="A957" s="10"/>
      <x:c r="B957" s="10"/>
      <x:c r="C957" s="10"/>
      <x:c r="D957" s="10"/>
      <x:c r="E957" s="10"/>
      <x:c r="F957" s="10"/>
      <x:c r="G957" s="10"/>
      <x:c r="H957" s="10"/>
      <x:c r="I957" s="10"/>
      <x:c r="J957" s="10"/>
    </x:row>
    <x:row r="958" ht="14.25" customHeight="1">
      <x:c r="A958" s="10"/>
      <x:c r="B958" s="10"/>
      <x:c r="C958" s="10"/>
      <x:c r="D958" s="10"/>
      <x:c r="E958" s="10"/>
      <x:c r="F958" s="10"/>
      <x:c r="G958" s="10"/>
      <x:c r="H958" s="10"/>
      <x:c r="I958" s="10"/>
      <x:c r="J958" s="10"/>
    </x:row>
    <x:row r="959" ht="14.25" customHeight="1">
      <x:c r="A959" s="10"/>
      <x:c r="B959" s="10"/>
      <x:c r="C959" s="10"/>
      <x:c r="D959" s="10"/>
      <x:c r="E959" s="10"/>
      <x:c r="F959" s="10"/>
      <x:c r="G959" s="10"/>
      <x:c r="H959" s="10"/>
      <x:c r="I959" s="10"/>
      <x:c r="J959" s="10"/>
    </x:row>
    <x:row r="960" ht="14.25" customHeight="1">
      <x:c r="A960" s="10"/>
      <x:c r="B960" s="10"/>
      <x:c r="C960" s="10"/>
      <x:c r="D960" s="10"/>
      <x:c r="E960" s="10"/>
      <x:c r="F960" s="10"/>
      <x:c r="G960" s="10"/>
      <x:c r="H960" s="10"/>
      <x:c r="I960" s="10"/>
      <x:c r="J960" s="10"/>
    </x:row>
    <x:row r="961" ht="14.25" customHeight="1">
      <x:c r="A961" s="10"/>
      <x:c r="B961" s="10"/>
      <x:c r="C961" s="10"/>
      <x:c r="D961" s="10"/>
      <x:c r="E961" s="10"/>
      <x:c r="F961" s="10"/>
      <x:c r="G961" s="10"/>
      <x:c r="H961" s="10"/>
      <x:c r="I961" s="10"/>
      <x:c r="J961" s="10"/>
    </x:row>
    <x:row r="962" ht="14.25" customHeight="1">
      <x:c r="A962" s="10"/>
      <x:c r="B962" s="10"/>
      <x:c r="C962" s="10"/>
      <x:c r="D962" s="10"/>
      <x:c r="E962" s="10"/>
      <x:c r="F962" s="10"/>
      <x:c r="G962" s="10"/>
      <x:c r="H962" s="10"/>
      <x:c r="I962" s="10"/>
      <x:c r="J962" s="10"/>
    </x:row>
    <x:row r="963" ht="14.25" customHeight="1">
      <x:c r="A963" s="10"/>
      <x:c r="B963" s="10"/>
      <x:c r="C963" s="10"/>
      <x:c r="D963" s="10"/>
      <x:c r="E963" s="10"/>
      <x:c r="F963" s="10"/>
      <x:c r="G963" s="10"/>
      <x:c r="H963" s="10"/>
      <x:c r="I963" s="10"/>
      <x:c r="J963" s="10"/>
    </x:row>
    <x:row r="964" ht="14.25" customHeight="1">
      <x:c r="A964" s="10"/>
      <x:c r="B964" s="10"/>
      <x:c r="C964" s="10"/>
      <x:c r="D964" s="10"/>
      <x:c r="E964" s="10"/>
      <x:c r="F964" s="10"/>
      <x:c r="G964" s="10"/>
      <x:c r="H964" s="10"/>
      <x:c r="I964" s="10"/>
      <x:c r="J964" s="10"/>
    </x:row>
    <x:row r="965" ht="14.25" customHeight="1">
      <x:c r="A965" s="10"/>
      <x:c r="B965" s="10"/>
      <x:c r="C965" s="10"/>
      <x:c r="D965" s="10"/>
      <x:c r="E965" s="10"/>
      <x:c r="F965" s="10"/>
      <x:c r="G965" s="10"/>
      <x:c r="H965" s="10"/>
      <x:c r="I965" s="10"/>
      <x:c r="J965" s="10"/>
    </x:row>
    <x:row r="966" ht="14.25" customHeight="1">
      <x:c r="A966" s="10"/>
      <x:c r="B966" s="10"/>
      <x:c r="C966" s="10"/>
      <x:c r="D966" s="10"/>
      <x:c r="E966" s="10"/>
      <x:c r="F966" s="10"/>
      <x:c r="G966" s="10"/>
      <x:c r="H966" s="10"/>
      <x:c r="I966" s="10"/>
      <x:c r="J966" s="10"/>
    </x:row>
    <x:row r="967" ht="14.25" customHeight="1">
      <x:c r="A967" s="10"/>
      <x:c r="B967" s="10"/>
      <x:c r="C967" s="10"/>
      <x:c r="D967" s="10"/>
      <x:c r="E967" s="10"/>
      <x:c r="F967" s="10"/>
      <x:c r="G967" s="10"/>
      <x:c r="H967" s="10"/>
      <x:c r="I967" s="10"/>
      <x:c r="J967" s="10"/>
    </x:row>
    <x:row r="968" ht="14.25" customHeight="1">
      <x:c r="A968" s="10"/>
      <x:c r="B968" s="10"/>
      <x:c r="C968" s="10"/>
      <x:c r="D968" s="10"/>
      <x:c r="E968" s="10"/>
      <x:c r="F968" s="10"/>
      <x:c r="G968" s="10"/>
      <x:c r="H968" s="10"/>
      <x:c r="I968" s="10"/>
      <x:c r="J968" s="10"/>
    </x:row>
    <x:row r="969" ht="14.25" customHeight="1">
      <x:c r="A969" s="10"/>
      <x:c r="B969" s="10"/>
      <x:c r="C969" s="10"/>
      <x:c r="D969" s="10"/>
      <x:c r="E969" s="10"/>
      <x:c r="F969" s="10"/>
      <x:c r="G969" s="10"/>
      <x:c r="H969" s="10"/>
      <x:c r="I969" s="10"/>
      <x:c r="J969" s="10"/>
    </x:row>
    <x:row r="970" ht="14.25" customHeight="1">
      <x:c r="A970" s="10"/>
      <x:c r="B970" s="10"/>
      <x:c r="C970" s="10"/>
      <x:c r="D970" s="10"/>
      <x:c r="E970" s="10"/>
      <x:c r="F970" s="10"/>
      <x:c r="G970" s="10"/>
      <x:c r="H970" s="10"/>
      <x:c r="I970" s="10"/>
      <x:c r="J970" s="10"/>
    </x:row>
    <x:row r="971" ht="14.25" customHeight="1">
      <x:c r="A971" s="10"/>
      <x:c r="B971" s="10"/>
      <x:c r="C971" s="10"/>
      <x:c r="D971" s="10"/>
      <x:c r="E971" s="10"/>
      <x:c r="F971" s="10"/>
      <x:c r="G971" s="10"/>
      <x:c r="H971" s="10"/>
      <x:c r="I971" s="10"/>
      <x:c r="J971" s="10"/>
    </x:row>
    <x:row r="972" ht="14.25" customHeight="1">
      <x:c r="A972" s="10"/>
      <x:c r="B972" s="10"/>
      <x:c r="C972" s="10"/>
      <x:c r="D972" s="10"/>
      <x:c r="E972" s="10"/>
      <x:c r="F972" s="10"/>
      <x:c r="G972" s="10"/>
      <x:c r="H972" s="10"/>
      <x:c r="I972" s="10"/>
      <x:c r="J972" s="10"/>
    </x:row>
    <x:row r="973" ht="14.25" customHeight="1">
      <x:c r="A973" s="10"/>
      <x:c r="B973" s="10"/>
      <x:c r="C973" s="10"/>
      <x:c r="D973" s="10"/>
      <x:c r="E973" s="10"/>
      <x:c r="F973" s="10"/>
      <x:c r="G973" s="10"/>
      <x:c r="H973" s="10"/>
      <x:c r="I973" s="10"/>
      <x:c r="J973" s="10"/>
    </x:row>
    <x:row r="974" ht="14.25" customHeight="1">
      <x:c r="A974" s="10"/>
      <x:c r="B974" s="10"/>
      <x:c r="C974" s="10"/>
      <x:c r="D974" s="10"/>
      <x:c r="E974" s="10"/>
      <x:c r="F974" s="10"/>
      <x:c r="G974" s="10"/>
      <x:c r="H974" s="10"/>
      <x:c r="I974" s="10"/>
      <x:c r="J974" s="10"/>
    </x:row>
    <x:row r="975" ht="14.25" customHeight="1">
      <x:c r="A975" s="10"/>
      <x:c r="B975" s="10"/>
      <x:c r="C975" s="10"/>
      <x:c r="D975" s="10"/>
      <x:c r="E975" s="10"/>
      <x:c r="F975" s="10"/>
      <x:c r="G975" s="10"/>
      <x:c r="H975" s="10"/>
      <x:c r="I975" s="10"/>
      <x:c r="J975" s="10"/>
    </x:row>
    <x:row r="976" ht="14.25" customHeight="1">
      <x:c r="A976" s="10"/>
      <x:c r="B976" s="10"/>
      <x:c r="C976" s="10"/>
      <x:c r="D976" s="10"/>
      <x:c r="E976" s="10"/>
      <x:c r="F976" s="10"/>
      <x:c r="G976" s="10"/>
      <x:c r="H976" s="10"/>
      <x:c r="I976" s="10"/>
      <x:c r="J976" s="10"/>
    </x:row>
    <x:row r="977" ht="14.25" customHeight="1">
      <x:c r="A977" s="10"/>
      <x:c r="B977" s="10"/>
      <x:c r="C977" s="10"/>
      <x:c r="D977" s="10"/>
      <x:c r="E977" s="10"/>
      <x:c r="F977" s="10"/>
      <x:c r="G977" s="10"/>
      <x:c r="H977" s="10"/>
      <x:c r="I977" s="10"/>
      <x:c r="J977" s="10"/>
    </x:row>
    <x:row r="978" ht="14.25" customHeight="1">
      <x:c r="A978" s="10"/>
      <x:c r="B978" s="10"/>
      <x:c r="C978" s="10"/>
      <x:c r="D978" s="10"/>
      <x:c r="E978" s="10"/>
      <x:c r="F978" s="10"/>
      <x:c r="G978" s="10"/>
      <x:c r="H978" s="10"/>
      <x:c r="I978" s="10"/>
      <x:c r="J978" s="10"/>
    </x:row>
    <x:row r="979" ht="14.25" customHeight="1">
      <x:c r="A979" s="10"/>
      <x:c r="B979" s="10"/>
      <x:c r="C979" s="10"/>
      <x:c r="D979" s="10"/>
      <x:c r="E979" s="10"/>
      <x:c r="F979" s="10"/>
      <x:c r="G979" s="10"/>
      <x:c r="H979" s="10"/>
      <x:c r="I979" s="10"/>
      <x:c r="J979" s="10"/>
    </x:row>
    <x:row r="980" ht="14.25" customHeight="1">
      <x:c r="A980" s="10"/>
      <x:c r="B980" s="10"/>
      <x:c r="C980" s="10"/>
      <x:c r="D980" s="10"/>
      <x:c r="E980" s="10"/>
      <x:c r="F980" s="10"/>
      <x:c r="G980" s="10"/>
      <x:c r="H980" s="10"/>
      <x:c r="I980" s="10"/>
      <x:c r="J980" s="10"/>
    </x:row>
    <x:row r="981" ht="14.25" customHeight="1">
      <x:c r="A981" s="10"/>
      <x:c r="B981" s="10"/>
      <x:c r="C981" s="10"/>
      <x:c r="D981" s="10"/>
      <x:c r="E981" s="10"/>
      <x:c r="F981" s="10"/>
      <x:c r="G981" s="10"/>
      <x:c r="H981" s="10"/>
      <x:c r="I981" s="10"/>
      <x:c r="J981" s="10"/>
    </x:row>
    <x:row r="982" ht="14.25" customHeight="1">
      <x:c r="A982" s="10"/>
      <x:c r="B982" s="10"/>
      <x:c r="C982" s="10"/>
      <x:c r="D982" s="10"/>
      <x:c r="E982" s="10"/>
      <x:c r="F982" s="10"/>
      <x:c r="G982" s="10"/>
      <x:c r="H982" s="10"/>
      <x:c r="I982" s="10"/>
      <x:c r="J982" s="10"/>
    </x:row>
    <x:row r="983" ht="14.25" customHeight="1">
      <x:c r="A983" s="10"/>
      <x:c r="B983" s="10"/>
      <x:c r="C983" s="10"/>
      <x:c r="D983" s="10"/>
      <x:c r="E983" s="10"/>
      <x:c r="F983" s="10"/>
      <x:c r="G983" s="10"/>
      <x:c r="H983" s="10"/>
      <x:c r="I983" s="10"/>
      <x:c r="J983" s="10"/>
    </x:row>
    <x:row r="984" ht="14.25" customHeight="1">
      <x:c r="A984" s="10"/>
      <x:c r="B984" s="10"/>
      <x:c r="C984" s="10"/>
      <x:c r="D984" s="10"/>
      <x:c r="E984" s="10"/>
      <x:c r="F984" s="10"/>
      <x:c r="G984" s="10"/>
      <x:c r="H984" s="10"/>
      <x:c r="I984" s="10"/>
      <x:c r="J984" s="10"/>
    </x:row>
    <x:row r="985" ht="14.25" customHeight="1">
      <x:c r="A985" s="10"/>
      <x:c r="B985" s="10"/>
      <x:c r="C985" s="10"/>
      <x:c r="D985" s="10"/>
      <x:c r="E985" s="10"/>
      <x:c r="F985" s="10"/>
      <x:c r="G985" s="10"/>
      <x:c r="H985" s="10"/>
      <x:c r="I985" s="10"/>
      <x:c r="J985" s="10"/>
    </x:row>
    <x:row r="986" ht="14.25" customHeight="1">
      <x:c r="A986" s="10"/>
      <x:c r="B986" s="10"/>
      <x:c r="C986" s="10"/>
      <x:c r="D986" s="10"/>
      <x:c r="E986" s="10"/>
      <x:c r="F986" s="10"/>
      <x:c r="G986" s="10"/>
      <x:c r="H986" s="10"/>
      <x:c r="I986" s="10"/>
      <x:c r="J986" s="10"/>
    </x:row>
    <x:row r="987" ht="14.25" customHeight="1">
      <x:c r="A987" s="10"/>
      <x:c r="B987" s="10"/>
      <x:c r="C987" s="10"/>
      <x:c r="D987" s="10"/>
      <x:c r="E987" s="10"/>
      <x:c r="F987" s="10"/>
      <x:c r="G987" s="10"/>
      <x:c r="H987" s="10"/>
      <x:c r="I987" s="10"/>
      <x:c r="J987" s="10"/>
    </x:row>
    <x:row r="988" ht="14.25" customHeight="1">
      <x:c r="A988" s="10"/>
      <x:c r="B988" s="10"/>
      <x:c r="C988" s="10"/>
      <x:c r="D988" s="10"/>
      <x:c r="E988" s="10"/>
      <x:c r="F988" s="10"/>
      <x:c r="G988" s="10"/>
      <x:c r="H988" s="10"/>
      <x:c r="I988" s="10"/>
      <x:c r="J988" s="10"/>
    </x:row>
    <x:row r="989" ht="14.25" customHeight="1">
      <x:c r="A989" s="10"/>
      <x:c r="B989" s="10"/>
      <x:c r="C989" s="10"/>
      <x:c r="D989" s="10"/>
      <x:c r="E989" s="10"/>
      <x:c r="F989" s="10"/>
      <x:c r="G989" s="10"/>
      <x:c r="H989" s="10"/>
      <x:c r="I989" s="10"/>
      <x:c r="J989" s="10"/>
    </x:row>
    <x:row r="990" ht="14.25" customHeight="1">
      <x:c r="A990" s="10"/>
      <x:c r="B990" s="10"/>
      <x:c r="C990" s="10"/>
      <x:c r="D990" s="10"/>
      <x:c r="E990" s="10"/>
      <x:c r="F990" s="10"/>
      <x:c r="G990" s="10"/>
      <x:c r="H990" s="10"/>
      <x:c r="I990" s="10"/>
      <x:c r="J990" s="10"/>
    </x:row>
    <x:row r="991" ht="14.25" customHeight="1">
      <x:c r="A991" s="10"/>
      <x:c r="B991" s="10"/>
      <x:c r="C991" s="10"/>
      <x:c r="D991" s="10"/>
      <x:c r="E991" s="10"/>
      <x:c r="F991" s="10"/>
      <x:c r="G991" s="10"/>
      <x:c r="H991" s="10"/>
      <x:c r="I991" s="10"/>
      <x:c r="J991" s="10"/>
    </x:row>
    <x:row r="992" ht="14.25" customHeight="1">
      <x:c r="A992" s="10"/>
      <x:c r="B992" s="10"/>
      <x:c r="C992" s="10"/>
      <x:c r="D992" s="10"/>
      <x:c r="E992" s="10"/>
      <x:c r="F992" s="10"/>
      <x:c r="G992" s="10"/>
      <x:c r="H992" s="10"/>
      <x:c r="I992" s="10"/>
      <x:c r="J992" s="10"/>
    </x:row>
    <x:row r="993" ht="14.25" customHeight="1">
      <x:c r="A993" s="10"/>
      <x:c r="B993" s="10"/>
      <x:c r="C993" s="10"/>
      <x:c r="D993" s="10"/>
      <x:c r="E993" s="10"/>
      <x:c r="F993" s="10"/>
      <x:c r="G993" s="10"/>
      <x:c r="H993" s="10"/>
      <x:c r="I993" s="10"/>
      <x:c r="J993" s="10"/>
    </x:row>
    <x:row r="994" ht="14.25" customHeight="1">
      <x:c r="A994" s="10"/>
      <x:c r="B994" s="10"/>
      <x:c r="C994" s="10"/>
      <x:c r="D994" s="10"/>
      <x:c r="E994" s="10"/>
      <x:c r="F994" s="10"/>
      <x:c r="G994" s="10"/>
      <x:c r="H994" s="10"/>
      <x:c r="I994" s="10"/>
      <x:c r="J994" s="10"/>
    </x:row>
    <x:row r="995" ht="14.25" customHeight="1">
      <x:c r="A995" s="10"/>
      <x:c r="B995" s="10"/>
      <x:c r="C995" s="10"/>
      <x:c r="D995" s="10"/>
      <x:c r="E995" s="10"/>
      <x:c r="F995" s="10"/>
      <x:c r="G995" s="10"/>
      <x:c r="H995" s="10"/>
      <x:c r="I995" s="10"/>
      <x:c r="J995" s="10"/>
    </x:row>
    <x:row r="996" ht="14.25" customHeight="1">
      <x:c r="A996" s="10"/>
      <x:c r="B996" s="10"/>
      <x:c r="C996" s="10"/>
      <x:c r="D996" s="10"/>
      <x:c r="E996" s="10"/>
      <x:c r="F996" s="10"/>
      <x:c r="G996" s="10"/>
      <x:c r="H996" s="10"/>
      <x:c r="I996" s="10"/>
      <x:c r="J996" s="10"/>
    </x:row>
    <x:row r="997" ht="14.25" customHeight="1">
      <x:c r="A997" s="10"/>
      <x:c r="B997" s="10"/>
      <x:c r="C997" s="10"/>
      <x:c r="D997" s="10"/>
      <x:c r="E997" s="10"/>
      <x:c r="F997" s="10"/>
      <x:c r="G997" s="10"/>
      <x:c r="H997" s="10"/>
      <x:c r="I997" s="10"/>
      <x:c r="J997" s="10"/>
    </x:row>
    <x:row r="998" ht="14.25" customHeight="1">
      <x:c r="A998" s="10"/>
      <x:c r="B998" s="10"/>
      <x:c r="C998" s="10"/>
      <x:c r="D998" s="10"/>
      <x:c r="E998" s="10"/>
      <x:c r="F998" s="10"/>
      <x:c r="G998" s="10"/>
      <x:c r="H998" s="10"/>
      <x:c r="I998" s="10"/>
      <x:c r="J998" s="10"/>
    </x:row>
    <x:row r="999" ht="14.25" customHeight="1">
      <x:c r="A999" s="10"/>
      <x:c r="B999" s="10"/>
      <x:c r="C999" s="10"/>
      <x:c r="D999" s="10"/>
      <x:c r="E999" s="10"/>
      <x:c r="F999" s="10"/>
      <x:c r="G999" s="10"/>
      <x:c r="H999" s="10"/>
      <x:c r="I999" s="10"/>
      <x:c r="J999" s="10"/>
    </x:row>
    <x:row r="1000" ht="14.25" customHeight="1">
      <x:c r="A1000" s="10"/>
      <x:c r="B1000" s="10"/>
      <x:c r="C1000" s="10"/>
      <x:c r="D1000" s="10"/>
      <x:c r="E1000" s="10"/>
      <x:c r="F1000" s="10"/>
      <x:c r="G1000" s="10"/>
      <x:c r="H1000" s="10"/>
      <x:c r="I1000" s="10"/>
      <x:c r="J1000" s="10"/>
    </x:row>
  </x:sheetData>
  <x:pageMargins left="0.7" right="0.7" top="0.75" bottom="0.75" header="0.3" footer="0.3"/>
</x:worksheet>
</file>