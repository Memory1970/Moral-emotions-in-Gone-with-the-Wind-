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11111   сохраненное\Документы\HDD-old computer\Люша-2018-май\статьи\статьи 2025\uyat\paper intercultural\for submission\"/>
    </mc:Choice>
  </mc:AlternateContent>
  <xr:revisionPtr revIDLastSave="0" documentId="8_{A763770E-82BE-4245-B025-E60772CEBB54}" xr6:coauthVersionLast="47" xr6:coauthVersionMax="47" xr10:uidLastSave="{00000000-0000-0000-0000-000000000000}"/>
  <bookViews>
    <workbookView xWindow="-110" yWindow="-110" windowWidth="19420" windowHeight="11500" tabRatio="500" firstSheet="1" activeTab="2" xr2:uid="{00000000-000D-0000-FFFF-FFFF00000000}"/>
  </bookViews>
  <sheets>
    <sheet name="Corpus" sheetId="1" r:id="rId1"/>
    <sheet name="Summary" sheetId="2" r:id="rId2"/>
    <sheet name="Principal characters" sheetId="3" r:id="rId3"/>
    <sheet name="Shame" sheetId="4" r:id="rId4"/>
    <sheet name="Guilt" sheetId="5" r:id="rId5"/>
    <sheet name="Conscience" sheetId="6" r:id="rId6"/>
    <sheet name="Honor" sheetId="7" r:id="rId7"/>
    <sheet name="Russian renderings" sheetId="8" r:id="rId8"/>
    <sheet name="Kazakh renderings" sheetId="9" r:id="rId9"/>
    <sheet name="Data (parsed)"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47" i="9" l="1"/>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G22" i="7"/>
  <c r="F22" i="7"/>
  <c r="E22" i="7"/>
  <c r="D22" i="7"/>
  <c r="C22" i="7"/>
  <c r="B22" i="7"/>
  <c r="G21" i="7"/>
  <c r="F21" i="7"/>
  <c r="E21" i="7"/>
  <c r="D21" i="7"/>
  <c r="C21" i="7"/>
  <c r="B21" i="7"/>
  <c r="G20" i="7"/>
  <c r="F20" i="7"/>
  <c r="E20" i="7"/>
  <c r="D20" i="7"/>
  <c r="C20" i="7"/>
  <c r="B20" i="7"/>
  <c r="G19" i="7"/>
  <c r="F19" i="7"/>
  <c r="E19" i="7"/>
  <c r="D19" i="7"/>
  <c r="C19" i="7"/>
  <c r="B19" i="7"/>
  <c r="G18" i="7"/>
  <c r="F18" i="7"/>
  <c r="E18" i="7"/>
  <c r="D18" i="7"/>
  <c r="C18" i="7"/>
  <c r="B18" i="7"/>
  <c r="G17" i="7"/>
  <c r="F17" i="7"/>
  <c r="E17" i="7"/>
  <c r="D17" i="7"/>
  <c r="C17" i="7"/>
  <c r="C23" i="7" s="1"/>
  <c r="B17" i="7"/>
  <c r="B23" i="7" s="1"/>
  <c r="G16" i="7"/>
  <c r="G23" i="7" s="1"/>
  <c r="F16" i="7"/>
  <c r="F23" i="7" s="1"/>
  <c r="E16" i="7"/>
  <c r="E23" i="7" s="1"/>
  <c r="D16" i="7"/>
  <c r="D23" i="7" s="1"/>
  <c r="C16" i="7"/>
  <c r="B16" i="7"/>
  <c r="G11" i="7"/>
  <c r="F11" i="7"/>
  <c r="E11" i="7"/>
  <c r="D11" i="7"/>
  <c r="C11" i="7"/>
  <c r="B11" i="7"/>
  <c r="F10" i="7"/>
  <c r="E10" i="7"/>
  <c r="D10" i="7"/>
  <c r="C10" i="7"/>
  <c r="B10" i="7"/>
  <c r="G10" i="7" s="1"/>
  <c r="G9" i="7"/>
  <c r="F9" i="7"/>
  <c r="E9" i="7"/>
  <c r="D9" i="7"/>
  <c r="C9" i="7"/>
  <c r="B9" i="7"/>
  <c r="F8" i="7"/>
  <c r="E8" i="7"/>
  <c r="D8" i="7"/>
  <c r="C8" i="7"/>
  <c r="B8" i="7"/>
  <c r="G8" i="7" s="1"/>
  <c r="G7" i="7"/>
  <c r="F7" i="7"/>
  <c r="E7" i="7"/>
  <c r="D7" i="7"/>
  <c r="C7" i="7"/>
  <c r="B7" i="7"/>
  <c r="F6" i="7"/>
  <c r="E6" i="7"/>
  <c r="D6" i="7"/>
  <c r="C6" i="7"/>
  <c r="C12" i="7" s="1"/>
  <c r="B6" i="7"/>
  <c r="G6" i="7" s="1"/>
  <c r="G5" i="7"/>
  <c r="F5" i="7"/>
  <c r="F12" i="7" s="1"/>
  <c r="E5" i="7"/>
  <c r="E12" i="7" s="1"/>
  <c r="D5" i="7"/>
  <c r="D12" i="7" s="1"/>
  <c r="C5" i="7"/>
  <c r="B5" i="7"/>
  <c r="G30" i="6"/>
  <c r="F30" i="6"/>
  <c r="E30" i="6"/>
  <c r="D30" i="6"/>
  <c r="C30" i="6"/>
  <c r="B30" i="6"/>
  <c r="G29" i="6"/>
  <c r="F29" i="6"/>
  <c r="E29" i="6"/>
  <c r="D29" i="6"/>
  <c r="C29" i="6"/>
  <c r="B29" i="6"/>
  <c r="G28" i="6"/>
  <c r="F28" i="6"/>
  <c r="E28" i="6"/>
  <c r="D28" i="6"/>
  <c r="C28" i="6"/>
  <c r="B28" i="6"/>
  <c r="G27" i="6"/>
  <c r="F27" i="6"/>
  <c r="E27" i="6"/>
  <c r="D27" i="6"/>
  <c r="C27" i="6"/>
  <c r="B27" i="6"/>
  <c r="G26" i="6"/>
  <c r="F26" i="6"/>
  <c r="E26" i="6"/>
  <c r="D26" i="6"/>
  <c r="C26" i="6"/>
  <c r="B26" i="6"/>
  <c r="G25" i="6"/>
  <c r="F25" i="6"/>
  <c r="E25" i="6"/>
  <c r="D25" i="6"/>
  <c r="C25" i="6"/>
  <c r="B25" i="6"/>
  <c r="G24" i="6"/>
  <c r="F24" i="6"/>
  <c r="E24" i="6"/>
  <c r="D24" i="6"/>
  <c r="C24" i="6"/>
  <c r="B24" i="6"/>
  <c r="G23" i="6"/>
  <c r="F23" i="6"/>
  <c r="E23" i="6"/>
  <c r="D23" i="6"/>
  <c r="C23" i="6"/>
  <c r="B23" i="6"/>
  <c r="G22" i="6"/>
  <c r="F22" i="6"/>
  <c r="E22" i="6"/>
  <c r="D22" i="6"/>
  <c r="C22" i="6"/>
  <c r="B22" i="6"/>
  <c r="G21" i="6"/>
  <c r="F21" i="6"/>
  <c r="E21" i="6"/>
  <c r="D21" i="6"/>
  <c r="C21" i="6"/>
  <c r="B21" i="6"/>
  <c r="B31" i="6" s="1"/>
  <c r="G20" i="6"/>
  <c r="G31" i="6" s="1"/>
  <c r="F20" i="6"/>
  <c r="F31" i="6" s="1"/>
  <c r="E20" i="6"/>
  <c r="E31" i="6" s="1"/>
  <c r="D20" i="6"/>
  <c r="D31" i="6" s="1"/>
  <c r="C20" i="6"/>
  <c r="C31" i="6" s="1"/>
  <c r="B20" i="6"/>
  <c r="G15" i="6"/>
  <c r="F15" i="6"/>
  <c r="E15" i="6"/>
  <c r="D15" i="6"/>
  <c r="C15" i="6"/>
  <c r="B15" i="6"/>
  <c r="F14" i="6"/>
  <c r="E14" i="6"/>
  <c r="D14" i="6"/>
  <c r="C14" i="6"/>
  <c r="B14" i="6"/>
  <c r="G14" i="6" s="1"/>
  <c r="F13" i="6"/>
  <c r="G13" i="6" s="1"/>
  <c r="E13" i="6"/>
  <c r="D13" i="6"/>
  <c r="C13" i="6"/>
  <c r="B13" i="6"/>
  <c r="F12" i="6"/>
  <c r="E12" i="6"/>
  <c r="D12" i="6"/>
  <c r="C12" i="6"/>
  <c r="B12" i="6"/>
  <c r="G12" i="6" s="1"/>
  <c r="F11" i="6"/>
  <c r="G11" i="6" s="1"/>
  <c r="E11" i="6"/>
  <c r="D11" i="6"/>
  <c r="C11" i="6"/>
  <c r="B11" i="6"/>
  <c r="F10" i="6"/>
  <c r="E10" i="6"/>
  <c r="D10" i="6"/>
  <c r="C10" i="6"/>
  <c r="B10" i="6"/>
  <c r="G10" i="6" s="1"/>
  <c r="F9" i="6"/>
  <c r="G9" i="6" s="1"/>
  <c r="E9" i="6"/>
  <c r="D9" i="6"/>
  <c r="C9" i="6"/>
  <c r="B9" i="6"/>
  <c r="F8" i="6"/>
  <c r="E8" i="6"/>
  <c r="D8" i="6"/>
  <c r="C8" i="6"/>
  <c r="B8" i="6"/>
  <c r="G8" i="6" s="1"/>
  <c r="F7" i="6"/>
  <c r="G7" i="6" s="1"/>
  <c r="E7" i="6"/>
  <c r="D7" i="6"/>
  <c r="C7" i="6"/>
  <c r="B7" i="6"/>
  <c r="F6" i="6"/>
  <c r="E6" i="6"/>
  <c r="D6" i="6"/>
  <c r="C6" i="6"/>
  <c r="B6" i="6"/>
  <c r="G6" i="6" s="1"/>
  <c r="F5" i="6"/>
  <c r="F16" i="6" s="1"/>
  <c r="E5" i="6"/>
  <c r="E16" i="6" s="1"/>
  <c r="D5" i="6"/>
  <c r="D16" i="6" s="1"/>
  <c r="C5" i="6"/>
  <c r="C16" i="6" s="1"/>
  <c r="B5" i="6"/>
  <c r="G20" i="5"/>
  <c r="F20" i="5"/>
  <c r="E20" i="5"/>
  <c r="D20" i="5"/>
  <c r="C20" i="5"/>
  <c r="B20" i="5"/>
  <c r="G19" i="5"/>
  <c r="F19" i="5"/>
  <c r="E19" i="5"/>
  <c r="D19" i="5"/>
  <c r="C19" i="5"/>
  <c r="B19" i="5"/>
  <c r="G18" i="5"/>
  <c r="F18" i="5"/>
  <c r="E18" i="5"/>
  <c r="D18" i="5"/>
  <c r="C18" i="5"/>
  <c r="B18" i="5"/>
  <c r="G17" i="5"/>
  <c r="F17" i="5"/>
  <c r="E17" i="5"/>
  <c r="D17" i="5"/>
  <c r="C17" i="5"/>
  <c r="B17" i="5"/>
  <c r="G16" i="5"/>
  <c r="F16" i="5"/>
  <c r="E16" i="5"/>
  <c r="D16" i="5"/>
  <c r="C16" i="5"/>
  <c r="B16" i="5"/>
  <c r="G15" i="5"/>
  <c r="G21" i="5" s="1"/>
  <c r="F15" i="5"/>
  <c r="F21" i="5" s="1"/>
  <c r="E15" i="5"/>
  <c r="E21" i="5" s="1"/>
  <c r="D15" i="5"/>
  <c r="D21" i="5" s="1"/>
  <c r="C15" i="5"/>
  <c r="C21" i="5" s="1"/>
  <c r="B15" i="5"/>
  <c r="B21" i="5" s="1"/>
  <c r="F10" i="5"/>
  <c r="E10" i="5"/>
  <c r="D10" i="5"/>
  <c r="C10" i="5"/>
  <c r="B10" i="5"/>
  <c r="G10" i="5" s="1"/>
  <c r="F9" i="5"/>
  <c r="G9" i="5" s="1"/>
  <c r="E9" i="5"/>
  <c r="D9" i="5"/>
  <c r="C9" i="5"/>
  <c r="B9" i="5"/>
  <c r="F8" i="5"/>
  <c r="E8" i="5"/>
  <c r="D8" i="5"/>
  <c r="C8" i="5"/>
  <c r="B8" i="5"/>
  <c r="G8" i="5" s="1"/>
  <c r="F7" i="5"/>
  <c r="G7" i="5" s="1"/>
  <c r="E7" i="5"/>
  <c r="D7" i="5"/>
  <c r="C7" i="5"/>
  <c r="B7" i="5"/>
  <c r="F6" i="5"/>
  <c r="E6" i="5"/>
  <c r="D6" i="5"/>
  <c r="C6" i="5"/>
  <c r="B6" i="5"/>
  <c r="G6" i="5" s="1"/>
  <c r="F5" i="5"/>
  <c r="F11" i="5" s="1"/>
  <c r="E5" i="5"/>
  <c r="E11" i="5" s="1"/>
  <c r="D5" i="5"/>
  <c r="D11" i="5" s="1"/>
  <c r="C5" i="5"/>
  <c r="C11" i="5" s="1"/>
  <c r="B5" i="5"/>
  <c r="B11" i="5" s="1"/>
  <c r="G30" i="4"/>
  <c r="F30" i="4"/>
  <c r="E30" i="4"/>
  <c r="D30" i="4"/>
  <c r="C30" i="4"/>
  <c r="B30" i="4"/>
  <c r="G29" i="4"/>
  <c r="F29" i="4"/>
  <c r="E29" i="4"/>
  <c r="D29" i="4"/>
  <c r="C29" i="4"/>
  <c r="B29" i="4"/>
  <c r="G28" i="4"/>
  <c r="F28" i="4"/>
  <c r="E28" i="4"/>
  <c r="D28" i="4"/>
  <c r="C28" i="4"/>
  <c r="B28" i="4"/>
  <c r="G27" i="4"/>
  <c r="F27" i="4"/>
  <c r="E27" i="4"/>
  <c r="D27" i="4"/>
  <c r="C27" i="4"/>
  <c r="B27" i="4"/>
  <c r="G26" i="4"/>
  <c r="F26" i="4"/>
  <c r="E26" i="4"/>
  <c r="D26" i="4"/>
  <c r="C26" i="4"/>
  <c r="B26" i="4"/>
  <c r="G25" i="4"/>
  <c r="F25" i="4"/>
  <c r="E25" i="4"/>
  <c r="D25" i="4"/>
  <c r="C25" i="4"/>
  <c r="B25" i="4"/>
  <c r="G24" i="4"/>
  <c r="F24" i="4"/>
  <c r="E24" i="4"/>
  <c r="D24" i="4"/>
  <c r="C24" i="4"/>
  <c r="B24" i="4"/>
  <c r="G23" i="4"/>
  <c r="F23" i="4"/>
  <c r="E23" i="4"/>
  <c r="D23" i="4"/>
  <c r="C23" i="4"/>
  <c r="B23" i="4"/>
  <c r="G22" i="4"/>
  <c r="F22" i="4"/>
  <c r="E22" i="4"/>
  <c r="D22" i="4"/>
  <c r="C22" i="4"/>
  <c r="B22" i="4"/>
  <c r="G21" i="4"/>
  <c r="F21" i="4"/>
  <c r="E21" i="4"/>
  <c r="D21" i="4"/>
  <c r="C21" i="4"/>
  <c r="B21" i="4"/>
  <c r="B31" i="4" s="1"/>
  <c r="G20" i="4"/>
  <c r="G31" i="4" s="1"/>
  <c r="F20" i="4"/>
  <c r="F31" i="4" s="1"/>
  <c r="E20" i="4"/>
  <c r="E31" i="4" s="1"/>
  <c r="D20" i="4"/>
  <c r="D31" i="4" s="1"/>
  <c r="C20" i="4"/>
  <c r="C31" i="4" s="1"/>
  <c r="B20" i="4"/>
  <c r="F15" i="4"/>
  <c r="G15" i="4" s="1"/>
  <c r="E15" i="4"/>
  <c r="D15" i="4"/>
  <c r="C15" i="4"/>
  <c r="B15" i="4"/>
  <c r="F14" i="4"/>
  <c r="E14" i="4"/>
  <c r="D14" i="4"/>
  <c r="C14" i="4"/>
  <c r="B14" i="4"/>
  <c r="G14" i="4" s="1"/>
  <c r="F13" i="4"/>
  <c r="G13" i="4" s="1"/>
  <c r="E13" i="4"/>
  <c r="D13" i="4"/>
  <c r="C13" i="4"/>
  <c r="B13" i="4"/>
  <c r="F12" i="4"/>
  <c r="E12" i="4"/>
  <c r="D12" i="4"/>
  <c r="C12" i="4"/>
  <c r="B12" i="4"/>
  <c r="G12" i="4" s="1"/>
  <c r="F11" i="4"/>
  <c r="G11" i="4" s="1"/>
  <c r="E11" i="4"/>
  <c r="D11" i="4"/>
  <c r="C11" i="4"/>
  <c r="B11" i="4"/>
  <c r="F10" i="4"/>
  <c r="E10" i="4"/>
  <c r="D10" i="4"/>
  <c r="C10" i="4"/>
  <c r="B10" i="4"/>
  <c r="G10" i="4" s="1"/>
  <c r="F9" i="4"/>
  <c r="G9" i="4" s="1"/>
  <c r="E9" i="4"/>
  <c r="D9" i="4"/>
  <c r="C9" i="4"/>
  <c r="B9" i="4"/>
  <c r="F8" i="4"/>
  <c r="E8" i="4"/>
  <c r="D8" i="4"/>
  <c r="C8" i="4"/>
  <c r="B8" i="4"/>
  <c r="G8" i="4" s="1"/>
  <c r="F7" i="4"/>
  <c r="G7" i="4" s="1"/>
  <c r="E7" i="4"/>
  <c r="D7" i="4"/>
  <c r="C7" i="4"/>
  <c r="B7" i="4"/>
  <c r="F6" i="4"/>
  <c r="E6" i="4"/>
  <c r="D6" i="4"/>
  <c r="C6" i="4"/>
  <c r="B6" i="4"/>
  <c r="B16" i="4" s="1"/>
  <c r="F5" i="4"/>
  <c r="F16" i="4" s="1"/>
  <c r="E5" i="4"/>
  <c r="E16" i="4" s="1"/>
  <c r="D5" i="4"/>
  <c r="D16" i="4" s="1"/>
  <c r="C5" i="4"/>
  <c r="C16" i="4" s="1"/>
  <c r="B5" i="4"/>
  <c r="F17" i="3"/>
  <c r="E17" i="3"/>
  <c r="D17" i="3"/>
  <c r="C17" i="3"/>
  <c r="B17" i="3"/>
  <c r="G17" i="3" s="1"/>
  <c r="F16" i="3"/>
  <c r="G16" i="3" s="1"/>
  <c r="E16" i="3"/>
  <c r="D16" i="3"/>
  <c r="C16" i="3"/>
  <c r="B16" i="3"/>
  <c r="F15" i="3"/>
  <c r="E15" i="3"/>
  <c r="D15" i="3"/>
  <c r="C15" i="3"/>
  <c r="B15" i="3"/>
  <c r="G15" i="3" s="1"/>
  <c r="F14" i="3"/>
  <c r="G14" i="3" s="1"/>
  <c r="E14" i="3"/>
  <c r="D14" i="3"/>
  <c r="C14" i="3"/>
  <c r="B14" i="3"/>
  <c r="E10" i="3"/>
  <c r="D10" i="3"/>
  <c r="C10" i="3"/>
  <c r="B10" i="3"/>
  <c r="F10" i="3" s="1"/>
  <c r="E9" i="3"/>
  <c r="D9" i="3"/>
  <c r="F9" i="3" s="1"/>
  <c r="C9" i="3"/>
  <c r="B9" i="3"/>
  <c r="E8" i="3"/>
  <c r="D8" i="3"/>
  <c r="C8" i="3"/>
  <c r="F8" i="3" s="1"/>
  <c r="B8" i="3"/>
  <c r="E7" i="3"/>
  <c r="D7" i="3"/>
  <c r="C7" i="3"/>
  <c r="B7" i="3"/>
  <c r="F7" i="3" s="1"/>
  <c r="F6" i="3"/>
  <c r="E6" i="3"/>
  <c r="D6" i="3"/>
  <c r="C6" i="3"/>
  <c r="B6" i="3"/>
  <c r="E46" i="2"/>
  <c r="D46" i="2"/>
  <c r="C46" i="2"/>
  <c r="B46" i="2"/>
  <c r="F46" i="2" s="1"/>
  <c r="E45" i="2"/>
  <c r="F45" i="2" s="1"/>
  <c r="D45" i="2"/>
  <c r="C45" i="2"/>
  <c r="B45" i="2"/>
  <c r="E44" i="2"/>
  <c r="D44" i="2"/>
  <c r="C44" i="2"/>
  <c r="B44" i="2"/>
  <c r="F44" i="2" s="1"/>
  <c r="E43" i="2"/>
  <c r="D43" i="2"/>
  <c r="C43" i="2"/>
  <c r="B43" i="2"/>
  <c r="F43" i="2" s="1"/>
  <c r="E42" i="2"/>
  <c r="D42" i="2"/>
  <c r="C42" i="2"/>
  <c r="B42" i="2"/>
  <c r="F42" i="2" s="1"/>
  <c r="E41" i="2"/>
  <c r="D41" i="2"/>
  <c r="C41" i="2"/>
  <c r="B41" i="2"/>
  <c r="F41" i="2" s="1"/>
  <c r="F40" i="2"/>
  <c r="E40" i="2"/>
  <c r="D40" i="2"/>
  <c r="C40" i="2"/>
  <c r="B40" i="2"/>
  <c r="E39" i="2"/>
  <c r="D39" i="2"/>
  <c r="C39" i="2"/>
  <c r="B39" i="2"/>
  <c r="F39" i="2" s="1"/>
  <c r="E38" i="2"/>
  <c r="D38" i="2"/>
  <c r="F38" i="2" s="1"/>
  <c r="C38" i="2"/>
  <c r="B38" i="2"/>
  <c r="E37" i="2"/>
  <c r="D37" i="2"/>
  <c r="C37" i="2"/>
  <c r="F37" i="2" s="1"/>
  <c r="B37" i="2"/>
  <c r="E36" i="2"/>
  <c r="D36" i="2"/>
  <c r="C36" i="2"/>
  <c r="B36" i="2"/>
  <c r="F36" i="2" s="1"/>
  <c r="F35" i="2"/>
  <c r="E35" i="2"/>
  <c r="D35" i="2"/>
  <c r="C35" i="2"/>
  <c r="B35" i="2"/>
  <c r="E34" i="2"/>
  <c r="D34" i="2"/>
  <c r="C34" i="2"/>
  <c r="B34" i="2"/>
  <c r="F34" i="2" s="1"/>
  <c r="E33" i="2"/>
  <c r="F33" i="2" s="1"/>
  <c r="D33" i="2"/>
  <c r="C33" i="2"/>
  <c r="B33" i="2"/>
  <c r="E32" i="2"/>
  <c r="D32" i="2"/>
  <c r="C32" i="2"/>
  <c r="B32" i="2"/>
  <c r="F32" i="2" s="1"/>
  <c r="E31" i="2"/>
  <c r="D31" i="2"/>
  <c r="C31" i="2"/>
  <c r="B31" i="2"/>
  <c r="F31" i="2" s="1"/>
  <c r="E30" i="2"/>
  <c r="D30" i="2"/>
  <c r="C30" i="2"/>
  <c r="B30" i="2"/>
  <c r="F30" i="2" s="1"/>
  <c r="E29" i="2"/>
  <c r="D29" i="2"/>
  <c r="C29" i="2"/>
  <c r="B29" i="2"/>
  <c r="F29" i="2" s="1"/>
  <c r="F28" i="2"/>
  <c r="E28" i="2"/>
  <c r="D28" i="2"/>
  <c r="C28" i="2"/>
  <c r="B28" i="2"/>
  <c r="E27" i="2"/>
  <c r="D27" i="2"/>
  <c r="C27" i="2"/>
  <c r="B27" i="2"/>
  <c r="F27" i="2" s="1"/>
  <c r="E26" i="2"/>
  <c r="D26" i="2"/>
  <c r="F26" i="2" s="1"/>
  <c r="C26" i="2"/>
  <c r="B26" i="2"/>
  <c r="E25" i="2"/>
  <c r="D25" i="2"/>
  <c r="C25" i="2"/>
  <c r="F25" i="2" s="1"/>
  <c r="B25" i="2"/>
  <c r="E24" i="2"/>
  <c r="D24" i="2"/>
  <c r="C24" i="2"/>
  <c r="B24" i="2"/>
  <c r="F24" i="2" s="1"/>
  <c r="F23" i="2"/>
  <c r="E23" i="2"/>
  <c r="D23" i="2"/>
  <c r="C23" i="2"/>
  <c r="B23" i="2"/>
  <c r="E22" i="2"/>
  <c r="D22" i="2"/>
  <c r="C22" i="2"/>
  <c r="B22" i="2"/>
  <c r="F22" i="2" s="1"/>
  <c r="F17" i="2"/>
  <c r="E17" i="2"/>
  <c r="D17" i="2"/>
  <c r="C17" i="2"/>
  <c r="B17" i="2"/>
  <c r="G17" i="2" s="1"/>
  <c r="F16" i="2"/>
  <c r="G16" i="2" s="1"/>
  <c r="E16" i="2"/>
  <c r="D16" i="2"/>
  <c r="C16" i="2"/>
  <c r="B16" i="2"/>
  <c r="F15" i="2"/>
  <c r="E15" i="2"/>
  <c r="D15" i="2"/>
  <c r="C15" i="2"/>
  <c r="B15" i="2"/>
  <c r="G15" i="2" s="1"/>
  <c r="F14" i="2"/>
  <c r="F18" i="2" s="1"/>
  <c r="E14" i="2"/>
  <c r="E18" i="2" s="1"/>
  <c r="D14" i="2"/>
  <c r="D18" i="2" s="1"/>
  <c r="C14" i="2"/>
  <c r="C18" i="2" s="1"/>
  <c r="B14" i="2"/>
  <c r="B18" i="2" s="1"/>
  <c r="B9" i="2"/>
  <c r="B8" i="2"/>
  <c r="B7" i="2"/>
  <c r="B6" i="2"/>
  <c r="B10" i="2" s="1"/>
  <c r="G12" i="7" l="1"/>
  <c r="G5" i="5"/>
  <c r="G11" i="5" s="1"/>
  <c r="G5" i="6"/>
  <c r="G16" i="6" s="1"/>
  <c r="B12" i="7"/>
  <c r="B16" i="6"/>
  <c r="G14" i="2"/>
  <c r="G18" i="2" s="1"/>
  <c r="G6" i="4"/>
  <c r="G5" i="4"/>
  <c r="G16" i="4" s="1"/>
</calcChain>
</file>

<file path=xl/sharedStrings.xml><?xml version="1.0" encoding="utf-8"?>
<sst xmlns="http://schemas.openxmlformats.org/spreadsheetml/2006/main" count="4587" uniqueCount="1140">
  <si>
    <t>#</t>
  </si>
  <si>
    <t>Domain — Category</t>
  </si>
  <si>
    <t>Part</t>
  </si>
  <si>
    <t>Semantic</t>
  </si>
  <si>
    <t>English</t>
  </si>
  <si>
    <t>Character</t>
  </si>
  <si>
    <t>Mode</t>
  </si>
  <si>
    <t>Russian</t>
  </si>
  <si>
    <t>Kazakh</t>
  </si>
  <si>
    <t>SHAME DOMAIN</t>
  </si>
  <si>
    <t>Shame — Moral shame</t>
  </si>
  <si>
    <t>P1</t>
  </si>
  <si>
    <t>caused moral shame, tears as physical manifestation; Ellen (external moral standard, parental authority)</t>
  </si>
  <si>
    <t>At sixteen, thanks to Mammy and Ellen, she looked sweet, charming and giddy, but she was, in reality, self-willed, vain and obstinate. She had the easily stirred passions of her Irish father and nothing except the thinnest veneer of her mother's unselfish and forbearing nature. Ellen never fully realized that it was only a veneer, for Scarlett always showed her best face to her mother, concealing her escapades, curbing her temper and appearing as sweet-natured as she could in Ellen's presence, for her mother could shame her to tears with a reproachful glance.</t>
  </si>
  <si>
    <t>Scarlett</t>
  </si>
  <si>
    <t>felt</t>
  </si>
  <si>
    <t>TERM: pristydit' (пристыдить) — to put to shame, to shame (someone) [ORD]
PASSAGE: ибо одного укоряющего взгляда матери было достаточно, чтобы пристыдить ее до слез.
TRANS: ibo odnogo ukoryayushchego vzglyada materi bylo dostatochno, chtoby pristydit' ee do slez.
TRANSLATION: for a single reproachful glance from her mother was enough to shame her to tears.</t>
  </si>
  <si>
    <t>TERM: ŪYALTU (ҰЯЛТУ) — to make (someone) feel ashamed; to disconcert; to embarrass (causative) [KED, SZK]
PASSAGE: Өзін момын етіп көрсетудің жолын білді, анасының сөге қараған жалғыз көзқарасы оны ұялтып, жылатуға жеткілікті болатын
TRANS: Özin momyn etip körsetudiñ jolyn bildi, anasynyñ söge qarağan jalğyz közqarasy ony ūyaltyp, jylatuğa jetkilikti bolatyn
TRANSLATION: She knew how to put on an air of meekness; her mother's single reproachful glance was enough to shame her into tears.</t>
  </si>
  <si>
    <t>mild moral shame, inner accusation; no physical manifestation; Ellen (internalized moral standard)</t>
  </si>
  <si>
    <t>To Scarlett, the very idea of saying such things to her own mother was almost sacrilegious. And yet—and yet—there was something very pleasant about the Tarleton girls' relations with their mother, and they adored her for all that they criticized and scolded and teased her. Not, Scarlett loyally hastened to tell herself, that she would prefer a mother like Mrs. Tarleton to Ellen, but still it would be fun to romp with a mother. She knew that even that thought was disrespectful to Ellen and felt ashamed of it.</t>
  </si>
  <si>
    <t>TERM: ustydilas' (устыдилась) — felt ashamed (pf., past fem.) [ORD] (lemma: устыдиться)
PASSAGE: Но она устыдилась такой мысли, почувствовав даже в этом какое-то неуважение к Эллин
TRANS: No ona ustydilas' takoy mysli, pochuvstvovav dazhe v etom kakoe-to neuvazhenie k Ellin
TRANSLATION: But she felt ashamed at such a thought, sensing in it a kind of disrespect toward Ellen</t>
  </si>
  <si>
    <t>TERM: ŪYALU (ҰЯЛУ) — to feel ashamed; to feel shy; to be embarrassed [KED, SZK]
PASSAGE: Әйтсе де мұндай ойдың өзі Эллинге деген құрметсіздік сияқты сезіліп, ұялып қалды.
TRANS: Äytse de mūnday oydyñ özi Ellinge degen qūrmetsizdik siyaqty sezilip, ūyalyp qaldy.
TRANSLATION: And yet such a thought itself felt like disrespect toward Ellen, and she felt ashamed.</t>
  </si>
  <si>
    <t>P3</t>
  </si>
  <si>
    <t>shame at openly  violating social-moral duty; mild; no physical manifestation</t>
  </si>
  <si>
    <t>She went hastily up the two short blocks to Peachtree Street, breathing the unfouled air in as deep gulps as her tightly laced corset would permit. She was standing on the corner, uncertain as to what she would do next, ashamed to go home to Aunt Pitty's but determined not to go back to the hospital, when Rhett Butler drove by.</t>
  </si>
  <si>
    <t>TERM: stydno (стыдно) — it is shameful; (one) feels ashamed (impersonal predicate) [ORD]
PASSAGE: ей стыдно было возвратиться к тете Питти,
TRANS: ey stydno bylo vozvratit'sya k tete Pitti,
TRANSLATION: she was ashamed to return to Aunt Pitty,</t>
  </si>
  <si>
    <t>TERM: ŪYALU (ҰЯЛУ) — to feel ashamed; to feel shy; to be embarrassed [KED, SZK]
PASSAGE: Бұрышқа жеткенде әрі қарай қалай жүрерін білмей тұрып қалды; Ол Питти тәтейге баруға ұялды
TRANS: Būryshqa jetkende äri qaray qalay jürerin bilmey tūryp qaldy; Ol Pitti täteyge baruğa ūyaldy
TRANSLATION: When she reached the corner she stood still, not knowing what to do next; she was too ashamed to go to Aunt Pitty.</t>
  </si>
  <si>
    <t>mild moral shame about angry outburst towards a servant; inner accusation; no physical manifestation; no specific witness</t>
  </si>
  <si>
    <t>A sullen "Yas'm" drifted up to her and she drew a deep breath, feeling suddenly ashamed of herself.</t>
  </si>
  <si>
    <t>TERM: ustydyas' (устыдясь) — having felt ashamed (gerund) [ORD] (lemma: устыдиться)
PASSAGE: и Скарлетт глубоко вздохнула, устыдясь своей внезапной вспышки
TRANS: i Skarlett gluboko vzdokhnula, ustydyas' svoey vnezapnoy vspyshki
TRANSLATION: and Scarlett took a deep breath, ashamed of her sudden outburst</t>
  </si>
  <si>
    <t>TERM: ŪYALU (ҰЯЛУ) — to feel ashamed; to feel shy; to be embarrassed [KED, SZK]
PASSAGE: Скарлетт өзінің кенеттен тұтанып кеткеніне ұялып, терең күрсінді.
TRANS: Skarlett öziniñ kenetten tūtanyp ketkenine ūyalyp, tereñ kürsindi.
TRANSLATION: Scarlett, ashamed of her sudden flaring up, took a deep breath.</t>
  </si>
  <si>
    <t>shame about own cowardice, inadvertently exposed by Melanie; no physical manifestation</t>
  </si>
  <si>
    <t>What Melanie said was no more than Scarlett had been thinking but hearing it put into words infuriated her, shamed her as if her secret cowardice was written plainly in her face.</t>
  </si>
  <si>
    <t>TERM: stydno (стыдно) — it is shameful; (one) feels ashamed (impersonal predicate) [ORD]
PASSAGE: ей было стыдно, словно Мелани прочла трусливые мысли на ее лице.
TRANS: ey bylo stydno, slovno Melani prochla truslivye mysli na ee litse.
TRANSLATION: she felt ashamed, as if Melanie had read her cowardly thoughts on her face.</t>
  </si>
  <si>
    <t>TERM: ŪYALU (ҰЯЛУ) — to feel ashamed; to feel shy; to be embarrassed [KED, SZK]
PASSAGE: Мелани тек Скарлеттің өзі ойлағанын дауыстап айтқан еді, бірақ Скарлетт, Мелани оның қорқынышын бетінен оқып қойғандай, ұялғаннан ашуланды.
TRANS: Melani tek Skarlettiñ özi oylağanyn dauystap aytqan edi, biraq Skarlett, Melani onyñ qorqynyshyn betinen oqyp qoyğanday, ūyalğannan ashulandy.
TRANSLATION: Melanie had only said aloud what Scarlett herself had been thinking, but Scarlett, as if Melanie had read her fear on her face, became angry from shame.</t>
  </si>
  <si>
    <t>shame about unfair inner judgment; no physical manifestation; no audience</t>
  </si>
  <si>
    <t>By a series of limping jerks, she pulled the body down the hall toward the back porch and, pausing to wipe her forehead with the back of her hand, glanced back toward Melanie, sitting against the wall hugging her thin knees to her bare breasts. How silly of Melanie to be bothering about modesty at a time like this, Scarlett thought irritably. It was just part of her nicey-nice way of acting which had always made Scarlett despise her. Then shame rose in her. After all—after all, Melanie had dragged herself from bed so soon after having a baby and had come to her aid with a weapon too heavy even for her to lift. That had taken courage, the kind of courage Scarlett honestly knew she herself did not possess, the thin-steel, spun-silk courage which had characterized Melanie on the terrible night Atlanta fell and on the long trip home. It was the same intangible, unspectacular courage that all the Wilkeses possessed, a quality which Scarlett did not understand but to which she gave grudging tribute.</t>
  </si>
  <si>
    <t>TERM: stydno (стыдно) — it is shameful; (one) feels ashamed (impersonal predicate) [ORD]
PASSAGE: И тут ей неожиданно стало стыдно.
TRANS: I tut ey neozhidanno stalo stydno.
TRANSLATION: And then suddenly she felt ashamed.</t>
  </si>
  <si>
    <t>PASSAGE: Бірақ ол көп ұзамай ұялыс тапты.
TRANS: Biraq ol köp ūzamay ūyalys tapty.
TRANSLATION: But before long she felt embarrassment / a sense of shame.</t>
  </si>
  <si>
    <t>P4</t>
  </si>
  <si>
    <t>shame ascribed to  another — performative speech act (verdict / directive)</t>
  </si>
  <si>
    <t>"She didn't write you? Oh, I guess she was too ashamed to write you. She should be ashamed! Oh, to have such a mean sister!"</t>
  </si>
  <si>
    <t>ascribed</t>
  </si>
  <si>
    <t>TERM: stydno (стыдно) — it is shameful; (one) feels ashamed (impersonal predicate) [ORD]
PASSAGE: Ах, наверное, ей было слишком стыдно.
TRANS: Akh, navernoe, ey bylo slishkom stydno.
TRANSLATION: Ah, she must have been too ashamed.</t>
  </si>
  <si>
    <t>TERM: ŪYAT (ҰЯТ) — shame; disgrace; sense of decency (also: that which is improper) [KED, SZK]
PASSAGE: Сірә, ұяты жібермеген шығар.
TRANS: Sirä, ūyaty jibermegen shyğar.
TRANSLATION: Most likely shame did not let her [write].</t>
  </si>
  <si>
    <t>mild shame about being thought better than she is; no physical manifestation; community / diffuse audience</t>
  </si>
  <si>
    <t>She felt puzzled and a little ashamed, as always when people attributed to her emotions and motives they possessed and thought she shared.</t>
  </si>
  <si>
    <t>TERM: pristyzhennoy (пристыженной) — shamed, abashed (past pass. participle) [ORD] (lemma: пристыженный)
PASSAGE: Скарлетт была озадачена и чувствовала себя немного пристыженной
TRANS: Skarlett byla ozadachena i chuvstvovala sebya nemnogo pristyzhennoy
TRANSLATION: Scarlett was puzzled and felt herself a bit shamed</t>
  </si>
  <si>
    <t>TERM: QOLAYSYZ (ҚОЛАЙСЫЗ) — inappropriate; inconvenient; awkward [KED, SZK]
PASSAGE: Скарлеттің көңілі алаңдап, өзін қолайсыз сезініп тұр, әйтеуір, адамдар ылғи да бұған өзінің ойлары мен сезімдерін таңады да жүреді, мұның ортақтаспайтынымен шаруалары жоқ.
TRANS: Skarlettiñ köñili alañdap, özin qolaysyz sezinip tūr, äyteuir, adamdar ylği da būğan öziniñ oylary men sezimderin tañady da jüredi, mūnyñ ortaqtaspaytynymen sharualary joq.
TRANSLATION: Scarlett was confused and felt awkward — people always ascribe to her their own thoughts and feelings, with no regard for whether she shares them.</t>
  </si>
  <si>
    <t>Ashley’s self-directed moral shame about causing another to sacrifice</t>
  </si>
  <si>
    <t>"You ashamed? Why should you be ashamed? I'm the one to feel shame and I do. If it hadn't been for my stupidity you wouldn't be in this fix. You'd never have married Frank. I should never have let you leave Tara last winter. Oh, fool that I was! I should have known you—known you were desperate, so desperate that you'd— I should have—I should have—" His face went haggard.</t>
  </si>
  <si>
    <t>TERM: stydno (стыдно) — it is shameful; (one) feels ashamed (impersonal predicate) [ORD]
PASSAGE: Вам было стыдно?
TRANS: Vam bylo stydno?
TRANSLATION: You were ashamed?</t>
  </si>
  <si>
    <t>TERM: ŪYALU (ҰЯЛУ) — to feel ashamed; to feel shy; to be embarrassed [KED, SZK]
PASSAGE: Ұялдым дейсіз бе?
TRANS: Ūyaldym deysiz be?
TRANSLATION: You say you were ashamed?</t>
  </si>
  <si>
    <t>moral shame, Ashley’s self-accusation and pain as stimulus; physical manifestation – facial expression (eyes); Ashley as stimulus and witness</t>
  </si>
  <si>
    <t>The edge in his voice spoke of a raw, unhealed wound that ached within him and his words brought shame to her eyes. He was swift to see it and his face changed to gentleness.</t>
  </si>
  <si>
    <t>TERM: slezy styda (слезы стыда) — tears of shame [ORD] (lemma: слеза)
PASSAGE: Раздражение, звучавшее в его голосе, говорило о незаживающей ране, которая болела, и от его слов слезы стыда выступили у нее на глазах.
TRANS: Razdrazhenie, zvuchavshee v ego golose, govorilo o nezazhivayushchey rane, kotoraya bolela, i ot ego slov slezy styda vystupili u nee na glazakh.
TRANSLATION: The irritation that sounded in his voice spoke of an unhealing wound that hurt, and at his words tears of shame welled up in her eyes.</t>
  </si>
  <si>
    <t>PASSAGE: Эшлидің үнінде бір наланың белгісі бар секілді, жазылмаған жараның қазір де жанына батып тұрғаны байқалғанда, Скарлеттің көзінен жас тамшылары ытқып шығып, кеудесіне тырс-тырс тамды.
TRANS: Eshlidiñ üninde bir nalanyñ belgisi bar sekildi, jazylmağan jaranyñ qazir de janyna batyp tūrğany bayqalğanda, Skarlettiñ közinen jas tamshylary ytqyp shyğyp, keudesine tyrs-tyrs tamdy.
TRANSLATION: In Ashley's voice there was, as it were, a sign of grievance — it could be felt that the unhealed wound was hurting his soul even now — and tears of shame burst from Scarlett's eyes and dripped onto her chest.</t>
  </si>
  <si>
    <t>moral shame, inner accusation; no physical manifestation; not understanding Melanie as stimulus and moral mirror; Melanie ascribing noble motives to Scarlett when she had ulterior motives</t>
  </si>
  <si>
    <t>Her eyes blazed with enthusiasm and happiness and the two stared at her, Ashley with a queer stunned look, Scarlett with surprise mingled with shame. It had never occurred to her that Melanie missed Atlanta so much and longed to be back, longed for a home of her own. She had seemed so contented at Tara it came to Scarlett as a shock that she was homesick.</t>
  </si>
  <si>
    <t>TERM: styda (стыда) — shame (genitive) [ORD] (lemma: стыд)
PASSAGE: Скарлетт — со смесью удивления и стыда.
TRANS: Skarlett — so smes'yu udivleniya i styda.
TRANSLATION: Scarlett — with a mix of surprise and shame.</t>
  </si>
  <si>
    <t>TERM: ŪYAT (ҰЯТ) — shame; disgrace; sense of decency (also: that which is improper) [KED, SZK]
PASSAGE: Эшли дағдарып, есін жия алмаса, Скарлетт ұяттан өртеніп әрі таңырқап тұр.
TRANS: Eshli dağdaryp, esin jiya almasa, Skarlett ūyattan örtenip äri tañyrqap tūr.
TRANSLATION: While Ashley was confused and could not collect himself, Scarlett stood burning with shame and astonished.</t>
  </si>
  <si>
    <t>moral shame, inner accusation; no physical manifestation; Melanie as moral mirror; Melanie and Ashley audience</t>
  </si>
  <si>
    <t>As usual when confronted by Melanie's habit of attributing worthy motives where no worth existed, Scarlett was ashamed and irritated, and suddenly she could not meet either Ashley's or Melanie's eyes.</t>
  </si>
  <si>
    <t>TERM: styda (стыда) — shame (genitive) [ORD] (lemma: стыд)
PASSAGE: И Скарлетт, столкнувшись с этим умением Мелани приписывать людям благородные поступки там, где благородством и не пахло, почувствовала, по обыкновению, прилив стыда и раздражения
TRANS: I Skarlett, stolknuvshis' s etim umeniem Melani pripisyvat' lyudyam blagorodnye postupki tam, gde blagorodstvom i ne pakhlo, pochuvstvovala, po obyknoveniyu, priliv styda i razdrazheniya
TRANSLATION: And Scarlett, faced with this skill of Melanie's for ascribing noble motives to people where no nobility was to be found, felt her customary surge of shame and irritation</t>
  </si>
  <si>
    <t>TERM: ŪYAT (ҰЯТ) — shame; disgrace; sense of decency (also: that which is improper) [KED, SZK]
PASSAGE: Өзінің көрген, маңдайына бұйырған әр жақсылығын қашан да біреудің арқасында болды деп ойлайтын Меланидің мына қуанышты күйі Скарлеттің бетінен отын шығарып, ұяттан жерге кірердей болды.
TRANS: Öziniñ körgen, mañdayyna būyyrğan är jaqsylyğyn qashan da bireudiñ arqasynda boldy dep oylaytyn Melanidiñ myna quanyshty küyi Skarlettiñ betinen otyn shyğaryp, ūyattan jerge kirerdey boldy.
TRANSLATION: Melanie's joyous mood — always thinking that every good thing she had received in life had come because of someone else — made Scarlett's face burn and want to sink into the ground from shame.</t>
  </si>
  <si>
    <t>P5</t>
  </si>
  <si>
    <t>Shame about past moral wrongs, strengthened by Melanie’s love; no physical manifestation; Melanie as moral mirror</t>
  </si>
  <si>
    <t>But at her first tumbled-out words: "Melly, I must explain about the other day—" Melanie had imperiously stopped her. Scarlett looking shamefaced into the dark eyes that were flashing with love and anger, knew with a sinking heart that the peace and calm following confession could never be hers. Melanie had forever cut off that line of action by her first words. With one of the few adult emotions Scarlett had ever had, she realized that to unburden her own tortured heart would be the purest selfishness. She would be ridding herself of her burden and laying it on the heart of an innocent and trusting person. She owed Melanie a debt for her championship and that debt could only be paid with silence. What cruel payment it would be to wreck Melanie's life with the unwelcome knowledge that her husband was unfaithful to her, and her beloved friend a party to it!</t>
  </si>
  <si>
    <t>TERM: stydom (стыдом) — shame (instrumental) [ORD] (lemma: стыд)
PASSAGE: И Скарлетт, со стыдом глядя в темные, сверкающие любовью и возмущением глаза, почувствовала, как у нее захолонуло сердце, ибо поняла, что никогда не узнает мира и покоя, следующих за признанием.
TRANS: I Skarlett, so stydom glyadya v temnye, sverkayushchie lyubov'yu i vozmushcheniem glaza, pochuvstvovala, kak u nee zakholonulo serdtse, ibo ponyala, chto nikogda ne uznaet mira i pokoya, sleduyushchikh za priznaniem.
TRANSLATION: And Scarlett, looking with shame into the dark eyes shining with love and indignation, felt her heart go cold, for she understood that she would never know the peace and quiet that follows confession.</t>
  </si>
  <si>
    <t>PASSAGE: Өзіне деген махаббат пен ықыластың мейірімін шаша, жарқыраған көзіне қарап тұрып, бұдан былайғы өмірінде өзінің жан тыныштығы бола қоймасын анық сезді де, жүрегі мұздап, іші-бауыры аяғының басына түсіп кеткендей болды.
TRANS: Özine degen makhabbat pen yqylastyñ meyirimin shasha, jarqyrağan közine qarap tūryp, būdan bylayğy ömirinde öziniñ jan tynyshtyğy bola qoymasyn anyq sezdi de, jüregi mūzdap, ishi-bauyry ayağynyñ basyna tüsip ketkendey boldy.
TRANSLATION: Looking into [Melanie's] eyes radiating the warmth of love and graciousness toward her, she clearly sensed that henceforth there would be no peace of soul for her in life, and her heart froze, her insides falling to her feet.</t>
  </si>
  <si>
    <t>retrospective moral shame, sustained burden; no physical manifestation; Melanie as moral mirror</t>
  </si>
  <si>
    <t>Yes, it would be her cross, until she died, to keep this torment silent within her, to wear the hair shirt of shame, to feel it chafing her at every tender look and gesture Melanie would make throughout the years, to subdue forever the impulse to cry: "Don't be so kind! Don't fight for me! I'm not worth it!"</t>
  </si>
  <si>
    <t>TERM: styda (стыда) — shame (genitive) [ORD] (lemma: стыд)
PASSAGE: Да, этот крест она будет нести до самой смерти — будет молча терпеть свою муку, никому не скажет о том, как больно колет ее власяница стыда при каждом нежном взгляде и жесте Мелани, будет вечно подавлять в себе желание крикнуть: «Не будь такой доброй!
TRANS: Da, etot krest ona budet nesti do samoy smerti — budet molcha terpet' svoyu muku, nikomu ne skazhet o tom, kak bol'no kolet ee vlasyanitsa styda pri kazhdom nezhnom vzglyade i zheste Melani, budet vechno podavlyat' v sebe zhelanie kriknut': «Ne bud' takoy dobroy!
TRANSLATION: Yes, she would bear this cross until her very death — she would silently endure her torment, would tell no one how painfully the hair shirt of shame pricked her at every tender glance and gesture of Melanie's, would forever suppress the desire to cry: "Don't be so kind!"</t>
  </si>
  <si>
    <t>TERM: KÜNÄ (КҮНӘ) — sin (religious register; from Persian gunāh) [KED, SZK]
PASSAGE: Иә, бұл күнәсін мәңгі арқалайтынын өзі де біледі, үнсіз шыдайды, Меланидің мейірімі төгілген әрбір көзқарасын көрген сайын жүрегі шаншып, «Бұлай елжіремеші маған! Мен үшін ешкіммен күреспе де! Мен оған мүлдем лайық емеспін!» дегісі келеді.
TRANS: Iä, būl künäsin mäñgi arqalaytynyn özi de biledi, ünsiz shydaydy, Melanidiñ meyirimi tögilgen ärbir közqarasyn körgen sayyn jüregi shanshyp, «Būlay eljiremeshi mağan! Men üshin eshkimmen kürespe de! Men oğan müldem layyq emespin!» degisi keledi.
TRANSLATION: Yes, she herself knows that she will carry this sin forever; she will endure in silence; every time she sees Melanie's glance brimming with kindness her heart pierces her, and she wants to say: "Don't feel such tenderness for me! Don't fight with anyone for my sake! I am not at all worthy of it!"</t>
  </si>
  <si>
    <t>retrospective moral shame, sustained burden; sobs; Melanie as moral mirror</t>
  </si>
  <si>
    <t>At the mention of Ashley's name, Scarlett's heart stood still, cold as granite within her. Melanie had known all the time. Scarlett dropped her head on the coverlet and a sob that would not rise caught her throat with a cruel hand. Melanie knew. Scarlett was beyond shame now, beyond any feeling save a wild remorse that she had hurt this gentle creature throughout the long years. Melanie had known—and yet, she had remained her loyal friend. Oh, if she could only live those years over again! She would never even let her eyes meet those of Ashley.</t>
  </si>
  <si>
    <t>TERM: stydno (стыдно) — it is shameful; (one) feels ashamed (impersonal predicate) [ORD]
PASSAGE: Сейчас Скарлетт уже не было стыдно, она ничего не чувствовала, кроме диких угрызений совести за то, что столько лет причиняла боль этой мягкой, ласковой женщине.
TRANS: Seychas Skarlett uzhe ne bylo stydno, ona nichego ne chuvstvovala, krome dikikh ugryzeniy sovesti za to, chto stol'ko let prichinyala bol' etoy myagkoy, laskovoy zhenshchine.
TRANSLATION: Now Scarlett was no longer ashamed; she felt nothing but wild pangs of conscience for having caused pain to this gentle, tender woman for so many years.</t>
  </si>
  <si>
    <t>TERM: ŪYALU (ҰЯЛУ) — to feel ashamed; to feel shy; to be embarrassed [KED, SZK]
PASSAGE: Дәл қазір Скарлетт ешкімнен, ештеңеден де ұялған жоқ, осынау мейірімді де жұмсақ, жайсаң әйелге өмір бойы қиянат жасап келгеніне ғана қиналды.
TRANS: Däl qazir Skarlett eshkimnen, eshteñeden de ūyalğan joq, osynau meyirimdi de jūmsaq, jaysañ äyelge ömir boyy qiyanat jasap kelgenine ğana qinaldy.
TRANSLATION: Right now Scarlett was not ashamed of anyone, of anything; she only suffered because she had wronged this kind, gentle, generous woman all her life.</t>
  </si>
  <si>
    <t>retrospective moral shame about cruelty to Rhett, sustained burden; internal (heart contracts); no audience</t>
  </si>
  <si>
    <t>She had started up the steps in search of him when she saw that the door of the dining room was closed. Her heart contracted a little with shame at the sight of that closed door, remembering the many nights of this last summer when Rhett had sat there alone, drinking until he was sodden and Pork came to urge him to bed. That had been her fault but she'd change it all. Everything was to be different from now on—but, please God, don't let him be too drunk tonight. If he's too drunk he won't believe me and he'll laugh at me and that will break my heart.</t>
  </si>
  <si>
    <t>TERM: styda (стыда) — shame (genitive) [ORD] (lemma: стыд)
PASSAGE: Сердце у нее чуть сжалось от стыда при виде этой закрытой двери — она вспомнила многие вечера прошедшего лета, когда Ретт сидел там один и пил до одурения, а потом Порк являлся и укладывал его в постель.
TRANS: Serdtse u nee chut' szhalos' ot styda pri vide etoy zakrytoy dveri — ona vspomnila mnogie vechera proshedshego leta, kogda Rett sidel tam odin i pil do odureniya, a potom Pork yavlyalsya i ukladyval ego v postel'.
TRANSLATION: Her heart contracted with shame at the sight of this closed door — she remembered many evenings of the past summer when Rhett sat there alone drinking himself into oblivion, and then Pork would come and put him to bed.</t>
  </si>
  <si>
    <t>TERM: ŪYALU (ҰЯЛУ) — to feel ashamed; to feel shy; to be embarrassed [KED, SZK]
PASSAGE: Сол есікке көзі түскенде Реттің есінен танғанша ішетін кездері, ақырында Порктің оны сүйрелеп, төсегіне әзер жеткізетін сәттері көп болған өткен жаздың кештері есіне түсіп, ұялғаннан жүрегі қысылып кетті.
TRANS: Sol esikke közi tüskende Rettiñ esinen tanğansha ishetin kezderi, aqyrynda Porktiñ ony süyrelep, tösegine äzer jetkizetin sätteri köp bolğan ötken jazdyñ keshteri esine tüsip, ūyalğannan jüregi qysylyp ketti.
TRANSLATION: When her gaze fell on that door she remembered the evenings of the past summer when Rhett used to drink until he lost his senses, and finally Pork would drag him and barely manage to put him in bed — and her heart was clenched from shame.</t>
  </si>
  <si>
    <t>Preventative shame about breaking social-moral conventions – speaking of love to Rhett when Melanie just died; no physical manifestation; Rhett as specific witness</t>
  </si>
  <si>
    <t>She nodded and advanced hesitantly toward him, uncertainty taking form in her mind at this new expression on his face. Without rising, he pushed back a chair with his foot and she sank into it. She wished he had not spoken of Melanie so soon. She did not want to talk of her now, to re-live the agony of the last hour. There was all the rest of her life in which to speak of Melanie. But it seemed to her now, driven by a fierce desire to cry: "I love you," that there was only this night, this hour, in which to tell Rhett what was in her mind. But there was something in his face that stopped her and she was suddenly ashamed to speak of love when Melanie was hardly cold.</t>
  </si>
  <si>
    <t>TERM: stydno (стыдно) — it is shameful; (one) feels ashamed (impersonal predicate) [ORD]
PASSAGE: Но что-то в его лице удержало ее, и внезапно ей стало стыдно говорить о любви в такую минуту — ведь Мелани еще не успела остыть.
TRANS: No chto-to v ego litse uderzhalo ee, i vnezapno ey stalo stydno govorit' o lyubvi v takuyu minutu — ved' Melani eshche ne uspela ostyt'.
TRANSLATION: But something in his face restrained her, and suddenly she felt ashamed to speak of love at such a moment — Melanie had not yet had time to grow cold.</t>
  </si>
  <si>
    <t>TERM: ŪYAT (ҰЯТ) — shame; disgrace; sense of decency (also: that which is improper) [KED, SZK]
PASSAGE: Бірақ оның жүзіндегі әлдене ниетін тежей берді, тіпті мынадай жағдайда сезім туралы айтудың өзі ұят сияқтанды, Меланидің денесі де суып үлгермеді ғой.
TRANS: Biraq onyñ jüzindegi äldene nietin tejey berdi, tipti mynaday jağdayda sezim turaly aytudyñ özi ūyat siyaqtandy, Melanidiñ denesi de suyp ülgermedi ğoy.
TRANSLATION: But something on his face held back her intent; even speaking of feelings in such a situation felt like a shame, since Melanie's body had not even had time to cool.</t>
  </si>
  <si>
    <t>Moral shame expected by Scarlett, not felt by Rhett</t>
  </si>
  <si>
    <t>"Well, I'm glad to learn you are ashamed of the way you treated me."</t>
  </si>
  <si>
    <t>Rhett</t>
  </si>
  <si>
    <t>TERM: stydno (стыдно) — it is shameful; (one) feels ashamed (impersonal predicate) [ORD]
PASSAGE: Что ж, я рада слышать, что вам стыдно вспоминать, как вы поступили со мной.
TRANS: Chto zh, ya rada slyshat', chto vam stydno vspominat', kak vy postupili so mnoy.
TRANSLATION: Well, I am glad to hear that you are ashamed of remembering how you treated me.</t>
  </si>
  <si>
    <t>TERM: ÖKİNU (ӨКІНУ) — to regret; to repent [KED, SZK]
PASSAGE: Жарайды, мені тастап кеткеніңіз үшін өкінгеніңізге де қуанамын.
TRANS: Jaraydy, meni tastap ketkeniñiz üshin ökingeniñizge de quanamyn.
TRANSLATION: Very well, I am also glad that you regret leaving me behind.</t>
  </si>
  <si>
    <t>Melanie as moral mirror; reproaches Scarlett for doubting Melanie’s good opinion of her</t>
  </si>
  <si>
    <t>"Darling, I don't want any explanation from you and I won't listen to one," said Melanie firmly as she gently laid a small hand across Scarlett's tortured lips and stilled her words. "You insult yourself and Ashley and me by even thinking there could be need of explanations between us. Why, we three have been—have been like soldiers fighting the world together for so many years that I'm ashamed of you for thinking idle gossip could come between us. Do you think I'd believe that you and my Ashley— Why, the idea! Don't you realize I know you better than anyone in the world knows you? Do you think I've forgotten all the wonderful, unselfish things you've done for Ashley and Beau and me—everything from saving my life to keeping us from starving."</t>
  </si>
  <si>
    <t>Melanie</t>
  </si>
  <si>
    <t>TERM: stydno (стыдно) — it is shameful; (one) feels ashamed (impersonal predicate) [ORD]
PASSAGE: Ведь мы трое… как солдаты сражались вместе на протяжении стольких лет, так что мне даже стыдно за тебя: ну, как ты могла подумать, что досужие сплетни могут возвести между нами стену.
TRANS: Ved' my troe… kak soldaty srazhalis' vmeste na protyazhenii stol'kikh let, tak chto mne dazhe stydno za tebya: nu, kak ty mogla podumat', chto dosuzhie spletni mogut vozvesti mezhdu nami stenu.
TRANSLATION: For we three... like soldiers fought together for so many years, that I am even ashamed for you: how could you have thought that idle gossip could erect a wall between us.</t>
  </si>
  <si>
    <t>TERM: ŪYALU (ҰЯЛУ) — to feel ashamed; to feel shy; to be embarrassed [KED, SZK]
PASSAGE: Біз үшеуміз… қаншама жылдар бойы қатар түзеп, өмірдегі тосқауылдармен сарбаздарша күресіп, беріспей келеміз, сондықтан сенің бұл әрекетің үшін ұяламын, қайдағы біреулердің қаңқу өсектеріне бола ортамызда алауыздық болады деп, қалай ойлайсың, сірә?
TRANS: Biz üsheumiz… qanshama jyldar boyy qatar tüzep, ömirdegi tosqauyldarmen sarbazdarsha küresip, berispey kelemiz, sondyqtan seniñ būl äreketiñ üshin ūyalamyn, qaydağy bireulerdiñ qañqu ösekterine bola ortamyzda alauyzdyq bolady dep, qalay oylaysyñ, sirä?
TRANSLATION: We three... for so many years standing in line, fighting like soldiers against life's obstacles without yielding — and so I am ashamed for you for this action of yours: how could you have thought that the cackling rumors of some people would create division among us?</t>
  </si>
  <si>
    <t>P2</t>
  </si>
  <si>
    <t>Moral inner shame about infidelity; facial expression manifestation; Scarlett witness</t>
  </si>
  <si>
    <t>He bent suddenly to retrieve his hat and she had one glimpse of his face. It was the unhappiest face she was ever to see, a face from which all aloofness had fled. Written on it were his love for and joy that she loved him, but battling them both were shame and despair.</t>
  </si>
  <si>
    <t>Ashley</t>
  </si>
  <si>
    <t>TERM: styd (стыд) — shame; the feeling of having transgressed a moral or social norm [ORD]
PASSAGE: Она поняла, что он любит ее и ее любовь дает ему радость и повергает его в безмерное отчаяние и стыд.
TRANS: Ona ponyala, chto on lyubit ee i ee lyubov' daet emu radost' i povergaet ego v bezmernoe otchayanie i styd.
TRANSLATION: She understood that he loves her, and that her love brings him joy and casts him into boundless despair and shame.</t>
  </si>
  <si>
    <t>TERM: ŪYAT (ҰЯТ) — shame; disgrace; sense of decency (also: that which is improper) [KED, SZK]
PASSAGE: Ол оның өзін жақсы көретінін түсінді... мұның махаббаты оған қуаныш сыйлайтынын және оны үлкен үмітсіздік пен ұятқа душар ететінін де түсінді.
TRANS: Ol onyñ özin jaqsy köretinin tüsindi... mūnyñ makhabbaty oğan quanysh syylaytynyn jäne ony ülken ümitsizdik pen ūyatqa dushar etetinin de tüsindi.
TRANSLATION: She understood that he loves her... she understood that her love gives him joy and brings him to great hopelessness and shame.</t>
  </si>
  <si>
    <t>Ashley disclaims Scarlett’s social shame, claims his moral shame</t>
  </si>
  <si>
    <t>spoken</t>
  </si>
  <si>
    <t>TERM: stydno (стыдно) — it is shameful; (one) feels ashamed (impersonal predicate) [ORD]
PASSAGE: Вам было стыдно? Stydit’sja (стыдиться) = to be ashamed
TRANS: Vam bylo stydno? Stydit’sja (stydit'sya) = to be ashamed
TRANSLATION: You were ashamed?</t>
  </si>
  <si>
    <t>Moral shame observed by Scarlett</t>
  </si>
  <si>
    <t>Ashley was doing little better with convicts than he had done with free labor, although why, he was unable to tell. Moreover, he looked as if he were ashamed to be working convicts and he had little to say to her these days.</t>
  </si>
  <si>
    <t>TERM: stydilsya (стыдился) — felt ashamed (3sg masc. past, impf.) [ORD] (lemma: стыдиться)
PASSAGE: К тому же он, казалось, стыдился того, что у него работают каторжники, и почти не общался со Скарлетт.
TRANS: K tomu zhe on, kazalos', stydilsya togo, chto u nego rabotayut katorzhniki, i pochti ne obshchalsya so Skarlett.
TRANSLATION: Moreover, he seemed to be ashamed that convicts were working for him, and he hardly communicated with Scarlett at all.</t>
  </si>
  <si>
    <t>TERM: QYSYLU (ҚЫСЫЛУ) — to feel embarrassed; to feel constrained; to be in difficulty [KED, SZK]
PASSAGE: Сотталғандармен жұмыс істеп жүргеніне қысылатын да сияқты ма, Скарлеттпен де көп кездеспей жүр.
TRANS: Sottalğandarmen jūmys istep jürgenine qysylatyn da siyaqty ma, Skarlettpen de köp kezdespey jür.
TRANSLATION: It seems he is also embarrassed at working with convicts; he no longer often meets with Scarlett either.</t>
  </si>
  <si>
    <t>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</si>
  <si>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t>Scarlett-Ashley</t>
  </si>
  <si>
    <t>TERM: pozor (позор) — disgrace; shame; ignominy [ORD]
PASSAGE: "
TRANS: "
TRANSLATION: [passage marked with quote mark only — likely intended placeholder]</t>
  </si>
  <si>
    <t>TERM: kinä men künä (кінә мен күнә) — guilt and sin (set phrase combining secular and religious registers) [KED, SZK] (lemma: кінә)
PASSAGE: Осы уақытқа дейін өз арқасына басқан кінә мен күнәнің қап-қара нүктесі жылыстап, Эшлиге қарай ауып бара жатты.
TRANS: Osy uaqytqa deyin öz arqasyna basqan kinä men künäniñ qap-qara nüktesi jylystap, Eshlige qaray auyp bara jatty.
TRANSLATION: Up till now, the pitch-black mark of guilt and sin she had borne on her own back was sliding off and shifting toward Ashley.</t>
  </si>
  <si>
    <t>Shame about being caught in a lie about knowing midwifery</t>
  </si>
  <si>
    <t>"Fo' Gawd, Miss Scarlett—" Fright and shame were in her rolling eyes.</t>
  </si>
  <si>
    <t>Prissy</t>
  </si>
  <si>
    <t>TERM: styd (стыд) — shame; the feeling of having transgressed a moral or social norm [ORD]
PASSAGE: Растерянность и стыд были в ее вытаращенных от страха глазах.
TRANS: Rasteryannost' i styd byli v ee vytarashchennykh ot strakha glazakh.
TRANSLATION: Bewilderment and shame were in her eyes bulging with terror.</t>
  </si>
  <si>
    <t>TERM: ŪYALU (ҰЯЛУ) — to feel ashamed; to feel shy; to be embarrassed [KED, SZK]
PASSAGE: Оның жүзінен абыржу мен ұялғандықты анық бауқауға болатын еді.
TRANS: Onyñ jüzinen abyrju men ūyalğandyqty anyq bauqauğa bolatyn edi.
TRANSLATION: Bewilderment and shame could be clearly seen on her face.</t>
  </si>
  <si>
    <t>Potential moral shame about spending money when he could steal</t>
  </si>
  <si>
    <t>She had a shrewd suspicion that the reason he had so much money left over was that he had not bought the fowls or most of the food. Pork would have taken shame to himself had he spent her money when there were unguarded hen coops along the road and smokehouses handy.</t>
  </si>
  <si>
    <t>Pork</t>
  </si>
  <si>
    <t>TERM: posramil by samogo sebya (посрамил бы самого себя) — would have brought shame on himself [ORD] (lemma: посрамить)
PASSAGE: Порк посрамил бы самого себя, если бы потратил ее деньги
TRANS: Pork posramil by samogo sebya, esli by potratil ee den'gi
TRANSLATION: Pork would have shamed himself if he had spent her money</t>
  </si>
  <si>
    <t>PASSAGE: Скарлетт берген ақшаны жұмсаса, Порк өзін-өзі кешірмес еді.
TRANS: Skarlett bergen aqshany jūmsasa, Pork özin-özi keshirmes edi.
TRANSLATION: If he had spent the money Scarlett gave him, Pork would not forgive himself.</t>
  </si>
  <si>
    <t>Shame — Absent moral shame</t>
  </si>
  <si>
    <t>moral conventions  breached — manipulation, lies; shame ABSENT</t>
  </si>
  <si>
    <t>Scarlett turned and tiptoed through the silent hall into the dining room to get the brandy bottle that she and Melly privately called the "swoon bottle" because Pittypat always took a sip from it when her fluttering heart made her faint—or seem to faint. Triumph was written on her face and no trace of shame for her unfilial treatment of Gerald. Now Ellen would be soothed with lies if any other busybody wrote her. Now she could stay in Atlanta. Now she could do almost as she pleased, Pittypat being the weak vessel that she was. She unlocked the cellaret and stood for a moment with the bottle and glass pressed to her bosom.</t>
  </si>
  <si>
    <t>TERM: nikakikh ugryzeniy sovesti (никаких угрызений совести) — no pangs of conscience whatsoever [ORD] (lemma: угрызение)
PASSAGE: Лицо Скарлетт выражало торжество — никаких угрызений совести она не испытывала, хотя и поступила с Джералдом отнюдь не как любящая, преданная дочь.
TRANS: Litso Skarlett vyrazhalo torzhestvo — nikakikh ugryzeniy sovesti ona ne ispytyvala, khotya i postupila s Dzheraldom otnyud' ne kak lyubyashchaya, predannaya doch'.
TRANSLATION: Scarlett's face wore a triumphant expression — she felt no pangs of conscience whatsoever, although she had not behaved like a loving, devoted daughter toward Gerald.</t>
  </si>
  <si>
    <t>TERM: QYMSYNU (ҚЫМСЫНУ) — to feel awkward; to feel embarrassed [KED, SZK]
PASSAGE: Скарлеттің бет-әлпетінде жеңіске жеткен түр байқалады, ол Джералдқа әкесін жақсы көретін адал қызы емес, бөтен біреудей қулық жасағанына еш қымсынған жоқ.
TRANS: Skarlettiñ bet-älpetinde jeñiske jetken tür bayqalady, ol Djeraldqa äkesin jaqsy köretin adal qyzy emes, böten bireudey qulyq jasağanyna esh qymsynğan joq.
TRANSLATION: Scarlett's face showed a victorious expression; she felt no embarrassment at all that she had played a trick on Gerald like a stranger rather than as a loving, faithful daughter.</t>
  </si>
  <si>
    <t>moral and social conventions breached — shame ABSENT; Ashley as witness</t>
  </si>
  <si>
    <t>She was still clutching the ball of red clay when she went up the front steps. She had carefully avoided the back entrance, for Mammy's sharp eyes would certainly have seen that something was greatly amiss. Scarlett did not want to see Mammy or anyone else. She did not feel that she could endure seeing anyone or talking to anyone again. She had no feeling of shame or disappointment or bitterness now, only a weakness of the knees and a great emptiness of heart. She squeezed the clay so tightly it ran out from her clenched fist and she said over and over, parrot-like: "I've still got this. Yes, I've still got this."</t>
  </si>
  <si>
    <t>TERM: styd (стыд) — shame; the feeling of having transgressed a moral or social norm [ORD]
PASSAGE: Ее уже не мучил стыд, разочарование или горечь — лишь была какая-то слабость в коленях да огромная пустота в душе.
TRANS: Ee uzhe ne muchil styd, razocharovanie ili gorech' — lish' byla kakaya-to slabost' v kolenyakh da ogromnaya pustota v dushe.
TRANSLATION: She was no longer tormented by shame, disappointment, or bitterness — only a kind of weakness in her knees and a vast emptiness in her soul.</t>
  </si>
  <si>
    <t>TERM: ŪYAT (ҰЯТ) — shame; disgrace; sense of decency (also: that which is improper) [KED, SZK]
PASSAGE: Қалған көңіл де, қысқан ұят та бір шетке ысырылып, жан дүниесі босап, буын-буынынан әл кетіпті.
TRANS: Qalğan köñil de, qysqan ūyat ta bir shetke ysyrylyp, jan düniesi bosap, buyn-buynynan äl ketipti.
TRANSLATION: Both her remaining feelings and her gripping shame had been pushed aside; her inner being was emptied, and the strength had left her every joint.</t>
  </si>
  <si>
    <t>Immoral behavior impossible with Rhett as specific witness</t>
  </si>
  <si>
    <t>Already she was regretting the hasty words. Had they been spoken to anyone save Rhett she would have shamelessly retracted them. Why had she burst out like that? She looked at Rhett with an angry frown and saw that he was watching her with his old keen, cat-at-a- mouse-hole look. When he saw her frown, he laughed suddenly, his white teeth flashing. Scarlett had an uncertain feeling that he had jockeyed her into this position.</t>
  </si>
  <si>
    <t>TERM: stesneniya (стеснения) — awkwardness; constraint (gen.) [ORD] (lemma: стеснение)
PASSAGE: Скажи она их кому угодно, кроме Ретта, она бы без всякого стеснения взяла их назад.
TRANS: Skazhi ona ikh komu ugodno, krome Retta, ona by bez vsyakogo stesneniya vzyala ikh nazad.
TRANSLATION: Had she said it to anyone but Rhett, she would have taken it back without any embarrassment.</t>
  </si>
  <si>
    <t>PASSAGE: Мұның бәрін кімге айтқан болса да, кейін қайтарып ала салар еді, айтқанынан қайта танар еді, тек Реттің алдында емес.
TRANS: Mūnyñ bärin kimge aytqan bolsa da, keyin qaytaryp ala salar edi, aytqanynan qayta tanar edi, tek Rettiñ aldynda emes.
TRANSLATION: Whoever she had said all this to, she would have taken it back, would have recanted — except in front of Rhett.</t>
  </si>
  <si>
    <t>Shame — Absent social shame (about the body)</t>
  </si>
  <si>
    <t>body confidence: NO shame about body as social object</t>
  </si>
  <si>
    <t>Of course, her brooch could be pinned over the spot, but perhaps Melanie had sharp eyes. There remained varicolored cotton dresses which Scarlett felt were not festive enough for the occasion, ball dresses and the green sprigged muslin she had worn yesterday. But it was an afternoon dress. It was not suitable for a barbecue, for it had only tiny puffed sleeves and the neck was low enough for a dancing dress. But there was nothing else to do but wear it. After all she was not ashamed of her neck and arms and bosom, even if it was not correct to show them in the morning.</t>
  </si>
  <si>
    <t>TERM: stydit'sya (стыдиться) — to feel ashamed (imperfective); pf. постыдиться/устыдиться [ORD]
PASSAGE: ей не приходится стыдиться
TRANS: ey ne prikhoditsya stydit'sya
TRANSLATION: she did not have to feel ashamed</t>
  </si>
  <si>
    <t>TERM: QYSYLU (ҚЫСЫЛУ) — to feel embarrassed; to feel constrained; to be in difficulty [KED, SZK]
PASSAGE: Түптеп келгенде тіпті таңертеңнен мойнын, иығын, қолын жаңалаштау аса орынды болмаса да, сол үшін қысылуына тура келмейді.
TRANS: Tüptep kelgende tipti tañerteñnen moynyn, iyğyn, qolyn jañalashtau asa oryndy bolmasa da, sol üshin qysyluyna tura kelmeydi.
TRANSLATION: After all, even though baring her neck, shoulders, and arms in the morning was not entirely proper, she did not have to feel embarrassed about it.</t>
  </si>
  <si>
    <t>As she stood before the mirror and twisted herself about to get a side view, she thought that there was absolutely nothing about her figure to cause her shame. Her neck was short but rounded and her arms plump and enticing. Her breasts, pushed high by her stays, were very nice breasts.</t>
  </si>
  <si>
    <t>TERM: iz"yana (изъяна) — defect; flaw (gen.) [ORD] (lemma: изъян)
PASSAGE: не обнаружила в своей фигуре ни малейшего изъяна.
TRANS: ne obnaruzhila v svoey figure ni maleyshego iz"yana.
TRANSLATION: she found not the slightest flaw in her figure.</t>
  </si>
  <si>
    <t>TERM: KEMSHİLİK (КЕМШІЛІК) — defect; failing; shortcoming [KED, SZK]
PASSAGE: Айна алдында тұрып, ол өзін жанынан көру үшін белін майыстырып қарап, сымбатынан еш кемшілік таппады.  comment: 'shame' is not directly translated. Literal translation: 'She found no flaw in her elegance'. Кемшілік is flaw
TRANS: Ayna aldynda tūryp, ol özin janynan köru üshin belin mayystyryp qarap, symbatynan esh kemshilik tappady.  comment: 'shame' is not directly translated. Literal translation: 'She found no flaw in her elegance'. Kemshilik is flaw
TRANSLATION: Standing before the mirror and turning sideways to view her profile, she found no flaw in her elegance. [comment: 'shame' is not directly translated; кемшілік is 'flaw']</t>
  </si>
  <si>
    <t>Shame — Social shame</t>
  </si>
  <si>
    <t>strong shame about social convention and exposure to societal judgment; internal burning</t>
  </si>
  <si>
    <t>She did not want to be fair, although she knew what he said was true. He had never once crossed the borders of friendliness with her and, when she thought of this fresh anger rose, the anger of hurt pride and feminine vanity. She had run after him and he would have none of her. He preferred a whey-faced little fool like Melanie to her. Oh, far better that she had followed Ellen and Mammy's precepts and never, never revealed that she even liked him—better anything than to be faced with this scorching shame!</t>
  </si>
  <si>
    <t>TERM: sgorat' so styda (сгорать со стыда) — to burn up with shame (idiom) [ORD] (lemma: сгорать)
PASSAGE: Пусть бы он никогда-никогда не узнал об этом — все лучше, чем так сгорать со стыда
TRANS: Pust' by on nikogda-nikogda ne uznal ob etom — vse luchshe, chem tak sgorat' so styda
TRANSLATION: Let him never, never know about it — anything would be better than burning up with shame so</t>
  </si>
  <si>
    <t>TERM: ŪYAT (ҰЯТ) — shame; disgrace; sense of decency (also: that which is improper) [KED, SZK]
PASSAGE: Ах, ол неге Эллин мен Үлкен шешейдің нұсқауын тыңдамады! Эшли мұның сезімінен күдіктенбеуі керек еді! Бұлай ұяттан өртенгенше, оның бұл туралы ешқашан, еш уақытта білмегені жақсы еді!
TRANS: Akh, ol nege Ellin men Ülken shesheydiñ nūsqauyn tyñdamady! Eshli mūnyñ seziminen küdiktenbeui kerek edi! Būlay ūyattan örtengenshe, onyñ būl turaly eshqashan, esh uaqytta bilmegeni jaqsy edi!
TRANSLATION: Ah, why had she not heeded Ellen's and Mammy's instructions! Ashley should not have suspected her feelings! Better that he should never, ever know about this than to burn up like this with shame!</t>
  </si>
  <si>
    <t>Shame — Social shame (somatic expression)</t>
  </si>
  <si>
    <t>strong shame about breaking social conventions and Ashley’s rejection, social exposure, physical manifestations –  face crimson; Rhett witness</t>
  </si>
  <si>
    <t>She looked up at him imploringly, her face crimson with the shame of their last meeting, and met two of the blackest eyes she had ever seen, dancing in merciless merriment. Of all the people in the world to turn up here, this terrible person who had witnessed that scene with Ashley which still gave her nightmares; this odious wretch who ruined girls and was not received by nice people; this despicable man who had said, and with good cause, that she was not a lady.</t>
  </si>
  <si>
    <t>TERM: Zardevshis' ot smushcheniya, (Зардевшись от смущения,) = flushing; having blushed
PASSAGE: Зардевшись от смущения, она с мольбой подняла на него глаза
TRANS: Zardevshis' ot smushcheniya, ona s mol'boy podnyala na nego glaza
TRANSLATION: Burning crimson with embarrassment, she raised her eyes pleadingly to him</t>
  </si>
  <si>
    <t>TERM: ŪYALU (ҰЯЛУ) — to feel ashamed; to feel shy; to be embarrassed [KED, SZK]
PASSAGE: Ұяла қысылған Скарлетт оған басын көтеріп қарады, ...
TRANS: Ūyala qysylğan Skarlett oğan basyn köterip qarady, ...
TRANSLATION: Scarlett, flushed with embarrassment, raised her head and looked at him,...</t>
  </si>
  <si>
    <t>shame at absence of social tokens of pride (comparison)</t>
  </si>
  <si>
    <t>She flipped back the edges of the letters, looking at the dates, remembering their contents. In them there were no fine descriptive pages of bivouacs and charges such as Darcy Meade wrote his parents or poor Dallas McLure had written his old-maid sisters, Misses Faith and Hope. The Meades and McLures proudly read these letters all over the neighborhood, and Scarlett had frequently felt a secret shame that Melanie had no such letters from Ashley to read aloud at sewing circles.</t>
  </si>
  <si>
    <t>TERM: styd (стыд) — shame; the feeling of having transgressed a moral or social norm [ORD]
PASSAGE: Скарлетт не раз испытывала втайне стыд, что Эшли не пишет Мелани таких писем, которые интересно было бы почитать в швейном кружке вслух.
TRANS: Skarlett ne raz ispytyvala vtayne styd, chto Eshli ne pishet Melani takikh pisem, kotorye interesno bylo by pochitat' v shveynom kruzhke vslukh.
TRANSLATION: Scarlett had more than once felt secret shame that Ashley did not write Melanie letters of the kind that would be interesting to read aloud in the sewing circle.</t>
  </si>
  <si>
    <t>TERM: ŪYALU (ҰЯЛУ) — to feel ashamed; to feel shy; to be embarrassed [KED, SZK]
PASSAGE: ... ал Скарлетт Эшлидің Меланиге мұндай хаттарды жазбағанына бірнеше рет ішінен ұялған, ...
TRANS: ... al Skarlett Eshlidiñ Melanige mūnday khattardy jazbağanyna birneshe ret ishinen ūyalğan, ...
TRANSLATION: ...and Scarlett had felt ashamed inwardly several times that Ashley did not write Melanie such letters,...</t>
  </si>
  <si>
    <t>strong shame about breaking social-moral conventions, social exposure, face crimson; Ellen (internalized moral standard); Rhett as witness</t>
  </si>
  <si>
    <t>Scarlett leaped to her feet, her face red with shame. How could she have said such a thing! How could she, Ellen's daughter, with her upbringing, have sat there and listened to such debasing words and then made such a shameless reply? She should have screamed. She should have fainted. She should have turned coldly away in silence and swept from the porch. Too late now!</t>
  </si>
  <si>
    <t>TERM: sgoraya ot styda. (сгорая от стыда.) = burning with shame
PASSAGE: Скарлетт вскочила с кресла, сгорая от стыда.
TRANS: Skarlett vskochila s kresla, sgoraya ot styda.
TRANSLATION: Scarlett leapt up from the chair, burning with shame.</t>
  </si>
  <si>
    <t>TERM: ŪYAT (ҰЯТ) — shame; disgrace; sense of decency (also: that which is improper) [KED, SZK]
PASSAGE: Скарлетт ұяттан өртеніп креслодан атып тұрды.
TRANS: Skarlett ūyattan örtenip kreslodan atyp tūrdy.
TRANSLATION: Scarlett, burning up with shame, sprang up from the armchair.</t>
  </si>
  <si>
    <t>Deferred shame from self-humiliation through social-moral transgression; Rhett witness</t>
  </si>
  <si>
    <t>When he had hurried away to bring her a glass of wine and a paper thin slice of cake, Scarlett sat down in the alcove at the end of the drawing room and carefully arranged her skirts so that the worst spots would not show. The humiliating events of the morning with Rhett were pushed from her mind by the excitement of seeing so many people and hearing music again. Tomorrow she would think of Rhett's conduct and her shame and they would make her writhe again. Tomorrow she would wonder if she had made any impression on Frank's hurt and bewildered heart. But not tonight. Tonight she was alive to her finger tips, every sense alert with hope, her eyes sparkling.</t>
  </si>
  <si>
    <t>TERM: unizhenii (унижении) — humiliation (prep.) [ORD] (lemma: унижение)
PASSAGE: Завтра она снова будет думать о поведении Ретта, о своем унижении и снова будет кипеть от гнева.
TRANS: Zavtra ona snova budet dumat' o povedenii Retta, o svoem unizhenii i snova budet kipet' ot gneva.
TRANSLATION: Tomorrow she would once again be thinking of Rhett's behavior, of her humiliation, and would once again be seething with anger.</t>
  </si>
  <si>
    <t>TERM: QYSAS (ҚЫСАС) — malice; revenge; spite [KED, SZK]
PASSAGE: Ертең Реттің қылығын қайтадан еске түсіріп, өзіне жасаған қысастығына күйініп, тағы да ашудан қызынатын шығар.
TRANS: Erteñ Rettiñ qylyğyn qaytadan eske tüsirip, özine jasağan qysastyğyna küyinip, tağy da ashudan qyzynatyn shyğar.
TRANSLATION: Tomorrow she would probably again recall Rhett's behavior, again be wounded by the wrong he had done her, and again burn with anger.</t>
  </si>
  <si>
    <t>shame about poverty / reduced circumstances; no physical manifestation; Ellen (internalized moral standard) – shame absent</t>
  </si>
  <si>
    <t>All her life she had heard sneers hurled at the Yankees because their pretensions to gentility were based on wealth, not breeding. But at this moment, heresy though it was, she could not help thinking the Yankees were right on this one matter, even if wrong in all others. It took money to be a lady. She knew Ellen would have fainted had she ever heard such words from her daughter. No depth of poverty could ever have made Ellen feel ashamed. Ashamed! Yes, that was how Scarlett felt. Ashamed that she was poor and reduced to galling shifts and penury and work that negroes should do.</t>
  </si>
  <si>
    <t>TERM: postydnogo (постыдного) — shameful; ignominious (adj., gen.) [ORD] (lemma: постыдный)
PASSAGE: Даже очутись Эллин на самом дне нищеты, она бы не увидела в этом ничего постыдного.
TRANS: Dazhe ochutis' Ellin na samom dne nishchety, ona by ne uvidela v etom nichego postydnogo.
TRANSLATION: Even if Ellen had found herself at the very bottom of poverty, she would not have seen anything shameful in this.</t>
  </si>
  <si>
    <t>TERM: QYSYLU (ҚЫСЫЛУ) — to feel embarrassed; to feel constrained; to be in difficulty [KED, SZK]
PASSAGE: Жарлылықтың жұтқыншығында жатып, есін жиғанға да Эллин одан ұялып, қысыла қоймаған еді.
TRANS: Jarlylyqtyñ jūtqynshyğynda jatyp, esin jiğanğa da Ellin odan ūyalyp, qysyla qoymağan edi.
TRANSLATION: Even if Ellen had been lying in the throat of destitution and come to her senses there, she would not have been ashamed of it nor felt embarrassed.</t>
  </si>
  <si>
    <t>strong shame about a past event, social exposure, physical manifestation – face crimson; no specific witness at the moment of feeling</t>
  </si>
  <si>
    <t>The memory of her humiliation at his hands made her go crimson with shame.</t>
  </si>
  <si>
    <t>TERM: styda (стыда) — shame (genitive) [ORD] (lemma: стыд)
PASSAGE: Она вспомнила, как он унизил ее, и вспыхнула от стыда.
TRANS: Ona vspomnila, kak on unizil ee, i vspykhnula ot styda.
TRANSLATION: She remembered how he had humiliated her, and she flushed with shame.</t>
  </si>
  <si>
    <t>TERM: ŪYAT (ҰЯТ) — shame; disgrace; sense of decency (also: that which is improper) [KED, SZK]
PASSAGE: Есіне өзін қалай қорлап, мазақ еткені түсті де, ұяттан өртеніп кете жаздады.
TRANS: Esine özin qalay qorlap, mazaq etkeni tüsti de, ūyattan örtenip kete jazdady.
TRANSLATION: She remembered how he had insulted and mocked her, and almost burst into flame with shame.</t>
  </si>
  <si>
    <t>Shame — Social shame (about the body)</t>
  </si>
  <si>
    <t>shame about body as social/erotic object, bodily awareness; physical manifestation – red; Rhett as witness</t>
  </si>
  <si>
    <t>Scarlett, suddenly conscious of her error of speech, went red. It was more than his joking words that shamed her, for she was suddenly aware again of her thickening body. In no way had either of them ever hinted at her condition and she had always kept the lap robe high under her armpits when with him, even on warm days, comforting herself in the usual feminine manner with the belief that she did not show at all when thus covered, and she was suddenly sick with quick rage at her own condition and shame that he should know.</t>
  </si>
  <si>
    <t>TERM: stydno (стыдно) — it is shameful; (one) feels ashamed (impersonal predicate) [ORD]
PASSAGE: Ей вдруг стало стыдно — и не столько того, что она дала ему повод поглумиться над ней, сколько своего раздавшегося тела.
TRANS: Ey vdrug stalo stydno — i ne stol'ko togo, chto ona dala emu povod poglumit'sya nad ney, skol'ko svoego razdavshegosya tela.
TRANSLATION: She suddenly felt ashamed — and not so much that she had given him an occasion to mock her, as of her swollen body.</t>
  </si>
  <si>
    <t>TERM: ŪYALU (ҰЯЛУ) — to feel ashamed; to feel shy; to be embarrassed [KED, SZK]
PASSAGE: Өзінің мазақ болуына соқтырған әлгі сөзінен де гөрі, жайылып кеткен денесінен, ыңғайсыз пішінінен де өлердей ұялып кетті.
TRANS: Öziniñ mazaq boluyna soqtyrğan älgi sözinen de göri, jayylyp ketken denesinen, yñğaysyz pishininen de ölerdey ūyalyp ketti.
TRANSLATION: More than the words that had brought mockery on her, she became mortally embarrassed by her spread-out body and awkward shape.</t>
  </si>
  <si>
    <t>strong shame, social exposure, manifested in crying; Rhett as specific witness</t>
  </si>
  <si>
    <t>"Get out!" she cried, tugging at the reins and suddenly nausea overwhelmed her. He stopped the horse quickly, passed her two clean handkerchiefs and held her head over the side of the buggy with some skill. The afternoon sun, slanting low through the newly leaved trees, spun sickeningly for a few moments in a swirl of gold and green. When the spell had passed, she put her head in her hands and cried from sheer mortification. Not only had she vomited before a man—in itself as horrible a contretemps as could overtake a woman—but by doing so, the humiliating fact of her pregnancy must now be evident. She felt that she could never look him in the face again. To have this happen with him, of all people, with Rhett who had no respect for women! She cried, expecting some coarse and jocular remark from him which she would never be able to forget.</t>
  </si>
  <si>
    <t>TERM: obidy (обиды) — offence; hurt (gen.) [ORD] (lemma: обида)
PASSAGE: Когда приступ рвоты прошел, Скарлетт закрыла лицо руками и заплакала от обиды.
TRANS: Kogda pristup rvoty proshel, Skarlett zakryla litso rukami i zaplakala ot obidy.
TRANSLATION: When the bout of nausea passed, Scarlett covered her face with her hands and wept from offense.</t>
  </si>
  <si>
    <t>TERM: ÖKİNİSH (ӨКІНІШ) — regret; repentance [KED, SZK]
PASSAGE: Жүрегінің айнығаны басылып, құсып болған соң Скарлетт бетін қолымен басып алып, өкініштен жылап жіберді.
TRANS: Jüreginiñ aynyğany basylyp, qūsyp bolğan soñ Skarlett betin qolymen basyp alyp, ökinishten jylap jiberdi.
TRANSLATION: When her queasiness passed and she had finished retching, Scarlett covered her face with her hands and wept from regret.</t>
  </si>
  <si>
    <t>shame deemed wrong by Rhett — performative speech act (verdict / directive – shame wrong)</t>
  </si>
  <si>
    <t>"Don't be a fool," he said quietly. "And you are a fool, if you are crying for shame. Come, Scarlett, don't be a child. Surely you must know that, not being blind, I knew you were pregnant."</t>
  </si>
  <si>
    <t>TERM: styda (стыда) — shame (genitive) [ORD] (lemma: стыд)
PASSAGE: А вы, видно, самая настоящая дурочка, раз плачете от стыда.
TRANS: A vy, vidno, samaya nastoyashchaya durochka, raz plachete ot styda.
TRANSLATION: And you, evidently, are a real fool, since you are crying from shame.</t>
  </si>
  <si>
    <t>TERM: ŪYALU (ҰЯЛУ) — to feel ashamed; to feel shy; to be embarrassed [KED, SZK]
PASSAGE: Мен білмей жүрсем, ұялғаннан жылайтын сіз шынында нағыз ақымақтың өзі екенсіз ғой.
TRANS: Men bilmey jürsem, ūyalğannan jylaytyn siz shynynda nağyz aqymaqtyñ özi ekensiz ğoy.
TRANSLATION: I had not realized — you who weep from shame are truly the very picture of a fool.</t>
  </si>
  <si>
    <t>mild shame about social convention (not being in public when showing pregnancy); face crimson (somatic); Tara  neighbors as audience</t>
  </si>
  <si>
    <t>Startled at the abrupt switching from the eulogy to herself, Scarlett went red with embarrassment as all eyes turned toward her. Why should Will advertise her already obvious pregnancy? She gave him a shamed indignant look, but Will's placid gaze bore her down.</t>
  </si>
  <si>
    <t>TERM: smutilas' (смутилась) — became flustered; got embarrassed (pf. past fem.) [ORD] (lemma: смутиться)
PASSAGE: Вздрогнув от этого неожиданного перехода к ее особе, Скарлетт смутилась и покраснела, ибо взоры всех обратились к ней.
TRANS: Vzdrognuv ot etogo neozhidannogo perekhoda k ee osobe, Skarlett smutilas' i pokrasnela, ibo vzory vsekh obratilis' k ney.
TRANSLATION: Startled at this unexpected shift to her own person, Scarlett became flustered and blushed, for everyone's eyes turned to her.</t>
  </si>
  <si>
    <t>TERM: ŪYALU (ҰЯЛУ) — to feel ashamed; to feel shy; to be embarrassed [KED, SZK]
PASSAGE: Тосыннан өз атына бағыттала айтылған шешімнен селк етіп, Скарлетт ұялғаннан қып-қызыл боп кетті.
TRANS: Tosynnan öz atyna bağyttala aytylğan sheshimnen selk etip, Skarlett ūyalğannan qyp-qyzyl bop ketti.
TRANSLATION: Startled at this unexpected turn directed at her, Scarlett went bright red with embarrassment.</t>
  </si>
  <si>
    <t>Mild (possibly pretended) shame about pregnancy; no physical manifestation; specific witness Ashley</t>
  </si>
  <si>
    <t>"How sweet of you to say that! For I was so ashamed to let you see me—"</t>
  </si>
  <si>
    <t>TERM: stydno (стыдно) — it is shameful; (one) feels ashamed (impersonal predicate) [ORD]
PASSAGE: А мне было так стыдно показываться вам…
TRANS: A mne bylo tak stydno pokazyvat'sya vam…
TRANSLATION: And I was so ashamed to show myself to you...</t>
  </si>
  <si>
    <t>TERM: ŪYALU (ҰЯЛУ) — to feel ashamed; to feel shy; to be embarrassed [KED, SZK]
PASSAGE: Мен болсам, сізге көрінуге де ұялып жүр едім...
TRANS: Men bolsam, sizge körinuge de ūyalyp jür edim...
TRANSLATION: As for me, I was even ashamed to be seen by you...</t>
  </si>
  <si>
    <t>shame about social-moral  convention; no physical manifestation; Rhett as specific witness</t>
  </si>
  <si>
    <t>Now she was indeed confused and embarrassed, for she remembered the night on this very porch during the siege when he had said: "I am not a marrying man" and casually suggested that she become his mistress—remembered, too, the terrible day when he was in jail and was shamed by the memory. A slow malicious smile went over his face as he read her eyes.</t>
  </si>
  <si>
    <t>TERM: stydno (стыдно) — it is shameful; (one) feels ashamed (impersonal predicate) [ORD]
PASSAGE: возник и тот страшный день, когда она пришла к нему в тюрьму, и ей стало стыдно от этих воспоминаний.
TRANS: voznik i tot strashnyy den', kogda ona prishla k nemu v tyur'mu, i ey stalo stydno ot etikh vospominaniy.
TRANSLATION: that terrible day when she came to him in prison also came back, and she felt ashamed at these memories.</t>
  </si>
  <si>
    <t>TERM: QYSYLU (ҚЫСЫЛУ) — to feel embarrassed; to feel constrained; to be in difficulty [KED, SZK]
PASSAGE: Бұған нақсүйері болуды ұсынып, емеурін танытқан кезі, содан кейін де өз аяғымен түрмеге іздеп барғандағы ұятқа қалғаны есіне түсіп, қатты қысылып кетті.
TRANS: Būğan naqsüyeri boludy ūsynyp, emeurin tanytqan kezi, sodan keyin de öz ayağymen türmege izdep barğandağy ūyatqa qalğany esine tüsip, qatty qysylyp ketti.
TRANSLATION: She remembered offering herself to him as his mistress, and then later going to him in prison on her own feet and bringing disgrace upon herself; she became deeply embarrassed.</t>
  </si>
  <si>
    <t>shame about social-moral convention; shame as driver of behavior; Mrs Elsing, Archie as witnesses; potentially the whole society</t>
  </si>
  <si>
    <t>How she got out of the office she never remembered. But she went instantly, swiftly, by Ashley's order, leaving Ashley and Archie in grim converse in the little room and India and Mrs. Elsing outside with their backs to her. Shame and fear sped her homeward and, in her mind, Archie with his patriarch's beard assumed the proportions of an avenging angel straight from the pages of the Old Testament.</t>
  </si>
  <si>
    <t>TERM: stydom (стыдом) — shame (instrumental) [ORD] (lemma: стыд)
PASSAGE: Скарлетт помчалась домой, подгоняемая стыдом и страхом,
TRANS: Skarlett pomchalas' domoy, podgonyaemaya stydom i strakhom,
TRANSLATION: Scarlett rushed home, driven by shame and fear,</t>
  </si>
  <si>
    <t>TERM: ŪYAT (ҰЯТ) — shame; disgrace; sense of decency (also: that which is improper) [KED, SZK]
PASSAGE: Қорқыныш пен ұят қамалап, соңынан қуып келе жатқандай, үйіне қарай ышқынып келеді, көз алдында сақалы сала құлаш, Көне Өсиет ішіндегі кек алушы періште секілді Арчидің бейнесі бірге ұшып келеді.
TRANS: Qorqynysh pen ūyat qamalap, soñynan quyp kele jatqanday, üyine qaray yshqynyp keledi, köz aldynda saqaly sala qūlash, Köne Ösiet ishindegi kek alushy perishte sekildi Archidiñ beynesi birge ūshyp keledi.
TRANSLATION: Driven on by fear and shame as if pursuing her, she rushed home, with the image of Archie — bearded down to his waist, like an avenging angel from the Old Testament — flying along beside her in her mind.</t>
  </si>
  <si>
    <t>mild vicarious shame about realizing Scarlett’s ignorance; no physical manifestation; Ashley specific witness</t>
  </si>
  <si>
    <t>An odd look came over Charles' face, incredulity and shame struggling with love. Love triumphed as he realized that it was enough for a girl to be sweet and gentle and beautiful, without having an education to hamper her charms, and he made swift answer: "The Borgias were Italians."</t>
  </si>
  <si>
    <t>Charles Hamilton</t>
  </si>
  <si>
    <t>TERM: nedoumevayushche i smushchenno (недоумевающе и смущенно) — in bewilderment and embarrassment [ORD] (lemma: смущенно)
PASSAGE: Чарльз как-то странно посмотрел на нее — недоумевающе и смущенно
TRANS: Charl'z kak-to stranno posmotrel na nee — nedoumevayushche i smushchenno
TRANSLATION: Charles looked at her in a strange way — bewildered and embarrassed.</t>
  </si>
  <si>
    <t>TERM: AÑYRAU (АҢЫРАУ) — to be stunned; to be dumbfounded [KED, SZK]
PASSAGE: Чарльз қыздың жүзіне біртүрлі аңырып, абыржи қарады  This one is interesting, they used these two words which actually mean “прийти в неудомение”, “быть в замешательстве”. -ып after “аңыру” plays as a converb that joints the two verbs. So I am not entirely sure what verb here is more prone to “shame”
TRANS: Charl'z qyzdyñ jüzine birtürli añyryp, abyrji qarady  This one is interesting, they used these two words which actually mean “priyti v neudomenie”, “byt' v zameshatel'stve”. -yp after “añyru” plays as a converb that joints the two verbs. So I am not entirely sure what verb here is more prone to “shame”
TRANSLATION: Charles looked at the girl in a strange way — astonished and confused. [comment: these two words actually mean "to come to bewilderment" and "to be in confusion"; the converb -ып after "аңыру" joins the two verbs, so it is not entirely clear which verb here is closer to "shame"]</t>
  </si>
  <si>
    <t>absent shame about social conventions; community / diffuse audience</t>
  </si>
  <si>
    <t>To their horror, mothers found their daughters holding hands with these men. Mrs. Merriwether, who had never kissed her husband until after the wedding ceremony, could scarcely believe her eyes when she caught Maybelle kissing the little Zouave, Rene Picard, and her consternation was even greater when Maybelle refused to be ashamed. Even the fact that Rene immediately asked for her hand did not improve matters. Mrs. Merriwether felt that the South was heading for a complete moral collapse and frequently said so. Other mothers concurred heartily with her and blamed it on the war.</t>
  </si>
  <si>
    <t>Community / South</t>
  </si>
  <si>
    <t>TERM: ne byla smushchena (не была смущена) — was not embarrassed (passive past fem. neg.) [ORD] (lemma: смутить)
PASSAGE: Ужас ее был тем более неописуем, что Мейбелл ничуть не была смущена.
TRANS: Uzhas ee byl tem bolee neopisuem, chto Meybell nichut' ne byla smushchena.
TRANSLATION: Her horror was the more indescribable because Maybelle was not at all flustered.</t>
  </si>
  <si>
    <t>TERM: QYMSYNU (ҚЫМСЫНУ) — to feel awkward; to feel embarrassed [KED, SZK]
PASSAGE: Осы қылығы үшін Мэйбеллдің ешқандай қымсынбағанын көргенде тіпті айран-асыр болды.
TRANS: Osy qylyğy üshin Meybelldiñ eshqanday qymsynbağanyn körgende tipti ayran-asyr boldy.
TRANSLATION: When she saw that Maybelle was not at all embarrassed about this conduct of hers, she was utterly astounded.</t>
  </si>
  <si>
    <t>Supposed child’s shame about a parent who breaks social convention; group of children as witnesses</t>
  </si>
  <si>
    <t>"A boy has to be proud of his father—or stepfather. I can't let him be ashamed before the other little brutes. Cruel creatures, children."</t>
  </si>
  <si>
    <t>Wade</t>
  </si>
  <si>
    <t>TERM: stydno (стыдно) — it is shameful; (one) feels ashamed (impersonal predicate) [ORD]
PASSAGE: Я не хочу, чтобы ему было стыдно перед другими маленькими зверюгами.
TRANS: Ya ne khochu, chtoby emu bylo stydno pered drugimi malen'kimi zveryugami.
TRANSLATION: I do not want him to be ashamed before other little brutes.</t>
  </si>
  <si>
    <t>TERM: NAZAR (НАЗАР) — attention; notice; gaze [KED, SZK]
PASSAGE: Өзге балалардың алдында назары төмен, көңілі пәс болғанын қаламаймын.
TRANS: Özge balalardyñ aldynda nazary tömen, köñili päs bolğanyn qalamaymyn.
TRANSLATION: I do not want him to be downcast and dispirited before the other children.</t>
  </si>
  <si>
    <t>"Do you think I'm going to have my Bonnie ashamed of her father? Have her left out of parties when she's nine or ten? Do you think I'm going to have her humiliated like Wade for things that aren't her fault but yours and mine?"</t>
  </si>
  <si>
    <t>Bonnie</t>
  </si>
  <si>
    <t>TERM: stydilas' (стыдилась) — felt ashamed (3sg fem. past, impf.) [ORD] (lemma: стыдиться)
PASSAGE: Вы думаете, я допущу, чтобы моя Бонни стыдилась своего отца?
TRANS: Vy dumaete, ya dopushchu, chtoby moya Bonni stydilas' svoego ottsa?
TRANSLATION: Do you think I will allow my Bonnie to be ashamed of her father?</t>
  </si>
  <si>
    <t>TERM: ŪYALU (ҰЯЛУ) — to feel ashamed; to feel shy; to be embarrassed [KED, SZK]
PASSAGE: Боннидің өз әкесі үшін ұялғанын қалайды ғой деймісің мені?
TRANS: Bonnidiñ öz äkesi üshin ūyalğanyn qalaydy ğoy deymisiñ meni?
TRANSLATION: Do you think I would want Bonnie to be ashamed of her own father?</t>
  </si>
  <si>
    <t>mild shame about social convention; no physical manifestation; no specific witness</t>
  </si>
  <si>
    <t>"It isn't silly," said Mrs. Elsing indignantly. "Yesterday, in the pouring rain, he had those three children, even the baby, mind you, out in his carriage riding them up and down Peachtree Street and he gave me a lift home. And when I said: 'Captain Butler, have you lost your mind keeping these children out in the damp? Why don't you take them home?' And he didn't say a word but just looked embarrassed. But Mammy spoke up and said: 'De house full of w'ite trash an' it healthier fer de chillun in de rain dan at home!'</t>
  </si>
  <si>
    <t>TERM: smushchennyy (смущенный) — embarrassed; flustered (adj./past pass. part.) [ORD]
PASSAGE: Почему не везете их домой?», он ни слова не ответил, но вид у него был смущенный.
TRANS: Pochemu ne vezete ikh domoy?», on ni slova ne otvetil, no vid u nego byl smushchennyy.
TRANSLATION: "Why don't you take them home?" — he didn't say a word in reply, but he had an embarrassed look.</t>
  </si>
  <si>
    <t>TERM: TÜR (ТҮР) — appearance; look; form [KED, SZK]
PASSAGE: жұмған аузын ашпады, бірақ түрі түтігіп кеткен.
TRANS: jūmğan auzyn ashpady, biraq türi tütigip ketken.
TRANSLATION: he did not open his closed mouth, but his look had darkened.</t>
  </si>
  <si>
    <t>shame about body exposure, feminine modesty; posture manifests feeling; Scarlett as  witness</t>
  </si>
  <si>
    <t>"Thank God, I'm not that modest," thought Scarlett, feeling rather than seeing Melanie's agony of embarrassment, as she wrapped the ragged cloth about the shattered face.</t>
  </si>
  <si>
    <t>TERM: muki (муки) — torments; agonies (pl.) [ORD] (lemma: мука)
PASSAGE: «Какое счастье, что я не наделена такой непомерной стыдливостью», — подумала Скарлетт, обертывая рваным пеньюаром изуродованную голову солдата и не столько видя, сколько чувствуя, какие муки испытывает от своей наготы Мелани.
TRANS: «Kakoe schast'e, chto ya ne nadelena takoy nepomernoy stydlivost'yu», — podumala Skarlett, obertyvaya rvanym pen'yuarom izurodovannuyu golovu soldata i ne stol'ko vidya, skol'ko chuvstvuya, kakie muki ispytyvaet ot svoey nagoty Melani.
TRANSLATION: "What luck that I am not endowed with such excessive modesty," thought Scarlett, wrapping the soldier's mutilated head in her torn dressing-gown and not so much seeing as feeling what torments Melanie was undergoing because of her nakedness.</t>
  </si>
  <si>
    <t>TERM: AZAPTY (АЗАПТЫ) — tormented; painful [KED, SZK]
PASSAGE: "Маған мұндай шамадан тыс ұялшақтық берілмегені қандай бақыт, - деп ойлады Скарлетт, Меланидің жалаңаштығынан қандай азапты сезінгеніне қарап
TRANS: "Mağan mūnday shamadan tys ūyalshaqtyq berilmegeni qanday baqyt, - dep oylady Skarlett, Melanidiñ jalañashtyğynan qanday azapty sezingenine qarap
TRANSLATION: "What good fortune that I have not been given such excessive shyness," thought Scarlett, looking at what torments Melanie was suffering because of her nakedness</t>
  </si>
  <si>
    <t>mild shame about social convention; no physical manifestation; family witness</t>
  </si>
  <si>
    <t>"And the selfish swine won't give them to either of us," said Tony. "And they'd fit our small, aristocratic Fontaine feet perfectly. Hell's afire, I'm ashamed to face Mother in these brogans.</t>
  </si>
  <si>
    <t>Tony Fontaine</t>
  </si>
  <si>
    <t>PASSAGE: Ну как, разрази меня гром, появлюсь я перед матерью в этих опорках?
TRANS: Nu kak, razrazi menya grom, poyavlyus' ya pered mater'yu v etikh oporkakh?
TRANSLATION: Well, may a thunderbolt strike me, how am I to appear before my mother in these worn-out shoes?</t>
  </si>
  <si>
    <t>PASSAGE: Төбеме жай түссін, мен осы аяқкиіммен анамның көзіне қалай көрінбекпін?
TRANS: Töbeme jay tüssin, men osy ayaqkiimmen anamnyñ közine qalay körinbekpin?
TRANSLATION: May lightning strike me on the head — how am I to show myself before my mother in these worn-out shoes?</t>
  </si>
  <si>
    <t>Social shame about social convention – not be seen during advanced pregnancy; no physical manifestation; Ashley witness</t>
  </si>
  <si>
    <t>TERM: ŪYALU (ҰЯЛУ) — to feel ashamed; to feel shy; to be embarrassed [KED, SZK]
PASSAGE: Мен болсам, сізге көрінуге де ұялып жүр едім...
TRANS: Men bolsam, sizge körinuge de ūyalyp jür edim...
TRANSLATION: As for me, I had been ashamed to be seen by you...</t>
  </si>
  <si>
    <t>supposed moral shame</t>
  </si>
  <si>
    <t>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 And what would Melanie do when she knew? Leave Ashley? What else could she do, with any dignity? And what will Ashley and I do then? she thought frenziedly, the tears streaming down her face. Oh, Ashley will die of shame and hate me for bringing this on him. Suddenly her tears stopped short as a deadly fear went through her heart. What of Rhett? What would he do?</t>
  </si>
  <si>
    <t>TERM: styda (стыда) — shame (genitive) [ORD] (lemma: стыд)
PASSAGE: О, Эшли просто умрет со стыда и возненавидит меня за то, что я навлекла на него такое
TRANS: O, Eshli prosto umret so styda i voznenavidit menya za to, chto ya navlekla na nego takoe
TRANSLATION: Oh, Ashley would simply die of shame and would hate me for having brought such a thing upon him</t>
  </si>
  <si>
    <t>TERM: ŪYAT (ҰЯТ) — shame; disgrace; sense of decency (also: that which is improper) [KED, SZK]
PASSAGE: Эшли осы жағдайға тап келтіргені үшін мұны өлердей жек көріп және өзі ұяттан өліп те кетуі мүмкін-ау.
TRANS: Eshli osy jağdayğa tap keltirgeni üshin mūny ölerdey jek körip jäne özi ūyattan ölip te ketui mümkin-au.
TRANSLATION: Ashley might hate this woman to death and might himself die of shame for having put him in this situation.</t>
  </si>
  <si>
    <t>Supposed moral shame</t>
  </si>
  <si>
    <t>Tomorrow she would not be so haunted by the memory of Ashley's face, his broken pride and his shame—shame that she had caused, shame in which he had so little part. Would he hate her now, her darling honorable Ashley, because she had shamed him? Of course he would hate her now—now that they had both been saved by the indignant squaring of Melanie's thin shoulders and the love and outspoken trust which had been in her voice as she crossed the glassy floor to slip her arm through Scarlett's and face the curious, malicious, covertly hostile crowd.</t>
  </si>
  <si>
    <t>TERM: pozor (позор) — disgrace; shame; ignominy [ORD]
PASSAGE: Завтра ее уже не будет преследовать лицо Эшли, воспоминание об его сломленной гордости и позоре — позоре, который навлекла на него она, тогда как он был ни в чем не повинен.
TRANS: Zavtra ee uzhe ne budet presledovat' litso Eshli, vospominanie ob ego slomlennoy gordosti i pozore — pozore, kotoryy navlekla na nego ona, togda kak on byl ni v chem ne povinen.
TRANSLATION: Tomorrow she would no longer be haunted by Ashley's face, the memory of his broken pride and his disgrace — disgrace which she had brought upon him, while he was guilty of nothing.</t>
  </si>
  <si>
    <t>PASSAGE: Ертең ешқандай жазықсыз, тек мұның кесірінен абыройы айрандап төгіліп, сыпсың сөзге қалған Эшлидің бейнесі де осылай көз алдында тұра бермес. "
TRANS: Erteñ eshqanday jazyqsyz, tek mūnyñ kesirinen abyroyy ayrandap tögilip, sypsyñ sözge qalğan Eshlidiñ beynesi de osylay köz aldynda tūra bermes. "
TRANSLATION: Tomorrow the image of Ashley — innocent, but who through her fault had had his honor spilled like spoilt buttermilk and become subject of gossip — would no longer stand before her eyes thus.</t>
  </si>
  <si>
    <t>Social retrospective shame, society as witness</t>
  </si>
  <si>
    <t>Against no one was feeling more bitter than against Rhett Butler. He had sold his boats when blockading grew too hazardous, and he was now openly engaged in food speculation. The stories about him that came back to Atlanta from Richmond and Wilmington made those who had received him in other days writhe with shame.</t>
  </si>
  <si>
    <t>PASSAGE: заставляли всех, кто принимал его когда-то в своих гостиных, сгорать со стыда.
TRANS: zastavlyali vsekh, kto prinimal ego kogda-to v svoikh gostinykh, sgorat' so styda.
TRANSLATION: made all who had once received him in their drawing rooms burn up with shame.</t>
  </si>
  <si>
    <t>TERM: ŪYAT (ҰЯТ) — shame; disgrace; sense of decency (also: that which is improper) [KED, SZK]
PASSAGE: Оның Ричмонд пен Уилмингтондағы қызметі туралы қауесет Атландаға жетіп, бір кезде оны қонаққа шақырған барлық адамдарды ұятқа қалдырды.
TRANS: Onyñ Richmond pen Uilmingtondağy qyzmeti turaly qaueset Atlandağa jetip, bir kezde ony qonaqqa shaqyrğan barlyq adamdardy ūyatqa qaldyrdy.
TRANSLATION: The talk about his service in Richmond and Wilmington reached Atlanta, and put to shame all those who had once invited him as a guest.</t>
  </si>
  <si>
    <t>Social shame, ascribed to Scarlett, dismissed as unneeded</t>
  </si>
  <si>
    <t>"He just isn't up to active service, Scarlett. You need have no shame about it. After all, someone must stay home and raise crops for the army."</t>
  </si>
  <si>
    <t>TERM: stydit'sya (стыдиться) — to feel ashamed (imperfective); pf. постыдиться/устыдиться [ORD]
PASSAGE: вам нечего этого стыдиться.
TRANS: vam nechego etogo stydit'sya.
TRANSLATION: you have nothing to be ashamed of for that.</t>
  </si>
  <si>
    <t>TERM: ŪYALU (ҰЯЛУ) — to feel ashamed; to feel shy; to be embarrassed [KED, SZK]
PASSAGE: сізге ол үшін ұялудың қажеті жоқ.
TRANS: sizge ol üshin ūyaludyñ qajeti joq.
TRANSLATION: you have no need to feel ashamed for that.</t>
  </si>
  <si>
    <t>Social shame, for his wife’s unladylike behavior, manifested in posture</t>
  </si>
  <si>
    <t>"And then I made him so miserable. I made him do all sorts of things he didn't want to do, like making people pay their bills when they really couldn't afford to pay them. And it hurt him so when I ran the mills and built the saloon and leased convicts. He could hardly hold up his head for shame. And Rhett, I killed him. Yes, I did!</t>
  </si>
  <si>
    <t>Frank Kennedy</t>
  </si>
  <si>
    <t>TERM: stydno (стыдно) — it is shameful; (one) feels ashamed (impersonal predicate) [ORD]
PASSAGE: Ему было до того стыдно — он не мог людям в глаза смотреть.
TRANS: Emu bylo do togo stydno — on ne mog lyudyam v glaza smotret'.
TRANSLATION: He was so ashamed — he could not look people in the eyes.</t>
  </si>
  <si>
    <t>TERM: ŪYALU (ҰЯЛУ) — to feel ashamed; to feel shy; to be embarrassed [KED, SZK]
PASSAGE: Ол қатты ұялғаннан адамдардың бетіне тіке қарай алмай жүрді.
TRANS: Ol qatty ūyalğannan adamdardyñ betine tike qaray almay jürdi.
TRANSLATION: He was so embarrassed that he could not look people directly in the face.</t>
  </si>
  <si>
    <t>Shame — Absent social shame</t>
  </si>
  <si>
    <t>Expected social  shame about degrading occupation — refused / absent</t>
  </si>
  <si>
    <t>"And I never thought you'd be driving a pie wagon, Renny Picard," she said. Instead of being ashamed at having his degrading occupation thrown in his face, he seemed pleased and laughed uproariously, slapping Hugh on the back.</t>
  </si>
  <si>
    <t>Rene Picard</t>
  </si>
  <si>
    <t>TERM: ustydit'sya (устыдиться) — to feel ashamed (perfective) [ORD]
PASSAGE: Но вместо того чтобы устыдиться столь унизительного занятия о котором было сказано во всеуслышание, Рене расхохотался с довольным видом и хлопнул Хью по спине
TRANS: No vmesto togo chtoby ustydit'sya stol' unizitel'nogo zanyatiya o kotorom bylo skazano vo vseuslyshanie, Rene raskhokhotalsya s dovol'nym vidom i khlopnul Kh'yu po spinу
TRANSLATION: But instead of being ashamed of such a degrading occupation that had been mentioned for everyone to hear, Rene burst into laughter with a satisfied air and slapped Hugh on the back</t>
  </si>
  <si>
    <t>TERM: QYSYLU (ҚЫСЫЛУ) — to feel embarrassed; to feel constrained; to be in difficulty [KED, SZK]
PASSAGE: Бірақ жұрттың бәрі естісе де янкилерге нан тасығанынан қысыла қоятын, өз ісін қорлық көріп тұрған Рене жоқ, өз-өзіне риза кейіпте қарқылдай күліп, Хьюдің арқасынан қағып қойды.
TRANS: Biraq jūrttyñ bäri estise de yankilerge nan tasyğanynan qysyla qoyatyn, öz isin qorlyq körip tūrğan Rene joq, öz-özine riza keyipte qarqylday külip, Kh'yudiñ arqasynan qağyp qoydy.
TRANSLATION: But Rene, who would have been embarrassed if everyone heard he was carting bread to the Yankees and considered his work degrading — there was no such Rene; with a self-satisfied air he laughed loudly and slapped Hugh on the back.</t>
  </si>
  <si>
    <t>shame ABSENT — expected shame from enjoying sexual passion with her husband</t>
  </si>
  <si>
    <t>Oh, she should be ashamed, should shrink from the very memory of the hot swirling darkness! A lady, a real lady, could never hold up her head after such a night. But, stronger than shame, was the memory of rapture, of the ecstasy of surrender. For the first time in her life she had felt alive, felt passion as sweeping and primitive as the fear she had known the night she fled Atlanta, as dizzy sweet as the cold hate when she had shot the Yankee.</t>
  </si>
  <si>
    <t>TERM: ustydit'sya (устыдиться) — to feel ashamed (perfective) [ORD]
PASSAGE: А ведь должна была бы устыдиться, должна была бы бежать даже воспоминаний о жаркой, кружащей голову тьме!
TRANS: A ved' dolzhna byla by ustydit'sya, dolzhna byla by bezhat' dazhe vospominaniy o zharkoy, kruzhashchey golovu t'me!
TRANSLATION: And yet she should have been ashamed, should have fled even from the memories of that hot, head-spinning darkness!</t>
  </si>
  <si>
    <t>TERM: ŪYALU (ҰЯЛУ) — to feel ashamed; to feel shy; to be embarrassed [KED, SZK]
PASSAGE: Содан енді өзі ұялса керек еді ғой, лапылдай жанған отқа оранып, басы айналған түннің есіне түскен елесінен де қашуы керек емес пе?
TRANS: Sodan endi özi ūyalsa kerek edi ğoy, lapylday janğan otqa oranyp, basy aynalğan tünniñ esine tüsken elesinen de qashuy kerek emes pe?
TRANSLATION: Should she not now be ashamed, should she not flee even from the appearing memory of that night, wrapped in flaming fire, that made her head spin?</t>
  </si>
  <si>
    <t>shame directed at another — performative speech act (verdict / directive) – shame DECLARED ABSENT</t>
  </si>
  <si>
    <t>"Oh, they don't have to marry! There's nothing shameful in being a spinster. Look at Aunt Pitty. Oh, I'd rather see Cathleen dead! I know Cade would rather see her dead.</t>
  </si>
  <si>
    <t>TERM: postydnogo (постыдного) — shameful; ignominious (adj., gen.) [ORD] (lemma: постыдный)
PASSAGE: Ничего нет постыдного в том, чтобы оставаться незамужней.
TRANS: Nichego net postydnogo v tom, chtoby ostavat'sya nezamuzhney.
TRANSLATION: There is nothing shameful about remaining unmarried.</t>
  </si>
  <si>
    <t>TERM: ŪYAT (ҰЯТ) — shame; disgrace; sense of decency (also: that which is improper) [KED, SZK]
PASSAGE: Күйеуге шықпағанда тұрған ұят ештеңе жоқ.
TRANS: Küyeuge shyqpağanda tūrğan ūyat eshteñe joq.
TRANSLATION: There is no shame in not having married.</t>
  </si>
  <si>
    <t>absence of social  shame from moral integrity — Melanie</t>
  </si>
  <si>
    <t>Sometimes when Scarlett saw guests sitting on the grass, sipping tea, the only refreshment the Wilkeses could afford, she wondered how Melanie could bring herself to expose her poverty so shamelessly. Until Scarlett was able to furnish Aunt Pitty's house as it had been before the war and serve her guests good wine and juleps and baked ham and cold haunches of venison, she had no intention of having guests in her house—especially prominent guests, such as Melanie had.</t>
  </si>
  <si>
    <t>TERM: styditsya (стыдится) — feels ashamed (3sg) [ORD] (lemma: стыдиться)
PASSAGE: Порой, глядя, как гости сидят на траве и попивают чай — единственный напиток, который Уилксы в состоянии были предложить, — Скарлетт поражалась, как это Мелли не стыдится выставлять напоказ свою бедность.
TRANS: Poroy, glyadya, kak gosti sidyat na trave i popivayut chay — edinstvennyy napitok, kotoryy Uilksy v sostoyanii byli predlozhit', — Skarlett porazhalas', kak eto Melli ne styditsya vystavlyat' napokaz svoyu bednost'.
TRANSLATION: At times, looking at the guests sitting on the grass and sipping tea — the only beverage the Wilkeses were able to offer — Scarlett was amazed that Melly was not ashamed of putting her poverty on display.</t>
  </si>
  <si>
    <t>TERM: ŪYALU (ҰЯЛУ) — to feel ashamed; to feel shy; to be embarrassed [KED, SZK]
PASSAGE: Кейде қонақтардың шөп үстінде үй иесінің шамасы жететін жалғыз сусынын - шайын ішіп отырғандарын көргенде Скарлетт Меланидің өз кедейлігінен ұялмай, елге жайып көрсететініне таңырқайтын.
TRANS: Keyde qonaqtardyñ shöp üstinde üy iesiniñ shamasy jetetin jalğyz susynyn - shayyn iship otyrğandaryn körgende Skarlett Melanidiñ öz kedeyliginen ūyalmay, elge jayyp körsetetinine tañyrqaytyn.
TRANSLATION: Sometimes, when she saw the guests sitting on the grass drinking the only refreshment the host could afford — tea — Scarlett would be amazed that Melanie was not ashamed of her poverty and openly showed it to all.</t>
  </si>
  <si>
    <t>Social shame ABSENT in community  - aunt Pitty as witness</t>
  </si>
  <si>
    <t>Aunt Pitty disapproved highly of these last, for she felt they had come to Atlanta for no reason at all except to catch husbands, and the shamelessness of it made her wonder what the world was coming to.</t>
  </si>
  <si>
    <t>TERM: besstydstva (бесстыдства) — shamelessness; impudence (gen.) [ORD] (lemma: бесстыдство)
PASSAGE: и перед лицом такого бесстыдства она не переставала с изумлением вопрошать: куда идет мир?
TRANS: i pered litsom takogo besstydstva ona ne perestavala s izumleniem voproshat': kuda idet mir?
TRANSLATION: and faced with such shamelessness she did not cease asking in astonishment: where is the world heading?</t>
  </si>
  <si>
    <t>TERM: ŪYATSYZDYQ (ҰЯТСЫЗДЫҚ) — shamelessness; impudence [KED, SZK]
PASSAGE: ол мұндай ұятсыздыққа "бұл дүние не болып жатыр?" деп таңғалуын қоймады.
TRANS: ol mūnday ūyatsyzdyqqa "būl dünie ne bolyp jatyr?" dep tañğaluyn qoymady.
TRANSLATION: she did not stop being astonished at this shamelessness, asking, "What is happening to this world?"</t>
  </si>
  <si>
    <t>Social shame ABSENT</t>
  </si>
  <si>
    <t>Scarlett had no shame at all, only an active feeling of relief.</t>
  </si>
  <si>
    <t>TERM: ni maleyshego styda (ни малейшего стыда) — not the slightest shame [ORD] (lemma: стыд)
PASSAGE: А Скарлетт и не испытывала ни малейшего стыда
TRANS: A Skarlett i ne ispytyvala ni maleyshego styda
TRANSLATION: And Scarlett did not feel the slightest shame</t>
  </si>
  <si>
    <t>TERM: ŪYALU (ҰЯЛУ) — to feel ashamed; to feel shy; to be embarrassed [KED, SZK]
PASSAGE: Ал Скарлетт ешқандай да ұялған жоқ еді
TRANS: Al Skarlett eshqanday da ūyalğan joq edi
TRANSLATION: And Scarlett was not in the least ashamed</t>
  </si>
  <si>
    <t>Happy absence of social shame, feeling of freedom</t>
  </si>
  <si>
    <t>"Me, I am dead to shame," grinned Rene. "Who would be respectable? All of my days I was respectable until ze war set me free lak ze darkies. Nevaire again must I be deegneefied and full of ennui. Free lak ze bird!</t>
  </si>
  <si>
    <t>TERM: styd (стыд) — shame; the feeling of having transgressed a moral or social norm [ORD]
PASSAGE: Да я свой стыд давно похоронил!
TRANS: Da ya svoy styd davno pokhoronil!
TRANSLATION: Oh, I have buried my shame long ago!</t>
  </si>
  <si>
    <t>TERM: ŪYAT (ҰЯТ) — shame; disgrace; sense of decency (also: that which is improper) [KED, SZK]
PASSAGE: Маған ба? Ой, саспа, мен ұятымды баяғыда жерлеп тастаған адаммын.
TRANS: Mağan ba? Oy, saspa, men ūyatymdy bayağyda jerlep tastağan adammyn.
TRANSLATION: Me? Oh, don't worry, I am a man who buried my shame long ago.</t>
  </si>
  <si>
    <t>Shame — Illocutionary shame (shaming)</t>
  </si>
  <si>
    <t>shame directed at another — performative speech act (verdict / directive)</t>
  </si>
  <si>
    <t>"Peter," she said, her voice breaking as she put her hand on his thin arm. "I'm ashamed of you for crying. What do you care? They aren't anything but damned Yankees!"</t>
  </si>
  <si>
    <t>TERM: stydno (стыдно) — it is shameful; (one) feels ashamed (impersonal predicate) [ORD]
PASSAGE: Мне стыдно, что ты плачешь.
TRANS: Mne stydno, chto ty plachesh'.
TRANSLATION: I am ashamed that you are crying.</t>
  </si>
  <si>
    <t>TERM: QYSYLU (ҚЫСЫЛУ) — to feel embarrassed; to feel constrained; to be in difficulty [KED, SZK]
PASSAGE: Сенің көз жасың үшін мен қатты қысылып отырмын.
TRANS: Seniñ köz jasyñ üshin men qatty qysylyp otyrmyn.
TRANSLATION: I am very embarrassed for your tears.</t>
  </si>
  <si>
    <t>"I wish," thought Scarlett irritably, "that Uncle Henry wouldn't ride home in that contraption. He ought to be ashamed to be seen in it. It isn't as though he didn't have a horse of his own. He just does it so he and Grandpa can go to the saloon together every night."</t>
  </si>
  <si>
    <t>TERM: Postydilsya (Постыдился) — felt ashamed (pf.); refrained out of shame [ORD] (lemma: постыдиться)
PASSAGE: Постыдился бы даже показываться на ней: ведь могут подумать, будто у него нет своей лошади.
TRANS: Postydilsya by dazhe pokazyvat'sya na ney: ved' mogut podumat', budto u nego net svoey loshadi.
TRANSLATION: He would be ashamed even to show himself on her, for people might think he had no horse of his own.</t>
  </si>
  <si>
    <t>TERM: ŪYALU (ҰЯЛУ) — to feel ashamed; to feel shy; to be embarrassed [KED, SZK]
PASSAGE: Бұған көрінуге де ұялмайды өзі.
TRANS: Būğan körinuge de ūyalmaydy özi.
TRANSLATION: He himself would not even be ashamed to be seen on her.</t>
  </si>
  <si>
    <t>shame directed at another — performative speech act (verdict / directive); India shames Scarlett about bringing shame on her husband Frank by her behavior</t>
  </si>
  <si>
    <t>"I do hate you," she said in a clear but trembling voice. "But it hasn't been hypocrisy that's kept me quiet. It's something you can't understand, not possessing any—any common courtesy, common good breeding. It's the realization that if all of us don't hang together and submerge our own small hates, we can't expect to beat the Yankees. But you—you—you've done all you could to lower the prestige of decent people—working and bringing shame on a good husband, giving Yankees and riffraff the right to laugh at us and make insulting remarks about our lack of gentility. Yankees don't know that you aren't one of us and have never been. Yankees haven't sense enough to know that you haven't any gentility. And when you've ridden about the woods exposing yourself to attack, you've exposed every well-behaved woman in town to attack by putting temptation in the ways of darkies and mean white trash. And you've put our men folks' lives in danger because they've got to—"</t>
  </si>
  <si>
    <t>TERM: opozorili (опозорили) — they disgraced (pf. past pl.) [ORD] (lemma: опозорить)
PASSAGE: А вы… вы… вы все сделали, чтобы уронить престиж приличных людей: стали работать и опозорили хорошего мужа, давая повод янки и всему сброду смеяться над нами и делать разные оскорбительные замечания насчет того, что никакие мы, дескать, не аристократы.
TRANS: A vy… vy… vy vse sdelali, chtoby uronit' prestizh prilichnykh lyudey: stali rabotat' i opozorili khoroshego muzha, davaya povod yanki i vsemu sbrodu smeyat'sya nad nami i delat' raznye oskorbitel'nye zamechaniya naschet togo, chto nikakie my, deskat', ne aristokraty.
TRANSLATION: And you... you... you have done everything to undermine the prestige of decent people: you took to working and disgraced a good husband, giving the Yankees and all the rabble cause to laugh at us and to make all sorts of insulting remarks about how we are no aristocrats at all.</t>
  </si>
  <si>
    <t>TERM: KÜLKİ (КҮЛКІ) — laughter; mockery; object of mockery [KED, SZK]
PASSAGE: Ал сіз... сіз... Зиялы адамдардың мәртебесін түсіру үшін бәрін жасадыңыз: жұмыс істедіңіз, тым жақсы күйеуіңізді ел алдында күлкіге қалдырдыңыз
TRANS: Al siz... siz... Ziyaly adamdardyñ märtebesin tüsiru üshin bärin jasadyñyz: jūmys istediñiz, tym jaqsy küyeuiñizdi el aldynda külkige qaldyrdyñyz
TRANSLATION: And you... you... you did everything to bring down the standing of respectable people: you went to work, you put your too-good husband to shame before everyone</t>
  </si>
  <si>
    <t>Society’s verdict, society witness;   Rhett unbearable as audience</t>
  </si>
  <si>
    <t>Rhett had sent her home alone in the carriage when the party was over and she had thanked God for the reprieve. He had not come in yet. Thank God, he had not come in. She could not face him tonight, shamed, frightened, shaking. But where was he? Probably at that creature's place. For the first time, Scarlett was glad there was such a person as Belle Watling. Glad there was some other place than this house to shelter Rhett until his glittering, murderous mood had passed. That was wrong, being glad a husband was at the house of a prostitute, but she could not help it. She would be almost glad if he were dead, if it meant she would not have to see him tonight.</t>
  </si>
  <si>
    <t>TERM: opozorennaya (опозоренная) — disgraced (past pass. part. fem.) [ORD] (lemma: опозоренный)
PASSAGE: Она просто не в силах предстать перед ним сегодня — опозоренная, испуганная, трясущаяся.
TRANS: Ona prosto ne v silakh predstat' pered nim segodnya — opozorennaya, ispugannaya, tryasushchayasya.
TRANSLATION: She simply did not have the strength to appear before him today — disgraced, frightened, trembling.</t>
  </si>
  <si>
    <t>TERM: DÄRMENSİZ (ДӘРМЕНСІЗ) — helpless; powerless [KED, SZK]
PASSAGE: Тап бүгін бойын үрей билеген, қалтырап-дірілдеген, дәрменсіз күйінде оның алдында тұрар халі де жоқ.
TRANS: Tap bügin boyyn ürey bilegen, qaltyrap-dirildegen, därmensiz küyinde onyñ aldynda tūrar khali de joq.
TRANSLATION: Today, with terror gripping her body, trembling and shaking, helpless, she had no condition to stand before him.</t>
  </si>
  <si>
    <t>Shame about being caught with Ashley, about Rhett’s departure – Scarlett is perceived as a woman taken in adultery</t>
  </si>
  <si>
    <t>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 confess. Yes, blurt out everything from that far-off beginning on the sunny porch at Tara.</t>
  </si>
  <si>
    <t>TERM: pozoru (позору) — disgrace (dat.) [ORD] (lemma: позор)
PASSAGE: Ретт покинул город час тому назад с Бонни и Присси, и к позору и злости Скарлетт прибавилось отчаяние.
TRANS: Rett pokinul gorod chas tomu nazad s Bonni i Prissi, i k pozoru i zlosti Skarlett pribavilos' otchayanie.
TRANSLATION: Rhett had left the city an hour ago with Bonnie and Prissy, and to Scarlett's disgrace and anger was added despair.</t>
  </si>
  <si>
    <t>TERM: MASQARA (МАСҚАРА) — disgrace; scandal; outrage (acute) [KED, SZK]
PASSAGE: Ретт осыдан бір сағат бұрын өзімен бірге Бонни мен Приссиді алып, қаладан кетіп қалған еді, сондықтан да Скарлеттің іштей өртенген масқара өкінішіне енді тағы ашу-ызасы мен шарасыздығы қосылды.
TRANS: Rett osydan bir sağat būryn özimen birge Bonni men Prissidi alyp, qaladan ketip qalğan edi, sondyqtan da Skarlettiñ ishtey örtengen masqara ökinishine endi tağy ashu-yzasy men sharasyzdyğy qosyldy.
TRANSLATION: Rhett had taken Bonnie and Prissy with him and left the city an hour ago, so to Scarlett's inwardly burning shameful regret were now added anger and helplessness.</t>
  </si>
  <si>
    <t>But she could not accuse him now, could not rage at him, demand fidelity or try to shame him, any more than she could bring herself to apologize for accusing him of Bonnie's death. She was clutched by a bewildered apathy, an unhappiness that she could not understand, an unhappiness that went deeper than anything she had ever known. She was lonely and she could never remember being so lonely before. Perhaps she had never had the time to be very lonely until now. She was lonely and afraid and there was no one to whom she could turn, no one except Melanie. For now, even Mammy, her mainstay, had gone back to Tara. Gone permanently.</t>
  </si>
  <si>
    <t>TERM: stydit' (стыдить) — to shame (someone) (imperfective) [ORD]
PASSAGE: Но она уже не могла обвинять Ретта, не могла устраивать ему бурные сцены, требовать верности или стыдить его — как не могла заставить себя просить у него прощения за то, что обвинила его в смерти Бонни.
TRANS: No ona uzhe ne mogla obvinyat' Retta, ne mogla ustraivat' emu burnye stseny, trebovat' vernosti ili stydit' ego — kak ne mogla zastavit' sebya prosit' u nego proshcheniya za to, chto obvinila ego v smerti Bonni.
TRANSLATION: But she could no longer accuse Rhett, could no longer make stormy scenes, demand fidelity or shame him — just as she could not bring herself to ask his forgiveness for accusing him of Bonnie's death.</t>
  </si>
  <si>
    <t>TERM: SALMAQ (САЛМАҚ) — weight; burden [KED, SZK]
PASSAGE: Бірақ өзі енді Ретті кінәлай да алмайды, қызғаныштың қызыл итін абалатып, жер теуіп тұрып, талап та қоя алмайды, адалдықты міндеттеп, ұятына да салмақ сала алмайды.
TRANS: Biraq özi endi Retti kinälay da almaydy, qyzğanyshtyñ qyzyl itin abalatyp, jer teuip tūryp, talap ta qoya almaydy, adaldyqty mindettep, ūyatyna da salmaq sala almaydy.
TRANSLATION: But she could no longer even blame Rhett, could no longer set loose the red dog of jealousy, stamp her foot and make demands, oblige him to faithfulness and lay the burden on his conscience.</t>
  </si>
  <si>
    <t>"They know already, to be sure, and everybody knows of our disgrace. And your poor mother taking to her bed with it and me not able to hold up me head. 'Tis shameful. No, Puss, you need not think to get around me with tears this time," he said hastily and with some panic in his voice as Scarlett's lids began to bat and her mouth to screw up. "I know you. You'd be flirting at the wake of your husband”</t>
  </si>
  <si>
    <t>TERM: pozore (позоре) — disgrace (prep.) [ORD] (lemma: позор)
PASSAGE: — Им уже, без сомнения, известно — как, впрочем, и всем остальным — о нашем позоре.
TRANS: — Im uzhe, bez somneniya, izvestno — kak, vprochem, i vsem ostal'nym — o nashem pozore.
TRANSLATION: They no doubt already know — as do all the rest — of our disgrace.</t>
  </si>
  <si>
    <t>TERM: MASQARA (МАСҚАРА) — disgrace; scandal; outrage (acute) [KED, SZK]
PASSAGE: Басқалар сияқты олар да біздің масқарамыз туралы білетіні сөзсіз.
TRANS: Basqalar siyaqty olar da bizdiñ masqaramyz turaly biletini sözsiz.
TRANSLATION: No doubt they, like the others, also know about our disgrace.</t>
  </si>
  <si>
    <t>"Ashamed? You should die of shame. To desert us here, alone, helpless—"</t>
  </si>
  <si>
    <t>TERM: sgorat' so styda! (сгорать со стыда!) = burn with shame
PASSAGE: Разумеется, вы должны сгорать со стыда!
TRANS: Razumeetsya, vy dolzhny sgorat' so styda!
TRANSLATION: Of course, you must be burning up with shame!</t>
  </si>
  <si>
    <t>TERM: ŪYAT (ҰЯТ) — shame; disgrace; sense of decency (also: that which is improper) [KED, SZK]
PASSAGE: Әрине, ұяттан бетіңіздің оты шығып, күйіп қалуыңыз керек!
TRANS: Ärine, ūyattan betiñizdiñ oty shyğyp, küyip qaluyñyz kerek!
TRANSLATION: Of course, the fire of shame should come out of your face and scorch you!</t>
  </si>
  <si>
    <t>shame directed at another — performative speech act (verdict / directive); Mrs Merriwether shames Melanie for comparing “honorable” Ashley to “dishonorable” Rhett</t>
  </si>
  <si>
    <t>"You should be ashamed of yourself, comparing a fine man like Ashley Wilkes to a scoundrel like Captain Butler! I suppose you, too, think the Cause is nothing!"</t>
  </si>
  <si>
    <t>TERM: Postydilis' (Постыдились) — should have been ashamed (pl., reproachful) [ORD] (lemma: постыдиться)
PASSAGE: Постыдились бы сравнивать такого благородного человека, как Эшли, с этим подонком, капитаном Батлером!
TRANS: Postydilis' by sravnivat' takogo blagorodnogo cheloveka, kak Eshli, s etim podonkom, kapitanom Batlerom!
TRANSLATION: You ought to be ashamed of yourselves for comparing such a noble man as Ashley with that scoundrel, Captain Butler!</t>
  </si>
  <si>
    <t>TERM: ŪYALU (ҰЯЛУ) — to feel ashamed; to feel shy; to be embarrassed [KED, SZK]
PASSAGE: Сіз Эшли сияқты асыл адамды сол арсыз Батлер капитанмен салыстыруға ұялсаңызшы!
TRANS: Siz Eshli siyaqty asyl adamdy sol arsyz Batler kapitanmen salystyruğa ūyalsañyzshy!
TRANSLATION: You should be ashamed of comparing such a noble man as Ashley with that shameless Captain Butler!</t>
  </si>
  <si>
    <t>"How dare you, India?" she questioned in a low voice that shook. "Where will your jealousy lead you? For shame!"</t>
  </si>
  <si>
    <t>PASSAGE: —
TRANS: —
TRANSLATION: —</t>
  </si>
  <si>
    <t>Mild moral shame directed at another — performative speech act (verdict / directive)</t>
  </si>
  <si>
    <t>"You young misses ought ter tek shame, gittin' Miss Pitty in a state," he scolded.</t>
  </si>
  <si>
    <t>Uncle Peter</t>
  </si>
  <si>
    <t>TERM: ne sovestno (не совестно) — it is not conscience-troubling; (one) feels no qualms [ORD] (lemma: совестно)
PASSAGE: Как же вам, молодые барышни, не совестно доводить мисс Питти до состояния
TRANS: Kak zhe vam, molodye baryshni, ne sovestno dovodit' miss Pitti do sostoyaniya
TRANSLATION: How can you, young ladies, not be ashamed of bringing Miss Pitty to such a state</t>
  </si>
  <si>
    <t>TERM: ŪYALU (ҰЯЛУ) — to feel ashamed; to feel shy; to be embarrassed [KED, SZK]
PASSAGE: Питти бикешті осындай күйге жеткізуге қалайша ұялмайсыңдар, жас ханымдар, ...
TRANS: Pitti bikeshti osynday küyge jetkizuge qalaysha ūyalmaysyñdar, jas khanymdar, ...
TRANSLATION: How can you not be ashamed, young ladies, of bringing Miss Pitty to such a condition,...</t>
  </si>
  <si>
    <t>"Us ain' had nuthin' ter do wid Mist' Henry fer y'ars, an' us is too ole ter start now." He turned back to the girls, who were trying to suppress their smiles. "You young Misses ought ter tek shame, leavin' po' Miss Pitty 'lone, wid half her frens daid an' de other half in Macom, an' 'Lanta full of Yankee sojers an' trashy free issue niggers."</t>
  </si>
  <si>
    <t>Scarlett reasons about Ashley’s feelings – but it is unclear if shame refers to his feelings following exposure, to the societal verdict or to both</t>
  </si>
  <si>
    <t>She could not go on this way any longer, wondering what his feelings toward her were now, wondering if all his love had died in shame since the dreadful night of Melanie's party. In the course of business she could find many opportune times for conversations without it appearing to anyone that she was seeking him out. And, given time, she knew she could gain back whatever ground she had lost in his heart. But if she sold the mills—</t>
  </si>
  <si>
    <t>TERM: styda (стыда) — shame (genitive) [ORD] (lemma: стыд)
PASSAGE: Не может она дольше так жить, не зная, что он теперь к ней испытывает, не зная, сгорела ли его любовь от стыда после того страшного вечера, когда Мелани устроила прием.
TRANS: Ne mozhet ona dol'she tak zhit', ne znaya, chto on teper' k ney ispytyvaet, ne znaya, sgorela li ego lyubov' ot styda posle togo strashnogo vechera, kogda Melani ustroila priem.
TRANSLATION: She could not go on living like this, not knowing what he now feels toward her, not knowing whether his love had burned out from shame after that terrible evening when Melanie hosted the reception.</t>
  </si>
  <si>
    <t>PASSAGE: Бұдан әрі белгісіздікте, өзіне деген сезімінің бар-жоғын білмей, Мелани салтанатты қабылдау ұйымдастырған сол бір сұмдық кештен кейін махаббаты өшіп қалды ма, жоқ па деген сұрақтың жетегінде жүре алмайды екен.
TRANS: Būdan äri belgisizdikte, özine degen seziminiñ bar-joğyn bilmey, Melani saltanatty qabyldau ūyymdastyrğan sol bir sūmdyq keshten keyin makhabbaty öship qaldy ma, joq pa degen sūraqtyñ jeteginde jüre almaydy eken.
TRANSLATION: She could not go on in uncertainty, not knowing whether his feelings for her existed or not, dragged along by the question of whether his love had been extinguished or not after that horrible evening when Melanie organized the gala reception.</t>
  </si>
  <si>
    <t>"Times never change when there's a need for honest work to be done," stated the sharp-eyed old lady, refusing to be soothed. "And I'm ashamed for your mother, Scarlett, to hear you stand there and talk as though honest work made white trash out of nice people. 'When Adam delved and Eve span'—"</t>
  </si>
  <si>
    <t>Grandma Fontaine</t>
  </si>
  <si>
    <t>PASSAGE: Послушала бы твоя маменька, Скарлетт, как ты стоишь тут и заявляешь, что честный труд — это не для порядочных людей, а для белой голытьбы!
TRANS: Poslushala by tvoya mamen'ka, Skarlett, kak ty stoish' tut i zayavlyaesh', chto chestnyy trud — eto ne dlya poryadochnykh lyudey, a dlya beloy golyt'by!
TRANSLATION: If your mother could hear, Scarlett, you standing here and declaring that honest work is not for decent people but for white trash!</t>
  </si>
  <si>
    <t>PASSAGE: Скарлетт, сенің анаң осы жерде адал еңбек ету әдепті адамдардың қолы емес, ақ жарлы-жақыбайлардың міндеті деп құр жар салып жатқаныңды естісе ғой!
TRANS: Skarlett, seniñ anañ osy jerde adal eñbek etu ädepti adamdardyñ qoly emes, aq jarly-jaqybaylardyñ mindeti dep qūr jar salyp jatqanyñdy estise ğoy!
TRANSLATION: Scarlett, if your mother could hear how you are standing here and proclaiming that honest work is not the hand of polite people but the duty of poor white scum!</t>
  </si>
  <si>
    <t>shame directed at another — performative speech act (verdict / directive) for behaving unladylike</t>
  </si>
  <si>
    <t>"You are a brave little woman," he pronounced, "but I won't have you do this sort of thing. Your family would die of shame."</t>
  </si>
  <si>
    <t>TERM: styda (стыда) — shame (genitive) [ORD] (lemma: стыд)
PASSAGE: Да ваша семья умрет со стыда.
TRANS: Da vasha sem'ya umret so styda.
TRANSLATION: Why, your family will die of shame.</t>
  </si>
  <si>
    <t>TERM: ŪYAT (ҰЯТ) — shame; disgrace; sense of decency (also: that which is improper) [KED, SZK]
PASSAGE: Ұяттан отбасыңыз елдің бетіне қарай алмай қалады.
TRANS: Ūyattan otbasyñyz eldiñ betine qaray almay qalady.
TRANSLATION: From shame, your family will not be able to look people in the face.</t>
  </si>
  <si>
    <t>You kain sen' me ter Tara ness Ah wants ter go. Ah is free," said Mammy heatedly. "An' Ah is gwine ter stay right hyah. Git back in dat baid. Does you want ter ketch pneumony jes' now? Put down dem stays! Put dem down, honey. Now, Miss Scarlett, you ain' gwine nowhars in dis wedder. Lawd God! But you sho look lak yo' pa! Git back in baid—Ah kain go buyin' no paint! Ah die of shame, eve'ybody knowin 'it wud fer mah chile! Miss Scarlett, you is so sweet an' pretty lookin' you doan need no paint. Honey, doan nobody but bad womens use dat stuff."</t>
  </si>
  <si>
    <t>Mammy</t>
  </si>
  <si>
    <t>TERM: styda (стыда) — shame (genitive) [ORD] (lemma: стыд)
PASSAGE: Да я со стыда умру, как люди узнают, что это для моей деточки!
TRANS: Da ya so styda umru, kak lyudi uznayut, chto eto dlya moey detochki!
TRANSLATION: Why, I will die of shame when people learn that this is for my little baby!</t>
  </si>
  <si>
    <t>TERM: ŪYAT (ҰЯТ) — shame; disgrace; sense of decency (also: that which is improper) [KED, SZK]
PASSAGE: Балама бояу алып жүргенімді ел білсе, ұяттан өлмеймін бе!
TRANS: Balama boyau alyp jürgenimdi el bilse, ūyattan ölmeymin be!
TRANSLATION: If people find out that I am carrying paint for my child, won't I die of shame!</t>
  </si>
  <si>
    <t>shame directed at another — performative speech act (verdict / directive) for breaking social conventions</t>
  </si>
  <si>
    <t>"Look here, Renny, why don't you come and work for me? Managing a mill is a sight more respectable than driving a pie wagon. I'd think you'd be ashamed."</t>
  </si>
  <si>
    <t>TERM: stydno (стыдно) — it is shameful; (one) feels ashamed (impersonal predicate) [ORD]
PASSAGE: Я почему-то считаю, что вам стыдно этим заниматься.
TRANS: Ya pochemu-to schitayu, chto vam stydno etim zanimat'sya.
TRANSLATION: I somehow think that you are ashamed to do this.</t>
  </si>
  <si>
    <t>TERM: ŪYAT (ҰЯТ) — shame; disgrace; sense of decency (also: that which is improper) [KED, SZK]
PASSAGE: Сізге нанмен айналысу ұяттау ғой деп ойлаймын.
TRANS: Sizge nanmen aynalysu ūyattau ğoy dep oylaymyn.
TRANSLATION: I think it is rather shameful for you to be busy with bread.</t>
  </si>
  <si>
    <t>Shame — Shame as verdict</t>
  </si>
  <si>
    <t>Stigma</t>
  </si>
  <si>
    <t>She, a member of an old and staunchly Confederate family, a planter's family, had gone over to the enemy and by so doing had brought shame on every family in the County.</t>
  </si>
  <si>
    <t>Suellen</t>
  </si>
  <si>
    <t>TERM: pozor (позор) — disgrace; shame; ignominy [ORD]
PASSAGE: навлекла позор на каждую семью в графстве.
TRANS: navlekla pozor na kazhduyu sem'yu v grafstve.
TRANSLATION: brought disgrace upon every family in the county.</t>
  </si>
  <si>
    <t>TERM: KÜYE (КҮЙЕ) — soot; grime (used metaphorically: "stain") [KED, SZK]
PASSAGE: Конфедерацияға шын берілген, плантатор отбасында туған әйел қас дұшпанға тек өз басын ғана иген жоқ, күллі графтықтардың бетіне күйе жақты.
TRANS: Konfederatsiyağa shyn berilgen, plantator otbasynda tuğan äyel qas dūshpanğa tek öz basyn ğana igen joq, külli graftyqtardyñ betine küye jaqty.
TRANSLATION: A woman who was truly devoted to the Confederacy and born into a planter's family — she did not only bow her head to her arch-enemy, she daubed soot on the faces of all the counties.</t>
  </si>
  <si>
    <t>Suellen has her shame to sustain her and Carreen her God. But you've got nothing to sustain you, have you, child?"</t>
  </si>
  <si>
    <t>TERM: pozore (позоре) — disgrace (prep.) [ORD] (lemma: позор)
PASSAGE: Сьюлин вся в мыслях о своем позоре, а Кэррин — о боге, и это их поддерживает.
TRANS: S'yulin vsya v myslyakh o svoem pozore, a Kerrin — o boge, i eto ikh podderzhivaet.
TRANSLATION: Suellen is wholly absorbed in thoughts of her disgrace, and Carreen in [thoughts of] God, and that supports them.</t>
  </si>
  <si>
    <t>TERM: MASQARA (МАСҚАРА) — disgrace; scandal; outrage (acute) [KED, SZK]
PASSAGE: Сьюлин өзінің масқара қылығын еске алса, Кэррин құдайын ойлайды, екеуінің де бас сүйерлері бар.
TRANS: S'yulin öziniñ masqara qylyğyn eske alsa, Kerrin qūdayyn oylaydy, ekeuiniñ de bas süyerleri bar.
TRANSLATION: If Suellen recalls her own shameful conduct, Carreen thinks of her God; both have something to lean on.</t>
  </si>
  <si>
    <t>Shame — Absent shame</t>
  </si>
  <si>
    <t>Moral shame ABSENT — Rhett as specific witness</t>
  </si>
  <si>
    <t>Now that her first rage at Rhett and his insults had passed, she began to miss him and she missed him more and more as days went by without news of him. Out of the welter of rapture and anger and heartbreak and hurt pride that he had left, depression emerged to sit upon her shoulder like a carrion crow. She missed him, missed his light flippant touch in anecdotes that made her shout with laughter, his sardonic grin that reduced troubles to their proper proportions, missed even his jeers that stung her to angry retort. Most of all she missed having him to tell things to. Rhett was so satisfactory in that respect. She could recount shamelessly and with pride how she had skinned people out of their eyeteeth and he would applaud. And if she even mentioned such things to other people they were shocked.</t>
  </si>
  <si>
    <t>TERM: bez zazreniya sovesti (без зазрения совести) — without a qualm of conscience (set phrase) [ORD] (lemma: зазрение)
PASSAGE: Она могла без зазрения совести, даже с гордостью, рассказывать ему, как ободрала кого-нибудь точно липку, и он лишь аплодировал ей.
TRANS: Ona mogla bez zazreniya sovesti, dazhe s gordost'yu, rasskazyvat' emu, kak obodrala kogo-nibud' tochno lipku, i on lish' aplodiroval ey.
TRANSLATION: She could, without any pang of conscience, even with pride, tell him how she had fleeced someone like a sticky-leaf, and he would only applaud her.</t>
  </si>
  <si>
    <t>TERM: QYSYLU (ҚЫСЫЛУ) — to feel embarrassed; to feel constrained; to be in difficulty [KED, SZK]
PASSAGE: Скарлетт еш қысылмастан кімнің қалтасын қалай қаққанын, қай қыспақтан қалай сытылып шыққанын ұялмай, қайта танау желбезегі дірілдеп отырып, мақтанышпен айтатын, сол кезде алақанын алақанына ұрып, мадақтайтын адамы да сол болатын.
TRANS: Skarlett esh qysylmastan kimniñ qaltasyn qalay qaqqanyn, qay qyspaqtan qalay sytylyp shyqqanyn ūyalmay, qayta tanau jelbezegi dirildep otyryp, maqtanyshpen aytatyn, sol kezde alaqanyn alaqanyna ūryp, madaqtaytyn adamy da sol bolatyn.
TRANSLATION: Scarlett would, without the slightest embarrassment — indeed with her nostrils trembling with pride — tell him how she had picked someone's pocket or wriggled out of some squeeze, and he was the very man who would clap his palms in praise.</t>
  </si>
  <si>
    <t>constitutive absence of shame — Rhett outside the social shame system</t>
  </si>
  <si>
    <t>His hair was jet black, and his black mustache was small and closely clipped, almost foreign looking compared with the dashing, swooping mustaches of the cavalrymen near by. He looked, and was, a man of lusty and unashamed appetites. He had an air of utter assurance, of displeasing insolence about him, and there was a twinkle of malice in his bold eyes as he stared at Scarlett, until finally, feeling his gaze, she looked toward him.</t>
  </si>
  <si>
    <t>PASSAGE: Лицо человека, наделенного отменным здоровьем и таким же аппетитом, откровенно жадного до всех жизненных утех.
TRANS: Litso cheloveka, nadelennogo otmennym zdorov'em i takim zhe appetitom, otkrovenno zhadnogo do vsekh zhiznennykh utekh.
TRANSLATION: The face of a man endowed with excellent health and an equally good appetite, frankly greedy for all of life's pleasures.</t>
  </si>
  <si>
    <t>TERM: ŪYALU (ҰЯЛУ) — to feel ashamed; to feel shy; to be embarrassed [KED, SZK]
PASSAGE: Керемет күш-қуат пен өмірдің бардық ләззаттарына ашкөздікпен қарайтын тәбетке ие адамның бет-әлпеті.
TRANS: Keremet küsh-quat pen ömirdiñ bardyq läzzattaryna ashközdikpen qaraytyn täbetke ie adamnyñ bet-älpeti.
TRANSLATION: The face of a man possessed of remarkable strength and energy, with an appetite that eyes all the pleasures of life with greed.</t>
  </si>
  <si>
    <t>constitutive absence of shame — Rhett outside the social shame system; impossible to incur shame</t>
  </si>
  <si>
    <t>She was helpless before his calm smile and his drawling remarks, for she had never before met anyone who was so completely impregnable. Her weapons of scorn, coldness and abuse blunted in her hands, for nothing she could say would shame him. It had been her experience that the liar was the hottest to defend his veracity, the coward his courage, the ill-bred his gentlemanliness, and the cad his honor. But not Rhett. He admitted everything and laughed and dared her to say more.</t>
  </si>
  <si>
    <t>TERM: Smutit' (Смутить) — to disconcert; to embarrass (perfective) [ORD]
PASSAGE: Смутить его было невозможно.
TRANS: Smutit' ego bylo nevozmozhno.
TRANSLATION: It was impossible to disconcert him.</t>
  </si>
  <si>
    <t>TERM: ŪYALTU (ҰЯЛТУ) — to make (someone) feel ashamed; to disconcert; to embarrass (causative) [KED, SZK]
PASSAGE: Оны ұялту мүмкін емес еді.
TRANS: Ony ūyaltu mümkin emes edi.
TRANSLATION: It was impossible to make him feel ashamed.</t>
  </si>
  <si>
    <t>He picked up his hat and bowed and she saw in the light of the lamp that his teeth were showing in a smile beneath his mustache. He was not ashamed, he was amused at what she had said, and he was watching her with alert interest.</t>
  </si>
  <si>
    <t>TERM: pristyzhen (пристыжен) — shamed; abashed (short form pass.) [ORD] (lemma: пристыдить)
PASSAGE: Он явно не был пристыжен
TRANS: On yavno ne byl pristyzhen
TRANSLATION: He clearly was not put to shame.</t>
  </si>
  <si>
    <t>TERM: ŪYALU (ҰЯЛУ) — to feel ashamed; to feel shy; to be embarrassed [KED, SZK]
PASSAGE: Оның ұялмағаны анық
TRANS: Onyñ ūyalmağany anyq
TRANSLATION: It was clear he was not embarrassed.</t>
  </si>
  <si>
    <t>constitutive absence of shame — Rhett outside the social-moral shame system</t>
  </si>
  <si>
    <t>"Shall we let the bugles sing truce?" he smiled down at her, a wide flashing smile that had impudence in it but no shame for his own actions or condemnation for hers. In spite of herself, she had to smile too, but it was a wry, uncomfortable smile.</t>
  </si>
  <si>
    <t>TERM: ne oszhudat' (не осжудать) — not to condemn (typo for не осуждать in source) [ORD] (lemma: осуждать)
PASSAGE: но нисколько не осуждающая ее или себя.
TRANS: no niskol'ko ne osuzhdayushchaya ee ili sebya.
TRANSLATION: but [a smile] not at all condemning her or himself.</t>
  </si>
  <si>
    <t>TERM: KİNÄLAU (КІНӘЛАУ) — to blame; to find guilty [KED, SZK]
PASSAGE: - Мүмкін татуласармыз? - Жоғарыдан төмен, бұған жадырай қарап тұрған оның күлкісі сондай шуақты соншалықты кеңдік пен аздаған дөрекілікті паш етіп тұрды, өзін де, мұны да ештеңеге кінәламайтындай.
TRANS: - Mümkin tatulasarmyz? - Joğarydan tömen, būğan jadyray qarap tūrğan onyñ külkisi sonday shuaqty sonshalyqty keñdik pen azdağan dörekilikti pash etip tūrdy, özin de, mūny da eshteñege kinälamaytynday.
TRANSLATION: "Perhaps we will be reconciled?" — the smile he gave her, looking down at her with such warmth, such breadth and a slight roughness, as if blaming neither himself nor her in the slightest.</t>
  </si>
  <si>
    <t>constitutive absence of shame — Rhett outside the moral shame system</t>
  </si>
  <si>
    <t>Dr. Meade fumed into silence and stroked her cheek and then exploded again. "And to be under obligation to that Butler man! Hanging would be easy compared to that. No, not even if I owe him my life, can I be polite to him. His insolence is monumental and his shamelessness about his profiteering makes me boil. To owe my life to a man who never went in the army—"</t>
  </si>
  <si>
    <t>TERM: besstydstva (бесстыдства) — shamelessness; impudence (gen.) [ORD] (lemma: бесстыдство)
PASSAGE: Его наглости нет предела, а от его бесстыдства — ведь он же самый настоящий спекулянт! — я весь киплю.
TRANS: Ego naglosti net predela, a ot ego besstydstva — ved' on zhe samyy nastoyashchiy spekulyant! — ya ves' kiplyu.
TRANSLATION: His insolence has no limit, and from his shamelessness — for he is the most outright speculator! — I am all boiling.</t>
  </si>
  <si>
    <t>TERM: ŪYATSYZDYQ (ҰЯТСЫЗДЫҚ) — shamelessness; impudence [KED, SZK]
PASSAGE: Оның арсыздығының шегі жоқ, ал ұятсыздығы сол, ол нағыз саудагер емес пе? Ойлаған сайын күйініп кетемін.
TRANS: Onyñ arsyzdyğynyñ shegi joq, al ūyatsyzdyğy sol, ol nağyz saudager emes pe? Oylağan sayyn küyinip ketemin.
TRANSLATION: His insolence has no limit, and his shamelessness lies in this — is he not a real merchant? Every time I think of it I am incensed.</t>
  </si>
  <si>
    <t>They even stood Rhett, a more difficult matter, for Rhett saw through them and they knew it. He had no hesitation about stripping them verbally, even under his own roof, always in a manner that left them no reply. Unashamed of how he came by his fortune, he pretended that they, too, were unashamed of their beginnings and he seldom missed an opportunity to remark upon matters which, by common consent, everyone felt were better left in polite obscurity.</t>
  </si>
  <si>
    <t>TERM: Ne stesnyayas' (Не стесняясь) — without being embarrassed (gerund neg.) [ORD] (lemma: стесняться)
PASSAGE: Не стесняясь того, какими путями он сам пришел к богатству, он делал вид,
TRANS: Ne stesnyayas' togo, kakimi putyami on sam prishel k bogatstvu, on delal vid,
TRANSLATION: Not embarrassed by the ways he himself had come to his wealth, he made out as though...</t>
  </si>
  <si>
    <t>TERM: ŪYALU (ҰЯЛУ) — to feel ashamed; to feel shy; to be embarrassed [KED, SZK]
PASSAGE: Өзінің бұл байлыққа қол жеткізу жолын жасырмайтын да ұялмайтын болған соң,
TRANS: Öziniñ būl baylyqqa qol jetkizu jolyn jasyrmaytyn da ūyalmaytyn bolğan soñ,
TRANSLATION: Since he neither hid nor was ashamed of the path by which he had come to this wealth,...</t>
  </si>
  <si>
    <t>constitutive absence of shame — Rhett outside the social shame system (social conventions)</t>
  </si>
  <si>
    <t>From the moment his daughter was born, Rhett's conduct was puzzling to all observers and he upset many settled notions about himself, notions which both the town and Scarlett were loath to surrender. Whoever would have thought that he of all people would be so shamelessly, so openly proud of fatherhood? Especially in view of the embarrassing circumstance that his first-born was a girl and not a boy.</t>
  </si>
  <si>
    <t>TERM: besstydno (бесстыдно) — shamelessly (adv.) [ORD]
PASSAGE: Ну, кто бы мог подумать, что из всех людей именно он будет столь открыто, столь бесстыдно гордиться своим отцовством?
TRANS: Nu, kto by mog podumat', chto iz vsekh lyudey imenno on budet stol' otkryto, stol' besstydno gordit'sya svoim ottsovstvom?
TRANSLATION: Now, who would have thought that of all people, it would be precisely he who would be so openly, so shamelessly proud of his fatherhood?</t>
  </si>
  <si>
    <t>TERM: QYMSYNU (ҚЫМСЫНУ) — to feel awkward; to feel embarrassed [KED, SZK]
PASSAGE: Мына дүниедегі қаптаған адамдардың ішінен тап осы еркек өзін осыншама дардай етіп, елдің құлағын да әбден сарсытып, ашықтан-ашық, еш қымсынбастан әке болғанына жатпай-тұрмай мақтанады деп кім ойлаған?
TRANS: Myna düniedegi qaptağan adamdardyñ ishinen tap osy erkek özin osynshama darday etip, eldiñ qūlağyn da äbden sarsytyp, ashyqtan-ashyq, esh qymsynbastan äke bolğanyna jatpay-tūrmay maqtanady dep kim oylağan?
TRANSLATION: Of all the men in this world, who would have thought that this very man — making such a grand show of himself, wearing out everyone's ears — would, openly and without the slightest embarrassment, boast indefatigably of his fatherhood?</t>
  </si>
  <si>
    <t>"Scarlett, understand this. If you and your bed still held any charms for me, no looks and no entreaties could keep me away. And I would have no sense of shame for anything I did, for I made a bargain with you—a bargain which I have kept and you are now breaking. Keep your chaste bed, my dear."</t>
  </si>
  <si>
    <t>TERM: stydno (стыдно) — it is shameful; (one) feels ashamed (impersonal predicate) [ORD]
PASSAGE: И мне не было бы стыдно, так как мы с тобой заключили сделку — сделку, которой я верен и которую ты сейчас нарушаешь.
TRANS: I mne ne bylo by stydno, tak kak my s toboy zaklyuchili sdelku — sdelku, kotoroy ya veren i kotoruyu ty seychas narushaesh'.
TRANSLATION: And I would not be ashamed, since you and I made a bargain — a bargain to which I have been faithful and which you are now breaking.</t>
  </si>
  <si>
    <t>TERM: ŪYALU (ҰЯЛУ) — to feel ashamed; to feel shy; to be embarrassed [KED, SZK]
PASSAGE: Екеуміз жасасқан келісімге мен қиянат қылмай, осы уақытқа дейін адал боп келгендіктен, ештеңеден ұялар жайым жоқ, бәрін бұзған өзіңнен көрмесең.
TRANS: Ekeumiz jasasqan kelisimge men qiyanat qylmay, osy uaqytqa deyin adal bop kelgendikten, eshteñeden ūyalar jayym joq, bärin būzğan öziñnen körmeseñ.
TRANSLATION: Since I have been faithful all this while to the agreement we two made — not betraying it — I have nothing to be ashamed of: for breaking it all you have only yourself to look to.</t>
  </si>
  <si>
    <t>"Ashamed! Pooh! They're both cut out of the same piece of cloth. Where did you ever get such a silly notion?"</t>
  </si>
  <si>
    <t>TERM: Styditsya (Стыдится) — feels ashamed (3sg) [ORD] (lemma: стыдиться)
PASSAGE: Стыдится?! Ерунда!
TRANS: Styditsya?! Erunda!
TRANSLATION: Ashamed?! Nonsense!</t>
  </si>
  <si>
    <t>TERM: ŪYALU (ҰЯЛУ) — to feel ashamed; to feel shy; to be embarrassed [KED, SZK]
PASSAGE: Ұялады деймісіз? Қайдан?
TRANS: Ūyalady deymisiz? Qaydan?
TRANSLATION: You say he is ashamed? From where?</t>
  </si>
  <si>
    <t>absence of social shame from moral integrity — Melanie</t>
  </si>
  <si>
    <t>"But it's true," answered Melanie and she began to cry softly. "And I'm not ashamed that he thinks that way. He thinks the war is all wrong but he's willing to fight and die anyway, and that takes lots more courage than fighting for something you think is right."</t>
  </si>
  <si>
    <t>TERM: ne styzhus' (не стыжусь) — I am not ashamed (1sg neg.) [ORD] (lemma: стыдиться)
PASSAGE: И я нисколько не стыжусь того, что он так думает.
TRANS: I ya niskol'ko ne styzhus' togo, chto on tak dumaet.
TRANSLATION: And I am not in the least ashamed that he thinks so.</t>
  </si>
  <si>
    <t>TERM: ŪYALU (ҰЯЛУ) — to feel ashamed; to feel shy; to be embarrassed [KED, SZK]
PASSAGE: Ал мен оның солай ойлайтыны үшін еш ұялмаймын.
TRANS: Al men onyñ solay oylaytyny üshin esh ūyalmaymyn.
TRANSLATION: And I am not at all ashamed that he thinks so.</t>
  </si>
  <si>
    <t>absence of social shame from moral integrity and true love — Melanie</t>
  </si>
  <si>
    <t>If only she had the right to sit there beside him, her arm through his! If only she could pat his sleeve every few minutes to make sure he was really there, hold his hand and use his handkerchief to wipe away her tears of joy. For Melanie was doing all these things, unashamedly. Too happy to be shy and reserved, she hung on her husband's arm and adored him openly with her eyes, with her smiles, her tears.</t>
  </si>
  <si>
    <t>TERM: ne stydyas' (не стыдясь) — without being ashamed (gerund) [ORD] (lemma: стыдиться)
PASSAGE: делать все то, что Мелани, не стыдясь, проделывала при всех.
TRANS: delat' vse to, chto Melani, ne stydyas', prodelyvala pri vsekh.
TRANSLATION: do everything that Melanie did in front of everyone without being ashamed.</t>
  </si>
  <si>
    <t>TERM: QYSYLU (ҚЫСЫЛУ) — to feel embarrassed; to feel constrained; to be in difficulty [KED, SZK]
PASSAGE: Мелани сияқты ешкімнен қысылмай, бәрінің көзінше жасар еді.
TRANS: Melani siyaqty eshkimnen qysylmay, bäriniñ közinshe jasar edi.
TRANSLATION: She would do, like Melanie, in front of everyone's eyes, without being embarrassed by anyone.</t>
  </si>
  <si>
    <t>Shame — Performed / ironic shame</t>
  </si>
  <si>
    <t>shame PERFORMED, SUPPOSED or cited ironically</t>
  </si>
  <si>
    <t>"Why?" he laughed jauntily. "Because, perhaps, of the betraying sentimentality that lurks in all of us Southerners. Perhaps— perhaps because I am ashamed. Who knows?"</t>
  </si>
  <si>
    <t>TERM: stydno (стыдно) — it is shameful; (one) feels ashamed (impersonal predicate) [ORD]
PASSAGE: А возможно… возможно, потому, что мне стыдно.
TRANS: A vozmozhno… vozmozhno, potomu, chto mne stydno.
TRANSLATION: And perhaps... perhaps because I am ashamed.</t>
  </si>
  <si>
    <t>TERM: ŪYALU (ҰЯЛУ) — to feel ashamed; to feel shy; to be embarrassed [KED, SZK]
PASSAGE: Мүмкін... ұялғанымнан шығар
TRANS: Mümkin... ūyalğanymnan shyğar
TRANSLATION: Perhaps... it must be because I am ashamed.</t>
  </si>
  <si>
    <t>shame PERFORMED or cited ironically — not genuinely felt</t>
  </si>
  <si>
    <t>"Scarlett, spare me! I am always overcome with shame when I think about it."</t>
  </si>
  <si>
    <t>TERM: sgorat' so styda! (сгорать со стыда!) = burn with shame
PASSAGE: Я от стыда сгораю, думая об этом.
TRANS: Ya ot styda sgorayu, dumaya ob etom.
TRANSLATION: I burn with shame whenever I think about it.</t>
  </si>
  <si>
    <t>TERM: ŪYAT (ҰЯТ) — shame; disgrace; sense of decency (also: that which is improper) [KED, SZK]
PASSAGE: Соны ойласам, ұяттан өліп кете жаздаймын.
TRANS: Sony oylasam, ūyattan ölip kete jazdaymyn.
TRANSLATION: When I think of it, I almost die of shame.</t>
  </si>
  <si>
    <t>Fake shame about serving in the army – for complying with societal ideas of honor</t>
  </si>
  <si>
    <t>Then, there was that Butler man. His frequent calls at Aunt Pitty's house were the greatest humiliation of all. Frank had always disliked him, even when he had done business with him before the war. He often cursed the day he had brought Rhett to Twelve Oaks and introduced him to his friends. He despised him for the cold-blooded way he had acted in his speculations during the war and for the fact that he had not been in the army. Rhett's eight months' service with the Confederacy was known only to Scarlett, for Rhett had begged her, with mock fear, not to reveal his "shame" to anyone. Most of all Frank had contempt for him for holding on to the Confederate gold, when honest men like Admiral Bulloch and others confronted with the same situation had turned back thousands to the Federal treasury. But whether Frank liked it or not, Rhett was a frequent caller.</t>
  </si>
  <si>
    <t>TERM: pozore (позоре) — disgrace (prep.) [ORD] (lemma: позор)
PASSAGE: ибо Ретт с наигранным ужасом умолял ее никому не говорить об этом его «позоре».
TRANS: ibo Rett s naigrannym uzhasom umolyal ee nikomu ne govorit' ob etom ego «pozore».
TRANSLATION: for Rhett with feigned horror had implored her not to tell anyone about this "disgrace" of his.</t>
  </si>
  <si>
    <t>TERM: ŪYATTY (ҰЯТТЫ) — shameful; indecent (adj.) [KED, SZK]
PASSAGE: Реттің сегіз ай бойы конфедераттармен бірге болғанын жалғыз Скарлетт қана білетін, өйткені ол "ұятты іс" туралы ешкімге тіс жармауын жалған қорқақтың кейпіне еніп тұрып сұраған-ды.
TRANS: Rettiñ segiz ay boyy konfederattarmen birge bolğanyn jalğyz Skarlett qana biletin, öytkeni ol "ūyatty is" turaly eshkimge tis jarmauyn jalğan qorqaqtyñ keypine enip tūryp sūrağan-dy.
TRANSLATION: Only Scarlett knew that Rhett had been with the Confederates for eight months, because he had asked her, donning the mask of feigned cowardice, not to breathe a word about that "shameful business".</t>
  </si>
  <si>
    <t>Rhett pretends to feel moral shame at Yankee association</t>
  </si>
  <si>
    <t>I know what I'm talking about, for I'm hand in glove with the Yankees. Shameful to state, they treat me as one of them and I hear them talk openly.</t>
  </si>
  <si>
    <t>TERM: Stydno (Стыдно) — it is shameful; (one) feels ashamed (impersonal predicate) [ORD]
PASSAGE: Стыдно признаться, но они смотрят на меня, как на своего, и открыто говорят при мне обо всем.
TRANS: Stydno priznat'sya, no oni smotryat na menya, kak na svoego, i otkryto govoryat pri mne obo vsem.
TRANSLATION: It's shameful to admit, but they look at me as one of their own and openly talk about everything in my presence.</t>
  </si>
  <si>
    <t>TERM: ŪYAT (ҰЯТ) — shame; disgrace; sense of decency (also: that which is improper) [KED, SZK]
PASSAGE: Мұны айтуым ұят шығар, бірақ ол байғұстар мені өз адамдарындай көріп, мен бар жерде барлығын ашық жоспарлай береді.
TRANS: Mūny aytuym ūyat shyğar, biraq ol bayğūstar meni öz adamdarynday körip, men bar jerde barlyğyn ashyq josparlay beredi.
TRANSLATION: Saying this may be shameful, but those poor souls regard me as one of their own people and openly plan everything when I am there.</t>
  </si>
  <si>
    <t>"I thought you were ashamed of your war record," she said. "Didn't you tell me to keep it quiet?"</t>
  </si>
  <si>
    <t>TERM: stydites' (стыдитесь) — feel ashamed (imperative pl./formal sg.) [ORD] (lemma: стыдиться)
PASSAGE: А я-то полагала, что вы стыдитесь своего участия в войне,
TRANS: A ya-to polagala, chto vy stydites' svoego uchastiya v voyne,
TRANSLATION: And I had assumed you were ashamed of your participation in the war,</t>
  </si>
  <si>
    <t>TERM: ŪYALU (ҰЯЛУ) — to feel ashamed; to feel shy; to be embarrassed [KED, SZK]
PASSAGE: Мен сізді соғысқа қатысқаныңызға ұялып жүр екен десем.
TRANS: Men sizdi soğysqa qatysqanyñyzğa ūyalyp jür eken desem.
TRANSLATION: Whereas I had thought you were ashamed of having taken part in the war.</t>
  </si>
  <si>
    <t>"Well!" said Mrs. Elsing, confused. If he had been in the army then she was wrong. She had made many sharp remarks about his cowardice and the memory of them made her feel guilty. "Well! And why haven't you ever told anybody about your service? You act as though you were ashamed of it."</t>
  </si>
  <si>
    <t>TERM: stesnyaetes' (стесняетесь) — (you) are shy; feel awkward (2pl.) [ORD] (lemma: стесняться)
PASSAGE: Можно подумать, что вы стесняетесь этого
TRANS: Mozhno podumat', chto vy stesnyaetes' etogo
TRANSLATION: One might think you were embarrassed by it</t>
  </si>
  <si>
    <t>TERM: ŪYALU (ҰЯЛУ) — to feel ashamed; to feel shy; to be embarrassed [KED, SZK]
PASSAGE: Тіпті сізді сол қызметі үшін ұялады деуге де болатындай.
TRANS: Tipti sizdi sol qyzmeti üshin ūyalady deuge de bolatynday.
TRANSLATION: One could even say you were ashamed of that service.</t>
  </si>
  <si>
    <t>shame PERFORMED — not genuinely felt</t>
  </si>
  <si>
    <t>"I was ashamed to speak of it, in the light of—of some of my former actions."</t>
  </si>
  <si>
    <t>TERM: stydno (стыдно) — it is shameful; (one) feels ashamed (impersonal predicate) [ORD]
PASSAGE: Как-то стыдно мне было говорить об этом в свете… в свете некоторых моих тогдашних поступков.
TRANS: Kak-to stydno mne bylo govorit' ob etom v svete… v svete nekotorykh moikh togdashnikh postupkov.
TRANSLATION: It was somehow shameful for me to talk about it in the light of... in the light of certain of my actions back then.</t>
  </si>
  <si>
    <t>TERM: yñğaysyz (ыңғайсыз) — awkward; uncomfortable [KED, SZK]
PASSAGE: Оның адам мақтанарлық ештеңесі жоқ секілді ғой. Оның үстіне көпшілік ортада өзімнің әлгіндей... қылықтарымнан кейін бірдеңе деп мақтанудың өзі ыңғайсыз секілді.
TRANS: Onyñ adam maqtanarlyq eshteñesi joq sekildi ğoy. Onyñ üstine köpshilik ortada özimniñ älgindey... qylyqtarymnan keyin birdeñe dep maqtanudyñ özi yñğaysyz sekildi.
TRANSLATION: There seems to be nothing in it for one to boast of. Besides, in public, after my own such... behavior, even saying anything boastful seems awkward.</t>
  </si>
  <si>
    <t>shame PERFORMED  — not genuinely felt</t>
  </si>
  <si>
    <t>"And, Dolly, I give you my word that when he said that about being ashamed, tears came into his eyes! Yes, tears! I nearly cried myself."</t>
  </si>
  <si>
    <t>TERM: stydno (стыдно) — it is shameful; (one) feels ashamed (impersonal predicate) [ORD]
PASSAGE: И даю слово, Долли, он сказал, что ему стыдно, со слезами на глазах!
TRANS: I dayu slovo, Dolli, on skazal, chto emu stydno, so slezami na glazakh!
TRANSLATION: And I give you my word, Dolly, he said he was ashamed, with tears in his eyes!</t>
  </si>
  <si>
    <t>TERM: ŪYAT (ҰЯТ) — shame; disgrace; sense of decency (also: that which is improper) [KED, SZK]
PASSAGE: Шынымен де оның ұяты бар екен, Долли, көзіне жас алып тұрды.
TRANS: Shynymen de onyñ ūyaty bar eken, Dolli, közine jas alyp tūrdy.
TRANSLATION: He really did have shame, Dolly — he had tears in his eyes.</t>
  </si>
  <si>
    <t>shame PERFORMED   — not genuinely felt</t>
  </si>
  <si>
    <t>"Somehow," said Mrs. Elsing uncertainly, "somehow, I don't think he's so bad. A man who fought for the Confederacy can't be all bad. It's Scarlett who is the bad one. Do you know, Dolly, I really believe that he—well, he's ashamed of Scarlett but is too much of a gentleman to let on."</t>
  </si>
  <si>
    <t>TERM: styditsya (стыдится) — feels ashamed (3sg) [ORD] (lemma: стыдиться)
PASSAGE: Знаете, Долли, мне в самом деле кажется, что он… ну, словом, что он стыдится Скарлетт, но, будучи джентльменом, не показывает этого.
TRANS: Znaete, Dolli, mne v samom dele kazhetsya, chto on… nu, slovom, chto on styditsya Skarlett, no, buduchi dzhentl'menom, ne pokazyvaet etogo.
TRANSLATION: You know, Dolly, it really seems to me that he... well, that he is ashamed of Scarlett, but being a gentleman, he does not show it.</t>
  </si>
  <si>
    <t>TERM: ŪYALU (ҰЯЛУ) — to feel ashamed; to feel shy; to be embarrassed [KED, SZK]
PASSAGE: Байқайсыз ба, Долли, сірә, ол Скарлетт үшін ұялатын тәрізді ме, қалай? Тек онысын байқатпайтын сияқты. Қанша дегенмен мырза емес пе?
TRANS: Bayqaysyz ba, Dolli, sirä, ol Skarlett üshin ūyalatyn tärizdi me, qalay? Tek onysyn bayqatpaytyn siyaqty. Qansha degenmen myrza emes pe?
TRANSLATION: Don't you notice, Dolly — it seems perhaps he is ashamed for Scarlett's sake, no? But he doesn't let it show. After all, isn't he a gentleman?</t>
  </si>
  <si>
    <t>GUILT DOMAIN</t>
  </si>
  <si>
    <t>Guilt — Felt guilt</t>
  </si>
  <si>
    <t>strong felt guilt; inner moral accusation; presence of the person wronged actualizes felt guilt</t>
  </si>
  <si>
    <t>Since the day of the speaking, Stuart had been uncomfortable in India's presence. Not that India ever reproached him or even indicated by look or gesture that she was aware of his abruptly changed allegiance. She was too much of a lady. But Stuart felt guilty and ill at ease with her. He knew he had made India love him and he knew that she still loved him and, deep in his heart, he had the feeling that he had not played the gentleman.</t>
  </si>
  <si>
    <t>Stuart Tarleton</t>
  </si>
  <si>
    <t>TERM: chuvstva viny (чувства вины) — feeling of guilt (gen.) [ORD] (lemma: вина)
PASSAGE: Но Стюарт не мог избавиться от чувства вины и испытывал поэтому неловкость.
TRANS: No Styuart ne mog izbavit'sya ot chuvstva viny i ispytyval poetomu nelovkost'.
TRANSLATION: But Stuart could not rid himself of the feeling of guilt and as a result felt awkward.</t>
  </si>
  <si>
    <t>TERM: KİNÄLY (КІНӘЛЫ) — guilty; at fault [KED, SZK] (lemma: кінәлі)
PASSAGE: Бірақ Стюарт оның алдында өзін кінәлі сезінгендіктен ыңғайсыздықтан арыла алмады.
TRANS: Biraq Styuart onyñ aldynda özin kinäli sezingendikten yñğaysyzdyqtan aryla almady.
TRANSLATION: But Stuart could not rid himself of the awkwardness of feeling guilty before her.</t>
  </si>
  <si>
    <t>Guilt — Felt guilt (guilty pleasure)</t>
  </si>
  <si>
    <t>mild guilty pleasure — impropriety felt as pleasurable; no moral weight; Ellen as superego</t>
  </si>
  <si>
    <t>Scarlett had no awe of her father and felt him more her contemporary than her sisters, for jumping fences and keeping it a secret from his wife gave him a boyish pride and guilty glee that matched her own pleasure in outwitting Mammy. She rose from her seat to watch him.</t>
  </si>
  <si>
    <t>Gerald O’Hara</t>
  </si>
  <si>
    <t>PASSAGE: Он был как бы ее сверстником — даже больше, чем сестры, — ведь Джералд, словно мальчишка, любил втайне от жены скакать по полям напрямик, а Скарлетт — тоже большая охотница до всяких эскапад — была его верной союзницей против Мамушки.
TRANS: On byl kak by ee sverstnikom — dazhe bol'she, chem sestry, — ved' Dzherald, slovno mal'chishka, lyubil vtayne ot zheny skakat' po polyam napryamik, a Skarlett — tozhe bol'shaya okhotnitsa do vsyakikh eskapad — byla ego vernoy soyuznitsey protiv Mamushki.
TRANSLATION: He was, as it were, her contemporary — even more so than her sisters — for Gerald, like a boy, loved to gallop straight across the fields out of his wife's sight, and Scarlett — herself a great enthusiast of escapades — was his loyal ally against Mammy.</t>
  </si>
  <si>
    <t>PASSAGE: Comment: 'guilt' is left out
TRANS: Comment: 'guilt' is left out
TRANSLATION: [Comment in cell: 'guilt' is left out]</t>
  </si>
  <si>
    <t>strong felt guilt; inner moral accusation; Ellen (internalized superego)</t>
  </si>
  <si>
    <t>"Ah-ah-hum," said Gerald, suddenly and guiltily aware that the conversation, a most interesting and entirely proper one to him, would seem quite otherwise to Ellen. In fact, he knew she would never recover should she learn that her daughters had been exposed to so frank a conversation. But Mrs. Tarleton was, as usual, deaf to all other ideas when pursuing her favorite topic, breeding, whether it be horses or humans.</t>
  </si>
  <si>
    <t>TERM: smushchenno (смущенно) — in embarrassment; awkwardly (adv.) [ORD]
PASSAGE: — Хм, да, да, — смущенно пробормотал Джералд, до сознания которого вдруг дошло, что этот чрезвычайно интересный и вполне, на его взгляд, приличный разговор, вероятно, показался бы совсем неуместным его жене
TRANS: — Khm, da, da, — smushchenno probormotal Dzherald, do soznaniya kotorogo vdrug doshlo, chto etot chrezvychayno interesnyy i vpolne, na ego vzglyad, prilichnyy razgovor, veroyatno, pokazalsya by sovsem neumestnym ego zhene
TRANSLATION: "Hm, yes, yes," Gerald muttered in embarrassment, suddenly realizing that this conversation, extremely interesting and, in his view, perfectly proper, would probably appear utterly inappropriate to his wife</t>
  </si>
  <si>
    <t>TERM: ŪYALU (ҰЯЛУ) — to feel ashamed; to feel shy; to be embarrassed [KED, SZK]
PASSAGE: ... Джералд ұялғаннан күбірлеп, ол кенет өзінің ойынша өте қызықты әрі әжептәуір әңгіме әйеліме мүлдем орынсыз болып көрінер еді деп ойлады.
TRANS: ... Djerald ūyalğannan kübirlep, ol kenet öziniñ oyynsha öte qyzyqty äri äjeptäuir äñgime äyelime müldem orynsyz bolyp köriner edi dep oylady.
TRANSLATION: ... Gerald murmured in embarrassment, suddenly thinking that the conversation he found very interesting and respectable would seem entirely improper to his wife.</t>
  </si>
  <si>
    <t>mild guilty pleasure — relief mixed with guilt about feeling relief at the absence of her moral superego (Ellen) and her social conscience (Mammy)</t>
  </si>
  <si>
    <t>As the carriage bore her down the red road toward the Wilkes plantation, Scarlett had a feeling of guilty pleasure that neither her mother nor Mammy was with the party. There would be no one at the barbecue who, by delicately lifted brows or out-thrust underlip, could interfere with her plan of action.</t>
  </si>
  <si>
    <t>TERM: ne bez nekotorykh ugryzeniy sovesti (не без некоторых угрызений совести) — not without some pangs of conscience [ORD] (lemma: угрызение)
PASSAGE: Пока коляска, поднимая красную пыль, катилась по дороге к Двенадцати Дубам, Скарлетт, не без некоторых угрызений совести, радовалась тому, что ни Эллин, ни Мамушка не будут присутствовать на барбекю.
TRANS: Poka kolyaska, podnimaya krasnuyu pyl', katilas' po doroge k Dvenadtsati Dubam, Skarlett, ne bez nekotorykh ugryzeniy sovesti, radovalas' tomu, chto ni Ellin, ni Mamushka ne budut prisutstvovat' na barbekyu.
TRANSLATION: As the carriage rolled along the road to Twelve Oaks raising red dust, Scarlett, not without some pangs of conscience, was glad that neither Ellen nor Mammy would be present at the barbecue.</t>
  </si>
  <si>
    <t>TERM: AR (АР) — honour; conscience; inalienable inner moral principle [KED, SZK]
PASSAGE: Скарлетт аздап ары мазаласа да, барбекюде Эллиннің де, Үлкен шешейдің де болмайтынына қуанды.
TRANS: Skarlett azdap ary mazalasa da, barbekyude Ellinniñ de, Ülken shesheydiñ de bolmaytynyna quandy.
TRANSLATION: Although Scarlett's conscience troubled her a little, she rejoiced that neither Ellen nor Mammy would be at the barbecue.</t>
  </si>
  <si>
    <t>Guilt — Guilt as tormentor</t>
  </si>
  <si>
    <t>felt guilt; inner moral accusation; Ellen (internalized superego); guilt about Ellen’s pain, not about scandalous conduct</t>
  </si>
  <si>
    <t>A cold qualm of guilt assailed Scarlett at the thought of Ellen's consternation, should she ever learn of her daughter's scandalous conduct. But she took heart at the thought of the twenty-five miles between Atlanta and Tara. Miss Pitty certainly wouldn't tell Ellen. It would put her in such a bad light as a chaperon. And if Pitty didn't tattle, she was safe.</t>
  </si>
  <si>
    <t>TERM: raskayanie (раскаяние) — repentance; remorse [ORD]
PASSAGE: Скарлетт похолодела и в душе у нее пробудилось раскаяние.
TRANS: Skarlett pokholodela i v dushe u nee probudilos' raskayanie.
TRANSLATION: Scarlett went cold and remorse awakened in her soul.</t>
  </si>
  <si>
    <t>TERM: ÖKİNİSH (ӨКІНІШ) — regret; repentance [KED, SZK]
PASSAGE: Скарлетт суып сала берді де, оның жан дүниесінде өкініш пайда болды.
TRANS: Skarlett suyp sala berdi de, onyñ jan düniesinde ökinish payda boldy.
TRANSLATION: Scarlett grew cold, and remorse arose in her inner being.</t>
  </si>
  <si>
    <t>felt guilt; child-like emotion; Ellen (internalized superego)</t>
  </si>
  <si>
    <t>There was more in the same vein but Scarlett did not finish it. For once, she was thoroughly frightened. She did not feel reckless and defiant now. She felt as young and guilty as when she was ten and had thrown a buttered biscuit at Suellen at the table. To think of her gentle mother reproving her so harshly and her father coming to town to talk to Captain Butler. The real seriousness of the matter grew on her. Gerald was going to be severe. This was one time when she knew she couldn't wiggle out of her punishment by sitting on his knee and being sweet and pert.</t>
  </si>
  <si>
    <t>TERM: provinivshiysya (провинившийся) — the one at fault; one who has done wrong (active part.) [ORD] (lemma: провиниться)
PASSAGE: Она чувствовала себя словно провинившийся ребенок — совсем как в десять лет, когда как-то раз за столом запустила в Сьюлин печеньем.
TRANS: Ona chuvstvovala sebya slovno provinivshiysya rebenok — sovsem kak v desyat' let, kogda kak-to raz za stolom zapustila v S'yulin pechen'em.
TRANSLATION: She felt as though she were a guilty child — exactly as at age ten, when she once threw a cookie at Suellen at the table.</t>
  </si>
  <si>
    <t>TERM: JAZYQTY (ЖАЗЫҚТЫ) — at fault; guilty [KED, SZK]
PASSAGE: Сьюлинге тоқаш лақтырған кездегі жазықты болған он жасар жасөспірім кезіндегідей сезінді.
TRANS: S'yulinge toqash laqtyrğan kezdegi jazyqty bolğan on jasar jasöspirim kezindegidey sezindi.
TRANSLATION: She felt as if she were a ten-year-old who had thrown a roll at Suellen — like a guilty youngster.</t>
  </si>
  <si>
    <t>felt guilt mixed with panic; fear of discovery</t>
  </si>
  <si>
    <t>"Mother of God!" thought Scarlett, in a panic of guilt. "'Concealing his real thoughts.' Can Melly have read his mind? Or my mind? Does she suspect that he and I—"</t>
  </si>
  <si>
    <t>TERM: sovest' (совесть) — conscience; the inner moral faculty [ORD]
PASSAGE: в испуге подумала Скарлетт, так как, совесть ее, разумеется, была нечиста.
TRANS: v ispuge podumala Skarlett, tak kak, sovest' ee, razumeetsya, byla nechista.
TRANSLATION: Scarlett thought in fright, since her conscience was, of course, not clean.</t>
  </si>
  <si>
    <t>TERM: AR-OJDAN (АР-ОЖДАН) — conscience (compound from Arabic wijdān): the inalienable inner tribunal [KED, SZK]
PASSAGE: ... осылай ойлаған Скарлетт шошып кетті, өйткені оның ар-ұжданы, әрине, таза емес еді.
TRANS: ... osylay oylağan Skarlett shoshyp ketti, öytkeni onyñ ar-ūjdany, ärine, taza emes edi.
TRANSLATION: ... thinking thus, Scarlett took fright, for her ar-ujdan [conscience] was, of course, not clean.</t>
  </si>
  <si>
    <t>felt guilt; inner moral accusation; Ellen (internalized superego); pain at deceiving her mother and abusing her trust, not at the actual misdeeds</t>
  </si>
  <si>
    <t>"I'm always your little girl," Scarlett would say and bury her head upon Ellen's breast, her guilt rising up to accuse her. She did not tell her mother that it was the dancing and the beaux which drew her back to Atlanta and not the service of the Confederacy. There were many things she kept from her mother these days. But, most of all, she kept secret the fact that Rhett Butler called frequently at Aunt Pittypat's house.</t>
  </si>
  <si>
    <t>TERM: ugryzeniya sovesti. (угрызения совести.) = pangs of conscience
PASSAGE: — Я всегда, всегда буду вашей маленькой дочуркой, — говорила Скарлетт и прятала лицо на груди Эллин, чувствуя внезапно вспыхнувшие угрызения совести.
TRANS: — Ya vsegda, vsegda budu vashey malen'koy dochurkoy, — govorila Skarlett i pryatala litso na grudi Ellin, chuvstvuya vnezapno vspykhnuvshie ugryzeniya sovesti.
TRANSLATION: "I will always, always be your little daughter," said Scarlett, hiding her face on Ellen's breast, feeling suddenly flaring pangs of conscience.</t>
  </si>
  <si>
    <t>TERM: QYSYLU (ҚЫСЫЛУ) — to feel embarrassed; to feel constrained; to be in difficulty [KED, SZK]
PASSAGE: - Мен әрқашан сенің кішкентай қызың боламын, - деді Скарлетт өзінің ұжданы алдында қысылған жүзін Эллиннің кеудесіне жасырып.
TRANS: - Men ärqashan seniñ kishkentay qyzyñ bolamyn, - dedi Skarlett öziniñ ūjdany aldynda qysylğan jüzin Ellinniñ keudesine jasyryp.
TRANSLATION: "I will always be your little girl," said Scarlett, hiding her face — embarrassed before her own conscience [ujdan] — on Ellen's breast.</t>
  </si>
  <si>
    <t>Guilt — Felt guilt (guilty conscience)</t>
  </si>
  <si>
    <t>guilty conscience — guilt and conscience fused</t>
  </si>
  <si>
    <t>Scarlett's guilty conscience stirred as she tried to recall what Ashley might have written that would lead Melanie to make such a statement, but most of the letters she had read had gone out of her head as soon as she finished reading them. She believed Melanie had simply taken leave of her senses.</t>
  </si>
  <si>
    <t>TERM: sovesti (совести) — conscience (gen./dat./prep.) [ORD] (lemma: совесть)
PASSAGE: Скарлетт, испытывая легкий укол совести, старалась вспомнить, что же было такого в письмах Эшли, что заставило Мелани сделать подобное заявление, но содержание писем почти мгновенно улетучивалось у нее из головы, как только она кончала читать.
TRANS: Skarlett, ispytyvaya legkiy ukol sovesti, staralas' vspomnit', chto zhe bylo takogo v pis'makh Eshli, chto zastavilo Melani sdelat' podobnoe zayavlenie, no soderzhanie pisem pochti mgnovenno uletuchivalos' u nee iz golovy, kak tol'ko ona konchala chitat'.
TRANSLATION: Scarlett, feeling a slight prick of conscience, tried to recall what was in Ashley's letters that would make Melanie make such a statement, but the contents of the letters almost instantly evaporated from her head as soon as she finished reading.</t>
  </si>
  <si>
    <t>TERM: ūyal- (ұял-) — be ashamed (verbal stem) [KED, SZK] (lemma: ұялу)
PASSAGE: Скарлетт аздап ұялыс сезініп, Эшлидің хаттарындағы Меланиді осындай мәлімдеме жасауға итермелеген жолдарды еске түсіруге тырысты, ...
TRANS: Skarlett azdap ūyalys sezinip, Eshlidiñ khattaryndağy Melanidi osynday mälimdeme jasauğa itermelegen joldardy eske tüsiruge tyrysty, ...
TRANSLATION: Feeling a slight twinge of shame, Scarlett tried to recall the lines in Ashley's letters that had pushed Melanie to make such a statement,...</t>
  </si>
  <si>
    <t>overwhelming felt guilt; inner moral accusation; no specific audience</t>
  </si>
  <si>
    <t>"Jealous—of me?" cried Scarlett, stricken with guilt.</t>
  </si>
  <si>
    <t>TERM: sovesti (совести) — conscience (gen./dat./prep.) [ORD] (lemma: совесть)
PASSAGE: — Завидуешь мне? — воскликнула Скарлетт, чувствуя легкий укол совести.
TRANS: — Zaviduesh' mne? — voskliknula Skarlett, chuvstvuya legkiy ukol sovesti.
TRANSLATION: "You're jealous of me?" exclaimed Scarlett, feeling a slight prick of conscience.</t>
  </si>
  <si>
    <t>TERM: AR-OJDAN (АР-ОЖДАН) — conscience (compound from Arabic wijdān): the inalienable inner tribunal [KED, SZK]
PASSAGE: - Сен менен қызғанасың ба? - деп айқайлады Скарлетт ар-ұжданы ептеп мазалап.
TRANS: - Sen menen qyzğanasyñ ba? - dep ayqaylady Skarlett ar-ūjdany eptep mazalap.
TRANSLATION: "Are you jealous of me?" — Scarlett cried out, her ar-ujdan [conscience] slightly troubling her.</t>
  </si>
  <si>
    <t>felt guilt at intended conduct – preventative function; activated by Mammy</t>
  </si>
  <si>
    <t>Mammy looked at her piercingly, just as she had done when Scarlett was small and had tried unsuccessfully to palm off plausible excuses for misdeeds. She seemed to be reading her mind and Scarlett dropped her eyes unwillingly, the first feeling of guilt at her intended conduct creeping over her.</t>
  </si>
  <si>
    <t>TERM: sovesti (совести) — conscience (gen./dat./prep.) [ORD] (lemma: совесть)
PASSAGE: Казалось, Мамушка без труда читала в ее мыслях, и Скарлетт невольно опустила глаза, впервые почувствовав укол совести из-за своей затеи.
TRANS: Kazalos', Mamushka bez truda chitala v ee myslyakh, i Skarlett nevol'no opustila glaza, vpervye pochuvstvovav ukol sovesti iz-za svoey zatei.
TRANSLATION: It seemed that Mammy could read her thoughts without difficulty, and Scarlett involuntarily lowered her eyes, for the first time feeling a prick of conscience because of her scheme.</t>
  </si>
  <si>
    <t>TERM: ŪYAT (ҰЯТ) — shame; disgrace; sense of decency (also: that which is improper) [KED, SZK]
PASSAGE: Скарлетт ұяттың салмағынан ауыр тартқандай болған кірпіктерін төмен түсіре қойды.
TRANS: Skarlett ūyattyñ salmağynan auyr tartqanday bolğan kirpikterin tömen tüsire qoydy.
TRANSLATION: Scarlett, as though her eyelids had grown heavy from the weight of shame, lowered them.</t>
  </si>
  <si>
    <t>Guilt not of the lie, but at the thought of Ellen; accompanied by discomfort</t>
  </si>
  <si>
    <t>The first time Scarlett lied in this fashion she felt disconcerted and guilty—disconcerted because the lie sprang so easily and naturally to her lips, guilty because the thought flashed into her mind: What would Mother say?</t>
  </si>
  <si>
    <t>TERM: stydno (стыдно) — it is shameful; (one) feels ashamed (impersonal predicate) [ORD]
PASSAGE: Когда Скарлетт впервые решилась на такую ложь, ей потом стало стыдно и очень не по себе —
TRANS: Kogda Skarlett vpervye reshilas' na takuyu lozh', ey potom stalo stydno i ochen' ne po sebe —
TRANSLATION: When Scarlett had first decided on such a lie, she afterward felt ashamed and very ill at ease —</t>
  </si>
  <si>
    <t>TERM: QYSYLU (ҚЫСЫЛУ) — to feel embarrassed; to feel constrained; to be in difficulty [KED, SZK]
PASSAGE: Осы өтірік айтуға ең алғаш бел байлағанында, әрине, қысылған еді.
TRANS: Osy ötirik aytuğa eñ alğash bel baylağanynda, ärine, qysylğan edi.
TRANSLATION: When she first resolved to tell this lie, of course, she had been embarrassed.</t>
  </si>
  <si>
    <t>Guilty sense of pleasure, pleasure that Melanie cannot be intimate with Ashley, guilt at knowing it is bad</t>
  </si>
  <si>
    <t>Melanie wanted another baby badly, but both Dr. Meade and Dr. Fontaine had said another child would cost her her life. So, only half resigned to her fate, she spent most of her time with Scarlett, vicariously enjoying a pregnancy not her own. To Scarlett, scarcely wanting her coming child and irritated at its untimeliness, this attitude seemed the height of sentimental stupidity. But she had a guilty sense of pleasure that the doctors' edict had made impossible any real intimacy between Ashley and his wife.</t>
  </si>
  <si>
    <t>PASSAGE: Радовало ее лишь то, что вердикт врачей не допускал близости между Эшли и его женой.
TRANS: Radovalo ee lish' to, chto verdikt vrachey ne dopuskal blizosti mezhdu Eshli i ego zhenoy.
TRANSLATION: The only thing that pleased her was that the doctors' verdict did not allow intimacy between Ashley and his wife.</t>
  </si>
  <si>
    <t>PASSAGE: Дәрігерлердің үкімі Эшли мен әйелінің арасындағы жақындасуды болдырмайтынына бұл қуанатын.
TRANS: Därigerlerdiñ ükimi Eshli men äyeliniñ arasyndağy jaqyndasudy boldyrmaytynyna būl quanatyn.
TRANSLATION: She rejoiced that the doctors' verdict prevented intimacy between Ashley and his wife.</t>
  </si>
  <si>
    <t>Guilt and conscience close, guilt is mixed with fear of retribution from Rhett – so causes other feelings</t>
  </si>
  <si>
    <t>He had been away from Atlanta for months, since just after Gerald died, since long before Ella Lorena was born. She had missed him but she now wished ardently that there was some way to avoid seeing him. In fact, the sight of his dark face brought a feeling of guilty panic to her breast. A matter in which Ashley was concerned lay on her conscience and she did not wish to discuss it with Rhett, but she knew he would force the discussion, no matter how disinclined she might be.</t>
  </si>
  <si>
    <t>PASSAGE: По правде говоря, при виде его смуглого лица ее охватила паника и чувство вины.
TRANS: Po pravde govorya, pri vide ego smuglogo litsa ee okhvatila panika i chuvstvo viny.
TRANSLATION: To tell the truth, at the sight of his swarthy face she was overcome with panic and a feeling of guilt.</t>
  </si>
  <si>
    <t>TERM: KİNÄLY (КІНӘЛЫ) — guilty; at fault [KED, SZK] (lemma: кінәлі)
PASSAGE: Ашығын айтқанда, оның күреңіткен жүзін көргенде сасқалақтап, өзін кінәлі сезінгендіктен де бүгежектей бастады.
TRANS: Ashyğyn aytqanda, onyñ küreñitken jüzin körgende sasqalaqtap, özin kinäli sezingendikten de bügejektey bastady.
TRANSLATION: To tell the truth, when she saw his darkened face, she became flustered and, feeling guilty, began to cower.</t>
  </si>
  <si>
    <t>Guilt — Guilt as weight</t>
  </si>
  <si>
    <t>Guilt and fear at causing death (Frank); cannot confess to Ashley for fear of losing his love</t>
  </si>
  <si>
    <t>If there were only someone who could comfort her, quiet her fears, explain to her just what were these confused fears which made her heart sink with such cold sickness! If only Ashley—but she shrank from the thought. She had almost killed Ashley, just as she had killed Frank. And if Ashley ever knew the real truth about how she lied to Frank to get him, knew how mean she had been to Frank, he could never love her any more. Ashley was so honorable, so truthful, so kind and he saw so straightly, so clearly. If he knew the whole truth, he would understand. Oh, yes, he would understand only too well! But he would never love her any more. So he must never know the truth because he must keep on loving her. How could she live if that secret source of her strength, his love, were taken from her? But what a relief it would be to put her head on his shoulder and cry and unburden her guilty heart!</t>
  </si>
  <si>
    <t>TERM: greshnaya dusha (грешная душа) — a sinful soul [ORD] (lemma: грешный)
PASSAGE: Хотя ей стало бы намного легче, если бы она могла уткнуться головой ему в плечо, расплакаться и облегчить свою грешную душу!
TRANS: Khotya ey stalo by namnogo legche, esli by ona mogla utknut'sya golovoy emu v plecho, rasplakat'sya i oblegchit' svoyu greshnuyu dushu!
TRANSLATION: Although she would feel much better if she could bury her head in his shoulder, weep, and unburden her sinful soul!</t>
  </si>
  <si>
    <t>TERM: kökiregindegi zapyranyn (көкірегіндегі запыранын) — the bile in his/her chest (set image: deep bitterness/grief) [KED, SZK] (lemma: запыран)
PASSAGE: Әйтсе де соның иығына басын сүйеп қойып, егіліп жыласа, бар ақиқатты, басынан кешкендерін ақтарып, көкірегіндегі запыранын төгіп, мың батпан қасіретінен айрылса, жеңілдеп те қалар еді-ау
TRANS: Äytse de sonyñ iyğyna basyn süyep qoyyp, egilip jylasa, bar aqiqatty, basynan keshkenderin aqtaryp, kökiregindegi zapyranyn tögip, myñ batpan qasiretinen ayrylsa, jeñildep te qalar edi-au
TRANSLATION: And yet if she could lean her head on his shoulder and weep her heart out, pour out the whole truth, all she had been through, vent the bitterness from her chest, and rid herself of a thousand-pud weight of grief, she might feel relief.</t>
  </si>
  <si>
    <t>strong felt guilt; inner moral accusation; Ashley as object of guilt</t>
  </si>
  <si>
    <t>"Oh," breathed Scarlett, guilt struggling with joy that Ashley should feel so deeply about her, should still think her sweet. Thank God, he thought Rhett to blame for her penny-pinching ways. Of course, Rhett had nothing to do with it and the guilt was hers but, after all, another black mark on Rhett could do him no harm.</t>
  </si>
  <si>
    <t>TERM: chuvstvo viny (чувство вины) — feeling of guilt [ORD] (lemma: вина)
PASSAGE: — О! — выдохнула Скарлетт: чувство вины боролось в ней с чувством радости оттого, что Эшли неравнодушен к ней, что она ему по-прежнему мила.
TRANS: — O! — vydokhnula Skarlett: chuvstvo viny borolos' v ney s chuvstvom radosti ottogo, chto Eshli neravnodushen k ney, chto ona emu po-prezhnemu mila.
TRANSLATION: "Oh!" Scarlett exhaled: a feeling of guilt struggled within her with the joy that Ashley was not indifferent to her, that she was still dear to him.</t>
  </si>
  <si>
    <t>TERM: KİNÄLAU (КІНӘЛАУ) — to blame; to find guilty [KED, SZK]
PASSAGE: Эшлидің өзіне бейжай қарамайтынына көзі жеткеннен көңілі сергексіп, өзін іштей кінәлау сезімін қуанышы жеңе бастағандай.
TRANS: Eshlidiñ özine beyjay qaramaytynyna közi jetkennen köñili sergeksip, özin ishtey kinälau sezimin quanyshy jeñe bastağanday.
TRANSLATION: When she became convinced that Ashley was not indifferent toward her, her spirits revived, and joy began to overcome the feeling of guilt within her.</t>
  </si>
  <si>
    <t>Melanie as one wronged and as moral mirror</t>
  </si>
  <si>
    <t>Oh, she could stand the cuts, the slights, the covert smiles, anything the town might say, if she had to stand them—but not Melanie! Oh, not Melanie! She did not know why she should mind Melanie knowing, more than anyone else. She was too frightened and weighed down by a sense of past guilt to try to understand it. But she burst into tears at the thought of what would be in Melanie's eyes when India told her that she had caught Ashley fondling Scarlett.</t>
  </si>
  <si>
    <t>TERM: viny (вины) — guilt; fault (gen.) [ORD] (lemma: вина)
PASSAGE: Слишком она была испугана и подавлена сознанием вины за прошлое, чтобы пытаться это понять.
TRANS: Slishkom ona byla ispugana i podavlena soznaniem viny za proshloe, chtoby pytat'sya eto ponyat'.
TRANSLATION: She was too frightened and overwhelmed by the consciousness of guilt for the past to try to understand it.</t>
  </si>
  <si>
    <t>PASSAGE: Өткендерді қайта сезінудің машақатынан налып, әрі қатты қорыққандығы сондай, ештеңенің байыбына бара алмады.
TRANS: Ötkenderdi qayta sezinudiñ mashaqatynan nalyp, äri qatty qoryqqandyğy sonday, eshteñeniñ bayybyna bara almady.
TRANSLATION: Worn out from the labor of feeling the past again, and so frightened was she that she could not get to the bottom of anything.</t>
  </si>
  <si>
    <t>guilty conscience — guilt and conscience fused; interpersonal harm – Melanie, Ashley, Rhett</t>
  </si>
  <si>
    <t>She heard the servants come back as night fell and it seemed to her that they were very silent as they moved about preparing supper. Or was it her guilty conscience? Mammy came to the door and knocked but Scarlett sent her away, saying she did not want any supper.</t>
  </si>
  <si>
    <t>TERM: nechistoy sovesti (нечистой совести) — an unclean conscience (gen.) [ORD] (lemma: совесть)
PASSAGE: Или, быть может, так ей казалось из-за нечистой совести?
TRANS: Ili, byt' mozhet, tak ey kazalos' iz-za nechistoy sovesti?
TRANSLATION: Or perhaps it seemed so to her because of her unclean conscience?</t>
  </si>
  <si>
    <t>PASSAGE: (ұяты таза болмаған) = because her shame was not clean Әлде өзінің ұяты таза болмаған соң да солай көрінді ме екен?
TRANS: (ūyaty taza bolmağan) = because her shame was not clean Älde öziniñ ūyaty taza bolmağan soñ da solay körindi me eken?
TRANSLATION: (her conscience was not clean) = because her shame was not clean — Or did it seem so to her because her own conscience was not clean? [translator's comment present]</t>
  </si>
  <si>
    <t>strong felt guilt; inner moral accusation; Melanie as moral mirror</t>
  </si>
  <si>
    <t>Rhett had left town the hour before with Bonnie and Prissy, and desolation was added to Scarlett's shame and anger. The additional burden of her guilt with Ashley and Melanie's defense was more than she could bear. Had Melanie believed India and Archie, cut her at the reception or even greeted her frigidly, then she could have held her head high and fought back with every weapon in her armory. But now, with the memory of Melanie standing between her and social ruin, standing like a thin, shining blade, with trust and a fighting light in her eyes, there seemed nothing honest to do but</t>
  </si>
  <si>
    <t>TERM: vinovataya (виноватая) — guilty; at fault (fem.) [ORD] (lemma: виноватый)
PASSAGE: А сейчас, когда Мелани стала ее защищать, тогда как сама она, Скарлетт, чувствовала себя глубоко виноватой, — этого она и вовсе не в состоянии была вынести.
TRANS: A seychas, kogda Melani stala ee zashchishchat', togda kak sama ona, Skarlett, chuvstvovala sebya gluboko vinovatoy, — etogo ona i vovse ne v sostoyanii byla vynesti.
TRANSLATION: And now, when Melanie began to defend her, while she herself, Scarlett, felt deeply guilty — this she was simply unable to bear.</t>
  </si>
  <si>
    <t>TERM: künä (күнә) — sin (religious register; from Persian gunāh) [KED, SZK]
PASSAGE: Өзінің соншалық күнәға батқан қазіргі жағдайында Меланидің өлердей сеніп, шыр-пыр боп, қорғаштағаны жанына тіпті қатты батып тұр
TRANS: Öziniñ sonshalyq künäğa batqan qazirgi jağdayynda Melanidiñ ölerdey senip, shyr-pyr bop, qorğashtağany janyna tipti qatty batyp tūr
TRANSLATION: In her present situation, having sinned so deeply, Melanie's believing in her to the death and bustling about to protect her sat very heavily on her soul.</t>
  </si>
  <si>
    <t>Some of Rhett's taunting words of contempt came back to her and she wondered if indeed Ashley had played the manly part in this mess. And, for the first time, some of the bright glow which had enveloped him since the first day she fell in love with him began to fade imperceptibly. The tarnish of shame and guilt that enveloped her spread to him as well. Resolutely she tried to fight off this thought but it only made her cry harder.</t>
  </si>
  <si>
    <t>TERM: pozora (позора) — disgrace (gen.) [ORD] (lemma: позор)
PASSAGE: Черное пятно позора и вины, лежавшее на ней, переползло и на него.
TRANS: Chernoe pyatno pozora i viny, lezhavshee na ney, perepolzlo i na nego.
TRANSLATION: The black stain of disgrace and guilt that lay upon her crept onto him as well.</t>
  </si>
  <si>
    <t>TERM: kinä men künä (кінә мен күнә) — guilt and sin (set phrase combining secular and religious registers) [KED, SZK] (lemma: кінә)
PASSAGE: Осы уақытқа дейін өз арқасына басқан кінә мен күнәнің қап-қара нүктесі жылыстап, Эшлиге қарай ауып бара жатты.
TRANS: Osy uaqytqa deyin öz arqasyna basqan kinä men künäniñ qap-qara nüktesi jylystap, Eshlige qaray auyp bara jatty.
TRANSLATION: The pitch-black mark of guilt and sin that she had borne on her own back was sliding off and shifting toward Ashley.</t>
  </si>
  <si>
    <t>Guilt about Melanie; activates as Dr Meade’s unmasked contempt</t>
  </si>
  <si>
    <t>The door of Melanie's room opened quietly and Dr. Meade came out into the hall, shutting the door behind him. He stood for a moment, his gray beard sunk on his chest, and looked at the suddenly frozen four. His gaze fell last on Scarlett. As he came toward her, she saw that there was grief in his eyes and also dislike and contempt that flooded her frightened heart with guilt.</t>
  </si>
  <si>
    <t>PASSAGE: Когда он подошел к ней, она прочла в его глазах скорбь, а также неприязнь и презрение, и сердце у нее испуганно заныло от чувства вины.
TRANS: Kogda on podoshel k ney, ona prochla v ego glazakh skorb', a takzhe nepriyazn' i prezrenie, i serdtse u nee ispuganno zanylo ot chuvstva viny.
TRANSLATION: When he came up to her, she read in his eyes sorrow, and also dislike and contempt, and her heart ached fearfully with the feeling of guilt.</t>
  </si>
  <si>
    <t>TERM: KİNÄLY (КІНӘЛЫ) — guilty; at fault [KED, SZK] (lemma: кінәлі)
PASSAGE: Бері таман жақындап, қасына келген қарияның жанарынан қасірет көрген Скарлеттің жүрегі зырқ ете қалып кінәлі балаша төмен қарай берді.
TRANS: Beri taman jaqyndap, qasyna kelgen qariyanyñ janarynan qasiret körgen Skarlettiñ jüregi zyrq ete qalyp kinäli balasha tömen qaray berdi.
TRANSLATION: When the old man came nearer and approached, seeing the suffering in his gaze Scarlett's heart pounded and she lowered her eyes like a guilty child.</t>
  </si>
  <si>
    <t>strong felt guilt; inner moral accusation; Melanie feels she’s breaking moral and religious laws by coveting Scarlett’s baby</t>
  </si>
  <si>
    <t>She sank gratefully into a chair, her back, which always ached these days, feeling as though it would break in two at the waist line. Oh, how fortunate Scarlett was to have Captain Butler just outside her door while the baby was being born! If only she had had Ashley with her that dreadful day Beau came she would not have suffered half so much. If only that small girl behind those closed doors were hers and not Scarlett's! Oh, how wicked I am, she thought guiltily. I am coveting her baby and Scarlett has been so good to me. Forgive me, Lord. I wouldn't really want Scarlett's baby but—but I would so like a baby of my own!</t>
  </si>
  <si>
    <t>TERM: vinovato (виновато) — guiltily (adv.) [ORD]
PASSAGE: «Ах, какая же я скверная, — виновато подумала Мелани.
TRANS: «Akh, kakaya zhe ya skvernaya, — vinovato podumala Melani.
TRANSLATION: "Oh, what an awful person I am," Melanie thought guiltily.</t>
  </si>
  <si>
    <t>TERM: QYSYLU (ҚЫСЫЛУ) — to feel embarrassed; to feel constrained; to be in difficulty [KED, SZK]
PASSAGE: О, тәңірім, мен неткен қызғаншақ едім, - деп ойлады тағы өз ішкі тұжырымдарынан қысылып кеткен Мелани.
TRANS: O, täñirim, men netken qyzğanshaq edim, - dep oylady tağy öz ishki tūjyrymdarynan qysylyp ketken Melani.
TRANSLATION: "O God, how envious I have been!" — thought Melanie, again embarrassed at her own inner conclusions.</t>
  </si>
  <si>
    <t>strong felt guilt; inner moral accusation; about eating stolen food</t>
  </si>
  <si>
    <t>Pork foraged far, at times not coming home all night, and Scarlett did not ask him where he went. Sometimes he returned with game, sometimes with a few ears of corn, a bag of dried peas. Once he brought home a rooster which he said he found in the woods. The family ate it with relish but a sense of guilt, knowing very well Pork had stolen it, as he had stolen the peas and corn. One night soon after this, he tapped on Scarlett's door long after the house was asleep and sheepishly exhibited a leg peppered with small shot. As she bandaged it for him, he explained awkwardly that when attempting to get into a hen coop at Fayetteville, he had been discovered. Scarlett did not ask whose hen coop but patted Pork's shoulder gently, tears in her eyes.</t>
  </si>
  <si>
    <t>Family</t>
  </si>
  <si>
    <t>TERM: chuvstva viny (чувства вины) — feeling of guilt (gen.) [ORD] (lemma: вина)
PASSAGE: Они с превеликим аппетитом, но и не без чувства вины прикончили этого петуха, ибо все отлично понимали: петуха Порк украл, так же как горох и кукурузу.
TRANS: Oni s prevelikim appetitom, no i ne bez chuvstva viny prikonchili etogo petukha, ibo vse otlichno ponimali: petukha Pork ukral, tak zhe kak gorokh i kukuruzu.
TRANSLATION: They polished off this rooster with great appetite, but not without a feeling of guilt, for everyone understood perfectly well: Pork had stolen the rooster, just as he had the peas and corn.</t>
  </si>
  <si>
    <t>TERM: AYYPTY sezim (АЙЫПТЫ сезим) — guilty feeling (mixed-spelling variant of сезім) [KED, SZK] (lemma: айыпты)
PASSAGE: Олар бұл әтешті тамаша тәбетпен жеп алды, бірақ оған қоса әлденеге айыпты сезім де болды, өйткені Порктің бұршақ пен жүгеріні ұрлап әкелгені сияқты әтешті де үптеп кеткенін бәрінің іштері сезді.
TRANS: Olar būl äteshti tamasha täbetpen jep aldy, biraq oğan qosa äldenege ayypty sezim de boldy, öytkeni Porktiñ būrshaq pen jügerini ūrlap äkelgeni siyaqty äteshti de üptep ketkenin bäriniñ ishteri sezdi.
TRANSLATION: They ate this rooster with wonderful appetite, but along with that there was also a feeling of guilt, for everyone inwardly sensed that, just as Pork had stolen the peas and corn, he had taken this rooster too.</t>
  </si>
  <si>
    <t>Activated by Peter’s severe look (child’s emotion at adult’s judgment)</t>
  </si>
  <si>
    <t>"No'm. She's po'ly, thank God," answered Peter, fastening a severe look first on Melly and then on Scarlett, so that they suddenly felt guilty but could think of no reason why. "She's po'ly but she is plum outdone wid you young Misses, an' ef it come right down to it, Ah is too!"</t>
  </si>
  <si>
    <t>Melanie-Scarlett</t>
  </si>
  <si>
    <t>TERM: provinivshimisya (провинившимися) — those at fault; the guilty ones (instr. pl.) [ORD] (lemma: провиниться)
PASSAGE: Она держится, храни ее господь, — отвечал дядюшка Питер, бросая такой суровый взгляд сначала на Мелани, затем на Скарлетт, что они сразу почувствовали себя провинившимися, хотя еще не отдавали себе отчета — в чем.
TRANS: Ona derzhitsya, khrani ee gospod', — otvechal dyadyushka Piter, brosaya takoy surovyy vzglyad snachala na Melani, zatem na Skarlett, chto oni srazu pochuvstvovali sebya provinivshimisya, khotya eshche ne otdavali sebe otcheta — v chem.
TRANSLATION: She is bearing up, God preserve her, — answered Uncle Peter, casting such a stern look first at Melanie and then at Scarlett that they immediately felt guilty, although they could not yet account to themselves of what.</t>
  </si>
  <si>
    <t>TERM: KİNÄLY (КІНӘЛЫ) — guilty; at fault [KED, SZK] (lemma: кінәлі)
PASSAGE: осы сәтте олар не үшін екеніне есеп беріп жатпаса да, өздерін кінәлі сезінді.
TRANS: osy sätte olar ne üshin ekenine esep berip jatpasa da, özderin kinäli sezindi.
TRANSLATION: at that moment, although they were not yet giving themselves an account of why, they felt guilty.</t>
  </si>
  <si>
    <t>strong felt guilt; inner moral accusation about what turned out to be slander</t>
  </si>
  <si>
    <t>Mrs Elsing</t>
  </si>
  <si>
    <t>TERM: stesnyaetes' (стесняетесь) — (you) are shy; feel awkward (2pl.) [ORD] (lemma: стесняться)
PASSAGE: Можно подумать, что вы стесняетесь этого
TRANS: Mozhno podumat', chto vy stesnyaetes' etogo
TRANSLATION: One might think that you are embarrassed by it</t>
  </si>
  <si>
    <t>TERM: ŪYALU (ҰЯЛУ) — to feel ashamed; to feel shy; to be embarrassed [KED, SZK]
PASSAGE: Тіпті сізді сол қызметі үшін ұялады деуге де болатындай.
TRANS: Tipti sizdi sol qyzmeti üshin ūyalady deuge de bolatynday.
TRANSLATION: One could even say you are ashamed of that service.</t>
  </si>
  <si>
    <t>Guilty conscience</t>
  </si>
  <si>
    <t>TERM: sovest' (совесть) — conscience; the inner moral faculty [ORD]
PASSAGE: Или, быть может, так ей казалось из-за нечистой совести?
TRANS: Ili, byt' mozhet, tak ey kazalos' iz-za nechistoy sovesti?
TRANSLATION: Or perhaps it seemed so to her because of her unclean conscience?</t>
  </si>
  <si>
    <t>TERM: ŪYAT (ҰЯТ) — shame; disgrace; sense of decency (also: that which is improper) [KED, SZK]
PASSAGE: Әлде өзінің ұяты таза болмаған соң да солай көрінді ме екен?
TRANS: Älde öziniñ ūyaty taza bolmağan soñ da solay körindi me eken?
TRANSLATION: Or did it seem so to her because her own shame was not clean?</t>
  </si>
  <si>
    <t>Guilt — Guilt as deed</t>
  </si>
  <si>
    <t>Deed</t>
  </si>
  <si>
    <t>If we had been caught that Christmas of his furlough when I kissed him good-by—if we had been caught in the orchard at Tara when I begged him to run away with me—oh, if we'd been caught any of the times when we were really guilty, it wouldn't be so bad! But now! Now! When I went to his arms as a friend—</t>
  </si>
  <si>
    <t>TERM: vinovaty (виноваты) — (we/they are) at fault (pl.) [ORD] (lemma: виноватый)
PASSAGE: ох, если бы нас застигли в любое другое время, когда мы были в самом деле виноваты, это не было бы так обидно!
TRANS: okh, esli by nas zastigli v lyuboe drugoe vremya, kogda my byli v samom dele vinovaty, eto ne bylo by tak obidno!
TRANSLATION: oh, if we had been caught at any other time, when we really were guilty, it would not have been so distressing!</t>
  </si>
  <si>
    <t>TERM: KİNÄLY (КІНӘЛЫ) — guilty; at fault [KED, SZK] (lemma: кінәлі)
PASSAGE: Әскерде жүргенде жаңа жылға келіп-кетерінде бетінен сүйгенімді көргенде ғой... Тарада менімен бірге қашуға азғырып тұрғанымда... ой, құдайым-ай, шынымен кінәлі кезімізде көргендерінде бұлай өкінішті болмас еді ғой.
TRANS: Äskerde jürgende jaña jylğa kelip-keterinde betinen süygenimdi körgende ğoy... Tarada menimen birge qashuğa azğyryp tūrğanymda... oy, qūdayym-ay, shynymen kinäli kezimizde körgenderinde būlay ökinishti bolmas edi ğoy.
TRANSLATION: When I kissed his face on his return for New Year while he was on military leave... When in Tara he was tempting me to run away with him... oh, my God, if we had been caught when we really were guilty, it would not have been so distressing.</t>
  </si>
  <si>
    <t>deed</t>
  </si>
  <si>
    <t>But no one would believe that. She wouldn't have a single friend to take her part, not a single voice would be raised to say: "I don't believe she was doing anything wrong." She had outraged old friends too long to find a champion among them now. Her new friends, suffering in silence under her insolences, would welcome a chance to blackguard her. No, everybody would believe anything about her, though they might regret that so fine a man as Ashley Wilkes was mixed up in so dirty an affair. As usual they would cast the blame upon the woman and shrug at the man's guilt. And in this case they would be right. She had gone into his arms.</t>
  </si>
  <si>
    <t>TERM: vina (вина) — guilt; fault; blame [ORD]
PASSAGE: По обыкновению, всю вину свалят на женщину, а по поводу мужчины лишь пожмут плечами.
TRANS: Po obyknoveniyu, vsyu vinu svalyat na zhenshchinu, a po povodu muzhchiny lish' pozhmut plechami.
TRANSLATION: As usual, all the blame will be heaped on the woman, while regarding the man they will only shrug.</t>
  </si>
  <si>
    <t>TERM: KİNÄ (КІНӘ) — guilt; fault; blame (secular) [KED, SZK]
PASSAGE: Әдеттегіше, бар кінәні әйелге аударады да, еркек туралы айтылғанда тек иықтарын қиқаң еткізер де қояр.
TRANS: Ädettegishe, bar kinäni äyelge audarady da, erkek turaly aytylğanda tek iyqtaryn qiqañ etkizer de qoyar.
TRANSLATION: As usual, all the blame is shifted onto the woman, while regarding the man they will only shrug their shoulders.</t>
  </si>
  <si>
    <t>Those who espoused Melanie's side pointed triumphantly to the fact that Melanie was constantly with Scarlett these days. Would a woman of Melanie's high principles champion the cause of a guilty woman, especially a woman guilty with her own husband? No, indeed! India was just a cracked old maid who hated Scarlett and lied about her and induced Archie and Mrs. Elsing to believe her lies.</t>
  </si>
  <si>
    <t>TERM: sogreshivshuyu (согрешившую) — the one who sinned (active part. fem. acc.) [ORD] (lemma: согрешить)
PASSAGE: Неужели такая женщина, как Мелани, исповедующая столь высокие принципы, станет защищать женщину согрешившую,
TRANS: Neuzheli takaya zhenshchina, kak Melani, ispoveduyushchaya stol' vysokie printsipy, stanet zashchishchat' zhenshchinu sogreshivshuyu,
TRANSLATION: Could it be that a woman like Melanie, who professes such high principles, would defend a sinful woman,</t>
  </si>
  <si>
    <t>TERM: DİN (ДІН) — religion; faith (here marking küneqar as religious) [KED, SZK]
PASSAGE: Таным-түсінігі тым жоғары, адалдықты биік бағалайтын Мелани секілді әйел қалайша Скарлеттей күнәһар әйелді қолдап, қорғаштайды,
TRANS: Tanym-tüsinigi tym joğary, adaldyqty biik bağalaytyn Melani sekildi äyel qalaysha Skarlettey künähar äyeldi qoldap, qorğashtaydy,
TRANSLATION: How is it that a woman like Melanie, of such lofty understanding, who values integrity highly, would support and protect such a sinful woman as Scarlett,</t>
  </si>
  <si>
    <t>But, questioned India's adherents, if Scarlett isn't guilty, where is Captain Butler? Why isn't he here at his wife's side, lending her the strength of his countenance? That was an unanswerable question and, as the weeks went by and the rumor spread that Scarlett was pregnant, the pro-India group nodded with satisfaction. It couldn't be Captain Butler's baby, they said. For too long the fact of their estrangement had been public property. For too long the town had been scandalized by the separate bedrooms.</t>
  </si>
  <si>
    <t>TERM: povinna (повинна) — (she is) guilty; at fault (short form fem.) [ORD] (lemma: повинный)
PASSAGE: Но, спрашивали сторонники Индии, если Скарлетт ни в чем не повинна, где же тогда капитан Батлер?
TRANS: No, sprashivali storonniki Indii, esli Skarlett ni v chem ne povinna, gde zhe togda kapitan Batler?
TRANSLATION: But, asked India's supporters, if Scarlett is guilty of nothing, then where is Captain Butler?</t>
  </si>
  <si>
    <t>TERM: BEYKÜNÄ (БЕЙКҮНӘ) — innocent; without sin (Persian bey- privative) [KED, SZK]
PASSAGE: Бірақ Индияны жақтаушылардың көкейіне Скарлетт бейкүнә періште болса, неше күннен бері қарасы көрінбей, Батлер капитан қайда кетіп қалған деген сұрақ тұрды. "періште" is not in the original, it means "angel"
TRANS: Biraq Indiyany jaqtaushylardyñ kökeyine Skarlett beykünä perishte bolsa, neshe künnen beri qarasy körinbey, Batler kapitan qayda ketip qalğan degen sūraq tūrdy. "perishte" is not in the original, it means "angel"
TRANSLATION: But India's supporters were left with the question: if Scarlett is an innocent angel, why has Captain Butler been nowhere in sight for so many days, where has he gone? ['angel' is not in the original]</t>
  </si>
  <si>
    <t>Scarlett interprets Melanie’s look as one of a guilty child – after taking money for the cause from Belle</t>
  </si>
  <si>
    <t>As she struggled with her bushy, obstinate locks, perspiration beading her forehead, she heard light running feet in the downstairs hall and knew that Melanie was home from the hospital. As she heard her fly up the stairs, two at a time, she paused, hairpin in mid-air, realizing that something must be wrong, for Melanie always moved as decorously as a dowager. She went to the door and threw it open, and Melanie ran in, her face flushed and frightened, looking like a guilty child.</t>
  </si>
  <si>
    <t>TERM: nashkodivshego (нашкодившего) — the naughty/mischievous one (active part. masc. gen.) [ORD] (lemma: нашкодить)
PASSAGE: Скарлетт поспешила к двери, распахнула ее, и Мелани, перепуганная, с пылающими щеками, вбежала в комнату, глядя на Скарлетт молящими глазами нашкодившего ребенка.
TRANS: Skarlett pospeshila k dveri, raspakhnula ee, i Melani, perepugannaya, s pylayushchimi shchekami, vbezhala v komnatu, glyadya na Skarlett molyashchimi glazami nashkodivshego rebenka.
TRANSLATION: Scarlett hurried to the door, flung it open, and Melanie, frightened, with burning cheeks, ran into the room, looking at Scarlett with the imploring eyes of a mischief-doing child.</t>
  </si>
  <si>
    <t>TERM: būzyq (бұзық) — naughty; mischievous; (of child) ill-behaved [KED, SZK]
PASSAGE: бұзық баланың бірдеңе бүлдіргендегі жалынышты көзімен Скарлеттке қарады.
TRANS: būzyq balanyñ birdeñe büldirgendegi jalynyshty közimen Skarlettke qarady.
TRANSLATION: she looked at Scarlett with the imploring eyes of a naughty child who had broken something.</t>
  </si>
  <si>
    <t>CONSCIENCE DOMAIN</t>
  </si>
  <si>
    <t>Conscience — Internal authority (advisor / opponent)</t>
  </si>
  <si>
    <t>Ellen as internalized conscience; Melanie as moral mirror; desire for penance and repair</t>
  </si>
  <si>
    <t>She was driven by a conscience which, though long suppressed, could still rise up, an active Catholic conscience. "Confess your sins and do penance for them in sorrow and contrition," Ellen had told her a hundred times and, in this crisis, Ellen's religious training came back and gripped her. She would confess—yes, everything, every look and word, those few caresses—and then God would ease her pain and give her peace. And, for her penance, there would be the dreadful sight of Melanie's face changing from fond love and trust to incredulous horror and repulsion. Oh, that was too hard a penance, she thought in anguish, to have to live out her life remembering Melanie's face, knowing that Melanie knew all the pettiness, the meanness, the two-faced disloyalty and the hypocrisy that were in her.</t>
  </si>
  <si>
    <t>TERM: sovest' (совесть) — conscience; the inner moral faculty [ORD]
PASSAGE: К такому шагу Скарлетт побуждала совесть, которая хоть и долго молчала, но все еще способна была поднять голос, — совесть истинно верующей католички.
TRANS: K takomu shagu Skarlett pobuzhdala sovest', kotoraya khot' i dolgo molchala, no vse eshche sposobna byla podnyat' golos, — sovest' istinno veruyushchey katolichki.
TRANSLATION: Scarlett was urged to such a step by a conscience that, although it had been silent for a long time, was still capable of raising its voice — the conscience of a true believing Catholic.</t>
  </si>
  <si>
    <t>TERM: AR-ŪYAT (АР-ҰЯТ) — conscience-shame (compound): the active inner moral faculty [KED, SZK]
PASSAGE: Баяғыдан бері бұғып жатқанымен, ақыры өзінің бар екенін, бас көтеретін уақыты келгенін білдерген ар-ұяты Скарлетті осы қадамға жетелейтін. Жүрегінің түкпірінде шынайы католиктік сенімі:
TRANS: Bayağydan beri būğyp jatqanymen, aqyry öziniñ bar ekenin, bas köteretin uaqyty kelgenin bildergen ar-ūyaty Skarletti osy qadamğa jeteleytin. Jüreginiñ tükpirinde shynayy katoliktik senimi:
TRANSLATION: Although it had been hiding for a long time, her ar-uyat [conscience-shame] — finally signaling its existence and that the time to raise its head had come — was leading Scarlett to this step. In the depths of her heart, her sincere Catholic faith:</t>
  </si>
  <si>
    <t>Inner moral advisor and judge</t>
  </si>
  <si>
    <t>Gerald shoved in all his chips and laid on top of them his wallet. If the money it contained happened to belong to the firm of O'Hara Brothers, Gerald's conscience was not sufficiently troubled to confess it before Mass the following morning. He knew what he wanted, and when Gerald wanted something he gained it by taking the most direct route.</t>
  </si>
  <si>
    <t>TERM: sovest' (совесть) — conscience; the inner moral faculty [ORD]
PASSAGE: Тот факт, что содержимое бумажника являлось собственностью фирмы братьев О'Хара, не слишком обременял совесть Джералда, и каяться в своем грехе завтра перед утренней мессой он не собирался.
TRANS: Tot fakt, chto soderzhimoe bumazhnika yavlyalos' sobstvennost'yu firmy brat'ev O'Khara, ne slishkom obremenyal sovest' Dzheralda, i kayat'sya v svoem grekhe zavtra pered utrenney messoy on ne sobiralsya.
TRANSLATION: The fact that the contents of the wallet were the property of the firm of the O'Hara brothers did not weigh too heavily on Gerald's conscience, and he was not planning to repent of his sin tomorrow before morning Mass.</t>
  </si>
  <si>
    <t>TERM: AR-ŪYAT (АР-ҰЯТ) — conscience-shame (compound): the active inner moral faculty [KED, SZK]
PASSAGE: ... Джералдтың ар-ұятын мазаламады
TRANS: ... Djeraldtyñ ar-ūyatyn mazalamady
TRANSLATION: ... did not trouble Gerald's ar-uyat [conscience].</t>
  </si>
  <si>
    <t>conscience as internal debating partner — argued away (early arc)</t>
  </si>
  <si>
    <t>"Well, it's true," she argued with her conscience. "Everybody carries on like they were holy and they aren't anything but men, and mighty unattractive looking ones at that."</t>
  </si>
  <si>
    <t>TERM: sovest'yu (совестью) — conscience (instrumental) [ORD] (lemma: совесть)
PASSAGE: «Но ведь это же в самом деле так, — вступила она в спор с собственной совестью.
TRANS: «No ved' eto zhe v samom dele tak, — vstupila ona v spor s sobstvennoy sovest'yu.
TRANSLATION: "But it really is so," she entered into argument with her own conscience.</t>
  </si>
  <si>
    <t>TERM: AR-OJDAN (АР-ОЖДАН) — conscience (compound from Arabic wijdān): the inalienable inner tribunal [KED, SZK]
PASSAGE: "Бірақ бұл шынымен де солай", - деді ол өз ар-ұжданымен дауласып.
TRANS: "Biraq būl shynymen de solay", - dedi ol öz ar-ūjdanymen daulasyp.
TRANSLATION: "But this really is so," — she said, arguing with her own ar-uzhdan [conscience].</t>
  </si>
  <si>
    <t>conscience battles desire for money — equal contest; loses</t>
  </si>
  <si>
    <t>As she drove off down the path to the Decatur road her conscience battled with her desire for money. She knew she had no business exposing human lives to the hard little man's mercies. If he should cause the death of one of them she would be as guilty as he was, for she had kept him in charge after learning of his brutalities. But, on the other hand—well, on the other hand, men had no business getting to be convicts. If they broke laws and got caught, then they deserved what they got. This partly salved her conscience but as she drove down the road the dull thin faces of the convicts would keep coming back into her mind.</t>
  </si>
  <si>
    <t>TERM: sovest' (совесть) — conscience; the inner moral faculty [ORD]
PASSAGE: Она ехала по тропе, выходившей на Декейтерскую дорогу, а в душе у нее совесть боролась с жаждой наживы.
TRANS: Ona ekhala po trope, vykhodivshey na Dekeyterskuyu dorogu, a v dushe u nee sovest' borolas' s zhazhdoy nazhivy.
TRANSLATION: She was riding along the path that led out to the Decatur road, and in her soul her conscience was struggling with greed.</t>
  </si>
  <si>
    <t>TERM: AR-ŪYAT (АР-ҰЯТ) — conscience-shame (compound): the active inner moral faculty [KED, SZK]
PASSAGE: Ол Декейтер жолына шығатын соқпаққа түсіп алып, жүріп келеді, көкірегіндегі табысқа құмарлық мен ар-ұяты өзара алысуда.
TRANS: Ol Dekeyter jolyna shyğatyn soqpaqqa tüsip alyp, jürip keledi, kökiregindegi tabysqa qūmarlyq men ar-ūyaty özara alysuda.
TRANSLATION: Heading down the path that comes out onto the Decatur road, she rides along; her thirst for profit and her ar-uyat [conscience] are wrestling with each other inside her.</t>
  </si>
  <si>
    <t>Opponent, attacker, judge</t>
  </si>
  <si>
    <t>If only Melanie were with her, Melanie could calm her fears. But Melanie was at home, nursing Ashley. For a moment Scarlett thought of summoning Pittypat to stand between her and her conscience but she hesitated. Pitty would probably make matters worse, for she honestly mourned Frank.</t>
  </si>
  <si>
    <t>TERM: sovesti (совести) — conscience (gen./dat./prep.) [ORD] (lemma: совесть)
PASSAGE: На мгновение Скарлетт подумала было попросить Питтипэт подняться к ней — может, в ее присутствии умолкнет голос совести, — но не решилась.
TRANS: Na mgnovenie Skarlett podumala bylo poprosit' Pittipet podnyat'sya k ney — mozhet, v ee prisutstvii umolknet golos sovesti, — no ne reshilas'.
TRANSLATION: For a moment Scarlett thought to ask Pittypat to come up to her — perhaps in her presence the voice of conscience would fall silent — but she did not dare.</t>
  </si>
  <si>
    <t>TERM: ŪYAT (ҰЯТ) — shame; disgrace; sense of decency (also: that which is improper) [KED, SZK]
PASSAGE: Бір сәтке Питтипэт тәтесін шақырғысы келіп те ойланды, ол мұның көңілін аулап, ойын бөлсе, ұятпен бетпе-бет жалғыз қалудан құтылар ма еді, дегенмен бата алмады.
TRANS: Bir sätke Pittipet tätesin shaqyrğysy kelip te oylandy, ol mūnyñ köñilin aulap, oyyn bölse, ūyatpen betpe-bet jalğyz qaludan qūtylar ma edi, degenmen bata almady.
TRANSLATION: For a moment she even thought to call Aunt Pittypat — if she could distract her thoughts and entertain her, perhaps she could escape being left alone face-to-face with shame — but she did not dare.</t>
  </si>
  <si>
    <t>Opponent, attacker, judge – about a particularly “indecent” deed</t>
  </si>
  <si>
    <t>"Oh, come! You are confessing and you might as well confess the truth as a decorous lie. Did your—er—conscience bother you much when you offered to—shall we say—part with that jewel which is dearer than life for three hundred dollars?"</t>
  </si>
  <si>
    <t>TERM: sovest' (совесть) — conscience; the inner moral faculty [ORD]
PASSAGE: Ваша… м-м… совесть очень вас мучила, когда вы соглашались… скажем, так — расстаться с этим сокровищем, которое вам дороже жизни, за триста долларов?
TRANS: Vasha… m-m… sovest' ochen' vas muchila, kogda vy soglashalis'… skazhem, tak — rasstat'sya s etim sokrovishchem, kotoroe vam dorozhe zhizni, za trista dollarov?
TRANSLATION: Did your... mm... conscience torment you greatly when you agreed... shall we say — to part with this treasure that is dearer to you than life, for three hundred dollars?</t>
  </si>
  <si>
    <t>TERM: ŪYAT (ҰЯТ) — shame; disgrace; sense of decency (also: that which is improper) [KED, SZK]
PASSAGE: Сіз үш жүз долларға бағалаған әшекейіңізбен қоштасарыңызда да ұятыңыз сізді қинады ма екен.
TRANS: Siz üsh jüz dollarğa bağalağan äshekeyiñizben qoshtasaryñyzda da ūyatyñyz sizdi qinady ma eken.
TRANSLATION: When you bid farewell to your jewel that you priced at three hundred dollars, did your shame trouble you?</t>
  </si>
  <si>
    <t>Opponent, can kill</t>
  </si>
  <si>
    <t>"I can't tell her," she thought miserably. "Never, not even if my conscience kills me." She remembered irrelevantly Rhett's drunken remark: "She can't conceive of dishonor in anyone she loves...let that be your cross."</t>
  </si>
  <si>
    <t>TERM: sovest' (совесть) — conscience; the inner moral faculty [ORD]
PASSAGE: Никогда не смогу, даже если совесть убьет меня».
TRANS: Nikogda ne smogu, dazhe esli sovest' ub'et menya».
TRANSLATION: Never, even if my conscience kills me.</t>
  </si>
  <si>
    <t>TERM: AR-ŪYAT (АР-ҰЯТ) — conscience-shame (compound): the active inner moral faculty [KED, SZK]
PASSAGE: "Мұны айта алмайды екенмін, ар-ұятым тұншықтырып өлтірсе де айта алмаймын" деп тұнжырай ойлады Скарлетт.
TRANS: "Mūny ayta almaydy ekenmin, ar-ūyatym tūnshyqtyryp öltirse de ayta almaymyn" dep tūnjyray oylady Skarlett.
TRANSLATION: "I cannot say it; even if my ar-uyat [conscience] should choke and kill me, I cannot say it," thought Scarlett gloomily.</t>
  </si>
  <si>
    <t>Interlocutor, advisor – can make one doubt one’s course of action</t>
  </si>
  <si>
    <t>That morning Aunt Pitty had reached the regretful decision that she had better kill the patriarch before he died of old age and pining for his harem which had long since been eaten. For days he had drooped about the empty chicken run, too dispirited to crow. After Uncle Peter had wrung his neck, Aunt Pitty had been beset by conscience at the thought of enjoying him, en famille, when so many of her friends had not tasted chicken for weeks, so she suggested company for dinner. Melanie, who was now in her fifth month, had not been out in public or received guests for weeks, and she was appalled at the idea. But Aunt Pitty, for once, was firm. It would be selfish to eat the rooster alone, and if Melanie would only move her top hoop a little higher no one would notice anything and she was so flat in the bust anyway.</t>
  </si>
  <si>
    <t>Aunt Pitty</t>
  </si>
  <si>
    <t>TERM: somneniya (сомнения) — doubt; doubts [ORD] (lemma: сомнение)
PASSAGE: Когда дядюшка Питер свернул ему шею, деликатную душу тетушки Питтипэт внезапно одолели сомнения: допустимо ли насладиться этой птицей в кругу семьи, в то время как многие из друзей неделями не могут отведать куриного мяса, и она решила пригласить гостей.
TRANS: Kogda dyadyushka Piter svernul emu sheyu, delikatnuyu dushu tetushki Pittipet vnezapno odoleli somneniya: dopustimo li nasladit'sya etoy ptitsey v krugu sem'i, v to vremya kak mnogie iz druzey nedelyami ne mogut otvedat' kurinogo myasa, i ona reshila priglasit' gostey.
TRANSLATION: When Uncle Peter wrung its neck, Aunt Pittypat's delicate soul was suddenly seized by doubts: was it permissible to enjoy this bird in the family circle while many of her friends could not have a taste of chicken meat for weeks, and she decided to invite guests.</t>
  </si>
  <si>
    <t>TERM: kümən (КҮМƏН) = doubt; uncertainty
PASSAGE: Питтипэт тәтейдің нәзік жанында: "оның көптеген достары бірнеше апта бойы тауықтың дәмін тата алмай отырғанда, бұл құсты отбасымен бірге жеп рахаттануға бола ма, әлде қонақ шақыруға шешім қабылдауы дұрыс па?" деген күмән пайда болды.
TRANS: Pittipet täteydiñ näzik janynda: "onyñ köptegen dostary birneshe apta boyy tauyqtyñ dämin tata almay otyrğanda, būl qūsty otbasymen birge jep rakhattanuğa bola ma, älde qonaq shaqyruğa sheshim qabyldauy dūrys pa?" degen kümän payda boldy.
TRANSLATION: In Aunt Pittypat's sensitive soul there arose the doubt: "While many of his friends have not been able to taste chicken for weeks, is it appropriate to enjoy eating this bird with the family — or would it be right to decide on inviting guests?"</t>
  </si>
  <si>
    <t>Struggle with conscience</t>
  </si>
  <si>
    <t>"Of course," she said, wondering what the old fool had been talking about. Some struggle with his conscience. When a man got as old as Frank Kennedy he ought to have learned not to bother about things that didn't matter. But he always was so nervous and fussy and old maidish.</t>
  </si>
  <si>
    <t>TERM: sovesti (совести) — conscience (gen./dat./prep.) [ORD] (lemma: совесть)
PASSAGE: Что-то насчет своей совести.
TRANS: Chto-to naschet svoey sovesti.
TRANSLATION: Something about his conscience.</t>
  </si>
  <si>
    <t>TERM: ŪYAT (ҰЯТ) — shame; disgrace; sense of decency (also: that which is improper) [KED, SZK]
PASSAGE: Өз ұяты туралы ма, бірдеңе.
TRANS: Öz ūyaty turaly ma, birdeñe.
TRANSLATION: [Something] about his shame [conscience], something or other.</t>
  </si>
  <si>
    <t>Conscience — Absent reaction</t>
  </si>
  <si>
    <t>ABSENT reaction of conscience due to personal loyalties</t>
  </si>
  <si>
    <t>The mottled wise old eyes saw deeply, saw clearly, with the directness of the savage and the child, undeterred by conscience when danger threatened her pet. Scarlett was her baby and what her baby wanted, even though it belonged to another, Mammy was willing to help her obtain. The rights of Suellen and Frank Kennedy did not even enter her mind, save to cause a grim inward chuckle. Scarlett was in trouble and doing the best she could, and Scarlett was Miss Ellen's child.</t>
  </si>
  <si>
    <t>TERM: soznanie (сознание) — consciousness; awareness (here: moral awareness) [ORD]
PASSAGE: не затуманенные слишком развитым сознанием
TRANS: ne zatumanennye slishkom razvitym soznaniem
TRANSLATION: not clouded by an overdeveloped consciousness</t>
  </si>
  <si>
    <t>PASSAGE: Сүйікті қызының басына қиындық туған кезде, дақ түссе де мейірімді, дана көзі бәрін де қалт жібермей байқап, істің мән-жайына бойлай кірісті. Сәбидің жанарындай жәутеңдеген көзқарасы санасында не болып жатқанын жайып салып тұр.
TRANS: Süyikti qyzynyñ basyna qiyndyq tuğan kezde, daq tüsse de meyirimdi, dana közi bärin de qalt jibermey bayqap, istiñ män-jayyna boylay kiristi. Säbidiñ janarynday jäuteñdegen közqarasy sanasynda ne bolyp jatqanyn jayyp salyp tūr.
TRANSLATION: When difficulties came upon her beloved girl, [Mammy's] kind, wise eyes — even with stains — missed nothing and went deep into the heart of the matter. The flickering, baby-like glance laid bare what was happening in her mind.</t>
  </si>
  <si>
    <t>Conscience — Dormant / waking creature</t>
  </si>
  <si>
    <t>Being that can sleep and wake up</t>
  </si>
  <si>
    <t>TERM: ŪYALU (ҰЯЛУ) — to feel ashamed; to feel shy; to be embarrassed [KED, SZK]
PASSAGE: Скарлетт аздап ұялыс сезініп, Эшлидің хаттарындағы Меланиді осындай мәлімдеме жасауға итермелеген жолдарды еске түсіруге тырысты, ...
TRANS: Skarlett azdap ūyalys sezinip, Eshlidiñ khattaryndağy Melanidi osynday mälimdeme jasauğa itermelegen joldardy eske tüsiruge tyrysty, ...
TRANSLATION: Feeling a slight twinge of shame, Scarlett tried to recall the lines in Ashley's letters that had pushed Melanie to make such a statement,...</t>
  </si>
  <si>
    <t>Conscience — General faculty</t>
  </si>
  <si>
    <t>conscience as active inner faculty — inner moral judge</t>
  </si>
  <si>
    <t>No one intruded upon her, believing that she wished to be left alone with her grief, but to be left alone was the last thing Scarlett desired. Had it only been grief that companioned her, she could have borne it as she had borne other griefs. But, added to her stunned sense of loss at Frank's death, were fear and remorse and the torment of a suddenly awakened conscience. For the first time in her life she was regretting things she had done, regretting them with a sweeping superstitious fear that made her cast sidelong glances at the bed upon which she had lain with Frank.</t>
  </si>
  <si>
    <t>TERM: sovesti (совести) — conscience (gen./dat./prep.) [ORD] (lemma: совесть)
PASSAGE: Но помимо потрясения от потери мужа, она испытывала еще страх, и раскаяние, и муки внезапно проснувшейся совести.
TRANS: No pomimo potryaseniya ot poteri muzha, ona ispytyvala eshche strakh, i raskayanie, i muki vnezapno prosnuvsheysya sovesti.
TRANSLATION: But besides the shock of losing her husband, she also felt fear, and remorse, and the pangs of suddenly awakened conscience.</t>
  </si>
  <si>
    <t>TERM: ŪYAT (ҰЯТ) — shame; disgrace; sense of decency (also: that which is improper) [KED, SZK]
PASSAGE: Бірақ күйеуінен айырылған қасіреті өз алдында, бойын билеген қорқыныш пен жанын жеген өкініш, бір бүйірден бас көтере қалған ұят қоса қысып барады.
TRANS: Biraq küyeuinen ayyrylğan qasireti öz aldynda, boyyn bilegen qorqynysh pen janyn jegen ökinish, bir büyirden bas kötere qalğan ūyat qosa qysyp barady.
TRANSLATION: But the grief of losing her husband had its own place; the fear that filled her body, the regret that ate at her soul, and the shame that suddenly raised its head from one side, were all squeezing her along with it.</t>
  </si>
  <si>
    <t>Plant, creature – something that can be born or die, become absent</t>
  </si>
  <si>
    <t>"You could have been—if you'd been somebody else. But you were born to bully anyone who'll let you do it. The strong were made to bully and the weak to knuckle under. It's all Frank's fault for not beating you with a buggy whip...I'm surprised at you, Scarlett, for sprouting a conscience this late in life. Opportunists like you shouldn't have them."</t>
  </si>
  <si>
    <t>TERM: sovest' (совесть) — conscience; the inner moral faculty [ORD]
PASSAGE: Вы удивляете меня, Скарлетт, — зачем вам понадобилось сейчас, когда вы уже взрослая, будить в себе совесть.
TRANS: Vy udivlyaete menya, Skarlett, — zachem vam ponadobilos' seychas, kogda vy uzhe vzroslaya, budit' v sebe sovest'.
TRANSLATION: You amaze me, Scarlett — why do you need now, when you are already grown up, to awaken a conscience in yourself?</t>
  </si>
  <si>
    <t>TERM: ŪYAT (ҰЯТ) — shame; disgrace; sense of decency (also: that which is improper) [KED, SZK]
PASSAGE: Әбден есейген шағыңызда ұятыңызды неге оятып отырсыз?
TRANS: Äbden eseygen shağyñyzda ūyatyñyzdy nege oyatyp otyrsyz?
TRANSLATION: In your fully matured age, why are you waking up your shame?</t>
  </si>
  <si>
    <t>Catholic conscience awakened: overwhelming, long suppressed, now drives action</t>
  </si>
  <si>
    <t>Conscience — Object (stretchable)</t>
  </si>
  <si>
    <t>Stretchable object</t>
  </si>
  <si>
    <t>"You hoped! Alas, to blight your hopes! I should love you, for you are charming and talented at many useless accomplishments. But many ladies have charm and accomplishments and are just as useless as you are. No, I don't love you. But I do like you tremendously— for the elasticity of your conscience, for the selfishness which you seldom trouble to hide, and for the shrewd practicality in you which, I fear, you get from some not too remote Irish-peasant ancestor."</t>
  </si>
  <si>
    <t>TERM: sovesti (совести) — conscience (gen./dat./prep.) [ORD] (lemma: совесть)
PASSAGE: Но вы нравитесь мне безмерно — мне нравится эластичность вашей совести и ваших моральных правил, нравится ваш эгоизм, который вы весьма редко даете себе труд скрывать, нравится ваша крепкая жизненная хватка, унаследованная, боюсь, от какого-то не очень далекого ирландского предка-крестьянина.
TRANS: No vy nravites' mne bezmerno — mne nravitsya elastichnost' vashey sovesti i vashikh moral'nykh pravil, nravitsya vash egoizm, kotoryy vy ves'ma redko daete sebe trud skryvat', nravitsya vasha krepkaya zhiznennaya khvatka, unasledovannaya, boyus', ot kakogo-to ne ochen' dalekogo irlandskogo predka-krest'yanina.
TRANSLATION: But I find you immensely attractive — I like the elasticity of your conscience and your moral rules, I like the egotism that you very rarely take the trouble to conceal, I like your firm grip on life, inherited, I fear, from some not-too-distant Irish peasant ancestor.</t>
  </si>
  <si>
    <t>TERM: AR-ŪYAT (АР-ҰЯТ) — conscience-shame (compound): the active inner moral faculty [KED, SZK]
PASSAGE: Бірақ сіз маған шексіз ұнайсыз---сіздің ар-ұятыңыз бен адамгершілік ережелеріңіздің икемділігі ұнайды.
TRANS: Biraq siz mağan sheksiz ūnaysyz---sizdiñ ar-ūyatyñyz ben adamgershilik erejeleriñizdiñ ikemdiligi ūnaydy.
TRANSLATION: But you appeal to me without measure — I like the elasticity of your ar-uyat [conscience-shame] and your principles of humanity.</t>
  </si>
  <si>
    <t>Conscience — Resource</t>
  </si>
  <si>
    <t>Resource that has been almost spent</t>
  </si>
  <si>
    <t>"Yes. Aren't you relieved? I leave you to what remains of your conscience."</t>
  </si>
  <si>
    <t>TERM: sovesti (совести) — conscience (gen./dat./prep.) [ORD] (lemma: совесть)
PASSAGE: Хочу дать вам возможность побыть наедине с остатками вашей совести.
TRANS: Khochu dat' vam vozmozhnost' pobyt' naedine s ostatkami vashey sovesti.
TRANSLATION: I want to give you the chance to be alone with what remains of your conscience.</t>
  </si>
  <si>
    <t>TERM: ŪYAT (ҰЯТ) — shame; disgrace; sense of decency (also: that which is improper) [KED, SZK]
PASSAGE: Ұятыңыздан қалғандығымен бірге оңаша болуыңызға мүмкіндік берейін.
TRANS: Ūyatyñyzdan qalğandyğymen birge oñasha boluyñyzğa mümkindik bereyin.
TRANSLATION: I will give you the chance to be alone with what is left of your shame.</t>
  </si>
  <si>
    <t>Conscience — Object (clean / unclean)</t>
  </si>
  <si>
    <t>Object that can become unclean</t>
  </si>
  <si>
    <t>Ellen finished and Gerald, who could never find his beads at prayer time, began furtively counting his decade on his fingers. As his voice droned on, Scarlett's thoughts strayed, in spite of herself. She knew she should be examining her conscience. Ellen had taught her that at the end of each day it was her duty to examine her conscience thoroughly, to admit her numerous faults and pray to God for forgiveness and strength never to repeat them. But Scarlett was examining her heart.</t>
  </si>
  <si>
    <t>TERM: sovest' (совесть) — conscience; the inner moral faculty [ORD]
PASSAGE: Под его монотонное, чтение Скарлетт невольно отвлеклась, хотя она знала, что ей сейчас надлежит, как учила ее Эллин, углубиться в себя, допросить свою совесть, вспомнить все проступки, совершенные за день, раскаяться в них и испросить у бога прощения, дабы он даровал ей силы никогда их больше не повторять.
TRANS: Pod ego monotonnoe, chtenie Skarlett nevol'no otvleklas', khotya ona znala, chto ey seychas nadlezhit, kak uchila ee Ellin, uglubit'sya v sebya, doprosit' svoyu sovest', vspomnit' vse prostupki, sovershennye za den', raskayat'sya v nikh i isprosit' u boga proshcheniya, daby on daroval ey sily nikogda ikh bol'she ne povtoryat'.
TRANSLATION: Under his monotonous reading, Scarlett involuntarily became distracted, although she knew that now she ought, as Ellen had taught her, to delve into herself, examine her conscience, recall all the wrongdoings committed during the day, repent of them, and ask God's forgiveness, that He might grant her the strength never to repeat them again.</t>
  </si>
  <si>
    <t>TERM: AR-OJDAN (АР-ОЖДАН) — conscience (compound from Arabic wijdān): the inalienable inner tribunal [KED, SZK]
PASSAGE: Скарлетт Эллин үйреткендей, өз ішіне терең бойлап ар-ұжданын жауапқа тартып, ...
TRANS: Skarlett Ellin üyretkendey, öz ishine tereñ boylap ar-ūjdanyn jauapqa tartyp, ...
TRANSLATION: Scarlett, as Ellen had taught her, plunging deep into herself, putting her ar-uzhdan [conscience] to question,...</t>
  </si>
  <si>
    <t>Conscience — Tormentor / punisher</t>
  </si>
  <si>
    <t>Moral wrongs, past harm to Melanie; Melanie as moral mirror</t>
  </si>
  <si>
    <t>TERM: AR-ŪYAT (АР-ҰЯТ) — conscience-shame (compound): the active inner moral faculty [KED, SZK]
PASSAGE: "Мұны айта алмайды екенмін, ар-ұятым тұншықтырып өлтірсе де айта алмаймын" деп тұнжырай ойлады Скарлетт.
TRANS: "Mūny ayta almaydy ekenmin, ar-ūyatym tūnshyqtyryp öltirse de ayta almaymyn" dep tūnjyray oylady Skarlett.
TRANSLATION: "I cannot say it, even if my ar-uyat [conscience] should choke and kill me, I cannot say it," thought Scarlett gloomily.</t>
  </si>
  <si>
    <t>Conscience activated by Ellen’s image, later overcome</t>
  </si>
  <si>
    <t>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t>
  </si>
  <si>
    <t>TERM: sovest' (совесть) — conscience; the inner moral faculty [ORD]
PASSAGE: Когда она впервые начала украдкой читать эти письма, ее порядком мучила совесть и охватывал такой страх быть пойманной на месте преступления, что она едва решалась вскрыть дрожащими пальцами конверт.
TRANS: Kogda ona vpervye nachala ukradkoy chitat' eti pis'ma, ee poryadkom muchila sovest' i okhvatyval takoy strakh byt' poymannoy na meste prestupleniya, chto ona edva reshalas' vskryt' drozhashchimi pal'tsami konvert.
TRANSLATION: When she first began secretly to read these letters, her conscience tormented her terribly and such a fear of being caught in the act gripped her that she barely dared open the envelope with trembling fingers.</t>
  </si>
  <si>
    <t>TERM: AR-OJDAN (АР-ОЖДАН) — conscience (compound from Arabic wijdān): the inalienable inner tribunal [KED, SZK]
PASSAGE: Ол бастапқыда ар-ұжданы қинап, өзін қылмыс үстінде ұстап алатындай қорқыныш билеп, саусағы дірілдеп конвертті әрең ашып, хаттарды оқи бастады.
TRANS: Ol bastapqyda ar-ūjdany qinap, özin qylmys üstinde ūstap alatynday qorqynysh bilep, sausağy dirildep konvertti äreñ ashyp, khattardy oqi bastady.
TRANSLATION: At first her ar-uzhdan [conscience] tormented her, fear gripped her as if she might be caught in the crime, and her fingers trembled as she barely managed to open the envelope and begin reading the letters.</t>
  </si>
  <si>
    <t>Tormentor conscience involuntarily activated — stricken; fused with guilt and social fear</t>
  </si>
  <si>
    <t>When Scarlett first began secretly reading these letters, she had been so stricken of conscience and so fearful of discovery she could hardly open the envelopes for trembling. Now, her never- too-scrupulous sense of honor was dulled by repetition of the offense and even fear of discovery had subsided. Occasionally, she thought with a sinking heart, "What would Mother say if she knew?" She knew Ellen would rather see her dead than know her guilty of such dishonor. This had worried Scarlett at first, for she still wanted to be like her mother in every respect. But the temptation to read the letters was too great and she put the thought of Ellen out of her mind. She had become adept at putting unpleasant thoughts out of her mind these days. She had learned to say, "I won't think of this or that bothersome thought now. I'll think about it tomorrow." Generally when tomorrow came, the thought either did not occur at all or it was so attenuated by the delay it was not very troublesome. So the matter of Ashley's letters did not lie very heavily on her conscience.</t>
  </si>
  <si>
    <t>Punisher</t>
  </si>
  <si>
    <t>Scarlett's conscience smote her at this last, for it had been months since she had been to church. Once she would have thought this omission a mortal sin but, somehow, staying away from church did not seem so sinful now as it formerly had. But she obeyed her mother and going to her room gabbled a hasty Rosary. When she rose from her knees she did not feel as comforted as she had formerly felt after prayer. For some time she had felt that God was not watching out for her, the Confederates or the South, in spite of the millions of prayers ascending to Him daily.</t>
  </si>
  <si>
    <t>TERM: ugryzeniya sovesti: (угрызения совести:) = pangs of conscience
PASSAGE: Читая эти строки, Скарлетт почувствовала угрызения совести: ведь она уже который месяц не посещала храма.
TRANS: Chitaya eti stroki, Skarlett pochuvstvovala ugryzeniya sovesti: ved' ona uzhe kotoryy mesyats ne poseshchala khrama.
TRANSLATION: Reading these lines, Scarlett felt pangs of conscience: for she had not visited the temple for several months now.</t>
  </si>
  <si>
    <t>TERM: ŪYALU (ҰЯЛУ) — to feel ashamed; to feel shy; to be embarrassed [KED, SZK]
PASSAGE: Бұл жолдарды оқи отырып, Скарлетт ұялып кетті: өйткені ол бірнеше ай бойы ғибадатханаға бармаған болатын.
TRANS: Būl joldardy oqi otyryp, Skarlett ūyalyp ketti: öytkeni ol birneshe ay boyy ğibadatkhanağa barmağan bolatyn.
TRANSLATION: Reading these lines, Scarlett became ashamed: for she had not gone to the place of worship for several months.</t>
  </si>
  <si>
    <t>Tormentor</t>
  </si>
  <si>
    <t>"Never mind the rest. I follow your general idea. When I'm dead on the altar of my country, I hope your conscience hurts you."</t>
  </si>
  <si>
    <t>TERM: sovesti (совести) — conscience (gen./dat./prep.) [ORD] (lemma: совесть)
PASSAGE: Когда я сложу голову на алтарь отечества, вам, боюсь, придется испытать легкий укол совести.
TRANS: Kogda ya slozhu golovu na altar' otechestva, vam, boyus', pridetsya ispytat' legkiy ukol sovesti.
TRANSLATION: When I lay my head on the altar of the fatherland, you, I fear, will have to feel a slight prick of conscience.</t>
  </si>
  <si>
    <t>TERM: AR-OJDAN (АР-ОЖДАН) — conscience (compound from Arabic wijdān): the inalienable inner tribunal [KED, SZK]
PASSAGE: Менің басым туған ел үшін құрбан болған кезде, сізді аздап болса да ар-ұжданыңыз мазалайтын шығар деп қорқамын.
TRANS: Meniñ basym tuğan el üshin qūrban bolğan kezde, sizdi azdap bolsa da ar-ūjdanyñyz mazalaytyn shyğar dep qorqamyn.
TRANSLATION: When my head is sacrificed for the native land, I fear your ar-uzhdan [conscience] may trouble you a little.</t>
  </si>
  <si>
    <t>Attacker, tormentor</t>
  </si>
  <si>
    <t>He winced at her words but his eyes still met hers, imploring silence, comfort. Every line of his face admitted the truth of her words. The very droop of his shoulders showed that his own self- castigation was more cruel than any she could give. He stood silent before her, clutching the glove as though it were an understanding hand and, in the stillness that followed her words, her indignation fell away and pity, tinged with contempt, took its place. Her conscience smote her. She was kicking a beaten and defenseless man—and she had promised Melanie that she would look after him.</t>
  </si>
  <si>
    <t>TERM: Sovest' (Совесть) — conscience; the inner moral faculty [ORD]
PASSAGE: Совесть заговорила в ней.
TRANS: Sovest' zagovorila v ney.
TRANSLATION: Conscience spoke up in her.</t>
  </si>
  <si>
    <t>TERM: ŪYAT (ҰЯТ) — shame; disgrace; sense of decency (also: that which is improper) [KED, SZK]
PASSAGE: Ұяты өзімен тілдескендей.
TRANS: Ūyaty özimen tildeskendey.
TRANSLATION: It was as if her shame began to converse with her.</t>
  </si>
  <si>
    <t>Mild pain due to a minor breach</t>
  </si>
  <si>
    <t>"Oh!" cried Melanie, looking conscience stricken. "How I have run on! Scarlett, I didn't mean to hurt your feelings or to criticize.</t>
  </si>
  <si>
    <t>TERM: zasovestivshis' (засовестившись) — having become conscience-stricken (pf. gerund, colloq.) [ORD] (lemma: засовеститься)
TRANSLATION: [no passage given in the corpus row]</t>
  </si>
  <si>
    <t>PASSAGE: - Қалай дейсің?! - деп шыдамай айқайлап жіберді Мелли.
TRANS: - Qalay deysiñ?! - dep shydamay ayqaylap jiberdi Melli.
TRANSLATION: "What did you say?!" — Melly cried out, unable to bear it.</t>
  </si>
  <si>
    <t>Conscience — Internal authority (judge)</t>
  </si>
  <si>
    <t>conscience as active inner faculty — inner moral judge - ABSENT</t>
  </si>
  <si>
    <t>But now, Scarlett pushed that admonition into the back of her mind. That she was encouraging theft, and perhaps theft from people worse off than she, was no longer a matter for conscience. In fact the morals of the affair weighed lightly upon her. Instead of punishment or reproof, she only regretted he had been shot.</t>
  </si>
  <si>
    <t>Conscience — Pained body part</t>
  </si>
  <si>
    <t>Briefly pained body part</t>
  </si>
  <si>
    <t>There was a startled silence and then the buzzing broke out again. India rose tiredly from her seat beneath the arbor and went toward the angry Stuart Tarleton. Scarlett could not hear what she said, but the look in her eyes as she gazed up into his lowering face gave Scarlett something like a twinge of conscience. It was the same look of belonging that Melanie wore when she looked at Ashley, only Stuart did not see it. So India did love him. Scarlett thought for an instant that if she had not flirted so blatantly with Stuart at that political speaking a year ago, he might have married India long ere this. But then the twinge passed with the comforting thought that it wasn't her fault if other girls couldn't keep their men.</t>
  </si>
  <si>
    <t>TERM: sovesti (совести) — conscience (gen./dat./prep.) [ORD] (lemma: совесть)
PASSAGE: Слов Индии Скарлетт не слышала, но то, что она прочла в устремленном на Стюарта взгляде, заставило ее испытать нечто похожее на укол совести.
TRANS: Slov Indii Skarlett ne slyshala, no to, chto ona prochla v ustremlennom na Styuarta vzglyade, zastavilo ee ispytat' nechto pokhozhee na ukol sovesti.
TRANSLATION: Scarlett did not hear India's words, but what she read in the look fixed on Stuart made her experience something like a prick of conscience.</t>
  </si>
  <si>
    <t>TERM: AR-OJDAN (АР-ОЖДАН) — conscience (compound from Arabic wijdān): the inalienable inner tribunal [KED, SZK]
PASSAGE: Скарлетт Индияның не айтқанын естімеді, бірақ оның Стюартқа қадалған көзінен оқыған жазулар мұның ар-ожданына ине сұғып алғандай әсер етті.
TRANS: Skarlett Indiyanyñ ne aytqanyn estimedi, biraq onyñ Styuartqa qadalğan közinen oqyğan jazular mūnyñ ar-ojdanyna ine sūğyp alğanday äser etti.
TRANSLATION: Scarlett did not hear what India said, but the writing she read in her gaze fixed on Stuart had the effect of pricking her ar-ozhdan [innermost conscience] with a needle.</t>
  </si>
  <si>
    <t>Pained body part</t>
  </si>
  <si>
    <t>She crossed the room to the mirror and patted her smooth hair approvingly. Her spirits rose, as always at the sight of her white skin and slanting green eyes, and she smiled to bring out her dimples. Then she dismissed Captain Butler from her mind as she happily viewed her reflection, remembering how Ashley had always liked her dimples. No pang of conscience at loving another woman's husband or reading that woman's mail disturbed her pleasure in her youth and charm and her renewed assurance of Ashley's love.</t>
  </si>
  <si>
    <t>TERM: sovesti (совести) — conscience (gen./dat./prep.) [ORD] (lemma: совесть)
PASSAGE: Мысль о том, что она любит чужого мужа и только что тайком прочла его письма, адресованные жене, не потревожила ее совести и не омрачила радости, которую давало ей сознание своей молодости, очарования и окрепшая уверенность в любви Эшли.
TRANS: Mysl' o tom, chto ona lyubit chuzhogo muzha i tol'ko chto taykom prochla ego pis'ma, adresovannye zhene, ne potrevozhila ee sovesti i ne omrachila radosti, kotoruyu davalo ey soznanie svoey molodosti, ocharovaniya i okrepshaya uverennost' v lyubvi Eshli.
TRANSLATION: The thought that she loved another woman's husband and had just secretly read his letters addressed to his wife did not trouble her conscience, nor did it dim the joy that the awareness of her youth, charm, and strengthened conviction in Ashley's love brought her.</t>
  </si>
  <si>
    <t>TERM: AR (АР) — honour; conscience; inalienable inner moral principle [KED, SZK]
PASSAGE: Өзінің басқа біреудің күйеуін жақсы көріп, жаңа ғана оның әйеліне жазған хаттарын жасырын оқығаны туралы ой оның арын мазаламады және оның жастық санасы, сүйкімділігі мен Эшлидің махаббатына деген сенімін нығайтқан қуаныш өшірмеді.
TRANS: Öziniñ basqa bireudiñ küyeuin jaqsy körip, jaña ğana onyñ äyeline jazğan khattaryn jasyryn oqyğany turaly oy onyñ aryn mazalamady jäne onyñ jastyq sanasy, süykimdiligi men Eshlidiñ makhabbatyna degen senimin nyğaytqan quanysh öshirmedi.
TRANSLATION: The thought that she loved someone else's husband and had just secretly read the letters he had written to his wife did not trouble her ar [conscience/honor], nor did it extinguish the joy that her young consciousness, charm, and strengthened belief in Ashley's love had given her.</t>
  </si>
  <si>
    <t>Conscience — Weight</t>
  </si>
  <si>
    <t>Feeling of weight</t>
  </si>
  <si>
    <t>Weight-bearer</t>
  </si>
  <si>
    <t>She had killed Frank. She had killed him just as surely as if it had been her finger that pulled the trigger. He had begged her not to go about alone but she had not listened to him. And now he was dead because of her obstinacy. God would punish her for that. But there lay upon her conscience another matter that was heavier and more frightening even than causing his death—a matter which had never troubled her until she looked upon his coffined face. There had been something helpless and pathetic in that still face which had accused her. God would punish her for marrying him when he really loved Suellen. She would have to cower at the seat of judgment and answer for that lie she told him coming back from the Yankee camp in his buggy.</t>
  </si>
  <si>
    <t>TERM: prinizila (принизила) — belittled; disparaged (pf., past fem.) [ORD] (lemma: принизить)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PASSAGE: Но на совести ее лежал и другой грех — лежал даже более тяжким и страшным грузом, чем его смерть; и этот грех никогда не тревожил ее, пока она не увидела лицо Фрэнка в гробу.
TRANS: No na sovesti yeye lezhal i drugoy grekh — lezhal dazhe boleye tyazhkim i strashnym gruzom, chem yego smert'; i etot grekh nikogda ne trevozhil yeye, poka ona ne uvidela litso Frenka v grobu.
TRANSLATION: But upon her conscience there lay also another sin — lay even as a heavier and more terrible burden than his death; and this sin had never troubled her until she saw Frank's face in the coffin.</t>
  </si>
  <si>
    <t>TERM: ar (ар) — honour; conscience; inalienable inner moral principle [KED, SZK]
PASSAGE: Бірақ оның арына салмақ түсірген бұдан да ауыр қылмысы бар, ауырлығы сондай, күйеуінің өлімінен де сорақы..
TRANS: Biraq onyñ aryna salmaq tüsirgen būdan da auyr qylmysy bar, auyrlyğy sonday, küyeuiniñ öliminen de soraqy..
TRANSLATION: But upon her ar [conscience] there lay an even heavier crime than this; so heavy, more dreadful even than her husband's death...</t>
  </si>
  <si>
    <t>Weight-carrier</t>
  </si>
  <si>
    <t>"Now, Miss," he whispered briefly, "no hysterics and no deathbed confessions from you or, before God, I will wring your neck! Don't give me any of your innocent stares. You know what I mean. Miss Melly is going to die easily and you aren't going to ease your own conscience by telling her anything about Ashley. I've never harmed a woman yet, but if you say anything now—you'll answer to me."</t>
  </si>
  <si>
    <t>TERM: sovesti (совести) — conscience (gen./dat./prep.) [ORD] (lemma: совесть)
PASSAGE: Мисс Мелли умрет легко, а вы не облегчите своей совести, если скажете ей про Эшли.
TRANS: Miss Melli umret legko, a vy ne oblegchite svoey sovesti, esli skazhete ey pro Eshli.
TRANSLATION: Miss Melly will die easily, and you will not lighten your conscience if you tell her about Ashley.</t>
  </si>
  <si>
    <t>TERM: ŪYAT (ҰЯТ) — shame; disgrace; sense of decency (also: that which is improper) [KED, SZK]
PASSAGE: Эшли туралы айтқаннан өз ұятыңыздың жүгін бәрібір жеңілдетпейсіз, Мелли ханым қиналмай кетсін.
TRANS: Eshli turaly aytqannan öz ūyatyñyzdyñ jügin bäribir jeñildetpeysiz, Melli khanym qinalmay ketsin.
TRANSLATION: You will not lighten the burden on your own shame by telling about Ashley; let Mrs Melly go without suffering.</t>
  </si>
  <si>
    <t>mild conscience burden</t>
  </si>
  <si>
    <t>"I'm glad you agree with me, Miss Scarlett. In a way, it's been on my conscience. Lots of folks have told me: 'Oh, forget about it, Frank,' but I can't. I couldn't hold up my head if I thought I'd done what wasn't right. Do you think I did right?"</t>
  </si>
  <si>
    <t>TERM: sovesti (совести) — conscience (gen./dat./prep.) [ORD] (lemma: совесть)
PASSAGE: А то это лежит у меня на совести.
TRANS: A to eto lezhit u menya na sovesti.
TRANSLATION: Otherwise this lies on my conscience.</t>
  </si>
  <si>
    <t>TERM: ŪYAT (ҰЯТ) — shame; disgrace; sense of decency (also: that which is improper) [KED, SZK]
PASSAGE: Әйтпесе ұятыма салмақ болып жүр еді.
TRANS: Äytpese ūyatyma salmaq bolyp jür edi.
TRANSLATION: Otherwise this is becoming a weight on my shame [conscience].</t>
  </si>
  <si>
    <t>Expected reaction of conscience ABSENT – evading hospital duty</t>
  </si>
  <si>
    <t>He touched up the mare with the whip and she trotted briskly across Five Points and across the railroad tracks that cut the town in two. The train bearing the wounded had already come in and the litter bearers were working swiftly in the hot sun, transferring wounded into ambulances and covered ordnance wagons. Scarlett had no qualm of conscience as she watched them but only a feeling of vast relief that she had made her escape.</t>
  </si>
  <si>
    <t>TERM: ugryzeniy (угрызений) — pangs (gen. pl.) [ORD] (lemma: угрызение)
PASSAGE: Наблюдая за этим, Скарлетт не испытывала угрызений совести — только чувство огромного облегчения оттого, что ей удалось сбежать.
TRANS: Nablyudaya za etim, Skarlett ne ispytyvala ugryzeniy sovesti — tol'ko chuvstvo ogromnogo oblegcheniya ottogo, chto ey udalos' sbezhat'.
TRANSLATION: Watching this, Scarlett felt no pangs of conscience — only a sense of immense relief that she had managed to escape.</t>
  </si>
  <si>
    <t>TERM: ŪYALU (ҰЯЛУ) — to feel ashamed; to feel shy; to be embarrassed [KED, SZK]
PASSAGE: Мұны көрген Скарлетт түк те ұялған жоқ
TRANS: Mūny körgen Skarlett tük te ūyalğan joq
TRANSLATION: Seeing this, Scarlett felt no shame at all</t>
  </si>
  <si>
    <t>conscience ABSENT reaction; no inner accusation</t>
  </si>
  <si>
    <t>That he was Suellen's fiance caused her no qualm of conscience. After the complete moral collapse which had sent her to Atlanta and to Rhett, the appropriation of her sister's betrothed seemed a minor affair and one not to be bothered with at this time.</t>
  </si>
  <si>
    <t>TERM: sovesti (совести) — conscience (gen./dat./prep.) [ORD] (lemma: совесть)
PASSAGE: То, что Фрэнк — жених Сьюлин, не вызвало у Скарлетт ни малейшего укора совести.
TRANS: To, chto Frenk — zhenikh S'yulin, ne vyzvalo u Skarlett ni maleyshego ukora sovesti.
TRANSLATION: The fact that Frank was Suellen's fiancé did not arouse the slightest reproach of conscience in Scarlett.</t>
  </si>
  <si>
    <t>TERM: ŪYAT (ҰЯТ) — shame; disgrace; sense of decency (also: that which is improper) [KED, SZK]
PASSAGE: Фрэнк Сьюлиннің күйеу жігіті екені Скарлеттің титімдей де ұятын шақырмады.
TRANS: Frenk S'yulinniñ küyeu jigiti ekeni Skarlettiñ titimdey de ūyatyn shaqyrmady.
TRANSLATION: That Frank was Suellen's betrothed did not call up the tiniest bit of shame in Scarlett.</t>
  </si>
  <si>
    <t>Bad deed does not weigh on her conscience contrary to normal expectations; absent reaction</t>
  </si>
  <si>
    <t>He was so blithe about his murders her blood chilled. Words of moral indignation rose to her lips but suddenly she remembered the Yankee who lay under the tangle of scuppernong vines at Tara. He had not been on her conscience any more than a roach upon which she might have stepped. She could not sit in judgment on Rhett when she was as guilty as he.</t>
  </si>
  <si>
    <t>TERM: sovest' muchit ne bol'she (совесть мучит не больше) — conscience torments no more [ORD] (lemma: совесть)
PASSAGE: torments her not more) Совесть ведь мучит ее не больше, чем если бы она раздавила таракана.
TRANS: torments her not more) Sovest' ved' muchit ee ne bol'she, chem esli by ona razdavila tarakana.
TRANSLATION: (torments her not more) Her conscience torments her no more than if she had crushed a cockroach.</t>
  </si>
  <si>
    <t>TERM: ŪYAT (ҰЯТ) — shame; disgrace; sense of decency (also: that which is improper) [KED, SZK]
PASSAGE: Аяғымен байқаусызда жердегі қоңызды басып кету емес қой ол, әрине, ұяты өзін де үнемі қинап жүретін
TRANS: Ayağymen bayqausyzda jerdegi qoñyzdy basyp ketu emes qoy ol, ärine, ūyaty özin de ünemi qinap jüretin
TRANSLATION: Of course, it was not as though she had accidentally stepped on a beetle on the ground — her shame would not constantly torment her either</t>
  </si>
  <si>
    <t>Bad deed does not weigh on Rhett’s conscience contrary to normal expectations; absent reaction</t>
  </si>
  <si>
    <t>"I suppose you think it's honest to keep the Confederate money. Well, it isn't. It's plain out and out stealing and you know it. I wouldn't have that on my conscience."</t>
  </si>
  <si>
    <t>TERM: sovesti (совести) — conscience (gen./dat./prep.) [ORD] (lemma: совесть)
PASSAGE: Я бы не хотела жить с таким пятном на совести.
TRANS: Ya by ne khotela zhit' s takim pyatnom na sovesti.
TRANSLATION: I would not want to live with such a stain on my conscience.</t>
  </si>
  <si>
    <t>TERM: AR (АР) — honour; conscience; inalienable inner moral principle [KED, SZK]
PASSAGE: Арыма дақ түсіретін қылмыспен мен еркін өмір сүріп жүре алмас едім.
TRANS: Aryma daq tüsiretin qylmyspen men erkin ömir sürip jüre almas edim.
TRANSLATION: I could not live freely with a crime that would put a stain on my ar [conscience].</t>
  </si>
  <si>
    <t>Scarlett was silent because she knew he was telling the truth and she could think of nothing to say. She had never expected Will, of all people, to sit in judgment on her. Moreover the lie she had told Frank had never weighed heavily upon her conscience. If a girl couldn't keep a beau, she deserved to lose him.</t>
  </si>
  <si>
    <t>TERM: sovesti (совести) — conscience (gen./dat./prep.) [ORD] (lemma: совесть)
PASSAGE: А кроме того, ложь, которую она сказала Фрэнку, никогда не отягощала ее совести.
TRANS: A krome togo, lozh', kotoruyu ona skazala Frenku, nikogda ne otyagoshchala ee sovesti.
TRANSLATION: Besides, the lie she had told Frank had never weighed on her conscience.</t>
  </si>
  <si>
    <t>TERM: JÜREK (ЖҮРЕК) — heart (literal and figurative) [KED, SZK]
PASSAGE: Фрэнкке айтқан өтірігі өз жүрегіне ешқашан салмақ салып көрмеген еді.
TRANS: Frenkke aytqan ötirigi öz jüregine eshqashan salmaq salyp körmegen edi.
TRANSLATION: The lie she told Frank had never laid a weight on her own heart.</t>
  </si>
  <si>
    <t>conscience as tormentor, almost absent; forgetting Ellen</t>
  </si>
  <si>
    <t>When Scarlett infrequently stopped to think about the matter she knew that none of her new associates could be called ladies by Ellen's strict standards. But she had broken with Ellen's standards too many times since that far-away day when she stood in the parlor at Tara and decided to be Rhett's mistress, and she did not often feel the bite of conscience now.</t>
  </si>
  <si>
    <t>TERM: sovest' (совесть) — conscience; the inner moral faculty [ORD]
PASSAGE: Но она уже не раз нарушала принципы Эллин после того далекого дня, когда, стоя в гостиной Тары, решила стать любовницей Ретта, и нельзя сказать, чтобы теперь ее часто мучила из-за этого совесть.
TRANS: No ona uzhe ne raz narushala printsipy Ellin posle togo dalekogo dnya, kogda, stoya v gostinoy Tary, reshila stat' lyubovnitsey Retta, i nel'zya skazat', chtoby teper' ee chasto muchila iz-za etogo sovest'.
TRANSLATION: But she had already broken Ellen's principles more than once since that distant day when, standing in the parlor at Tara, she decided to become Rhett's mistress, and one cannot say that her conscience tormented her much over it any more.</t>
  </si>
  <si>
    <t>TERM: AR-ŪYAT (АР-ҰЯТ) — conscience-shame (compound): the active inner moral faculty [KED, SZK]
PASSAGE: Бірақ өзі де сол Эллиннің ұстанымдарын Тарадағы қонақ бөлмеде тұрып, Реттің нақсүйері болуға шешім шығарған сәттен бастап, бәлен рет бұзған-ды, содан ба, бұл күндері ар-ұяты ертеректегідей аса көп жанын да қинай бермейді.
TRANS: Biraq özi de sol Ellinniñ ūstanymdaryn Taradağy qonaq bölmede tūryp, Rettiñ naqsüyeri boluğa sheshim shyğarğan sätten bastap, bälen ret būzğan-dy, sodan ba, būl künderi ar-ūyaty erterektegidey asa köp janyn da qinay bermeydi.
TRANSLATION: But she herself had broken those principles of Ellen's many times since the moment when, standing in the Tara parlor, she resolved to become Rhett's mistress; perhaps because of this, in those days her ar-uyat [conscience-shame] no longer tormented her soul as much as before.</t>
  </si>
  <si>
    <t>conscience ABSENT reaction when reaction was expected</t>
  </si>
  <si>
    <t>"You misunderstand. I regret to say that my conscience has not troubled me at all about deserting you. But as for enlisting—when I think of joining the army in varnished boots and a white linen suit and armed with only a pair of dueling pistols— And those long cold miles in the snow after my boots wore out and I had no overcoat and nothing to eat...I cannot understand why I did not desert. It was all the purest insanity. But it's in one's blood. Southerners can never resist a losing cause. But never mind my reasons. It's enough that I'm forgiven."</t>
  </si>
  <si>
    <t>TERM: sovest' (совесть) — conscience; the inner moral faculty [ORD]
PASSAGE: К великому сожалению, я вынужден признать: совесть не мучила меня при мысли, что я вас бросил.
TRANS: K velikomu sozhaleniyu, ya vynuzhden priznat': sovest' ne muchila menya pri mysli, chto ya vas brosil.
TRANSLATION: To my great regret, I am forced to admit: my conscience did not torment me at the thought that I had abandoned you.</t>
  </si>
  <si>
    <t>TERM: ŪYALU (ҰЯЛУ) — to feel ashamed; to feel shy; to be embarrassed [KED, SZK]
PASSAGE: Үлкен өкінішке қарай, мынаны мойындауым керек: сізді тастап кеттім-ау деп өкініп, ұялған жоқпын.
TRANS: Ülken ökinishke qaray, mynany moyyndauym kerek: sizdi tastap kettim-au dep ökinip, ūyalğan joqpyn.
TRANSLATION: To my great regret, I must admit: I have not regretted, nor felt ashamed, that I abandoned you.</t>
  </si>
  <si>
    <t>Not specified, general moral faculty</t>
  </si>
  <si>
    <t>"To England and I may be gone for months. Forget your conscience, Scarlett. I have no intention of discussing your soul's welfare any further. Don't you want to hear my news?"</t>
  </si>
  <si>
    <t>TERM: sovesti (совести) — conscience (gen./dat./prep.) [ORD] (lemma: совесть)
PASSAGE: Забудьте о своей совести, Скарлетт.
TRANS: Zabud'te o svoey sovesti, Skarlett.
TRANSLATION: Forget about your conscience, Scarlett.</t>
  </si>
  <si>
    <t>TERM: AR (АР) — honour; conscience; inalienable inner moral principle [KED, SZK]
PASSAGE: Өз арыңыз, ұятыңыз туралы ұмытыңыз, Скарлетт.
TRANS: Öz aryñyz, ūyatyñyz turaly ūmytyñyz, Skarlett.
TRANSLATION: Forget about your ar [conscience] and your shame, Scarlett.</t>
  </si>
  <si>
    <t>HONOR DOMAIN</t>
  </si>
  <si>
    <t>Honor — Moral code</t>
  </si>
  <si>
    <t>honor as absolute inner principle — above life; not negotiable (Ashley)</t>
  </si>
  <si>
    <t>"Nothing," he said quietly, "nothing—except honor."</t>
  </si>
  <si>
    <t>TERM: chesti (чести) — honour (gen./dat./prep.) [ORD] (lemma: честь)
PASSAGE: Ничто, — ровным голосом повторил он, — ничто, кроме чести.
TRANS: Nichto, — rovnym golosom povtoril on, — nichto, krome chesti.
TRANSLATION: Nothing, — he repeated in an even voice, — nothing except honor.</t>
  </si>
  <si>
    <t>TERM: AR-ŪYAT (АР-ҰЯТ) — conscience-shame (compound): the active inner moral faculty [KED, SZK]
PASSAGE: Ештеңе жоқ, - деп қайталады ол да,  - ар-ұяттан басқа ештеңе жоқ.
TRANS: Eshteñe joq, - dep qaytalady ol da,  - ar-ūyattan basqa eshteñe joq.
TRANSLATION: There is nothing, — he repeated, — nothing other than ar-uyat [conscience/honor].</t>
  </si>
  <si>
    <t>Scarlett writhed at his words. Of course, Ashley loved her for just these things. It was this knowledge that made life endurable, this knowledge that Ashley, bound by honor, loved her from afar for beautiful things deep buried in her that he alone could see. But they did not seem so beautiful when dragged to the light by Rhett, especially in that deceptively smooth voice that covered sarcasm.</t>
  </si>
  <si>
    <t>TERM: chesti (чести) — honour (gen./dat./prep.) [ORD] (lemma: честь)
PASSAGE: Сознание того, что Эшли, связанный соображениями чести, любит ее на расстоянии за то прекрасное, что глубоко скрыто в ней и что один, только он видит, — это сознание как раз и позволяло ей жить.
TRANS: Soznanie togo, chto Eshli, svyazannyy soobrazheniyami chesti, lyubit ee na rasstoyanii za to prekrasnoe, chto gluboko skryto v ney i chto odin, tol'ko on vidit, — eto soznanie kak raz i pozvolyalo ey zhit'.
TRANSLATION: The awareness that Ashley, bound by considerations of honor, loves her from a distance for the beautiful that is deeply hidden in her, which only he sees — this awareness was precisely what allowed her to live.</t>
  </si>
  <si>
    <t>TERM: AR-OJDAN (АР-ОЖДАН) — conscience (compound from Arabic wijdān): the inalienable inner tribunal [KED, SZK]
PASSAGE: Ар-ождан тазалығын бәрінен биік қойғандықтан да Эшли пәк сезімін ластамас үшін бойын аулақ сала ұстап, мұның тереңге жасырылған асып қасиеттеріне бола жақсы көреді.
TRANS: Ar-ojdan tazalyğyn bärinen biik qoyğandyqtan da Eshli päk sezimin lastamas üshin boyyn aulaq sala ūstap, mūnyñ tereñge jasyrylğan asyp qasietterine bola jaqsy köredi.
TRANSLATION: Because he placed the purity of his ar-ozhdan [innermost conscience] above all, Ashley keeps himself at a distance so as not to soil his pure feeling; he loves her for the noble qualities hidden deep within her.</t>
  </si>
  <si>
    <t>Knowing how Ashley valued honor above his life, Scarlett knew he must be writhing. He, like Scarlett, was forced to shelter behind Melanie's skirts. While Scarlett realized the necessity for this and knew that the blame for his false position lay mostly at her own door, still—still— Womanlike she would have respected Ashley more, had he shot Archie and admitted everything to Melanie and the world. She knew she was being unfair but she was too miserable to care for such fine points. Some of Rhett's taunting words of contempt came back to her and she wondered if indeed Ashley had played the manly part in this mess. And, for the first time, some of the bright glow which had enveloped him since the first day she fell in love with him began to fade imperceptibly.</t>
  </si>
  <si>
    <t>TERM: chest' (честь) — honour; honor [ORD]
PASSAGE: Зная, что Эшли ставит честь выше жизни, Скарлетт понимала, что он, должно быть, кипит от ярости.
TRANS: Znaya, chto Eshli stavit chest' vyshe zhizni, Skarlett ponimala, chto on, dolzhno byt', kipit ot yarosti.
TRANSLATION: Knowing that Ashley placed honor above life, Scarlett understood that he must be seething with rage.</t>
  </si>
  <si>
    <t>TERM: AR-NAMYS (АР-НАМЫС) — honour; observable behavioural code (compound) [KED, SZK]
PASSAGE: Эшлидің ар-намысын өмірінен де жоғары қоятынын білген Скарлетт оның ыза мен өкініштен жарылардай боп жүргенін топшылайды.
TRANS: Eshlidiñ ar-namysyn ömirinen de joğary qoyatynyn bilgen Skarlett onyñ yza men ökinishten jarylarday bop jürgenin topshylaydy.
TRANSLATION: Knowing that Ashley places his ar-namys [honor-pride] above his very life, Scarlett guesses that he is on the verge of bursting from anger and regret.</t>
  </si>
  <si>
    <t>Honor — Nobility of character</t>
  </si>
  <si>
    <t>dishonor / absent honor — violation or accusation; outside the code</t>
  </si>
  <si>
    <t>"Yes, you will listen. And I'll tell you this to ease your worry. Miss Melly is a fool but not the kind you think. It was obvious that someone had told her but she didn't believe it. Even if she saw, she wouldn't believe. There's too much honor in her to conceive of dishonor in anyone she loves. I don't know what lie Ashley Wilkes told her—but any clumsy one would do, for she loves Ashley and she loves you. I'm sure I can't see why she loves you but she does. Let that be one of your crosses."</t>
  </si>
  <si>
    <t>TERM: blagorodstvo (благородство) — nobility; nobleness of character [ORD]
PASSAGE: otsutstvie blagorodstva (отсутствие благородства) = nobleness, absence of nobleness Слишком много в ней благородства, чтобы она могла поверить в отсутствие благородства у тех, кого любит.
TRANS: otsutstvie blagorodstva (otsutstvie blagorodstva) = nobleness, absence of nobleness Slishkom mnogo v ney blagorodstva, chtoby ona mogla poverit' v otsutstvie blagorodstva u tekh, kogo lyubit.
TRANSLATION: absence of nobility = There is too much nobility in her for her to be able to believe in the absence of nobility in those whom she loves.</t>
  </si>
  <si>
    <t>TERM: Janınıñ asıldığı, päktigi (Жанының асылдығы, пәктігі) = the nobility and purity of her soul
PASSAGE: satqyn (САТҚЫН) = traitor (cannot believe the person she loves so deeply can be a traitor) Жанының асылдығы, пәктігі сондай өзі аса қатты жақсы көретін адамының сатқын болуы мүмкін екеніне сене алмайды.
TRANS: satqyn (SATQYN) = traitor (cannot believe the person she loves so deeply can be a traitor) Janynyñ asyldyğy, päktigi sonday özi asa qatty jaqsy köretin adamynyñ satqyn boluy mümkin ekenine sene almaydy.
TRANSLATION: satqyn = traitor (cannot believe the person she loves so deeply can be a traitor). The nobility, the purity of her soul is such that she cannot believe that the person she loves so very much could be a traitor.</t>
  </si>
  <si>
    <t>Scarlett sacrificed herself and did shameful things to prevent Ashley from doing dishonorable things</t>
  </si>
  <si>
    <t>"Yes, it's done now," he said with slow bitterness. "You wouldn't have let me do anything dishonorable but you would sell yourself to a man you didn't love—and bear his child, so that my family and I wouldn't starve. It was kind of you to shelter my helplessness."</t>
  </si>
  <si>
    <t>TERM: beschestnyy (бесчестный) — dishonourable; ignoble [ORD]
PASSAGE: Вы бы не допустили, чтобы я совершил бесчестный поступок, а сами продались человеку, которого не любили, и теперь носите под сердцем его ребенка, и все ради того, чтобы я и моя семья не умерли с голоду.
TRANS: Vy by ne dopustili, chtoby ya sovershil beschestnyy postupok, a sami prodalis' cheloveku, kotorogo ne lyubili, i teper' nosite pod serdtsem ego rebenka, i vse radi togo, chtoby ya i moya sem'ya ne umerli s golodu.
TRANSLATION: You would never have allowed me to commit a dishonorable deed, and yet you sold yourself to a man you did not love, and now bear his child beneath your heart, all so that I and my family would not die of starvation.</t>
  </si>
  <si>
    <t>PASSAGE: Мені арсыздыққа қайтсеңіз де жібермес едіңіз, бірақ өзіңізді еш сүймейтін адамға сатып жібердіңіз де, жүрегіңіздің астында соның баласын сақтап жүрсіз.
TRANS: Meni arsyzdyqqa qaytseñiz de jibermes ediñiz, biraq öziñizdi esh süymeytin adamğa satyp jiberdiñiz de, jüregiñizdiñ astynda sonyñ balasyn saqtap jürsiz.
TRANSLATION: You, no matter what, would not have let me act shamelessly, but you yourself sold yourself off to a man you did not love at all, and now you carry his child beneath your heart.</t>
  </si>
  <si>
    <t>Non-scrupulous</t>
  </si>
  <si>
    <t>TERM: poryadochnost' (порядочность) — decency; respectability; integrity [ORD]
PASSAGE: По мало-помалу от частых повторений этой проделки ее не слишком остро развитое чувство порядочности и вовсе притупилось, да и страх сам собой исчез.
TRANS: Po malo-pomalu ot chastykh povtoreniy etoy prodelki ee ne slishkom ostro razvitoe chuvstvo poryadochnosti i vovse pritupilos', da i strakh sam soboy ischez.
TRANSLATION: But little by little, with frequent repetitions of this trick, her not very sharply developed sense of decency was completely dulled, and the fear itself disappeared.</t>
  </si>
  <si>
    <t>TERM: AR-ŪYAT (АР-ҰЯТ) — conscience-shame (compound): the active inner moral faculty [KED, SZK]
PASSAGE: оның ар-ұят, әдептілік сезімі мүлдем өшіп, қорқынышы өзіненөзі жоғалып кетті
TRANS: onyñ ar-ūyat, ädeptilik sezimi müldem öship, qorqynyshy özinenözi joğalyp ketti
TRANSLATION: her sense of conscience-shame and propriety was extinguished entirely, and her fear too vanished of itself.</t>
  </si>
  <si>
    <t>Code of behavior</t>
  </si>
  <si>
    <t>Nothing her mother had taught her was of any value whatsoever now and Scarlett's heart was sore and puzzled. It did not occur to her that Ellen could not have foreseen the collapse of the civilization in which she raised her daughters, could not have anticipated the disappearings of the places in society for which she trained them so well. It did not occur to her that Ellen had looked down a vista of placid future years, all like the uneventful years of her own life, when she had taught her to be gentle and gracious, honorable and kind, modest and truthful. Life treated women well when they had learned those lessons, said Ellen.</t>
  </si>
  <si>
    <t>TERM: , chestnoy, pravdivoy (, честной, правдивой) = honest
PASSAGE: уча ее быть доброй, мягкой, уступчивой, честной, правдивой и скромной,
TRANS: ucha ee byt' dobroy, myagkoy, ustupchivoy, chestnoy, pravdivoy i skromnoy,
TRANSLATION: teaching her to be kind, gentle, yielding, honest, truthful, and modest,</t>
  </si>
  <si>
    <t>TERM: şınşıl, adal (шыншыл, адал) = honest, loyal
PASSAGE: Скарлетт Эллиннің мұны мейірімді, жұмсақ, мойынсұнғыш, шыншыл, адал және қарапайым болуға үйрете отырып, өзінің өлшенген өмірі сияқты алдағы өмірден бейбіт, өзгеріссіз жылдар тізбегін ғана көргенін түсінбеді.
TRANS: Skarlett Ellinniñ mūny meyirimdi, jūmsaq, moyynsūnğysh, shynshyl, adal jäne qarapayym boluğa üyrete otyryp, öziniñ ölshengen ömiri siyaqty aldağy ömirden beybit, özgerissiz jyldar tizbegin ğana körgenin tüsinbedi.
TRANSLATION: Scarlett, while Ellen was teaching her to be kind, gentle, submissive, truthful, honest, and modest, did not understand that, like Ellen's measured life, [Ellen] was seeing only a row of peaceful and unchanging years stretching ahead.</t>
  </si>
  <si>
    <t>Both social and moral honor</t>
  </si>
  <si>
    <t>There was no doubt what Ellen would say to a daughter who told lies and engaged in sharp practices. She would be stunned and incredulous and would speak gentle words that stung despite their gentleness, would talk of honor and honesty and truth and duty to one's neighbor. Momentarily, Scarlett cringed as she pictured the look on her mother's face.</t>
  </si>
  <si>
    <t>Ellen</t>
  </si>
  <si>
    <t>TERM: chesti (чести) — honour (gen./dat./prep.) [ORD] (lemma: честь)
PASSAGE: Она была бы потрясена, она бы ушам своим не поверила и так и сказала бы Скарлетт — мягко, но слова ее жгли бы каленым железом, — сказала бы о чести, и о честности, и о правде, и о долге перед ближними.
TRANS: Ona byla by potryasena, ona by usham svoim ne poverila i tak i skazala by Skarlett — myagko, no slova ee zhgli by kalenym zhelezom, — skazala by o chesti, i o chestnosti, i o pravde, i o dolge pered blizhnimi.
TRANSLATION: She would be shocked, she would not believe her ears and would say so to Scarlett — gently, but her words would burn like a red-hot iron — would speak of honor, and of honesty, and of truth, and of duty toward one's neighbors.</t>
  </si>
  <si>
    <t>TERM: AR-OJDAN (АР-ОЖДАН) — conscience (compound from Arabic wijdān): the inalienable inner tribunal [KED, SZK]
PASSAGE: Алдымен өз құлағына өзі сенбей, көзі шарасынан шыға таңданар еді де, соншалық бәсең, бірақ намысыңа тигенде темірмен етіңді тіліп түскендей үнмен "Скарлетт" дер еді де, ар-ождан туралы, адалдық, шындық, туыс-бауыр алдындағы міндеті туралы айтар еді.
TRANS: Aldymen öz qūlağyna özi senbey, közi sharasynan shyğa tañdanar edi de, sonshalyq bäseñ, biraq namysyña tigende temirmen etiñdi tilip tüskendey ünmen "Skarlett" der edi de, ar-ojdan turaly, adaldyq, shyndyq, tuys-bauyr aldyndağy mindeti turaly aytar edi.
TRANSLATION: First she would not believe her own ears, would be amazed beyond measure, and then in such a low yet — when it stings your sense of honor — flesh-cutting voice as if it were iron, she would say "Scarlett", and would speak of conscience, of honesty, of truth, of duty to kin and brother.</t>
  </si>
  <si>
    <t>Morality, decency, honest behavior</t>
  </si>
  <si>
    <t>"I shouldn't have expected either truth or honor or fair dealing from you, knowing you as I do. But foolishly, I trusted you."</t>
  </si>
  <si>
    <t>TERM: chestnyy (честный) — honest; honourable [ORD]
PASSAGE: Зная вас, мне, конечно, не следовало ожидать, что вы будете правдивы, порядочны и честны со мной.
TRANS: Znaya vas, mne, konechno, ne sledovalo ozhidat', chto vy budete pravdivy, poryadochny i chestny so mnoy.
TRANSLATION: Knowing you, of course, I should not have expected you to be truthful, decent, and honest with me.</t>
  </si>
  <si>
    <t>TERM: ADAL (АДАЛ) — honest; faithful; pure; lawful (Arabic ḥalāl) [KED, SZK]
PASSAGE: Сізді бұрыннан танып, біле тұра, менімен барынша адал, бүкпесіз ашық болады деп илануымның өзі қателік екенін білемін.
TRANS: Sizdi būrynnan tanyp, bile tūra, menimen barynsha adal, bükpesiz ashyq bolady dep ilanuymnyñ özi qatelik ekenin bilemin.
TRANSLATION: Knowing you of old, I myself know it was a mistake to believe you would be utterly honest with me, open without concealment.</t>
  </si>
  <si>
    <t>moral honor</t>
  </si>
  <si>
    <t>"Pride and honor and truth and virtue and kindliness," he enumerated silkily. "You are right, Scarlett. They aren't important when a boat is sinking. But look around you at your friends. Either they are bringing their boats ashore safely with cargoes intact or they are content to go down with all flags flying."</t>
  </si>
  <si>
    <t>TERM: chest' (честь) — honour; honor [ORD]
PASSAGE: Гордость, и честь, и правдивость, и целомудрие, и милосердие, — хмуро перечислил он.
TRANS: Gordost', i chest', i pravdivost', i tselomudrie, i miloserdie, — khmuro perechislil on.
TRANSLATION: Pride, and honor, and truthfulness, and chastity, and mercy, — he listed gloomily.</t>
  </si>
  <si>
    <t>TERM: AR (АР) — honour; conscience; inalienable inner moral principle [KED, SZK]
PASSAGE: Ар, адалдық, шыншылдық, тәкаппарлық, мақсатшылдық, мейірімділік
TRANS: Ar, adaldyq, shynshyldyq, täkapparlyq, maqsatshyldyq, meyirimdilik
TRANSLATION: Conscience, honesty, truthfulness, dignity, purpose, mercy</t>
  </si>
  <si>
    <t>"You can afford to be—but you won't. It's hard to salvage jettisoned cargo and, if it is retrieved, it's usually irreparably damaged. And I fear that when you can afford to fish up the honor and virtue and kindness you've thrown overboard, you'll find they have suffered a sea change and not, I fear, into something rich and strange..."</t>
  </si>
  <si>
    <t>TERM: chest' (честь) — honour; honor [ORD]
PASSAGE: И боюсь, что когда вы сочтете возможным втянуть обратно в лодку честь, целомудрие и милосердие, которые вышвырнули за борт, вы обнаружите, что они претерпели в воде существенные изменения, причем отнюдь не к лучшему…
TRANS: I boyus', chto kogda vy sochtete vozmozhnym vtyanut' obratno v lodku chest', tselomudrie i miloserdie, kotorye vyshvyrnuli za bort, vy obnaruzhite, chto oni preterpeli v vode sushchestvennye izmeneniya, prichem otnyud' ne k luchshemu…
TRANSLATION: And I fear that when you find it possible to pull back into the boat the honor, chastity, and mercy that you tossed overboard, you will discover that they have undergone substantial changes in the water, and not at all for the better...</t>
  </si>
  <si>
    <t>TERM: AR-ŪYAT (АР-ҰЯТ) — conscience-shame (compound): the active inner moral faculty [KED, SZK]
PASSAGE: Сіз ар-ұятыңызды, мейірімділік пен адалдығыңызды қайтадан қажетсініп қайыққа тартып алған кезде де, олардың бұрынғы мәнін жойып, суда қалған кездерінде мүлдем танымастай өзгергенін байқайсыз, және жақсы жағына қарай өзгермес...
TRANS: Siz ar-ūyatyñyzdy, meyirimdilik pen adaldyğyñyzdy qaytadan qajetsinip qayyqqa tartyp alğan kezde de, olardyñ būrynğy mänin joyyp, suda qalğan kezderinde müldem tanymastay özgergenin bayqaysyz, jäne jaqsy jağyna qaray özgermes...
TRANSLATION: When you again come to need your conscience, your mercy, and your honesty and pull them back into the boat, you will discover that they have lost their original substance and changed beyond recognition while in the water — and not for the better...</t>
  </si>
  <si>
    <t>Moral code</t>
  </si>
  <si>
    <t>"Ashley Wilkes has never taken a cent from me! I couldn't make him take a cent if he were starving! You don't understand him, how honorable, how proud he is! Of course, you can't understand him, being what you are—"</t>
  </si>
  <si>
    <t>TERM: blagorodnyy (благородный) — noble; of noble character [ORD]
PASSAGE: Вам в жизни не понять, какой он благородный, какой гордый!
TRANS: Vam v zhizni ne ponyat', kakoy on blagorodnyy, kakoy gordyy!
TRANSLATION: You will never in your life understand how noble he is, how proud!</t>
  </si>
  <si>
    <t>TERM: ASYL (АСЫЛ) — noble; precious; intrinsically valuable [KED, SZK]
PASSAGE: Оның қандай жаны асыл, қандай ар-ұятты биік қоятын адам екенін мәңгі түсінбей өтесіз!
TRANS: Onyñ qanday jany asyl, qanday ar-ūyatty biik qoyatyn adam ekenin mäñgi tüsinbey ötesiz!
TRANSLATION: You will never understand all your life what kind of soul he is — how nobly elevated, how high he holds his ar-uyat [conscience-shame]!</t>
  </si>
  <si>
    <t>Moral honor, code of behavior</t>
  </si>
  <si>
    <t>"If you are comparing him with yourself, you conceited thing, why— He's not like you, thank God! He wouldn't soil his hands as you do, making money with Carpetbaggers and Scallawags and Yankees. He's scrupulous and honorable!"</t>
  </si>
  <si>
    <t>TERM: uvazhayushchiy sebya (уважающий себя) — self-respecting (lit. respecting oneself) [ORD] (lemma: уважать)
PASSAGE: Он человек, уважающий себя, совестливый!
TRANS: On chelovek, uvazhayushchiy sebya, sovestlivyy!
TRANSLATION: He is a man who respects himself, conscientious!</t>
  </si>
  <si>
    <t>TERM: qūrmetti (ҚҰРМЕТTІ) = құрмет respected, honourable
PASSAGE: ūyat (ҰЯТ) = shame, conscience, disgrace (with a sense of shame) Ол - өзін құрметтейтін, ұяты бар адам.
TRANS: ūyat (ŪYAT) = shame, conscience, disgrace (with a sense of shame) Ol - özin qūrmetteytin, ūyaty bar adam.
TRANSLATION: uyat = shame, conscience, disgrace. He is a man who respects himself, who has uyat [conscience].</t>
  </si>
  <si>
    <t>"But not too scrupulous and honorable to take aid and money from a woman."</t>
  </si>
  <si>
    <t>TERM: uvazhayushchiy sebya (уважающий себя) — self-respecting (lit. respecting oneself) [ORD] (lemma: уважать)
PASSAGE: Но не настолько уважающий себя и не настолько совестливый, чтобы отказаться от помощи и денег женщины.
TRANS: No ne nastol'ko uvazhayushchiy sebya i ne nastol'ko sovestlivyy, chtoby otkazat'sya ot pomoshchi i deneg zhenshchiny.
TRANSLATION: But not so self-respecting and not so conscientious as to refuse a woman's help and money.</t>
  </si>
  <si>
    <t>TERM: qūrmetti (ҚҰРМЕТTІ) = құрмет respected, honourable
PASSAGE: ūyat (ҰЯТ) = shame, conscience, disgrace (with a sense of shame) Дегенмен әйелдің ақшасы мен көмегінен бас тартпайтынына қарағанда, соншалық құрметті, соншалық ұятты емес те сияқты ғой.
TRANS: ūyat (ŪYAT) = shame, conscience, disgrace (with a sense of shame) Degenmen äyeldiñ aqshasy men kömeginen bas tartpaytynyna qarağanda, sonshalyq qūrmetti, sonshalyq ūyatty emes te siyaqty ğoy.
TRANSLATION: uyat = shame, conscience, disgrace. Yet judging by the fact that he does not refuse a woman's money and help, he is also not so very respectable, not so very uyatty [endowed with conscience], it would seem.</t>
  </si>
  <si>
    <t>Code of behavior, moral</t>
  </si>
  <si>
    <t>TERM: blagorodnyy (благородный) — noble; of noble character [ORD]
PASSAGE: Эшли ведь такой благородный, такой правдивый, такой добрый, и он видит все так ясно, без прикрас.
TRANS: Eshli ved' takoy blagorodnyy, takoy pravdivyy, takoy dobryy, i on vidit vse tak yasno, bez prikras.
TRANSLATION: Ashley is so noble, so truthful, so kind, and he sees everything so clearly, without embellishment.</t>
  </si>
  <si>
    <t>PASSAGE: keñpeyil (кеңпейіл) = ‘broad-souled’ (noble) Ол сондай кеңпейіл, сондай шыншыл, сондай қамқор, мейірімді, бәрін жақсы ашық көңілмен қабылдайды.
TRANS: keñpeyil (keñpeyil) = ‘broad-souled’ (noble) Ol sonday keñpeyil, sonday shynshyl, sonday qamqor, meyirimdi, bärin jaqsy ashyq köñilmen qabyldaydy.
TRANSLATION: keñpeyil = "broad-souled" (noble). He is so kind-spirited, so truthful, so caring, so merciful — he accepts everything with an open and clear heart.</t>
  </si>
  <si>
    <t>"Oh, for God's sake, hush!" interrupted Scarlett, annoyed as usual when he made her look like a conceited fool, and not caring to have Ashley and his honor become the subject of further conversation. "What was the other thing you wanted to tell me?"</t>
  </si>
  <si>
    <t>TERM: poryadochnost' (порядочность) — decency; respectability; integrity [ORD]
PASSAGE: к тому же ей вовсе не хотелось обсуждать Эшли и его порядочность.
TRANS: k tomu zhe ey vovse ne khotelos' obsuzhdat' Eshli i ego poryadochnost'.
TRANSLATION: besides, she did not at all want to discuss Ashley and his decency.</t>
  </si>
  <si>
    <t>TERM: ÄDEPTİLİK (ӘДЕПТІЛІК) — politeness; decency; propriety [KED, SZK]
PASSAGE: Бұрын да өзімшіл екенін бетіне басып, өкпелететін кездеріндей қиналып кетті де, Эшлидің әдептілігі туралы да сөз қозғатқысы келмеді.
TRANS: Būryn da özimshil ekenin betine basyp, ökpeletetin kezderindey qinalyp ketti de, Eshlidiñ ädeptiligi turaly da söz qozğatqysy kelmedi.
TRANSLATION: As before when he had thrown her self-centeredness in her face, she felt distressed, and did not want to bring up Ashley's ädeptilik [decency] for discussion either.</t>
  </si>
  <si>
    <t>honor cited ironically / sarcastically — Rhett's deflation of the concept</t>
  </si>
  <si>
    <t>"I still laugh—but I've reached the end of roaming, Scarlett. I'm forty-five—the age when a man begins to value some of the things he's thrown away so lightly in youth, the clannishness of families, honor and security, roots that go deep— Oh, no! I'm not recanting, I'm not regretting anything I've ever done. I've had a hell of a good time—such a hell of a good time that it's begun to pall and now I want something different. No, I never intend to change more than my spots. But I want the outer semblance of the things I used to know, the utter boredom of respectability—other people's respectability, my pet, not my own—the calm dignity life can have when it's lived by gentle folks, the genial grace of days that are gone. When I lived those days I didn't realize the slow charm of them—"</t>
  </si>
  <si>
    <t>TERM: chest' (честь) — honour; honor [ORD]
PASSAGE: Мне сорок пять лет, и в этом возрасте человек начинает ценить то, что он так легко отбрасывал в юности: свой клан, свою семью, свою честь и безопасность, корни, уходящие глубоко…
TRANS: Mne sorok pyat' let, i v etom vozraste chelovek nachinaet tsenit' to, chto on tak legko otbrasyval v yunosti: svoy klan, svoyu sem'yu, svoyu chest' i bezopasnost', korni, ukhodyashchie gluboko…
TRANSLATION: I am forty-five years old, and at this age a person begins to value what he so easily cast aside in his youth: his clan, his family, his honor and security, roots that go deep...</t>
  </si>
  <si>
    <t>TERM: AR-NAMYS (АР-НАМЫС) — honour; observable behavioural code (compound) [KED, SZK]
PASSAGE: Менің жасым қырық беске келіпті, бұл адамның жас кезінде қолын бір сілтеп, керек қылмай кеткен нәрселерін - отбасын, ар-намысын, қауіпсіздігін, түп-тамырын бағалайтын, қадірлейтін тұсы!
TRANS: Meniñ jasym qyryq beske kelipti, būl adamnyñ jas kezinde qolyn bir siltep, kerek qylmay ketken närselerin - otbasyn, ar-namysyn, qauipsizdigin, tüp-tamyryn bağalaytyn, qadirleytin tūsy!
TRANSLATION: I am forty-five years old now — this is the age when a person begins to value and treasure the things he so easily cast aside in his youth: family, ar-namys [honor-pride], security, deep roots!</t>
  </si>
  <si>
    <t>Moral guide</t>
  </si>
  <si>
    <t>"You made it with the money I lent you to give you your start. That's what you mean. My money is being used to support Ashley. You are a woman quite without honor and if you hadn't repaid my loan, I'd take great pleasure in calling it in now and selling you out at public auction if you couldn't pay."</t>
  </si>
  <si>
    <t>TERM: beschestnaya (бесчестная) — dishonourable (adj. fem.) [ORD] (lemma: бесчестный)
PASSAGE: Вы бесчестная женщина, и если бы вы не вернули мне долг, я бы с удовольствием востребовал его сейчас, а не заплати вы мне — все ваше добро пошло бы с аукциона.
TRANS: Vy beschestnaya zhenshchina, i esli by vy ne vernuli mne dolg, ya by s udovol'stviem vostreboval ego seychas, a ne zaplati vy mne — vse vashe dobro poshlo by s auktsiona.
TRANSLATION: You are a dishonest woman, and if you had not returned me the debt, I would gladly have demanded it now, and had you not paid me — all your goods would have gone under the hammer.</t>
  </si>
  <si>
    <t>TERM: ädiletsiz (ӘДІЛЕТСІ3) = unjust
PASSAGE: Сіз әділетсіз әйел екенсіз, егер қарызды қайтармағаныңызда, мен үстемелеп төлеуге заң арқылы мәжбүрлей алар едім.
TRANS: Siz ädiletsiz äyel ekensiz, eger qaryzdy qaytarmağanyñyzda, men üstemelep töleuge zañ arqyly mäjbürley alar edim.
TRANSLATION: You are an unjust woman; had you not returned the debt, I could have made you pay double through the law.</t>
  </si>
  <si>
    <t>Honor — Reputation / standing</t>
  </si>
  <si>
    <t>social honor — reputation, community standing, publicly conferred dignity</t>
  </si>
  <si>
    <t>There was no more warmth in him than in a marsh light, no more security than in quicksand. It was Rhett—Rhett who had strong arms to hold her, a broad chest to pillow her tired head, jeering laughter to pull her affairs into proper perspective. And complete understanding, because he, like her, saw truth as truth, unobstructed by impractical notions of honor, sacrifice, or high belief in human nature. He loved her! Why hadn't she realized that he loved her, for all his taunting remarks to the contrary? Melanie had seen it and with her last breath had said, "Be kind to him."</t>
  </si>
  <si>
    <t>TERM: chest' (честь) — honour; honor [ORD]
PASSAGE: а не затуманенную всякими так называемыми высокими представлениями о чести, самопожертвовании или вере в человеческую натуру.
TRANS: a ne zatumanennuyu vsyakimi tak nazyvaemymi vysokimi predstavleniyami o chesti, samopozhertvovanii ili vere v chelovecheskuyu naturu.
TRANSLATION: and not [a vision] clouded by all sorts of so-called lofty notions of honor, self-sacrifice, or faith in human nature.</t>
  </si>
  <si>
    <t>TERM: adal AR (адал АР) — honest ar; pure conscience [KED, SZK] (lemma: ар)
PASSAGE: Abyroy (абырой) = dignity Өзі де бұл тақылеттес болғандықтан мұны толық түсінетін, ақиқатты сол күйімен қабылдайтын, биік мақсат, адал ар, абырой туралы жұмбақ түсініктермен ештеңені әсірелемейтін, адам келбетінің бар шынайылығын солай көре қоятын жан.
TRANS: Abyroy (abyroy) = dignity Özi de būl taqylettes bolğandyqtan mūny tolyq tüsinetin, aqiqatty sol küyimen qabyldaytyn, biik maqsat, adal ar, abyroy turaly jūmbaq tüsiniktermen eshteñeni äsirelemeytin, adam kelbetiniñ bar shynayylyğyn solay köre qoyatyn jan.
TRANSLATION: Abyroy = dignity. He himself, being of this same kind, fully understood her, accepting the truth as it is — a soul who did not exaggerate anything with mysterious notions of lofty aim, true conscience, or dignity, but saw the whole reality of human appearance as it is.</t>
  </si>
  <si>
    <t>Moral honor, Rhett’s irony with regard to Ashley</t>
  </si>
  <si>
    <t>"I understand practically everything about you and Ashley, now," Rhett resumed. "I began with your inelegant scene at Twelve Oaks and, since then, I've picked up many things by keeping my eyes open. What things? Oh, that you still cherish a romantic schoolgirl passion for him which he reciprocates as well as his honorable nature will permit him. And that Mrs. Wilkes knows nothing and that, between the two of you, you've done her a pretty trick. I understand practically everything, except one thing that piques my curiosity. Did the honorable Ashley ever jeopardize his immortal soul by kissing you?"</t>
  </si>
  <si>
    <t>TERM: blagorodnaya vozvyshennaya natura (благородная возвышенная натура) — noble and elevated nature (descriptive phrase) [ORD] (lemma: благородный)
PASSAGE: в той мере, в какой ему позволяет это его благородная возвышенная натура.
TRANS: v toy mere, v kakoy emu pozvolyaet eto ego blagorodnaya vozvyshennaya natura.
TRANSLATION: to the extent that his noble, lofty nature allows him to.</t>
  </si>
  <si>
    <t>TERM: bekzat bolmysty asqaq tabiğaty (бекзат болмысты асқақ табиғаты) — elevated nature of his noble being (descriptive phrase) [KED, SZK] (lemma: бекзат)
PASSAGE: оның бекзат болмысты асқақ табиғаты оған мүмкіндік беретіндігінен.
TRANS: onyñ bekzat bolmysty asqaq tabiğaty oğan mümkindik beretindiginen.
TRANSLATION: because of what his aristocratic, exalted nature allows him.</t>
  </si>
  <si>
    <t>Moral honor, not leaving his wife</t>
  </si>
  <si>
    <t>At the mention of Melanie, Scarlett began to breathe hard and could scarcely restrain herself from crying out the whole story, that only honor kept Ashley with Melanie. She opened her mouth to speak and then closed it.</t>
  </si>
  <si>
    <t>TERM: chesti (чести) — honour (gen./dat./prep.) [ORD] (lemma: честь)
PASSAGE: что только соображения чести удерживают Эшли подле Мелани.
TRANS: chto tol'ko soobrazheniya chesti uderzhivayut Eshli podle Melani.
TRANSLATION: that only considerations of honor were keeping Ashley by Melanie's side.</t>
  </si>
  <si>
    <t>TERM: ABYROY (АБЫРОЙ) — dignity; prestige; public standing; reputation (Arabic-Persian loan) [KED, SZK]
PASSAGE: Меланидің есімі аталғанда Скарлеттің көкірегіне ащы запыран жиналғандай, Реттке бар даусымен Меланидің абыройына дақ түсірмеу үшін Эшли соның қасында жүргенін айтып, айқайлағысы келіп тұрды да, аузын аша беріп, қайта жапты.
TRANS: Melanidiñ esimi atalğanda Skarlettiñ kökiregine ashchy zapyran jinalğanday, Rettke bar dausymen Melanidiñ abyroyyna daq tüsirmeu üshin Eshli sonyñ qasynda jürgenin aytyp, ayqaylağysy kelip tūrdy da, auzyn asha berip, qayta japty.
TRANSLATION: When Melanie's name was mentioned, bitter bile gathered in Scarlett's chest; she wanted to shout to Rhett at the top of her voice that Ashley remained beside Melanie so as not to stain her abyroy [dignity], but she opened her mouth and shut it again.</t>
  </si>
  <si>
    <t>Moral honor – uninteresting to Rhett, as self-claimed</t>
  </si>
  <si>
    <t>"Oh, I've never denied coveting you, if that's what you mean. But, thank God, I'm not bothered about matters of honor. What I want I take if I can get it, and so I wrestle neither with angels nor devils. What a merry hell you must have made for Ashley! Almost I can be sorry for him."</t>
  </si>
  <si>
    <t>TERM: chesti (чести) — honour (gen./dat./prep.) [ORD] (lemma: честь)
PASSAGE: Но слава богу, меня не волнуют проблемы чести.
TRANS: No slava bogu, menya ne volnuyut problemy chesti.
TRANSLATION: But thank God, I am not troubled by problems of honor.</t>
  </si>
  <si>
    <t>TERM: AR-ŪYAT (АР-ҰЯТ) — conscience-shame (compound): the active inner moral faculty [KED, SZK]
PASSAGE: Бірақ, құдайға шүкір, мені ар-ұяттың мәселесі мазаламайды.
TRANS: Biraq, qūdayğa shükir, meni ar-ūyattyñ mäselesi mazalamaydy.
TRANSLATION: But, thank God, the question of ar-uyat [conscience-shame] does not trouble me.</t>
  </si>
  <si>
    <t>Moral honor</t>
  </si>
  <si>
    <t>How unfair he was! As if Ashley was a mind reader! As if Ashley could have stopped her, even had he known! But, she knew suddenly, Ashley could have stopped her. The faintest intimation from him, in the orchard, that some day things might be different and she would never have thought of going to Rhett. A word of tenderness, even a parting caress when she was getting on the train, would have held her back. But he had only talked of honor. Yet—was Rhett right? Should Ashley have known her mind?</t>
  </si>
  <si>
    <t>TERM: chesti (чести) — honour (gen./dat./prep.) [ORD] (lemma: честь)
PASSAGE: Но он говорил только о чести.
TRANS: No on govoril tol'ko o chesti.
TRANSLATION: But he spoke only of honor.</t>
  </si>
  <si>
    <t>TERM: AR-ŪYAT (АР-ҰЯТ) — conscience-shame (compound): the active inner moral faculty [KED, SZK]
PASSAGE: Бірақ ол тек ар-ұят туралы ғана айтқан.
TRANS: Biraq ol tek ar-ūyat turaly ğana aytqan.
TRANSLATION: But he spoke only of ar-uyat [conscience-shame].</t>
  </si>
  <si>
    <t>Moral</t>
  </si>
  <si>
    <t>But, she promised herself, never, never would she again try to prod him into words of love, never again would she try to make him throw away that foolish honor he valued more than love. Somehow, she must delicately convey to him this new resolution of hers. Otherwise he might refuse, fearing another scene such as that last terrible one had been.</t>
  </si>
  <si>
    <t>TERM: chest'yu (честью) — honour (instr.); honourably [ORD] (lemma: честь)
PASSAGE: никогда не будет вынуждать его поступиться этой дурацкой честью, которую он ставит выше любви.
TRANS: nikogda ne budet vynuzhdat' ego postupit'sya etoy duratskoy chest'yu, kotoruyu on stavit vyshe lyubvi.
TRANSLATION: will never force him to compromise that foolish honor that he places above love.</t>
  </si>
  <si>
    <t>TERM: AR-OJDAN (АР-ОЖДАН) — conscience (compound from Arabic wijdān): the inalienable inner tribunal [KED, SZK]
PASSAGE: Ол үшін тірлігінен биік қоятын ар-ожданына дақ түсірмеуге келіседі.
TRANS: Ol üshin tirliginen biik qoyatyn ar-ojdanyna daq tüsirmeuge kelisedi.
TRANSLATION: For his sake she agrees not to soil the ar-ozhdan [innermost conscience] he places above his life.</t>
  </si>
  <si>
    <t>"Oh, no! You are so fine, so honorable and he—" She broke off, confused.</t>
  </si>
  <si>
    <t>TERM: blagorodnyy (благородный) — noble; of noble character [ORD]
PASSAGE: Вы — такой тонкий, такой благородный, а он…
TRANS: Vy — takoy tonkiy, takoy blagorodnyy, a on…
TRANSLATION: You — so refined, so noble, while he...</t>
  </si>
  <si>
    <t>TERM: BEKZAT adam (БЕКЗАТ адам) — aristocrat; man of noble birth [KED, SZK] (lemma: бекзат)
PASSAGE: Ой, жоқ, ұқсамайсыздар. Ол сондай нәзік сезімді, бекзат адам ғой, және...
TRANS: Oy, joq, ūqsamaysyzdar. Ol sonday näzik sezimdi, bekzat adam ğoy, jäne...
TRANSLATION: Oh, no, you are not alike. He is such a man of refined feeling, an aristocratic [bekzat] man, and...</t>
  </si>
  <si>
    <t>If I were dead, if Miss Melly were dead and you had your precious honorable lover, do you think you'd be happy with him?</t>
  </si>
  <si>
    <t>TERM: blagorodnogo (благородного) — noble (adj. masc. gen.) [ORD] (lemma: благородный)
PASSAGE: Если б я умер и если бы мисс Мелли умерла и вы получили бы своего бесценного благородного возлюбленного, вы думаете, что были бы счастливы с ним?
TRANS: Esli b ya umer i esli by miss Melli umerla i vy poluchili by svoego bestsennogo blagorodnogo vozlyublennogo, vy dumaete, chto byli by schastlivy s nim?
TRANSLATION: If I died and if Miss Melly died, and you got your priceless noble beloved, do you think you would be happy with him?</t>
  </si>
  <si>
    <t>PASSAGE: Егер мен жер бетінен жоғалып кететін болсам, немесе Мелли ханым өліп қалса, баға жетпес байлығыңызға, махаббатыңызбен бас қосамын деп армандайтын да шығарсыз.
TRANS: Eger men jer betinen joğalyp ketetin bolsam, nemese Melli khanym ölip qalsa, bağa jetpes baylyğyñyzğa, makhabbatyñyzben bas qosamyn dep armandaytyn da shyğarsyz.
TRANSLATION: If I were to disappear from the face of the earth, or if Mrs Melly were to die, you may even be dreaming of joining your priceless treasure, your love.</t>
  </si>
  <si>
    <t>"What you've gone through! Don't you think that I— Oh, Ashley, you should have known, years ago, that you loved her and not me! Why didn't you! Everything would have been so different, so— Oh, you should have realized and not kept me dangling with all your talk about honor and sacrifice! If you'd told me, years ago, I'd have— It would have killed me but I could have stood it somehow. But you wait till now, till Melly's dying, to find it out and now it's too late to do anything.</t>
  </si>
  <si>
    <t>TERM: chesti (чести) — honour (gen./dat./prep.) [ORD] (lemma: честь)
PASSAGE: Все могло бы быть иначе, а теперь… ах, тебе бы следовало понять и не держать меня на привязи, рассуждая о чести и жертвах!
TRANS: Vse moglo by byt' inache, a teper'… akh, tebe by sledovalo ponyat' i ne derzhat' menya na privyazi, rassuzhdaya o chesti i zhertvakh!
TRANSLATION: Everything could have been different, and now... ah, you should have understood and not kept me on a leash, talking of honor and sacrifices!</t>
  </si>
  <si>
    <t>TERM: AR-ŪYAT (АР-ҰЯТ) — conscience-shame (compound): the active inner moral faculty [KED, SZK]
PASSAGE: Ой, құдайым-ай, мені де емексітпей, құрбандықтар мен ар-ұят туралы ой толғай бермей, алдымен өз сеніміңді анықтап алуың керек еді ғой!
TRANS: Oy, qūdayym-ay, meni de emeksitpey, qūrbandyqtar men ar-ūyat turaly oy tolğay bermey, aldymen öz senimiñdi anyqtap aluyñ kerek edi ğoy!
TRANSLATION: Oh, my God, you should have decided your own conviction first, and not gone on tantalizing me, holding forth about sacrifices and ar-uyat [conscience-shame]!</t>
  </si>
  <si>
    <t>"What a fool I've been," she thought bitterly. "And now I've got to pay for it. What I've wished for so often has happened. I've wished Melly was dead so I could have him. And now she's dead and I've got him and I don't want him. His damned honor will make him ask me if I want to divorce Rhett and marry him. Marry him? I wouldn't have him on a silver platter!</t>
  </si>
  <si>
    <t>TERM: proklyatoe ponyatie o chesti (проклятое понятие о чести) — that cursed notion of honour [ORD] (lemma: понятие)
PASSAGE: Его проклятое понятие о чести заставит его спросить меня, не соглашусь ли я развестись с Реттом и выйти за него замуж.
TRANS: Ego proklyatoe ponyatie o chesti zastavit ego sprosit' menya, ne soglashus' li ya razvestis' s Rettom i vyyti za nego zamuzh.
TRANSLATION: His cursed concept of honor will compel him to ask me whether I will agree to divorce Rhett and marry him.</t>
  </si>
  <si>
    <t>PASSAGE: Оның тұманды сезімі менен Ретті тастап, өзіне күйеуге шығуымды сұратар әлі.
TRANS: Onyñ tūmandy sezimi menen Retti tastap, özine küyeuge shyğuymdy sūratar äli.
TRANSLATION: His clouded sense will yet make him ask me to leave Rhett and marry him.</t>
  </si>
  <si>
    <t>"Ashley!" she said, and made an impatient gesture. "I—I don't believe I've cared anything about him for ages. It was—well, a sort of habit I hung onto from when I was a little girl. Rhett, I'd never even thought I cared about him if I'd ever known what he was really like. He's such a helpless, poor-spirited creature, for all his prattle about truth and honor and—"</t>
  </si>
  <si>
    <t>TERM: o pravde, i o chesti, (о правде, и о чести,) = about truth, about honor
PASSAGE: А ведь он такое беспомощное, жалкое существо, несмотря на всю свою болтовню о правде, и о чести, и о…
TRANS: A ved' on takoe bespomoshchnoe, zhalkoe sushchestvo, nesmotrya na vsyu svoyu boltovnyu o pravde, i o chesti, i o…
TRANSLATION: And he is such a helpless, pitiful creature, despite all his prattle of truth, and of honor, and of...</t>
  </si>
  <si>
    <t>TERM: AR-ŪYAT (АР-ҰЯТ) — conscience-shame (compound): the active inner moral faculty [KED, SZK]
PASSAGE: Өзінің шындық, ар-ұят, намыс туралы әңгімелеріне қарамастан, ол сондай дәрменсіз, аянышты адам.
TRANS: Öziniñ shyndyq, ar-ūyat, namys turaly äñgimelerine qaramastan, ol sonday därmensiz, ayanyshty adam.
TRANSLATION: Despite his talk of truth, ar-uyat [conscience-shame], and namys [honor], he is such a helpless, pitiful person.</t>
  </si>
  <si>
    <t>Living with Rhett, she learned many new things about him, and she had thought she knew him so well. She learned that his voice could be as silky as a cat's fur one moment and crisp and crackling with oaths the next. He could tell, with apparent sincerity and approval, stories of courage and honor and virtue and love in the odd places he had been, and follow them with ribald stories of coldest cynicism.</t>
  </si>
  <si>
    <t>TERM: blagorodnykh (благородных) — noble (adj. pl. gen.) [ORD] (lemma: благородный)
PASSAGE: Он мог вроде бы откровенно и с одобрением рассказывать о мужественных, благородных, добродетельных, подсказанных любовью поступках, коим он был свидетелем в тех странных местах, куда его заносило, и тут же с холодным цинизмом добавлять скабрезнейшие истории.
TRANS: On mog vrode by otkrovenno i s odobreniem rasskazyvat' o muzhestvennykh, blagorodnykh, dobrodetel'nykh, podskazannykh lyubov'yu postupkakh, koim on byl svidetelem v tekh strannykh mestakh, kuda ego zanosilo, i tut zhe s kholodnym tsinizmom dobavlyat' skabrezneyshie istorii.
TRANSLATION: He could, as it were, frankly and with approval tell of brave, noble, virtuous, love-prompted deeds, of which he had been witness in those strange places where he had been carried, and at the same instant with cold cynicism add the most scabrous stories.</t>
  </si>
  <si>
    <t>TERM: ADAMGERSHİLİK (АДАМГЕРШІЛІК) — humanity; civility; humanness (the secularised humanist moral term) [KED, SZK]
PASSAGE: Ер міңезді, кең пейіл, мейірім шапағаты себелеген, жүрек елжіретер оқиғаларды ашық-жарқын әңгімелеп, адамгершілік қағидаларын қоштай отырып, аяқастынан әдепсіз, ерсі, жағымсыз жайттарға көшіп, түсі де суып сала береді.
TRANS: Er miñezdi, keñ peyil, meyirim shapağaty sebelegen, jürek eljireter oqiğalardy ashyq-jarqyn äñgimelep, adamgershilik qağidalaryn qoshtay otyryp, ayaqastynan ädepsiz, ersi, jağymsyz jayttarğa köship, tüsi de suyp sala beredi.
TRANSLATION: He would tell openly and frankly of manly, broad-souled, mercy-strewn, heart-melting events, supporting the principles of humanity [adamgershilik]; and then suddenly switch to indecent, unseemly, unpleasant matters, his expression cooling.</t>
  </si>
  <si>
    <t>The upshot of the matter was that every planter agreed to pay for equipping his own sons and a certain number of the others, but the manner of handling the arrangements was such that the less wealthy members of the outfit could accept horses and uniforms without offense to their honor.</t>
  </si>
  <si>
    <t>TERM: bez maleyshego ushchemleniya svoey gordosti. (без малейшего ущемления своей гордости.) = without harm to their pride
PASSAGE: что менее имущие члены Эскадрона могли получить обмундирование и лошадь без малейшего ущемления своей гордости.
TRANS: chto menee imushchie chleny Eskadrona mogli poluchit' obmundirovanie i loshad' bez maleyshego ushchemleniya svoey gordosti.
TRANSLATION: so that less wealthy members of the Squadron could obtain equipment and a horse without the slightest infringement of their pride.</t>
  </si>
  <si>
    <t>PASSAGE: ... жылқыларды алғанда ешқандай кемсітушілік пен қысымды сезінбеуі тиіс болды.
TRANS: ... jylqylardy alğanda eshqanday kemsitushilik pen qysymdy sezinbeui tiis boldy.
TRANSLATION: ...so that they should feel no slighting or pressure when receiving the horses.</t>
  </si>
  <si>
    <t>The white children clamored to sit on his knee and be trotted, while he denounced to their elders the infamy of Yankee politicians; the daughters of his friends took him into their confidence about their love affairs, and the youths of the neighborhood, fearful of confessing debts of honor upon the carpets of their fathers, found him a friend in need.</t>
  </si>
  <si>
    <t>PASSAGE: Дочери его приятелей поверяли ему свои сердечные тайны, а сыновья, страшась признаться родителям в карточных долгах, знали, что могут рассчитывать на его дружбу в трудную минуту.
TRANS: Docheri ego priyateley poveryali emu svoi serdechnye tayny, a synov'ya, strashas' priznat'sya roditelyam v kartochnykh dolgakh, znali, chto mogut rasschityvat' na ego druzhbu v trudnuyu minutu.
TRANSLATION: His friends' daughters confided their heart's secrets to him, and their sons, fearing to admit card debts to their parents, knew they could rely on his friendship in difficult moments.</t>
  </si>
  <si>
    <t>PASSAGE: Оның достарының қыздары оған жүректеріндегі құпияларын сеніп айта алады, ал ұлдары өздерінің ата-аналары алдында құмар ойындар бойынша қарыздарын мойындаудан қорқып, қиын сәтте оның достығына сенім артушы еді.
TRANS: Onyñ dostarynyñ qyzdary oğan jürekterindegi qūpiyalaryn senip ayta alady, al ūldary özderiniñ ata-analary aldynda qūmar oyyndar boyynsha qaryzdaryn moyyndaudan qorqyp, qiyn sätte onyñ dostyğyna senim artushy edi.
TRANSLATION: His friends' daughters could confide the secrets of their hearts to him, and their sons, fearing to confess gambling debts to their parents, used to rely on his friendship in difficult moments.</t>
  </si>
  <si>
    <t>She shrugged in irritation. Perhaps these people were right and she was wrong but, just the same, these proud fools weren't looking forward as she was doing, straining every nerve, risking even honor and good name to get back what they had lost. It was beneath the dignity of any of them to indulge in a scramble for money. The times were rude and hard. They called for rude and hard struggle if one was to conquer them. Scarlett knew that family tradition would forcibly restrain many of these people from such a struggle— with the making of money admittedly its aim.</t>
  </si>
  <si>
    <t>TERM: chest'yu (честью) — honour (instr.); honourably [ORD] (lemma: честь)
PASSAGE: рискуя даже честью и добрым своим именем,
TRANS: riskuya dazhe chest'yu i dobrym svoim imenem,
TRANSLATION: risking even his honor and his good name,</t>
  </si>
  <si>
    <t>TERM: AR (АР) — honour; conscience; inalienable inner moral principle [KED, SZK]
PASSAGE: Бәлкім, олардікі дұрыс та, өзінікі бұрыс шығар, бірақ мына менменсігендердің болашаққа тура қарайтын түрлері жоқ сияқты да, бұл бар жүйкесіне салмақ түсіре, ары мен адал атын бәйгеге тігіп, алдырғанының бәрін қайтаруға жанталасып бағуда.
TRANS: Bälkim, olardiki dūrys ta, öziniki būrys shyğar, biraq myna menmensigenderdiñ bolashaqqa tura qaraytyn türleri joq siyaqty da, būl bar jüykesine salmaq tüsire, ary men adal atyn bäygege tigip, aldyrğanynyñ bärin qaytaruğa jantalasyp bağuda.
TRANSLATION: Perhaps they were right and he was wrong, but these arrogant ones do not appear to be facing the future squarely; this places a strain on all his nerves, and he is straining with his honor and good name on the line, struggling to recoup all that he had lost.</t>
  </si>
  <si>
    <t>collective honor as community property — betrayal of group solidarity, loss of group honor</t>
  </si>
  <si>
    <t>To them she had done worse than murder her father. She had tried to betray him into disloyalty to the South. And to that grim and close-knit community it was as if she had tried to betray the honor of them all. She had broken the solid front the County presented to the world. By her attempt to get money from the Yankee government she had aligned herself with Carpetbaggers and Scallawags, more hated enemies than the Yankee soldiers had ever been. She, a member of an old and staunchly Confederate family, a planter's family, had gone over to the enemy and by so doing had brought shame on every family in the County.</t>
  </si>
  <si>
    <t>TERM: KÜYE (КҮЙЕ) — soot; grime (used metaphorically: "stain") [KED, SZK]
PASSAGE: Конфедерацияға шын берілген, плантатор отбасында туған әйел қас дұшпанға тек өз басын ғана иген жоқ, күллі графтықтардың бетіне күйе жақты.
TRANS: Konfederatsiyağa shyn berilgen, plantator otbasynda tuğan äyel qas dūshpanğa tek öz basyn ğana igen joq, külli graftyqtardyñ betine küye jaqty.
TRANSLATION: A woman truly devoted to the Confederacy, born in a planter's family — she did not only bow her head to the arch-enemy, she put soot on the faces of all the counties.</t>
  </si>
  <si>
    <t>social honor — reputation, community standing, behavior, publicly conferred dignity</t>
  </si>
  <si>
    <t>She could talk to him about almost everything, with no care for concealing her motives or her real opinions and she never ran out of things to say as she did with Frank—or even with Ashley, if she must be honest with herself. But of course, in all her conversations with Ashley there were so many things which could not be said, for honor's sake, that the sheer force of them inhibited other remarks.</t>
  </si>
  <si>
    <t>TERM: soobrazheniya chesti (соображения чести) — considerations of honour [ORD] (lemma: соображение)
PASSAGE: Правда, когда она разговаривала с Эшли, возникало много такого, чего соображения чести не позволяли ей говорить, и эти невысказанные слова и мысли, естественно, влияли на ход беседы.
TRANS: Pravda, kogda ona razgovarivala s Eshli, voznikalo mnogo takogo, chego soobrazheniya chesti ne pozvolyali ey govorit', i eti nevyskazannye slova i mysli, estestvenno, vliyali na khod besedy.
TRANSLATION: True, when she spoke with Ashley, much arose that considerations of honor did not allow her to say, and these unspoken words and thoughts, naturally, influenced the course of the conversation.</t>
  </si>
  <si>
    <t>TERM: AR (АР) — honour; conscience; inalienable inner moral principle [KED, SZK]
PASSAGE: Анығында, Эшлимен әңгімелескенде кейбір ары жібермейтін нәрселер, айтылмай қалған ойлар әңгіме өрбуіне тосқауыл болып, кеселін тигізетін.
TRANS: Anyğynda, Eshlimen äñgimeleskende keybir ary jibermeytin närseler, aytylmay qalğan oylar äñgime örbuine tosqauyl bolyp, keselin tigizetin.
TRANSLATION: In truth, when she conversed with Ashley, things that her sense of honor would not let her speak — those unsaid thoughts — became obstacles to the development of conversation and disrupted it.</t>
  </si>
  <si>
    <t>Ironic, quotative description by Rhett</t>
  </si>
  <si>
    <t>"Oh, yes, I know. Let's grant that he does the best he can but I don't imagine he's much help. You'll never make a farm hand out of a Wilkes—or anything else that's useful. The breed is purely ornamental. Now, quiet your ruffled feathers and overlook my boorish remarks about the proud and honorable Ashley. Strange how these illusions will persist even in women as hard headed as you are. How much money do you want and what do you want it for?"</t>
  </si>
  <si>
    <t>TERM: vysokochtimogo (высокочтимого) — highly respected; revered (adj. masc. gen., archaic-elevated) [ORD] (lemma: высокочтимый)
PASSAGE: Ну, а теперь пригладьте свои взъерошенные перышки и забудьте о моих грубых высказываниях по адресу гордого и высокочтимого Эшли.
TRANS: Nu, a teper' priglad'te svoi vz"eroshennye peryshki i zabud'te o moikh grubykh vyskazyvaniyakh po adresu gordogo i vysokochtimogo Eshli.
TRANSLATION: Well, now smooth out your ruffled feathers and forget my crude remarks at the address of the proud and highly-revered Ashley.</t>
  </si>
  <si>
    <t>TERM: QADİRLİ (ҚАДІРЛІ) — respected; held in due regard [KED, SZK]
PASSAGE: Ал енді өзіңіздің шашылып, үкі-түкі болған қауырсындарыңызды тегістеп жіберіңіз де, менің мақтаншақ та аса қадірлі Эшлиіңіздің ауласына атқан тасымды жинап ала қойыңыз да, ерсі сөздерімді ұмытып қалыңыз.
TRANS: Al endi öziñizdiñ shashylyp, üki-tüki bolğan qauyrsyndaryñyzdy tegistep jiberiñiz de, meniñ maqtanshaq ta asa qadirli Eshliiñizdiñ aulasyna atqan tasymdy jinap ala qoyyñyz da, ersi sözderimdi ūmytyp qalyñyz.
TRANSLATION: And now smooth out your scattered, downy-fluffed feathers, gather up the stones I have thrown at the courtyard of your boastful and highly esteemed Ashley, and forget my unseemly words.</t>
  </si>
  <si>
    <t>Would he hate her now, her darling honorable Ashley, because she had shamed him?</t>
  </si>
  <si>
    <t>TERM: blagorodnyy (благородный) — noble; of noble character [ORD]
PASSAGE: Неужели он теперь возненавидит ее — он, ее дорогой благородный Эшли, — за то, что она опозорила его?
TRANS: Neuzheli on teper' voznenavidit ee — on, ee dorogoy blagorodnyy Eshli, — za to, chto ona opozorila ego?
TRANSLATION: Could it be that he will now hate her — he, her dear noble Ashley — because she has disgraced him?</t>
  </si>
  <si>
    <t>TERM: ASYL (АСЫЛ) — noble; precious; intrinsically valuable [KED, SZK]
PASSAGE: Мұның өзіне тигізген зиянынан кейін асыл текті Эшлиін көре алмас па екен, тіпті бұл туралы білгісі де келмей қалар ма екен, қайтер екен?
TRANS: Mūnyñ özine tigizgen ziyanynan keyin asyl tekti Eshliin köre almas pa eken, tipti būl turaly bilgisi de kelmey qalar ma eken, qayter eken?
TRANSLATION: After the harm she has caused him, could it be that her noble-blooded Ashley would not be able to bear the sight of her, would no longer want to know about it, what would he do?</t>
  </si>
  <si>
    <t>Then, as an afterthought, he added: "The honorable Ashley was over here last night. He wanted to know if I thought you would sell him your mill and the part interest you have in his."</t>
  </si>
  <si>
    <t>TERM: mnogouvazhaemyy (многоуважаемый) — much respected; honoured (epithet) [ORD]
PASSAGE: Кстати, вчера вечером у нас тут был многоуважаемый Эшли.
TRANS: Kstati, vchera vecherom u nas tut byl mnogouvazhaemyy Eshli.
TRANSLATION: By the way, last evening the much-respected Ashley was here.</t>
  </si>
  <si>
    <t>TERM: qūrmetti (ҚҰРМЕТTІ) = құрмет respected, honourable
PASSAGE: Айтпақшы, кеше кешкісін бізге аса құрметті Эшли келіп кетті.
TRANS: Aytpaqshy, keshe keshkisin bizge asa qūrmetti Eshli kelip ketti.
TRANSLATION: By the way, the highly esteemed Ashley came to us yesterday evening.</t>
  </si>
  <si>
    <t>It had been her experience that the liar was the hottest to defend his veracity, the coward his courage, the ill-bred his gentlemanliness, and the cad his honor. But not Rhett. He admitted everything and laughed and dared her to say more.</t>
  </si>
  <si>
    <t>cad</t>
  </si>
  <si>
    <t>TERM: chest' (честь) — honour; honor [ORD]
PASSAGE: Она привыкла считать, что никто с таким жаром не доказывает свою правдивость, как лжец, свою храбрость — как трус, свою учтивость — как дурно воспитанный человек, свою незапятнанную честь — как подонок.
TRANS: Ona privykla schitat', chto nikto s takim zharom ne dokazyvaet svoyu pravdivost', kak lzhets, svoyu khrabrost' — kak trus, svoyu uchtivost' — kak durno vospitannyy chelovek, svoyu nezapyatnannuyu chest' — kak podonok.
TRANSLATION: She had grown used to thinking that no one defends his truthfulness as fervently as a liar, his bravery as a coward, his courtesy as an ill-bred man, his unblemished honor as a scoundrel.</t>
  </si>
  <si>
    <t>TERM: abyroy (абырой) — dignity; prestige; public standing; reputation (Arabic-Persian loan) [KED, SZK]
PASSAGE: Одан басқа ешбір адамның шыншылдығын өтірікші ретінде, батылдығын қорқақ сияқты, сыпайылығын тәрбиесіз адам сияқты, дақ түспеген абыройын азғын сияқты көрсетпейтіні анық.
TRANS: Odan basqa eshbir adamnyñ shynshyldyğyn ötirikshi retinde, batyldyğyn qorqaq siyaqty, sypayylyğyn tärbiesiz adam siyaqty, daq tüspegen abyroyyn azğyn siyaqty körsetpeytini anyq.
TRANSLATION: It is clear that no other person defends his truthfulness as a liar does, his courage as a coward does, his politeness as an ill-bred man does, his unstained abyroy [honor/dignity] as a depraved man does.</t>
  </si>
  <si>
    <t>Honor — Tribute / glory</t>
  </si>
  <si>
    <t>The Troop bowed to real worth and moreover, because they liked him, they made him an officer. He bore the honor gravely and with no untoward conceit, as though it were only his due</t>
  </si>
  <si>
    <t>TERM: chest' (честь) — honour; honor [ORD]
PASSAGE: Он принял оказанную ему честь с достоинством и без излишнего зазнайства — просто как положенное.
TRANS: On prinyal okazannuyu emu chest' s dostoinstvom i bez izlishnego zaznaystva — prosto kak polozhennoe.
TRANSLATION: He accepted the honor bestowed on him with dignity and without excessive vanity — simply as something due.</t>
  </si>
  <si>
    <t>TERM: QŪRMET (ҚҰРМЕТ) — respect; honouring (the act of paying respect) [KED, SZK]
PASSAGE: Ол өзіне берілген құрметті дандайсымай, абыроймен лайықты түрде қабылдады.
TRANS: Ol özine berilgen qūrmetti dandaysymay, abyroymen layyqty türde qabyldady.
TRANSLATION: He accepted the honor given to him with dignity and propriety, without showing off.</t>
  </si>
  <si>
    <t>military / social honor as aspiration — glory, public recognition</t>
  </si>
  <si>
    <t>The unfortunate boy had not only been cheated of the love he thought he had won but also of his high hopes of honor and glory on the field of battle.</t>
  </si>
  <si>
    <t>PASSAGE: Судьба обманула незадачливого мальчика, не подарив ему ни любви, которую, как ему казалось, он завоевал, ни воинских подвигов на полях сражений.
TRANS: Sud'ba obmanula nezadachlivogo mal'chika, ne podariv emu ni lyubvi, kotoruyu, kak emu kazalos', on zavoeval, ni voinskikh podvigov na polyakh srazheniy.
TRANSLATION: Fate deceived the unfortunate boy, granting him neither the love that he thought he had won, nor military feats on the fields of battle.</t>
  </si>
  <si>
    <t>PASSAGE: Тағдыр аңқау баланы алдап, оған жаулап алдым деп ойлаған махаббатты да, ұрыс даласындағы әскері ерліктерді де бұйыртпады.
TRANS: Tağdyr añqau balany aldap, oğan jaulap aldym dep oylağan makhabbatty da, ūrys dalasyndağy äskeri erlikterdi de būyyrtpady.
TRANSLATION: Fate deceived the naive boy: it did not grant him the love he thought he had conquered, nor the military feats on the battlefield.</t>
  </si>
  <si>
    <t>But automatically, the words Ellen had taught her to say in such emergencies rose to her lips and casting down her eyes, from force of long habit, she murmured: "Mr. Hamilton, I am not unaware of the honor you have bestowed on me in wanting me to become your wife, but this is all so sudden that I do not know what to say."</t>
  </si>
  <si>
    <t>TERM: chest' (честь) — honour; honor [ORD]
PASSAGE: Мистер Гамильтон, я, разумеется, высоко ценю честь, которую вы оказали мне, прося стать вашей женой,
TRANS: Mister Gamil'ton, ya, razumeetsya, vysoko tsenyu chest', kotoruyu vy okazali mne, prosya stat' vashey zhenoy,
TRANSLATION: Mr. Hamilton, I, of course, value highly the honor that you have shown me by asking me to be your wife,</t>
  </si>
  <si>
    <t>TERM: QŪRMET (ҚҰРМЕТ) — respect; honouring (the act of paying respect) [KED, SZK]
PASSAGE: Гамильтон мырза, сіздің әйелім деген өтінішіңізді, көрсеткен құрметіңізді бағалаймын, ...
TRANS: Gamil'ton myrza, sizdiñ äyelim degen ötinishiñizdi, körsetken qūrmetiñizdi bağalaymyn, ...
TRANSLATION: Mr. Hamilton, I value your request that I be your wife and the honor you have shown me,...</t>
  </si>
  <si>
    <t>Suspense grew and the beginnings of dread slowly crawled over the town. Nothing was so bad as not knowing what was happening. Families with sons at the front prayed fervently that their boys were not in Pennsylvania, but those who knew their relatives were in the same regiment with Darcy Meade clamped their teeth and said it was an honor for them to be in the big fight that would lick the Yankees for good and all.</t>
  </si>
  <si>
    <t>TERM: chesti (чести) — honour (gen./dat./prep.) [ORD] (lemma: честь)
PASSAGE: заявляли, что рады выпавшей на долю этих храбрецов чести участвовать в великой битве,
TRANS: zayavlyali, chto rady vypavshey na dolyu etikh khrabretsov chesti uchastvovat' v velikoy bitve,
TRANSLATION: declared that they were glad of the honor that had befallen these brave men of participating in the great battle,</t>
  </si>
  <si>
    <t>TERM: QŪRMET (ҚҰРМЕТ) — respect; honouring (the act of paying respect) [KED, SZK]
PASSAGE: ұлы шайқасқа қатысу құрметі бұйрығына қуанышты екенін мәлімдеді.
TRANS: ūly shayqasqa qatysu qūrmeti būyryğyna quanyshty ekenin mälimdedi.
TRANSLATION: declared that they were rejoicing over the honor of being called to participate in the great battle.</t>
  </si>
  <si>
    <t>honor cited ironically / sarcastically — Rhett's deflation of the concept – dubious honor</t>
  </si>
  <si>
    <t>They do me the dubious honor of thinking me almost one of them because they know my—shall we call it my 'unpopularity'?—among my townsmen. And you see, I was playing poker in Belle's bar earlier in the evening. There are a dozen Yankee soldiers who can testify to that. And Belle and her girls will gladly lie themselves black in the face and say Mr. Wilkes and the others were—upstairs all evening. And the Yankees will believe them. Yankees are queer that way. It won't occur to them that women of—their profession are capable of intense loyalty or patriotism. The Yankees wouldn't take the word of a single nice Atlanta lady as to the whereabouts of the men who were supposed to be at the meeting tonight but they will take the word of—fancy ladies. And I think that between the word of honor of a Scallawag and a dozen fancy ladies, we may have a chance of getting the men off."</t>
  </si>
  <si>
    <t>TERM: chest' (честь) — honour; honor [ORD]
PASSAGE: Они оказывают мне сомнительную честь, считая за своего, ибо знают мою… назовем это «непопулярность»… среди земляков.
TRANS: Oni okazyvayut mne somnitel'nuyu chest', schitaya za svoego, ibo znayut moyu… nazovem eto «nepopulyarnost'»… sredi zemlyakov.
TRANSLATION: They do me the doubtful honor of considering me one of their own, for they know my... let us call it "unpopularity"... among my fellow countrymen.</t>
  </si>
  <si>
    <t>PASSAGE: Маған күмәнданса да, өздерінің адамдары ретінде қарайтын кездері де бар. Әлде менің өз жерлестерімнің арасындағы «танымал еместігімді» біле ме.
TRANS: Mağan kümändansa da, özderiniñ adamdary retinde qaraytyn kezderi de bar. Älde meniñ öz jerlesterimniñ arasyndağy «tanymal emestigimdi» bile me.
TRANSLATION: There are also times when they look upon me as one of their own, even if they have doubts. Or they may know about my "unpopularity" among my fellow countrymen.</t>
  </si>
  <si>
    <t>"Not for honor and glory, certainly. War is a dirty business and I do not like dirt.</t>
  </si>
  <si>
    <t>TERM: pochestey (почестей) — honours; tokens of esteem (gen. pl.) [ORD] (lemma: почести)
PASSAGE: Не ради почестей и славы, разумеется.
TRANS: Ne radi pochestey i slavy, razumeetsya.
TRANSLATION: Not for the sake of honors and glory, of course.</t>
  </si>
  <si>
    <t>TERM: ABYROY (АБЫРОЙ) — dignity; prestige; public standing; reputation (Arabic-Persian loan) [KED, SZK]
PASSAGE: Әрине, абырой мен даңқ үшін емес.
TRANS: Ärine, abyroy men dañq üshin emes.
TRANSLATION: Of course, not for the sake of dignity and glory.</t>
  </si>
  <si>
    <t>Honor — Ironic / mocked</t>
  </si>
  <si>
    <t>"My dear, he doesn't even know you've got a mind. If it was your mind that attracted him, he would not need to struggle against you, as he must have done to keep this love so—shall we say 'holy'? He could rest easily for, after all, a man can admire a woman's mind and soul and still be an honorable gentleman and true to his wife. But it must be difficult for him to reconcile the honor of the Wilkeses with coveting your body as he does."</t>
  </si>
  <si>
    <t>TERM: chest' (честь) — honour; honor [ORD]
PASSAGE: А ему, видимо, трудно примирить честь Уилксов с жаждой обладать вами, которая снедает его.
TRANS: A emu, vidimo, trudno primirit' chest' Uilksov s zhazhdoy obladat' vami, kotoraya snedaet ego.
TRANSLATION: And he, evidently, finds it hard to reconcile the Wilkes honor with the longing to possess you that consumes him.</t>
  </si>
  <si>
    <t>TERM: qūrmetti (ҚҰРМЕТТI) = respected, honoured
PASSAGE: abyroy (АБЫРОЙ) = dignity; authority Еркек бәріне құрметті қожайын бола тұрып, жұбайына да адал күйінде, сүйген әйелінің ақылы мен жан дүниесіне бас ие де алады, тыныш өмірін де сүру алады. Сізді иемденгісі келген ынтық сезімі мен Уилкстердің абыройы таразыға қатар түскенде, өзін іштен мүжіп жейтін шығар.
TRANS: abyroy (ABYROY) = dignity; authority Erkek bärine qūrmetti qojayyn bola tūryp, jūbayyna da adal küyinde, süygen äyeliniñ aqyly men jan düniesine bas ie de alady, tynysh ömirin de süru alady. Sizdi iemdengisi kelgen yntyq sezimi men Uilksterdiñ abyroyy tarazyğa qatar tüskende, özin ishten müjip jeytin shyğar.
TRANSLATION: abyroy = dignity, authority. A man can be respected master of all and faithful husband, can be lord of the mind and soul of his beloved woman and live a peaceful life. When the longing-feeling that wants to possess you and the Wilkes' abyroy [honor] are placed on the scales together, he probably eats himself up inwardly.</t>
  </si>
  <si>
    <t>"Yes, you! There you are, a constant temptation to him, but like most of his breed he prefers what passes in these parts as honor to any amount of love. And it looks to me as if the poor devil now had neither love nor honor to warm himself!"</t>
  </si>
  <si>
    <t>TERM: chest'yu (честью) — honour (instr.); honourably [ORD] (lemma: честь)
PASSAGE: Но, как большинство людей его породы, он предпочитает самой большой любви то, что в этих краях именуют честью.
TRANS: No, kak bol'shinstvo lyudey ego porody, on predpochitaet samoy bol'shoy lyubvi to, chto v etikh krayakh imenuyut chest'yu.
TRANSLATION: But like most people of his breed, he prefers, to the greatest love, what in these parts they call honor.</t>
  </si>
  <si>
    <t>TERM: ABYROY (АБЫРОЙ) — dignity; prestige; public standing; reputation (Arabic-Persian loan) [KED, SZK]
PASSAGE: Бұл өңірдегілер абыройға санайтын үлкен махаббат иесі болуды ол да қалайтын шығар, тегіндегі басқа адамдар секілді.
TRANS: Būl öñirdegiler abyroyğa sanaytyn ülken makhabbat iesi boludy ol da qalaytyn shyğar, tegindegi basqa adamdar sekildi.
TRANSLATION: Perhaps he too desires to be the bearer of a great love that the people of this region count as abyroy [honor], like the others of his sort.</t>
  </si>
  <si>
    <t>"He's a gentleman," said Rhett, and Scarlett wondered how it was possible to convey such cynicism and contempt in that one honorable word.</t>
  </si>
  <si>
    <t>TERM: chtimoe (чтимое) — esteemed; revered [ORD] (lemma: чтимый)
PASSAGE: и Скарлетт оторопела: как сумел он вложить столько циничного презрения в одно короткое, высоко всеми чтимое слово?
TRANS: i Skarlett otoropela: kak sumel on vlozhit' stol'ko tsinichnogo prezreniya v odno korotkoe, vysoko vsemi chtimoe slovo?
TRANSLATION: and Scarlett was taken aback: how had he managed to put so much cynical contempt into one short word that everyone holds in such high esteem?</t>
  </si>
  <si>
    <t>TERM: ARDAQTAU (АРДАҚТАУ) — to honour; to pay due respect; to cherish (from ардақ "honour, esteem") [KED, SZK]
PASSAGE: Скарлетт бұған аң-таң болды: ол қысқа ғана, барлығы соншалықты ардақтайтын осы бір сөзге соншалықты арсыз жеккөрушілікті қалай сыйғызып жіберді?
TRANS: Skarlett būğan añ-tañ boldy: ol qysqa ğana, barlyğy sonshalyqty ardaqtaytyn osy bir sözge sonshalyqty arsyz jekkörushilikti qalay syyğyzyp jiberdi?
TRANSLATION: Scarlett was astonished by this: how had he packed so much shameless contempt into this single short word that everyone holds in such high regard?</t>
  </si>
  <si>
    <t>However, I admired him and tried to copy him far more than I ever did my father, for Father is an amiable gentleman full of honorable habits and pious saws—so you see how it goes.</t>
  </si>
  <si>
    <t>Rhett’s father</t>
  </si>
  <si>
    <t>TERM: pochtennyy (почтенный) — venerable; esteemed [ORD]
PASSAGE: Тем не менее я всегда восхищался им и старался подражать ему куда больше, чем отцу, хотя отец у меня — весьма благовоспитанный господин, чрезвычайно почтенный и религиозный, так что видите, как оно бывает.
TRANS: Tem ne menee ya vsegda voskhishchalsya im i staralsya podrazhat' emu kuda bol'she, chem ottsu, khotya otets u menya — ves'ma blagovospitannyy gospodin, chrezvychayno pochtennyy i religioznyy, tak chto vidite, kak ono byvaet.
TRANSLATION: Nevertheless I always admired him and tried to imitate him much more than my father, although my father is a very well-bred gentleman, extremely respectable and religious, so you see how it goes.</t>
  </si>
  <si>
    <t>PASSAGE: Қалай болғанда да, мен атамның бейнесін қастерлейтінмін, әкем діни наным-сенімі берік, салауатты да тәрбиелі мырза болғанымен, менің атама ұқсағым келетін.
TRANS: Qalay bolğanda da, men atamnyñ beynesin qasterleytinmin, äkem dini nanym-senimi berik, salauatty da tärbieli myrza bolğanymen, meniñ atama ūqsağym keletin.
TRANSLATION: Whatever the case, I venerated my grandfather's figure, although my father, a sober and well-mannered gentleman of firm religious conviction, was such a man, I wanted to resemble my grandfather.</t>
  </si>
  <si>
    <t>honor cited ironically / sarcastically — Rhett's deflation of the concept of moral honor</t>
  </si>
  <si>
    <t>"Yes, my dear, it is my much advertised chivalry that makes me protect you." The mocking light began to dance in his black eyes and all signs of earnestness fled from his face. "And why? Because of my deep love for you, Mrs. Kennedy. Yes, I have silently hungered and thirsted for you and worshipped you from afar; but being an honorable man, like Mr. Ashley Wilkes, I have concealed it from you. You are, alas, Frank's wife and honor has forbidden my telling this to you. But even as Mr. Wilkes' honor cracks occasionally, so mine is cracking now and I reveal my secret passion and my—"</t>
  </si>
  <si>
    <t>TERM: poryadochnost' (порядочность) — decency; respectability; integrity [ORD]
PASSAGE: К сожалению, вы — супруга Фрэнка, и порядочность запрещает мне говорить вам о своих чувствах.
TRANS: K sozhaleniyu, vy — supruga Frenka, i poryadochnost' zapreshchaet mne govorit' vam o svoikh chuvstvakh.
TRANSLATION: Unfortunately, you are Frank's wife, and decency forbids me to speak to you of my feelings.</t>
  </si>
  <si>
    <t>TERM: ADAMGERSHİLİK (АДАМГЕРШІЛІК) — humanity; civility; humanness (the secularised humanist moral term) [KED, SZK]
PASSAGE: Өкініштісі, сіз енді Фрэнктің жұбайысыз, өз сезімдерім туралы баяндағаным да адамгершілікке жатпайды.
TRANS: Ökinishtisi, siz endi Frenktiñ jūbayysyz, öz sezimderim turaly bayandağanym da adamgershilikke jatpaydy.
TRANSLATION: Unfortunately, you are now Frank's wife, and to speak of my own feelings goes against humanity [adamgershilik / decency].</t>
  </si>
  <si>
    <t>Honor — Absent / dishonor</t>
  </si>
  <si>
    <t>social honor — publicly conferred dignity</t>
  </si>
  <si>
    <t>Why, I'll bet you Ma is still so excited about the new horse that she'll never even realize we're home again till she sits down to supper tonight and sees Boyd. And before supper is over she'll be going strong and breathing fire. And it'll be ten o'clock before Boyd gets a chance to tell her that it wouldn't have been honorable for any of us to stay in college after the way the Chancellor talked to you and me.</t>
  </si>
  <si>
    <t>TERM: unizitel'no (унизительно) — humiliatingly; demeaningly (adv.) [ORD]
PASSAGE: А часам к десяти, и никак не раньше, Бойду удастся втолковать ей, что было бы унизительно для любого из ее сыновей оставаться в учебном заведении, где ректор позволил себе разговаривать с нами в таком тоне.
TRANS: A chasam k desyati, i nikak ne ran'she, Boydu udastsya vtolkovat' ey, chto bylo by unizitel'no dlya lyubogo iz ee synovey ostavat'sya v uchebnom zavedenii, gde rektor pozvolil sebe razgovarivat' s nami v takom tone.
TRANSLATION: And around ten o'clock — and no earlier — Boyd will manage to convince her that it would be humiliating for any of her sons to remain at an institution where the rector has allowed himself to speak with us in such a tone.</t>
  </si>
  <si>
    <t>TERM: QORLYQ (ҚОРЛЫҚ) — humiliation; abasement; disgrace [KED, SZK]
PASSAGE: Ал сағат түнгі онға қарай (одан бұрын болуы мүмкін емес), ұлдарына ректордың өзі қырын қабақ танытқан оқу орнында қалуы Бойд үшін қорлық, масқара екенін түсіндірудің ыңғайы келеді.
TRANS: Al sağat tüngi onğa qaray (odan būryn boluy mümkin emes), ūldaryna rektordyñ özi qyryn qabaq tanytqan oqu ornynda qaluy Boyd üshin qorlyq, masqara ekenin tüsindirudiñ yñğayy keledi.
TRANSLATION: And by about ten in the evening (no sooner), the moment will come for Boyd to explain that it would be a humiliation, a disgrace for her sons to stay at an institution where the rector himself has shown them a stern face.</t>
  </si>
  <si>
    <t>"Add conceit to dishonor," he said. "You'll never get over being the belle of the County, will you? You'll always think you're the cutest little trick in shoe leather and that every man you meet is expiring for love of you."</t>
  </si>
  <si>
    <t>TERM: beschestnaya (бесчестная) — dishonourable (adj. fem.) [ORD] (lemma: бесчестный)
PASSAGE: Вы не только бесчестная, но еще и самонадеянная
TRANS: Vy ne tol'ko beschestnaya, no eshche i samonadeyannaya
TRANSLATION: You are not only dishonest, but also conceited</t>
  </si>
  <si>
    <t>TERM: ädiletsizdik (ӘДІЛЕТСІ3ДІК) = injustice, unfairness, dishonesty, dishonor
PASSAGE: Сіз әділетсіздігіңізбен қоса, өзіңізді тым артық бағалап жібереді екенсіз
TRANS: Siz ädiletsizdigiñizben qosa, öziñizdi tym artyq bağalap jiberedi ekensiz
TRANSLATION: In addition to your unjustness, it turns out you also overrate yourself excessively</t>
  </si>
  <si>
    <t>Moral honor; absence of moral honor</t>
  </si>
  <si>
    <t>I know you've been physically faithful to me. Was that what you were trying to say? Oh, I've known that all along. All these years. How do I know? Oh, well, I know Ashley Wilkes and his breed. I know he is honorable and a gentleman. And that, my dear, is more than I can say for you—or for me, for that matter. We are not gentlemen and we have no honor, have we? That's why we flourish like green bay trees."</t>
  </si>
  <si>
    <t>TERM: poryadochnyy i blagorodnyy (порядочный и благородный) — decent and noble [ORD] (lemma: порядочный)
PASSAGE: blagorodstvo (благородство) = nobility Знаю, что он человек порядочный и благородный. Мы с вами благородством не отличаемся, и у нас нет понятия чести, верно?
TRANS: blagorodstvo (blagorodstvo) = nobility Znayu, chto on chelovek poryadochnyy i blagorodnyy. My s vami blagorodstvom ne otlichaemsya, i u nas net ponyatiya chesti, verno?
TRANSLATION: blagorodstvo = nobility. I know that he is decent and noble. You and I do not stand out for nobility, and we have no concept of honor, do we?</t>
  </si>
  <si>
    <t>TERM: ADAL (АДАЛ) — honest; faithful; pure; lawful (Arabic ḥalāl) [KED, SZK]
PASSAGE: asyl (АСЫЛ) = noble; precious Оның адал һәм абзал жан екенін білемін. Біз асыл тегімізбен, абзал жүрегімізбен ерекшелене алмаймыз, бізде адалдық деген түсінік жоқ қой, солай ма?
TRANS: asyl (ASYL) = noble; precious Onyñ adal häm abzal jan ekenin bilemin. Biz asyl tegimizben, abzal jüregimizben erekshelene almaymyz, bizde adaldyq degen tüsinik joq qoy, solay ma?
TRANSLATION: asyl = noble; precious. I know he is honest and noble [abzal]. You and I cannot stand out by our noble origin, by a noble heart; we have no notion of honesty, isn't that so?</t>
  </si>
  <si>
    <t>The words bubbled up faster than she could speak them. She could tell him. She could tell Rhett anything. He'd been so bad himself that he wouldn't sit in judgment on her. How wonderful to know someone who was bad and dishonorable and a cheat and a liar, when all the world was filled with people who would not lie to save their souls and who would rather starve than do a dishonorable deed!</t>
  </si>
  <si>
    <t>TERM: beschestnyy (бесчестный) — dishonourable; ignoble [ORD]
PASSAGE: А до чего же приятно знать, что существует на свете человек плохой и бесчестный, обманщик и лгун,
TRANS: A do chego zhe priyatno znat', chto sushchestvuet na svete chelovek plokhoy i beschestnyy, obmanshchik i lgun,
TRANSLATION: And how pleasant it is to know that there exists in the world a person bad and dishonorable, a deceiver and liar,</t>
  </si>
  <si>
    <t>TERM: ŪYATsyz (ҰЯТсыз) — shameless; without sense of shame [KED, SZK]
PASSAGE: ұятсыз, өтірікші, арсыз осындай адамдар да болатынын білу қандай ғанибет.
TRANS: ūyatsyz, ötirikshi, arsyz osynday adamdar da bolatynyn bilu qanday ğanibet.
TRANSLATION: How pleasant it is to know that there exists in the world such people — shameless, lying, dishonorable [arsyz].</t>
  </si>
  <si>
    <t>She loved him, scamp, blackguard, without scruple or honor—at least, honor as Ashley saw it. "Damn Ashley's honor!" she thought. "Ashley's honor has always let me down. Yes, from the very beginning when he kept on coming to see me, even though he knew his family expected him to marry Melanie. Rhett has never let me down, even that dreadful night of Melly's reception when he ought to have wrung my neck. –</t>
  </si>
  <si>
    <t>Rhett-Ashley</t>
  </si>
  <si>
    <t>TERM: bez chesti i sovesti (без чести и совести) — without honour or conscience (set phrase) [ORD] (lemma: честь)
PASSAGE: Она любила его — негодяя, мерзавца, человека без чести и совести, во всяком случае в том смысле, в каком Эшли понимал честь.
TRANS: Ona lyubila ego — negodyaya, merzavtsa, cheloveka bez chesti i sovesti, vo vsyakom sluchae v tom smysle, v kakom Eshli ponimal chest'.
TRANSLATION: She loved him — a scoundrel, a villain, a man without honor or conscience, at any rate in the sense in which Ashley understood honor.</t>
  </si>
  <si>
    <t>TERM: AR (АР) — honour; conscience; inalienable inner moral principle [KED, SZK]
PASSAGE: adaldığımen, adamşılıq = honesty, humanity/morality Ол соны - оңбағанды, жексұрынды, ары мен ұяты жоқ адамды, өз пайымдауынша, Эшли қандай адам деп ойлауы мүмкін болса, сондай адамды сүйетін. "Барсыншы әрі сол Эшли, өзінің адалдығымен, адамшылық туралы түсініктерімен мені шатастырып бітті, сатып кетті.
TRANS: adaldığımen, adamşılıq = honesty, humanity/morality Ol sony - oñbağandy, jeksūryndy, ary men ūyaty joq adamdy, öz payymdauynsha, Eshli qanday adam dep oylauy mümkin bolsa, sonday adamdy süyetin. "Barsynshy äri sol Eshli, öziniñ adaldyğymen, adamshylyq turaly tüsinikterimen meni shatastyryp bitti, satyp ketti.
TRANSLATION: adaldyq, adamshylyq = honesty, humanity/morality. She loved him — that good-for-nothing, that disgusting man, that man without ar [conscience/honor] and uyat [shame] — what kind of man Ashley would think of him being, she loved him such. "Let that Ashley go away, with his honesty and his concepts of humanity he has confused me, sold me out."</t>
  </si>
  <si>
    <t>Honor — Undifferentiated honor</t>
  </si>
  <si>
    <t>Undifferentiated honor</t>
  </si>
  <si>
    <t>If it killed him, he would never leave Melanie. If he burned for Scarlett until the end of his days, he would never take her and he would fight to keep her at a distance. She would never again get through that armor. The words, hospitality and loyalty and honor, meant more to him than she did.</t>
  </si>
  <si>
    <t>PASSAGE: Слова «гостеприимство», «порядочность», «честь» значат для него куда больше, чем она сама.
TRANS: Slova «gostepriimstvo», «poryadochnost'», «chest'» znachat dlya nego kuda bol'she, chem ona sama.
TRANSLATION: The words "hospitality," "decency," "honor" mean far more to him than she does herself.</t>
  </si>
  <si>
    <t>TERM: ABYROY (АБЫРОЙ) — dignity; prestige; public standing; reputation (Arabic-Persian loan) [KED, SZK]
PASSAGE: ar men iba (ар мен иба) = conscience and modesty "Қонақжайлылық", "абырой", "ар мен иба" дегендерді бұдан биік ұстайды.
TRANS: ar men iba (ar men iba) = conscience and modesty "Qonaqjaylylyq", "abyroy", "ar men iba" degenderdi būdan biik ūstaydy.
TRANSLATION: "ar men iba" = conscience and modesty. He values "hospitality", "abyroy [dignity]", and "ar men iba [conscience and modesty]" higher than this.</t>
  </si>
  <si>
    <t>In accordance with honor</t>
  </si>
  <si>
    <t>"I bare my soul and you are suspicious! No, Scarlett, this is a bona fide honorable declaration. I admit that it's not in the best of taste, coming at this time, but I have a very good excuse for my lack of breeding. I'm going away tomorrow for a long time and I fear that if I wait till I return you'll have married some one else with a little money. So I thought, why not me and my money? Really, Scarlett, I can't go all my life, waiting to catch you between husbands."</t>
  </si>
  <si>
    <t>TERM: chestnoe predlozhenie. (честное предложение.) = honest declaration
PASSAGE: Нет, Скарлетт, это bonа fide честное предложение.
TRANS: Net, Skarlett, eto bona fide chestnoe predlozhenie.
TRANSLATION: No, Scarlett, this is bona fide an honest proposal.</t>
  </si>
  <si>
    <t>TERM: ADAL ŪYAT (АДАЛ ҰЯТ) — honest shame/conscience; pure inner uprightness [KED, SZK] (lemma: ұят)
PASSAGE: Жоқ, Скарлетт, адал ұятымның шын ұсынысы.
TRANS: Joq, Skarlett, adal ūyatymnyñ shyn ūsynysy.
TRANSLATION: No, Scarlett, it is the sincere proposal of my honest conscience [adal uyat].</t>
  </si>
  <si>
    <t>Gone with the Wind — moral-emotion corpus: counts</t>
  </si>
  <si>
    <t>Dual-character tokens (#23, #128, #229) are counted under each of their two characters; token totals count each token once via the Token column.</t>
  </si>
  <si>
    <t>Tokens by English word (domain)</t>
  </si>
  <si>
    <t>English word</t>
  </si>
  <si>
    <t>Tokens</t>
  </si>
  <si>
    <t>Shame</t>
  </si>
  <si>
    <t>Guilt</t>
  </si>
  <si>
    <t>Conscience</t>
  </si>
  <si>
    <t>Honor</t>
  </si>
  <si>
    <t>Total</t>
  </si>
  <si>
    <t>Tokens by English word × Part of novel (the arc)</t>
  </si>
  <si>
    <t>Tokens by character × English word  (dual tokens counted under each character)</t>
  </si>
  <si>
    <t>Principal characters — counts</t>
  </si>
  <si>
    <t>The four central characters. Dual-character tokens (#23, #128, #229) are counted under each of their two characters, so the four character rows sum to 190; the distinct-token count is 187.</t>
  </si>
  <si>
    <t>By English word (domain)</t>
  </si>
  <si>
    <t>Distinct tokens</t>
  </si>
  <si>
    <t>By Part of the novel (the arc)</t>
  </si>
  <si>
    <t>SHAME — 104 tokens</t>
  </si>
  <si>
    <t>Shame: subtype × part of novel (arc)</t>
  </si>
  <si>
    <t>Subtype</t>
  </si>
  <si>
    <t>Moral shame</t>
  </si>
  <si>
    <t>Social shame</t>
  </si>
  <si>
    <t>Illocutionary shame (shaming)</t>
  </si>
  <si>
    <t>Absent shame</t>
  </si>
  <si>
    <t>Performed / ironic shame</t>
  </si>
  <si>
    <t>Absent social shame</t>
  </si>
  <si>
    <t>Social shame (somatic expression)</t>
  </si>
  <si>
    <t>Social shame (about the body)</t>
  </si>
  <si>
    <t>Absent moral shame</t>
  </si>
  <si>
    <t>Absent social shame (about the body)</t>
  </si>
  <si>
    <t>Shame as verdict</t>
  </si>
  <si>
    <t>Shame: subtype × character   (dual tokens counted under each principal; Tokens = distinct count)</t>
  </si>
  <si>
    <t>Other</t>
  </si>
  <si>
    <t>GUILT — 31 tokens</t>
  </si>
  <si>
    <t>Guilt: subtype × part of novel (arc)</t>
  </si>
  <si>
    <t>Felt guilt</t>
  </si>
  <si>
    <t>Guilt as deed</t>
  </si>
  <si>
    <t>Felt guilt (guilty pleasure)</t>
  </si>
  <si>
    <t>Felt guilt (guilty conscience)</t>
  </si>
  <si>
    <t>Guilt as tormentor</t>
  </si>
  <si>
    <t>Guilt as weight</t>
  </si>
  <si>
    <t>Guilt: subtype × character   (dual tokens counted under each principal; Tokens = distinct count)</t>
  </si>
  <si>
    <t>CONSCIENCE — 39 tokens</t>
  </si>
  <si>
    <t>Conscience: subtype × part of novel (arc)</t>
  </si>
  <si>
    <t>Internal authority (advisor / opponent)</t>
  </si>
  <si>
    <t>Absent reaction</t>
  </si>
  <si>
    <t>Tormentor / punisher</t>
  </si>
  <si>
    <t>Weight</t>
  </si>
  <si>
    <t>Dormant / waking creature</t>
  </si>
  <si>
    <t>General faculty</t>
  </si>
  <si>
    <t>Object (stretchable)</t>
  </si>
  <si>
    <t>Resource</t>
  </si>
  <si>
    <t>Object (clean / unclean)</t>
  </si>
  <si>
    <t>Internal authority (judge)</t>
  </si>
  <si>
    <t>Conscience: subtype × character   (dual tokens counted under each principal; Tokens = distinct count)</t>
  </si>
  <si>
    <t>HONOR — 57 tokens</t>
  </si>
  <si>
    <t>Honor: subtype × part of novel (arc)</t>
  </si>
  <si>
    <t>Reputation / standing</t>
  </si>
  <si>
    <t>Tribute / glory</t>
  </si>
  <si>
    <t>Ironic / mocked</t>
  </si>
  <si>
    <t>Absent / dishonor</t>
  </si>
  <si>
    <t>Nobility of character</t>
  </si>
  <si>
    <t>Honor: subtype × character   (dual tokens counted under each principal; Tokens = distinct count)</t>
  </si>
  <si>
    <t>Russian renderings: how each subtype (frame) is rendered, with counts</t>
  </si>
  <si>
    <t>Rendering (lemma / form; bracketed = paraphrase/omission)</t>
  </si>
  <si>
    <t>Count</t>
  </si>
  <si>
    <t>стеснение</t>
  </si>
  <si>
    <t>стыд</t>
  </si>
  <si>
    <t>угрызение</t>
  </si>
  <si>
    <t>стыдиться</t>
  </si>
  <si>
    <t>[paraphrase / no single-word equivalent]</t>
  </si>
  <si>
    <t>Смутить</t>
  </si>
  <si>
    <t>бесстыдно</t>
  </si>
  <si>
    <t>бесстыдство</t>
  </si>
  <si>
    <t>зазрение</t>
  </si>
  <si>
    <t>осуждать</t>
  </si>
  <si>
    <t>пристыдить</t>
  </si>
  <si>
    <t>стесняться</t>
  </si>
  <si>
    <t>стыдно</t>
  </si>
  <si>
    <t>устыдиться</t>
  </si>
  <si>
    <t>постыдный</t>
  </si>
  <si>
    <t>изъян</t>
  </si>
  <si>
    <t>позор</t>
  </si>
  <si>
    <t>постыдиться</t>
  </si>
  <si>
    <t>совестно</t>
  </si>
  <si>
    <t>опозоренный</t>
  </si>
  <si>
    <t>опозорить</t>
  </si>
  <si>
    <t>сгорать со стыда!</t>
  </si>
  <si>
    <t>стыдить</t>
  </si>
  <si>
    <t>посрамить</t>
  </si>
  <si>
    <t>пристыженный</t>
  </si>
  <si>
    <t>слеза</t>
  </si>
  <si>
    <t>Стыдно</t>
  </si>
  <si>
    <t>сгорать</t>
  </si>
  <si>
    <t>смутить</t>
  </si>
  <si>
    <t>смущенно</t>
  </si>
  <si>
    <t>смущенный</t>
  </si>
  <si>
    <t>унижение</t>
  </si>
  <si>
    <t>мука</t>
  </si>
  <si>
    <t>смутиться</t>
  </si>
  <si>
    <t>Зардевшись от смущения,</t>
  </si>
  <si>
    <t>обида</t>
  </si>
  <si>
    <t>сгорая от стыда.</t>
  </si>
  <si>
    <t>вина</t>
  </si>
  <si>
    <t>провиниться</t>
  </si>
  <si>
    <t>совесть</t>
  </si>
  <si>
    <t>виновато</t>
  </si>
  <si>
    <t>виноватый</t>
  </si>
  <si>
    <t>угрызения совести.</t>
  </si>
  <si>
    <t>нашкодить</t>
  </si>
  <si>
    <t>повинный</t>
  </si>
  <si>
    <t>согрешить</t>
  </si>
  <si>
    <t>раскаяние</t>
  </si>
  <si>
    <t>грешный</t>
  </si>
  <si>
    <t>сознание</t>
  </si>
  <si>
    <t>сомнение</t>
  </si>
  <si>
    <t>Совесть</t>
  </si>
  <si>
    <t>засовеститься</t>
  </si>
  <si>
    <t>угрызения совести:</t>
  </si>
  <si>
    <t>принизить</t>
  </si>
  <si>
    <t>бесчестный</t>
  </si>
  <si>
    <t>порядочный</t>
  </si>
  <si>
    <t>унизительно</t>
  </si>
  <si>
    <t>честь</t>
  </si>
  <si>
    <t>порядочность</t>
  </si>
  <si>
    <t>почтенный</t>
  </si>
  <si>
    <t>чтимый</t>
  </si>
  <si>
    <t>благородный</t>
  </si>
  <si>
    <t>уважать</t>
  </si>
  <si>
    <t>, честной, правдивой</t>
  </si>
  <si>
    <t>о правде, и о чести,</t>
  </si>
  <si>
    <t>понятие</t>
  </si>
  <si>
    <t>честный</t>
  </si>
  <si>
    <t>благородство</t>
  </si>
  <si>
    <t>без малейшего ущемления своей гордости.</t>
  </si>
  <si>
    <t>высокочтимый</t>
  </si>
  <si>
    <t>многоуважаемый</t>
  </si>
  <si>
    <t>соображение</t>
  </si>
  <si>
    <t>почести</t>
  </si>
  <si>
    <t>честное предложение.</t>
  </si>
  <si>
    <t>Kazakh renderings: how each subtype (frame) is rendered, with counts</t>
  </si>
  <si>
    <t>QYMSYNU</t>
  </si>
  <si>
    <t>ŪYAT</t>
  </si>
  <si>
    <t>ŪYALU</t>
  </si>
  <si>
    <t>QYSYLU</t>
  </si>
  <si>
    <t>KİNÄLAU</t>
  </si>
  <si>
    <t>ŪYALTU</t>
  </si>
  <si>
    <t>ŪYATSYZDYQ</t>
  </si>
  <si>
    <t>KEMSHİLİK</t>
  </si>
  <si>
    <t>MASQARA</t>
  </si>
  <si>
    <t>DÄRMENSİZ</t>
  </si>
  <si>
    <t>KÜLKİ</t>
  </si>
  <si>
    <t>SALMAQ</t>
  </si>
  <si>
    <t>KÜNÄ</t>
  </si>
  <si>
    <t>QOLAYSYZ</t>
  </si>
  <si>
    <t>kinä men künä</t>
  </si>
  <si>
    <t>ÖKİNU</t>
  </si>
  <si>
    <t>yñğaysyz</t>
  </si>
  <si>
    <t>ŪYATTY</t>
  </si>
  <si>
    <t>KÜYE</t>
  </si>
  <si>
    <t>AÑYRAU</t>
  </si>
  <si>
    <t>NAZAR</t>
  </si>
  <si>
    <t>QYSAS</t>
  </si>
  <si>
    <t>TÜR</t>
  </si>
  <si>
    <t>AZAPTY</t>
  </si>
  <si>
    <t>ÖKİNİSH</t>
  </si>
  <si>
    <t>KİNÄLY</t>
  </si>
  <si>
    <t>AR-OJDAN</t>
  </si>
  <si>
    <t>AYYPTY sezim</t>
  </si>
  <si>
    <t>JAZYQTY</t>
  </si>
  <si>
    <t>künä</t>
  </si>
  <si>
    <t>ūyal-</t>
  </si>
  <si>
    <t>AR</t>
  </si>
  <si>
    <t>BEYKÜNÄ</t>
  </si>
  <si>
    <t>DİN</t>
  </si>
  <si>
    <t>KİNÄ</t>
  </si>
  <si>
    <t>būzyq</t>
  </si>
  <si>
    <t>kökiregindegi zapyranyn</t>
  </si>
  <si>
    <t>AR-ŪYAT</t>
  </si>
  <si>
    <t>JÜREK</t>
  </si>
  <si>
    <t>kümən</t>
  </si>
  <si>
    <t>ar</t>
  </si>
  <si>
    <t>ADAL</t>
  </si>
  <si>
    <t>QORLYQ</t>
  </si>
  <si>
    <t>ädiletsizdik</t>
  </si>
  <si>
    <t>ŪYATsyz</t>
  </si>
  <si>
    <t>ABYROY</t>
  </si>
  <si>
    <t>ADAMGERSHİLİK</t>
  </si>
  <si>
    <t>ARDAQTAU</t>
  </si>
  <si>
    <t>qūrmetti</t>
  </si>
  <si>
    <t>AR-NAMYS</t>
  </si>
  <si>
    <t>ASYL</t>
  </si>
  <si>
    <t>BEKZAT adam</t>
  </si>
  <si>
    <t>bekzat bolmysty asqaq tabiğaty</t>
  </si>
  <si>
    <t>ÄDEPTİLİK</t>
  </si>
  <si>
    <t>ädiletsiz</t>
  </si>
  <si>
    <t>şınşıl, adal</t>
  </si>
  <si>
    <t>Janınıñ asıldığı, päktigi</t>
  </si>
  <si>
    <t>QADİRLİ</t>
  </si>
  <si>
    <t>abyroy</t>
  </si>
  <si>
    <t>adal AR</t>
  </si>
  <si>
    <t>QŪRMET</t>
  </si>
  <si>
    <t>ADAL ŪYAT</t>
  </si>
  <si>
    <t>Domain</t>
  </si>
  <si>
    <t>Russian rendering</t>
  </si>
  <si>
    <t>Kazakh rendering</t>
  </si>
  <si>
    <t>Token</t>
  </si>
  <si>
    <t>IsPrincipal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</si>
</sst>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0"/>
      <name val="Arial"/>
      <charset val="1"/>
    </font>
    <font>
      <b/>
      <i/>
      <sz val="10"/>
      <name val="Arial"/>
      <charset val="1"/>
    </font>
    <font>
      <sz val="10"/>
      <name val="Arial"/>
      <charset val="1"/>
    </font>
    <font>
      <b/>
      <sz val="13"/>
      <name val="Arial"/>
      <charset val="1"/>
    </font>
    <font>
      <i/>
      <sz val="9"/>
      <color rgb="FF666666"/>
      <name val="Arial"/>
      <charset val="1"/>
    </font>
    <font>
      <b/>
      <sz val="11"/>
      <color rgb="FF305496"/>
      <name val="Arial"/>
      <charset val="1"/>
    </font>
    <font>
      <b/>
      <sz val="11"/>
      <color rgb="FFFFFFFF"/>
      <name val="Arial"/>
      <charset val="1"/>
    </font>
    <font>
      <b/>
      <sz val="11"/>
      <name val="Arial"/>
      <charset val="1"/>
    </font>
    <font>
      <sz val="11"/>
      <name val="Arial"/>
      <charset val="1"/>
    </font>
  </fonts>
  <fills count="6">
    <fill>
      <patternFill patternType="none"/>
    </fill>
    <fill>
      <patternFill patternType="gray125"/>
    </fill>
    <fill>
      <patternFill patternType="solid">
        <fgColor rgb="FFD9E1F2"/>
        <bgColor rgb="FFEDF1FA"/>
      </patternFill>
    </fill>
    <fill>
      <patternFill patternType="solid">
        <fgColor rgb="FFF2F2F2"/>
        <bgColor rgb="FFEDF1FA"/>
      </patternFill>
    </fill>
    <fill>
      <patternFill patternType="solid">
        <fgColor rgb="FF305496"/>
        <bgColor rgb="FF0066CC"/>
      </patternFill>
    </fill>
    <fill>
      <patternFill patternType="solid">
        <fgColor rgb="FFEDF1FA"/>
        <bgColor rgb="FFF2F2F2"/>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5" fillId="0" borderId="0" xfId="0" applyFont="1" applyBorder="1"/>
    <xf numFmtId="0" fontId="0" fillId="0" borderId="0" xfId="0" applyAlignment="1"/>
    <xf numFmtId="0" fontId="1" fillId="2" borderId="1" xfId="0" applyFont="1" applyFill="1" applyBorder="1" applyAlignment="1">
      <alignment horizontal="center" wrapText="1"/>
    </xf>
    <xf numFmtId="0" fontId="2" fillId="3" borderId="0" xfId="0" applyFont="1" applyFill="1" applyAlignment="1"/>
    <xf numFmtId="0" fontId="0" fillId="3" borderId="1" xfId="0" applyFill="1" applyBorder="1" applyAlignment="1"/>
    <xf numFmtId="0" fontId="3" fillId="0" borderId="1" xfId="0" applyFont="1" applyBorder="1" applyAlignment="1"/>
    <xf numFmtId="0" fontId="3" fillId="0" borderId="1" xfId="0" applyFont="1" applyBorder="1" applyAlignment="1">
      <alignment wrapText="1"/>
    </xf>
    <xf numFmtId="0" fontId="4" fillId="0" borderId="0" xfId="0" applyFont="1" applyAlignment="1"/>
    <xf numFmtId="0" fontId="5" fillId="0" borderId="0" xfId="0" applyFont="1" applyAlignment="1"/>
    <xf numFmtId="0" fontId="6" fillId="0" borderId="0" xfId="0" applyFont="1" applyAlignment="1"/>
    <xf numFmtId="0" fontId="7" fillId="4" borderId="2" xfId="0" applyFont="1" applyFill="1" applyBorder="1" applyAlignment="1">
      <alignment horizontal="center"/>
    </xf>
    <xf numFmtId="0" fontId="8" fillId="0" borderId="2" xfId="0" applyFont="1" applyBorder="1" applyAlignment="1"/>
    <xf numFmtId="0" fontId="9" fillId="0" borderId="2" xfId="0" applyFont="1" applyBorder="1" applyAlignment="1">
      <alignment horizontal="center"/>
    </xf>
    <xf numFmtId="0" fontId="8" fillId="2" borderId="2" xfId="0" applyFont="1" applyFill="1" applyBorder="1" applyAlignment="1"/>
    <xf numFmtId="0" fontId="8" fillId="2" borderId="2" xfId="0" applyFont="1" applyFill="1" applyBorder="1" applyAlignment="1">
      <alignment horizontal="center"/>
    </xf>
    <xf numFmtId="0" fontId="9" fillId="0" borderId="2" xfId="0" applyFont="1" applyBorder="1" applyAlignment="1">
      <alignment horizontal="left" vertical="center" wrapText="1"/>
    </xf>
    <xf numFmtId="0" fontId="4" fillId="0" borderId="0" xfId="0" applyFont="1"/>
    <xf numFmtId="0" fontId="6" fillId="0" borderId="0" xfId="0" applyFont="1"/>
    <xf numFmtId="0" fontId="8" fillId="0" borderId="2" xfId="0" applyFont="1" applyBorder="1" applyAlignment="1">
      <alignment horizontal="left" vertical="center"/>
    </xf>
    <xf numFmtId="0" fontId="8" fillId="2" borderId="2" xfId="0" applyFont="1" applyFill="1" applyBorder="1" applyAlignment="1">
      <alignment horizontal="left" vertical="center"/>
    </xf>
    <xf numFmtId="0" fontId="8" fillId="0" borderId="2" xfId="0" applyFont="1" applyBorder="1" applyAlignment="1">
      <alignment horizontal="left" vertical="center" wrapText="1"/>
    </xf>
    <xf numFmtId="0" fontId="8" fillId="0" borderId="2" xfId="0" applyFont="1" applyBorder="1" applyAlignment="1">
      <alignment horizontal="center"/>
    </xf>
    <xf numFmtId="0" fontId="9" fillId="5" borderId="2" xfId="0" applyFont="1" applyFill="1" applyBorder="1" applyAlignment="1">
      <alignment horizontal="left" vertical="center" wrapText="1"/>
    </xf>
    <xf numFmtId="0" fontId="8" fillId="5" borderId="2" xfId="0" applyFont="1" applyFill="1" applyBorder="1" applyAlignment="1">
      <alignment horizontal="center"/>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DF1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6"/>
  <sheetViews>
    <sheetView topLeftCell="A42" zoomScaleNormal="100" workbookViewId="0">
      <selection activeCell="B43" sqref="B43"/>
    </sheetView>
  </sheetViews>
  <sheetFormatPr defaultColWidth="8.6328125" defaultRowHeight="14.5" x14ac:dyDescent="0.35"/>
  <cols>
    <col min="1" max="1" width="5" style="2" customWidth="1"/>
    <col min="2" max="2" width="30" style="2" customWidth="1"/>
    <col min="3" max="3" width="8" style="2" customWidth="1"/>
    <col min="4" max="4" width="30" style="2" customWidth="1"/>
    <col min="5" max="5" width="50" style="2" customWidth="1"/>
    <col min="6" max="6" width="18" style="2" customWidth="1"/>
    <col min="7" max="7" width="25" style="2" customWidth="1"/>
    <col min="8" max="9" width="50" style="2" customWidth="1"/>
  </cols>
  <sheetData>
    <row r="1" spans="1:9" ht="14.25" customHeight="1" x14ac:dyDescent="0.35">
      <c r="A1" s="3" t="s">
        <v>0</v>
      </c>
      <c r="B1" s="3" t="s">
        <v>1</v>
      </c>
      <c r="C1" s="3" t="s">
        <v>2</v>
      </c>
      <c r="D1" s="3" t="s">
        <v>3</v>
      </c>
      <c r="E1" s="3" t="s">
        <v>4</v>
      </c>
      <c r="F1" s="3" t="s">
        <v>5</v>
      </c>
      <c r="G1" s="3" t="s">
        <v>6</v>
      </c>
      <c r="H1" s="3" t="s">
        <v>7</v>
      </c>
      <c r="I1" s="3" t="s">
        <v>8</v>
      </c>
    </row>
    <row r="2" spans="1:9" ht="14.25" customHeight="1" x14ac:dyDescent="0.35">
      <c r="A2" s="4" t="s">
        <v>9</v>
      </c>
      <c r="B2" s="5"/>
      <c r="C2" s="5"/>
      <c r="D2" s="5"/>
      <c r="E2" s="5"/>
      <c r="F2" s="5"/>
      <c r="G2" s="5"/>
      <c r="H2" s="5"/>
      <c r="I2" s="5"/>
    </row>
    <row r="3" spans="1:9" ht="150.75" customHeight="1" x14ac:dyDescent="0.35">
      <c r="A3" s="6">
        <v>1</v>
      </c>
      <c r="B3" s="7" t="s">
        <v>10</v>
      </c>
      <c r="C3" s="6" t="s">
        <v>11</v>
      </c>
      <c r="D3" s="7" t="s">
        <v>12</v>
      </c>
      <c r="E3" s="7" t="s">
        <v>13</v>
      </c>
      <c r="F3" s="6" t="s">
        <v>14</v>
      </c>
      <c r="G3" s="7" t="s">
        <v>15</v>
      </c>
      <c r="H3" s="7" t="s">
        <v>16</v>
      </c>
      <c r="I3" s="7" t="s">
        <v>17</v>
      </c>
    </row>
    <row r="4" spans="1:9" ht="113.25" customHeight="1" x14ac:dyDescent="0.35">
      <c r="A4" s="6">
        <v>2</v>
      </c>
      <c r="B4" s="7" t="s">
        <v>10</v>
      </c>
      <c r="C4" s="6" t="s">
        <v>11</v>
      </c>
      <c r="D4" s="7" t="s">
        <v>18</v>
      </c>
      <c r="E4" s="7" t="s">
        <v>19</v>
      </c>
      <c r="F4" s="6" t="s">
        <v>14</v>
      </c>
      <c r="G4" s="7" t="s">
        <v>15</v>
      </c>
      <c r="H4" s="7" t="s">
        <v>20</v>
      </c>
      <c r="I4" s="7" t="s">
        <v>21</v>
      </c>
    </row>
    <row r="5" spans="1:9" ht="113.25" customHeight="1" x14ac:dyDescent="0.35">
      <c r="A5" s="6">
        <v>3</v>
      </c>
      <c r="B5" s="7" t="s">
        <v>10</v>
      </c>
      <c r="C5" s="6" t="s">
        <v>22</v>
      </c>
      <c r="D5" s="7" t="s">
        <v>23</v>
      </c>
      <c r="E5" s="7" t="s">
        <v>24</v>
      </c>
      <c r="F5" s="6" t="s">
        <v>14</v>
      </c>
      <c r="G5" s="7" t="s">
        <v>15</v>
      </c>
      <c r="H5" s="7" t="s">
        <v>25</v>
      </c>
      <c r="I5" s="7" t="s">
        <v>26</v>
      </c>
    </row>
    <row r="6" spans="1:9" ht="100.5" customHeight="1" x14ac:dyDescent="0.35">
      <c r="A6" s="6">
        <v>4</v>
      </c>
      <c r="B6" s="7" t="s">
        <v>10</v>
      </c>
      <c r="C6" s="6" t="s">
        <v>22</v>
      </c>
      <c r="D6" s="7" t="s">
        <v>27</v>
      </c>
      <c r="E6" s="7" t="s">
        <v>28</v>
      </c>
      <c r="F6" s="6" t="s">
        <v>14</v>
      </c>
      <c r="G6" s="7" t="s">
        <v>15</v>
      </c>
      <c r="H6" s="7" t="s">
        <v>29</v>
      </c>
      <c r="I6" s="7" t="s">
        <v>30</v>
      </c>
    </row>
    <row r="7" spans="1:9" ht="150.75" customHeight="1" x14ac:dyDescent="0.35">
      <c r="A7" s="6">
        <v>5</v>
      </c>
      <c r="B7" s="7" t="s">
        <v>10</v>
      </c>
      <c r="C7" s="6" t="s">
        <v>22</v>
      </c>
      <c r="D7" s="7" t="s">
        <v>31</v>
      </c>
      <c r="E7" s="7" t="s">
        <v>32</v>
      </c>
      <c r="F7" s="6" t="s">
        <v>14</v>
      </c>
      <c r="G7" s="7" t="s">
        <v>15</v>
      </c>
      <c r="H7" s="7" t="s">
        <v>33</v>
      </c>
      <c r="I7" s="7" t="s">
        <v>34</v>
      </c>
    </row>
    <row r="8" spans="1:9" ht="225.75" customHeight="1" x14ac:dyDescent="0.35">
      <c r="A8" s="6">
        <v>6</v>
      </c>
      <c r="B8" s="7" t="s">
        <v>10</v>
      </c>
      <c r="C8" s="6" t="s">
        <v>22</v>
      </c>
      <c r="D8" s="7" t="s">
        <v>35</v>
      </c>
      <c r="E8" s="7" t="s">
        <v>36</v>
      </c>
      <c r="F8" s="6" t="s">
        <v>14</v>
      </c>
      <c r="G8" s="7" t="s">
        <v>15</v>
      </c>
      <c r="H8" s="7" t="s">
        <v>37</v>
      </c>
      <c r="I8" s="7" t="s">
        <v>38</v>
      </c>
    </row>
    <row r="9" spans="1:9" ht="63" customHeight="1" x14ac:dyDescent="0.35">
      <c r="A9" s="6">
        <v>7</v>
      </c>
      <c r="B9" s="7" t="s">
        <v>10</v>
      </c>
      <c r="C9" s="6" t="s">
        <v>39</v>
      </c>
      <c r="D9" s="7" t="s">
        <v>40</v>
      </c>
      <c r="E9" s="7" t="s">
        <v>41</v>
      </c>
      <c r="F9" s="6" t="s">
        <v>14</v>
      </c>
      <c r="G9" s="7" t="s">
        <v>42</v>
      </c>
      <c r="H9" s="7" t="s">
        <v>43</v>
      </c>
      <c r="I9" s="7" t="s">
        <v>44</v>
      </c>
    </row>
    <row r="10" spans="1:9" ht="150.75" customHeight="1" x14ac:dyDescent="0.35">
      <c r="A10" s="6">
        <v>8</v>
      </c>
      <c r="B10" s="7" t="s">
        <v>10</v>
      </c>
      <c r="C10" s="6" t="s">
        <v>39</v>
      </c>
      <c r="D10" s="7" t="s">
        <v>45</v>
      </c>
      <c r="E10" s="7" t="s">
        <v>46</v>
      </c>
      <c r="F10" s="6" t="s">
        <v>14</v>
      </c>
      <c r="G10" s="7" t="s">
        <v>15</v>
      </c>
      <c r="H10" s="7" t="s">
        <v>47</v>
      </c>
      <c r="I10" s="7" t="s">
        <v>48</v>
      </c>
    </row>
    <row r="11" spans="1:9" ht="88.5" customHeight="1" x14ac:dyDescent="0.35">
      <c r="A11" s="6">
        <v>9</v>
      </c>
      <c r="B11" s="7" t="s">
        <v>10</v>
      </c>
      <c r="C11" s="6" t="s">
        <v>39</v>
      </c>
      <c r="D11" s="7" t="s">
        <v>49</v>
      </c>
      <c r="E11" s="7" t="s">
        <v>50</v>
      </c>
      <c r="F11" s="6" t="s">
        <v>14</v>
      </c>
      <c r="G11" s="7" t="s">
        <v>42</v>
      </c>
      <c r="H11" s="7" t="s">
        <v>51</v>
      </c>
      <c r="I11" s="7" t="s">
        <v>52</v>
      </c>
    </row>
    <row r="12" spans="1:9" ht="150.75" customHeight="1" x14ac:dyDescent="0.35">
      <c r="A12" s="6">
        <v>10</v>
      </c>
      <c r="B12" s="7" t="s">
        <v>10</v>
      </c>
      <c r="C12" s="6" t="s">
        <v>39</v>
      </c>
      <c r="D12" s="7" t="s">
        <v>53</v>
      </c>
      <c r="E12" s="7" t="s">
        <v>54</v>
      </c>
      <c r="F12" s="6" t="s">
        <v>14</v>
      </c>
      <c r="G12" s="7" t="s">
        <v>15</v>
      </c>
      <c r="H12" s="7" t="s">
        <v>55</v>
      </c>
      <c r="I12" s="7" t="s">
        <v>56</v>
      </c>
    </row>
    <row r="13" spans="1:9" ht="113.25" customHeight="1" x14ac:dyDescent="0.35">
      <c r="A13" s="6">
        <v>11</v>
      </c>
      <c r="B13" s="7" t="s">
        <v>10</v>
      </c>
      <c r="C13" s="6" t="s">
        <v>39</v>
      </c>
      <c r="D13" s="7" t="s">
        <v>57</v>
      </c>
      <c r="E13" s="7" t="s">
        <v>58</v>
      </c>
      <c r="F13" s="6" t="s">
        <v>14</v>
      </c>
      <c r="G13" s="7" t="s">
        <v>15</v>
      </c>
      <c r="H13" s="7" t="s">
        <v>59</v>
      </c>
      <c r="I13" s="7" t="s">
        <v>60</v>
      </c>
    </row>
    <row r="14" spans="1:9" ht="175.5" customHeight="1" x14ac:dyDescent="0.35">
      <c r="A14" s="6">
        <v>12</v>
      </c>
      <c r="B14" s="7" t="s">
        <v>10</v>
      </c>
      <c r="C14" s="6" t="s">
        <v>39</v>
      </c>
      <c r="D14" s="7" t="s">
        <v>61</v>
      </c>
      <c r="E14" s="7" t="s">
        <v>62</v>
      </c>
      <c r="F14" s="6" t="s">
        <v>14</v>
      </c>
      <c r="G14" s="7" t="s">
        <v>15</v>
      </c>
      <c r="H14" s="7" t="s">
        <v>63</v>
      </c>
      <c r="I14" s="7" t="s">
        <v>64</v>
      </c>
    </row>
    <row r="15" spans="1:9" ht="201" customHeight="1" x14ac:dyDescent="0.35">
      <c r="A15" s="6">
        <v>13</v>
      </c>
      <c r="B15" s="7" t="s">
        <v>10</v>
      </c>
      <c r="C15" s="6" t="s">
        <v>65</v>
      </c>
      <c r="D15" s="7" t="s">
        <v>66</v>
      </c>
      <c r="E15" s="7" t="s">
        <v>67</v>
      </c>
      <c r="F15" s="6" t="s">
        <v>14</v>
      </c>
      <c r="G15" s="7" t="s">
        <v>15</v>
      </c>
      <c r="H15" s="7" t="s">
        <v>68</v>
      </c>
      <c r="I15" s="7" t="s">
        <v>69</v>
      </c>
    </row>
    <row r="16" spans="1:9" ht="225.75" customHeight="1" x14ac:dyDescent="0.35">
      <c r="A16" s="6">
        <v>14</v>
      </c>
      <c r="B16" s="7" t="s">
        <v>10</v>
      </c>
      <c r="C16" s="6" t="s">
        <v>65</v>
      </c>
      <c r="D16" s="7" t="s">
        <v>70</v>
      </c>
      <c r="E16" s="7" t="s">
        <v>71</v>
      </c>
      <c r="F16" s="6" t="s">
        <v>14</v>
      </c>
      <c r="G16" s="7" t="s">
        <v>15</v>
      </c>
      <c r="H16" s="7" t="s">
        <v>72</v>
      </c>
      <c r="I16" s="7" t="s">
        <v>73</v>
      </c>
    </row>
    <row r="17" spans="1:9" ht="163.5" customHeight="1" x14ac:dyDescent="0.35">
      <c r="A17" s="6">
        <v>15</v>
      </c>
      <c r="B17" s="7" t="s">
        <v>10</v>
      </c>
      <c r="C17" s="6" t="s">
        <v>65</v>
      </c>
      <c r="D17" s="7" t="s">
        <v>74</v>
      </c>
      <c r="E17" s="7" t="s">
        <v>75</v>
      </c>
      <c r="F17" s="6" t="s">
        <v>14</v>
      </c>
      <c r="G17" s="7" t="s">
        <v>15</v>
      </c>
      <c r="H17" s="7" t="s">
        <v>76</v>
      </c>
      <c r="I17" s="7" t="s">
        <v>77</v>
      </c>
    </row>
    <row r="18" spans="1:9" ht="201" customHeight="1" x14ac:dyDescent="0.35">
      <c r="A18" s="6">
        <v>16</v>
      </c>
      <c r="B18" s="7" t="s">
        <v>10</v>
      </c>
      <c r="C18" s="6" t="s">
        <v>65</v>
      </c>
      <c r="D18" s="7" t="s">
        <v>78</v>
      </c>
      <c r="E18" s="7" t="s">
        <v>79</v>
      </c>
      <c r="F18" s="6" t="s">
        <v>14</v>
      </c>
      <c r="G18" s="7" t="s">
        <v>15</v>
      </c>
      <c r="H18" s="7" t="s">
        <v>80</v>
      </c>
      <c r="I18" s="7" t="s">
        <v>81</v>
      </c>
    </row>
    <row r="19" spans="1:9" ht="150.75" customHeight="1" x14ac:dyDescent="0.35">
      <c r="A19" s="6">
        <v>17</v>
      </c>
      <c r="B19" s="7" t="s">
        <v>10</v>
      </c>
      <c r="C19" s="6" t="s">
        <v>65</v>
      </c>
      <c r="D19" s="7" t="s">
        <v>82</v>
      </c>
      <c r="E19" s="7" t="s">
        <v>83</v>
      </c>
      <c r="F19" s="6" t="s">
        <v>14</v>
      </c>
      <c r="G19" s="7" t="s">
        <v>15</v>
      </c>
      <c r="H19" s="7" t="s">
        <v>84</v>
      </c>
      <c r="I19" s="7" t="s">
        <v>85</v>
      </c>
    </row>
    <row r="20" spans="1:9" ht="100.5" customHeight="1" x14ac:dyDescent="0.35">
      <c r="A20" s="6">
        <v>18</v>
      </c>
      <c r="B20" s="7" t="s">
        <v>10</v>
      </c>
      <c r="C20" s="6" t="s">
        <v>39</v>
      </c>
      <c r="D20" s="7" t="s">
        <v>86</v>
      </c>
      <c r="E20" s="7" t="s">
        <v>87</v>
      </c>
      <c r="F20" s="6" t="s">
        <v>88</v>
      </c>
      <c r="G20" s="7" t="s">
        <v>42</v>
      </c>
      <c r="H20" s="7" t="s">
        <v>89</v>
      </c>
      <c r="I20" s="7" t="s">
        <v>90</v>
      </c>
    </row>
    <row r="21" spans="1:9" ht="225.75" customHeight="1" x14ac:dyDescent="0.35">
      <c r="A21" s="6">
        <v>19</v>
      </c>
      <c r="B21" s="7" t="s">
        <v>10</v>
      </c>
      <c r="C21" s="6" t="s">
        <v>65</v>
      </c>
      <c r="D21" s="7" t="s">
        <v>91</v>
      </c>
      <c r="E21" s="7" t="s">
        <v>92</v>
      </c>
      <c r="F21" s="6" t="s">
        <v>93</v>
      </c>
      <c r="G21" s="7" t="s">
        <v>15</v>
      </c>
      <c r="H21" s="7" t="s">
        <v>94</v>
      </c>
      <c r="I21" s="7" t="s">
        <v>95</v>
      </c>
    </row>
    <row r="22" spans="1:9" ht="138" customHeight="1" x14ac:dyDescent="0.35">
      <c r="A22" s="6">
        <v>20</v>
      </c>
      <c r="B22" s="7" t="s">
        <v>10</v>
      </c>
      <c r="C22" s="6" t="s">
        <v>96</v>
      </c>
      <c r="D22" s="7" t="s">
        <v>97</v>
      </c>
      <c r="E22" s="7" t="s">
        <v>98</v>
      </c>
      <c r="F22" s="6" t="s">
        <v>99</v>
      </c>
      <c r="G22" s="7" t="s">
        <v>15</v>
      </c>
      <c r="H22" s="7" t="s">
        <v>100</v>
      </c>
      <c r="I22" s="7" t="s">
        <v>101</v>
      </c>
    </row>
    <row r="23" spans="1:9" ht="88.5" customHeight="1" x14ac:dyDescent="0.35">
      <c r="A23" s="6">
        <v>21</v>
      </c>
      <c r="B23" s="7" t="s">
        <v>10</v>
      </c>
      <c r="C23" s="6" t="s">
        <v>39</v>
      </c>
      <c r="D23" s="7" t="s">
        <v>102</v>
      </c>
      <c r="E23" s="7" t="s">
        <v>50</v>
      </c>
      <c r="F23" s="6" t="s">
        <v>99</v>
      </c>
      <c r="G23" s="7" t="s">
        <v>103</v>
      </c>
      <c r="H23" s="7" t="s">
        <v>104</v>
      </c>
      <c r="I23" s="7" t="s">
        <v>52</v>
      </c>
    </row>
    <row r="24" spans="1:9" ht="126" customHeight="1" x14ac:dyDescent="0.35">
      <c r="A24" s="6">
        <v>22</v>
      </c>
      <c r="B24" s="7" t="s">
        <v>10</v>
      </c>
      <c r="C24" s="6" t="s">
        <v>39</v>
      </c>
      <c r="D24" s="7" t="s">
        <v>105</v>
      </c>
      <c r="E24" s="7" t="s">
        <v>106</v>
      </c>
      <c r="F24" s="6" t="s">
        <v>99</v>
      </c>
      <c r="G24" s="7" t="s">
        <v>15</v>
      </c>
      <c r="H24" s="7" t="s">
        <v>107</v>
      </c>
      <c r="I24" s="7" t="s">
        <v>108</v>
      </c>
    </row>
    <row r="25" spans="1:9" ht="150.75" customHeight="1" x14ac:dyDescent="0.35">
      <c r="A25" s="6">
        <v>23</v>
      </c>
      <c r="B25" s="7" t="s">
        <v>10</v>
      </c>
      <c r="C25" s="6" t="s">
        <v>65</v>
      </c>
      <c r="D25" s="7"/>
      <c r="E25" s="7" t="s">
        <v>109</v>
      </c>
      <c r="F25" s="6" t="s">
        <v>110</v>
      </c>
      <c r="G25" s="7" t="s">
        <v>15</v>
      </c>
      <c r="H25" s="7" t="s">
        <v>111</v>
      </c>
      <c r="I25" s="7" t="s">
        <v>112</v>
      </c>
    </row>
    <row r="26" spans="1:9" ht="100.5" customHeight="1" x14ac:dyDescent="0.35">
      <c r="A26" s="6">
        <v>24</v>
      </c>
      <c r="B26" s="7" t="s">
        <v>10</v>
      </c>
      <c r="C26" s="6" t="s">
        <v>22</v>
      </c>
      <c r="D26" s="7" t="s">
        <v>113</v>
      </c>
      <c r="E26" s="7" t="s">
        <v>114</v>
      </c>
      <c r="F26" s="6" t="s">
        <v>115</v>
      </c>
      <c r="G26" s="7" t="s">
        <v>15</v>
      </c>
      <c r="H26" s="7" t="s">
        <v>116</v>
      </c>
      <c r="I26" s="7" t="s">
        <v>117</v>
      </c>
    </row>
    <row r="27" spans="1:9" ht="113.25" customHeight="1" x14ac:dyDescent="0.35">
      <c r="A27" s="6">
        <v>25</v>
      </c>
      <c r="B27" s="7" t="s">
        <v>10</v>
      </c>
      <c r="C27" s="6" t="s">
        <v>22</v>
      </c>
      <c r="D27" s="7" t="s">
        <v>118</v>
      </c>
      <c r="E27" s="7" t="s">
        <v>119</v>
      </c>
      <c r="F27" s="6" t="s">
        <v>120</v>
      </c>
      <c r="G27" s="7" t="s">
        <v>15</v>
      </c>
      <c r="H27" s="7" t="s">
        <v>121</v>
      </c>
      <c r="I27" s="7" t="s">
        <v>122</v>
      </c>
    </row>
    <row r="28" spans="1:9" ht="188.25" customHeight="1" x14ac:dyDescent="0.35">
      <c r="A28" s="6">
        <v>26</v>
      </c>
      <c r="B28" s="7" t="s">
        <v>123</v>
      </c>
      <c r="C28" s="6" t="s">
        <v>96</v>
      </c>
      <c r="D28" s="7" t="s">
        <v>124</v>
      </c>
      <c r="E28" s="7" t="s">
        <v>125</v>
      </c>
      <c r="F28" s="6" t="s">
        <v>14</v>
      </c>
      <c r="G28" s="7" t="s">
        <v>15</v>
      </c>
      <c r="H28" s="7" t="s">
        <v>126</v>
      </c>
      <c r="I28" s="7" t="s">
        <v>127</v>
      </c>
    </row>
    <row r="29" spans="1:9" ht="138" customHeight="1" x14ac:dyDescent="0.35">
      <c r="A29" s="6">
        <v>27</v>
      </c>
      <c r="B29" s="7" t="s">
        <v>123</v>
      </c>
      <c r="C29" s="6" t="s">
        <v>39</v>
      </c>
      <c r="D29" s="7" t="s">
        <v>128</v>
      </c>
      <c r="E29" s="7" t="s">
        <v>129</v>
      </c>
      <c r="F29" s="6" t="s">
        <v>14</v>
      </c>
      <c r="G29" s="7" t="s">
        <v>15</v>
      </c>
      <c r="H29" s="7" t="s">
        <v>130</v>
      </c>
      <c r="I29" s="7" t="s">
        <v>131</v>
      </c>
    </row>
    <row r="30" spans="1:9" ht="113.25" customHeight="1" x14ac:dyDescent="0.35">
      <c r="A30" s="6">
        <v>28</v>
      </c>
      <c r="B30" s="7" t="s">
        <v>123</v>
      </c>
      <c r="C30" s="6" t="s">
        <v>65</v>
      </c>
      <c r="D30" s="7" t="s">
        <v>132</v>
      </c>
      <c r="E30" s="7" t="s">
        <v>133</v>
      </c>
      <c r="F30" s="6" t="s">
        <v>14</v>
      </c>
      <c r="G30" s="7" t="s">
        <v>15</v>
      </c>
      <c r="H30" s="7" t="s">
        <v>134</v>
      </c>
      <c r="I30" s="7" t="s">
        <v>135</v>
      </c>
    </row>
    <row r="31" spans="1:9" ht="138" customHeight="1" x14ac:dyDescent="0.35">
      <c r="A31" s="6">
        <v>29</v>
      </c>
      <c r="B31" s="7" t="s">
        <v>136</v>
      </c>
      <c r="C31" s="6" t="s">
        <v>11</v>
      </c>
      <c r="D31" s="7" t="s">
        <v>137</v>
      </c>
      <c r="E31" s="7" t="s">
        <v>138</v>
      </c>
      <c r="F31" s="6" t="s">
        <v>14</v>
      </c>
      <c r="G31" s="7" t="s">
        <v>15</v>
      </c>
      <c r="H31" s="7" t="s">
        <v>139</v>
      </c>
      <c r="I31" s="7" t="s">
        <v>140</v>
      </c>
    </row>
    <row r="32" spans="1:9" ht="201" customHeight="1" x14ac:dyDescent="0.35">
      <c r="A32" s="6">
        <v>30</v>
      </c>
      <c r="B32" s="7" t="s">
        <v>136</v>
      </c>
      <c r="C32" s="6" t="s">
        <v>11</v>
      </c>
      <c r="D32" s="7" t="s">
        <v>137</v>
      </c>
      <c r="E32" s="7" t="s">
        <v>141</v>
      </c>
      <c r="F32" s="6" t="s">
        <v>14</v>
      </c>
      <c r="G32" s="7" t="s">
        <v>15</v>
      </c>
      <c r="H32" s="7" t="s">
        <v>142</v>
      </c>
      <c r="I32" s="7" t="s">
        <v>143</v>
      </c>
    </row>
    <row r="33" spans="1:9" ht="175.5" customHeight="1" x14ac:dyDescent="0.35">
      <c r="A33" s="6">
        <v>31</v>
      </c>
      <c r="B33" s="7" t="s">
        <v>144</v>
      </c>
      <c r="C33" s="6" t="s">
        <v>11</v>
      </c>
      <c r="D33" s="7" t="s">
        <v>145</v>
      </c>
      <c r="E33" s="7" t="s">
        <v>146</v>
      </c>
      <c r="F33" s="6" t="s">
        <v>14</v>
      </c>
      <c r="G33" s="7" t="s">
        <v>15</v>
      </c>
      <c r="H33" s="7" t="s">
        <v>147</v>
      </c>
      <c r="I33" s="7" t="s">
        <v>148</v>
      </c>
    </row>
    <row r="34" spans="1:9" ht="100.5" customHeight="1" x14ac:dyDescent="0.35">
      <c r="A34" s="6">
        <v>32</v>
      </c>
      <c r="B34" s="7" t="s">
        <v>149</v>
      </c>
      <c r="C34" s="6" t="s">
        <v>96</v>
      </c>
      <c r="D34" s="7" t="s">
        <v>150</v>
      </c>
      <c r="E34" s="7" t="s">
        <v>151</v>
      </c>
      <c r="F34" s="6" t="s">
        <v>14</v>
      </c>
      <c r="G34" s="7" t="s">
        <v>15</v>
      </c>
      <c r="H34" s="7" t="s">
        <v>152</v>
      </c>
      <c r="I34" s="7" t="s">
        <v>153</v>
      </c>
    </row>
    <row r="35" spans="1:9" ht="138" customHeight="1" x14ac:dyDescent="0.35">
      <c r="A35" s="6">
        <v>33</v>
      </c>
      <c r="B35" s="7" t="s">
        <v>144</v>
      </c>
      <c r="C35" s="6" t="s">
        <v>96</v>
      </c>
      <c r="D35" s="7" t="s">
        <v>154</v>
      </c>
      <c r="E35" s="7" t="s">
        <v>155</v>
      </c>
      <c r="F35" s="6" t="s">
        <v>14</v>
      </c>
      <c r="G35" s="7" t="s">
        <v>15</v>
      </c>
      <c r="H35" s="7" t="s">
        <v>156</v>
      </c>
      <c r="I35" s="7" t="s">
        <v>157</v>
      </c>
    </row>
    <row r="36" spans="1:9" ht="88.5" customHeight="1" x14ac:dyDescent="0.35">
      <c r="A36" s="6">
        <v>34</v>
      </c>
      <c r="B36" s="7" t="s">
        <v>149</v>
      </c>
      <c r="C36" s="6" t="s">
        <v>22</v>
      </c>
      <c r="D36" s="7" t="s">
        <v>158</v>
      </c>
      <c r="E36" s="7" t="s">
        <v>159</v>
      </c>
      <c r="F36" s="6" t="s">
        <v>14</v>
      </c>
      <c r="G36" s="7" t="s">
        <v>15</v>
      </c>
      <c r="H36" s="7" t="s">
        <v>160</v>
      </c>
      <c r="I36" s="7" t="s">
        <v>161</v>
      </c>
    </row>
    <row r="37" spans="1:9" ht="150.75" customHeight="1" x14ac:dyDescent="0.35">
      <c r="A37" s="6">
        <v>35</v>
      </c>
      <c r="B37" s="7" t="s">
        <v>144</v>
      </c>
      <c r="C37" s="6" t="s">
        <v>39</v>
      </c>
      <c r="D37" s="7" t="s">
        <v>162</v>
      </c>
      <c r="E37" s="7" t="s">
        <v>163</v>
      </c>
      <c r="F37" s="6" t="s">
        <v>14</v>
      </c>
      <c r="G37" s="7" t="s">
        <v>15</v>
      </c>
      <c r="H37" s="7" t="s">
        <v>164</v>
      </c>
      <c r="I37" s="7" t="s">
        <v>165</v>
      </c>
    </row>
    <row r="38" spans="1:9" ht="138" customHeight="1" x14ac:dyDescent="0.35">
      <c r="A38" s="6">
        <v>36</v>
      </c>
      <c r="B38" s="7" t="s">
        <v>144</v>
      </c>
      <c r="C38" s="6" t="s">
        <v>39</v>
      </c>
      <c r="D38" s="7" t="s">
        <v>166</v>
      </c>
      <c r="E38" s="7" t="s">
        <v>167</v>
      </c>
      <c r="F38" s="6" t="s">
        <v>14</v>
      </c>
      <c r="G38" s="7" t="s">
        <v>15</v>
      </c>
      <c r="H38" s="7" t="s">
        <v>168</v>
      </c>
      <c r="I38" s="7" t="s">
        <v>169</v>
      </c>
    </row>
    <row r="39" spans="1:9" ht="100.5" customHeight="1" x14ac:dyDescent="0.35">
      <c r="A39" s="6">
        <v>37</v>
      </c>
      <c r="B39" s="7" t="s">
        <v>149</v>
      </c>
      <c r="C39" s="6" t="s">
        <v>39</v>
      </c>
      <c r="D39" s="7" t="s">
        <v>170</v>
      </c>
      <c r="E39" s="7" t="s">
        <v>171</v>
      </c>
      <c r="F39" s="6" t="s">
        <v>14</v>
      </c>
      <c r="G39" s="7" t="s">
        <v>15</v>
      </c>
      <c r="H39" s="7" t="s">
        <v>172</v>
      </c>
      <c r="I39" s="7" t="s">
        <v>173</v>
      </c>
    </row>
    <row r="40" spans="1:9" ht="138" customHeight="1" x14ac:dyDescent="0.35">
      <c r="A40" s="6">
        <v>38</v>
      </c>
      <c r="B40" s="7" t="s">
        <v>174</v>
      </c>
      <c r="C40" s="6" t="s">
        <v>39</v>
      </c>
      <c r="D40" s="7" t="s">
        <v>175</v>
      </c>
      <c r="E40" s="7" t="s">
        <v>176</v>
      </c>
      <c r="F40" s="6" t="s">
        <v>14</v>
      </c>
      <c r="G40" s="7" t="s">
        <v>15</v>
      </c>
      <c r="H40" s="7" t="s">
        <v>177</v>
      </c>
      <c r="I40" s="7" t="s">
        <v>178</v>
      </c>
    </row>
    <row r="41" spans="1:9" ht="188.25" customHeight="1" x14ac:dyDescent="0.35">
      <c r="A41" s="6">
        <v>39</v>
      </c>
      <c r="B41" s="7" t="s">
        <v>149</v>
      </c>
      <c r="C41" s="6" t="s">
        <v>39</v>
      </c>
      <c r="D41" s="7" t="s">
        <v>179</v>
      </c>
      <c r="E41" s="7" t="s">
        <v>180</v>
      </c>
      <c r="F41" s="6" t="s">
        <v>14</v>
      </c>
      <c r="G41" s="7" t="s">
        <v>15</v>
      </c>
      <c r="H41" s="7" t="s">
        <v>181</v>
      </c>
      <c r="I41" s="7" t="s">
        <v>182</v>
      </c>
    </row>
    <row r="42" spans="1:9" ht="100.5" customHeight="1" x14ac:dyDescent="0.35">
      <c r="A42" s="6">
        <v>40</v>
      </c>
      <c r="B42" s="7" t="s">
        <v>174</v>
      </c>
      <c r="C42" s="6" t="s">
        <v>39</v>
      </c>
      <c r="D42" s="7" t="s">
        <v>183</v>
      </c>
      <c r="E42" s="7" t="s">
        <v>184</v>
      </c>
      <c r="F42" s="6" t="s">
        <v>14</v>
      </c>
      <c r="G42" s="7" t="s">
        <v>15</v>
      </c>
      <c r="H42" s="7" t="s">
        <v>185</v>
      </c>
      <c r="I42" s="7" t="s">
        <v>186</v>
      </c>
    </row>
    <row r="43" spans="1:9" ht="138" customHeight="1" x14ac:dyDescent="0.35">
      <c r="A43" s="6">
        <v>41</v>
      </c>
      <c r="B43" s="7" t="s">
        <v>174</v>
      </c>
      <c r="C43" s="6" t="s">
        <v>39</v>
      </c>
      <c r="D43" s="7" t="s">
        <v>187</v>
      </c>
      <c r="E43" s="7" t="s">
        <v>188</v>
      </c>
      <c r="F43" s="6" t="s">
        <v>14</v>
      </c>
      <c r="G43" s="7" t="s">
        <v>15</v>
      </c>
      <c r="H43" s="7" t="s">
        <v>189</v>
      </c>
      <c r="I43" s="7" t="s">
        <v>190</v>
      </c>
    </row>
    <row r="44" spans="1:9" ht="88.5" customHeight="1" x14ac:dyDescent="0.35">
      <c r="A44" s="6">
        <v>42</v>
      </c>
      <c r="B44" s="7" t="s">
        <v>144</v>
      </c>
      <c r="C44" s="6" t="s">
        <v>39</v>
      </c>
      <c r="D44" s="7" t="s">
        <v>191</v>
      </c>
      <c r="E44" s="7" t="s">
        <v>192</v>
      </c>
      <c r="F44" s="6" t="s">
        <v>14</v>
      </c>
      <c r="G44" s="7" t="s">
        <v>103</v>
      </c>
      <c r="H44" s="7" t="s">
        <v>193</v>
      </c>
      <c r="I44" s="7" t="s">
        <v>194</v>
      </c>
    </row>
    <row r="45" spans="1:9" ht="163.5" customHeight="1" x14ac:dyDescent="0.35">
      <c r="A45" s="6">
        <v>43</v>
      </c>
      <c r="B45" s="7" t="s">
        <v>144</v>
      </c>
      <c r="C45" s="6" t="s">
        <v>39</v>
      </c>
      <c r="D45" s="7" t="s">
        <v>195</v>
      </c>
      <c r="E45" s="7" t="s">
        <v>196</v>
      </c>
      <c r="F45" s="6" t="s">
        <v>14</v>
      </c>
      <c r="G45" s="7" t="s">
        <v>15</v>
      </c>
      <c r="H45" s="7" t="s">
        <v>197</v>
      </c>
      <c r="I45" s="7" t="s">
        <v>198</v>
      </c>
    </row>
    <row r="46" spans="1:9" ht="188.25" customHeight="1" x14ac:dyDescent="0.35">
      <c r="A46" s="6">
        <v>44</v>
      </c>
      <c r="B46" s="7" t="s">
        <v>144</v>
      </c>
      <c r="C46" s="6" t="s">
        <v>65</v>
      </c>
      <c r="D46" s="7" t="s">
        <v>199</v>
      </c>
      <c r="E46" s="7" t="s">
        <v>200</v>
      </c>
      <c r="F46" s="6" t="s">
        <v>14</v>
      </c>
      <c r="G46" s="7" t="s">
        <v>15</v>
      </c>
      <c r="H46" s="7" t="s">
        <v>201</v>
      </c>
      <c r="I46" s="7" t="s">
        <v>202</v>
      </c>
    </row>
    <row r="47" spans="1:9" ht="250.5" customHeight="1" x14ac:dyDescent="0.35">
      <c r="A47" s="6">
        <v>45</v>
      </c>
      <c r="B47" s="7" t="s">
        <v>144</v>
      </c>
      <c r="C47" s="6" t="s">
        <v>11</v>
      </c>
      <c r="D47" s="7" t="s">
        <v>203</v>
      </c>
      <c r="E47" s="7" t="s">
        <v>204</v>
      </c>
      <c r="F47" s="6" t="s">
        <v>205</v>
      </c>
      <c r="G47" s="7" t="s">
        <v>15</v>
      </c>
      <c r="H47" s="7" t="s">
        <v>206</v>
      </c>
      <c r="I47" s="7" t="s">
        <v>207</v>
      </c>
    </row>
    <row r="48" spans="1:9" ht="138" customHeight="1" x14ac:dyDescent="0.35">
      <c r="A48" s="6">
        <v>46</v>
      </c>
      <c r="B48" s="7" t="s">
        <v>144</v>
      </c>
      <c r="C48" s="6" t="s">
        <v>96</v>
      </c>
      <c r="D48" s="7" t="s">
        <v>208</v>
      </c>
      <c r="E48" s="7" t="s">
        <v>209</v>
      </c>
      <c r="F48" s="6" t="s">
        <v>210</v>
      </c>
      <c r="G48" s="7" t="s">
        <v>15</v>
      </c>
      <c r="H48" s="7" t="s">
        <v>211</v>
      </c>
      <c r="I48" s="7" t="s">
        <v>212</v>
      </c>
    </row>
    <row r="49" spans="1:9" ht="100.5" customHeight="1" x14ac:dyDescent="0.35">
      <c r="A49" s="6">
        <v>47</v>
      </c>
      <c r="B49" s="7" t="s">
        <v>144</v>
      </c>
      <c r="C49" s="6" t="s">
        <v>65</v>
      </c>
      <c r="D49" s="7" t="s">
        <v>213</v>
      </c>
      <c r="E49" s="7" t="s">
        <v>214</v>
      </c>
      <c r="F49" s="6" t="s">
        <v>215</v>
      </c>
      <c r="G49" s="7" t="s">
        <v>42</v>
      </c>
      <c r="H49" s="7" t="s">
        <v>216</v>
      </c>
      <c r="I49" s="7" t="s">
        <v>217</v>
      </c>
    </row>
    <row r="50" spans="1:9" ht="100.5" customHeight="1" x14ac:dyDescent="0.35">
      <c r="A50" s="6">
        <v>48</v>
      </c>
      <c r="B50" s="7" t="s">
        <v>144</v>
      </c>
      <c r="C50" s="6" t="s">
        <v>65</v>
      </c>
      <c r="D50" s="7" t="s">
        <v>213</v>
      </c>
      <c r="E50" s="7" t="s">
        <v>218</v>
      </c>
      <c r="F50" s="6" t="s">
        <v>219</v>
      </c>
      <c r="G50" s="7" t="s">
        <v>42</v>
      </c>
      <c r="H50" s="7" t="s">
        <v>220</v>
      </c>
      <c r="I50" s="7" t="s">
        <v>221</v>
      </c>
    </row>
    <row r="51" spans="1:9" ht="113.25" customHeight="1" x14ac:dyDescent="0.35">
      <c r="A51" s="6">
        <v>49</v>
      </c>
      <c r="B51" s="7" t="s">
        <v>144</v>
      </c>
      <c r="C51" s="6" t="s">
        <v>65</v>
      </c>
      <c r="D51" s="7" t="s">
        <v>222</v>
      </c>
      <c r="E51" s="7" t="s">
        <v>223</v>
      </c>
      <c r="F51" s="6" t="s">
        <v>210</v>
      </c>
      <c r="G51" s="7" t="s">
        <v>42</v>
      </c>
      <c r="H51" s="7" t="s">
        <v>224</v>
      </c>
      <c r="I51" s="7" t="s">
        <v>225</v>
      </c>
    </row>
    <row r="52" spans="1:9" ht="213" customHeight="1" x14ac:dyDescent="0.35">
      <c r="A52" s="6">
        <v>50</v>
      </c>
      <c r="B52" s="7" t="s">
        <v>174</v>
      </c>
      <c r="C52" s="6" t="s">
        <v>22</v>
      </c>
      <c r="D52" s="7" t="s">
        <v>226</v>
      </c>
      <c r="E52" s="7" t="s">
        <v>227</v>
      </c>
      <c r="F52" s="6" t="s">
        <v>93</v>
      </c>
      <c r="G52" s="7" t="s">
        <v>15</v>
      </c>
      <c r="H52" s="7" t="s">
        <v>228</v>
      </c>
      <c r="I52" s="7" t="s">
        <v>229</v>
      </c>
    </row>
    <row r="53" spans="1:9" ht="88.5" customHeight="1" x14ac:dyDescent="0.35">
      <c r="A53" s="6">
        <v>51</v>
      </c>
      <c r="B53" s="7" t="s">
        <v>144</v>
      </c>
      <c r="C53" s="6" t="s">
        <v>96</v>
      </c>
      <c r="D53" s="7" t="s">
        <v>230</v>
      </c>
      <c r="E53" s="7" t="s">
        <v>231</v>
      </c>
      <c r="F53" s="6" t="s">
        <v>232</v>
      </c>
      <c r="G53" s="7" t="s">
        <v>103</v>
      </c>
      <c r="H53" s="7" t="s">
        <v>233</v>
      </c>
      <c r="I53" s="7" t="s">
        <v>234</v>
      </c>
    </row>
    <row r="54" spans="1:9" ht="88.5" customHeight="1" x14ac:dyDescent="0.35">
      <c r="A54" s="6">
        <v>52</v>
      </c>
      <c r="B54" s="7" t="s">
        <v>144</v>
      </c>
      <c r="C54" s="6" t="s">
        <v>39</v>
      </c>
      <c r="D54" s="7" t="s">
        <v>235</v>
      </c>
      <c r="E54" s="7" t="s">
        <v>192</v>
      </c>
      <c r="F54" s="6" t="s">
        <v>14</v>
      </c>
      <c r="G54" s="7" t="s">
        <v>103</v>
      </c>
      <c r="H54" s="7" t="s">
        <v>193</v>
      </c>
      <c r="I54" s="7" t="s">
        <v>236</v>
      </c>
    </row>
    <row r="55" spans="1:9" ht="188.25" customHeight="1" x14ac:dyDescent="0.35">
      <c r="A55" s="6">
        <v>53</v>
      </c>
      <c r="B55" s="7" t="s">
        <v>144</v>
      </c>
      <c r="C55" s="6" t="s">
        <v>65</v>
      </c>
      <c r="D55" s="7" t="s">
        <v>237</v>
      </c>
      <c r="E55" s="7" t="s">
        <v>238</v>
      </c>
      <c r="F55" s="6" t="s">
        <v>99</v>
      </c>
      <c r="G55" s="7" t="s">
        <v>42</v>
      </c>
      <c r="H55" s="7" t="s">
        <v>239</v>
      </c>
      <c r="I55" s="7" t="s">
        <v>240</v>
      </c>
    </row>
    <row r="56" spans="1:9" ht="163.5" customHeight="1" x14ac:dyDescent="0.35">
      <c r="A56" s="6">
        <v>54</v>
      </c>
      <c r="B56" s="7" t="s">
        <v>144</v>
      </c>
      <c r="C56" s="6" t="s">
        <v>65</v>
      </c>
      <c r="D56" s="7" t="s">
        <v>241</v>
      </c>
      <c r="E56" s="7" t="s">
        <v>242</v>
      </c>
      <c r="F56" s="6" t="s">
        <v>99</v>
      </c>
      <c r="G56" s="7" t="s">
        <v>42</v>
      </c>
      <c r="H56" s="7" t="s">
        <v>243</v>
      </c>
      <c r="I56" s="7" t="s">
        <v>244</v>
      </c>
    </row>
    <row r="57" spans="1:9" ht="138" customHeight="1" x14ac:dyDescent="0.35">
      <c r="A57" s="6">
        <v>55</v>
      </c>
      <c r="B57" s="7" t="s">
        <v>144</v>
      </c>
      <c r="C57" s="6" t="s">
        <v>96</v>
      </c>
      <c r="D57" s="7" t="s">
        <v>245</v>
      </c>
      <c r="E57" s="7" t="s">
        <v>246</v>
      </c>
      <c r="F57" s="6" t="s">
        <v>210</v>
      </c>
      <c r="G57" s="7" t="s">
        <v>15</v>
      </c>
      <c r="H57" s="7" t="s">
        <v>247</v>
      </c>
      <c r="I57" s="7" t="s">
        <v>248</v>
      </c>
    </row>
    <row r="58" spans="1:9" ht="63" customHeight="1" x14ac:dyDescent="0.35">
      <c r="A58" s="6">
        <v>56</v>
      </c>
      <c r="B58" s="7" t="s">
        <v>144</v>
      </c>
      <c r="C58" s="6" t="s">
        <v>22</v>
      </c>
      <c r="D58" s="7" t="s">
        <v>249</v>
      </c>
      <c r="E58" s="7" t="s">
        <v>250</v>
      </c>
      <c r="F58" s="6" t="s">
        <v>14</v>
      </c>
      <c r="G58" s="7" t="s">
        <v>42</v>
      </c>
      <c r="H58" s="7" t="s">
        <v>251</v>
      </c>
      <c r="I58" s="7" t="s">
        <v>252</v>
      </c>
    </row>
    <row r="59" spans="1:9" ht="100.5" customHeight="1" x14ac:dyDescent="0.35">
      <c r="A59" s="6">
        <v>57</v>
      </c>
      <c r="B59" s="7" t="s">
        <v>144</v>
      </c>
      <c r="C59" s="6" t="s">
        <v>39</v>
      </c>
      <c r="D59" s="7" t="s">
        <v>253</v>
      </c>
      <c r="E59" s="7" t="s">
        <v>254</v>
      </c>
      <c r="F59" s="6" t="s">
        <v>255</v>
      </c>
      <c r="G59" s="7" t="s">
        <v>103</v>
      </c>
      <c r="H59" s="7" t="s">
        <v>256</v>
      </c>
      <c r="I59" s="7" t="s">
        <v>257</v>
      </c>
    </row>
    <row r="60" spans="1:9" ht="188.25" customHeight="1" x14ac:dyDescent="0.35">
      <c r="A60" s="6">
        <v>58</v>
      </c>
      <c r="B60" s="7" t="s">
        <v>258</v>
      </c>
      <c r="C60" s="6" t="s">
        <v>39</v>
      </c>
      <c r="D60" s="7" t="s">
        <v>259</v>
      </c>
      <c r="E60" s="7" t="s">
        <v>260</v>
      </c>
      <c r="F60" s="6" t="s">
        <v>261</v>
      </c>
      <c r="G60" s="7" t="s">
        <v>15</v>
      </c>
      <c r="H60" s="7" t="s">
        <v>262</v>
      </c>
      <c r="I60" s="7" t="s">
        <v>263</v>
      </c>
    </row>
    <row r="61" spans="1:9" ht="138" customHeight="1" x14ac:dyDescent="0.35">
      <c r="A61" s="6">
        <v>59</v>
      </c>
      <c r="B61" s="7" t="s">
        <v>258</v>
      </c>
      <c r="C61" s="6" t="s">
        <v>65</v>
      </c>
      <c r="D61" s="7" t="s">
        <v>264</v>
      </c>
      <c r="E61" s="7" t="s">
        <v>265</v>
      </c>
      <c r="F61" s="6" t="s">
        <v>14</v>
      </c>
      <c r="G61" s="7" t="s">
        <v>15</v>
      </c>
      <c r="H61" s="7" t="s">
        <v>266</v>
      </c>
      <c r="I61" s="7" t="s">
        <v>267</v>
      </c>
    </row>
    <row r="62" spans="1:9" ht="100.5" customHeight="1" x14ac:dyDescent="0.35">
      <c r="A62" s="6">
        <v>60</v>
      </c>
      <c r="B62" s="7" t="s">
        <v>258</v>
      </c>
      <c r="C62" s="6" t="s">
        <v>22</v>
      </c>
      <c r="D62" s="7" t="s">
        <v>268</v>
      </c>
      <c r="E62" s="7" t="s">
        <v>269</v>
      </c>
      <c r="F62" s="6" t="s">
        <v>93</v>
      </c>
      <c r="G62" s="7" t="s">
        <v>103</v>
      </c>
      <c r="H62" s="7" t="s">
        <v>270</v>
      </c>
      <c r="I62" s="7" t="s">
        <v>271</v>
      </c>
    </row>
    <row r="63" spans="1:9" ht="201" customHeight="1" x14ac:dyDescent="0.35">
      <c r="A63" s="6">
        <v>61</v>
      </c>
      <c r="B63" s="7" t="s">
        <v>258</v>
      </c>
      <c r="C63" s="6" t="s">
        <v>39</v>
      </c>
      <c r="D63" s="7" t="s">
        <v>272</v>
      </c>
      <c r="E63" s="7" t="s">
        <v>273</v>
      </c>
      <c r="F63" s="6" t="s">
        <v>93</v>
      </c>
      <c r="G63" s="7" t="s">
        <v>15</v>
      </c>
      <c r="H63" s="7" t="s">
        <v>274</v>
      </c>
      <c r="I63" s="7" t="s">
        <v>275</v>
      </c>
    </row>
    <row r="64" spans="1:9" ht="113.25" customHeight="1" x14ac:dyDescent="0.35">
      <c r="A64" s="6">
        <v>62</v>
      </c>
      <c r="B64" s="7" t="s">
        <v>258</v>
      </c>
      <c r="C64" s="6" t="s">
        <v>22</v>
      </c>
      <c r="D64" s="7" t="s">
        <v>276</v>
      </c>
      <c r="E64" s="7" t="s">
        <v>277</v>
      </c>
      <c r="F64" s="6" t="s">
        <v>210</v>
      </c>
      <c r="G64" s="7" t="s">
        <v>15</v>
      </c>
      <c r="H64" s="7" t="s">
        <v>278</v>
      </c>
      <c r="I64" s="7" t="s">
        <v>279</v>
      </c>
    </row>
    <row r="65" spans="1:9" ht="88.5" customHeight="1" x14ac:dyDescent="0.35">
      <c r="A65" s="6">
        <v>63</v>
      </c>
      <c r="B65" s="7" t="s">
        <v>258</v>
      </c>
      <c r="C65" s="6" t="s">
        <v>22</v>
      </c>
      <c r="D65" s="7" t="s">
        <v>280</v>
      </c>
      <c r="E65" s="7" t="s">
        <v>281</v>
      </c>
      <c r="F65" s="6" t="s">
        <v>14</v>
      </c>
      <c r="G65" s="7" t="s">
        <v>15</v>
      </c>
      <c r="H65" s="7" t="s">
        <v>282</v>
      </c>
      <c r="I65" s="7" t="s">
        <v>283</v>
      </c>
    </row>
    <row r="66" spans="1:9" ht="100.5" customHeight="1" x14ac:dyDescent="0.35">
      <c r="A66" s="6">
        <v>64</v>
      </c>
      <c r="B66" s="7" t="s">
        <v>258</v>
      </c>
      <c r="C66" s="6" t="s">
        <v>39</v>
      </c>
      <c r="D66" s="7" t="s">
        <v>284</v>
      </c>
      <c r="E66" s="7" t="s">
        <v>285</v>
      </c>
      <c r="F66" s="6" t="s">
        <v>261</v>
      </c>
      <c r="G66" s="7" t="s">
        <v>103</v>
      </c>
      <c r="H66" s="7" t="s">
        <v>286</v>
      </c>
      <c r="I66" s="7" t="s">
        <v>287</v>
      </c>
    </row>
    <row r="67" spans="1:9" ht="75.75" customHeight="1" x14ac:dyDescent="0.35">
      <c r="A67" s="6">
        <v>65</v>
      </c>
      <c r="B67" s="7" t="s">
        <v>288</v>
      </c>
      <c r="C67" s="6" t="s">
        <v>39</v>
      </c>
      <c r="D67" s="7" t="s">
        <v>289</v>
      </c>
      <c r="E67" s="7" t="s">
        <v>290</v>
      </c>
      <c r="F67" s="6" t="s">
        <v>14</v>
      </c>
      <c r="G67" s="7" t="s">
        <v>103</v>
      </c>
      <c r="H67" s="7" t="s">
        <v>291</v>
      </c>
      <c r="I67" s="7" t="s">
        <v>292</v>
      </c>
    </row>
    <row r="68" spans="1:9" ht="113.25" customHeight="1" x14ac:dyDescent="0.35">
      <c r="A68" s="6">
        <v>66</v>
      </c>
      <c r="B68" s="7" t="s">
        <v>288</v>
      </c>
      <c r="C68" s="6" t="s">
        <v>39</v>
      </c>
      <c r="D68" s="7" t="s">
        <v>289</v>
      </c>
      <c r="E68" s="7" t="s">
        <v>293</v>
      </c>
      <c r="F68" s="6" t="s">
        <v>14</v>
      </c>
      <c r="G68" s="7" t="s">
        <v>15</v>
      </c>
      <c r="H68" s="7" t="s">
        <v>294</v>
      </c>
      <c r="I68" s="7" t="s">
        <v>295</v>
      </c>
    </row>
    <row r="69" spans="1:9" ht="225.75" customHeight="1" x14ac:dyDescent="0.35">
      <c r="A69" s="6">
        <v>67</v>
      </c>
      <c r="B69" s="7" t="s">
        <v>288</v>
      </c>
      <c r="C69" s="6" t="s">
        <v>39</v>
      </c>
      <c r="D69" s="7" t="s">
        <v>296</v>
      </c>
      <c r="E69" s="7" t="s">
        <v>297</v>
      </c>
      <c r="F69" s="6" t="s">
        <v>255</v>
      </c>
      <c r="G69" s="7" t="s">
        <v>15</v>
      </c>
      <c r="H69" s="7" t="s">
        <v>298</v>
      </c>
      <c r="I69" s="7" t="s">
        <v>299</v>
      </c>
    </row>
    <row r="70" spans="1:9" ht="150.75" customHeight="1" x14ac:dyDescent="0.35">
      <c r="A70" s="6">
        <v>68</v>
      </c>
      <c r="B70" s="7" t="s">
        <v>288</v>
      </c>
      <c r="C70" s="6" t="s">
        <v>65</v>
      </c>
      <c r="D70" s="7" t="s">
        <v>300</v>
      </c>
      <c r="E70" s="7" t="s">
        <v>301</v>
      </c>
      <c r="F70" s="6" t="s">
        <v>14</v>
      </c>
      <c r="G70" s="7" t="s">
        <v>15</v>
      </c>
      <c r="H70" s="7" t="s">
        <v>302</v>
      </c>
      <c r="I70" s="7" t="s">
        <v>303</v>
      </c>
    </row>
    <row r="71" spans="1:9" ht="188.25" customHeight="1" x14ac:dyDescent="0.35">
      <c r="A71" s="6">
        <v>69</v>
      </c>
      <c r="B71" s="7" t="s">
        <v>288</v>
      </c>
      <c r="C71" s="6" t="s">
        <v>65</v>
      </c>
      <c r="D71" s="7" t="s">
        <v>304</v>
      </c>
      <c r="E71" s="7" t="s">
        <v>305</v>
      </c>
      <c r="F71" s="6" t="s">
        <v>14</v>
      </c>
      <c r="G71" s="7" t="s">
        <v>15</v>
      </c>
      <c r="H71" s="7" t="s">
        <v>306</v>
      </c>
      <c r="I71" s="7" t="s">
        <v>307</v>
      </c>
    </row>
    <row r="72" spans="1:9" ht="188.25" customHeight="1" x14ac:dyDescent="0.35">
      <c r="A72" s="6">
        <v>70</v>
      </c>
      <c r="B72" s="7" t="s">
        <v>288</v>
      </c>
      <c r="C72" s="6" t="s">
        <v>65</v>
      </c>
      <c r="D72" s="7" t="s">
        <v>289</v>
      </c>
      <c r="E72" s="7" t="s">
        <v>308</v>
      </c>
      <c r="F72" s="6" t="s">
        <v>14</v>
      </c>
      <c r="G72" s="7" t="s">
        <v>15</v>
      </c>
      <c r="H72" s="7" t="s">
        <v>309</v>
      </c>
      <c r="I72" s="7" t="s">
        <v>310</v>
      </c>
    </row>
    <row r="73" spans="1:9" ht="100.5" customHeight="1" x14ac:dyDescent="0.35">
      <c r="A73" s="6">
        <v>71</v>
      </c>
      <c r="B73" s="7" t="s">
        <v>288</v>
      </c>
      <c r="C73" s="6" t="s">
        <v>96</v>
      </c>
      <c r="D73" s="7" t="s">
        <v>289</v>
      </c>
      <c r="E73" s="7" t="s">
        <v>311</v>
      </c>
      <c r="F73" s="6" t="s">
        <v>14</v>
      </c>
      <c r="G73" s="7" t="s">
        <v>103</v>
      </c>
      <c r="H73" s="7" t="s">
        <v>312</v>
      </c>
      <c r="I73" s="7" t="s">
        <v>313</v>
      </c>
    </row>
    <row r="74" spans="1:9" ht="100.5" customHeight="1" x14ac:dyDescent="0.35">
      <c r="A74" s="6">
        <v>72</v>
      </c>
      <c r="B74" s="7" t="s">
        <v>288</v>
      </c>
      <c r="C74" s="6" t="s">
        <v>22</v>
      </c>
      <c r="D74" s="7" t="s">
        <v>289</v>
      </c>
      <c r="E74" s="7" t="s">
        <v>314</v>
      </c>
      <c r="F74" s="6" t="s">
        <v>88</v>
      </c>
      <c r="G74" s="7" t="s">
        <v>42</v>
      </c>
      <c r="H74" s="7" t="s">
        <v>315</v>
      </c>
      <c r="I74" s="7" t="s">
        <v>316</v>
      </c>
    </row>
    <row r="75" spans="1:9" ht="138" customHeight="1" x14ac:dyDescent="0.35">
      <c r="A75" s="6">
        <v>73</v>
      </c>
      <c r="B75" s="7" t="s">
        <v>288</v>
      </c>
      <c r="C75" s="6" t="s">
        <v>96</v>
      </c>
      <c r="D75" s="7" t="s">
        <v>317</v>
      </c>
      <c r="E75" s="7" t="s">
        <v>318</v>
      </c>
      <c r="F75" s="6" t="s">
        <v>93</v>
      </c>
      <c r="G75" s="7" t="s">
        <v>42</v>
      </c>
      <c r="H75" s="7" t="s">
        <v>319</v>
      </c>
      <c r="I75" s="7" t="s">
        <v>320</v>
      </c>
    </row>
    <row r="76" spans="1:9" ht="38.25" customHeight="1" x14ac:dyDescent="0.35">
      <c r="A76" s="6">
        <v>74</v>
      </c>
      <c r="B76" s="7" t="s">
        <v>288</v>
      </c>
      <c r="C76" s="6" t="s">
        <v>65</v>
      </c>
      <c r="D76" s="7" t="s">
        <v>289</v>
      </c>
      <c r="E76" s="7" t="s">
        <v>321</v>
      </c>
      <c r="F76" s="6" t="s">
        <v>93</v>
      </c>
      <c r="G76" s="7" t="s">
        <v>42</v>
      </c>
      <c r="H76" s="7" t="s">
        <v>322</v>
      </c>
      <c r="I76" s="7" t="s">
        <v>322</v>
      </c>
    </row>
    <row r="77" spans="1:9" ht="100.5" customHeight="1" x14ac:dyDescent="0.35">
      <c r="A77" s="6">
        <v>75</v>
      </c>
      <c r="B77" s="7" t="s">
        <v>288</v>
      </c>
      <c r="C77" s="6" t="s">
        <v>96</v>
      </c>
      <c r="D77" s="7" t="s">
        <v>323</v>
      </c>
      <c r="E77" s="7" t="s">
        <v>324</v>
      </c>
      <c r="F77" s="6" t="s">
        <v>325</v>
      </c>
      <c r="G77" s="7" t="s">
        <v>42</v>
      </c>
      <c r="H77" s="7" t="s">
        <v>326</v>
      </c>
      <c r="I77" s="7" t="s">
        <v>327</v>
      </c>
    </row>
    <row r="78" spans="1:9" ht="100.5" customHeight="1" x14ac:dyDescent="0.35">
      <c r="A78" s="6">
        <v>76</v>
      </c>
      <c r="B78" s="7" t="s">
        <v>288</v>
      </c>
      <c r="C78" s="6" t="s">
        <v>22</v>
      </c>
      <c r="D78" s="7" t="s">
        <v>323</v>
      </c>
      <c r="E78" s="7" t="s">
        <v>328</v>
      </c>
      <c r="F78" s="6" t="s">
        <v>325</v>
      </c>
      <c r="G78" s="7" t="s">
        <v>42</v>
      </c>
      <c r="H78" s="7" t="s">
        <v>326</v>
      </c>
      <c r="I78" s="7" t="s">
        <v>327</v>
      </c>
    </row>
    <row r="79" spans="1:9" ht="175.5" customHeight="1" x14ac:dyDescent="0.35">
      <c r="A79" s="6">
        <v>77</v>
      </c>
      <c r="B79" s="7" t="s">
        <v>288</v>
      </c>
      <c r="C79" s="6" t="s">
        <v>65</v>
      </c>
      <c r="D79" s="7" t="s">
        <v>329</v>
      </c>
      <c r="E79" s="7" t="s">
        <v>330</v>
      </c>
      <c r="F79" s="6" t="s">
        <v>99</v>
      </c>
      <c r="G79" s="7" t="s">
        <v>42</v>
      </c>
      <c r="H79" s="7" t="s">
        <v>331</v>
      </c>
      <c r="I79" s="7" t="s">
        <v>332</v>
      </c>
    </row>
    <row r="80" spans="1:9" ht="126" customHeight="1" x14ac:dyDescent="0.35">
      <c r="A80" s="6">
        <v>78</v>
      </c>
      <c r="B80" s="7" t="s">
        <v>288</v>
      </c>
      <c r="C80" s="6" t="s">
        <v>22</v>
      </c>
      <c r="D80" s="7" t="s">
        <v>289</v>
      </c>
      <c r="E80" s="7" t="s">
        <v>333</v>
      </c>
      <c r="F80" s="6" t="s">
        <v>334</v>
      </c>
      <c r="G80" s="7" t="s">
        <v>42</v>
      </c>
      <c r="H80" s="7" t="s">
        <v>335</v>
      </c>
      <c r="I80" s="7" t="s">
        <v>336</v>
      </c>
    </row>
    <row r="81" spans="1:9" ht="88.5" customHeight="1" x14ac:dyDescent="0.35">
      <c r="A81" s="6">
        <v>79</v>
      </c>
      <c r="B81" s="7" t="s">
        <v>288</v>
      </c>
      <c r="C81" s="6" t="s">
        <v>39</v>
      </c>
      <c r="D81" s="7" t="s">
        <v>337</v>
      </c>
      <c r="E81" s="7" t="s">
        <v>338</v>
      </c>
      <c r="F81" s="6" t="s">
        <v>255</v>
      </c>
      <c r="G81" s="7" t="s">
        <v>42</v>
      </c>
      <c r="H81" s="7" t="s">
        <v>339</v>
      </c>
      <c r="I81" s="7" t="s">
        <v>340</v>
      </c>
    </row>
    <row r="82" spans="1:9" ht="126" customHeight="1" x14ac:dyDescent="0.35">
      <c r="A82" s="6">
        <v>80</v>
      </c>
      <c r="B82" s="7" t="s">
        <v>288</v>
      </c>
      <c r="C82" s="6" t="s">
        <v>39</v>
      </c>
      <c r="D82" s="7" t="s">
        <v>337</v>
      </c>
      <c r="E82" s="7" t="s">
        <v>341</v>
      </c>
      <c r="F82" s="6" t="s">
        <v>342</v>
      </c>
      <c r="G82" s="7" t="s">
        <v>42</v>
      </c>
      <c r="H82" s="7" t="s">
        <v>343</v>
      </c>
      <c r="I82" s="7" t="s">
        <v>344</v>
      </c>
    </row>
    <row r="83" spans="1:9" ht="100.5" customHeight="1" x14ac:dyDescent="0.35">
      <c r="A83" s="6">
        <v>81</v>
      </c>
      <c r="B83" s="7" t="s">
        <v>288</v>
      </c>
      <c r="C83" s="6" t="s">
        <v>39</v>
      </c>
      <c r="D83" s="7" t="s">
        <v>345</v>
      </c>
      <c r="E83" s="7" t="s">
        <v>346</v>
      </c>
      <c r="F83" s="6" t="s">
        <v>261</v>
      </c>
      <c r="G83" s="7" t="s">
        <v>42</v>
      </c>
      <c r="H83" s="7" t="s">
        <v>347</v>
      </c>
      <c r="I83" s="7" t="s">
        <v>348</v>
      </c>
    </row>
    <row r="84" spans="1:9" ht="150.75" customHeight="1" x14ac:dyDescent="0.35">
      <c r="A84" s="6">
        <v>82</v>
      </c>
      <c r="B84" s="7" t="s">
        <v>349</v>
      </c>
      <c r="C84" s="6" t="s">
        <v>39</v>
      </c>
      <c r="D84" s="7" t="s">
        <v>350</v>
      </c>
      <c r="E84" s="7" t="s">
        <v>351</v>
      </c>
      <c r="F84" s="6" t="s">
        <v>352</v>
      </c>
      <c r="G84" s="7" t="s">
        <v>15</v>
      </c>
      <c r="H84" s="7" t="s">
        <v>353</v>
      </c>
      <c r="I84" s="7" t="s">
        <v>354</v>
      </c>
    </row>
    <row r="85" spans="1:9" ht="113.25" customHeight="1" x14ac:dyDescent="0.35">
      <c r="A85" s="6">
        <v>83</v>
      </c>
      <c r="B85" s="7" t="s">
        <v>349</v>
      </c>
      <c r="C85" s="6" t="s">
        <v>39</v>
      </c>
      <c r="D85" s="7" t="s">
        <v>350</v>
      </c>
      <c r="E85" s="7" t="s">
        <v>355</v>
      </c>
      <c r="F85" s="6" t="s">
        <v>352</v>
      </c>
      <c r="G85" s="7" t="s">
        <v>42</v>
      </c>
      <c r="H85" s="7" t="s">
        <v>356</v>
      </c>
      <c r="I85" s="7" t="s">
        <v>357</v>
      </c>
    </row>
    <row r="86" spans="1:9" ht="213" customHeight="1" x14ac:dyDescent="0.35">
      <c r="A86" s="6">
        <v>84</v>
      </c>
      <c r="B86" s="7" t="s">
        <v>358</v>
      </c>
      <c r="C86" s="6" t="s">
        <v>65</v>
      </c>
      <c r="D86" s="7" t="s">
        <v>359</v>
      </c>
      <c r="E86" s="7" t="s">
        <v>360</v>
      </c>
      <c r="F86" s="6" t="s">
        <v>14</v>
      </c>
      <c r="G86" s="7" t="s">
        <v>15</v>
      </c>
      <c r="H86" s="7" t="s">
        <v>361</v>
      </c>
      <c r="I86" s="7" t="s">
        <v>362</v>
      </c>
    </row>
    <row r="87" spans="1:9" ht="126" customHeight="1" x14ac:dyDescent="0.35">
      <c r="A87" s="6">
        <v>85</v>
      </c>
      <c r="B87" s="7" t="s">
        <v>358</v>
      </c>
      <c r="C87" s="6" t="s">
        <v>96</v>
      </c>
      <c r="D87" s="7" t="s">
        <v>363</v>
      </c>
      <c r="E87" s="7" t="s">
        <v>364</v>
      </c>
      <c r="F87" s="6" t="s">
        <v>88</v>
      </c>
      <c r="G87" s="7" t="s">
        <v>15</v>
      </c>
      <c r="H87" s="7" t="s">
        <v>365</v>
      </c>
      <c r="I87" s="7" t="s">
        <v>366</v>
      </c>
    </row>
    <row r="88" spans="1:9" ht="113.25" customHeight="1" x14ac:dyDescent="0.35">
      <c r="A88" s="6">
        <v>86</v>
      </c>
      <c r="B88" s="7" t="s">
        <v>358</v>
      </c>
      <c r="C88" s="6" t="s">
        <v>96</v>
      </c>
      <c r="D88" s="7" t="s">
        <v>367</v>
      </c>
      <c r="E88" s="7" t="s">
        <v>368</v>
      </c>
      <c r="F88" s="6" t="s">
        <v>88</v>
      </c>
      <c r="G88" s="7" t="s">
        <v>15</v>
      </c>
      <c r="H88" s="7" t="s">
        <v>369</v>
      </c>
      <c r="I88" s="7" t="s">
        <v>370</v>
      </c>
    </row>
    <row r="89" spans="1:9" ht="63" customHeight="1" x14ac:dyDescent="0.35">
      <c r="A89" s="6">
        <v>87</v>
      </c>
      <c r="B89" s="7" t="s">
        <v>358</v>
      </c>
      <c r="C89" s="6" t="s">
        <v>22</v>
      </c>
      <c r="D89" s="7" t="s">
        <v>363</v>
      </c>
      <c r="E89" s="7" t="s">
        <v>371</v>
      </c>
      <c r="F89" s="6" t="s">
        <v>88</v>
      </c>
      <c r="G89" s="7" t="s">
        <v>15</v>
      </c>
      <c r="H89" s="7" t="s">
        <v>372</v>
      </c>
      <c r="I89" s="7" t="s">
        <v>373</v>
      </c>
    </row>
    <row r="90" spans="1:9" ht="175.5" customHeight="1" x14ac:dyDescent="0.35">
      <c r="A90" s="6">
        <v>88</v>
      </c>
      <c r="B90" s="7" t="s">
        <v>358</v>
      </c>
      <c r="C90" s="6" t="s">
        <v>39</v>
      </c>
      <c r="D90" s="7" t="s">
        <v>374</v>
      </c>
      <c r="E90" s="7" t="s">
        <v>375</v>
      </c>
      <c r="F90" s="6" t="s">
        <v>88</v>
      </c>
      <c r="G90" s="7" t="s">
        <v>15</v>
      </c>
      <c r="H90" s="7" t="s">
        <v>376</v>
      </c>
      <c r="I90" s="7" t="s">
        <v>377</v>
      </c>
    </row>
    <row r="91" spans="1:9" ht="138" customHeight="1" x14ac:dyDescent="0.35">
      <c r="A91" s="6">
        <v>89</v>
      </c>
      <c r="B91" s="7" t="s">
        <v>358</v>
      </c>
      <c r="C91" s="6" t="s">
        <v>39</v>
      </c>
      <c r="D91" s="7" t="s">
        <v>378</v>
      </c>
      <c r="E91" s="7" t="s">
        <v>379</v>
      </c>
      <c r="F91" s="6" t="s">
        <v>88</v>
      </c>
      <c r="G91" s="7" t="s">
        <v>42</v>
      </c>
      <c r="H91" s="7" t="s">
        <v>380</v>
      </c>
      <c r="I91" s="7" t="s">
        <v>381</v>
      </c>
    </row>
    <row r="92" spans="1:9" ht="100.5" customHeight="1" x14ac:dyDescent="0.35">
      <c r="A92" s="6">
        <v>90</v>
      </c>
      <c r="B92" s="7" t="s">
        <v>358</v>
      </c>
      <c r="C92" s="6" t="s">
        <v>65</v>
      </c>
      <c r="D92" s="7" t="s">
        <v>378</v>
      </c>
      <c r="E92" s="7" t="s">
        <v>382</v>
      </c>
      <c r="F92" s="6" t="s">
        <v>88</v>
      </c>
      <c r="G92" s="7" t="s">
        <v>15</v>
      </c>
      <c r="H92" s="7" t="s">
        <v>383</v>
      </c>
      <c r="I92" s="7" t="s">
        <v>384</v>
      </c>
    </row>
    <row r="93" spans="1:9" ht="201" customHeight="1" x14ac:dyDescent="0.35">
      <c r="A93" s="6">
        <v>91</v>
      </c>
      <c r="B93" s="7" t="s">
        <v>358</v>
      </c>
      <c r="C93" s="6" t="s">
        <v>65</v>
      </c>
      <c r="D93" s="7" t="s">
        <v>385</v>
      </c>
      <c r="E93" s="7" t="s">
        <v>386</v>
      </c>
      <c r="F93" s="6" t="s">
        <v>88</v>
      </c>
      <c r="G93" s="7" t="s">
        <v>15</v>
      </c>
      <c r="H93" s="7" t="s">
        <v>387</v>
      </c>
      <c r="I93" s="7" t="s">
        <v>388</v>
      </c>
    </row>
    <row r="94" spans="1:9" ht="163.5" customHeight="1" x14ac:dyDescent="0.35">
      <c r="A94" s="6">
        <v>92</v>
      </c>
      <c r="B94" s="7" t="s">
        <v>358</v>
      </c>
      <c r="C94" s="6" t="s">
        <v>65</v>
      </c>
      <c r="D94" s="7" t="s">
        <v>363</v>
      </c>
      <c r="E94" s="7" t="s">
        <v>389</v>
      </c>
      <c r="F94" s="6" t="s">
        <v>88</v>
      </c>
      <c r="G94" s="7" t="s">
        <v>103</v>
      </c>
      <c r="H94" s="7" t="s">
        <v>390</v>
      </c>
      <c r="I94" s="7" t="s">
        <v>391</v>
      </c>
    </row>
    <row r="95" spans="1:9" ht="63" customHeight="1" x14ac:dyDescent="0.35">
      <c r="A95" s="6">
        <v>93</v>
      </c>
      <c r="B95" s="7" t="s">
        <v>358</v>
      </c>
      <c r="C95" s="6" t="s">
        <v>65</v>
      </c>
      <c r="D95" s="7" t="s">
        <v>363</v>
      </c>
      <c r="E95" s="7" t="s">
        <v>392</v>
      </c>
      <c r="F95" s="6" t="s">
        <v>88</v>
      </c>
      <c r="G95" s="7" t="s">
        <v>103</v>
      </c>
      <c r="H95" s="7" t="s">
        <v>393</v>
      </c>
      <c r="I95" s="7" t="s">
        <v>394</v>
      </c>
    </row>
    <row r="96" spans="1:9" ht="100.5" customHeight="1" x14ac:dyDescent="0.35">
      <c r="A96" s="6">
        <v>94</v>
      </c>
      <c r="B96" s="7" t="s">
        <v>358</v>
      </c>
      <c r="C96" s="6" t="s">
        <v>96</v>
      </c>
      <c r="D96" s="7" t="s">
        <v>395</v>
      </c>
      <c r="E96" s="7" t="s">
        <v>396</v>
      </c>
      <c r="F96" s="6" t="s">
        <v>93</v>
      </c>
      <c r="G96" s="7" t="s">
        <v>103</v>
      </c>
      <c r="H96" s="7" t="s">
        <v>397</v>
      </c>
      <c r="I96" s="7" t="s">
        <v>398</v>
      </c>
    </row>
    <row r="97" spans="1:9" ht="100.5" customHeight="1" x14ac:dyDescent="0.35">
      <c r="A97" s="6">
        <v>95</v>
      </c>
      <c r="B97" s="7" t="s">
        <v>358</v>
      </c>
      <c r="C97" s="6" t="s">
        <v>96</v>
      </c>
      <c r="D97" s="7" t="s">
        <v>399</v>
      </c>
      <c r="E97" s="7" t="s">
        <v>400</v>
      </c>
      <c r="F97" s="6" t="s">
        <v>93</v>
      </c>
      <c r="G97" s="7" t="s">
        <v>15</v>
      </c>
      <c r="H97" s="7" t="s">
        <v>401</v>
      </c>
      <c r="I97" s="7" t="s">
        <v>402</v>
      </c>
    </row>
    <row r="98" spans="1:9" ht="100.5" customHeight="1" x14ac:dyDescent="0.35">
      <c r="A98" s="6">
        <v>96</v>
      </c>
      <c r="B98" s="7" t="s">
        <v>403</v>
      </c>
      <c r="C98" s="6" t="s">
        <v>22</v>
      </c>
      <c r="D98" s="7" t="s">
        <v>404</v>
      </c>
      <c r="E98" s="7" t="s">
        <v>405</v>
      </c>
      <c r="F98" s="6" t="s">
        <v>88</v>
      </c>
      <c r="G98" s="7" t="s">
        <v>103</v>
      </c>
      <c r="H98" s="7" t="s">
        <v>406</v>
      </c>
      <c r="I98" s="7" t="s">
        <v>407</v>
      </c>
    </row>
    <row r="99" spans="1:9" ht="63" customHeight="1" x14ac:dyDescent="0.35">
      <c r="A99" s="6">
        <v>97</v>
      </c>
      <c r="B99" s="7" t="s">
        <v>403</v>
      </c>
      <c r="C99" s="6" t="s">
        <v>39</v>
      </c>
      <c r="D99" s="7" t="s">
        <v>408</v>
      </c>
      <c r="E99" s="7" t="s">
        <v>409</v>
      </c>
      <c r="F99" s="6" t="s">
        <v>88</v>
      </c>
      <c r="G99" s="7" t="s">
        <v>103</v>
      </c>
      <c r="H99" s="7" t="s">
        <v>410</v>
      </c>
      <c r="I99" s="7" t="s">
        <v>411</v>
      </c>
    </row>
    <row r="100" spans="1:9" ht="188.25" customHeight="1" x14ac:dyDescent="0.35">
      <c r="A100" s="6">
        <v>98</v>
      </c>
      <c r="B100" s="7" t="s">
        <v>403</v>
      </c>
      <c r="C100" s="6" t="s">
        <v>39</v>
      </c>
      <c r="D100" s="7" t="s">
        <v>412</v>
      </c>
      <c r="E100" s="7" t="s">
        <v>413</v>
      </c>
      <c r="F100" s="6" t="s">
        <v>88</v>
      </c>
      <c r="G100" s="7" t="s">
        <v>15</v>
      </c>
      <c r="H100" s="7" t="s">
        <v>414</v>
      </c>
      <c r="I100" s="7" t="s">
        <v>415</v>
      </c>
    </row>
    <row r="101" spans="1:9" ht="138" customHeight="1" x14ac:dyDescent="0.35">
      <c r="A101" s="6">
        <v>99</v>
      </c>
      <c r="B101" s="7" t="s">
        <v>403</v>
      </c>
      <c r="C101" s="6" t="s">
        <v>39</v>
      </c>
      <c r="D101" s="7" t="s">
        <v>416</v>
      </c>
      <c r="E101" s="7" t="s">
        <v>417</v>
      </c>
      <c r="F101" s="6" t="s">
        <v>88</v>
      </c>
      <c r="G101" s="7" t="s">
        <v>103</v>
      </c>
      <c r="H101" s="7" t="s">
        <v>418</v>
      </c>
      <c r="I101" s="7" t="s">
        <v>419</v>
      </c>
    </row>
    <row r="102" spans="1:9" ht="100.5" customHeight="1" x14ac:dyDescent="0.35">
      <c r="A102" s="6">
        <v>100</v>
      </c>
      <c r="B102" s="7" t="s">
        <v>403</v>
      </c>
      <c r="C102" s="6" t="s">
        <v>65</v>
      </c>
      <c r="D102" s="7" t="s">
        <v>408</v>
      </c>
      <c r="E102" s="7" t="s">
        <v>420</v>
      </c>
      <c r="F102" s="6" t="s">
        <v>88</v>
      </c>
      <c r="G102" s="7" t="s">
        <v>42</v>
      </c>
      <c r="H102" s="7" t="s">
        <v>421</v>
      </c>
      <c r="I102" s="7" t="s">
        <v>422</v>
      </c>
    </row>
    <row r="103" spans="1:9" ht="100.5" customHeight="1" x14ac:dyDescent="0.35">
      <c r="A103" s="6">
        <v>101</v>
      </c>
      <c r="B103" s="7" t="s">
        <v>403</v>
      </c>
      <c r="C103" s="6" t="s">
        <v>65</v>
      </c>
      <c r="D103" s="7" t="s">
        <v>408</v>
      </c>
      <c r="E103" s="7" t="s">
        <v>423</v>
      </c>
      <c r="F103" s="6" t="s">
        <v>88</v>
      </c>
      <c r="G103" s="7" t="s">
        <v>42</v>
      </c>
      <c r="H103" s="7" t="s">
        <v>424</v>
      </c>
      <c r="I103" s="7" t="s">
        <v>425</v>
      </c>
    </row>
    <row r="104" spans="1:9" ht="163.5" customHeight="1" x14ac:dyDescent="0.35">
      <c r="A104" s="6">
        <v>102</v>
      </c>
      <c r="B104" s="7" t="s">
        <v>403</v>
      </c>
      <c r="C104" s="6" t="s">
        <v>65</v>
      </c>
      <c r="D104" s="7" t="s">
        <v>426</v>
      </c>
      <c r="E104" s="7" t="s">
        <v>427</v>
      </c>
      <c r="F104" s="6" t="s">
        <v>88</v>
      </c>
      <c r="G104" s="7" t="s">
        <v>103</v>
      </c>
      <c r="H104" s="7" t="s">
        <v>428</v>
      </c>
      <c r="I104" s="7" t="s">
        <v>429</v>
      </c>
    </row>
    <row r="105" spans="1:9" ht="100.5" customHeight="1" x14ac:dyDescent="0.35">
      <c r="A105" s="6">
        <v>103</v>
      </c>
      <c r="B105" s="7" t="s">
        <v>403</v>
      </c>
      <c r="C105" s="6" t="s">
        <v>65</v>
      </c>
      <c r="D105" s="7" t="s">
        <v>430</v>
      </c>
      <c r="E105" s="7" t="s">
        <v>431</v>
      </c>
      <c r="F105" s="6" t="s">
        <v>88</v>
      </c>
      <c r="G105" s="7" t="s">
        <v>42</v>
      </c>
      <c r="H105" s="7" t="s">
        <v>432</v>
      </c>
      <c r="I105" s="7" t="s">
        <v>433</v>
      </c>
    </row>
    <row r="106" spans="1:9" ht="138" customHeight="1" x14ac:dyDescent="0.35">
      <c r="A106" s="6">
        <v>104</v>
      </c>
      <c r="B106" s="7" t="s">
        <v>403</v>
      </c>
      <c r="C106" s="6" t="s">
        <v>65</v>
      </c>
      <c r="D106" s="7" t="s">
        <v>434</v>
      </c>
      <c r="E106" s="7" t="s">
        <v>435</v>
      </c>
      <c r="F106" s="6" t="s">
        <v>88</v>
      </c>
      <c r="G106" s="7" t="s">
        <v>42</v>
      </c>
      <c r="H106" s="7" t="s">
        <v>436</v>
      </c>
      <c r="I106" s="7" t="s">
        <v>437</v>
      </c>
    </row>
    <row r="107" spans="1:9" ht="14.25" customHeight="1" x14ac:dyDescent="0.35">
      <c r="A107" s="4" t="s">
        <v>438</v>
      </c>
      <c r="B107" s="5"/>
      <c r="C107" s="5"/>
      <c r="D107" s="5"/>
      <c r="E107" s="5"/>
      <c r="F107" s="5"/>
      <c r="G107" s="5"/>
      <c r="H107" s="5"/>
      <c r="I107" s="5"/>
    </row>
    <row r="108" spans="1:9" ht="100.5" customHeight="1" x14ac:dyDescent="0.35">
      <c r="A108" s="6">
        <v>105</v>
      </c>
      <c r="B108" s="7" t="s">
        <v>439</v>
      </c>
      <c r="C108" s="6" t="s">
        <v>11</v>
      </c>
      <c r="D108" s="7" t="s">
        <v>440</v>
      </c>
      <c r="E108" s="7" t="s">
        <v>441</v>
      </c>
      <c r="F108" s="6" t="s">
        <v>442</v>
      </c>
      <c r="G108" s="7" t="s">
        <v>15</v>
      </c>
      <c r="H108" s="7" t="s">
        <v>443</v>
      </c>
      <c r="I108" s="7" t="s">
        <v>444</v>
      </c>
    </row>
    <row r="109" spans="1:9" ht="201" customHeight="1" x14ac:dyDescent="0.35">
      <c r="A109" s="6">
        <v>106</v>
      </c>
      <c r="B109" s="7" t="s">
        <v>445</v>
      </c>
      <c r="C109" s="6" t="s">
        <v>11</v>
      </c>
      <c r="D109" s="7" t="s">
        <v>446</v>
      </c>
      <c r="E109" s="7" t="s">
        <v>447</v>
      </c>
      <c r="F109" s="6" t="s">
        <v>448</v>
      </c>
      <c r="G109" s="7" t="s">
        <v>15</v>
      </c>
      <c r="H109" s="7" t="s">
        <v>449</v>
      </c>
      <c r="I109" s="7" t="s">
        <v>450</v>
      </c>
    </row>
    <row r="110" spans="1:9" ht="201" customHeight="1" x14ac:dyDescent="0.35">
      <c r="A110" s="6">
        <v>107</v>
      </c>
      <c r="B110" s="7" t="s">
        <v>439</v>
      </c>
      <c r="C110" s="6" t="s">
        <v>11</v>
      </c>
      <c r="D110" s="7" t="s">
        <v>451</v>
      </c>
      <c r="E110" s="7" t="s">
        <v>452</v>
      </c>
      <c r="F110" s="6" t="s">
        <v>448</v>
      </c>
      <c r="G110" s="7" t="s">
        <v>15</v>
      </c>
      <c r="H110" s="7" t="s">
        <v>453</v>
      </c>
      <c r="I110" s="7" t="s">
        <v>454</v>
      </c>
    </row>
    <row r="111" spans="1:9" ht="201" customHeight="1" x14ac:dyDescent="0.35">
      <c r="A111" s="6">
        <v>108</v>
      </c>
      <c r="B111" s="7" t="s">
        <v>445</v>
      </c>
      <c r="C111" s="6" t="s">
        <v>11</v>
      </c>
      <c r="D111" s="7" t="s">
        <v>455</v>
      </c>
      <c r="E111" s="7" t="s">
        <v>456</v>
      </c>
      <c r="F111" s="6" t="s">
        <v>14</v>
      </c>
      <c r="G111" s="7" t="s">
        <v>15</v>
      </c>
      <c r="H111" s="7" t="s">
        <v>457</v>
      </c>
      <c r="I111" s="7" t="s">
        <v>458</v>
      </c>
    </row>
    <row r="112" spans="1:9" ht="100.5" customHeight="1" x14ac:dyDescent="0.35">
      <c r="A112" s="6">
        <v>109</v>
      </c>
      <c r="B112" s="7" t="s">
        <v>459</v>
      </c>
      <c r="C112" s="6" t="s">
        <v>96</v>
      </c>
      <c r="D112" s="7" t="s">
        <v>460</v>
      </c>
      <c r="E112" s="7" t="s">
        <v>461</v>
      </c>
      <c r="F112" s="6" t="s">
        <v>14</v>
      </c>
      <c r="G112" s="7" t="s">
        <v>15</v>
      </c>
      <c r="H112" s="7" t="s">
        <v>462</v>
      </c>
      <c r="I112" s="7" t="s">
        <v>463</v>
      </c>
    </row>
    <row r="113" spans="1:9" ht="150.75" customHeight="1" x14ac:dyDescent="0.35">
      <c r="A113" s="6">
        <v>110</v>
      </c>
      <c r="B113" s="7" t="s">
        <v>439</v>
      </c>
      <c r="C113" s="6" t="s">
        <v>96</v>
      </c>
      <c r="D113" s="7" t="s">
        <v>464</v>
      </c>
      <c r="E113" s="7" t="s">
        <v>465</v>
      </c>
      <c r="F113" s="6" t="s">
        <v>14</v>
      </c>
      <c r="G113" s="7" t="s">
        <v>15</v>
      </c>
      <c r="H113" s="7" t="s">
        <v>466</v>
      </c>
      <c r="I113" s="7" t="s">
        <v>467</v>
      </c>
    </row>
    <row r="114" spans="1:9" ht="100.5" customHeight="1" x14ac:dyDescent="0.35">
      <c r="A114" s="6">
        <v>111</v>
      </c>
      <c r="B114" s="7" t="s">
        <v>439</v>
      </c>
      <c r="C114" s="6" t="s">
        <v>96</v>
      </c>
      <c r="D114" s="7" t="s">
        <v>468</v>
      </c>
      <c r="E114" s="7" t="s">
        <v>469</v>
      </c>
      <c r="F114" s="6" t="s">
        <v>14</v>
      </c>
      <c r="G114" s="7" t="s">
        <v>15</v>
      </c>
      <c r="H114" s="7" t="s">
        <v>470</v>
      </c>
      <c r="I114" s="7" t="s">
        <v>471</v>
      </c>
    </row>
    <row r="115" spans="1:9" ht="150.75" customHeight="1" x14ac:dyDescent="0.35">
      <c r="A115" s="6">
        <v>112</v>
      </c>
      <c r="B115" s="7" t="s">
        <v>439</v>
      </c>
      <c r="C115" s="6" t="s">
        <v>96</v>
      </c>
      <c r="D115" s="7" t="s">
        <v>472</v>
      </c>
      <c r="E115" s="7" t="s">
        <v>473</v>
      </c>
      <c r="F115" s="6" t="s">
        <v>14</v>
      </c>
      <c r="G115" s="7" t="s">
        <v>15</v>
      </c>
      <c r="H115" s="7" t="s">
        <v>474</v>
      </c>
      <c r="I115" s="7" t="s">
        <v>475</v>
      </c>
    </row>
    <row r="116" spans="1:9" ht="225.75" customHeight="1" x14ac:dyDescent="0.35">
      <c r="A116" s="6">
        <v>113</v>
      </c>
      <c r="B116" s="7" t="s">
        <v>476</v>
      </c>
      <c r="C116" s="6" t="s">
        <v>96</v>
      </c>
      <c r="D116" s="7" t="s">
        <v>477</v>
      </c>
      <c r="E116" s="7" t="s">
        <v>478</v>
      </c>
      <c r="F116" s="6" t="s">
        <v>14</v>
      </c>
      <c r="G116" s="7" t="s">
        <v>15</v>
      </c>
      <c r="H116" s="7" t="s">
        <v>479</v>
      </c>
      <c r="I116" s="7" t="s">
        <v>480</v>
      </c>
    </row>
    <row r="117" spans="1:9" ht="100.5" customHeight="1" x14ac:dyDescent="0.35">
      <c r="A117" s="6">
        <v>114</v>
      </c>
      <c r="B117" s="7" t="s">
        <v>459</v>
      </c>
      <c r="C117" s="6" t="s">
        <v>96</v>
      </c>
      <c r="D117" s="7" t="s">
        <v>481</v>
      </c>
      <c r="E117" s="7" t="s">
        <v>482</v>
      </c>
      <c r="F117" s="6" t="s">
        <v>14</v>
      </c>
      <c r="G117" s="7" t="s">
        <v>15</v>
      </c>
      <c r="H117" s="7" t="s">
        <v>483</v>
      </c>
      <c r="I117" s="7" t="s">
        <v>484</v>
      </c>
    </row>
    <row r="118" spans="1:9" ht="150.75" customHeight="1" x14ac:dyDescent="0.35">
      <c r="A118" s="6">
        <v>115</v>
      </c>
      <c r="B118" s="7" t="s">
        <v>439</v>
      </c>
      <c r="C118" s="6" t="s">
        <v>39</v>
      </c>
      <c r="D118" s="7" t="s">
        <v>485</v>
      </c>
      <c r="E118" s="7" t="s">
        <v>486</v>
      </c>
      <c r="F118" s="6" t="s">
        <v>14</v>
      </c>
      <c r="G118" s="7" t="s">
        <v>15</v>
      </c>
      <c r="H118" s="7" t="s">
        <v>487</v>
      </c>
      <c r="I118" s="7" t="s">
        <v>488</v>
      </c>
    </row>
    <row r="119" spans="1:9" ht="100.5" customHeight="1" x14ac:dyDescent="0.35">
      <c r="A119" s="6">
        <v>116</v>
      </c>
      <c r="B119" s="7" t="s">
        <v>439</v>
      </c>
      <c r="C119" s="6" t="s">
        <v>39</v>
      </c>
      <c r="D119" s="7" t="s">
        <v>489</v>
      </c>
      <c r="E119" s="7" t="s">
        <v>490</v>
      </c>
      <c r="F119" s="6" t="s">
        <v>14</v>
      </c>
      <c r="G119" s="7" t="s">
        <v>15</v>
      </c>
      <c r="H119" s="7" t="s">
        <v>491</v>
      </c>
      <c r="I119" s="7" t="s">
        <v>492</v>
      </c>
    </row>
    <row r="120" spans="1:9" ht="113.25" customHeight="1" x14ac:dyDescent="0.35">
      <c r="A120" s="6">
        <v>117</v>
      </c>
      <c r="B120" s="7" t="s">
        <v>445</v>
      </c>
      <c r="C120" s="6" t="s">
        <v>39</v>
      </c>
      <c r="D120" s="7" t="s">
        <v>493</v>
      </c>
      <c r="E120" s="7" t="s">
        <v>494</v>
      </c>
      <c r="F120" s="6" t="s">
        <v>14</v>
      </c>
      <c r="G120" s="7" t="s">
        <v>15</v>
      </c>
      <c r="H120" s="7" t="s">
        <v>495</v>
      </c>
      <c r="I120" s="7" t="s">
        <v>496</v>
      </c>
    </row>
    <row r="121" spans="1:9" ht="138" customHeight="1" x14ac:dyDescent="0.35">
      <c r="A121" s="6">
        <v>118</v>
      </c>
      <c r="B121" s="7" t="s">
        <v>439</v>
      </c>
      <c r="C121" s="6" t="s">
        <v>39</v>
      </c>
      <c r="D121" s="7" t="s">
        <v>497</v>
      </c>
      <c r="E121" s="7" t="s">
        <v>498</v>
      </c>
      <c r="F121" s="6" t="s">
        <v>14</v>
      </c>
      <c r="G121" s="7" t="s">
        <v>15</v>
      </c>
      <c r="H121" s="7" t="s">
        <v>499</v>
      </c>
      <c r="I121" s="7" t="s">
        <v>500</v>
      </c>
    </row>
    <row r="122" spans="1:9" ht="201" customHeight="1" x14ac:dyDescent="0.35">
      <c r="A122" s="6">
        <v>119</v>
      </c>
      <c r="B122" s="7" t="s">
        <v>501</v>
      </c>
      <c r="C122" s="6" t="s">
        <v>39</v>
      </c>
      <c r="D122" s="7" t="s">
        <v>502</v>
      </c>
      <c r="E122" s="7" t="s">
        <v>503</v>
      </c>
      <c r="F122" s="6" t="s">
        <v>14</v>
      </c>
      <c r="G122" s="7" t="s">
        <v>15</v>
      </c>
      <c r="H122" s="7" t="s">
        <v>504</v>
      </c>
      <c r="I122" s="7" t="s">
        <v>505</v>
      </c>
    </row>
    <row r="123" spans="1:9" ht="138" customHeight="1" x14ac:dyDescent="0.35">
      <c r="A123" s="6">
        <v>120</v>
      </c>
      <c r="B123" s="7" t="s">
        <v>439</v>
      </c>
      <c r="C123" s="6" t="s">
        <v>65</v>
      </c>
      <c r="D123" s="7" t="s">
        <v>506</v>
      </c>
      <c r="E123" s="7" t="s">
        <v>507</v>
      </c>
      <c r="F123" s="6" t="s">
        <v>14</v>
      </c>
      <c r="G123" s="7" t="s">
        <v>15</v>
      </c>
      <c r="H123" s="7" t="s">
        <v>508</v>
      </c>
      <c r="I123" s="7" t="s">
        <v>509</v>
      </c>
    </row>
    <row r="124" spans="1:9" ht="113.25" customHeight="1" x14ac:dyDescent="0.35">
      <c r="A124" s="6">
        <v>121</v>
      </c>
      <c r="B124" s="7" t="s">
        <v>439</v>
      </c>
      <c r="C124" s="6" t="s">
        <v>65</v>
      </c>
      <c r="D124" s="7" t="s">
        <v>510</v>
      </c>
      <c r="E124" s="7" t="s">
        <v>511</v>
      </c>
      <c r="F124" s="6" t="s">
        <v>14</v>
      </c>
      <c r="G124" s="7" t="s">
        <v>15</v>
      </c>
      <c r="H124" s="7" t="s">
        <v>512</v>
      </c>
      <c r="I124" s="7" t="s">
        <v>513</v>
      </c>
    </row>
    <row r="125" spans="1:9" ht="126" customHeight="1" x14ac:dyDescent="0.35">
      <c r="A125" s="6">
        <v>122</v>
      </c>
      <c r="B125" s="7" t="s">
        <v>476</v>
      </c>
      <c r="C125" s="6" t="s">
        <v>65</v>
      </c>
      <c r="D125" s="7" t="s">
        <v>514</v>
      </c>
      <c r="E125" s="7" t="s">
        <v>515</v>
      </c>
      <c r="F125" s="6" t="s">
        <v>14</v>
      </c>
      <c r="G125" s="7" t="s">
        <v>15</v>
      </c>
      <c r="H125" s="7" t="s">
        <v>516</v>
      </c>
      <c r="I125" s="7" t="s">
        <v>517</v>
      </c>
    </row>
    <row r="126" spans="1:9" ht="150.75" customHeight="1" x14ac:dyDescent="0.35">
      <c r="A126" s="6">
        <v>123</v>
      </c>
      <c r="B126" s="7" t="s">
        <v>439</v>
      </c>
      <c r="C126" s="6" t="s">
        <v>65</v>
      </c>
      <c r="D126" s="7" t="s">
        <v>518</v>
      </c>
      <c r="E126" s="7" t="s">
        <v>519</v>
      </c>
      <c r="F126" s="6" t="s">
        <v>14</v>
      </c>
      <c r="G126" s="7" t="s">
        <v>15</v>
      </c>
      <c r="H126" s="7" t="s">
        <v>520</v>
      </c>
      <c r="I126" s="7" t="s">
        <v>521</v>
      </c>
    </row>
    <row r="127" spans="1:9" ht="150.75" customHeight="1" x14ac:dyDescent="0.35">
      <c r="A127" s="6">
        <v>124</v>
      </c>
      <c r="B127" s="7" t="s">
        <v>439</v>
      </c>
      <c r="C127" s="6" t="s">
        <v>65</v>
      </c>
      <c r="D127" s="7" t="s">
        <v>506</v>
      </c>
      <c r="E127" s="7" t="s">
        <v>522</v>
      </c>
      <c r="F127" s="6" t="s">
        <v>14</v>
      </c>
      <c r="G127" s="7" t="s">
        <v>15</v>
      </c>
      <c r="H127" s="7" t="s">
        <v>523</v>
      </c>
      <c r="I127" s="7" t="s">
        <v>524</v>
      </c>
    </row>
    <row r="128" spans="1:9" ht="138" customHeight="1" x14ac:dyDescent="0.35">
      <c r="A128" s="6">
        <v>125</v>
      </c>
      <c r="B128" s="7" t="s">
        <v>439</v>
      </c>
      <c r="C128" s="6" t="s">
        <v>65</v>
      </c>
      <c r="D128" s="7" t="s">
        <v>525</v>
      </c>
      <c r="E128" s="7" t="s">
        <v>526</v>
      </c>
      <c r="F128" s="6" t="s">
        <v>14</v>
      </c>
      <c r="G128" s="7" t="s">
        <v>15</v>
      </c>
      <c r="H128" s="7" t="s">
        <v>527</v>
      </c>
      <c r="I128" s="7" t="s">
        <v>528</v>
      </c>
    </row>
    <row r="129" spans="1:9" ht="138" customHeight="1" x14ac:dyDescent="0.35">
      <c r="A129" s="6">
        <v>126</v>
      </c>
      <c r="B129" s="7" t="s">
        <v>439</v>
      </c>
      <c r="C129" s="6" t="s">
        <v>65</v>
      </c>
      <c r="D129" s="7" t="s">
        <v>529</v>
      </c>
      <c r="E129" s="7" t="s">
        <v>530</v>
      </c>
      <c r="F129" s="6" t="s">
        <v>93</v>
      </c>
      <c r="G129" s="7" t="s">
        <v>15</v>
      </c>
      <c r="H129" s="7" t="s">
        <v>531</v>
      </c>
      <c r="I129" s="7" t="s">
        <v>532</v>
      </c>
    </row>
    <row r="130" spans="1:9" ht="188.25" customHeight="1" x14ac:dyDescent="0.35">
      <c r="A130" s="6">
        <v>127</v>
      </c>
      <c r="B130" s="7" t="s">
        <v>439</v>
      </c>
      <c r="C130" s="6" t="s">
        <v>22</v>
      </c>
      <c r="D130" s="7" t="s">
        <v>533</v>
      </c>
      <c r="E130" s="7" t="s">
        <v>534</v>
      </c>
      <c r="F130" s="6" t="s">
        <v>535</v>
      </c>
      <c r="G130" s="7" t="s">
        <v>15</v>
      </c>
      <c r="H130" s="7" t="s">
        <v>536</v>
      </c>
      <c r="I130" s="7" t="s">
        <v>537</v>
      </c>
    </row>
    <row r="131" spans="1:9" ht="201" customHeight="1" x14ac:dyDescent="0.35">
      <c r="A131" s="6">
        <v>128</v>
      </c>
      <c r="B131" s="7" t="s">
        <v>439</v>
      </c>
      <c r="C131" s="6" t="s">
        <v>22</v>
      </c>
      <c r="D131" s="7" t="s">
        <v>538</v>
      </c>
      <c r="E131" s="7" t="s">
        <v>539</v>
      </c>
      <c r="F131" s="6" t="s">
        <v>540</v>
      </c>
      <c r="G131" s="7" t="s">
        <v>15</v>
      </c>
      <c r="H131" s="7" t="s">
        <v>541</v>
      </c>
      <c r="I131" s="7" t="s">
        <v>542</v>
      </c>
    </row>
    <row r="132" spans="1:9" ht="100.5" customHeight="1" x14ac:dyDescent="0.35">
      <c r="A132" s="6">
        <v>129</v>
      </c>
      <c r="B132" s="7" t="s">
        <v>439</v>
      </c>
      <c r="C132" s="6" t="s">
        <v>65</v>
      </c>
      <c r="D132" s="7" t="s">
        <v>543</v>
      </c>
      <c r="E132" s="7" t="s">
        <v>423</v>
      </c>
      <c r="F132" s="6" t="s">
        <v>544</v>
      </c>
      <c r="G132" s="7" t="s">
        <v>15</v>
      </c>
      <c r="H132" s="7" t="s">
        <v>545</v>
      </c>
      <c r="I132" s="7" t="s">
        <v>546</v>
      </c>
    </row>
    <row r="133" spans="1:9" ht="100.5" customHeight="1" x14ac:dyDescent="0.35">
      <c r="A133" s="6">
        <v>130</v>
      </c>
      <c r="B133" s="7" t="s">
        <v>476</v>
      </c>
      <c r="C133" s="6" t="s">
        <v>65</v>
      </c>
      <c r="D133" s="7" t="s">
        <v>547</v>
      </c>
      <c r="E133" s="7" t="s">
        <v>515</v>
      </c>
      <c r="F133" s="6" t="s">
        <v>14</v>
      </c>
      <c r="G133" s="7" t="s">
        <v>15</v>
      </c>
      <c r="H133" s="7" t="s">
        <v>548</v>
      </c>
      <c r="I133" s="7" t="s">
        <v>549</v>
      </c>
    </row>
    <row r="134" spans="1:9" ht="201" customHeight="1" x14ac:dyDescent="0.35">
      <c r="A134" s="6">
        <v>131</v>
      </c>
      <c r="B134" s="7" t="s">
        <v>550</v>
      </c>
      <c r="C134" s="6" t="s">
        <v>65</v>
      </c>
      <c r="D134" s="7" t="s">
        <v>551</v>
      </c>
      <c r="E134" s="7" t="s">
        <v>552</v>
      </c>
      <c r="F134" s="6" t="s">
        <v>14</v>
      </c>
      <c r="G134" s="7" t="s">
        <v>15</v>
      </c>
      <c r="H134" s="7" t="s">
        <v>553</v>
      </c>
      <c r="I134" s="7" t="s">
        <v>554</v>
      </c>
    </row>
    <row r="135" spans="1:9" ht="138" customHeight="1" x14ac:dyDescent="0.35">
      <c r="A135" s="6">
        <v>132</v>
      </c>
      <c r="B135" s="7" t="s">
        <v>550</v>
      </c>
      <c r="C135" s="6" t="s">
        <v>65</v>
      </c>
      <c r="D135" s="7" t="s">
        <v>555</v>
      </c>
      <c r="E135" s="7" t="s">
        <v>556</v>
      </c>
      <c r="F135" s="6" t="s">
        <v>14</v>
      </c>
      <c r="G135" s="7" t="s">
        <v>15</v>
      </c>
      <c r="H135" s="7" t="s">
        <v>557</v>
      </c>
      <c r="I135" s="7" t="s">
        <v>558</v>
      </c>
    </row>
    <row r="136" spans="1:9" ht="138" customHeight="1" x14ac:dyDescent="0.35">
      <c r="A136" s="6">
        <v>133</v>
      </c>
      <c r="B136" s="7" t="s">
        <v>550</v>
      </c>
      <c r="C136" s="6" t="s">
        <v>65</v>
      </c>
      <c r="D136" s="7" t="s">
        <v>555</v>
      </c>
      <c r="E136" s="7" t="s">
        <v>559</v>
      </c>
      <c r="F136" s="6" t="s">
        <v>14</v>
      </c>
      <c r="G136" s="7" t="s">
        <v>42</v>
      </c>
      <c r="H136" s="7" t="s">
        <v>560</v>
      </c>
      <c r="I136" s="7" t="s">
        <v>561</v>
      </c>
    </row>
    <row r="137" spans="1:9" ht="188.25" customHeight="1" x14ac:dyDescent="0.35">
      <c r="A137" s="6">
        <v>134</v>
      </c>
      <c r="B137" s="7" t="s">
        <v>550</v>
      </c>
      <c r="C137" s="6" t="s">
        <v>65</v>
      </c>
      <c r="D137" s="7" t="s">
        <v>555</v>
      </c>
      <c r="E137" s="7" t="s">
        <v>562</v>
      </c>
      <c r="F137" s="6" t="s">
        <v>14</v>
      </c>
      <c r="G137" s="7" t="s">
        <v>42</v>
      </c>
      <c r="H137" s="7" t="s">
        <v>563</v>
      </c>
      <c r="I137" s="7" t="s">
        <v>564</v>
      </c>
    </row>
    <row r="138" spans="1:9" ht="188.25" customHeight="1" x14ac:dyDescent="0.35">
      <c r="A138" s="6">
        <v>135</v>
      </c>
      <c r="B138" s="7" t="s">
        <v>550</v>
      </c>
      <c r="C138" s="6" t="s">
        <v>96</v>
      </c>
      <c r="D138" s="7" t="s">
        <v>565</v>
      </c>
      <c r="E138" s="7" t="s">
        <v>566</v>
      </c>
      <c r="F138" s="6" t="s">
        <v>93</v>
      </c>
      <c r="G138" s="7" t="s">
        <v>42</v>
      </c>
      <c r="H138" s="7" t="s">
        <v>567</v>
      </c>
      <c r="I138" s="7" t="s">
        <v>568</v>
      </c>
    </row>
    <row r="139" spans="1:9" ht="14.25" customHeight="1" x14ac:dyDescent="0.35">
      <c r="A139" s="4" t="s">
        <v>569</v>
      </c>
      <c r="B139" s="5"/>
      <c r="C139" s="5"/>
      <c r="D139" s="5"/>
      <c r="E139" s="5"/>
      <c r="F139" s="5"/>
      <c r="G139" s="5"/>
      <c r="H139" s="5"/>
      <c r="I139" s="5"/>
    </row>
    <row r="140" spans="1:9" ht="188.25" customHeight="1" x14ac:dyDescent="0.35">
      <c r="A140" s="6">
        <v>136</v>
      </c>
      <c r="B140" s="7" t="s">
        <v>570</v>
      </c>
      <c r="C140" s="6" t="s">
        <v>65</v>
      </c>
      <c r="D140" s="7" t="s">
        <v>571</v>
      </c>
      <c r="E140" s="7" t="s">
        <v>572</v>
      </c>
      <c r="F140" s="6" t="s">
        <v>14</v>
      </c>
      <c r="G140" s="7" t="s">
        <v>15</v>
      </c>
      <c r="H140" s="7" t="s">
        <v>573</v>
      </c>
      <c r="I140" s="7" t="s">
        <v>574</v>
      </c>
    </row>
    <row r="141" spans="1:9" ht="188.25" customHeight="1" x14ac:dyDescent="0.35">
      <c r="A141" s="6">
        <v>137</v>
      </c>
      <c r="B141" s="7" t="s">
        <v>570</v>
      </c>
      <c r="C141" s="6" t="s">
        <v>11</v>
      </c>
      <c r="D141" s="7" t="s">
        <v>575</v>
      </c>
      <c r="E141" s="7" t="s">
        <v>576</v>
      </c>
      <c r="F141" s="6" t="s">
        <v>448</v>
      </c>
      <c r="G141" s="7" t="s">
        <v>15</v>
      </c>
      <c r="H141" s="7" t="s">
        <v>577</v>
      </c>
      <c r="I141" s="7" t="s">
        <v>578</v>
      </c>
    </row>
    <row r="142" spans="1:9" ht="100.5" customHeight="1" x14ac:dyDescent="0.35">
      <c r="A142" s="6">
        <v>138</v>
      </c>
      <c r="B142" s="7" t="s">
        <v>570</v>
      </c>
      <c r="C142" s="6" t="s">
        <v>96</v>
      </c>
      <c r="D142" s="7" t="s">
        <v>579</v>
      </c>
      <c r="E142" s="7" t="s">
        <v>580</v>
      </c>
      <c r="F142" s="6" t="s">
        <v>14</v>
      </c>
      <c r="G142" s="7" t="s">
        <v>15</v>
      </c>
      <c r="H142" s="7" t="s">
        <v>581</v>
      </c>
      <c r="I142" s="7" t="s">
        <v>582</v>
      </c>
    </row>
    <row r="143" spans="1:9" ht="150.75" customHeight="1" x14ac:dyDescent="0.35">
      <c r="A143" s="6">
        <v>139</v>
      </c>
      <c r="B143" s="7" t="s">
        <v>570</v>
      </c>
      <c r="C143" s="6" t="s">
        <v>39</v>
      </c>
      <c r="D143" s="7" t="s">
        <v>583</v>
      </c>
      <c r="E143" s="7" t="s">
        <v>584</v>
      </c>
      <c r="F143" s="6" t="s">
        <v>14</v>
      </c>
      <c r="G143" s="7" t="s">
        <v>15</v>
      </c>
      <c r="H143" s="7" t="s">
        <v>585</v>
      </c>
      <c r="I143" s="7" t="s">
        <v>586</v>
      </c>
    </row>
    <row r="144" spans="1:9" ht="163.5" customHeight="1" x14ac:dyDescent="0.35">
      <c r="A144" s="6">
        <v>140</v>
      </c>
      <c r="B144" s="7" t="s">
        <v>570</v>
      </c>
      <c r="C144" s="6" t="s">
        <v>39</v>
      </c>
      <c r="D144" s="7" t="s">
        <v>587</v>
      </c>
      <c r="E144" s="7" t="s">
        <v>588</v>
      </c>
      <c r="F144" s="6" t="s">
        <v>14</v>
      </c>
      <c r="G144" s="7" t="s">
        <v>15</v>
      </c>
      <c r="H144" s="7" t="s">
        <v>589</v>
      </c>
      <c r="I144" s="7" t="s">
        <v>590</v>
      </c>
    </row>
    <row r="145" spans="1:9" ht="175.5" customHeight="1" x14ac:dyDescent="0.35">
      <c r="A145" s="6">
        <v>141</v>
      </c>
      <c r="B145" s="7" t="s">
        <v>570</v>
      </c>
      <c r="C145" s="6" t="s">
        <v>39</v>
      </c>
      <c r="D145" s="7" t="s">
        <v>591</v>
      </c>
      <c r="E145" s="7" t="s">
        <v>592</v>
      </c>
      <c r="F145" s="6" t="s">
        <v>14</v>
      </c>
      <c r="G145" s="7" t="s">
        <v>103</v>
      </c>
      <c r="H145" s="7" t="s">
        <v>593</v>
      </c>
      <c r="I145" s="7" t="s">
        <v>594</v>
      </c>
    </row>
    <row r="146" spans="1:9" ht="138" customHeight="1" x14ac:dyDescent="0.35">
      <c r="A146" s="6">
        <v>142</v>
      </c>
      <c r="B146" s="7" t="s">
        <v>570</v>
      </c>
      <c r="C146" s="6" t="s">
        <v>65</v>
      </c>
      <c r="D146" s="7" t="s">
        <v>595</v>
      </c>
      <c r="E146" s="7" t="s">
        <v>596</v>
      </c>
      <c r="F146" s="6" t="s">
        <v>14</v>
      </c>
      <c r="G146" s="7" t="s">
        <v>103</v>
      </c>
      <c r="H146" s="7" t="s">
        <v>597</v>
      </c>
      <c r="I146" s="7" t="s">
        <v>598</v>
      </c>
    </row>
    <row r="147" spans="1:9" ht="225.75" customHeight="1" x14ac:dyDescent="0.35">
      <c r="A147" s="6">
        <v>143</v>
      </c>
      <c r="B147" s="7" t="s">
        <v>570</v>
      </c>
      <c r="C147" s="6" t="s">
        <v>96</v>
      </c>
      <c r="D147" s="7" t="s">
        <v>599</v>
      </c>
      <c r="E147" s="7" t="s">
        <v>600</v>
      </c>
      <c r="F147" s="6" t="s">
        <v>601</v>
      </c>
      <c r="G147" s="7" t="s">
        <v>15</v>
      </c>
      <c r="H147" s="7" t="s">
        <v>602</v>
      </c>
      <c r="I147" s="7" t="s">
        <v>603</v>
      </c>
    </row>
    <row r="148" spans="1:9" ht="75.75" customHeight="1" x14ac:dyDescent="0.35">
      <c r="A148" s="6">
        <v>144</v>
      </c>
      <c r="B148" s="7" t="s">
        <v>570</v>
      </c>
      <c r="C148" s="6" t="s">
        <v>39</v>
      </c>
      <c r="D148" s="7" t="s">
        <v>604</v>
      </c>
      <c r="E148" s="7" t="s">
        <v>605</v>
      </c>
      <c r="F148" s="6" t="s">
        <v>255</v>
      </c>
      <c r="G148" s="7" t="s">
        <v>15</v>
      </c>
      <c r="H148" s="7" t="s">
        <v>606</v>
      </c>
      <c r="I148" s="7" t="s">
        <v>607</v>
      </c>
    </row>
    <row r="149" spans="1:9" ht="188.25" customHeight="1" x14ac:dyDescent="0.35">
      <c r="A149" s="6">
        <v>145</v>
      </c>
      <c r="B149" s="7" t="s">
        <v>608</v>
      </c>
      <c r="C149" s="6" t="s">
        <v>39</v>
      </c>
      <c r="D149" s="7" t="s">
        <v>609</v>
      </c>
      <c r="E149" s="7" t="s">
        <v>610</v>
      </c>
      <c r="F149" s="6" t="s">
        <v>342</v>
      </c>
      <c r="G149" s="7" t="s">
        <v>15</v>
      </c>
      <c r="H149" s="7" t="s">
        <v>611</v>
      </c>
      <c r="I149" s="7" t="s">
        <v>612</v>
      </c>
    </row>
    <row r="150" spans="1:9" ht="225.75" customHeight="1" x14ac:dyDescent="0.35">
      <c r="A150" s="6">
        <v>146</v>
      </c>
      <c r="B150" s="7" t="s">
        <v>613</v>
      </c>
      <c r="C150" s="6" t="s">
        <v>96</v>
      </c>
      <c r="D150" s="7" t="s">
        <v>614</v>
      </c>
      <c r="E150" s="7" t="s">
        <v>478</v>
      </c>
      <c r="F150" s="6" t="s">
        <v>14</v>
      </c>
      <c r="G150" s="7" t="s">
        <v>15</v>
      </c>
      <c r="H150" s="7" t="s">
        <v>479</v>
      </c>
      <c r="I150" s="7" t="s">
        <v>615</v>
      </c>
    </row>
    <row r="151" spans="1:9" ht="163.5" customHeight="1" x14ac:dyDescent="0.35">
      <c r="A151" s="6">
        <v>147</v>
      </c>
      <c r="B151" s="7" t="s">
        <v>616</v>
      </c>
      <c r="C151" s="6" t="s">
        <v>39</v>
      </c>
      <c r="D151" s="7" t="s">
        <v>617</v>
      </c>
      <c r="E151" s="7" t="s">
        <v>618</v>
      </c>
      <c r="F151" s="6" t="s">
        <v>14</v>
      </c>
      <c r="G151" s="7" t="s">
        <v>15</v>
      </c>
      <c r="H151" s="7" t="s">
        <v>619</v>
      </c>
      <c r="I151" s="7" t="s">
        <v>620</v>
      </c>
    </row>
    <row r="152" spans="1:9" ht="138" customHeight="1" x14ac:dyDescent="0.35">
      <c r="A152" s="6">
        <v>148</v>
      </c>
      <c r="B152" s="7" t="s">
        <v>613</v>
      </c>
      <c r="C152" s="6" t="s">
        <v>39</v>
      </c>
      <c r="D152" s="7" t="s">
        <v>621</v>
      </c>
      <c r="E152" s="7" t="s">
        <v>622</v>
      </c>
      <c r="F152" s="6" t="s">
        <v>14</v>
      </c>
      <c r="G152" s="7" t="s">
        <v>42</v>
      </c>
      <c r="H152" s="7" t="s">
        <v>623</v>
      </c>
      <c r="I152" s="7" t="s">
        <v>624</v>
      </c>
    </row>
    <row r="153" spans="1:9" ht="188.25" customHeight="1" x14ac:dyDescent="0.35">
      <c r="A153" s="6">
        <v>149</v>
      </c>
      <c r="B153" s="7" t="s">
        <v>613</v>
      </c>
      <c r="C153" s="6" t="s">
        <v>65</v>
      </c>
      <c r="D153" s="7" t="s">
        <v>625</v>
      </c>
      <c r="E153" s="7" t="s">
        <v>572</v>
      </c>
      <c r="F153" s="6" t="s">
        <v>14</v>
      </c>
      <c r="G153" s="7" t="s">
        <v>15</v>
      </c>
      <c r="H153" s="7" t="s">
        <v>573</v>
      </c>
      <c r="I153" s="7" t="s">
        <v>574</v>
      </c>
    </row>
    <row r="154" spans="1:9" ht="250.5" customHeight="1" x14ac:dyDescent="0.35">
      <c r="A154" s="6">
        <v>150</v>
      </c>
      <c r="B154" s="7" t="s">
        <v>626</v>
      </c>
      <c r="C154" s="6" t="s">
        <v>22</v>
      </c>
      <c r="D154" s="7" t="s">
        <v>627</v>
      </c>
      <c r="E154" s="7" t="s">
        <v>628</v>
      </c>
      <c r="F154" s="6" t="s">
        <v>14</v>
      </c>
      <c r="G154" s="7" t="s">
        <v>103</v>
      </c>
      <c r="H154" s="7" t="s">
        <v>629</v>
      </c>
      <c r="I154" s="7" t="s">
        <v>630</v>
      </c>
    </row>
    <row r="155" spans="1:9" ht="100.5" customHeight="1" x14ac:dyDescent="0.35">
      <c r="A155" s="6">
        <v>151</v>
      </c>
      <c r="B155" s="7" t="s">
        <v>631</v>
      </c>
      <c r="C155" s="6" t="s">
        <v>39</v>
      </c>
      <c r="D155" s="7" t="s">
        <v>632</v>
      </c>
      <c r="E155" s="7" t="s">
        <v>633</v>
      </c>
      <c r="F155" s="6" t="s">
        <v>14</v>
      </c>
      <c r="G155" s="7" t="s">
        <v>42</v>
      </c>
      <c r="H155" s="7" t="s">
        <v>634</v>
      </c>
      <c r="I155" s="7" t="s">
        <v>635</v>
      </c>
    </row>
    <row r="156" spans="1:9" ht="276" customHeight="1" x14ac:dyDescent="0.35">
      <c r="A156" s="6">
        <v>152</v>
      </c>
      <c r="B156" s="7" t="s">
        <v>636</v>
      </c>
      <c r="C156" s="6" t="s">
        <v>11</v>
      </c>
      <c r="D156" s="7" t="s">
        <v>637</v>
      </c>
      <c r="E156" s="7" t="s">
        <v>638</v>
      </c>
      <c r="F156" s="6" t="s">
        <v>14</v>
      </c>
      <c r="G156" s="7" t="s">
        <v>15</v>
      </c>
      <c r="H156" s="7" t="s">
        <v>639</v>
      </c>
      <c r="I156" s="7" t="s">
        <v>640</v>
      </c>
    </row>
    <row r="157" spans="1:9" ht="138" customHeight="1" x14ac:dyDescent="0.35">
      <c r="A157" s="6">
        <v>153</v>
      </c>
      <c r="B157" s="7" t="s">
        <v>641</v>
      </c>
      <c r="C157" s="6" t="s">
        <v>65</v>
      </c>
      <c r="D157" s="7" t="s">
        <v>642</v>
      </c>
      <c r="E157" s="7" t="s">
        <v>596</v>
      </c>
      <c r="F157" s="6" t="s">
        <v>14</v>
      </c>
      <c r="G157" s="7" t="s">
        <v>103</v>
      </c>
      <c r="H157" s="7" t="s">
        <v>597</v>
      </c>
      <c r="I157" s="7" t="s">
        <v>643</v>
      </c>
    </row>
    <row r="158" spans="1:9" ht="188.25" customHeight="1" x14ac:dyDescent="0.35">
      <c r="A158" s="6">
        <v>154</v>
      </c>
      <c r="B158" s="7" t="s">
        <v>641</v>
      </c>
      <c r="C158" s="6" t="s">
        <v>96</v>
      </c>
      <c r="D158" s="7" t="s">
        <v>644</v>
      </c>
      <c r="E158" s="7" t="s">
        <v>645</v>
      </c>
      <c r="F158" s="6" t="s">
        <v>14</v>
      </c>
      <c r="G158" s="7" t="s">
        <v>15</v>
      </c>
      <c r="H158" s="7" t="s">
        <v>646</v>
      </c>
      <c r="I158" s="7" t="s">
        <v>647</v>
      </c>
    </row>
    <row r="159" spans="1:9" ht="238.5" customHeight="1" x14ac:dyDescent="0.35">
      <c r="A159" s="6">
        <v>155</v>
      </c>
      <c r="B159" s="7" t="s">
        <v>641</v>
      </c>
      <c r="C159" s="6" t="s">
        <v>96</v>
      </c>
      <c r="D159" s="7" t="s">
        <v>648</v>
      </c>
      <c r="E159" s="7" t="s">
        <v>649</v>
      </c>
      <c r="F159" s="6" t="s">
        <v>14</v>
      </c>
      <c r="G159" s="7" t="s">
        <v>15</v>
      </c>
      <c r="H159" s="7" t="s">
        <v>646</v>
      </c>
      <c r="I159" s="7" t="s">
        <v>647</v>
      </c>
    </row>
    <row r="160" spans="1:9" ht="138" customHeight="1" x14ac:dyDescent="0.35">
      <c r="A160" s="6">
        <v>156</v>
      </c>
      <c r="B160" s="7" t="s">
        <v>641</v>
      </c>
      <c r="C160" s="6" t="s">
        <v>22</v>
      </c>
      <c r="D160" s="7" t="s">
        <v>650</v>
      </c>
      <c r="E160" s="7" t="s">
        <v>651</v>
      </c>
      <c r="F160" s="6" t="s">
        <v>14</v>
      </c>
      <c r="G160" s="7" t="s">
        <v>15</v>
      </c>
      <c r="H160" s="7" t="s">
        <v>652</v>
      </c>
      <c r="I160" s="7" t="s">
        <v>653</v>
      </c>
    </row>
    <row r="161" spans="1:9" ht="138" customHeight="1" x14ac:dyDescent="0.35">
      <c r="A161" s="6">
        <v>157</v>
      </c>
      <c r="B161" s="7" t="s">
        <v>641</v>
      </c>
      <c r="C161" s="6" t="s">
        <v>22</v>
      </c>
      <c r="D161" s="7" t="s">
        <v>654</v>
      </c>
      <c r="E161" s="7" t="s">
        <v>655</v>
      </c>
      <c r="F161" s="6" t="s">
        <v>14</v>
      </c>
      <c r="G161" s="7" t="s">
        <v>42</v>
      </c>
      <c r="H161" s="7" t="s">
        <v>656</v>
      </c>
      <c r="I161" s="7" t="s">
        <v>657</v>
      </c>
    </row>
    <row r="162" spans="1:9" ht="126" customHeight="1" x14ac:dyDescent="0.35">
      <c r="A162" s="6">
        <v>158</v>
      </c>
      <c r="B162" s="7" t="s">
        <v>641</v>
      </c>
      <c r="C162" s="6" t="s">
        <v>65</v>
      </c>
      <c r="D162" s="7" t="s">
        <v>658</v>
      </c>
      <c r="E162" s="7" t="s">
        <v>659</v>
      </c>
      <c r="F162" s="6" t="s">
        <v>14</v>
      </c>
      <c r="G162" s="7" t="s">
        <v>15</v>
      </c>
      <c r="H162" s="7" t="s">
        <v>660</v>
      </c>
      <c r="I162" s="7" t="s">
        <v>661</v>
      </c>
    </row>
    <row r="163" spans="1:9" ht="75.75" customHeight="1" x14ac:dyDescent="0.35">
      <c r="A163" s="6">
        <v>159</v>
      </c>
      <c r="B163" s="7" t="s">
        <v>641</v>
      </c>
      <c r="C163" s="6" t="s">
        <v>65</v>
      </c>
      <c r="D163" s="7" t="s">
        <v>662</v>
      </c>
      <c r="E163" s="7" t="s">
        <v>663</v>
      </c>
      <c r="F163" s="6" t="s">
        <v>93</v>
      </c>
      <c r="G163" s="7" t="s">
        <v>15</v>
      </c>
      <c r="H163" s="7" t="s">
        <v>664</v>
      </c>
      <c r="I163" s="7" t="s">
        <v>665</v>
      </c>
    </row>
    <row r="164" spans="1:9" ht="75.75" customHeight="1" x14ac:dyDescent="0.35">
      <c r="A164" s="6">
        <v>160</v>
      </c>
      <c r="B164" s="7" t="s">
        <v>666</v>
      </c>
      <c r="C164" s="6" t="s">
        <v>22</v>
      </c>
      <c r="D164" s="7" t="s">
        <v>667</v>
      </c>
      <c r="E164" s="7" t="s">
        <v>668</v>
      </c>
      <c r="F164" s="6" t="s">
        <v>14</v>
      </c>
      <c r="G164" s="7" t="s">
        <v>15</v>
      </c>
      <c r="H164" s="7" t="s">
        <v>322</v>
      </c>
      <c r="I164" s="7" t="s">
        <v>322</v>
      </c>
    </row>
    <row r="165" spans="1:9" ht="163.5" customHeight="1" x14ac:dyDescent="0.35">
      <c r="A165" s="6">
        <v>161</v>
      </c>
      <c r="B165" s="7" t="s">
        <v>669</v>
      </c>
      <c r="C165" s="6" t="s">
        <v>11</v>
      </c>
      <c r="D165" s="7" t="s">
        <v>670</v>
      </c>
      <c r="E165" s="7" t="s">
        <v>671</v>
      </c>
      <c r="F165" s="6" t="s">
        <v>14</v>
      </c>
      <c r="G165" s="7" t="s">
        <v>15</v>
      </c>
      <c r="H165" s="7" t="s">
        <v>672</v>
      </c>
      <c r="I165" s="7" t="s">
        <v>673</v>
      </c>
    </row>
    <row r="166" spans="1:9" ht="213" customHeight="1" x14ac:dyDescent="0.35">
      <c r="A166" s="6">
        <v>162</v>
      </c>
      <c r="B166" s="7" t="s">
        <v>669</v>
      </c>
      <c r="C166" s="6" t="s">
        <v>96</v>
      </c>
      <c r="D166" s="7" t="s">
        <v>674</v>
      </c>
      <c r="E166" s="7" t="s">
        <v>675</v>
      </c>
      <c r="F166" s="6" t="s">
        <v>14</v>
      </c>
      <c r="G166" s="7" t="s">
        <v>15</v>
      </c>
      <c r="H166" s="7" t="s">
        <v>676</v>
      </c>
      <c r="I166" s="7" t="s">
        <v>677</v>
      </c>
    </row>
    <row r="167" spans="1:9" ht="138" customHeight="1" x14ac:dyDescent="0.35">
      <c r="A167" s="6">
        <v>163</v>
      </c>
      <c r="B167" s="7" t="s">
        <v>678</v>
      </c>
      <c r="C167" s="6" t="s">
        <v>39</v>
      </c>
      <c r="D167" s="7" t="s">
        <v>679</v>
      </c>
      <c r="E167" s="7" t="s">
        <v>498</v>
      </c>
      <c r="F167" s="6" t="s">
        <v>14</v>
      </c>
      <c r="G167" s="7" t="s">
        <v>15</v>
      </c>
      <c r="H167" s="7" t="s">
        <v>499</v>
      </c>
      <c r="I167" s="7" t="s">
        <v>500</v>
      </c>
    </row>
    <row r="168" spans="1:9" ht="213" customHeight="1" x14ac:dyDescent="0.35">
      <c r="A168" s="6">
        <v>164</v>
      </c>
      <c r="B168" s="7" t="s">
        <v>678</v>
      </c>
      <c r="C168" s="6" t="s">
        <v>39</v>
      </c>
      <c r="D168" s="7" t="s">
        <v>680</v>
      </c>
      <c r="E168" s="7" t="s">
        <v>681</v>
      </c>
      <c r="F168" s="6" t="s">
        <v>14</v>
      </c>
      <c r="G168" s="7" t="s">
        <v>15</v>
      </c>
      <c r="H168" s="7" t="s">
        <v>682</v>
      </c>
      <c r="I168" s="7" t="s">
        <v>683</v>
      </c>
    </row>
    <row r="169" spans="1:9" ht="113.25" customHeight="1" x14ac:dyDescent="0.35">
      <c r="A169" s="6">
        <v>165</v>
      </c>
      <c r="B169" s="7" t="s">
        <v>678</v>
      </c>
      <c r="C169" s="6" t="s">
        <v>65</v>
      </c>
      <c r="D169" s="7" t="s">
        <v>684</v>
      </c>
      <c r="E169" s="7" t="s">
        <v>685</v>
      </c>
      <c r="F169" s="6" t="s">
        <v>14</v>
      </c>
      <c r="G169" s="7" t="s">
        <v>42</v>
      </c>
      <c r="H169" s="7" t="s">
        <v>686</v>
      </c>
      <c r="I169" s="7" t="s">
        <v>687</v>
      </c>
    </row>
    <row r="170" spans="1:9" ht="75.75" customHeight="1" x14ac:dyDescent="0.35">
      <c r="A170" s="6">
        <v>166</v>
      </c>
      <c r="B170" s="7" t="s">
        <v>678</v>
      </c>
      <c r="C170" s="6" t="s">
        <v>39</v>
      </c>
      <c r="D170" s="7" t="s">
        <v>688</v>
      </c>
      <c r="E170" s="7" t="s">
        <v>689</v>
      </c>
      <c r="F170" s="6" t="s">
        <v>255</v>
      </c>
      <c r="G170" s="7" t="s">
        <v>103</v>
      </c>
      <c r="H170" s="7" t="s">
        <v>690</v>
      </c>
      <c r="I170" s="7" t="s">
        <v>691</v>
      </c>
    </row>
    <row r="171" spans="1:9" ht="138" customHeight="1" x14ac:dyDescent="0.35">
      <c r="A171" s="6">
        <v>167</v>
      </c>
      <c r="B171" s="7" t="s">
        <v>608</v>
      </c>
      <c r="C171" s="6" t="s">
        <v>22</v>
      </c>
      <c r="D171" s="7" t="s">
        <v>692</v>
      </c>
      <c r="E171" s="7" t="s">
        <v>693</v>
      </c>
      <c r="F171" s="6" t="s">
        <v>14</v>
      </c>
      <c r="G171" s="7" t="s">
        <v>15</v>
      </c>
      <c r="H171" s="7" t="s">
        <v>694</v>
      </c>
      <c r="I171" s="7" t="s">
        <v>695</v>
      </c>
    </row>
    <row r="172" spans="1:9" ht="100.5" customHeight="1" x14ac:dyDescent="0.35">
      <c r="A172" s="6">
        <v>168</v>
      </c>
      <c r="B172" s="7" t="s">
        <v>608</v>
      </c>
      <c r="C172" s="6" t="s">
        <v>39</v>
      </c>
      <c r="D172" s="7" t="s">
        <v>696</v>
      </c>
      <c r="E172" s="7" t="s">
        <v>697</v>
      </c>
      <c r="F172" s="6" t="s">
        <v>14</v>
      </c>
      <c r="G172" s="7" t="s">
        <v>15</v>
      </c>
      <c r="H172" s="7" t="s">
        <v>698</v>
      </c>
      <c r="I172" s="7" t="s">
        <v>699</v>
      </c>
    </row>
    <row r="173" spans="1:9" ht="126" customHeight="1" x14ac:dyDescent="0.35">
      <c r="A173" s="6">
        <v>169</v>
      </c>
      <c r="B173" s="7" t="s">
        <v>608</v>
      </c>
      <c r="C173" s="6" t="s">
        <v>39</v>
      </c>
      <c r="D173" s="7" t="s">
        <v>700</v>
      </c>
      <c r="E173" s="7" t="s">
        <v>701</v>
      </c>
      <c r="F173" s="6" t="s">
        <v>14</v>
      </c>
      <c r="G173" s="7" t="s">
        <v>15</v>
      </c>
      <c r="H173" s="7" t="s">
        <v>702</v>
      </c>
      <c r="I173" s="7" t="s">
        <v>703</v>
      </c>
    </row>
    <row r="174" spans="1:9" ht="100.5" customHeight="1" x14ac:dyDescent="0.35">
      <c r="A174" s="6">
        <v>170</v>
      </c>
      <c r="B174" s="7" t="s">
        <v>608</v>
      </c>
      <c r="C174" s="6" t="s">
        <v>39</v>
      </c>
      <c r="D174" s="7" t="s">
        <v>704</v>
      </c>
      <c r="E174" s="7" t="s">
        <v>705</v>
      </c>
      <c r="F174" s="6" t="s">
        <v>88</v>
      </c>
      <c r="G174" s="7" t="s">
        <v>103</v>
      </c>
      <c r="H174" s="7" t="s">
        <v>706</v>
      </c>
      <c r="I174" s="7" t="s">
        <v>707</v>
      </c>
    </row>
    <row r="175" spans="1:9" ht="100.5" customHeight="1" x14ac:dyDescent="0.35">
      <c r="A175" s="6">
        <v>171</v>
      </c>
      <c r="B175" s="7" t="s">
        <v>608</v>
      </c>
      <c r="C175" s="6" t="s">
        <v>39</v>
      </c>
      <c r="D175" s="7" t="s">
        <v>700</v>
      </c>
      <c r="E175" s="7" t="s">
        <v>708</v>
      </c>
      <c r="F175" s="6" t="s">
        <v>14</v>
      </c>
      <c r="G175" s="7" t="s">
        <v>15</v>
      </c>
      <c r="H175" s="7" t="s">
        <v>709</v>
      </c>
      <c r="I175" s="7" t="s">
        <v>710</v>
      </c>
    </row>
    <row r="176" spans="1:9" ht="225.75" customHeight="1" x14ac:dyDescent="0.35">
      <c r="A176" s="6">
        <v>172</v>
      </c>
      <c r="B176" s="7" t="s">
        <v>608</v>
      </c>
      <c r="C176" s="6" t="s">
        <v>65</v>
      </c>
      <c r="D176" s="7" t="s">
        <v>711</v>
      </c>
      <c r="E176" s="7" t="s">
        <v>712</v>
      </c>
      <c r="F176" s="6" t="s">
        <v>14</v>
      </c>
      <c r="G176" s="7" t="s">
        <v>15</v>
      </c>
      <c r="H176" s="7" t="s">
        <v>713</v>
      </c>
      <c r="I176" s="7" t="s">
        <v>714</v>
      </c>
    </row>
    <row r="177" spans="1:9" ht="126" customHeight="1" x14ac:dyDescent="0.35">
      <c r="A177" s="6">
        <v>173</v>
      </c>
      <c r="B177" s="7" t="s">
        <v>608</v>
      </c>
      <c r="C177" s="6" t="s">
        <v>39</v>
      </c>
      <c r="D177" s="7" t="s">
        <v>715</v>
      </c>
      <c r="E177" s="7" t="s">
        <v>716</v>
      </c>
      <c r="F177" s="6" t="s">
        <v>88</v>
      </c>
      <c r="G177" s="7" t="s">
        <v>103</v>
      </c>
      <c r="H177" s="7" t="s">
        <v>717</v>
      </c>
      <c r="I177" s="7" t="s">
        <v>718</v>
      </c>
    </row>
    <row r="178" spans="1:9" ht="88.5" customHeight="1" x14ac:dyDescent="0.35">
      <c r="A178" s="6">
        <v>174</v>
      </c>
      <c r="B178" s="7" t="s">
        <v>616</v>
      </c>
      <c r="C178" s="6" t="s">
        <v>39</v>
      </c>
      <c r="D178" s="7" t="s">
        <v>719</v>
      </c>
      <c r="E178" s="7" t="s">
        <v>720</v>
      </c>
      <c r="F178" s="6" t="s">
        <v>14</v>
      </c>
      <c r="G178" s="7" t="s">
        <v>42</v>
      </c>
      <c r="H178" s="7" t="s">
        <v>721</v>
      </c>
      <c r="I178" s="7" t="s">
        <v>722</v>
      </c>
    </row>
    <row r="179" spans="1:9" ht="14.25" customHeight="1" x14ac:dyDescent="0.35">
      <c r="A179" s="4" t="s">
        <v>723</v>
      </c>
      <c r="B179" s="5"/>
      <c r="C179" s="5"/>
      <c r="D179" s="5"/>
      <c r="E179" s="5"/>
      <c r="F179" s="5"/>
      <c r="G179" s="5"/>
      <c r="H179" s="5"/>
      <c r="I179" s="5"/>
    </row>
    <row r="180" spans="1:9" ht="100.5" customHeight="1" x14ac:dyDescent="0.35">
      <c r="A180" s="6">
        <v>175</v>
      </c>
      <c r="B180" s="7" t="s">
        <v>724</v>
      </c>
      <c r="C180" s="6" t="s">
        <v>39</v>
      </c>
      <c r="D180" s="7" t="s">
        <v>725</v>
      </c>
      <c r="E180" s="7" t="s">
        <v>726</v>
      </c>
      <c r="F180" s="6" t="s">
        <v>99</v>
      </c>
      <c r="G180" s="7" t="s">
        <v>103</v>
      </c>
      <c r="H180" s="7" t="s">
        <v>727</v>
      </c>
      <c r="I180" s="7" t="s">
        <v>728</v>
      </c>
    </row>
    <row r="181" spans="1:9" ht="175.5" customHeight="1" x14ac:dyDescent="0.35">
      <c r="A181" s="6">
        <v>176</v>
      </c>
      <c r="B181" s="7" t="s">
        <v>724</v>
      </c>
      <c r="C181" s="6" t="s">
        <v>39</v>
      </c>
      <c r="D181" s="7" t="s">
        <v>725</v>
      </c>
      <c r="E181" s="7" t="s">
        <v>729</v>
      </c>
      <c r="F181" s="6" t="s">
        <v>99</v>
      </c>
      <c r="G181" s="7" t="s">
        <v>15</v>
      </c>
      <c r="H181" s="7" t="s">
        <v>730</v>
      </c>
      <c r="I181" s="7" t="s">
        <v>731</v>
      </c>
    </row>
    <row r="182" spans="1:9" ht="175.5" customHeight="1" x14ac:dyDescent="0.35">
      <c r="A182" s="6">
        <v>177</v>
      </c>
      <c r="B182" s="7" t="s">
        <v>724</v>
      </c>
      <c r="C182" s="6" t="s">
        <v>65</v>
      </c>
      <c r="D182" s="7" t="s">
        <v>725</v>
      </c>
      <c r="E182" s="7" t="s">
        <v>732</v>
      </c>
      <c r="F182" s="6" t="s">
        <v>99</v>
      </c>
      <c r="G182" s="7" t="s">
        <v>15</v>
      </c>
      <c r="H182" s="7" t="s">
        <v>733</v>
      </c>
      <c r="I182" s="7" t="s">
        <v>734</v>
      </c>
    </row>
    <row r="183" spans="1:9" ht="175.5" customHeight="1" x14ac:dyDescent="0.35">
      <c r="A183" s="6">
        <v>178</v>
      </c>
      <c r="B183" s="7" t="s">
        <v>735</v>
      </c>
      <c r="C183" s="6" t="s">
        <v>65</v>
      </c>
      <c r="D183" s="7" t="s">
        <v>736</v>
      </c>
      <c r="E183" s="7" t="s">
        <v>737</v>
      </c>
      <c r="F183" s="6" t="s">
        <v>93</v>
      </c>
      <c r="G183" s="7" t="s">
        <v>42</v>
      </c>
      <c r="H183" s="7" t="s">
        <v>738</v>
      </c>
      <c r="I183" s="7" t="s">
        <v>739</v>
      </c>
    </row>
    <row r="184" spans="1:9" ht="188.25" customHeight="1" x14ac:dyDescent="0.35">
      <c r="A184" s="6">
        <v>179</v>
      </c>
      <c r="B184" s="7" t="s">
        <v>724</v>
      </c>
      <c r="C184" s="6" t="s">
        <v>39</v>
      </c>
      <c r="D184" s="7" t="s">
        <v>740</v>
      </c>
      <c r="E184" s="7" t="s">
        <v>741</v>
      </c>
      <c r="F184" s="6" t="s">
        <v>99</v>
      </c>
      <c r="G184" s="7" t="s">
        <v>103</v>
      </c>
      <c r="H184" s="7" t="s">
        <v>742</v>
      </c>
      <c r="I184" s="7" t="s">
        <v>743</v>
      </c>
    </row>
    <row r="185" spans="1:9" ht="238.5" customHeight="1" x14ac:dyDescent="0.35">
      <c r="A185" s="6">
        <v>180</v>
      </c>
      <c r="B185" s="7" t="s">
        <v>724</v>
      </c>
      <c r="C185" s="6" t="s">
        <v>96</v>
      </c>
      <c r="D185" s="7" t="s">
        <v>744</v>
      </c>
      <c r="E185" s="7" t="s">
        <v>649</v>
      </c>
      <c r="F185" s="6" t="s">
        <v>14</v>
      </c>
      <c r="G185" s="7" t="s">
        <v>15</v>
      </c>
      <c r="H185" s="7" t="s">
        <v>745</v>
      </c>
      <c r="I185" s="7" t="s">
        <v>746</v>
      </c>
    </row>
    <row r="186" spans="1:9" ht="188.25" customHeight="1" x14ac:dyDescent="0.35">
      <c r="A186" s="6">
        <v>181</v>
      </c>
      <c r="B186" s="7" t="s">
        <v>724</v>
      </c>
      <c r="C186" s="6" t="s">
        <v>22</v>
      </c>
      <c r="D186" s="7" t="s">
        <v>747</v>
      </c>
      <c r="E186" s="7" t="s">
        <v>748</v>
      </c>
      <c r="F186" s="6" t="s">
        <v>14</v>
      </c>
      <c r="G186" s="7" t="s">
        <v>15</v>
      </c>
      <c r="H186" s="7" t="s">
        <v>749</v>
      </c>
      <c r="I186" s="7" t="s">
        <v>750</v>
      </c>
    </row>
    <row r="187" spans="1:9" ht="238.5" customHeight="1" x14ac:dyDescent="0.35">
      <c r="A187" s="6">
        <v>182</v>
      </c>
      <c r="B187" s="7" t="s">
        <v>724</v>
      </c>
      <c r="C187" s="6" t="s">
        <v>39</v>
      </c>
      <c r="D187" s="7" t="s">
        <v>751</v>
      </c>
      <c r="E187" s="7" t="s">
        <v>752</v>
      </c>
      <c r="F187" s="6" t="s">
        <v>753</v>
      </c>
      <c r="G187" s="7" t="s">
        <v>15</v>
      </c>
      <c r="H187" s="7" t="s">
        <v>754</v>
      </c>
      <c r="I187" s="7" t="s">
        <v>755</v>
      </c>
    </row>
    <row r="188" spans="1:9" ht="138" customHeight="1" x14ac:dyDescent="0.35">
      <c r="A188" s="6">
        <v>183</v>
      </c>
      <c r="B188" s="7" t="s">
        <v>724</v>
      </c>
      <c r="C188" s="6" t="s">
        <v>39</v>
      </c>
      <c r="D188" s="7" t="s">
        <v>756</v>
      </c>
      <c r="E188" s="7" t="s">
        <v>757</v>
      </c>
      <c r="F188" s="6" t="s">
        <v>14</v>
      </c>
      <c r="G188" s="7" t="s">
        <v>42</v>
      </c>
      <c r="H188" s="7" t="s">
        <v>758</v>
      </c>
      <c r="I188" s="7" t="s">
        <v>759</v>
      </c>
    </row>
    <row r="189" spans="1:9" ht="100.5" customHeight="1" x14ac:dyDescent="0.35">
      <c r="A189" s="6">
        <v>184</v>
      </c>
      <c r="B189" s="7" t="s">
        <v>724</v>
      </c>
      <c r="C189" s="6" t="s">
        <v>39</v>
      </c>
      <c r="D189" s="7" t="s">
        <v>760</v>
      </c>
      <c r="E189" s="7" t="s">
        <v>761</v>
      </c>
      <c r="F189" s="6" t="s">
        <v>14</v>
      </c>
      <c r="G189" s="7" t="s">
        <v>42</v>
      </c>
      <c r="H189" s="7" t="s">
        <v>762</v>
      </c>
      <c r="I189" s="7" t="s">
        <v>763</v>
      </c>
    </row>
    <row r="190" spans="1:9" ht="213" customHeight="1" x14ac:dyDescent="0.35">
      <c r="A190" s="6">
        <v>185</v>
      </c>
      <c r="B190" s="7" t="s">
        <v>724</v>
      </c>
      <c r="C190" s="6" t="s">
        <v>39</v>
      </c>
      <c r="D190" s="7" t="s">
        <v>760</v>
      </c>
      <c r="E190" s="7" t="s">
        <v>764</v>
      </c>
      <c r="F190" s="6" t="s">
        <v>14</v>
      </c>
      <c r="G190" s="7" t="s">
        <v>42</v>
      </c>
      <c r="H190" s="7" t="s">
        <v>765</v>
      </c>
      <c r="I190" s="7" t="s">
        <v>766</v>
      </c>
    </row>
    <row r="191" spans="1:9" ht="113.25" customHeight="1" x14ac:dyDescent="0.35">
      <c r="A191" s="6">
        <v>186</v>
      </c>
      <c r="B191" s="7" t="s">
        <v>724</v>
      </c>
      <c r="C191" s="6" t="s">
        <v>39</v>
      </c>
      <c r="D191" s="7" t="s">
        <v>767</v>
      </c>
      <c r="E191" s="7" t="s">
        <v>768</v>
      </c>
      <c r="F191" s="6" t="s">
        <v>99</v>
      </c>
      <c r="G191" s="7" t="s">
        <v>42</v>
      </c>
      <c r="H191" s="7" t="s">
        <v>769</v>
      </c>
      <c r="I191" s="7" t="s">
        <v>770</v>
      </c>
    </row>
    <row r="192" spans="1:9" ht="100.5" customHeight="1" x14ac:dyDescent="0.35">
      <c r="A192" s="6">
        <v>187</v>
      </c>
      <c r="B192" s="7" t="s">
        <v>724</v>
      </c>
      <c r="C192" s="6" t="s">
        <v>39</v>
      </c>
      <c r="D192" s="7" t="s">
        <v>771</v>
      </c>
      <c r="E192" s="7" t="s">
        <v>772</v>
      </c>
      <c r="F192" s="6" t="s">
        <v>99</v>
      </c>
      <c r="G192" s="7" t="s">
        <v>42</v>
      </c>
      <c r="H192" s="7" t="s">
        <v>773</v>
      </c>
      <c r="I192" s="7" t="s">
        <v>774</v>
      </c>
    </row>
    <row r="193" spans="1:9" ht="175.5" customHeight="1" x14ac:dyDescent="0.35">
      <c r="A193" s="6">
        <v>188</v>
      </c>
      <c r="B193" s="7" t="s">
        <v>724</v>
      </c>
      <c r="C193" s="6" t="s">
        <v>39</v>
      </c>
      <c r="D193" s="7" t="s">
        <v>771</v>
      </c>
      <c r="E193" s="7" t="s">
        <v>775</v>
      </c>
      <c r="F193" s="6" t="s">
        <v>99</v>
      </c>
      <c r="G193" s="7" t="s">
        <v>42</v>
      </c>
      <c r="H193" s="7" t="s">
        <v>776</v>
      </c>
      <c r="I193" s="7" t="s">
        <v>777</v>
      </c>
    </row>
    <row r="194" spans="1:9" ht="201" customHeight="1" x14ac:dyDescent="0.35">
      <c r="A194" s="6">
        <v>189</v>
      </c>
      <c r="B194" s="7" t="s">
        <v>724</v>
      </c>
      <c r="C194" s="6" t="s">
        <v>39</v>
      </c>
      <c r="D194" s="7" t="s">
        <v>778</v>
      </c>
      <c r="E194" s="7" t="s">
        <v>503</v>
      </c>
      <c r="F194" s="6" t="s">
        <v>99</v>
      </c>
      <c r="G194" s="7" t="s">
        <v>15</v>
      </c>
      <c r="H194" s="7" t="s">
        <v>779</v>
      </c>
      <c r="I194" s="7" t="s">
        <v>780</v>
      </c>
    </row>
    <row r="195" spans="1:9" ht="150.75" customHeight="1" x14ac:dyDescent="0.35">
      <c r="A195" s="6">
        <v>190</v>
      </c>
      <c r="B195" s="7" t="s">
        <v>724</v>
      </c>
      <c r="C195" s="6" t="s">
        <v>39</v>
      </c>
      <c r="D195" s="7" t="s">
        <v>747</v>
      </c>
      <c r="E195" s="7" t="s">
        <v>781</v>
      </c>
      <c r="F195" s="6" t="s">
        <v>99</v>
      </c>
      <c r="G195" s="7" t="s">
        <v>15</v>
      </c>
      <c r="H195" s="7" t="s">
        <v>782</v>
      </c>
      <c r="I195" s="7" t="s">
        <v>783</v>
      </c>
    </row>
    <row r="196" spans="1:9" ht="175.5" customHeight="1" x14ac:dyDescent="0.35">
      <c r="A196" s="6">
        <v>191</v>
      </c>
      <c r="B196" s="7" t="s">
        <v>724</v>
      </c>
      <c r="C196" s="6" t="s">
        <v>65</v>
      </c>
      <c r="D196" s="7" t="s">
        <v>784</v>
      </c>
      <c r="E196" s="7" t="s">
        <v>785</v>
      </c>
      <c r="F196" s="6" t="s">
        <v>88</v>
      </c>
      <c r="G196" s="7" t="s">
        <v>103</v>
      </c>
      <c r="H196" s="7" t="s">
        <v>786</v>
      </c>
      <c r="I196" s="7" t="s">
        <v>787</v>
      </c>
    </row>
    <row r="197" spans="1:9" ht="163.5" customHeight="1" x14ac:dyDescent="0.35">
      <c r="A197" s="6">
        <v>192</v>
      </c>
      <c r="B197" s="7" t="s">
        <v>724</v>
      </c>
      <c r="C197" s="6" t="s">
        <v>39</v>
      </c>
      <c r="D197" s="7" t="s">
        <v>788</v>
      </c>
      <c r="E197" s="7" t="s">
        <v>789</v>
      </c>
      <c r="F197" s="6" t="s">
        <v>14</v>
      </c>
      <c r="G197" s="7" t="s">
        <v>103</v>
      </c>
      <c r="H197" s="7" t="s">
        <v>790</v>
      </c>
      <c r="I197" s="7" t="s">
        <v>791</v>
      </c>
    </row>
    <row r="198" spans="1:9" ht="225.75" customHeight="1" x14ac:dyDescent="0.35">
      <c r="A198" s="6">
        <v>193</v>
      </c>
      <c r="B198" s="7" t="s">
        <v>792</v>
      </c>
      <c r="C198" s="6" t="s">
        <v>65</v>
      </c>
      <c r="D198" s="7" t="s">
        <v>793</v>
      </c>
      <c r="E198" s="7" t="s">
        <v>794</v>
      </c>
      <c r="F198" s="6" t="s">
        <v>14</v>
      </c>
      <c r="G198" s="7" t="s">
        <v>15</v>
      </c>
      <c r="H198" s="7" t="s">
        <v>795</v>
      </c>
      <c r="I198" s="7" t="s">
        <v>796</v>
      </c>
    </row>
    <row r="199" spans="1:9" ht="138" customHeight="1" x14ac:dyDescent="0.35">
      <c r="A199" s="6">
        <v>194</v>
      </c>
      <c r="B199" s="7" t="s">
        <v>724</v>
      </c>
      <c r="C199" s="6" t="s">
        <v>22</v>
      </c>
      <c r="D199" s="7" t="s">
        <v>797</v>
      </c>
      <c r="E199" s="7" t="s">
        <v>798</v>
      </c>
      <c r="F199" s="6" t="s">
        <v>99</v>
      </c>
      <c r="G199" s="7" t="s">
        <v>42</v>
      </c>
      <c r="H199" s="7" t="s">
        <v>799</v>
      </c>
      <c r="I199" s="7" t="s">
        <v>800</v>
      </c>
    </row>
    <row r="200" spans="1:9" ht="213" customHeight="1" x14ac:dyDescent="0.35">
      <c r="A200" s="6">
        <v>195</v>
      </c>
      <c r="B200" s="7" t="s">
        <v>724</v>
      </c>
      <c r="C200" s="6" t="s">
        <v>39</v>
      </c>
      <c r="D200" s="7" t="s">
        <v>801</v>
      </c>
      <c r="E200" s="7" t="s">
        <v>802</v>
      </c>
      <c r="F200" s="6" t="s">
        <v>99</v>
      </c>
      <c r="G200" s="7" t="s">
        <v>15</v>
      </c>
      <c r="H200" s="7" t="s">
        <v>803</v>
      </c>
      <c r="I200" s="7" t="s">
        <v>804</v>
      </c>
    </row>
    <row r="201" spans="1:9" ht="100.5" customHeight="1" x14ac:dyDescent="0.35">
      <c r="A201" s="6">
        <v>196</v>
      </c>
      <c r="B201" s="7" t="s">
        <v>724</v>
      </c>
      <c r="C201" s="6" t="s">
        <v>39</v>
      </c>
      <c r="D201" s="7" t="s">
        <v>805</v>
      </c>
      <c r="E201" s="7" t="s">
        <v>806</v>
      </c>
      <c r="F201" s="6" t="s">
        <v>88</v>
      </c>
      <c r="G201" s="7" t="s">
        <v>103</v>
      </c>
      <c r="H201" s="7" t="s">
        <v>807</v>
      </c>
      <c r="I201" s="7" t="s">
        <v>808</v>
      </c>
    </row>
    <row r="202" spans="1:9" ht="113.25" customHeight="1" x14ac:dyDescent="0.35">
      <c r="A202" s="6">
        <v>197</v>
      </c>
      <c r="B202" s="7" t="s">
        <v>724</v>
      </c>
      <c r="C202" s="6" t="s">
        <v>39</v>
      </c>
      <c r="D202" s="7" t="s">
        <v>809</v>
      </c>
      <c r="E202" s="7" t="s">
        <v>810</v>
      </c>
      <c r="F202" s="6" t="s">
        <v>99</v>
      </c>
      <c r="G202" s="7" t="s">
        <v>103</v>
      </c>
      <c r="H202" s="7" t="s">
        <v>811</v>
      </c>
      <c r="I202" s="7" t="s">
        <v>812</v>
      </c>
    </row>
    <row r="203" spans="1:9" ht="100.5" customHeight="1" x14ac:dyDescent="0.35">
      <c r="A203" s="6">
        <v>198</v>
      </c>
      <c r="B203" s="7" t="s">
        <v>724</v>
      </c>
      <c r="C203" s="6" t="s">
        <v>39</v>
      </c>
      <c r="D203" s="7" t="s">
        <v>813</v>
      </c>
      <c r="E203" s="7" t="s">
        <v>814</v>
      </c>
      <c r="F203" s="6" t="s">
        <v>99</v>
      </c>
      <c r="G203" s="7" t="s">
        <v>103</v>
      </c>
      <c r="H203" s="7" t="s">
        <v>815</v>
      </c>
      <c r="I203" s="7" t="s">
        <v>816</v>
      </c>
    </row>
    <row r="204" spans="1:9" ht="100.5" customHeight="1" x14ac:dyDescent="0.35">
      <c r="A204" s="6">
        <v>199</v>
      </c>
      <c r="B204" s="7" t="s">
        <v>724</v>
      </c>
      <c r="C204" s="6" t="s">
        <v>65</v>
      </c>
      <c r="D204" s="7" t="s">
        <v>809</v>
      </c>
      <c r="E204" s="7" t="s">
        <v>817</v>
      </c>
      <c r="F204" s="6" t="s">
        <v>99</v>
      </c>
      <c r="G204" s="7" t="s">
        <v>42</v>
      </c>
      <c r="H204" s="7" t="s">
        <v>818</v>
      </c>
      <c r="I204" s="7" t="s">
        <v>819</v>
      </c>
    </row>
    <row r="205" spans="1:9" ht="150.75" customHeight="1" x14ac:dyDescent="0.35">
      <c r="A205" s="6">
        <v>200</v>
      </c>
      <c r="B205" s="7" t="s">
        <v>724</v>
      </c>
      <c r="C205" s="6" t="s">
        <v>65</v>
      </c>
      <c r="D205" s="7" t="s">
        <v>809</v>
      </c>
      <c r="E205" s="7" t="s">
        <v>820</v>
      </c>
      <c r="F205" s="6" t="s">
        <v>99</v>
      </c>
      <c r="G205" s="7" t="s">
        <v>42</v>
      </c>
      <c r="H205" s="7" t="s">
        <v>821</v>
      </c>
      <c r="I205" s="7" t="s">
        <v>822</v>
      </c>
    </row>
    <row r="206" spans="1:9" ht="138" customHeight="1" x14ac:dyDescent="0.35">
      <c r="A206" s="6">
        <v>201</v>
      </c>
      <c r="B206" s="7" t="s">
        <v>724</v>
      </c>
      <c r="C206" s="6" t="s">
        <v>65</v>
      </c>
      <c r="D206" s="7" t="s">
        <v>809</v>
      </c>
      <c r="E206" s="7" t="s">
        <v>823</v>
      </c>
      <c r="F206" s="6" t="s">
        <v>99</v>
      </c>
      <c r="G206" s="7" t="s">
        <v>42</v>
      </c>
      <c r="H206" s="7" t="s">
        <v>824</v>
      </c>
      <c r="I206" s="7" t="s">
        <v>825</v>
      </c>
    </row>
    <row r="207" spans="1:9" ht="150.75" customHeight="1" x14ac:dyDescent="0.35">
      <c r="A207" s="6">
        <v>202</v>
      </c>
      <c r="B207" s="7" t="s">
        <v>724</v>
      </c>
      <c r="C207" s="6" t="s">
        <v>65</v>
      </c>
      <c r="D207" s="7" t="s">
        <v>809</v>
      </c>
      <c r="E207" s="7" t="s">
        <v>826</v>
      </c>
      <c r="F207" s="6" t="s">
        <v>99</v>
      </c>
      <c r="G207" s="7" t="s">
        <v>103</v>
      </c>
      <c r="H207" s="7" t="s">
        <v>827</v>
      </c>
      <c r="I207" s="7" t="s">
        <v>828</v>
      </c>
    </row>
    <row r="208" spans="1:9" ht="126" customHeight="1" x14ac:dyDescent="0.35">
      <c r="A208" s="6">
        <v>203</v>
      </c>
      <c r="B208" s="7" t="s">
        <v>724</v>
      </c>
      <c r="C208" s="6" t="s">
        <v>65</v>
      </c>
      <c r="D208" s="7" t="s">
        <v>813</v>
      </c>
      <c r="E208" s="7" t="s">
        <v>829</v>
      </c>
      <c r="F208" s="6" t="s">
        <v>99</v>
      </c>
      <c r="G208" s="7" t="s">
        <v>103</v>
      </c>
      <c r="H208" s="7" t="s">
        <v>830</v>
      </c>
      <c r="I208" s="7" t="s">
        <v>831</v>
      </c>
    </row>
    <row r="209" spans="1:9" ht="238.5" customHeight="1" x14ac:dyDescent="0.35">
      <c r="A209" s="6">
        <v>204</v>
      </c>
      <c r="B209" s="7" t="s">
        <v>792</v>
      </c>
      <c r="C209" s="6" t="s">
        <v>39</v>
      </c>
      <c r="D209" s="7" t="s">
        <v>793</v>
      </c>
      <c r="E209" s="7" t="s">
        <v>832</v>
      </c>
      <c r="F209" s="6" t="s">
        <v>88</v>
      </c>
      <c r="G209" s="7" t="s">
        <v>15</v>
      </c>
      <c r="H209" s="7" t="s">
        <v>833</v>
      </c>
      <c r="I209" s="7" t="s">
        <v>834</v>
      </c>
    </row>
    <row r="210" spans="1:9" ht="150.75" customHeight="1" x14ac:dyDescent="0.35">
      <c r="A210" s="6">
        <v>205</v>
      </c>
      <c r="B210" s="7" t="s">
        <v>792</v>
      </c>
      <c r="C210" s="6" t="s">
        <v>11</v>
      </c>
      <c r="D210" s="7" t="s">
        <v>793</v>
      </c>
      <c r="E210" s="7" t="s">
        <v>835</v>
      </c>
      <c r="F210" s="6" t="s">
        <v>210</v>
      </c>
      <c r="G210" s="7" t="s">
        <v>15</v>
      </c>
      <c r="H210" s="7" t="s">
        <v>836</v>
      </c>
      <c r="I210" s="7" t="s">
        <v>837</v>
      </c>
    </row>
    <row r="211" spans="1:9" ht="163.5" customHeight="1" x14ac:dyDescent="0.35">
      <c r="A211" s="6">
        <v>206</v>
      </c>
      <c r="B211" s="7" t="s">
        <v>792</v>
      </c>
      <c r="C211" s="6" t="s">
        <v>11</v>
      </c>
      <c r="D211" s="7" t="s">
        <v>793</v>
      </c>
      <c r="E211" s="7" t="s">
        <v>838</v>
      </c>
      <c r="F211" s="6" t="s">
        <v>210</v>
      </c>
      <c r="G211" s="7" t="s">
        <v>15</v>
      </c>
      <c r="H211" s="7" t="s">
        <v>839</v>
      </c>
      <c r="I211" s="7" t="s">
        <v>840</v>
      </c>
    </row>
    <row r="212" spans="1:9" ht="213" customHeight="1" x14ac:dyDescent="0.35">
      <c r="A212" s="6">
        <v>207</v>
      </c>
      <c r="B212" s="7" t="s">
        <v>792</v>
      </c>
      <c r="C212" s="6" t="s">
        <v>39</v>
      </c>
      <c r="D212" s="7" t="s">
        <v>793</v>
      </c>
      <c r="E212" s="7" t="s">
        <v>841</v>
      </c>
      <c r="F212" s="6" t="s">
        <v>210</v>
      </c>
      <c r="G212" s="7" t="s">
        <v>15</v>
      </c>
      <c r="H212" s="7" t="s">
        <v>842</v>
      </c>
      <c r="I212" s="7" t="s">
        <v>843</v>
      </c>
    </row>
    <row r="213" spans="1:9" ht="150.75" customHeight="1" x14ac:dyDescent="0.35">
      <c r="A213" s="6">
        <v>208</v>
      </c>
      <c r="B213" s="7" t="s">
        <v>792</v>
      </c>
      <c r="C213" s="6" t="s">
        <v>39</v>
      </c>
      <c r="D213" s="7" t="s">
        <v>844</v>
      </c>
      <c r="E213" s="7" t="s">
        <v>845</v>
      </c>
      <c r="F213" s="6" t="s">
        <v>210</v>
      </c>
      <c r="G213" s="7" t="s">
        <v>15</v>
      </c>
      <c r="H213" s="7" t="s">
        <v>353</v>
      </c>
      <c r="I213" s="7" t="s">
        <v>846</v>
      </c>
    </row>
    <row r="214" spans="1:9" ht="175.5" customHeight="1" x14ac:dyDescent="0.35">
      <c r="A214" s="6">
        <v>209</v>
      </c>
      <c r="B214" s="7" t="s">
        <v>792</v>
      </c>
      <c r="C214" s="6" t="s">
        <v>39</v>
      </c>
      <c r="D214" s="7" t="s">
        <v>847</v>
      </c>
      <c r="E214" s="7" t="s">
        <v>848</v>
      </c>
      <c r="F214" s="6" t="s">
        <v>14</v>
      </c>
      <c r="G214" s="7" t="s">
        <v>15</v>
      </c>
      <c r="H214" s="7" t="s">
        <v>849</v>
      </c>
      <c r="I214" s="7" t="s">
        <v>850</v>
      </c>
    </row>
    <row r="215" spans="1:9" ht="188.25" customHeight="1" x14ac:dyDescent="0.35">
      <c r="A215" s="6">
        <v>210</v>
      </c>
      <c r="B215" s="7" t="s">
        <v>792</v>
      </c>
      <c r="C215" s="6" t="s">
        <v>39</v>
      </c>
      <c r="D215" s="7" t="s">
        <v>851</v>
      </c>
      <c r="E215" s="7" t="s">
        <v>852</v>
      </c>
      <c r="F215" s="6" t="s">
        <v>99</v>
      </c>
      <c r="G215" s="7" t="s">
        <v>42</v>
      </c>
      <c r="H215" s="7" t="s">
        <v>853</v>
      </c>
      <c r="I215" s="7" t="s">
        <v>854</v>
      </c>
    </row>
    <row r="216" spans="1:9" ht="150.75" customHeight="1" x14ac:dyDescent="0.35">
      <c r="A216" s="6">
        <v>211</v>
      </c>
      <c r="B216" s="7" t="s">
        <v>792</v>
      </c>
      <c r="C216" s="6" t="s">
        <v>65</v>
      </c>
      <c r="D216" s="7" t="s">
        <v>793</v>
      </c>
      <c r="E216" s="7" t="s">
        <v>855</v>
      </c>
      <c r="F216" s="6" t="s">
        <v>99</v>
      </c>
      <c r="G216" s="7" t="s">
        <v>15</v>
      </c>
      <c r="H216" s="7" t="s">
        <v>856</v>
      </c>
      <c r="I216" s="7" t="s">
        <v>857</v>
      </c>
    </row>
    <row r="217" spans="1:9" ht="100.5" customHeight="1" x14ac:dyDescent="0.35">
      <c r="A217" s="6">
        <v>212</v>
      </c>
      <c r="B217" s="7" t="s">
        <v>792</v>
      </c>
      <c r="C217" s="6" t="s">
        <v>65</v>
      </c>
      <c r="D217" s="7" t="s">
        <v>793</v>
      </c>
      <c r="E217" s="7" t="s">
        <v>858</v>
      </c>
      <c r="F217" s="6" t="s">
        <v>99</v>
      </c>
      <c r="G217" s="7" t="s">
        <v>42</v>
      </c>
      <c r="H217" s="7" t="s">
        <v>859</v>
      </c>
      <c r="I217" s="7" t="s">
        <v>860</v>
      </c>
    </row>
    <row r="218" spans="1:9" ht="175.5" customHeight="1" x14ac:dyDescent="0.35">
      <c r="A218" s="6">
        <v>213</v>
      </c>
      <c r="B218" s="7" t="s">
        <v>792</v>
      </c>
      <c r="C218" s="6" t="s">
        <v>96</v>
      </c>
      <c r="D218" s="7" t="s">
        <v>793</v>
      </c>
      <c r="E218" s="7" t="s">
        <v>861</v>
      </c>
      <c r="F218" s="6" t="s">
        <v>862</v>
      </c>
      <c r="G218" s="7" t="s">
        <v>15</v>
      </c>
      <c r="H218" s="7" t="s">
        <v>863</v>
      </c>
      <c r="I218" s="7" t="s">
        <v>864</v>
      </c>
    </row>
    <row r="219" spans="1:9" ht="113.25" customHeight="1" x14ac:dyDescent="0.35">
      <c r="A219" s="6">
        <v>214</v>
      </c>
      <c r="B219" s="7" t="s">
        <v>865</v>
      </c>
      <c r="C219" s="6" t="s">
        <v>11</v>
      </c>
      <c r="D219" s="7" t="s">
        <v>793</v>
      </c>
      <c r="E219" s="7" t="s">
        <v>866</v>
      </c>
      <c r="F219" s="6" t="s">
        <v>210</v>
      </c>
      <c r="G219" s="7" t="s">
        <v>15</v>
      </c>
      <c r="H219" s="7" t="s">
        <v>867</v>
      </c>
      <c r="I219" s="7" t="s">
        <v>868</v>
      </c>
    </row>
    <row r="220" spans="1:9" ht="113.25" customHeight="1" x14ac:dyDescent="0.35">
      <c r="A220" s="6">
        <v>215</v>
      </c>
      <c r="B220" s="7" t="s">
        <v>865</v>
      </c>
      <c r="C220" s="6" t="s">
        <v>11</v>
      </c>
      <c r="D220" s="7" t="s">
        <v>869</v>
      </c>
      <c r="E220" s="7" t="s">
        <v>870</v>
      </c>
      <c r="F220" s="6" t="s">
        <v>210</v>
      </c>
      <c r="G220" s="7" t="s">
        <v>15</v>
      </c>
      <c r="H220" s="7" t="s">
        <v>871</v>
      </c>
      <c r="I220" s="7" t="s">
        <v>872</v>
      </c>
    </row>
    <row r="221" spans="1:9" ht="113.25" customHeight="1" x14ac:dyDescent="0.35">
      <c r="A221" s="6">
        <v>216</v>
      </c>
      <c r="B221" s="7" t="s">
        <v>865</v>
      </c>
      <c r="C221" s="6" t="s">
        <v>11</v>
      </c>
      <c r="D221" s="7" t="s">
        <v>793</v>
      </c>
      <c r="E221" s="7" t="s">
        <v>873</v>
      </c>
      <c r="F221" s="6" t="s">
        <v>210</v>
      </c>
      <c r="G221" s="7" t="s">
        <v>103</v>
      </c>
      <c r="H221" s="7" t="s">
        <v>874</v>
      </c>
      <c r="I221" s="7" t="s">
        <v>875</v>
      </c>
    </row>
    <row r="222" spans="1:9" ht="113.25" customHeight="1" x14ac:dyDescent="0.35">
      <c r="A222" s="6">
        <v>217</v>
      </c>
      <c r="B222" s="7" t="s">
        <v>865</v>
      </c>
      <c r="C222" s="6" t="s">
        <v>96</v>
      </c>
      <c r="D222" s="7" t="s">
        <v>793</v>
      </c>
      <c r="E222" s="7" t="s">
        <v>876</v>
      </c>
      <c r="F222" s="6" t="s">
        <v>210</v>
      </c>
      <c r="G222" s="7" t="s">
        <v>15</v>
      </c>
      <c r="H222" s="7" t="s">
        <v>877</v>
      </c>
      <c r="I222" s="7" t="s">
        <v>878</v>
      </c>
    </row>
    <row r="223" spans="1:9" ht="201" customHeight="1" x14ac:dyDescent="0.35">
      <c r="A223" s="6">
        <v>218</v>
      </c>
      <c r="B223" s="7" t="s">
        <v>865</v>
      </c>
      <c r="C223" s="6" t="s">
        <v>39</v>
      </c>
      <c r="D223" s="7" t="s">
        <v>879</v>
      </c>
      <c r="E223" s="7" t="s">
        <v>880</v>
      </c>
      <c r="F223" s="6" t="s">
        <v>88</v>
      </c>
      <c r="G223" s="7" t="s">
        <v>103</v>
      </c>
      <c r="H223" s="7" t="s">
        <v>881</v>
      </c>
      <c r="I223" s="7" t="s">
        <v>882</v>
      </c>
    </row>
    <row r="224" spans="1:9" ht="75.75" customHeight="1" x14ac:dyDescent="0.35">
      <c r="A224" s="6">
        <v>219</v>
      </c>
      <c r="B224" s="7" t="s">
        <v>865</v>
      </c>
      <c r="C224" s="6" t="s">
        <v>96</v>
      </c>
      <c r="D224" s="7" t="s">
        <v>869</v>
      </c>
      <c r="E224" s="7" t="s">
        <v>883</v>
      </c>
      <c r="F224" s="6" t="s">
        <v>99</v>
      </c>
      <c r="G224" s="7" t="s">
        <v>103</v>
      </c>
      <c r="H224" s="7" t="s">
        <v>884</v>
      </c>
      <c r="I224" s="7" t="s">
        <v>885</v>
      </c>
    </row>
    <row r="225" spans="1:9" ht="238.5" customHeight="1" x14ac:dyDescent="0.35">
      <c r="A225" s="6">
        <v>220</v>
      </c>
      <c r="B225" s="7" t="s">
        <v>886</v>
      </c>
      <c r="C225" s="6" t="s">
        <v>39</v>
      </c>
      <c r="D225" s="7" t="s">
        <v>793</v>
      </c>
      <c r="E225" s="7" t="s">
        <v>887</v>
      </c>
      <c r="F225" s="6" t="s">
        <v>99</v>
      </c>
      <c r="G225" s="7" t="s">
        <v>42</v>
      </c>
      <c r="H225" s="7" t="s">
        <v>888</v>
      </c>
      <c r="I225" s="7" t="s">
        <v>889</v>
      </c>
    </row>
    <row r="226" spans="1:9" ht="138" customHeight="1" x14ac:dyDescent="0.35">
      <c r="A226" s="6">
        <v>221</v>
      </c>
      <c r="B226" s="7" t="s">
        <v>886</v>
      </c>
      <c r="C226" s="6" t="s">
        <v>39</v>
      </c>
      <c r="D226" s="7" t="s">
        <v>784</v>
      </c>
      <c r="E226" s="7" t="s">
        <v>890</v>
      </c>
      <c r="F226" s="6" t="s">
        <v>99</v>
      </c>
      <c r="G226" s="7" t="s">
        <v>42</v>
      </c>
      <c r="H226" s="7" t="s">
        <v>891</v>
      </c>
      <c r="I226" s="7" t="s">
        <v>892</v>
      </c>
    </row>
    <row r="227" spans="1:9" ht="163.5" customHeight="1" x14ac:dyDescent="0.35">
      <c r="A227" s="6">
        <v>222</v>
      </c>
      <c r="B227" s="7" t="s">
        <v>886</v>
      </c>
      <c r="C227" s="6" t="s">
        <v>96</v>
      </c>
      <c r="D227" s="7" t="s">
        <v>784</v>
      </c>
      <c r="E227" s="7" t="s">
        <v>893</v>
      </c>
      <c r="F227" s="6" t="s">
        <v>99</v>
      </c>
      <c r="G227" s="7" t="s">
        <v>42</v>
      </c>
      <c r="H227" s="7" t="s">
        <v>894</v>
      </c>
      <c r="I227" s="7" t="s">
        <v>895</v>
      </c>
    </row>
    <row r="228" spans="1:9" ht="201" customHeight="1" x14ac:dyDescent="0.35">
      <c r="A228" s="6">
        <v>223</v>
      </c>
      <c r="B228" s="7" t="s">
        <v>886</v>
      </c>
      <c r="C228" s="6" t="s">
        <v>39</v>
      </c>
      <c r="D228" s="7" t="s">
        <v>784</v>
      </c>
      <c r="E228" s="7" t="s">
        <v>896</v>
      </c>
      <c r="F228" s="6" t="s">
        <v>897</v>
      </c>
      <c r="G228" s="7" t="s">
        <v>103</v>
      </c>
      <c r="H228" s="7" t="s">
        <v>898</v>
      </c>
      <c r="I228" s="7" t="s">
        <v>899</v>
      </c>
    </row>
    <row r="229" spans="1:9" ht="150.75" customHeight="1" x14ac:dyDescent="0.35">
      <c r="A229" s="6">
        <v>224</v>
      </c>
      <c r="B229" s="7" t="s">
        <v>886</v>
      </c>
      <c r="C229" s="6" t="s">
        <v>39</v>
      </c>
      <c r="D229" s="7" t="s">
        <v>900</v>
      </c>
      <c r="E229" s="7" t="s">
        <v>901</v>
      </c>
      <c r="F229" s="6" t="s">
        <v>88</v>
      </c>
      <c r="G229" s="7" t="s">
        <v>103</v>
      </c>
      <c r="H229" s="7" t="s">
        <v>902</v>
      </c>
      <c r="I229" s="7" t="s">
        <v>903</v>
      </c>
    </row>
    <row r="230" spans="1:9" ht="188.25" customHeight="1" x14ac:dyDescent="0.35">
      <c r="A230" s="6">
        <v>225</v>
      </c>
      <c r="B230" s="7" t="s">
        <v>904</v>
      </c>
      <c r="C230" s="6" t="s">
        <v>11</v>
      </c>
      <c r="D230" s="7" t="s">
        <v>905</v>
      </c>
      <c r="E230" s="7" t="s">
        <v>906</v>
      </c>
      <c r="F230" s="6" t="s">
        <v>210</v>
      </c>
      <c r="G230" s="7" t="s">
        <v>15</v>
      </c>
      <c r="H230" s="7" t="s">
        <v>907</v>
      </c>
      <c r="I230" s="7" t="s">
        <v>908</v>
      </c>
    </row>
    <row r="231" spans="1:9" ht="100.5" customHeight="1" x14ac:dyDescent="0.35">
      <c r="A231" s="6">
        <v>226</v>
      </c>
      <c r="B231" s="7" t="s">
        <v>904</v>
      </c>
      <c r="C231" s="6" t="s">
        <v>39</v>
      </c>
      <c r="D231" s="7" t="s">
        <v>736</v>
      </c>
      <c r="E231" s="7" t="s">
        <v>909</v>
      </c>
      <c r="F231" s="6" t="s">
        <v>14</v>
      </c>
      <c r="G231" s="7" t="s">
        <v>42</v>
      </c>
      <c r="H231" s="7" t="s">
        <v>910</v>
      </c>
      <c r="I231" s="7" t="s">
        <v>911</v>
      </c>
    </row>
    <row r="232" spans="1:9" ht="175.5" customHeight="1" x14ac:dyDescent="0.35">
      <c r="A232" s="6">
        <v>227</v>
      </c>
      <c r="B232" s="7" t="s">
        <v>904</v>
      </c>
      <c r="C232" s="6" t="s">
        <v>65</v>
      </c>
      <c r="D232" s="7" t="s">
        <v>912</v>
      </c>
      <c r="E232" s="7" t="s">
        <v>913</v>
      </c>
      <c r="F232" s="6" t="s">
        <v>99</v>
      </c>
      <c r="G232" s="7" t="s">
        <v>42</v>
      </c>
      <c r="H232" s="7" t="s">
        <v>914</v>
      </c>
      <c r="I232" s="7" t="s">
        <v>915</v>
      </c>
    </row>
    <row r="233" spans="1:9" ht="126" customHeight="1" x14ac:dyDescent="0.35">
      <c r="A233" s="6">
        <v>228</v>
      </c>
      <c r="B233" s="7" t="s">
        <v>904</v>
      </c>
      <c r="C233" s="6" t="s">
        <v>39</v>
      </c>
      <c r="D233" s="7" t="s">
        <v>736</v>
      </c>
      <c r="E233" s="7" t="s">
        <v>916</v>
      </c>
      <c r="F233" s="6" t="s">
        <v>88</v>
      </c>
      <c r="G233" s="7" t="s">
        <v>15</v>
      </c>
      <c r="H233" s="7" t="s">
        <v>917</v>
      </c>
      <c r="I233" s="7" t="s">
        <v>918</v>
      </c>
    </row>
    <row r="234" spans="1:9" ht="276" customHeight="1" x14ac:dyDescent="0.35">
      <c r="A234" s="6">
        <v>229</v>
      </c>
      <c r="B234" s="7" t="s">
        <v>904</v>
      </c>
      <c r="C234" s="6" t="s">
        <v>65</v>
      </c>
      <c r="D234" s="7" t="s">
        <v>736</v>
      </c>
      <c r="E234" s="7" t="s">
        <v>919</v>
      </c>
      <c r="F234" s="6" t="s">
        <v>920</v>
      </c>
      <c r="G234" s="7" t="s">
        <v>15</v>
      </c>
      <c r="H234" s="7" t="s">
        <v>921</v>
      </c>
      <c r="I234" s="7" t="s">
        <v>922</v>
      </c>
    </row>
    <row r="235" spans="1:9" ht="138" customHeight="1" x14ac:dyDescent="0.35">
      <c r="A235" s="6">
        <v>230</v>
      </c>
      <c r="B235" s="7" t="s">
        <v>923</v>
      </c>
      <c r="C235" s="6" t="s">
        <v>39</v>
      </c>
      <c r="D235" s="7" t="s">
        <v>924</v>
      </c>
      <c r="E235" s="7" t="s">
        <v>925</v>
      </c>
      <c r="F235" s="6" t="s">
        <v>99</v>
      </c>
      <c r="G235" s="7" t="s">
        <v>15</v>
      </c>
      <c r="H235" s="7" t="s">
        <v>926</v>
      </c>
      <c r="I235" s="7" t="s">
        <v>927</v>
      </c>
    </row>
    <row r="236" spans="1:9" ht="100.5" customHeight="1" x14ac:dyDescent="0.35">
      <c r="A236" s="6">
        <v>231</v>
      </c>
      <c r="B236" s="7" t="s">
        <v>923</v>
      </c>
      <c r="C236" s="6" t="s">
        <v>39</v>
      </c>
      <c r="D236" s="7" t="s">
        <v>928</v>
      </c>
      <c r="E236" s="7" t="s">
        <v>929</v>
      </c>
      <c r="F236" s="6" t="s">
        <v>88</v>
      </c>
      <c r="G236" s="7" t="s">
        <v>103</v>
      </c>
      <c r="H236" s="7" t="s">
        <v>930</v>
      </c>
      <c r="I236" s="7" t="s">
        <v>931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topLeftCell="A38" zoomScaleNormal="100" workbookViewId="0">
      <selection activeCell="C60" sqref="C60"/>
    </sheetView>
  </sheetViews>
  <sheetFormatPr defaultColWidth="8.6328125" defaultRowHeight="14.5" x14ac:dyDescent="0.35"/>
  <cols>
    <col min="1" max="1" width="24" style="2" customWidth="1"/>
    <col min="2" max="7" width="11" style="2" customWidth="1"/>
  </cols>
  <sheetData>
    <row r="1" spans="1:7" ht="15.75" customHeight="1" x14ac:dyDescent="0.35">
      <c r="A1" s="8" t="s">
        <v>932</v>
      </c>
    </row>
    <row r="2" spans="1:7" ht="15" customHeight="1" x14ac:dyDescent="0.35">
      <c r="A2" s="9" t="s">
        <v>933</v>
      </c>
    </row>
    <row r="4" spans="1:7" ht="15" customHeight="1" x14ac:dyDescent="0.35">
      <c r="A4" s="10" t="s">
        <v>934</v>
      </c>
    </row>
    <row r="5" spans="1:7" ht="15" customHeight="1" x14ac:dyDescent="0.35">
      <c r="A5" s="11" t="s">
        <v>935</v>
      </c>
      <c r="B5" s="11" t="s">
        <v>936</v>
      </c>
    </row>
    <row r="6" spans="1:7" ht="15" customHeight="1" x14ac:dyDescent="0.35">
      <c r="A6" s="12" t="s">
        <v>937</v>
      </c>
      <c r="B6" s="13">
        <f>SUMIFS('Data (parsed)'!$I$2:$I$235,'Data (parsed)'!$B$2:$B$235,A6)</f>
        <v>104</v>
      </c>
    </row>
    <row r="7" spans="1:7" ht="15" customHeight="1" x14ac:dyDescent="0.35">
      <c r="A7" s="12" t="s">
        <v>938</v>
      </c>
      <c r="B7" s="13">
        <f>SUMIFS('Data (parsed)'!$I$2:$I$235,'Data (parsed)'!$B$2:$B$235,A7)</f>
        <v>31</v>
      </c>
    </row>
    <row r="8" spans="1:7" ht="15" customHeight="1" x14ac:dyDescent="0.35">
      <c r="A8" s="12" t="s">
        <v>939</v>
      </c>
      <c r="B8" s="13">
        <f>SUMIFS('Data (parsed)'!$I$2:$I$235,'Data (parsed)'!$B$2:$B$235,A8)</f>
        <v>39</v>
      </c>
    </row>
    <row r="9" spans="1:7" ht="15" customHeight="1" x14ac:dyDescent="0.35">
      <c r="A9" s="12" t="s">
        <v>940</v>
      </c>
      <c r="B9" s="13">
        <f>SUMIFS('Data (parsed)'!$I$2:$I$235,'Data (parsed)'!$B$2:$B$235,A9)</f>
        <v>57</v>
      </c>
    </row>
    <row r="10" spans="1:7" ht="15" customHeight="1" x14ac:dyDescent="0.35">
      <c r="A10" s="14" t="s">
        <v>941</v>
      </c>
      <c r="B10" s="15">
        <f>SUM(B6:B9)</f>
        <v>231</v>
      </c>
    </row>
    <row r="12" spans="1:7" ht="15" customHeight="1" x14ac:dyDescent="0.35">
      <c r="A12" s="10" t="s">
        <v>942</v>
      </c>
    </row>
    <row r="13" spans="1:7" ht="15" customHeight="1" x14ac:dyDescent="0.35">
      <c r="A13" s="11"/>
      <c r="B13" s="11" t="s">
        <v>11</v>
      </c>
      <c r="C13" s="11" t="s">
        <v>96</v>
      </c>
      <c r="D13" s="11" t="s">
        <v>22</v>
      </c>
      <c r="E13" s="11" t="s">
        <v>39</v>
      </c>
      <c r="F13" s="11" t="s">
        <v>65</v>
      </c>
      <c r="G13" s="11" t="s">
        <v>941</v>
      </c>
    </row>
    <row r="14" spans="1:7" ht="15" customHeight="1" x14ac:dyDescent="0.35">
      <c r="A14" s="12" t="s">
        <v>937</v>
      </c>
      <c r="B14" s="13">
        <f>SUMIFS('Data (parsed)'!$I$2:$I$235,'Data (parsed)'!$B$2:$B$235,$A14,'Data (parsed)'!$D$2:$D$235,B$13)</f>
        <v>6</v>
      </c>
      <c r="C14" s="13">
        <f>SUMIFS('Data (parsed)'!$I$2:$I$235,'Data (parsed)'!$B$2:$B$235,$A14,'Data (parsed)'!$D$2:$D$235,C$13)</f>
        <v>14</v>
      </c>
      <c r="D14" s="13">
        <f>SUMIFS('Data (parsed)'!$I$2:$I$235,'Data (parsed)'!$B$2:$B$235,$A14,'Data (parsed)'!$D$2:$D$235,D$13)</f>
        <v>17</v>
      </c>
      <c r="E14" s="13">
        <f>SUMIFS('Data (parsed)'!$I$2:$I$235,'Data (parsed)'!$B$2:$B$235,$A14,'Data (parsed)'!$D$2:$D$235,E$13)</f>
        <v>37</v>
      </c>
      <c r="F14" s="13">
        <f>SUMIFS('Data (parsed)'!$I$2:$I$235,'Data (parsed)'!$B$2:$B$235,$A14,'Data (parsed)'!$D$2:$D$235,F$13)</f>
        <v>30</v>
      </c>
      <c r="G14" s="15">
        <f>SUM(B14:F14)</f>
        <v>104</v>
      </c>
    </row>
    <row r="15" spans="1:7" ht="15" customHeight="1" x14ac:dyDescent="0.35">
      <c r="A15" s="12" t="s">
        <v>938</v>
      </c>
      <c r="B15" s="13">
        <f>SUMIFS('Data (parsed)'!$I$2:$I$235,'Data (parsed)'!$B$2:$B$235,$A15,'Data (parsed)'!$D$2:$D$235,B$13)</f>
        <v>4</v>
      </c>
      <c r="C15" s="13">
        <f>SUMIFS('Data (parsed)'!$I$2:$I$235,'Data (parsed)'!$B$2:$B$235,$A15,'Data (parsed)'!$D$2:$D$235,C$13)</f>
        <v>7</v>
      </c>
      <c r="D15" s="13">
        <f>SUMIFS('Data (parsed)'!$I$2:$I$235,'Data (parsed)'!$B$2:$B$235,$A15,'Data (parsed)'!$D$2:$D$235,D$13)</f>
        <v>2</v>
      </c>
      <c r="E15" s="13">
        <f>SUMIFS('Data (parsed)'!$I$2:$I$235,'Data (parsed)'!$B$2:$B$235,$A15,'Data (parsed)'!$D$2:$D$235,E$13)</f>
        <v>5</v>
      </c>
      <c r="F15" s="13">
        <f>SUMIFS('Data (parsed)'!$I$2:$I$235,'Data (parsed)'!$B$2:$B$235,$A15,'Data (parsed)'!$D$2:$D$235,F$13)</f>
        <v>13</v>
      </c>
      <c r="G15" s="15">
        <f>SUM(B15:F15)</f>
        <v>31</v>
      </c>
    </row>
    <row r="16" spans="1:7" ht="15" customHeight="1" x14ac:dyDescent="0.35">
      <c r="A16" s="12" t="s">
        <v>939</v>
      </c>
      <c r="B16" s="13">
        <f>SUMIFS('Data (parsed)'!$I$2:$I$235,'Data (parsed)'!$B$2:$B$235,$A16,'Data (parsed)'!$D$2:$D$235,B$13)</f>
        <v>3</v>
      </c>
      <c r="C16" s="13">
        <f>SUMIFS('Data (parsed)'!$I$2:$I$235,'Data (parsed)'!$B$2:$B$235,$A16,'Data (parsed)'!$D$2:$D$235,C$13)</f>
        <v>6</v>
      </c>
      <c r="D16" s="13">
        <f>SUMIFS('Data (parsed)'!$I$2:$I$235,'Data (parsed)'!$B$2:$B$235,$A16,'Data (parsed)'!$D$2:$D$235,D$13)</f>
        <v>5</v>
      </c>
      <c r="E16" s="13">
        <f>SUMIFS('Data (parsed)'!$I$2:$I$235,'Data (parsed)'!$B$2:$B$235,$A16,'Data (parsed)'!$D$2:$D$235,E$13)</f>
        <v>17</v>
      </c>
      <c r="F16" s="13">
        <f>SUMIFS('Data (parsed)'!$I$2:$I$235,'Data (parsed)'!$B$2:$B$235,$A16,'Data (parsed)'!$D$2:$D$235,F$13)</f>
        <v>8</v>
      </c>
      <c r="G16" s="15">
        <f>SUM(B16:F16)</f>
        <v>39</v>
      </c>
    </row>
    <row r="17" spans="1:7" ht="15" customHeight="1" x14ac:dyDescent="0.35">
      <c r="A17" s="12" t="s">
        <v>940</v>
      </c>
      <c r="B17" s="13">
        <f>SUMIFS('Data (parsed)'!$I$2:$I$235,'Data (parsed)'!$B$2:$B$235,$A17,'Data (parsed)'!$D$2:$D$235,B$13)</f>
        <v>6</v>
      </c>
      <c r="C17" s="13">
        <f>SUMIFS('Data (parsed)'!$I$2:$I$235,'Data (parsed)'!$B$2:$B$235,$A17,'Data (parsed)'!$D$2:$D$235,C$13)</f>
        <v>5</v>
      </c>
      <c r="D17" s="13">
        <f>SUMIFS('Data (parsed)'!$I$2:$I$235,'Data (parsed)'!$B$2:$B$235,$A17,'Data (parsed)'!$D$2:$D$235,D$13)</f>
        <v>2</v>
      </c>
      <c r="E17" s="13">
        <f>SUMIFS('Data (parsed)'!$I$2:$I$235,'Data (parsed)'!$B$2:$B$235,$A17,'Data (parsed)'!$D$2:$D$235,E$13)</f>
        <v>31</v>
      </c>
      <c r="F17" s="13">
        <f>SUMIFS('Data (parsed)'!$I$2:$I$235,'Data (parsed)'!$B$2:$B$235,$A17,'Data (parsed)'!$D$2:$D$235,F$13)</f>
        <v>13</v>
      </c>
      <c r="G17" s="15">
        <f>SUM(B17:F17)</f>
        <v>57</v>
      </c>
    </row>
    <row r="18" spans="1:7" ht="15" customHeight="1" x14ac:dyDescent="0.35">
      <c r="A18" s="14" t="s">
        <v>941</v>
      </c>
      <c r="B18" s="15">
        <f t="shared" ref="B18:G18" si="0">SUM(B14:B17)</f>
        <v>19</v>
      </c>
      <c r="C18" s="15">
        <f t="shared" si="0"/>
        <v>32</v>
      </c>
      <c r="D18" s="15">
        <f t="shared" si="0"/>
        <v>26</v>
      </c>
      <c r="E18" s="15">
        <f t="shared" si="0"/>
        <v>90</v>
      </c>
      <c r="F18" s="15">
        <f t="shared" si="0"/>
        <v>64</v>
      </c>
      <c r="G18" s="15">
        <f t="shared" si="0"/>
        <v>231</v>
      </c>
    </row>
    <row r="20" spans="1:7" ht="15" customHeight="1" x14ac:dyDescent="0.35">
      <c r="A20" s="10" t="s">
        <v>943</v>
      </c>
    </row>
    <row r="21" spans="1:7" ht="15" customHeight="1" x14ac:dyDescent="0.35">
      <c r="A21" s="11" t="s">
        <v>5</v>
      </c>
      <c r="B21" s="11" t="s">
        <v>937</v>
      </c>
      <c r="C21" s="11" t="s">
        <v>938</v>
      </c>
      <c r="D21" s="11" t="s">
        <v>939</v>
      </c>
      <c r="E21" s="11" t="s">
        <v>940</v>
      </c>
      <c r="F21" s="11" t="s">
        <v>941</v>
      </c>
    </row>
    <row r="22" spans="1:7" ht="15" customHeight="1" x14ac:dyDescent="0.35">
      <c r="A22" s="16" t="s">
        <v>14</v>
      </c>
      <c r="B22" s="13">
        <f>COUNTIFS('Data (parsed)'!$E$2:$E$235,$A22,'Data (parsed)'!$B$2:$B$235,B$21)</f>
        <v>48</v>
      </c>
      <c r="C22" s="13">
        <f>COUNTIFS('Data (parsed)'!$E$2:$E$235,$A22,'Data (parsed)'!$B$2:$B$235,C$21)</f>
        <v>24</v>
      </c>
      <c r="D22" s="13">
        <f>COUNTIFS('Data (parsed)'!$E$2:$E$235,$A22,'Data (parsed)'!$B$2:$B$235,D$21)</f>
        <v>31</v>
      </c>
      <c r="E22" s="13">
        <f>COUNTIFS('Data (parsed)'!$E$2:$E$235,$A22,'Data (parsed)'!$B$2:$B$235,E$21)</f>
        <v>9</v>
      </c>
      <c r="F22" s="15">
        <f t="shared" ref="F22:F46" si="1">SUM(B22:E22)</f>
        <v>112</v>
      </c>
    </row>
    <row r="23" spans="1:7" ht="15" customHeight="1" x14ac:dyDescent="0.35">
      <c r="A23" s="16" t="s">
        <v>99</v>
      </c>
      <c r="B23" s="13">
        <f>COUNTIFS('Data (parsed)'!$E$2:$E$235,$A23,'Data (parsed)'!$B$2:$B$235,B$21)</f>
        <v>7</v>
      </c>
      <c r="C23" s="13">
        <f>COUNTIFS('Data (parsed)'!$E$2:$E$235,$A23,'Data (parsed)'!$B$2:$B$235,C$21)</f>
        <v>0</v>
      </c>
      <c r="D23" s="13">
        <f>COUNTIFS('Data (parsed)'!$E$2:$E$235,$A23,'Data (parsed)'!$B$2:$B$235,D$21)</f>
        <v>0</v>
      </c>
      <c r="E23" s="13">
        <f>COUNTIFS('Data (parsed)'!$E$2:$E$235,$A23,'Data (parsed)'!$B$2:$B$235,E$21)</f>
        <v>28</v>
      </c>
      <c r="F23" s="15">
        <f t="shared" si="1"/>
        <v>35</v>
      </c>
    </row>
    <row r="24" spans="1:7" ht="15" customHeight="1" x14ac:dyDescent="0.35">
      <c r="A24" s="16" t="s">
        <v>88</v>
      </c>
      <c r="B24" s="13">
        <f>COUNTIFS('Data (parsed)'!$E$2:$E$235,$A24,'Data (parsed)'!$B$2:$B$235,B$21)</f>
        <v>20</v>
      </c>
      <c r="C24" s="13">
        <f>COUNTIFS('Data (parsed)'!$E$2:$E$235,$A24,'Data (parsed)'!$B$2:$B$235,C$21)</f>
        <v>0</v>
      </c>
      <c r="D24" s="13">
        <f>COUNTIFS('Data (parsed)'!$E$2:$E$235,$A24,'Data (parsed)'!$B$2:$B$235,D$21)</f>
        <v>2</v>
      </c>
      <c r="E24" s="13">
        <f>COUNTIFS('Data (parsed)'!$E$2:$E$235,$A24,'Data (parsed)'!$B$2:$B$235,E$21)</f>
        <v>8</v>
      </c>
      <c r="F24" s="15">
        <f t="shared" si="1"/>
        <v>30</v>
      </c>
    </row>
    <row r="25" spans="1:7" ht="15" customHeight="1" x14ac:dyDescent="0.35">
      <c r="A25" s="16" t="s">
        <v>93</v>
      </c>
      <c r="B25" s="13">
        <f>COUNTIFS('Data (parsed)'!$E$2:$E$235,$A25,'Data (parsed)'!$B$2:$B$235,B$21)</f>
        <v>8</v>
      </c>
      <c r="C25" s="13">
        <f>COUNTIFS('Data (parsed)'!$E$2:$E$235,$A25,'Data (parsed)'!$B$2:$B$235,C$21)</f>
        <v>3</v>
      </c>
      <c r="D25" s="13">
        <f>COUNTIFS('Data (parsed)'!$E$2:$E$235,$A25,'Data (parsed)'!$B$2:$B$235,D$21)</f>
        <v>1</v>
      </c>
      <c r="E25" s="13">
        <f>COUNTIFS('Data (parsed)'!$E$2:$E$235,$A25,'Data (parsed)'!$B$2:$B$235,E$21)</f>
        <v>1</v>
      </c>
      <c r="F25" s="15">
        <f t="shared" si="1"/>
        <v>13</v>
      </c>
    </row>
    <row r="26" spans="1:7" ht="15" customHeight="1" x14ac:dyDescent="0.35">
      <c r="A26" s="16" t="s">
        <v>210</v>
      </c>
      <c r="B26" s="13">
        <f>COUNTIFS('Data (parsed)'!$E$2:$E$235,$A26,'Data (parsed)'!$B$2:$B$235,B$21)</f>
        <v>4</v>
      </c>
      <c r="C26" s="13">
        <f>COUNTIFS('Data (parsed)'!$E$2:$E$235,$A26,'Data (parsed)'!$B$2:$B$235,C$21)</f>
        <v>0</v>
      </c>
      <c r="D26" s="13">
        <f>COUNTIFS('Data (parsed)'!$E$2:$E$235,$A26,'Data (parsed)'!$B$2:$B$235,D$21)</f>
        <v>0</v>
      </c>
      <c r="E26" s="13">
        <f>COUNTIFS('Data (parsed)'!$E$2:$E$235,$A26,'Data (parsed)'!$B$2:$B$235,E$21)</f>
        <v>9</v>
      </c>
      <c r="F26" s="15">
        <f t="shared" si="1"/>
        <v>13</v>
      </c>
    </row>
    <row r="27" spans="1:7" ht="15" customHeight="1" x14ac:dyDescent="0.35">
      <c r="A27" s="16" t="s">
        <v>255</v>
      </c>
      <c r="B27" s="13">
        <f>COUNTIFS('Data (parsed)'!$E$2:$E$235,$A27,'Data (parsed)'!$B$2:$B$235,B$21)</f>
        <v>3</v>
      </c>
      <c r="C27" s="13">
        <f>COUNTIFS('Data (parsed)'!$E$2:$E$235,$A27,'Data (parsed)'!$B$2:$B$235,C$21)</f>
        <v>0</v>
      </c>
      <c r="D27" s="13">
        <f>COUNTIFS('Data (parsed)'!$E$2:$E$235,$A27,'Data (parsed)'!$B$2:$B$235,D$21)</f>
        <v>2</v>
      </c>
      <c r="E27" s="13">
        <f>COUNTIFS('Data (parsed)'!$E$2:$E$235,$A27,'Data (parsed)'!$B$2:$B$235,E$21)</f>
        <v>0</v>
      </c>
      <c r="F27" s="15">
        <f t="shared" si="1"/>
        <v>5</v>
      </c>
    </row>
    <row r="28" spans="1:7" ht="15" customHeight="1" x14ac:dyDescent="0.35">
      <c r="A28" s="16" t="s">
        <v>261</v>
      </c>
      <c r="B28" s="13">
        <f>COUNTIFS('Data (parsed)'!$E$2:$E$235,$A28,'Data (parsed)'!$B$2:$B$235,B$21)</f>
        <v>3</v>
      </c>
      <c r="C28" s="13">
        <f>COUNTIFS('Data (parsed)'!$E$2:$E$235,$A28,'Data (parsed)'!$B$2:$B$235,C$21)</f>
        <v>0</v>
      </c>
      <c r="D28" s="13">
        <f>COUNTIFS('Data (parsed)'!$E$2:$E$235,$A28,'Data (parsed)'!$B$2:$B$235,D$21)</f>
        <v>0</v>
      </c>
      <c r="E28" s="13">
        <f>COUNTIFS('Data (parsed)'!$E$2:$E$235,$A28,'Data (parsed)'!$B$2:$B$235,E$21)</f>
        <v>0</v>
      </c>
      <c r="F28" s="15">
        <f t="shared" si="1"/>
        <v>3</v>
      </c>
    </row>
    <row r="29" spans="1:7" ht="15" customHeight="1" x14ac:dyDescent="0.35">
      <c r="A29" s="16" t="s">
        <v>448</v>
      </c>
      <c r="B29" s="13">
        <f>COUNTIFS('Data (parsed)'!$E$2:$E$235,$A29,'Data (parsed)'!$B$2:$B$235,B$21)</f>
        <v>0</v>
      </c>
      <c r="C29" s="13">
        <f>COUNTIFS('Data (parsed)'!$E$2:$E$235,$A29,'Data (parsed)'!$B$2:$B$235,C$21)</f>
        <v>2</v>
      </c>
      <c r="D29" s="13">
        <f>COUNTIFS('Data (parsed)'!$E$2:$E$235,$A29,'Data (parsed)'!$B$2:$B$235,D$21)</f>
        <v>1</v>
      </c>
      <c r="E29" s="13">
        <f>COUNTIFS('Data (parsed)'!$E$2:$E$235,$A29,'Data (parsed)'!$B$2:$B$235,E$21)</f>
        <v>0</v>
      </c>
      <c r="F29" s="15">
        <f t="shared" si="1"/>
        <v>3</v>
      </c>
    </row>
    <row r="30" spans="1:7" ht="15" customHeight="1" x14ac:dyDescent="0.35">
      <c r="A30" s="16" t="s">
        <v>325</v>
      </c>
      <c r="B30" s="13">
        <f>COUNTIFS('Data (parsed)'!$E$2:$E$235,$A30,'Data (parsed)'!$B$2:$B$235,B$21)</f>
        <v>2</v>
      </c>
      <c r="C30" s="13">
        <f>COUNTIFS('Data (parsed)'!$E$2:$E$235,$A30,'Data (parsed)'!$B$2:$B$235,C$21)</f>
        <v>0</v>
      </c>
      <c r="D30" s="13">
        <f>COUNTIFS('Data (parsed)'!$E$2:$E$235,$A30,'Data (parsed)'!$B$2:$B$235,D$21)</f>
        <v>0</v>
      </c>
      <c r="E30" s="13">
        <f>COUNTIFS('Data (parsed)'!$E$2:$E$235,$A30,'Data (parsed)'!$B$2:$B$235,E$21)</f>
        <v>0</v>
      </c>
      <c r="F30" s="15">
        <f t="shared" si="1"/>
        <v>2</v>
      </c>
    </row>
    <row r="31" spans="1:7" ht="15" customHeight="1" x14ac:dyDescent="0.35">
      <c r="A31" s="16" t="s">
        <v>342</v>
      </c>
      <c r="B31" s="13">
        <f>COUNTIFS('Data (parsed)'!$E$2:$E$235,$A31,'Data (parsed)'!$B$2:$B$235,B$21)</f>
        <v>1</v>
      </c>
      <c r="C31" s="13">
        <f>COUNTIFS('Data (parsed)'!$E$2:$E$235,$A31,'Data (parsed)'!$B$2:$B$235,C$21)</f>
        <v>0</v>
      </c>
      <c r="D31" s="13">
        <f>COUNTIFS('Data (parsed)'!$E$2:$E$235,$A31,'Data (parsed)'!$B$2:$B$235,D$21)</f>
        <v>1</v>
      </c>
      <c r="E31" s="13">
        <f>COUNTIFS('Data (parsed)'!$E$2:$E$235,$A31,'Data (parsed)'!$B$2:$B$235,E$21)</f>
        <v>0</v>
      </c>
      <c r="F31" s="15">
        <f t="shared" si="1"/>
        <v>2</v>
      </c>
    </row>
    <row r="32" spans="1:7" ht="15" customHeight="1" x14ac:dyDescent="0.35">
      <c r="A32" s="16" t="s">
        <v>352</v>
      </c>
      <c r="B32" s="13">
        <f>COUNTIFS('Data (parsed)'!$E$2:$E$235,$A32,'Data (parsed)'!$B$2:$B$235,B$21)</f>
        <v>2</v>
      </c>
      <c r="C32" s="13">
        <f>COUNTIFS('Data (parsed)'!$E$2:$E$235,$A32,'Data (parsed)'!$B$2:$B$235,C$21)</f>
        <v>0</v>
      </c>
      <c r="D32" s="13">
        <f>COUNTIFS('Data (parsed)'!$E$2:$E$235,$A32,'Data (parsed)'!$B$2:$B$235,D$21)</f>
        <v>0</v>
      </c>
      <c r="E32" s="13">
        <f>COUNTIFS('Data (parsed)'!$E$2:$E$235,$A32,'Data (parsed)'!$B$2:$B$235,E$21)</f>
        <v>0</v>
      </c>
      <c r="F32" s="15">
        <f t="shared" si="1"/>
        <v>2</v>
      </c>
    </row>
    <row r="33" spans="1:6" ht="15" customHeight="1" x14ac:dyDescent="0.35">
      <c r="A33" s="16" t="s">
        <v>115</v>
      </c>
      <c r="B33" s="13">
        <f>COUNTIFS('Data (parsed)'!$E$2:$E$235,$A33,'Data (parsed)'!$B$2:$B$235,B$21)</f>
        <v>1</v>
      </c>
      <c r="C33" s="13">
        <f>COUNTIFS('Data (parsed)'!$E$2:$E$235,$A33,'Data (parsed)'!$B$2:$B$235,C$21)</f>
        <v>0</v>
      </c>
      <c r="D33" s="13">
        <f>COUNTIFS('Data (parsed)'!$E$2:$E$235,$A33,'Data (parsed)'!$B$2:$B$235,D$21)</f>
        <v>0</v>
      </c>
      <c r="E33" s="13">
        <f>COUNTIFS('Data (parsed)'!$E$2:$E$235,$A33,'Data (parsed)'!$B$2:$B$235,E$21)</f>
        <v>0</v>
      </c>
      <c r="F33" s="15">
        <f t="shared" si="1"/>
        <v>1</v>
      </c>
    </row>
    <row r="34" spans="1:6" ht="15" customHeight="1" x14ac:dyDescent="0.35">
      <c r="A34" s="16" t="s">
        <v>120</v>
      </c>
      <c r="B34" s="13">
        <f>COUNTIFS('Data (parsed)'!$E$2:$E$235,$A34,'Data (parsed)'!$B$2:$B$235,B$21)</f>
        <v>1</v>
      </c>
      <c r="C34" s="13">
        <f>COUNTIFS('Data (parsed)'!$E$2:$E$235,$A34,'Data (parsed)'!$B$2:$B$235,C$21)</f>
        <v>0</v>
      </c>
      <c r="D34" s="13">
        <f>COUNTIFS('Data (parsed)'!$E$2:$E$235,$A34,'Data (parsed)'!$B$2:$B$235,D$21)</f>
        <v>0</v>
      </c>
      <c r="E34" s="13">
        <f>COUNTIFS('Data (parsed)'!$E$2:$E$235,$A34,'Data (parsed)'!$B$2:$B$235,E$21)</f>
        <v>0</v>
      </c>
      <c r="F34" s="15">
        <f t="shared" si="1"/>
        <v>1</v>
      </c>
    </row>
    <row r="35" spans="1:6" ht="15" customHeight="1" x14ac:dyDescent="0.35">
      <c r="A35" s="16" t="s">
        <v>205</v>
      </c>
      <c r="B35" s="13">
        <f>COUNTIFS('Data (parsed)'!$E$2:$E$235,$A35,'Data (parsed)'!$B$2:$B$235,B$21)</f>
        <v>1</v>
      </c>
      <c r="C35" s="13">
        <f>COUNTIFS('Data (parsed)'!$E$2:$E$235,$A35,'Data (parsed)'!$B$2:$B$235,C$21)</f>
        <v>0</v>
      </c>
      <c r="D35" s="13">
        <f>COUNTIFS('Data (parsed)'!$E$2:$E$235,$A35,'Data (parsed)'!$B$2:$B$235,D$21)</f>
        <v>0</v>
      </c>
      <c r="E35" s="13">
        <f>COUNTIFS('Data (parsed)'!$E$2:$E$235,$A35,'Data (parsed)'!$B$2:$B$235,E$21)</f>
        <v>0</v>
      </c>
      <c r="F35" s="15">
        <f t="shared" si="1"/>
        <v>1</v>
      </c>
    </row>
    <row r="36" spans="1:6" ht="15" customHeight="1" x14ac:dyDescent="0.35">
      <c r="A36" s="16" t="s">
        <v>215</v>
      </c>
      <c r="B36" s="13">
        <f>COUNTIFS('Data (parsed)'!$E$2:$E$235,$A36,'Data (parsed)'!$B$2:$B$235,B$21)</f>
        <v>1</v>
      </c>
      <c r="C36" s="13">
        <f>COUNTIFS('Data (parsed)'!$E$2:$E$235,$A36,'Data (parsed)'!$B$2:$B$235,C$21)</f>
        <v>0</v>
      </c>
      <c r="D36" s="13">
        <f>COUNTIFS('Data (parsed)'!$E$2:$E$235,$A36,'Data (parsed)'!$B$2:$B$235,D$21)</f>
        <v>0</v>
      </c>
      <c r="E36" s="13">
        <f>COUNTIFS('Data (parsed)'!$E$2:$E$235,$A36,'Data (parsed)'!$B$2:$B$235,E$21)</f>
        <v>0</v>
      </c>
      <c r="F36" s="15">
        <f t="shared" si="1"/>
        <v>1</v>
      </c>
    </row>
    <row r="37" spans="1:6" ht="15" customHeight="1" x14ac:dyDescent="0.35">
      <c r="A37" s="16" t="s">
        <v>219</v>
      </c>
      <c r="B37" s="13">
        <f>COUNTIFS('Data (parsed)'!$E$2:$E$235,$A37,'Data (parsed)'!$B$2:$B$235,B$21)</f>
        <v>1</v>
      </c>
      <c r="C37" s="13">
        <f>COUNTIFS('Data (parsed)'!$E$2:$E$235,$A37,'Data (parsed)'!$B$2:$B$235,C$21)</f>
        <v>0</v>
      </c>
      <c r="D37" s="13">
        <f>COUNTIFS('Data (parsed)'!$E$2:$E$235,$A37,'Data (parsed)'!$B$2:$B$235,D$21)</f>
        <v>0</v>
      </c>
      <c r="E37" s="13">
        <f>COUNTIFS('Data (parsed)'!$E$2:$E$235,$A37,'Data (parsed)'!$B$2:$B$235,E$21)</f>
        <v>0</v>
      </c>
      <c r="F37" s="15">
        <f t="shared" si="1"/>
        <v>1</v>
      </c>
    </row>
    <row r="38" spans="1:6" ht="15" customHeight="1" x14ac:dyDescent="0.35">
      <c r="A38" s="16" t="s">
        <v>232</v>
      </c>
      <c r="B38" s="13">
        <f>COUNTIFS('Data (parsed)'!$E$2:$E$235,$A38,'Data (parsed)'!$B$2:$B$235,B$21)</f>
        <v>1</v>
      </c>
      <c r="C38" s="13">
        <f>COUNTIFS('Data (parsed)'!$E$2:$E$235,$A38,'Data (parsed)'!$B$2:$B$235,C$21)</f>
        <v>0</v>
      </c>
      <c r="D38" s="13">
        <f>COUNTIFS('Data (parsed)'!$E$2:$E$235,$A38,'Data (parsed)'!$B$2:$B$235,D$21)</f>
        <v>0</v>
      </c>
      <c r="E38" s="13">
        <f>COUNTIFS('Data (parsed)'!$E$2:$E$235,$A38,'Data (parsed)'!$B$2:$B$235,E$21)</f>
        <v>0</v>
      </c>
      <c r="F38" s="15">
        <f t="shared" si="1"/>
        <v>1</v>
      </c>
    </row>
    <row r="39" spans="1:6" ht="15" customHeight="1" x14ac:dyDescent="0.35">
      <c r="A39" s="16" t="s">
        <v>334</v>
      </c>
      <c r="B39" s="13">
        <f>COUNTIFS('Data (parsed)'!$E$2:$E$235,$A39,'Data (parsed)'!$B$2:$B$235,B$21)</f>
        <v>1</v>
      </c>
      <c r="C39" s="13">
        <f>COUNTIFS('Data (parsed)'!$E$2:$E$235,$A39,'Data (parsed)'!$B$2:$B$235,C$21)</f>
        <v>0</v>
      </c>
      <c r="D39" s="13">
        <f>COUNTIFS('Data (parsed)'!$E$2:$E$235,$A39,'Data (parsed)'!$B$2:$B$235,D$21)</f>
        <v>0</v>
      </c>
      <c r="E39" s="13">
        <f>COUNTIFS('Data (parsed)'!$E$2:$E$235,$A39,'Data (parsed)'!$B$2:$B$235,E$21)</f>
        <v>0</v>
      </c>
      <c r="F39" s="15">
        <f t="shared" si="1"/>
        <v>1</v>
      </c>
    </row>
    <row r="40" spans="1:6" ht="15" customHeight="1" x14ac:dyDescent="0.35">
      <c r="A40" s="16" t="s">
        <v>442</v>
      </c>
      <c r="B40" s="13">
        <f>COUNTIFS('Data (parsed)'!$E$2:$E$235,$A40,'Data (parsed)'!$B$2:$B$235,B$21)</f>
        <v>0</v>
      </c>
      <c r="C40" s="13">
        <f>COUNTIFS('Data (parsed)'!$E$2:$E$235,$A40,'Data (parsed)'!$B$2:$B$235,C$21)</f>
        <v>1</v>
      </c>
      <c r="D40" s="13">
        <f>COUNTIFS('Data (parsed)'!$E$2:$E$235,$A40,'Data (parsed)'!$B$2:$B$235,D$21)</f>
        <v>0</v>
      </c>
      <c r="E40" s="13">
        <f>COUNTIFS('Data (parsed)'!$E$2:$E$235,$A40,'Data (parsed)'!$B$2:$B$235,E$21)</f>
        <v>0</v>
      </c>
      <c r="F40" s="15">
        <f t="shared" si="1"/>
        <v>1</v>
      </c>
    </row>
    <row r="41" spans="1:6" ht="15" customHeight="1" x14ac:dyDescent="0.35">
      <c r="A41" s="16" t="s">
        <v>535</v>
      </c>
      <c r="B41" s="13">
        <f>COUNTIFS('Data (parsed)'!$E$2:$E$235,$A41,'Data (parsed)'!$B$2:$B$235,B$21)</f>
        <v>0</v>
      </c>
      <c r="C41" s="13">
        <f>COUNTIFS('Data (parsed)'!$E$2:$E$235,$A41,'Data (parsed)'!$B$2:$B$235,C$21)</f>
        <v>1</v>
      </c>
      <c r="D41" s="13">
        <f>COUNTIFS('Data (parsed)'!$E$2:$E$235,$A41,'Data (parsed)'!$B$2:$B$235,D$21)</f>
        <v>0</v>
      </c>
      <c r="E41" s="13">
        <f>COUNTIFS('Data (parsed)'!$E$2:$E$235,$A41,'Data (parsed)'!$B$2:$B$235,E$21)</f>
        <v>0</v>
      </c>
      <c r="F41" s="15">
        <f t="shared" si="1"/>
        <v>1</v>
      </c>
    </row>
    <row r="42" spans="1:6" ht="15" customHeight="1" x14ac:dyDescent="0.35">
      <c r="A42" s="16" t="s">
        <v>544</v>
      </c>
      <c r="B42" s="13">
        <f>COUNTIFS('Data (parsed)'!$E$2:$E$235,$A42,'Data (parsed)'!$B$2:$B$235,B$21)</f>
        <v>0</v>
      </c>
      <c r="C42" s="13">
        <f>COUNTIFS('Data (parsed)'!$E$2:$E$235,$A42,'Data (parsed)'!$B$2:$B$235,C$21)</f>
        <v>1</v>
      </c>
      <c r="D42" s="13">
        <f>COUNTIFS('Data (parsed)'!$E$2:$E$235,$A42,'Data (parsed)'!$B$2:$B$235,D$21)</f>
        <v>0</v>
      </c>
      <c r="E42" s="13">
        <f>COUNTIFS('Data (parsed)'!$E$2:$E$235,$A42,'Data (parsed)'!$B$2:$B$235,E$21)</f>
        <v>0</v>
      </c>
      <c r="F42" s="15">
        <f t="shared" si="1"/>
        <v>1</v>
      </c>
    </row>
    <row r="43" spans="1:6" ht="15" customHeight="1" x14ac:dyDescent="0.35">
      <c r="A43" s="16" t="s">
        <v>601</v>
      </c>
      <c r="B43" s="13">
        <f>COUNTIFS('Data (parsed)'!$E$2:$E$235,$A43,'Data (parsed)'!$B$2:$B$235,B$21)</f>
        <v>0</v>
      </c>
      <c r="C43" s="13">
        <f>COUNTIFS('Data (parsed)'!$E$2:$E$235,$A43,'Data (parsed)'!$B$2:$B$235,C$21)</f>
        <v>0</v>
      </c>
      <c r="D43" s="13">
        <f>COUNTIFS('Data (parsed)'!$E$2:$E$235,$A43,'Data (parsed)'!$B$2:$B$235,D$21)</f>
        <v>1</v>
      </c>
      <c r="E43" s="13">
        <f>COUNTIFS('Data (parsed)'!$E$2:$E$235,$A43,'Data (parsed)'!$B$2:$B$235,E$21)</f>
        <v>0</v>
      </c>
      <c r="F43" s="15">
        <f t="shared" si="1"/>
        <v>1</v>
      </c>
    </row>
    <row r="44" spans="1:6" ht="15" customHeight="1" x14ac:dyDescent="0.35">
      <c r="A44" s="16" t="s">
        <v>753</v>
      </c>
      <c r="B44" s="13">
        <f>COUNTIFS('Data (parsed)'!$E$2:$E$235,$A44,'Data (parsed)'!$B$2:$B$235,B$21)</f>
        <v>0</v>
      </c>
      <c r="C44" s="13">
        <f>COUNTIFS('Data (parsed)'!$E$2:$E$235,$A44,'Data (parsed)'!$B$2:$B$235,C$21)</f>
        <v>0</v>
      </c>
      <c r="D44" s="13">
        <f>COUNTIFS('Data (parsed)'!$E$2:$E$235,$A44,'Data (parsed)'!$B$2:$B$235,D$21)</f>
        <v>0</v>
      </c>
      <c r="E44" s="13">
        <f>COUNTIFS('Data (parsed)'!$E$2:$E$235,$A44,'Data (parsed)'!$B$2:$B$235,E$21)</f>
        <v>1</v>
      </c>
      <c r="F44" s="15">
        <f t="shared" si="1"/>
        <v>1</v>
      </c>
    </row>
    <row r="45" spans="1:6" ht="15" customHeight="1" x14ac:dyDescent="0.35">
      <c r="A45" s="16" t="s">
        <v>862</v>
      </c>
      <c r="B45" s="13">
        <f>COUNTIFS('Data (parsed)'!$E$2:$E$235,$A45,'Data (parsed)'!$B$2:$B$235,B$21)</f>
        <v>0</v>
      </c>
      <c r="C45" s="13">
        <f>COUNTIFS('Data (parsed)'!$E$2:$E$235,$A45,'Data (parsed)'!$B$2:$B$235,C$21)</f>
        <v>0</v>
      </c>
      <c r="D45" s="13">
        <f>COUNTIFS('Data (parsed)'!$E$2:$E$235,$A45,'Data (parsed)'!$B$2:$B$235,D$21)</f>
        <v>0</v>
      </c>
      <c r="E45" s="13">
        <f>COUNTIFS('Data (parsed)'!$E$2:$E$235,$A45,'Data (parsed)'!$B$2:$B$235,E$21)</f>
        <v>1</v>
      </c>
      <c r="F45" s="15">
        <f t="shared" si="1"/>
        <v>1</v>
      </c>
    </row>
    <row r="46" spans="1:6" ht="15" customHeight="1" x14ac:dyDescent="0.35">
      <c r="A46" s="16" t="s">
        <v>897</v>
      </c>
      <c r="B46" s="13">
        <f>COUNTIFS('Data (parsed)'!$E$2:$E$235,$A46,'Data (parsed)'!$B$2:$B$235,B$21)</f>
        <v>0</v>
      </c>
      <c r="C46" s="13">
        <f>COUNTIFS('Data (parsed)'!$E$2:$E$235,$A46,'Data (parsed)'!$B$2:$B$235,C$21)</f>
        <v>0</v>
      </c>
      <c r="D46" s="13">
        <f>COUNTIFS('Data (parsed)'!$E$2:$E$235,$A46,'Data (parsed)'!$B$2:$B$235,D$21)</f>
        <v>0</v>
      </c>
      <c r="E46" s="13">
        <f>COUNTIFS('Data (parsed)'!$E$2:$E$235,$A46,'Data (parsed)'!$B$2:$B$235,E$21)</f>
        <v>1</v>
      </c>
      <c r="F46" s="15">
        <f t="shared" si="1"/>
        <v>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tabSelected="1" zoomScaleNormal="100" workbookViewId="0">
      <selection activeCell="D10" sqref="D10"/>
    </sheetView>
  </sheetViews>
  <sheetFormatPr defaultColWidth="8.6328125" defaultRowHeight="14.5" x14ac:dyDescent="0.35"/>
  <cols>
    <col min="1" max="1" width="18" customWidth="1"/>
    <col min="2" max="7" width="11" customWidth="1"/>
  </cols>
  <sheetData>
    <row r="1" spans="1:7" ht="16.5" x14ac:dyDescent="0.35">
      <c r="A1" s="17" t="s">
        <v>944</v>
      </c>
    </row>
    <row r="2" spans="1:7" ht="27.75" customHeight="1" x14ac:dyDescent="0.35">
      <c r="A2" s="1" t="s">
        <v>945</v>
      </c>
      <c r="B2" s="1"/>
      <c r="C2" s="1"/>
      <c r="D2" s="1"/>
      <c r="E2" s="1"/>
      <c r="F2" s="1"/>
    </row>
    <row r="4" spans="1:7" x14ac:dyDescent="0.35">
      <c r="A4" s="18" t="s">
        <v>946</v>
      </c>
    </row>
    <row r="5" spans="1:7" x14ac:dyDescent="0.35">
      <c r="A5" s="11" t="s">
        <v>5</v>
      </c>
      <c r="B5" s="11" t="s">
        <v>937</v>
      </c>
      <c r="C5" s="11" t="s">
        <v>938</v>
      </c>
      <c r="D5" s="11" t="s">
        <v>939</v>
      </c>
      <c r="E5" s="11" t="s">
        <v>940</v>
      </c>
      <c r="F5" s="11" t="s">
        <v>941</v>
      </c>
    </row>
    <row r="6" spans="1:7" x14ac:dyDescent="0.35">
      <c r="A6" s="19" t="s">
        <v>14</v>
      </c>
      <c r="B6" s="13">
        <f>COUNTIFS('Data (parsed)'!$E$2:$E$235,$A6,'Data (parsed)'!$B$2:$B$235,B$5)</f>
        <v>48</v>
      </c>
      <c r="C6" s="13">
        <f>COUNTIFS('Data (parsed)'!$E$2:$E$235,$A6,'Data (parsed)'!$B$2:$B$235,C$5)</f>
        <v>24</v>
      </c>
      <c r="D6" s="13">
        <f>COUNTIFS('Data (parsed)'!$E$2:$E$235,$A6,'Data (parsed)'!$B$2:$B$235,D$5)</f>
        <v>31</v>
      </c>
      <c r="E6" s="13">
        <f>COUNTIFS('Data (parsed)'!$E$2:$E$235,$A6,'Data (parsed)'!$B$2:$B$235,E$5)</f>
        <v>9</v>
      </c>
      <c r="F6" s="15">
        <f>SUM(B6:E6)</f>
        <v>112</v>
      </c>
    </row>
    <row r="7" spans="1:7" x14ac:dyDescent="0.35">
      <c r="A7" s="19" t="s">
        <v>99</v>
      </c>
      <c r="B7" s="13">
        <f>COUNTIFS('Data (parsed)'!$E$2:$E$235,$A7,'Data (parsed)'!$B$2:$B$235,B$5)</f>
        <v>7</v>
      </c>
      <c r="C7" s="13">
        <f>COUNTIFS('Data (parsed)'!$E$2:$E$235,$A7,'Data (parsed)'!$B$2:$B$235,C$5)</f>
        <v>0</v>
      </c>
      <c r="D7" s="13">
        <f>COUNTIFS('Data (parsed)'!$E$2:$E$235,$A7,'Data (parsed)'!$B$2:$B$235,D$5)</f>
        <v>0</v>
      </c>
      <c r="E7" s="13">
        <f>COUNTIFS('Data (parsed)'!$E$2:$E$235,$A7,'Data (parsed)'!$B$2:$B$235,E$5)</f>
        <v>28</v>
      </c>
      <c r="F7" s="15">
        <f>SUM(B7:E7)</f>
        <v>35</v>
      </c>
    </row>
    <row r="8" spans="1:7" x14ac:dyDescent="0.35">
      <c r="A8" s="19" t="s">
        <v>88</v>
      </c>
      <c r="B8" s="13">
        <f>COUNTIFS('Data (parsed)'!$E$2:$E$235,$A8,'Data (parsed)'!$B$2:$B$235,B$5)</f>
        <v>20</v>
      </c>
      <c r="C8" s="13">
        <f>COUNTIFS('Data (parsed)'!$E$2:$E$235,$A8,'Data (parsed)'!$B$2:$B$235,C$5)</f>
        <v>0</v>
      </c>
      <c r="D8" s="13">
        <f>COUNTIFS('Data (parsed)'!$E$2:$E$235,$A8,'Data (parsed)'!$B$2:$B$235,D$5)</f>
        <v>2</v>
      </c>
      <c r="E8" s="13">
        <f>COUNTIFS('Data (parsed)'!$E$2:$E$235,$A8,'Data (parsed)'!$B$2:$B$235,E$5)</f>
        <v>8</v>
      </c>
      <c r="F8" s="15">
        <f>SUM(B8:E8)</f>
        <v>30</v>
      </c>
    </row>
    <row r="9" spans="1:7" x14ac:dyDescent="0.35">
      <c r="A9" s="19" t="s">
        <v>93</v>
      </c>
      <c r="B9" s="13">
        <f>COUNTIFS('Data (parsed)'!$E$2:$E$235,$A9,'Data (parsed)'!$B$2:$B$235,B$5)</f>
        <v>8</v>
      </c>
      <c r="C9" s="13">
        <f>COUNTIFS('Data (parsed)'!$E$2:$E$235,$A9,'Data (parsed)'!$B$2:$B$235,C$5)</f>
        <v>3</v>
      </c>
      <c r="D9" s="13">
        <f>COUNTIFS('Data (parsed)'!$E$2:$E$235,$A9,'Data (parsed)'!$B$2:$B$235,D$5)</f>
        <v>1</v>
      </c>
      <c r="E9" s="13">
        <f>COUNTIFS('Data (parsed)'!$E$2:$E$235,$A9,'Data (parsed)'!$B$2:$B$235,E$5)</f>
        <v>1</v>
      </c>
      <c r="F9" s="15">
        <f>SUM(B9:E9)</f>
        <v>13</v>
      </c>
    </row>
    <row r="10" spans="1:7" x14ac:dyDescent="0.35">
      <c r="A10" s="20" t="s">
        <v>947</v>
      </c>
      <c r="B10" s="15">
        <f>SUMIFS('Data (parsed)'!$I$2:$I$235,'Data (parsed)'!$J$2:$J$235,1,'Data (parsed)'!$B$2:$B$235,B$5)</f>
        <v>82</v>
      </c>
      <c r="C10" s="15">
        <f>SUMIFS('Data (parsed)'!$I$2:$I$235,'Data (parsed)'!$J$2:$J$235,1,'Data (parsed)'!$B$2:$B$235,C$5)</f>
        <v>26</v>
      </c>
      <c r="D10" s="15">
        <f>SUMIFS('Data (parsed)'!$I$2:$I$235,'Data (parsed)'!$J$2:$J$235,1,'Data (parsed)'!$B$2:$B$235,D$5)</f>
        <v>34</v>
      </c>
      <c r="E10" s="15">
        <f>SUMIFS('Data (parsed)'!$I$2:$I$235,'Data (parsed)'!$J$2:$J$235,1,'Data (parsed)'!$B$2:$B$235,E$5)</f>
        <v>45</v>
      </c>
      <c r="F10" s="15">
        <f>SUM(B10:E10)</f>
        <v>187</v>
      </c>
    </row>
    <row r="12" spans="1:7" x14ac:dyDescent="0.35">
      <c r="A12" s="18" t="s">
        <v>948</v>
      </c>
    </row>
    <row r="13" spans="1:7" x14ac:dyDescent="0.35">
      <c r="A13" s="11" t="s">
        <v>5</v>
      </c>
      <c r="B13" s="11" t="s">
        <v>11</v>
      </c>
      <c r="C13" s="11" t="s">
        <v>96</v>
      </c>
      <c r="D13" s="11" t="s">
        <v>22</v>
      </c>
      <c r="E13" s="11" t="s">
        <v>39</v>
      </c>
      <c r="F13" s="11" t="s">
        <v>65</v>
      </c>
      <c r="G13" s="11" t="s">
        <v>941</v>
      </c>
    </row>
    <row r="14" spans="1:7" x14ac:dyDescent="0.35">
      <c r="A14" s="19" t="s">
        <v>14</v>
      </c>
      <c r="B14" s="13">
        <f>COUNTIFS('Data (parsed)'!$E$2:$E$235,$A14,'Data (parsed)'!$D$2:$D$235,B$13)</f>
        <v>8</v>
      </c>
      <c r="C14" s="13">
        <f>COUNTIFS('Data (parsed)'!$E$2:$E$235,$A14,'Data (parsed)'!$D$2:$D$235,C$13)</f>
        <v>16</v>
      </c>
      <c r="D14" s="13">
        <f>COUNTIFS('Data (parsed)'!$E$2:$E$235,$A14,'Data (parsed)'!$D$2:$D$235,D$13)</f>
        <v>14</v>
      </c>
      <c r="E14" s="13">
        <f>COUNTIFS('Data (parsed)'!$E$2:$E$235,$A14,'Data (parsed)'!$D$2:$D$235,E$13)</f>
        <v>42</v>
      </c>
      <c r="F14" s="13">
        <f>COUNTIFS('Data (parsed)'!$E$2:$E$235,$A14,'Data (parsed)'!$D$2:$D$235,F$13)</f>
        <v>32</v>
      </c>
      <c r="G14" s="15">
        <f>SUM(B14:F14)</f>
        <v>112</v>
      </c>
    </row>
    <row r="15" spans="1:7" x14ac:dyDescent="0.35">
      <c r="A15" s="19" t="s">
        <v>99</v>
      </c>
      <c r="B15" s="13">
        <f>COUNTIFS('Data (parsed)'!$E$2:$E$235,$A15,'Data (parsed)'!$D$2:$D$235,B$13)</f>
        <v>0</v>
      </c>
      <c r="C15" s="13">
        <f>COUNTIFS('Data (parsed)'!$E$2:$E$235,$A15,'Data (parsed)'!$D$2:$D$235,C$13)</f>
        <v>3</v>
      </c>
      <c r="D15" s="13">
        <f>COUNTIFS('Data (parsed)'!$E$2:$E$235,$A15,'Data (parsed)'!$D$2:$D$235,D$13)</f>
        <v>1</v>
      </c>
      <c r="E15" s="13">
        <f>COUNTIFS('Data (parsed)'!$E$2:$E$235,$A15,'Data (parsed)'!$D$2:$D$235,E$13)</f>
        <v>17</v>
      </c>
      <c r="F15" s="13">
        <f>COUNTIFS('Data (parsed)'!$E$2:$E$235,$A15,'Data (parsed)'!$D$2:$D$235,F$13)</f>
        <v>14</v>
      </c>
      <c r="G15" s="15">
        <f>SUM(B15:F15)</f>
        <v>35</v>
      </c>
    </row>
    <row r="16" spans="1:7" x14ac:dyDescent="0.35">
      <c r="A16" s="19" t="s">
        <v>88</v>
      </c>
      <c r="B16" s="13">
        <f>COUNTIFS('Data (parsed)'!$E$2:$E$235,$A16,'Data (parsed)'!$D$2:$D$235,B$13)</f>
        <v>0</v>
      </c>
      <c r="C16" s="13">
        <f>COUNTIFS('Data (parsed)'!$E$2:$E$235,$A16,'Data (parsed)'!$D$2:$D$235,C$13)</f>
        <v>2</v>
      </c>
      <c r="D16" s="13">
        <f>COUNTIFS('Data (parsed)'!$E$2:$E$235,$A16,'Data (parsed)'!$D$2:$D$235,D$13)</f>
        <v>3</v>
      </c>
      <c r="E16" s="13">
        <f>COUNTIFS('Data (parsed)'!$E$2:$E$235,$A16,'Data (parsed)'!$D$2:$D$235,E$13)</f>
        <v>14</v>
      </c>
      <c r="F16" s="13">
        <f>COUNTIFS('Data (parsed)'!$E$2:$E$235,$A16,'Data (parsed)'!$D$2:$D$235,F$13)</f>
        <v>11</v>
      </c>
      <c r="G16" s="15">
        <f>SUM(B16:F16)</f>
        <v>30</v>
      </c>
    </row>
    <row r="17" spans="1:7" x14ac:dyDescent="0.35">
      <c r="A17" s="19" t="s">
        <v>93</v>
      </c>
      <c r="B17" s="13">
        <f>COUNTIFS('Data (parsed)'!$E$2:$E$235,$A17,'Data (parsed)'!$D$2:$D$235,B$13)</f>
        <v>0</v>
      </c>
      <c r="C17" s="13">
        <f>COUNTIFS('Data (parsed)'!$E$2:$E$235,$A17,'Data (parsed)'!$D$2:$D$235,C$13)</f>
        <v>4</v>
      </c>
      <c r="D17" s="13">
        <f>COUNTIFS('Data (parsed)'!$E$2:$E$235,$A17,'Data (parsed)'!$D$2:$D$235,D$13)</f>
        <v>3</v>
      </c>
      <c r="E17" s="13">
        <f>COUNTIFS('Data (parsed)'!$E$2:$E$235,$A17,'Data (parsed)'!$D$2:$D$235,E$13)</f>
        <v>1</v>
      </c>
      <c r="F17" s="13">
        <f>COUNTIFS('Data (parsed)'!$E$2:$E$235,$A17,'Data (parsed)'!$D$2:$D$235,F$13)</f>
        <v>5</v>
      </c>
      <c r="G17" s="15">
        <f>SUM(B17:F17)</f>
        <v>13</v>
      </c>
    </row>
  </sheetData>
  <mergeCells count="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topLeftCell="A15" zoomScaleNormal="100" workbookViewId="0">
      <selection activeCell="C36" sqref="C36"/>
    </sheetView>
  </sheetViews>
  <sheetFormatPr defaultColWidth="8.6328125" defaultRowHeight="14.5" x14ac:dyDescent="0.35"/>
  <cols>
    <col min="1" max="1" width="34" style="2" customWidth="1"/>
    <col min="2" max="8" width="10" style="2" customWidth="1"/>
  </cols>
  <sheetData>
    <row r="1" spans="1:7" ht="15.75" customHeight="1" x14ac:dyDescent="0.35">
      <c r="A1" s="8" t="s">
        <v>949</v>
      </c>
    </row>
    <row r="3" spans="1:7" ht="15" customHeight="1" x14ac:dyDescent="0.35">
      <c r="A3" s="10" t="s">
        <v>950</v>
      </c>
    </row>
    <row r="4" spans="1:7" ht="15" customHeight="1" x14ac:dyDescent="0.35">
      <c r="A4" s="11" t="s">
        <v>951</v>
      </c>
      <c r="B4" s="11" t="s">
        <v>11</v>
      </c>
      <c r="C4" s="11" t="s">
        <v>96</v>
      </c>
      <c r="D4" s="11" t="s">
        <v>22</v>
      </c>
      <c r="E4" s="11" t="s">
        <v>39</v>
      </c>
      <c r="F4" s="11" t="s">
        <v>65</v>
      </c>
      <c r="G4" s="11" t="s">
        <v>941</v>
      </c>
    </row>
    <row r="5" spans="1:7" ht="15" customHeight="1" x14ac:dyDescent="0.35">
      <c r="A5" s="21" t="s">
        <v>952</v>
      </c>
      <c r="B5" s="13">
        <f>SUMIFS('Data (parsed)'!$I$2:$I$235,'Data (parsed)'!$B$2:$B$235,"Shame",'Data (parsed)'!$C$2:$C$235,$A5,'Data (parsed)'!$D$2:$D$235,B$4)</f>
        <v>2</v>
      </c>
      <c r="C5" s="13">
        <f>SUMIFS('Data (parsed)'!$I$2:$I$235,'Data (parsed)'!$B$2:$B$235,"Shame",'Data (parsed)'!$C$2:$C$235,$A5,'Data (parsed)'!$D$2:$D$235,C$4)</f>
        <v>1</v>
      </c>
      <c r="D5" s="13">
        <f>SUMIFS('Data (parsed)'!$I$2:$I$235,'Data (parsed)'!$B$2:$B$235,"Shame",'Data (parsed)'!$C$2:$C$235,$A5,'Data (parsed)'!$D$2:$D$235,D$4)</f>
        <v>6</v>
      </c>
      <c r="E5" s="13">
        <f>SUMIFS('Data (parsed)'!$I$2:$I$235,'Data (parsed)'!$B$2:$B$235,"Shame",'Data (parsed)'!$C$2:$C$235,$A5,'Data (parsed)'!$D$2:$D$235,E$4)</f>
        <v>9</v>
      </c>
      <c r="F5" s="13">
        <f>SUMIFS('Data (parsed)'!$I$2:$I$235,'Data (parsed)'!$B$2:$B$235,"Shame",'Data (parsed)'!$C$2:$C$235,$A5,'Data (parsed)'!$D$2:$D$235,F$4)</f>
        <v>7</v>
      </c>
      <c r="G5" s="15">
        <f t="shared" ref="G5:G15" si="0">SUM(B5:F5)</f>
        <v>25</v>
      </c>
    </row>
    <row r="6" spans="1:7" ht="15" customHeight="1" x14ac:dyDescent="0.35">
      <c r="A6" s="21" t="s">
        <v>953</v>
      </c>
      <c r="B6" s="13">
        <f>SUMIFS('Data (parsed)'!$I$2:$I$235,'Data (parsed)'!$B$2:$B$235,"Shame",'Data (parsed)'!$C$2:$C$235,$A6,'Data (parsed)'!$D$2:$D$235,B$4)</f>
        <v>2</v>
      </c>
      <c r="C6" s="13">
        <f>SUMIFS('Data (parsed)'!$I$2:$I$235,'Data (parsed)'!$B$2:$B$235,"Shame",'Data (parsed)'!$C$2:$C$235,$A6,'Data (parsed)'!$D$2:$D$235,C$4)</f>
        <v>4</v>
      </c>
      <c r="D6" s="13">
        <f>SUMIFS('Data (parsed)'!$I$2:$I$235,'Data (parsed)'!$B$2:$B$235,"Shame",'Data (parsed)'!$C$2:$C$235,$A6,'Data (parsed)'!$D$2:$D$235,D$4)</f>
        <v>1</v>
      </c>
      <c r="E6" s="13">
        <f>SUMIFS('Data (parsed)'!$I$2:$I$235,'Data (parsed)'!$B$2:$B$235,"Shame",'Data (parsed)'!$C$2:$C$235,$A6,'Data (parsed)'!$D$2:$D$235,E$4)</f>
        <v>6</v>
      </c>
      <c r="F6" s="13">
        <f>SUMIFS('Data (parsed)'!$I$2:$I$235,'Data (parsed)'!$B$2:$B$235,"Shame",'Data (parsed)'!$C$2:$C$235,$A6,'Data (parsed)'!$D$2:$D$235,F$4)</f>
        <v>6</v>
      </c>
      <c r="G6" s="15">
        <f t="shared" si="0"/>
        <v>19</v>
      </c>
    </row>
    <row r="7" spans="1:7" ht="15" customHeight="1" x14ac:dyDescent="0.35">
      <c r="A7" s="21" t="s">
        <v>954</v>
      </c>
      <c r="B7" s="13">
        <f>SUMIFS('Data (parsed)'!$I$2:$I$235,'Data (parsed)'!$B$2:$B$235,"Shame",'Data (parsed)'!$C$2:$C$235,$A7,'Data (parsed)'!$D$2:$D$235,B$4)</f>
        <v>0</v>
      </c>
      <c r="C7" s="13">
        <f>SUMIFS('Data (parsed)'!$I$2:$I$235,'Data (parsed)'!$B$2:$B$235,"Shame",'Data (parsed)'!$C$2:$C$235,$A7,'Data (parsed)'!$D$2:$D$235,C$4)</f>
        <v>3</v>
      </c>
      <c r="D7" s="13">
        <f>SUMIFS('Data (parsed)'!$I$2:$I$235,'Data (parsed)'!$B$2:$B$235,"Shame",'Data (parsed)'!$C$2:$C$235,$A7,'Data (parsed)'!$D$2:$D$235,D$4)</f>
        <v>3</v>
      </c>
      <c r="E7" s="13">
        <f>SUMIFS('Data (parsed)'!$I$2:$I$235,'Data (parsed)'!$B$2:$B$235,"Shame",'Data (parsed)'!$C$2:$C$235,$A7,'Data (parsed)'!$D$2:$D$235,E$4)</f>
        <v>6</v>
      </c>
      <c r="F7" s="13">
        <f>SUMIFS('Data (parsed)'!$I$2:$I$235,'Data (parsed)'!$B$2:$B$235,"Shame",'Data (parsed)'!$C$2:$C$235,$A7,'Data (parsed)'!$D$2:$D$235,F$4)</f>
        <v>5</v>
      </c>
      <c r="G7" s="15">
        <f t="shared" si="0"/>
        <v>17</v>
      </c>
    </row>
    <row r="8" spans="1:7" ht="15" customHeight="1" x14ac:dyDescent="0.35">
      <c r="A8" s="21" t="s">
        <v>955</v>
      </c>
      <c r="B8" s="13">
        <f>SUMIFS('Data (parsed)'!$I$2:$I$235,'Data (parsed)'!$B$2:$B$235,"Shame",'Data (parsed)'!$C$2:$C$235,$A8,'Data (parsed)'!$D$2:$D$235,B$4)</f>
        <v>0</v>
      </c>
      <c r="C8" s="13">
        <f>SUMIFS('Data (parsed)'!$I$2:$I$235,'Data (parsed)'!$B$2:$B$235,"Shame",'Data (parsed)'!$C$2:$C$235,$A8,'Data (parsed)'!$D$2:$D$235,C$4)</f>
        <v>4</v>
      </c>
      <c r="D8" s="13">
        <f>SUMIFS('Data (parsed)'!$I$2:$I$235,'Data (parsed)'!$B$2:$B$235,"Shame",'Data (parsed)'!$C$2:$C$235,$A8,'Data (parsed)'!$D$2:$D$235,D$4)</f>
        <v>1</v>
      </c>
      <c r="E8" s="13">
        <f>SUMIFS('Data (parsed)'!$I$2:$I$235,'Data (parsed)'!$B$2:$B$235,"Shame",'Data (parsed)'!$C$2:$C$235,$A8,'Data (parsed)'!$D$2:$D$235,E$4)</f>
        <v>2</v>
      </c>
      <c r="F8" s="13">
        <f>SUMIFS('Data (parsed)'!$I$2:$I$235,'Data (parsed)'!$B$2:$B$235,"Shame",'Data (parsed)'!$C$2:$C$235,$A8,'Data (parsed)'!$D$2:$D$235,F$4)</f>
        <v>5</v>
      </c>
      <c r="G8" s="15">
        <f t="shared" si="0"/>
        <v>12</v>
      </c>
    </row>
    <row r="9" spans="1:7" ht="15" customHeight="1" x14ac:dyDescent="0.35">
      <c r="A9" s="21" t="s">
        <v>956</v>
      </c>
      <c r="B9" s="13">
        <f>SUMIFS('Data (parsed)'!$I$2:$I$235,'Data (parsed)'!$B$2:$B$235,"Shame",'Data (parsed)'!$C$2:$C$235,$A9,'Data (parsed)'!$D$2:$D$235,B$4)</f>
        <v>0</v>
      </c>
      <c r="C9" s="13">
        <f>SUMIFS('Data (parsed)'!$I$2:$I$235,'Data (parsed)'!$B$2:$B$235,"Shame",'Data (parsed)'!$C$2:$C$235,$A9,'Data (parsed)'!$D$2:$D$235,C$4)</f>
        <v>0</v>
      </c>
      <c r="D9" s="13">
        <f>SUMIFS('Data (parsed)'!$I$2:$I$235,'Data (parsed)'!$B$2:$B$235,"Shame",'Data (parsed)'!$C$2:$C$235,$A9,'Data (parsed)'!$D$2:$D$235,D$4)</f>
        <v>1</v>
      </c>
      <c r="E9" s="13">
        <f>SUMIFS('Data (parsed)'!$I$2:$I$235,'Data (parsed)'!$B$2:$B$235,"Shame",'Data (parsed)'!$C$2:$C$235,$A9,'Data (parsed)'!$D$2:$D$235,E$4)</f>
        <v>3</v>
      </c>
      <c r="F9" s="13">
        <f>SUMIFS('Data (parsed)'!$I$2:$I$235,'Data (parsed)'!$B$2:$B$235,"Shame",'Data (parsed)'!$C$2:$C$235,$A9,'Data (parsed)'!$D$2:$D$235,F$4)</f>
        <v>5</v>
      </c>
      <c r="G9" s="15">
        <f t="shared" si="0"/>
        <v>9</v>
      </c>
    </row>
    <row r="10" spans="1:7" ht="15" customHeight="1" x14ac:dyDescent="0.35">
      <c r="A10" s="21" t="s">
        <v>957</v>
      </c>
      <c r="B10" s="13">
        <f>SUMIFS('Data (parsed)'!$I$2:$I$235,'Data (parsed)'!$B$2:$B$235,"Shame",'Data (parsed)'!$C$2:$C$235,$A10,'Data (parsed)'!$D$2:$D$235,B$4)</f>
        <v>0</v>
      </c>
      <c r="C10" s="13">
        <f>SUMIFS('Data (parsed)'!$I$2:$I$235,'Data (parsed)'!$B$2:$B$235,"Shame",'Data (parsed)'!$C$2:$C$235,$A10,'Data (parsed)'!$D$2:$D$235,C$4)</f>
        <v>0</v>
      </c>
      <c r="D10" s="13">
        <f>SUMIFS('Data (parsed)'!$I$2:$I$235,'Data (parsed)'!$B$2:$B$235,"Shame",'Data (parsed)'!$C$2:$C$235,$A10,'Data (parsed)'!$D$2:$D$235,D$4)</f>
        <v>3</v>
      </c>
      <c r="E10" s="13">
        <f>SUMIFS('Data (parsed)'!$I$2:$I$235,'Data (parsed)'!$B$2:$B$235,"Shame",'Data (parsed)'!$C$2:$C$235,$A10,'Data (parsed)'!$D$2:$D$235,E$4)</f>
        <v>3</v>
      </c>
      <c r="F10" s="13">
        <f>SUMIFS('Data (parsed)'!$I$2:$I$235,'Data (parsed)'!$B$2:$B$235,"Shame",'Data (parsed)'!$C$2:$C$235,$A10,'Data (parsed)'!$D$2:$D$235,F$4)</f>
        <v>1</v>
      </c>
      <c r="G10" s="15">
        <f t="shared" si="0"/>
        <v>7</v>
      </c>
    </row>
    <row r="11" spans="1:7" ht="26.25" customHeight="1" x14ac:dyDescent="0.35">
      <c r="A11" s="21" t="s">
        <v>958</v>
      </c>
      <c r="B11" s="13">
        <f>SUMIFS('Data (parsed)'!$I$2:$I$235,'Data (parsed)'!$B$2:$B$235,"Shame",'Data (parsed)'!$C$2:$C$235,$A11,'Data (parsed)'!$D$2:$D$235,B$4)</f>
        <v>0</v>
      </c>
      <c r="C11" s="13">
        <f>SUMIFS('Data (parsed)'!$I$2:$I$235,'Data (parsed)'!$B$2:$B$235,"Shame",'Data (parsed)'!$C$2:$C$235,$A11,'Data (parsed)'!$D$2:$D$235,C$4)</f>
        <v>1</v>
      </c>
      <c r="D11" s="13">
        <f>SUMIFS('Data (parsed)'!$I$2:$I$235,'Data (parsed)'!$B$2:$B$235,"Shame",'Data (parsed)'!$C$2:$C$235,$A11,'Data (parsed)'!$D$2:$D$235,D$4)</f>
        <v>1</v>
      </c>
      <c r="E11" s="13">
        <f>SUMIFS('Data (parsed)'!$I$2:$I$235,'Data (parsed)'!$B$2:$B$235,"Shame",'Data (parsed)'!$C$2:$C$235,$A11,'Data (parsed)'!$D$2:$D$235,E$4)</f>
        <v>2</v>
      </c>
      <c r="F11" s="13">
        <f>SUMIFS('Data (parsed)'!$I$2:$I$235,'Data (parsed)'!$B$2:$B$235,"Shame",'Data (parsed)'!$C$2:$C$235,$A11,'Data (parsed)'!$D$2:$D$235,F$4)</f>
        <v>0</v>
      </c>
      <c r="G11" s="15">
        <f t="shared" si="0"/>
        <v>4</v>
      </c>
    </row>
    <row r="12" spans="1:7" ht="15" customHeight="1" x14ac:dyDescent="0.35">
      <c r="A12" s="21" t="s">
        <v>959</v>
      </c>
      <c r="B12" s="13">
        <f>SUMIFS('Data (parsed)'!$I$2:$I$235,'Data (parsed)'!$B$2:$B$235,"Shame",'Data (parsed)'!$C$2:$C$235,$A12,'Data (parsed)'!$D$2:$D$235,B$4)</f>
        <v>0</v>
      </c>
      <c r="C12" s="13">
        <f>SUMIFS('Data (parsed)'!$I$2:$I$235,'Data (parsed)'!$B$2:$B$235,"Shame",'Data (parsed)'!$C$2:$C$235,$A12,'Data (parsed)'!$D$2:$D$235,C$4)</f>
        <v>0</v>
      </c>
      <c r="D12" s="13">
        <f>SUMIFS('Data (parsed)'!$I$2:$I$235,'Data (parsed)'!$B$2:$B$235,"Shame",'Data (parsed)'!$C$2:$C$235,$A12,'Data (parsed)'!$D$2:$D$235,D$4)</f>
        <v>1</v>
      </c>
      <c r="E12" s="13">
        <f>SUMIFS('Data (parsed)'!$I$2:$I$235,'Data (parsed)'!$B$2:$B$235,"Shame",'Data (parsed)'!$C$2:$C$235,$A12,'Data (parsed)'!$D$2:$D$235,E$4)</f>
        <v>3</v>
      </c>
      <c r="F12" s="13">
        <f>SUMIFS('Data (parsed)'!$I$2:$I$235,'Data (parsed)'!$B$2:$B$235,"Shame",'Data (parsed)'!$C$2:$C$235,$A12,'Data (parsed)'!$D$2:$D$235,F$4)</f>
        <v>0</v>
      </c>
      <c r="G12" s="15">
        <f t="shared" si="0"/>
        <v>4</v>
      </c>
    </row>
    <row r="13" spans="1:7" ht="15" customHeight="1" x14ac:dyDescent="0.35">
      <c r="A13" s="21" t="s">
        <v>960</v>
      </c>
      <c r="B13" s="13">
        <f>SUMIFS('Data (parsed)'!$I$2:$I$235,'Data (parsed)'!$B$2:$B$235,"Shame",'Data (parsed)'!$C$2:$C$235,$A13,'Data (parsed)'!$D$2:$D$235,B$4)</f>
        <v>0</v>
      </c>
      <c r="C13" s="13">
        <f>SUMIFS('Data (parsed)'!$I$2:$I$235,'Data (parsed)'!$B$2:$B$235,"Shame",'Data (parsed)'!$C$2:$C$235,$A13,'Data (parsed)'!$D$2:$D$235,C$4)</f>
        <v>1</v>
      </c>
      <c r="D13" s="13">
        <f>SUMIFS('Data (parsed)'!$I$2:$I$235,'Data (parsed)'!$B$2:$B$235,"Shame",'Data (parsed)'!$C$2:$C$235,$A13,'Data (parsed)'!$D$2:$D$235,D$4)</f>
        <v>0</v>
      </c>
      <c r="E13" s="13">
        <f>SUMIFS('Data (parsed)'!$I$2:$I$235,'Data (parsed)'!$B$2:$B$235,"Shame",'Data (parsed)'!$C$2:$C$235,$A13,'Data (parsed)'!$D$2:$D$235,E$4)</f>
        <v>1</v>
      </c>
      <c r="F13" s="13">
        <f>SUMIFS('Data (parsed)'!$I$2:$I$235,'Data (parsed)'!$B$2:$B$235,"Shame",'Data (parsed)'!$C$2:$C$235,$A13,'Data (parsed)'!$D$2:$D$235,F$4)</f>
        <v>1</v>
      </c>
      <c r="G13" s="15">
        <f t="shared" si="0"/>
        <v>3</v>
      </c>
    </row>
    <row r="14" spans="1:7" ht="26.25" customHeight="1" x14ac:dyDescent="0.35">
      <c r="A14" s="21" t="s">
        <v>961</v>
      </c>
      <c r="B14" s="13">
        <f>SUMIFS('Data (parsed)'!$I$2:$I$235,'Data (parsed)'!$B$2:$B$235,"Shame",'Data (parsed)'!$C$2:$C$235,$A14,'Data (parsed)'!$D$2:$D$235,B$4)</f>
        <v>2</v>
      </c>
      <c r="C14" s="13">
        <f>SUMIFS('Data (parsed)'!$I$2:$I$235,'Data (parsed)'!$B$2:$B$235,"Shame",'Data (parsed)'!$C$2:$C$235,$A14,'Data (parsed)'!$D$2:$D$235,C$4)</f>
        <v>0</v>
      </c>
      <c r="D14" s="13">
        <f>SUMIFS('Data (parsed)'!$I$2:$I$235,'Data (parsed)'!$B$2:$B$235,"Shame",'Data (parsed)'!$C$2:$C$235,$A14,'Data (parsed)'!$D$2:$D$235,D$4)</f>
        <v>0</v>
      </c>
      <c r="E14" s="13">
        <f>SUMIFS('Data (parsed)'!$I$2:$I$235,'Data (parsed)'!$B$2:$B$235,"Shame",'Data (parsed)'!$C$2:$C$235,$A14,'Data (parsed)'!$D$2:$D$235,E$4)</f>
        <v>0</v>
      </c>
      <c r="F14" s="13">
        <f>SUMIFS('Data (parsed)'!$I$2:$I$235,'Data (parsed)'!$B$2:$B$235,"Shame",'Data (parsed)'!$C$2:$C$235,$A14,'Data (parsed)'!$D$2:$D$235,F$4)</f>
        <v>0</v>
      </c>
      <c r="G14" s="15">
        <f t="shared" si="0"/>
        <v>2</v>
      </c>
    </row>
    <row r="15" spans="1:7" ht="15" customHeight="1" x14ac:dyDescent="0.35">
      <c r="A15" s="21" t="s">
        <v>962</v>
      </c>
      <c r="B15" s="13">
        <f>SUMIFS('Data (parsed)'!$I$2:$I$235,'Data (parsed)'!$B$2:$B$235,"Shame",'Data (parsed)'!$C$2:$C$235,$A15,'Data (parsed)'!$D$2:$D$235,B$4)</f>
        <v>0</v>
      </c>
      <c r="C15" s="13">
        <f>SUMIFS('Data (parsed)'!$I$2:$I$235,'Data (parsed)'!$B$2:$B$235,"Shame",'Data (parsed)'!$C$2:$C$235,$A15,'Data (parsed)'!$D$2:$D$235,C$4)</f>
        <v>0</v>
      </c>
      <c r="D15" s="13">
        <f>SUMIFS('Data (parsed)'!$I$2:$I$235,'Data (parsed)'!$B$2:$B$235,"Shame",'Data (parsed)'!$C$2:$C$235,$A15,'Data (parsed)'!$D$2:$D$235,D$4)</f>
        <v>0</v>
      </c>
      <c r="E15" s="13">
        <f>SUMIFS('Data (parsed)'!$I$2:$I$235,'Data (parsed)'!$B$2:$B$235,"Shame",'Data (parsed)'!$C$2:$C$235,$A15,'Data (parsed)'!$D$2:$D$235,E$4)</f>
        <v>2</v>
      </c>
      <c r="F15" s="13">
        <f>SUMIFS('Data (parsed)'!$I$2:$I$235,'Data (parsed)'!$B$2:$B$235,"Shame",'Data (parsed)'!$C$2:$C$235,$A15,'Data (parsed)'!$D$2:$D$235,F$4)</f>
        <v>0</v>
      </c>
      <c r="G15" s="15">
        <f t="shared" si="0"/>
        <v>2</v>
      </c>
    </row>
    <row r="16" spans="1:7" ht="15" customHeight="1" x14ac:dyDescent="0.35">
      <c r="A16" s="14" t="s">
        <v>941</v>
      </c>
      <c r="B16" s="15">
        <f t="shared" ref="B16:G16" si="1">SUM(B5:B15)</f>
        <v>6</v>
      </c>
      <c r="C16" s="15">
        <f t="shared" si="1"/>
        <v>14</v>
      </c>
      <c r="D16" s="15">
        <f t="shared" si="1"/>
        <v>17</v>
      </c>
      <c r="E16" s="15">
        <f t="shared" si="1"/>
        <v>37</v>
      </c>
      <c r="F16" s="15">
        <f t="shared" si="1"/>
        <v>30</v>
      </c>
      <c r="G16" s="15">
        <f t="shared" si="1"/>
        <v>104</v>
      </c>
    </row>
    <row r="18" spans="1:7" ht="15" customHeight="1" x14ac:dyDescent="0.35">
      <c r="A18" s="10" t="s">
        <v>963</v>
      </c>
    </row>
    <row r="19" spans="1:7" ht="15" customHeight="1" x14ac:dyDescent="0.35">
      <c r="A19" s="11" t="s">
        <v>951</v>
      </c>
      <c r="B19" s="11" t="s">
        <v>14</v>
      </c>
      <c r="C19" s="11" t="s">
        <v>99</v>
      </c>
      <c r="D19" s="11" t="s">
        <v>88</v>
      </c>
      <c r="E19" s="11" t="s">
        <v>93</v>
      </c>
      <c r="F19" s="11" t="s">
        <v>964</v>
      </c>
      <c r="G19" s="11" t="s">
        <v>936</v>
      </c>
    </row>
    <row r="20" spans="1:7" ht="15" customHeight="1" x14ac:dyDescent="0.35">
      <c r="A20" s="21" t="s">
        <v>952</v>
      </c>
      <c r="B20" s="13">
        <f>COUNTIFS('Data (parsed)'!$E$2:$E$235,B$19,'Data (parsed)'!$B$2:$B$235,"Shame",'Data (parsed)'!$C$2:$C$235,$A20)</f>
        <v>18</v>
      </c>
      <c r="C20" s="13">
        <f>COUNTIFS('Data (parsed)'!$E$2:$E$235,C$19,'Data (parsed)'!$B$2:$B$235,"Shame",'Data (parsed)'!$C$2:$C$235,$A20)</f>
        <v>4</v>
      </c>
      <c r="D20" s="13">
        <f>COUNTIFS('Data (parsed)'!$E$2:$E$235,D$19,'Data (parsed)'!$B$2:$B$235,"Shame",'Data (parsed)'!$C$2:$C$235,$A20)</f>
        <v>1</v>
      </c>
      <c r="E20" s="13">
        <f>COUNTIFS('Data (parsed)'!$E$2:$E$235,E$19,'Data (parsed)'!$B$2:$B$235,"Shame",'Data (parsed)'!$C$2:$C$235,$A20)</f>
        <v>1</v>
      </c>
      <c r="F20" s="13">
        <f>SUMIFS('Data (parsed)'!$I$2:$I$235,'Data (parsed)'!$B$2:$B$235,"Shame",'Data (parsed)'!$C$2:$C$235,$A20,'Data (parsed)'!$J$2:$J$235,0)</f>
        <v>2</v>
      </c>
      <c r="G20" s="15">
        <f>SUMIFS('Data (parsed)'!$I$2:$I$235,'Data (parsed)'!$B$2:$B$235,"Shame",'Data (parsed)'!$C$2:$C$235,$A20)</f>
        <v>25</v>
      </c>
    </row>
    <row r="21" spans="1:7" ht="15" customHeight="1" x14ac:dyDescent="0.35">
      <c r="A21" s="21" t="s">
        <v>953</v>
      </c>
      <c r="B21" s="13">
        <f>COUNTIFS('Data (parsed)'!$E$2:$E$235,B$19,'Data (parsed)'!$B$2:$B$235,"Shame",'Data (parsed)'!$C$2:$C$235,$A21)</f>
        <v>9</v>
      </c>
      <c r="C21" s="13">
        <f>COUNTIFS('Data (parsed)'!$E$2:$E$235,C$19,'Data (parsed)'!$B$2:$B$235,"Shame",'Data (parsed)'!$C$2:$C$235,$A21)</f>
        <v>2</v>
      </c>
      <c r="D21" s="13">
        <f>COUNTIFS('Data (parsed)'!$E$2:$E$235,D$19,'Data (parsed)'!$B$2:$B$235,"Shame",'Data (parsed)'!$C$2:$C$235,$A21)</f>
        <v>0</v>
      </c>
      <c r="E21" s="13">
        <f>COUNTIFS('Data (parsed)'!$E$2:$E$235,E$19,'Data (parsed)'!$B$2:$B$235,"Shame",'Data (parsed)'!$C$2:$C$235,$A21)</f>
        <v>0</v>
      </c>
      <c r="F21" s="13">
        <f>SUMIFS('Data (parsed)'!$I$2:$I$235,'Data (parsed)'!$B$2:$B$235,"Shame",'Data (parsed)'!$C$2:$C$235,$A21,'Data (parsed)'!$J$2:$J$235,0)</f>
        <v>8</v>
      </c>
      <c r="G21" s="15">
        <f>SUMIFS('Data (parsed)'!$I$2:$I$235,'Data (parsed)'!$B$2:$B$235,"Shame",'Data (parsed)'!$C$2:$C$235,$A21)</f>
        <v>19</v>
      </c>
    </row>
    <row r="22" spans="1:7" ht="15" customHeight="1" x14ac:dyDescent="0.35">
      <c r="A22" s="21" t="s">
        <v>954</v>
      </c>
      <c r="B22" s="13">
        <f>COUNTIFS('Data (parsed)'!$E$2:$E$235,B$19,'Data (parsed)'!$B$2:$B$235,"Shame",'Data (parsed)'!$C$2:$C$235,$A22)</f>
        <v>6</v>
      </c>
      <c r="C22" s="13">
        <f>COUNTIFS('Data (parsed)'!$E$2:$E$235,C$19,'Data (parsed)'!$B$2:$B$235,"Shame",'Data (parsed)'!$C$2:$C$235,$A22)</f>
        <v>1</v>
      </c>
      <c r="D22" s="13">
        <f>COUNTIFS('Data (parsed)'!$E$2:$E$235,D$19,'Data (parsed)'!$B$2:$B$235,"Shame",'Data (parsed)'!$C$2:$C$235,$A22)</f>
        <v>1</v>
      </c>
      <c r="E22" s="13">
        <f>COUNTIFS('Data (parsed)'!$E$2:$E$235,E$19,'Data (parsed)'!$B$2:$B$235,"Shame",'Data (parsed)'!$C$2:$C$235,$A22)</f>
        <v>2</v>
      </c>
      <c r="F22" s="13">
        <f>SUMIFS('Data (parsed)'!$I$2:$I$235,'Data (parsed)'!$B$2:$B$235,"Shame",'Data (parsed)'!$C$2:$C$235,$A22,'Data (parsed)'!$J$2:$J$235,0)</f>
        <v>7</v>
      </c>
      <c r="G22" s="15">
        <f>SUMIFS('Data (parsed)'!$I$2:$I$235,'Data (parsed)'!$B$2:$B$235,"Shame",'Data (parsed)'!$C$2:$C$235,$A22)</f>
        <v>17</v>
      </c>
    </row>
    <row r="23" spans="1:7" ht="15" customHeight="1" x14ac:dyDescent="0.35">
      <c r="A23" s="21" t="s">
        <v>955</v>
      </c>
      <c r="B23" s="13">
        <f>COUNTIFS('Data (parsed)'!$E$2:$E$235,B$19,'Data (parsed)'!$B$2:$B$235,"Shame",'Data (parsed)'!$C$2:$C$235,$A23)</f>
        <v>1</v>
      </c>
      <c r="C23" s="13">
        <f>COUNTIFS('Data (parsed)'!$E$2:$E$235,C$19,'Data (parsed)'!$B$2:$B$235,"Shame",'Data (parsed)'!$C$2:$C$235,$A23)</f>
        <v>0</v>
      </c>
      <c r="D23" s="13">
        <f>COUNTIFS('Data (parsed)'!$E$2:$E$235,D$19,'Data (parsed)'!$B$2:$B$235,"Shame",'Data (parsed)'!$C$2:$C$235,$A23)</f>
        <v>9</v>
      </c>
      <c r="E23" s="13">
        <f>COUNTIFS('Data (parsed)'!$E$2:$E$235,E$19,'Data (parsed)'!$B$2:$B$235,"Shame",'Data (parsed)'!$C$2:$C$235,$A23)</f>
        <v>2</v>
      </c>
      <c r="F23" s="13">
        <f>SUMIFS('Data (parsed)'!$I$2:$I$235,'Data (parsed)'!$B$2:$B$235,"Shame",'Data (parsed)'!$C$2:$C$235,$A23,'Data (parsed)'!$J$2:$J$235,0)</f>
        <v>0</v>
      </c>
      <c r="G23" s="15">
        <f>SUMIFS('Data (parsed)'!$I$2:$I$235,'Data (parsed)'!$B$2:$B$235,"Shame",'Data (parsed)'!$C$2:$C$235,$A23)</f>
        <v>12</v>
      </c>
    </row>
    <row r="24" spans="1:7" ht="15" customHeight="1" x14ac:dyDescent="0.35">
      <c r="A24" s="21" t="s">
        <v>956</v>
      </c>
      <c r="B24" s="13">
        <f>COUNTIFS('Data (parsed)'!$E$2:$E$235,B$19,'Data (parsed)'!$B$2:$B$235,"Shame",'Data (parsed)'!$C$2:$C$235,$A24)</f>
        <v>0</v>
      </c>
      <c r="C24" s="13">
        <f>COUNTIFS('Data (parsed)'!$E$2:$E$235,C$19,'Data (parsed)'!$B$2:$B$235,"Shame",'Data (parsed)'!$C$2:$C$235,$A24)</f>
        <v>0</v>
      </c>
      <c r="D24" s="13">
        <f>COUNTIFS('Data (parsed)'!$E$2:$E$235,D$19,'Data (parsed)'!$B$2:$B$235,"Shame",'Data (parsed)'!$C$2:$C$235,$A24)</f>
        <v>9</v>
      </c>
      <c r="E24" s="13">
        <f>COUNTIFS('Data (parsed)'!$E$2:$E$235,E$19,'Data (parsed)'!$B$2:$B$235,"Shame",'Data (parsed)'!$C$2:$C$235,$A24)</f>
        <v>0</v>
      </c>
      <c r="F24" s="13">
        <f>SUMIFS('Data (parsed)'!$I$2:$I$235,'Data (parsed)'!$B$2:$B$235,"Shame",'Data (parsed)'!$C$2:$C$235,$A24,'Data (parsed)'!$J$2:$J$235,0)</f>
        <v>0</v>
      </c>
      <c r="G24" s="15">
        <f>SUMIFS('Data (parsed)'!$I$2:$I$235,'Data (parsed)'!$B$2:$B$235,"Shame",'Data (parsed)'!$C$2:$C$235,$A24)</f>
        <v>9</v>
      </c>
    </row>
    <row r="25" spans="1:7" ht="15" customHeight="1" x14ac:dyDescent="0.35">
      <c r="A25" s="21" t="s">
        <v>957</v>
      </c>
      <c r="B25" s="13">
        <f>COUNTIFS('Data (parsed)'!$E$2:$E$235,B$19,'Data (parsed)'!$B$2:$B$235,"Shame",'Data (parsed)'!$C$2:$C$235,$A25)</f>
        <v>2</v>
      </c>
      <c r="C25" s="13">
        <f>COUNTIFS('Data (parsed)'!$E$2:$E$235,C$19,'Data (parsed)'!$B$2:$B$235,"Shame",'Data (parsed)'!$C$2:$C$235,$A25)</f>
        <v>0</v>
      </c>
      <c r="D25" s="13">
        <f>COUNTIFS('Data (parsed)'!$E$2:$E$235,D$19,'Data (parsed)'!$B$2:$B$235,"Shame",'Data (parsed)'!$C$2:$C$235,$A25)</f>
        <v>0</v>
      </c>
      <c r="E25" s="13">
        <f>COUNTIFS('Data (parsed)'!$E$2:$E$235,E$19,'Data (parsed)'!$B$2:$B$235,"Shame",'Data (parsed)'!$C$2:$C$235,$A25)</f>
        <v>2</v>
      </c>
      <c r="F25" s="13">
        <f>SUMIFS('Data (parsed)'!$I$2:$I$235,'Data (parsed)'!$B$2:$B$235,"Shame",'Data (parsed)'!$C$2:$C$235,$A25,'Data (parsed)'!$J$2:$J$235,0)</f>
        <v>3</v>
      </c>
      <c r="G25" s="15">
        <f>SUMIFS('Data (parsed)'!$I$2:$I$235,'Data (parsed)'!$B$2:$B$235,"Shame",'Data (parsed)'!$C$2:$C$235,$A25)</f>
        <v>7</v>
      </c>
    </row>
    <row r="26" spans="1:7" ht="26.25" customHeight="1" x14ac:dyDescent="0.35">
      <c r="A26" s="21" t="s">
        <v>958</v>
      </c>
      <c r="B26" s="13">
        <f>COUNTIFS('Data (parsed)'!$E$2:$E$235,B$19,'Data (parsed)'!$B$2:$B$235,"Shame",'Data (parsed)'!$C$2:$C$235,$A26)</f>
        <v>4</v>
      </c>
      <c r="C26" s="13">
        <f>COUNTIFS('Data (parsed)'!$E$2:$E$235,C$19,'Data (parsed)'!$B$2:$B$235,"Shame",'Data (parsed)'!$C$2:$C$235,$A26)</f>
        <v>0</v>
      </c>
      <c r="D26" s="13">
        <f>COUNTIFS('Data (parsed)'!$E$2:$E$235,D$19,'Data (parsed)'!$B$2:$B$235,"Shame",'Data (parsed)'!$C$2:$C$235,$A26)</f>
        <v>0</v>
      </c>
      <c r="E26" s="13">
        <f>COUNTIFS('Data (parsed)'!$E$2:$E$235,E$19,'Data (parsed)'!$B$2:$B$235,"Shame",'Data (parsed)'!$C$2:$C$235,$A26)</f>
        <v>0</v>
      </c>
      <c r="F26" s="13">
        <f>SUMIFS('Data (parsed)'!$I$2:$I$235,'Data (parsed)'!$B$2:$B$235,"Shame",'Data (parsed)'!$C$2:$C$235,$A26,'Data (parsed)'!$J$2:$J$235,0)</f>
        <v>0</v>
      </c>
      <c r="G26" s="15">
        <f>SUMIFS('Data (parsed)'!$I$2:$I$235,'Data (parsed)'!$B$2:$B$235,"Shame",'Data (parsed)'!$C$2:$C$235,$A26)</f>
        <v>4</v>
      </c>
    </row>
    <row r="27" spans="1:7" ht="15" customHeight="1" x14ac:dyDescent="0.35">
      <c r="A27" s="21" t="s">
        <v>959</v>
      </c>
      <c r="B27" s="13">
        <f>COUNTIFS('Data (parsed)'!$E$2:$E$235,B$19,'Data (parsed)'!$B$2:$B$235,"Shame",'Data (parsed)'!$C$2:$C$235,$A27)</f>
        <v>3</v>
      </c>
      <c r="C27" s="13">
        <f>COUNTIFS('Data (parsed)'!$E$2:$E$235,C$19,'Data (parsed)'!$B$2:$B$235,"Shame",'Data (parsed)'!$C$2:$C$235,$A27)</f>
        <v>0</v>
      </c>
      <c r="D27" s="13">
        <f>COUNTIFS('Data (parsed)'!$E$2:$E$235,D$19,'Data (parsed)'!$B$2:$B$235,"Shame",'Data (parsed)'!$C$2:$C$235,$A27)</f>
        <v>0</v>
      </c>
      <c r="E27" s="13">
        <f>COUNTIFS('Data (parsed)'!$E$2:$E$235,E$19,'Data (parsed)'!$B$2:$B$235,"Shame",'Data (parsed)'!$C$2:$C$235,$A27)</f>
        <v>1</v>
      </c>
      <c r="F27" s="13">
        <f>SUMIFS('Data (parsed)'!$I$2:$I$235,'Data (parsed)'!$B$2:$B$235,"Shame",'Data (parsed)'!$C$2:$C$235,$A27,'Data (parsed)'!$J$2:$J$235,0)</f>
        <v>0</v>
      </c>
      <c r="G27" s="15">
        <f>SUMIFS('Data (parsed)'!$I$2:$I$235,'Data (parsed)'!$B$2:$B$235,"Shame",'Data (parsed)'!$C$2:$C$235,$A27)</f>
        <v>4</v>
      </c>
    </row>
    <row r="28" spans="1:7" ht="15" customHeight="1" x14ac:dyDescent="0.35">
      <c r="A28" s="21" t="s">
        <v>960</v>
      </c>
      <c r="B28" s="13">
        <f>COUNTIFS('Data (parsed)'!$E$2:$E$235,B$19,'Data (parsed)'!$B$2:$B$235,"Shame",'Data (parsed)'!$C$2:$C$235,$A28)</f>
        <v>3</v>
      </c>
      <c r="C28" s="13">
        <f>COUNTIFS('Data (parsed)'!$E$2:$E$235,C$19,'Data (parsed)'!$B$2:$B$235,"Shame",'Data (parsed)'!$C$2:$C$235,$A28)</f>
        <v>0</v>
      </c>
      <c r="D28" s="13">
        <f>COUNTIFS('Data (parsed)'!$E$2:$E$235,D$19,'Data (parsed)'!$B$2:$B$235,"Shame",'Data (parsed)'!$C$2:$C$235,$A28)</f>
        <v>0</v>
      </c>
      <c r="E28" s="13">
        <f>COUNTIFS('Data (parsed)'!$E$2:$E$235,E$19,'Data (parsed)'!$B$2:$B$235,"Shame",'Data (parsed)'!$C$2:$C$235,$A28)</f>
        <v>0</v>
      </c>
      <c r="F28" s="13">
        <f>SUMIFS('Data (parsed)'!$I$2:$I$235,'Data (parsed)'!$B$2:$B$235,"Shame",'Data (parsed)'!$C$2:$C$235,$A28,'Data (parsed)'!$J$2:$J$235,0)</f>
        <v>0</v>
      </c>
      <c r="G28" s="15">
        <f>SUMIFS('Data (parsed)'!$I$2:$I$235,'Data (parsed)'!$B$2:$B$235,"Shame",'Data (parsed)'!$C$2:$C$235,$A28)</f>
        <v>3</v>
      </c>
    </row>
    <row r="29" spans="1:7" ht="26.25" customHeight="1" x14ac:dyDescent="0.35">
      <c r="A29" s="21" t="s">
        <v>961</v>
      </c>
      <c r="B29" s="13">
        <f>COUNTIFS('Data (parsed)'!$E$2:$E$235,B$19,'Data (parsed)'!$B$2:$B$235,"Shame",'Data (parsed)'!$C$2:$C$235,$A29)</f>
        <v>2</v>
      </c>
      <c r="C29" s="13">
        <f>COUNTIFS('Data (parsed)'!$E$2:$E$235,C$19,'Data (parsed)'!$B$2:$B$235,"Shame",'Data (parsed)'!$C$2:$C$235,$A29)</f>
        <v>0</v>
      </c>
      <c r="D29" s="13">
        <f>COUNTIFS('Data (parsed)'!$E$2:$E$235,D$19,'Data (parsed)'!$B$2:$B$235,"Shame",'Data (parsed)'!$C$2:$C$235,$A29)</f>
        <v>0</v>
      </c>
      <c r="E29" s="13">
        <f>COUNTIFS('Data (parsed)'!$E$2:$E$235,E$19,'Data (parsed)'!$B$2:$B$235,"Shame",'Data (parsed)'!$C$2:$C$235,$A29)</f>
        <v>0</v>
      </c>
      <c r="F29" s="13">
        <f>SUMIFS('Data (parsed)'!$I$2:$I$235,'Data (parsed)'!$B$2:$B$235,"Shame",'Data (parsed)'!$C$2:$C$235,$A29,'Data (parsed)'!$J$2:$J$235,0)</f>
        <v>0</v>
      </c>
      <c r="G29" s="15">
        <f>SUMIFS('Data (parsed)'!$I$2:$I$235,'Data (parsed)'!$B$2:$B$235,"Shame",'Data (parsed)'!$C$2:$C$235,$A29)</f>
        <v>2</v>
      </c>
    </row>
    <row r="30" spans="1:7" ht="15" customHeight="1" x14ac:dyDescent="0.35">
      <c r="A30" s="21" t="s">
        <v>962</v>
      </c>
      <c r="B30" s="13">
        <f>COUNTIFS('Data (parsed)'!$E$2:$E$235,B$19,'Data (parsed)'!$B$2:$B$235,"Shame",'Data (parsed)'!$C$2:$C$235,$A30)</f>
        <v>0</v>
      </c>
      <c r="C30" s="13">
        <f>COUNTIFS('Data (parsed)'!$E$2:$E$235,C$19,'Data (parsed)'!$B$2:$B$235,"Shame",'Data (parsed)'!$C$2:$C$235,$A30)</f>
        <v>0</v>
      </c>
      <c r="D30" s="13">
        <f>COUNTIFS('Data (parsed)'!$E$2:$E$235,D$19,'Data (parsed)'!$B$2:$B$235,"Shame",'Data (parsed)'!$C$2:$C$235,$A30)</f>
        <v>0</v>
      </c>
      <c r="E30" s="13">
        <f>COUNTIFS('Data (parsed)'!$E$2:$E$235,E$19,'Data (parsed)'!$B$2:$B$235,"Shame",'Data (parsed)'!$C$2:$C$235,$A30)</f>
        <v>0</v>
      </c>
      <c r="F30" s="13">
        <f>SUMIFS('Data (parsed)'!$I$2:$I$235,'Data (parsed)'!$B$2:$B$235,"Shame",'Data (parsed)'!$C$2:$C$235,$A30,'Data (parsed)'!$J$2:$J$235,0)</f>
        <v>2</v>
      </c>
      <c r="G30" s="15">
        <f>SUMIFS('Data (parsed)'!$I$2:$I$235,'Data (parsed)'!$B$2:$B$235,"Shame",'Data (parsed)'!$C$2:$C$235,$A30)</f>
        <v>2</v>
      </c>
    </row>
    <row r="31" spans="1:7" ht="15" customHeight="1" x14ac:dyDescent="0.35">
      <c r="A31" s="14" t="s">
        <v>941</v>
      </c>
      <c r="B31" s="15">
        <f t="shared" ref="B31:G31" si="2">SUM(B20:B30)</f>
        <v>48</v>
      </c>
      <c r="C31" s="15">
        <f t="shared" si="2"/>
        <v>7</v>
      </c>
      <c r="D31" s="15">
        <f t="shared" si="2"/>
        <v>20</v>
      </c>
      <c r="E31" s="15">
        <f t="shared" si="2"/>
        <v>8</v>
      </c>
      <c r="F31" s="15">
        <f t="shared" si="2"/>
        <v>22</v>
      </c>
      <c r="G31" s="15">
        <f t="shared" si="2"/>
        <v>104</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Normal="100" workbookViewId="0"/>
  </sheetViews>
  <sheetFormatPr defaultColWidth="8.6328125" defaultRowHeight="14.5" x14ac:dyDescent="0.35"/>
  <cols>
    <col min="1" max="1" width="34" style="2" customWidth="1"/>
    <col min="2" max="8" width="10" style="2" customWidth="1"/>
  </cols>
  <sheetData>
    <row r="1" spans="1:7" ht="15.75" customHeight="1" x14ac:dyDescent="0.35">
      <c r="A1" s="8" t="s">
        <v>965</v>
      </c>
    </row>
    <row r="3" spans="1:7" ht="15" customHeight="1" x14ac:dyDescent="0.35">
      <c r="A3" s="10" t="s">
        <v>966</v>
      </c>
    </row>
    <row r="4" spans="1:7" ht="15" customHeight="1" x14ac:dyDescent="0.35">
      <c r="A4" s="11" t="s">
        <v>951</v>
      </c>
      <c r="B4" s="11" t="s">
        <v>11</v>
      </c>
      <c r="C4" s="11" t="s">
        <v>96</v>
      </c>
      <c r="D4" s="11" t="s">
        <v>22</v>
      </c>
      <c r="E4" s="11" t="s">
        <v>39</v>
      </c>
      <c r="F4" s="11" t="s">
        <v>65</v>
      </c>
      <c r="G4" s="11" t="s">
        <v>941</v>
      </c>
    </row>
    <row r="5" spans="1:7" ht="15" customHeight="1" x14ac:dyDescent="0.35">
      <c r="A5" s="21" t="s">
        <v>967</v>
      </c>
      <c r="B5" s="13">
        <f>SUMIFS('Data (parsed)'!$I$2:$I$235,'Data (parsed)'!$B$2:$B$235,"Guilt",'Data (parsed)'!$C$2:$C$235,$A5,'Data (parsed)'!$D$2:$D$235,B$4)</f>
        <v>2</v>
      </c>
      <c r="C5" s="13">
        <f>SUMIFS('Data (parsed)'!$I$2:$I$235,'Data (parsed)'!$B$2:$B$235,"Guilt",'Data (parsed)'!$C$2:$C$235,$A5,'Data (parsed)'!$D$2:$D$235,C$4)</f>
        <v>3</v>
      </c>
      <c r="D5" s="13">
        <f>SUMIFS('Data (parsed)'!$I$2:$I$235,'Data (parsed)'!$B$2:$B$235,"Guilt",'Data (parsed)'!$C$2:$C$235,$A5,'Data (parsed)'!$D$2:$D$235,D$4)</f>
        <v>2</v>
      </c>
      <c r="E5" s="13">
        <f>SUMIFS('Data (parsed)'!$I$2:$I$235,'Data (parsed)'!$B$2:$B$235,"Guilt",'Data (parsed)'!$C$2:$C$235,$A5,'Data (parsed)'!$D$2:$D$235,E$4)</f>
        <v>3</v>
      </c>
      <c r="F5" s="13">
        <f>SUMIFS('Data (parsed)'!$I$2:$I$235,'Data (parsed)'!$B$2:$B$235,"Guilt",'Data (parsed)'!$C$2:$C$235,$A5,'Data (parsed)'!$D$2:$D$235,F$4)</f>
        <v>7</v>
      </c>
      <c r="G5" s="15">
        <f t="shared" ref="G5:G10" si="0">SUM(B5:F5)</f>
        <v>17</v>
      </c>
    </row>
    <row r="6" spans="1:7" ht="15" customHeight="1" x14ac:dyDescent="0.35">
      <c r="A6" s="21" t="s">
        <v>968</v>
      </c>
      <c r="B6" s="13">
        <f>SUMIFS('Data (parsed)'!$I$2:$I$235,'Data (parsed)'!$B$2:$B$235,"Guilt",'Data (parsed)'!$C$2:$C$235,$A6,'Data (parsed)'!$D$2:$D$235,B$4)</f>
        <v>0</v>
      </c>
      <c r="C6" s="13">
        <f>SUMIFS('Data (parsed)'!$I$2:$I$235,'Data (parsed)'!$B$2:$B$235,"Guilt",'Data (parsed)'!$C$2:$C$235,$A6,'Data (parsed)'!$D$2:$D$235,C$4)</f>
        <v>1</v>
      </c>
      <c r="D6" s="13">
        <f>SUMIFS('Data (parsed)'!$I$2:$I$235,'Data (parsed)'!$B$2:$B$235,"Guilt",'Data (parsed)'!$C$2:$C$235,$A6,'Data (parsed)'!$D$2:$D$235,D$4)</f>
        <v>0</v>
      </c>
      <c r="E6" s="13">
        <f>SUMIFS('Data (parsed)'!$I$2:$I$235,'Data (parsed)'!$B$2:$B$235,"Guilt",'Data (parsed)'!$C$2:$C$235,$A6,'Data (parsed)'!$D$2:$D$235,E$4)</f>
        <v>0</v>
      </c>
      <c r="F6" s="13">
        <f>SUMIFS('Data (parsed)'!$I$2:$I$235,'Data (parsed)'!$B$2:$B$235,"Guilt",'Data (parsed)'!$C$2:$C$235,$A6,'Data (parsed)'!$D$2:$D$235,F$4)</f>
        <v>4</v>
      </c>
      <c r="G6" s="15">
        <f t="shared" si="0"/>
        <v>5</v>
      </c>
    </row>
    <row r="7" spans="1:7" ht="15" customHeight="1" x14ac:dyDescent="0.35">
      <c r="A7" s="21" t="s">
        <v>969</v>
      </c>
      <c r="B7" s="13">
        <f>SUMIFS('Data (parsed)'!$I$2:$I$235,'Data (parsed)'!$B$2:$B$235,"Guilt",'Data (parsed)'!$C$2:$C$235,$A7,'Data (parsed)'!$D$2:$D$235,B$4)</f>
        <v>2</v>
      </c>
      <c r="C7" s="13">
        <f>SUMIFS('Data (parsed)'!$I$2:$I$235,'Data (parsed)'!$B$2:$B$235,"Guilt",'Data (parsed)'!$C$2:$C$235,$A7,'Data (parsed)'!$D$2:$D$235,C$4)</f>
        <v>0</v>
      </c>
      <c r="D7" s="13">
        <f>SUMIFS('Data (parsed)'!$I$2:$I$235,'Data (parsed)'!$B$2:$B$235,"Guilt",'Data (parsed)'!$C$2:$C$235,$A7,'Data (parsed)'!$D$2:$D$235,D$4)</f>
        <v>0</v>
      </c>
      <c r="E7" s="13">
        <f>SUMIFS('Data (parsed)'!$I$2:$I$235,'Data (parsed)'!$B$2:$B$235,"Guilt",'Data (parsed)'!$C$2:$C$235,$A7,'Data (parsed)'!$D$2:$D$235,E$4)</f>
        <v>1</v>
      </c>
      <c r="F7" s="13">
        <f>SUMIFS('Data (parsed)'!$I$2:$I$235,'Data (parsed)'!$B$2:$B$235,"Guilt",'Data (parsed)'!$C$2:$C$235,$A7,'Data (parsed)'!$D$2:$D$235,F$4)</f>
        <v>0</v>
      </c>
      <c r="G7" s="15">
        <f t="shared" si="0"/>
        <v>3</v>
      </c>
    </row>
    <row r="8" spans="1:7" ht="15" customHeight="1" x14ac:dyDescent="0.35">
      <c r="A8" s="21" t="s">
        <v>970</v>
      </c>
      <c r="B8" s="13">
        <f>SUMIFS('Data (parsed)'!$I$2:$I$235,'Data (parsed)'!$B$2:$B$235,"Guilt",'Data (parsed)'!$C$2:$C$235,$A8,'Data (parsed)'!$D$2:$D$235,B$4)</f>
        <v>0</v>
      </c>
      <c r="C8" s="13">
        <f>SUMIFS('Data (parsed)'!$I$2:$I$235,'Data (parsed)'!$B$2:$B$235,"Guilt",'Data (parsed)'!$C$2:$C$235,$A8,'Data (parsed)'!$D$2:$D$235,C$4)</f>
        <v>1</v>
      </c>
      <c r="D8" s="13">
        <f>SUMIFS('Data (parsed)'!$I$2:$I$235,'Data (parsed)'!$B$2:$B$235,"Guilt",'Data (parsed)'!$C$2:$C$235,$A8,'Data (parsed)'!$D$2:$D$235,D$4)</f>
        <v>0</v>
      </c>
      <c r="E8" s="13">
        <f>SUMIFS('Data (parsed)'!$I$2:$I$235,'Data (parsed)'!$B$2:$B$235,"Guilt",'Data (parsed)'!$C$2:$C$235,$A8,'Data (parsed)'!$D$2:$D$235,E$4)</f>
        <v>0</v>
      </c>
      <c r="F8" s="13">
        <f>SUMIFS('Data (parsed)'!$I$2:$I$235,'Data (parsed)'!$B$2:$B$235,"Guilt",'Data (parsed)'!$C$2:$C$235,$A8,'Data (parsed)'!$D$2:$D$235,F$4)</f>
        <v>2</v>
      </c>
      <c r="G8" s="15">
        <f t="shared" si="0"/>
        <v>3</v>
      </c>
    </row>
    <row r="9" spans="1:7" ht="15" customHeight="1" x14ac:dyDescent="0.35">
      <c r="A9" s="21" t="s">
        <v>971</v>
      </c>
      <c r="B9" s="13">
        <f>SUMIFS('Data (parsed)'!$I$2:$I$235,'Data (parsed)'!$B$2:$B$235,"Guilt",'Data (parsed)'!$C$2:$C$235,$A9,'Data (parsed)'!$D$2:$D$235,B$4)</f>
        <v>0</v>
      </c>
      <c r="C9" s="13">
        <f>SUMIFS('Data (parsed)'!$I$2:$I$235,'Data (parsed)'!$B$2:$B$235,"Guilt",'Data (parsed)'!$C$2:$C$235,$A9,'Data (parsed)'!$D$2:$D$235,C$4)</f>
        <v>2</v>
      </c>
      <c r="D9" s="13">
        <f>SUMIFS('Data (parsed)'!$I$2:$I$235,'Data (parsed)'!$B$2:$B$235,"Guilt",'Data (parsed)'!$C$2:$C$235,$A9,'Data (parsed)'!$D$2:$D$235,D$4)</f>
        <v>0</v>
      </c>
      <c r="E9" s="13">
        <f>SUMIFS('Data (parsed)'!$I$2:$I$235,'Data (parsed)'!$B$2:$B$235,"Guilt",'Data (parsed)'!$C$2:$C$235,$A9,'Data (parsed)'!$D$2:$D$235,E$4)</f>
        <v>0</v>
      </c>
      <c r="F9" s="13">
        <f>SUMIFS('Data (parsed)'!$I$2:$I$235,'Data (parsed)'!$B$2:$B$235,"Guilt",'Data (parsed)'!$C$2:$C$235,$A9,'Data (parsed)'!$D$2:$D$235,F$4)</f>
        <v>0</v>
      </c>
      <c r="G9" s="15">
        <f t="shared" si="0"/>
        <v>2</v>
      </c>
    </row>
    <row r="10" spans="1:7" ht="15" customHeight="1" x14ac:dyDescent="0.35">
      <c r="A10" s="21" t="s">
        <v>972</v>
      </c>
      <c r="B10" s="13">
        <f>SUMIFS('Data (parsed)'!$I$2:$I$235,'Data (parsed)'!$B$2:$B$235,"Guilt",'Data (parsed)'!$C$2:$C$235,$A10,'Data (parsed)'!$D$2:$D$235,B$4)</f>
        <v>0</v>
      </c>
      <c r="C10" s="13">
        <f>SUMIFS('Data (parsed)'!$I$2:$I$235,'Data (parsed)'!$B$2:$B$235,"Guilt",'Data (parsed)'!$C$2:$C$235,$A10,'Data (parsed)'!$D$2:$D$235,C$4)</f>
        <v>0</v>
      </c>
      <c r="D10" s="13">
        <f>SUMIFS('Data (parsed)'!$I$2:$I$235,'Data (parsed)'!$B$2:$B$235,"Guilt",'Data (parsed)'!$C$2:$C$235,$A10,'Data (parsed)'!$D$2:$D$235,D$4)</f>
        <v>0</v>
      </c>
      <c r="E10" s="13">
        <f>SUMIFS('Data (parsed)'!$I$2:$I$235,'Data (parsed)'!$B$2:$B$235,"Guilt",'Data (parsed)'!$C$2:$C$235,$A10,'Data (parsed)'!$D$2:$D$235,E$4)</f>
        <v>1</v>
      </c>
      <c r="F10" s="13">
        <f>SUMIFS('Data (parsed)'!$I$2:$I$235,'Data (parsed)'!$B$2:$B$235,"Guilt",'Data (parsed)'!$C$2:$C$235,$A10,'Data (parsed)'!$D$2:$D$235,F$4)</f>
        <v>0</v>
      </c>
      <c r="G10" s="15">
        <f t="shared" si="0"/>
        <v>1</v>
      </c>
    </row>
    <row r="11" spans="1:7" ht="15" customHeight="1" x14ac:dyDescent="0.35">
      <c r="A11" s="14" t="s">
        <v>941</v>
      </c>
      <c r="B11" s="15">
        <f t="shared" ref="B11:G11" si="1">SUM(B5:B10)</f>
        <v>4</v>
      </c>
      <c r="C11" s="15">
        <f t="shared" si="1"/>
        <v>7</v>
      </c>
      <c r="D11" s="15">
        <f t="shared" si="1"/>
        <v>2</v>
      </c>
      <c r="E11" s="15">
        <f t="shared" si="1"/>
        <v>5</v>
      </c>
      <c r="F11" s="15">
        <f t="shared" si="1"/>
        <v>13</v>
      </c>
      <c r="G11" s="15">
        <f t="shared" si="1"/>
        <v>31</v>
      </c>
    </row>
    <row r="13" spans="1:7" ht="15" customHeight="1" x14ac:dyDescent="0.35">
      <c r="A13" s="10" t="s">
        <v>973</v>
      </c>
    </row>
    <row r="14" spans="1:7" ht="15" customHeight="1" x14ac:dyDescent="0.35">
      <c r="A14" s="11" t="s">
        <v>951</v>
      </c>
      <c r="B14" s="11" t="s">
        <v>14</v>
      </c>
      <c r="C14" s="11" t="s">
        <v>99</v>
      </c>
      <c r="D14" s="11" t="s">
        <v>88</v>
      </c>
      <c r="E14" s="11" t="s">
        <v>93</v>
      </c>
      <c r="F14" s="11" t="s">
        <v>964</v>
      </c>
      <c r="G14" s="11" t="s">
        <v>936</v>
      </c>
    </row>
    <row r="15" spans="1:7" ht="15" customHeight="1" x14ac:dyDescent="0.35">
      <c r="A15" s="21" t="s">
        <v>967</v>
      </c>
      <c r="B15" s="13">
        <f>COUNTIFS('Data (parsed)'!$E$2:$E$235,B$14,'Data (parsed)'!$B$2:$B$235,"Guilt",'Data (parsed)'!$C$2:$C$235,$A15)</f>
        <v>12</v>
      </c>
      <c r="C15" s="13">
        <f>COUNTIFS('Data (parsed)'!$E$2:$E$235,C$14,'Data (parsed)'!$B$2:$B$235,"Guilt",'Data (parsed)'!$C$2:$C$235,$A15)</f>
        <v>0</v>
      </c>
      <c r="D15" s="13">
        <f>COUNTIFS('Data (parsed)'!$E$2:$E$235,D$14,'Data (parsed)'!$B$2:$B$235,"Guilt",'Data (parsed)'!$C$2:$C$235,$A15)</f>
        <v>0</v>
      </c>
      <c r="E15" s="13">
        <f>COUNTIFS('Data (parsed)'!$E$2:$E$235,E$14,'Data (parsed)'!$B$2:$B$235,"Guilt",'Data (parsed)'!$C$2:$C$235,$A15)</f>
        <v>2</v>
      </c>
      <c r="F15" s="13">
        <f>SUMIFS('Data (parsed)'!$I$2:$I$235,'Data (parsed)'!$B$2:$B$235,"Guilt",'Data (parsed)'!$C$2:$C$235,$A15,'Data (parsed)'!$J$2:$J$235,0)</f>
        <v>4</v>
      </c>
      <c r="G15" s="15">
        <f>SUMIFS('Data (parsed)'!$I$2:$I$235,'Data (parsed)'!$B$2:$B$235,"Guilt",'Data (parsed)'!$C$2:$C$235,$A15)</f>
        <v>17</v>
      </c>
    </row>
    <row r="16" spans="1:7" ht="15" customHeight="1" x14ac:dyDescent="0.35">
      <c r="A16" s="21" t="s">
        <v>968</v>
      </c>
      <c r="B16" s="13">
        <f>COUNTIFS('Data (parsed)'!$E$2:$E$235,B$14,'Data (parsed)'!$B$2:$B$235,"Guilt",'Data (parsed)'!$C$2:$C$235,$A16)</f>
        <v>4</v>
      </c>
      <c r="C16" s="13">
        <f>COUNTIFS('Data (parsed)'!$E$2:$E$235,C$14,'Data (parsed)'!$B$2:$B$235,"Guilt",'Data (parsed)'!$C$2:$C$235,$A16)</f>
        <v>0</v>
      </c>
      <c r="D16" s="13">
        <f>COUNTIFS('Data (parsed)'!$E$2:$E$235,D$14,'Data (parsed)'!$B$2:$B$235,"Guilt",'Data (parsed)'!$C$2:$C$235,$A16)</f>
        <v>0</v>
      </c>
      <c r="E16" s="13">
        <f>COUNTIFS('Data (parsed)'!$E$2:$E$235,E$14,'Data (parsed)'!$B$2:$B$235,"Guilt",'Data (parsed)'!$C$2:$C$235,$A16)</f>
        <v>1</v>
      </c>
      <c r="F16" s="13">
        <f>SUMIFS('Data (parsed)'!$I$2:$I$235,'Data (parsed)'!$B$2:$B$235,"Guilt",'Data (parsed)'!$C$2:$C$235,$A16,'Data (parsed)'!$J$2:$J$235,0)</f>
        <v>0</v>
      </c>
      <c r="G16" s="15">
        <f>SUMIFS('Data (parsed)'!$I$2:$I$235,'Data (parsed)'!$B$2:$B$235,"Guilt",'Data (parsed)'!$C$2:$C$235,$A16)</f>
        <v>5</v>
      </c>
    </row>
    <row r="17" spans="1:7" ht="15" customHeight="1" x14ac:dyDescent="0.35">
      <c r="A17" s="21" t="s">
        <v>969</v>
      </c>
      <c r="B17" s="13">
        <f>COUNTIFS('Data (parsed)'!$E$2:$E$235,B$14,'Data (parsed)'!$B$2:$B$235,"Guilt",'Data (parsed)'!$C$2:$C$235,$A17)</f>
        <v>2</v>
      </c>
      <c r="C17" s="13">
        <f>COUNTIFS('Data (parsed)'!$E$2:$E$235,C$14,'Data (parsed)'!$B$2:$B$235,"Guilt",'Data (parsed)'!$C$2:$C$235,$A17)</f>
        <v>0</v>
      </c>
      <c r="D17" s="13">
        <f>COUNTIFS('Data (parsed)'!$E$2:$E$235,D$14,'Data (parsed)'!$B$2:$B$235,"Guilt",'Data (parsed)'!$C$2:$C$235,$A17)</f>
        <v>0</v>
      </c>
      <c r="E17" s="13">
        <f>COUNTIFS('Data (parsed)'!$E$2:$E$235,E$14,'Data (parsed)'!$B$2:$B$235,"Guilt",'Data (parsed)'!$C$2:$C$235,$A17)</f>
        <v>0</v>
      </c>
      <c r="F17" s="13">
        <f>SUMIFS('Data (parsed)'!$I$2:$I$235,'Data (parsed)'!$B$2:$B$235,"Guilt",'Data (parsed)'!$C$2:$C$235,$A17,'Data (parsed)'!$J$2:$J$235,0)</f>
        <v>1</v>
      </c>
      <c r="G17" s="15">
        <f>SUMIFS('Data (parsed)'!$I$2:$I$235,'Data (parsed)'!$B$2:$B$235,"Guilt",'Data (parsed)'!$C$2:$C$235,$A17)</f>
        <v>3</v>
      </c>
    </row>
    <row r="18" spans="1:7" ht="15" customHeight="1" x14ac:dyDescent="0.35">
      <c r="A18" s="21" t="s">
        <v>970</v>
      </c>
      <c r="B18" s="13">
        <f>COUNTIFS('Data (parsed)'!$E$2:$E$235,B$14,'Data (parsed)'!$B$2:$B$235,"Guilt",'Data (parsed)'!$C$2:$C$235,$A18)</f>
        <v>3</v>
      </c>
      <c r="C18" s="13">
        <f>COUNTIFS('Data (parsed)'!$E$2:$E$235,C$14,'Data (parsed)'!$B$2:$B$235,"Guilt",'Data (parsed)'!$C$2:$C$235,$A18)</f>
        <v>0</v>
      </c>
      <c r="D18" s="13">
        <f>COUNTIFS('Data (parsed)'!$E$2:$E$235,D$14,'Data (parsed)'!$B$2:$B$235,"Guilt",'Data (parsed)'!$C$2:$C$235,$A18)</f>
        <v>0</v>
      </c>
      <c r="E18" s="13">
        <f>COUNTIFS('Data (parsed)'!$E$2:$E$235,E$14,'Data (parsed)'!$B$2:$B$235,"Guilt",'Data (parsed)'!$C$2:$C$235,$A18)</f>
        <v>0</v>
      </c>
      <c r="F18" s="13">
        <f>SUMIFS('Data (parsed)'!$I$2:$I$235,'Data (parsed)'!$B$2:$B$235,"Guilt",'Data (parsed)'!$C$2:$C$235,$A18,'Data (parsed)'!$J$2:$J$235,0)</f>
        <v>0</v>
      </c>
      <c r="G18" s="15">
        <f>SUMIFS('Data (parsed)'!$I$2:$I$235,'Data (parsed)'!$B$2:$B$235,"Guilt",'Data (parsed)'!$C$2:$C$235,$A18)</f>
        <v>3</v>
      </c>
    </row>
    <row r="19" spans="1:7" ht="15" customHeight="1" x14ac:dyDescent="0.35">
      <c r="A19" s="21" t="s">
        <v>971</v>
      </c>
      <c r="B19" s="13">
        <f>COUNTIFS('Data (parsed)'!$E$2:$E$235,B$14,'Data (parsed)'!$B$2:$B$235,"Guilt",'Data (parsed)'!$C$2:$C$235,$A19)</f>
        <v>2</v>
      </c>
      <c r="C19" s="13">
        <f>COUNTIFS('Data (parsed)'!$E$2:$E$235,C$14,'Data (parsed)'!$B$2:$B$235,"Guilt",'Data (parsed)'!$C$2:$C$235,$A19)</f>
        <v>0</v>
      </c>
      <c r="D19" s="13">
        <f>COUNTIFS('Data (parsed)'!$E$2:$E$235,D$14,'Data (parsed)'!$B$2:$B$235,"Guilt",'Data (parsed)'!$C$2:$C$235,$A19)</f>
        <v>0</v>
      </c>
      <c r="E19" s="13">
        <f>COUNTIFS('Data (parsed)'!$E$2:$E$235,E$14,'Data (parsed)'!$B$2:$B$235,"Guilt",'Data (parsed)'!$C$2:$C$235,$A19)</f>
        <v>0</v>
      </c>
      <c r="F19" s="13">
        <f>SUMIFS('Data (parsed)'!$I$2:$I$235,'Data (parsed)'!$B$2:$B$235,"Guilt",'Data (parsed)'!$C$2:$C$235,$A19,'Data (parsed)'!$J$2:$J$235,0)</f>
        <v>0</v>
      </c>
      <c r="G19" s="15">
        <f>SUMIFS('Data (parsed)'!$I$2:$I$235,'Data (parsed)'!$B$2:$B$235,"Guilt",'Data (parsed)'!$C$2:$C$235,$A19)</f>
        <v>2</v>
      </c>
    </row>
    <row r="20" spans="1:7" ht="15" customHeight="1" x14ac:dyDescent="0.35">
      <c r="A20" s="21" t="s">
        <v>972</v>
      </c>
      <c r="B20" s="13">
        <f>COUNTIFS('Data (parsed)'!$E$2:$E$235,B$14,'Data (parsed)'!$B$2:$B$235,"Guilt",'Data (parsed)'!$C$2:$C$235,$A20)</f>
        <v>1</v>
      </c>
      <c r="C20" s="13">
        <f>COUNTIFS('Data (parsed)'!$E$2:$E$235,C$14,'Data (parsed)'!$B$2:$B$235,"Guilt",'Data (parsed)'!$C$2:$C$235,$A20)</f>
        <v>0</v>
      </c>
      <c r="D20" s="13">
        <f>COUNTIFS('Data (parsed)'!$E$2:$E$235,D$14,'Data (parsed)'!$B$2:$B$235,"Guilt",'Data (parsed)'!$C$2:$C$235,$A20)</f>
        <v>0</v>
      </c>
      <c r="E20" s="13">
        <f>COUNTIFS('Data (parsed)'!$E$2:$E$235,E$14,'Data (parsed)'!$B$2:$B$235,"Guilt",'Data (parsed)'!$C$2:$C$235,$A20)</f>
        <v>0</v>
      </c>
      <c r="F20" s="13">
        <f>SUMIFS('Data (parsed)'!$I$2:$I$235,'Data (parsed)'!$B$2:$B$235,"Guilt",'Data (parsed)'!$C$2:$C$235,$A20,'Data (parsed)'!$J$2:$J$235,0)</f>
        <v>0</v>
      </c>
      <c r="G20" s="15">
        <f>SUMIFS('Data (parsed)'!$I$2:$I$235,'Data (parsed)'!$B$2:$B$235,"Guilt",'Data (parsed)'!$C$2:$C$235,$A20)</f>
        <v>1</v>
      </c>
    </row>
    <row r="21" spans="1:7" ht="15" customHeight="1" x14ac:dyDescent="0.35">
      <c r="A21" s="14" t="s">
        <v>941</v>
      </c>
      <c r="B21" s="15">
        <f t="shared" ref="B21:G21" si="2">SUM(B15:B20)</f>
        <v>24</v>
      </c>
      <c r="C21" s="15">
        <f t="shared" si="2"/>
        <v>0</v>
      </c>
      <c r="D21" s="15">
        <f t="shared" si="2"/>
        <v>0</v>
      </c>
      <c r="E21" s="15">
        <f t="shared" si="2"/>
        <v>3</v>
      </c>
      <c r="F21" s="15">
        <f t="shared" si="2"/>
        <v>5</v>
      </c>
      <c r="G21" s="15">
        <f t="shared" si="2"/>
        <v>31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
  <sheetViews>
    <sheetView zoomScaleNormal="100" workbookViewId="0"/>
  </sheetViews>
  <sheetFormatPr defaultColWidth="8.6328125" defaultRowHeight="14.5" x14ac:dyDescent="0.35"/>
  <cols>
    <col min="1" max="1" width="34" style="2" customWidth="1"/>
    <col min="2" max="8" width="10" style="2" customWidth="1"/>
  </cols>
  <sheetData>
    <row r="1" spans="1:7" ht="15.75" customHeight="1" x14ac:dyDescent="0.35">
      <c r="A1" s="8" t="s">
        <v>974</v>
      </c>
    </row>
    <row r="3" spans="1:7" ht="15" customHeight="1" x14ac:dyDescent="0.35">
      <c r="A3" s="10" t="s">
        <v>975</v>
      </c>
    </row>
    <row r="4" spans="1:7" ht="15" customHeight="1" x14ac:dyDescent="0.35">
      <c r="A4" s="11" t="s">
        <v>951</v>
      </c>
      <c r="B4" s="11" t="s">
        <v>11</v>
      </c>
      <c r="C4" s="11" t="s">
        <v>96</v>
      </c>
      <c r="D4" s="11" t="s">
        <v>22</v>
      </c>
      <c r="E4" s="11" t="s">
        <v>39</v>
      </c>
      <c r="F4" s="11" t="s">
        <v>65</v>
      </c>
      <c r="G4" s="11" t="s">
        <v>941</v>
      </c>
    </row>
    <row r="5" spans="1:7" ht="26.25" customHeight="1" x14ac:dyDescent="0.35">
      <c r="A5" s="21" t="s">
        <v>976</v>
      </c>
      <c r="B5" s="13">
        <f>SUMIFS('Data (parsed)'!$I$2:$I$235,'Data (parsed)'!$B$2:$B$235,"Conscience",'Data (parsed)'!$C$2:$C$235,$A5,'Data (parsed)'!$D$2:$D$235,B$4)</f>
        <v>1</v>
      </c>
      <c r="C5" s="13">
        <f>SUMIFS('Data (parsed)'!$I$2:$I$235,'Data (parsed)'!$B$2:$B$235,"Conscience",'Data (parsed)'!$C$2:$C$235,$A5,'Data (parsed)'!$D$2:$D$235,C$4)</f>
        <v>2</v>
      </c>
      <c r="D5" s="13">
        <f>SUMIFS('Data (parsed)'!$I$2:$I$235,'Data (parsed)'!$B$2:$B$235,"Conscience",'Data (parsed)'!$C$2:$C$235,$A5,'Data (parsed)'!$D$2:$D$235,D$4)</f>
        <v>0</v>
      </c>
      <c r="E5" s="13">
        <f>SUMIFS('Data (parsed)'!$I$2:$I$235,'Data (parsed)'!$B$2:$B$235,"Conscience",'Data (parsed)'!$C$2:$C$235,$A5,'Data (parsed)'!$D$2:$D$235,E$4)</f>
        <v>4</v>
      </c>
      <c r="F5" s="13">
        <f>SUMIFS('Data (parsed)'!$I$2:$I$235,'Data (parsed)'!$B$2:$B$235,"Conscience",'Data (parsed)'!$C$2:$C$235,$A5,'Data (parsed)'!$D$2:$D$235,F$4)</f>
        <v>2</v>
      </c>
      <c r="G5" s="15">
        <f t="shared" ref="G5:G15" si="0">SUM(B5:F5)</f>
        <v>9</v>
      </c>
    </row>
    <row r="6" spans="1:7" ht="15" customHeight="1" x14ac:dyDescent="0.35">
      <c r="A6" s="21" t="s">
        <v>977</v>
      </c>
      <c r="B6" s="13">
        <f>SUMIFS('Data (parsed)'!$I$2:$I$235,'Data (parsed)'!$B$2:$B$235,"Conscience",'Data (parsed)'!$C$2:$C$235,$A6,'Data (parsed)'!$D$2:$D$235,B$4)</f>
        <v>0</v>
      </c>
      <c r="C6" s="13">
        <f>SUMIFS('Data (parsed)'!$I$2:$I$235,'Data (parsed)'!$B$2:$B$235,"Conscience",'Data (parsed)'!$C$2:$C$235,$A6,'Data (parsed)'!$D$2:$D$235,C$4)</f>
        <v>0</v>
      </c>
      <c r="D6" s="13">
        <f>SUMIFS('Data (parsed)'!$I$2:$I$235,'Data (parsed)'!$B$2:$B$235,"Conscience",'Data (parsed)'!$C$2:$C$235,$A6,'Data (parsed)'!$D$2:$D$235,D$4)</f>
        <v>1</v>
      </c>
      <c r="E6" s="13">
        <f>SUMIFS('Data (parsed)'!$I$2:$I$235,'Data (parsed)'!$B$2:$B$235,"Conscience",'Data (parsed)'!$C$2:$C$235,$A6,'Data (parsed)'!$D$2:$D$235,E$4)</f>
        <v>6</v>
      </c>
      <c r="F6" s="13">
        <f>SUMIFS('Data (parsed)'!$I$2:$I$235,'Data (parsed)'!$B$2:$B$235,"Conscience",'Data (parsed)'!$C$2:$C$235,$A6,'Data (parsed)'!$D$2:$D$235,F$4)</f>
        <v>1</v>
      </c>
      <c r="G6" s="15">
        <f t="shared" si="0"/>
        <v>8</v>
      </c>
    </row>
    <row r="7" spans="1:7" ht="15" customHeight="1" x14ac:dyDescent="0.35">
      <c r="A7" s="21" t="s">
        <v>978</v>
      </c>
      <c r="B7" s="13">
        <f>SUMIFS('Data (parsed)'!$I$2:$I$235,'Data (parsed)'!$B$2:$B$235,"Conscience",'Data (parsed)'!$C$2:$C$235,$A7,'Data (parsed)'!$D$2:$D$235,B$4)</f>
        <v>0</v>
      </c>
      <c r="C7" s="13">
        <f>SUMIFS('Data (parsed)'!$I$2:$I$235,'Data (parsed)'!$B$2:$B$235,"Conscience",'Data (parsed)'!$C$2:$C$235,$A7,'Data (parsed)'!$D$2:$D$235,C$4)</f>
        <v>2</v>
      </c>
      <c r="D7" s="13">
        <f>SUMIFS('Data (parsed)'!$I$2:$I$235,'Data (parsed)'!$B$2:$B$235,"Conscience",'Data (parsed)'!$C$2:$C$235,$A7,'Data (parsed)'!$D$2:$D$235,D$4)</f>
        <v>2</v>
      </c>
      <c r="E7" s="13">
        <f>SUMIFS('Data (parsed)'!$I$2:$I$235,'Data (parsed)'!$B$2:$B$235,"Conscience",'Data (parsed)'!$C$2:$C$235,$A7,'Data (parsed)'!$D$2:$D$235,E$4)</f>
        <v>0</v>
      </c>
      <c r="F7" s="13">
        <f>SUMIFS('Data (parsed)'!$I$2:$I$235,'Data (parsed)'!$B$2:$B$235,"Conscience",'Data (parsed)'!$C$2:$C$235,$A7,'Data (parsed)'!$D$2:$D$235,F$4)</f>
        <v>3</v>
      </c>
      <c r="G7" s="15">
        <f t="shared" si="0"/>
        <v>7</v>
      </c>
    </row>
    <row r="8" spans="1:7" ht="15" customHeight="1" x14ac:dyDescent="0.35">
      <c r="A8" s="21" t="s">
        <v>979</v>
      </c>
      <c r="B8" s="13">
        <f>SUMIFS('Data (parsed)'!$I$2:$I$235,'Data (parsed)'!$B$2:$B$235,"Conscience",'Data (parsed)'!$C$2:$C$235,$A8,'Data (parsed)'!$D$2:$D$235,B$4)</f>
        <v>0</v>
      </c>
      <c r="C8" s="13">
        <f>SUMIFS('Data (parsed)'!$I$2:$I$235,'Data (parsed)'!$B$2:$B$235,"Conscience",'Data (parsed)'!$C$2:$C$235,$A8,'Data (parsed)'!$D$2:$D$235,C$4)</f>
        <v>0</v>
      </c>
      <c r="D8" s="13">
        <f>SUMIFS('Data (parsed)'!$I$2:$I$235,'Data (parsed)'!$B$2:$B$235,"Conscience",'Data (parsed)'!$C$2:$C$235,$A8,'Data (parsed)'!$D$2:$D$235,D$4)</f>
        <v>0</v>
      </c>
      <c r="E8" s="13">
        <f>SUMIFS('Data (parsed)'!$I$2:$I$235,'Data (parsed)'!$B$2:$B$235,"Conscience",'Data (parsed)'!$C$2:$C$235,$A8,'Data (parsed)'!$D$2:$D$235,E$4)</f>
        <v>3</v>
      </c>
      <c r="F8" s="13">
        <f>SUMIFS('Data (parsed)'!$I$2:$I$235,'Data (parsed)'!$B$2:$B$235,"Conscience",'Data (parsed)'!$C$2:$C$235,$A8,'Data (parsed)'!$D$2:$D$235,F$4)</f>
        <v>1</v>
      </c>
      <c r="G8" s="15">
        <f t="shared" si="0"/>
        <v>4</v>
      </c>
    </row>
    <row r="9" spans="1:7" ht="15" customHeight="1" x14ac:dyDescent="0.35">
      <c r="A9" s="21" t="s">
        <v>980</v>
      </c>
      <c r="B9" s="13">
        <f>SUMIFS('Data (parsed)'!$I$2:$I$235,'Data (parsed)'!$B$2:$B$235,"Conscience",'Data (parsed)'!$C$2:$C$235,$A9,'Data (parsed)'!$D$2:$D$235,B$4)</f>
        <v>0</v>
      </c>
      <c r="C9" s="13">
        <f>SUMIFS('Data (parsed)'!$I$2:$I$235,'Data (parsed)'!$B$2:$B$235,"Conscience",'Data (parsed)'!$C$2:$C$235,$A9,'Data (parsed)'!$D$2:$D$235,C$4)</f>
        <v>1</v>
      </c>
      <c r="D9" s="13">
        <f>SUMIFS('Data (parsed)'!$I$2:$I$235,'Data (parsed)'!$B$2:$B$235,"Conscience",'Data (parsed)'!$C$2:$C$235,$A9,'Data (parsed)'!$D$2:$D$235,D$4)</f>
        <v>0</v>
      </c>
      <c r="E9" s="13">
        <f>SUMIFS('Data (parsed)'!$I$2:$I$235,'Data (parsed)'!$B$2:$B$235,"Conscience",'Data (parsed)'!$C$2:$C$235,$A9,'Data (parsed)'!$D$2:$D$235,E$4)</f>
        <v>1</v>
      </c>
      <c r="F9" s="13">
        <f>SUMIFS('Data (parsed)'!$I$2:$I$235,'Data (parsed)'!$B$2:$B$235,"Conscience",'Data (parsed)'!$C$2:$C$235,$A9,'Data (parsed)'!$D$2:$D$235,F$4)</f>
        <v>1</v>
      </c>
      <c r="G9" s="15">
        <f t="shared" si="0"/>
        <v>3</v>
      </c>
    </row>
    <row r="10" spans="1:7" ht="15" customHeight="1" x14ac:dyDescent="0.35">
      <c r="A10" s="21" t="s">
        <v>981</v>
      </c>
      <c r="B10" s="13">
        <f>SUMIFS('Data (parsed)'!$I$2:$I$235,'Data (parsed)'!$B$2:$B$235,"Conscience",'Data (parsed)'!$C$2:$C$235,$A10,'Data (parsed)'!$D$2:$D$235,B$4)</f>
        <v>0</v>
      </c>
      <c r="C10" s="13">
        <f>SUMIFS('Data (parsed)'!$I$2:$I$235,'Data (parsed)'!$B$2:$B$235,"Conscience",'Data (parsed)'!$C$2:$C$235,$A10,'Data (parsed)'!$D$2:$D$235,C$4)</f>
        <v>0</v>
      </c>
      <c r="D10" s="13">
        <f>SUMIFS('Data (parsed)'!$I$2:$I$235,'Data (parsed)'!$B$2:$B$235,"Conscience",'Data (parsed)'!$C$2:$C$235,$A10,'Data (parsed)'!$D$2:$D$235,D$4)</f>
        <v>0</v>
      </c>
      <c r="E10" s="13">
        <f>SUMIFS('Data (parsed)'!$I$2:$I$235,'Data (parsed)'!$B$2:$B$235,"Conscience",'Data (parsed)'!$C$2:$C$235,$A10,'Data (parsed)'!$D$2:$D$235,E$4)</f>
        <v>2</v>
      </c>
      <c r="F10" s="13">
        <f>SUMIFS('Data (parsed)'!$I$2:$I$235,'Data (parsed)'!$B$2:$B$235,"Conscience",'Data (parsed)'!$C$2:$C$235,$A10,'Data (parsed)'!$D$2:$D$235,F$4)</f>
        <v>0</v>
      </c>
      <c r="G10" s="15">
        <f t="shared" si="0"/>
        <v>2</v>
      </c>
    </row>
    <row r="11" spans="1:7" ht="15" customHeight="1" x14ac:dyDescent="0.35">
      <c r="A11" s="21" t="s">
        <v>674</v>
      </c>
      <c r="B11" s="13">
        <f>SUMIFS('Data (parsed)'!$I$2:$I$235,'Data (parsed)'!$B$2:$B$235,"Conscience",'Data (parsed)'!$C$2:$C$235,$A11,'Data (parsed)'!$D$2:$D$235,B$4)</f>
        <v>1</v>
      </c>
      <c r="C11" s="13">
        <f>SUMIFS('Data (parsed)'!$I$2:$I$235,'Data (parsed)'!$B$2:$B$235,"Conscience",'Data (parsed)'!$C$2:$C$235,$A11,'Data (parsed)'!$D$2:$D$235,C$4)</f>
        <v>1</v>
      </c>
      <c r="D11" s="13">
        <f>SUMIFS('Data (parsed)'!$I$2:$I$235,'Data (parsed)'!$B$2:$B$235,"Conscience",'Data (parsed)'!$C$2:$C$235,$A11,'Data (parsed)'!$D$2:$D$235,D$4)</f>
        <v>0</v>
      </c>
      <c r="E11" s="13">
        <f>SUMIFS('Data (parsed)'!$I$2:$I$235,'Data (parsed)'!$B$2:$B$235,"Conscience",'Data (parsed)'!$C$2:$C$235,$A11,'Data (parsed)'!$D$2:$D$235,E$4)</f>
        <v>0</v>
      </c>
      <c r="F11" s="13">
        <f>SUMIFS('Data (parsed)'!$I$2:$I$235,'Data (parsed)'!$B$2:$B$235,"Conscience",'Data (parsed)'!$C$2:$C$235,$A11,'Data (parsed)'!$D$2:$D$235,F$4)</f>
        <v>0</v>
      </c>
      <c r="G11" s="15">
        <f t="shared" si="0"/>
        <v>2</v>
      </c>
    </row>
    <row r="12" spans="1:7" ht="15" customHeight="1" x14ac:dyDescent="0.35">
      <c r="A12" s="21" t="s">
        <v>982</v>
      </c>
      <c r="B12" s="13">
        <f>SUMIFS('Data (parsed)'!$I$2:$I$235,'Data (parsed)'!$B$2:$B$235,"Conscience",'Data (parsed)'!$C$2:$C$235,$A12,'Data (parsed)'!$D$2:$D$235,B$4)</f>
        <v>0</v>
      </c>
      <c r="C12" s="13">
        <f>SUMIFS('Data (parsed)'!$I$2:$I$235,'Data (parsed)'!$B$2:$B$235,"Conscience",'Data (parsed)'!$C$2:$C$235,$A12,'Data (parsed)'!$D$2:$D$235,C$4)</f>
        <v>0</v>
      </c>
      <c r="D12" s="13">
        <f>SUMIFS('Data (parsed)'!$I$2:$I$235,'Data (parsed)'!$B$2:$B$235,"Conscience",'Data (parsed)'!$C$2:$C$235,$A12,'Data (parsed)'!$D$2:$D$235,D$4)</f>
        <v>1</v>
      </c>
      <c r="E12" s="13">
        <f>SUMIFS('Data (parsed)'!$I$2:$I$235,'Data (parsed)'!$B$2:$B$235,"Conscience",'Data (parsed)'!$C$2:$C$235,$A12,'Data (parsed)'!$D$2:$D$235,E$4)</f>
        <v>0</v>
      </c>
      <c r="F12" s="13">
        <f>SUMIFS('Data (parsed)'!$I$2:$I$235,'Data (parsed)'!$B$2:$B$235,"Conscience",'Data (parsed)'!$C$2:$C$235,$A12,'Data (parsed)'!$D$2:$D$235,F$4)</f>
        <v>0</v>
      </c>
      <c r="G12" s="15">
        <f t="shared" si="0"/>
        <v>1</v>
      </c>
    </row>
    <row r="13" spans="1:7" ht="15" customHeight="1" x14ac:dyDescent="0.35">
      <c r="A13" s="21" t="s">
        <v>983</v>
      </c>
      <c r="B13" s="13">
        <f>SUMIFS('Data (parsed)'!$I$2:$I$235,'Data (parsed)'!$B$2:$B$235,"Conscience",'Data (parsed)'!$C$2:$C$235,$A13,'Data (parsed)'!$D$2:$D$235,B$4)</f>
        <v>0</v>
      </c>
      <c r="C13" s="13">
        <f>SUMIFS('Data (parsed)'!$I$2:$I$235,'Data (parsed)'!$B$2:$B$235,"Conscience",'Data (parsed)'!$C$2:$C$235,$A13,'Data (parsed)'!$D$2:$D$235,C$4)</f>
        <v>0</v>
      </c>
      <c r="D13" s="13">
        <f>SUMIFS('Data (parsed)'!$I$2:$I$235,'Data (parsed)'!$B$2:$B$235,"Conscience",'Data (parsed)'!$C$2:$C$235,$A13,'Data (parsed)'!$D$2:$D$235,D$4)</f>
        <v>0</v>
      </c>
      <c r="E13" s="13">
        <f>SUMIFS('Data (parsed)'!$I$2:$I$235,'Data (parsed)'!$B$2:$B$235,"Conscience",'Data (parsed)'!$C$2:$C$235,$A13,'Data (parsed)'!$D$2:$D$235,E$4)</f>
        <v>1</v>
      </c>
      <c r="F13" s="13">
        <f>SUMIFS('Data (parsed)'!$I$2:$I$235,'Data (parsed)'!$B$2:$B$235,"Conscience",'Data (parsed)'!$C$2:$C$235,$A13,'Data (parsed)'!$D$2:$D$235,F$4)</f>
        <v>0</v>
      </c>
      <c r="G13" s="15">
        <f t="shared" si="0"/>
        <v>1</v>
      </c>
    </row>
    <row r="14" spans="1:7" ht="15" customHeight="1" x14ac:dyDescent="0.35">
      <c r="A14" s="21" t="s">
        <v>984</v>
      </c>
      <c r="B14" s="13">
        <f>SUMIFS('Data (parsed)'!$I$2:$I$235,'Data (parsed)'!$B$2:$B$235,"Conscience",'Data (parsed)'!$C$2:$C$235,$A14,'Data (parsed)'!$D$2:$D$235,B$4)</f>
        <v>1</v>
      </c>
      <c r="C14" s="13">
        <f>SUMIFS('Data (parsed)'!$I$2:$I$235,'Data (parsed)'!$B$2:$B$235,"Conscience",'Data (parsed)'!$C$2:$C$235,$A14,'Data (parsed)'!$D$2:$D$235,C$4)</f>
        <v>0</v>
      </c>
      <c r="D14" s="13">
        <f>SUMIFS('Data (parsed)'!$I$2:$I$235,'Data (parsed)'!$B$2:$B$235,"Conscience",'Data (parsed)'!$C$2:$C$235,$A14,'Data (parsed)'!$D$2:$D$235,D$4)</f>
        <v>0</v>
      </c>
      <c r="E14" s="13">
        <f>SUMIFS('Data (parsed)'!$I$2:$I$235,'Data (parsed)'!$B$2:$B$235,"Conscience",'Data (parsed)'!$C$2:$C$235,$A14,'Data (parsed)'!$D$2:$D$235,E$4)</f>
        <v>0</v>
      </c>
      <c r="F14" s="13">
        <f>SUMIFS('Data (parsed)'!$I$2:$I$235,'Data (parsed)'!$B$2:$B$235,"Conscience",'Data (parsed)'!$C$2:$C$235,$A14,'Data (parsed)'!$D$2:$D$235,F$4)</f>
        <v>0</v>
      </c>
      <c r="G14" s="15">
        <f t="shared" si="0"/>
        <v>1</v>
      </c>
    </row>
    <row r="15" spans="1:7" ht="15" customHeight="1" x14ac:dyDescent="0.35">
      <c r="A15" s="21" t="s">
        <v>985</v>
      </c>
      <c r="B15" s="13">
        <f>SUMIFS('Data (parsed)'!$I$2:$I$235,'Data (parsed)'!$B$2:$B$235,"Conscience",'Data (parsed)'!$C$2:$C$235,$A15,'Data (parsed)'!$D$2:$D$235,B$4)</f>
        <v>0</v>
      </c>
      <c r="C15" s="13">
        <f>SUMIFS('Data (parsed)'!$I$2:$I$235,'Data (parsed)'!$B$2:$B$235,"Conscience",'Data (parsed)'!$C$2:$C$235,$A15,'Data (parsed)'!$D$2:$D$235,C$4)</f>
        <v>0</v>
      </c>
      <c r="D15" s="13">
        <f>SUMIFS('Data (parsed)'!$I$2:$I$235,'Data (parsed)'!$B$2:$B$235,"Conscience",'Data (parsed)'!$C$2:$C$235,$A15,'Data (parsed)'!$D$2:$D$235,D$4)</f>
        <v>1</v>
      </c>
      <c r="E15" s="13">
        <f>SUMIFS('Data (parsed)'!$I$2:$I$235,'Data (parsed)'!$B$2:$B$235,"Conscience",'Data (parsed)'!$C$2:$C$235,$A15,'Data (parsed)'!$D$2:$D$235,E$4)</f>
        <v>0</v>
      </c>
      <c r="F15" s="13">
        <f>SUMIFS('Data (parsed)'!$I$2:$I$235,'Data (parsed)'!$B$2:$B$235,"Conscience",'Data (parsed)'!$C$2:$C$235,$A15,'Data (parsed)'!$D$2:$D$235,F$4)</f>
        <v>0</v>
      </c>
      <c r="G15" s="15">
        <f t="shared" si="0"/>
        <v>1</v>
      </c>
    </row>
    <row r="16" spans="1:7" ht="15" customHeight="1" x14ac:dyDescent="0.35">
      <c r="A16" s="14" t="s">
        <v>941</v>
      </c>
      <c r="B16" s="15">
        <f t="shared" ref="B16:G16" si="1">SUM(B5:B15)</f>
        <v>3</v>
      </c>
      <c r="C16" s="15">
        <f t="shared" si="1"/>
        <v>6</v>
      </c>
      <c r="D16" s="15">
        <f t="shared" si="1"/>
        <v>5</v>
      </c>
      <c r="E16" s="15">
        <f t="shared" si="1"/>
        <v>17</v>
      </c>
      <c r="F16" s="15">
        <f t="shared" si="1"/>
        <v>8</v>
      </c>
      <c r="G16" s="15">
        <f t="shared" si="1"/>
        <v>39</v>
      </c>
    </row>
    <row r="18" spans="1:7" ht="15" customHeight="1" x14ac:dyDescent="0.35">
      <c r="A18" s="10" t="s">
        <v>986</v>
      </c>
    </row>
    <row r="19" spans="1:7" ht="15" customHeight="1" x14ac:dyDescent="0.35">
      <c r="A19" s="11" t="s">
        <v>951</v>
      </c>
      <c r="B19" s="11" t="s">
        <v>14</v>
      </c>
      <c r="C19" s="11" t="s">
        <v>99</v>
      </c>
      <c r="D19" s="11" t="s">
        <v>88</v>
      </c>
      <c r="E19" s="11" t="s">
        <v>93</v>
      </c>
      <c r="F19" s="11" t="s">
        <v>964</v>
      </c>
      <c r="G19" s="11" t="s">
        <v>936</v>
      </c>
    </row>
    <row r="20" spans="1:7" ht="26.25" customHeight="1" x14ac:dyDescent="0.35">
      <c r="A20" s="21" t="s">
        <v>976</v>
      </c>
      <c r="B20" s="13">
        <f>COUNTIFS('Data (parsed)'!$E$2:$E$235,B$19,'Data (parsed)'!$B$2:$B$235,"Conscience",'Data (parsed)'!$C$2:$C$235,$A20)</f>
        <v>6</v>
      </c>
      <c r="C20" s="13">
        <f>COUNTIFS('Data (parsed)'!$E$2:$E$235,C$19,'Data (parsed)'!$B$2:$B$235,"Conscience",'Data (parsed)'!$C$2:$C$235,$A20)</f>
        <v>0</v>
      </c>
      <c r="D20" s="13">
        <f>COUNTIFS('Data (parsed)'!$E$2:$E$235,D$19,'Data (parsed)'!$B$2:$B$235,"Conscience",'Data (parsed)'!$C$2:$C$235,$A20)</f>
        <v>0</v>
      </c>
      <c r="E20" s="13">
        <f>COUNTIFS('Data (parsed)'!$E$2:$E$235,E$19,'Data (parsed)'!$B$2:$B$235,"Conscience",'Data (parsed)'!$C$2:$C$235,$A20)</f>
        <v>0</v>
      </c>
      <c r="F20" s="13">
        <f>SUMIFS('Data (parsed)'!$I$2:$I$235,'Data (parsed)'!$B$2:$B$235,"Conscience",'Data (parsed)'!$C$2:$C$235,$A20,'Data (parsed)'!$J$2:$J$235,0)</f>
        <v>3</v>
      </c>
      <c r="G20" s="15">
        <f>SUMIFS('Data (parsed)'!$I$2:$I$235,'Data (parsed)'!$B$2:$B$235,"Conscience",'Data (parsed)'!$C$2:$C$235,$A20)</f>
        <v>9</v>
      </c>
    </row>
    <row r="21" spans="1:7" ht="15" customHeight="1" x14ac:dyDescent="0.35">
      <c r="A21" s="21" t="s">
        <v>977</v>
      </c>
      <c r="B21" s="13">
        <f>COUNTIFS('Data (parsed)'!$E$2:$E$235,B$19,'Data (parsed)'!$B$2:$B$235,"Conscience",'Data (parsed)'!$C$2:$C$235,$A21)</f>
        <v>5</v>
      </c>
      <c r="C21" s="13">
        <f>COUNTIFS('Data (parsed)'!$E$2:$E$235,C$19,'Data (parsed)'!$B$2:$B$235,"Conscience",'Data (parsed)'!$C$2:$C$235,$A21)</f>
        <v>0</v>
      </c>
      <c r="D21" s="13">
        <f>COUNTIFS('Data (parsed)'!$E$2:$E$235,D$19,'Data (parsed)'!$B$2:$B$235,"Conscience",'Data (parsed)'!$C$2:$C$235,$A21)</f>
        <v>2</v>
      </c>
      <c r="E21" s="13">
        <f>COUNTIFS('Data (parsed)'!$E$2:$E$235,E$19,'Data (parsed)'!$B$2:$B$235,"Conscience",'Data (parsed)'!$C$2:$C$235,$A21)</f>
        <v>0</v>
      </c>
      <c r="F21" s="13">
        <f>SUMIFS('Data (parsed)'!$I$2:$I$235,'Data (parsed)'!$B$2:$B$235,"Conscience",'Data (parsed)'!$C$2:$C$235,$A21,'Data (parsed)'!$J$2:$J$235,0)</f>
        <v>1</v>
      </c>
      <c r="G21" s="15">
        <f>SUMIFS('Data (parsed)'!$I$2:$I$235,'Data (parsed)'!$B$2:$B$235,"Conscience",'Data (parsed)'!$C$2:$C$235,$A21)</f>
        <v>8</v>
      </c>
    </row>
    <row r="22" spans="1:7" ht="15" customHeight="1" x14ac:dyDescent="0.35">
      <c r="A22" s="21" t="s">
        <v>978</v>
      </c>
      <c r="B22" s="13">
        <f>COUNTIFS('Data (parsed)'!$E$2:$E$235,B$19,'Data (parsed)'!$B$2:$B$235,"Conscience",'Data (parsed)'!$C$2:$C$235,$A22)</f>
        <v>6</v>
      </c>
      <c r="C22" s="13">
        <f>COUNTIFS('Data (parsed)'!$E$2:$E$235,C$19,'Data (parsed)'!$B$2:$B$235,"Conscience",'Data (parsed)'!$C$2:$C$235,$A22)</f>
        <v>0</v>
      </c>
      <c r="D22" s="13">
        <f>COUNTIFS('Data (parsed)'!$E$2:$E$235,D$19,'Data (parsed)'!$B$2:$B$235,"Conscience",'Data (parsed)'!$C$2:$C$235,$A22)</f>
        <v>0</v>
      </c>
      <c r="E22" s="13">
        <f>COUNTIFS('Data (parsed)'!$E$2:$E$235,E$19,'Data (parsed)'!$B$2:$B$235,"Conscience",'Data (parsed)'!$C$2:$C$235,$A22)</f>
        <v>1</v>
      </c>
      <c r="F22" s="13">
        <f>SUMIFS('Data (parsed)'!$I$2:$I$235,'Data (parsed)'!$B$2:$B$235,"Conscience",'Data (parsed)'!$C$2:$C$235,$A22,'Data (parsed)'!$J$2:$J$235,0)</f>
        <v>0</v>
      </c>
      <c r="G22" s="15">
        <f>SUMIFS('Data (parsed)'!$I$2:$I$235,'Data (parsed)'!$B$2:$B$235,"Conscience",'Data (parsed)'!$C$2:$C$235,$A22)</f>
        <v>7</v>
      </c>
    </row>
    <row r="23" spans="1:7" ht="15" customHeight="1" x14ac:dyDescent="0.35">
      <c r="A23" s="21" t="s">
        <v>979</v>
      </c>
      <c r="B23" s="13">
        <f>COUNTIFS('Data (parsed)'!$E$2:$E$235,B$19,'Data (parsed)'!$B$2:$B$235,"Conscience",'Data (parsed)'!$C$2:$C$235,$A23)</f>
        <v>3</v>
      </c>
      <c r="C23" s="13">
        <f>COUNTIFS('Data (parsed)'!$E$2:$E$235,C$19,'Data (parsed)'!$B$2:$B$235,"Conscience",'Data (parsed)'!$C$2:$C$235,$A23)</f>
        <v>0</v>
      </c>
      <c r="D23" s="13">
        <f>COUNTIFS('Data (parsed)'!$E$2:$E$235,D$19,'Data (parsed)'!$B$2:$B$235,"Conscience",'Data (parsed)'!$C$2:$C$235,$A23)</f>
        <v>0</v>
      </c>
      <c r="E23" s="13">
        <f>COUNTIFS('Data (parsed)'!$E$2:$E$235,E$19,'Data (parsed)'!$B$2:$B$235,"Conscience",'Data (parsed)'!$C$2:$C$235,$A23)</f>
        <v>0</v>
      </c>
      <c r="F23" s="13">
        <f>SUMIFS('Data (parsed)'!$I$2:$I$235,'Data (parsed)'!$B$2:$B$235,"Conscience",'Data (parsed)'!$C$2:$C$235,$A23,'Data (parsed)'!$J$2:$J$235,0)</f>
        <v>1</v>
      </c>
      <c r="G23" s="15">
        <f>SUMIFS('Data (parsed)'!$I$2:$I$235,'Data (parsed)'!$B$2:$B$235,"Conscience",'Data (parsed)'!$C$2:$C$235,$A23)</f>
        <v>4</v>
      </c>
    </row>
    <row r="24" spans="1:7" ht="15" customHeight="1" x14ac:dyDescent="0.35">
      <c r="A24" s="21" t="s">
        <v>980</v>
      </c>
      <c r="B24" s="13">
        <f>COUNTIFS('Data (parsed)'!$E$2:$E$235,B$19,'Data (parsed)'!$B$2:$B$235,"Conscience",'Data (parsed)'!$C$2:$C$235,$A24)</f>
        <v>3</v>
      </c>
      <c r="C24" s="13">
        <f>COUNTIFS('Data (parsed)'!$E$2:$E$235,C$19,'Data (parsed)'!$B$2:$B$235,"Conscience",'Data (parsed)'!$C$2:$C$235,$A24)</f>
        <v>0</v>
      </c>
      <c r="D24" s="13">
        <f>COUNTIFS('Data (parsed)'!$E$2:$E$235,D$19,'Data (parsed)'!$B$2:$B$235,"Conscience",'Data (parsed)'!$C$2:$C$235,$A24)</f>
        <v>0</v>
      </c>
      <c r="E24" s="13">
        <f>COUNTIFS('Data (parsed)'!$E$2:$E$235,E$19,'Data (parsed)'!$B$2:$B$235,"Conscience",'Data (parsed)'!$C$2:$C$235,$A24)</f>
        <v>0</v>
      </c>
      <c r="F24" s="13">
        <f>SUMIFS('Data (parsed)'!$I$2:$I$235,'Data (parsed)'!$B$2:$B$235,"Conscience",'Data (parsed)'!$C$2:$C$235,$A24,'Data (parsed)'!$J$2:$J$235,0)</f>
        <v>0</v>
      </c>
      <c r="G24" s="15">
        <f>SUMIFS('Data (parsed)'!$I$2:$I$235,'Data (parsed)'!$B$2:$B$235,"Conscience",'Data (parsed)'!$C$2:$C$235,$A24)</f>
        <v>3</v>
      </c>
    </row>
    <row r="25" spans="1:7" ht="15" customHeight="1" x14ac:dyDescent="0.35">
      <c r="A25" s="21" t="s">
        <v>981</v>
      </c>
      <c r="B25" s="13">
        <f>COUNTIFS('Data (parsed)'!$E$2:$E$235,B$19,'Data (parsed)'!$B$2:$B$235,"Conscience",'Data (parsed)'!$C$2:$C$235,$A25)</f>
        <v>2</v>
      </c>
      <c r="C25" s="13">
        <f>COUNTIFS('Data (parsed)'!$E$2:$E$235,C$19,'Data (parsed)'!$B$2:$B$235,"Conscience",'Data (parsed)'!$C$2:$C$235,$A25)</f>
        <v>0</v>
      </c>
      <c r="D25" s="13">
        <f>COUNTIFS('Data (parsed)'!$E$2:$E$235,D$19,'Data (parsed)'!$B$2:$B$235,"Conscience",'Data (parsed)'!$C$2:$C$235,$A25)</f>
        <v>0</v>
      </c>
      <c r="E25" s="13">
        <f>COUNTIFS('Data (parsed)'!$E$2:$E$235,E$19,'Data (parsed)'!$B$2:$B$235,"Conscience",'Data (parsed)'!$C$2:$C$235,$A25)</f>
        <v>0</v>
      </c>
      <c r="F25" s="13">
        <f>SUMIFS('Data (parsed)'!$I$2:$I$235,'Data (parsed)'!$B$2:$B$235,"Conscience",'Data (parsed)'!$C$2:$C$235,$A25,'Data (parsed)'!$J$2:$J$235,0)</f>
        <v>0</v>
      </c>
      <c r="G25" s="15">
        <f>SUMIFS('Data (parsed)'!$I$2:$I$235,'Data (parsed)'!$B$2:$B$235,"Conscience",'Data (parsed)'!$C$2:$C$235,$A25)</f>
        <v>2</v>
      </c>
    </row>
    <row r="26" spans="1:7" ht="15" customHeight="1" x14ac:dyDescent="0.35">
      <c r="A26" s="21" t="s">
        <v>674</v>
      </c>
      <c r="B26" s="13">
        <f>COUNTIFS('Data (parsed)'!$E$2:$E$235,B$19,'Data (parsed)'!$B$2:$B$235,"Conscience",'Data (parsed)'!$C$2:$C$235,$A26)</f>
        <v>2</v>
      </c>
      <c r="C26" s="13">
        <f>COUNTIFS('Data (parsed)'!$E$2:$E$235,C$19,'Data (parsed)'!$B$2:$B$235,"Conscience",'Data (parsed)'!$C$2:$C$235,$A26)</f>
        <v>0</v>
      </c>
      <c r="D26" s="13">
        <f>COUNTIFS('Data (parsed)'!$E$2:$E$235,D$19,'Data (parsed)'!$B$2:$B$235,"Conscience",'Data (parsed)'!$C$2:$C$235,$A26)</f>
        <v>0</v>
      </c>
      <c r="E26" s="13">
        <f>COUNTIFS('Data (parsed)'!$E$2:$E$235,E$19,'Data (parsed)'!$B$2:$B$235,"Conscience",'Data (parsed)'!$C$2:$C$235,$A26)</f>
        <v>0</v>
      </c>
      <c r="F26" s="13">
        <f>SUMIFS('Data (parsed)'!$I$2:$I$235,'Data (parsed)'!$B$2:$B$235,"Conscience",'Data (parsed)'!$C$2:$C$235,$A26,'Data (parsed)'!$J$2:$J$235,0)</f>
        <v>0</v>
      </c>
      <c r="G26" s="15">
        <f>SUMIFS('Data (parsed)'!$I$2:$I$235,'Data (parsed)'!$B$2:$B$235,"Conscience",'Data (parsed)'!$C$2:$C$235,$A26)</f>
        <v>2</v>
      </c>
    </row>
    <row r="27" spans="1:7" ht="15" customHeight="1" x14ac:dyDescent="0.35">
      <c r="A27" s="21" t="s">
        <v>982</v>
      </c>
      <c r="B27" s="13">
        <f>COUNTIFS('Data (parsed)'!$E$2:$E$235,B$19,'Data (parsed)'!$B$2:$B$235,"Conscience",'Data (parsed)'!$C$2:$C$235,$A27)</f>
        <v>1</v>
      </c>
      <c r="C27" s="13">
        <f>COUNTIFS('Data (parsed)'!$E$2:$E$235,C$19,'Data (parsed)'!$B$2:$B$235,"Conscience",'Data (parsed)'!$C$2:$C$235,$A27)</f>
        <v>0</v>
      </c>
      <c r="D27" s="13">
        <f>COUNTIFS('Data (parsed)'!$E$2:$E$235,D$19,'Data (parsed)'!$B$2:$B$235,"Conscience",'Data (parsed)'!$C$2:$C$235,$A27)</f>
        <v>0</v>
      </c>
      <c r="E27" s="13">
        <f>COUNTIFS('Data (parsed)'!$E$2:$E$235,E$19,'Data (parsed)'!$B$2:$B$235,"Conscience",'Data (parsed)'!$C$2:$C$235,$A27)</f>
        <v>0</v>
      </c>
      <c r="F27" s="13">
        <f>SUMIFS('Data (parsed)'!$I$2:$I$235,'Data (parsed)'!$B$2:$B$235,"Conscience",'Data (parsed)'!$C$2:$C$235,$A27,'Data (parsed)'!$J$2:$J$235,0)</f>
        <v>0</v>
      </c>
      <c r="G27" s="15">
        <f>SUMIFS('Data (parsed)'!$I$2:$I$235,'Data (parsed)'!$B$2:$B$235,"Conscience",'Data (parsed)'!$C$2:$C$235,$A27)</f>
        <v>1</v>
      </c>
    </row>
    <row r="28" spans="1:7" ht="15" customHeight="1" x14ac:dyDescent="0.35">
      <c r="A28" s="21" t="s">
        <v>983</v>
      </c>
      <c r="B28" s="13">
        <f>COUNTIFS('Data (parsed)'!$E$2:$E$235,B$19,'Data (parsed)'!$B$2:$B$235,"Conscience",'Data (parsed)'!$C$2:$C$235,$A28)</f>
        <v>1</v>
      </c>
      <c r="C28" s="13">
        <f>COUNTIFS('Data (parsed)'!$E$2:$E$235,C$19,'Data (parsed)'!$B$2:$B$235,"Conscience",'Data (parsed)'!$C$2:$C$235,$A28)</f>
        <v>0</v>
      </c>
      <c r="D28" s="13">
        <f>COUNTIFS('Data (parsed)'!$E$2:$E$235,D$19,'Data (parsed)'!$B$2:$B$235,"Conscience",'Data (parsed)'!$C$2:$C$235,$A28)</f>
        <v>0</v>
      </c>
      <c r="E28" s="13">
        <f>COUNTIFS('Data (parsed)'!$E$2:$E$235,E$19,'Data (parsed)'!$B$2:$B$235,"Conscience",'Data (parsed)'!$C$2:$C$235,$A28)</f>
        <v>0</v>
      </c>
      <c r="F28" s="13">
        <f>SUMIFS('Data (parsed)'!$I$2:$I$235,'Data (parsed)'!$B$2:$B$235,"Conscience",'Data (parsed)'!$C$2:$C$235,$A28,'Data (parsed)'!$J$2:$J$235,0)</f>
        <v>0</v>
      </c>
      <c r="G28" s="15">
        <f>SUMIFS('Data (parsed)'!$I$2:$I$235,'Data (parsed)'!$B$2:$B$235,"Conscience",'Data (parsed)'!$C$2:$C$235,$A28)</f>
        <v>1</v>
      </c>
    </row>
    <row r="29" spans="1:7" ht="15" customHeight="1" x14ac:dyDescent="0.35">
      <c r="A29" s="21" t="s">
        <v>984</v>
      </c>
      <c r="B29" s="13">
        <f>COUNTIFS('Data (parsed)'!$E$2:$E$235,B$19,'Data (parsed)'!$B$2:$B$235,"Conscience",'Data (parsed)'!$C$2:$C$235,$A29)</f>
        <v>1</v>
      </c>
      <c r="C29" s="13">
        <f>COUNTIFS('Data (parsed)'!$E$2:$E$235,C$19,'Data (parsed)'!$B$2:$B$235,"Conscience",'Data (parsed)'!$C$2:$C$235,$A29)</f>
        <v>0</v>
      </c>
      <c r="D29" s="13">
        <f>COUNTIFS('Data (parsed)'!$E$2:$E$235,D$19,'Data (parsed)'!$B$2:$B$235,"Conscience",'Data (parsed)'!$C$2:$C$235,$A29)</f>
        <v>0</v>
      </c>
      <c r="E29" s="13">
        <f>COUNTIFS('Data (parsed)'!$E$2:$E$235,E$19,'Data (parsed)'!$B$2:$B$235,"Conscience",'Data (parsed)'!$C$2:$C$235,$A29)</f>
        <v>0</v>
      </c>
      <c r="F29" s="13">
        <f>SUMIFS('Data (parsed)'!$I$2:$I$235,'Data (parsed)'!$B$2:$B$235,"Conscience",'Data (parsed)'!$C$2:$C$235,$A29,'Data (parsed)'!$J$2:$J$235,0)</f>
        <v>0</v>
      </c>
      <c r="G29" s="15">
        <f>SUMIFS('Data (parsed)'!$I$2:$I$235,'Data (parsed)'!$B$2:$B$235,"Conscience",'Data (parsed)'!$C$2:$C$235,$A29)</f>
        <v>1</v>
      </c>
    </row>
    <row r="30" spans="1:7" ht="15" customHeight="1" x14ac:dyDescent="0.35">
      <c r="A30" s="21" t="s">
        <v>985</v>
      </c>
      <c r="B30" s="13">
        <f>COUNTIFS('Data (parsed)'!$E$2:$E$235,B$19,'Data (parsed)'!$B$2:$B$235,"Conscience",'Data (parsed)'!$C$2:$C$235,$A30)</f>
        <v>1</v>
      </c>
      <c r="C30" s="13">
        <f>COUNTIFS('Data (parsed)'!$E$2:$E$235,C$19,'Data (parsed)'!$B$2:$B$235,"Conscience",'Data (parsed)'!$C$2:$C$235,$A30)</f>
        <v>0</v>
      </c>
      <c r="D30" s="13">
        <f>COUNTIFS('Data (parsed)'!$E$2:$E$235,D$19,'Data (parsed)'!$B$2:$B$235,"Conscience",'Data (parsed)'!$C$2:$C$235,$A30)</f>
        <v>0</v>
      </c>
      <c r="E30" s="13">
        <f>COUNTIFS('Data (parsed)'!$E$2:$E$235,E$19,'Data (parsed)'!$B$2:$B$235,"Conscience",'Data (parsed)'!$C$2:$C$235,$A30)</f>
        <v>0</v>
      </c>
      <c r="F30" s="13">
        <f>SUMIFS('Data (parsed)'!$I$2:$I$235,'Data (parsed)'!$B$2:$B$235,"Conscience",'Data (parsed)'!$C$2:$C$235,$A30,'Data (parsed)'!$J$2:$J$235,0)</f>
        <v>0</v>
      </c>
      <c r="G30" s="15">
        <f>SUMIFS('Data (parsed)'!$I$2:$I$235,'Data (parsed)'!$B$2:$B$235,"Conscience",'Data (parsed)'!$C$2:$C$235,$A30)</f>
        <v>1</v>
      </c>
    </row>
    <row r="31" spans="1:7" ht="15" customHeight="1" x14ac:dyDescent="0.35">
      <c r="A31" s="14" t="s">
        <v>941</v>
      </c>
      <c r="B31" s="15">
        <f t="shared" ref="B31:G31" si="2">SUM(B20:B30)</f>
        <v>31</v>
      </c>
      <c r="C31" s="15">
        <f t="shared" si="2"/>
        <v>0</v>
      </c>
      <c r="D31" s="15">
        <f t="shared" si="2"/>
        <v>2</v>
      </c>
      <c r="E31" s="15">
        <f t="shared" si="2"/>
        <v>1</v>
      </c>
      <c r="F31" s="15">
        <f t="shared" si="2"/>
        <v>5</v>
      </c>
      <c r="G31" s="15">
        <f t="shared" si="2"/>
        <v>39</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3"/>
  <sheetViews>
    <sheetView zoomScaleNormal="100" workbookViewId="0"/>
  </sheetViews>
  <sheetFormatPr defaultColWidth="8.6328125" defaultRowHeight="14.5" x14ac:dyDescent="0.35"/>
  <cols>
    <col min="1" max="1" width="34" style="2" customWidth="1"/>
    <col min="2" max="8" width="10" style="2" customWidth="1"/>
  </cols>
  <sheetData>
    <row r="1" spans="1:7" ht="15.75" customHeight="1" x14ac:dyDescent="0.35">
      <c r="A1" s="8" t="s">
        <v>987</v>
      </c>
    </row>
    <row r="3" spans="1:7" ht="15" customHeight="1" x14ac:dyDescent="0.35">
      <c r="A3" s="10" t="s">
        <v>988</v>
      </c>
    </row>
    <row r="4" spans="1:7" ht="15" customHeight="1" x14ac:dyDescent="0.35">
      <c r="A4" s="11" t="s">
        <v>951</v>
      </c>
      <c r="B4" s="11" t="s">
        <v>11</v>
      </c>
      <c r="C4" s="11" t="s">
        <v>96</v>
      </c>
      <c r="D4" s="11" t="s">
        <v>22</v>
      </c>
      <c r="E4" s="11" t="s">
        <v>39</v>
      </c>
      <c r="F4" s="11" t="s">
        <v>65</v>
      </c>
      <c r="G4" s="11" t="s">
        <v>941</v>
      </c>
    </row>
    <row r="5" spans="1:7" ht="15" customHeight="1" x14ac:dyDescent="0.35">
      <c r="A5" s="21" t="s">
        <v>767</v>
      </c>
      <c r="B5" s="13">
        <f>SUMIFS('Data (parsed)'!$I$2:$I$235,'Data (parsed)'!$B$2:$B$235,"Honor",'Data (parsed)'!$C$2:$C$235,$A5,'Data (parsed)'!$D$2:$D$235,B$4)</f>
        <v>0</v>
      </c>
      <c r="C5" s="13">
        <f>SUMIFS('Data (parsed)'!$I$2:$I$235,'Data (parsed)'!$B$2:$B$235,"Honor",'Data (parsed)'!$C$2:$C$235,$A5,'Data (parsed)'!$D$2:$D$235,C$4)</f>
        <v>1</v>
      </c>
      <c r="D5" s="13">
        <f>SUMIFS('Data (parsed)'!$I$2:$I$235,'Data (parsed)'!$B$2:$B$235,"Honor",'Data (parsed)'!$C$2:$C$235,$A5,'Data (parsed)'!$D$2:$D$235,D$4)</f>
        <v>2</v>
      </c>
      <c r="E5" s="13">
        <f>SUMIFS('Data (parsed)'!$I$2:$I$235,'Data (parsed)'!$B$2:$B$235,"Honor",'Data (parsed)'!$C$2:$C$235,$A5,'Data (parsed)'!$D$2:$D$235,E$4)</f>
        <v>17</v>
      </c>
      <c r="F5" s="13">
        <f>SUMIFS('Data (parsed)'!$I$2:$I$235,'Data (parsed)'!$B$2:$B$235,"Honor",'Data (parsed)'!$C$2:$C$235,$A5,'Data (parsed)'!$D$2:$D$235,F$4)</f>
        <v>7</v>
      </c>
      <c r="G5" s="15">
        <f t="shared" ref="G5:G11" si="0">SUM(B5:F5)</f>
        <v>27</v>
      </c>
    </row>
    <row r="6" spans="1:7" ht="15" customHeight="1" x14ac:dyDescent="0.35">
      <c r="A6" s="21" t="s">
        <v>989</v>
      </c>
      <c r="B6" s="13">
        <f>SUMIFS('Data (parsed)'!$I$2:$I$235,'Data (parsed)'!$B$2:$B$235,"Honor",'Data (parsed)'!$C$2:$C$235,$A6,'Data (parsed)'!$D$2:$D$235,B$4)</f>
        <v>2</v>
      </c>
      <c r="C6" s="13">
        <f>SUMIFS('Data (parsed)'!$I$2:$I$235,'Data (parsed)'!$B$2:$B$235,"Honor",'Data (parsed)'!$C$2:$C$235,$A6,'Data (parsed)'!$D$2:$D$235,C$4)</f>
        <v>1</v>
      </c>
      <c r="D6" s="13">
        <f>SUMIFS('Data (parsed)'!$I$2:$I$235,'Data (parsed)'!$B$2:$B$235,"Honor",'Data (parsed)'!$C$2:$C$235,$A6,'Data (parsed)'!$D$2:$D$235,D$4)</f>
        <v>0</v>
      </c>
      <c r="E6" s="13">
        <f>SUMIFS('Data (parsed)'!$I$2:$I$235,'Data (parsed)'!$B$2:$B$235,"Honor",'Data (parsed)'!$C$2:$C$235,$A6,'Data (parsed)'!$D$2:$D$235,E$4)</f>
        <v>5</v>
      </c>
      <c r="F6" s="13">
        <f>SUMIFS('Data (parsed)'!$I$2:$I$235,'Data (parsed)'!$B$2:$B$235,"Honor",'Data (parsed)'!$C$2:$C$235,$A6,'Data (parsed)'!$D$2:$D$235,F$4)</f>
        <v>3</v>
      </c>
      <c r="G6" s="15">
        <f t="shared" si="0"/>
        <v>11</v>
      </c>
    </row>
    <row r="7" spans="1:7" ht="15" customHeight="1" x14ac:dyDescent="0.35">
      <c r="A7" s="21" t="s">
        <v>990</v>
      </c>
      <c r="B7" s="13">
        <f>SUMIFS('Data (parsed)'!$I$2:$I$235,'Data (parsed)'!$B$2:$B$235,"Honor",'Data (parsed)'!$C$2:$C$235,$A7,'Data (parsed)'!$D$2:$D$235,B$4)</f>
        <v>3</v>
      </c>
      <c r="C7" s="13">
        <f>SUMIFS('Data (parsed)'!$I$2:$I$235,'Data (parsed)'!$B$2:$B$235,"Honor",'Data (parsed)'!$C$2:$C$235,$A7,'Data (parsed)'!$D$2:$D$235,C$4)</f>
        <v>2</v>
      </c>
      <c r="D7" s="13">
        <f>SUMIFS('Data (parsed)'!$I$2:$I$235,'Data (parsed)'!$B$2:$B$235,"Honor",'Data (parsed)'!$C$2:$C$235,$A7,'Data (parsed)'!$D$2:$D$235,D$4)</f>
        <v>0</v>
      </c>
      <c r="E7" s="13">
        <f>SUMIFS('Data (parsed)'!$I$2:$I$235,'Data (parsed)'!$B$2:$B$235,"Honor",'Data (parsed)'!$C$2:$C$235,$A7,'Data (parsed)'!$D$2:$D$235,E$4)</f>
        <v>1</v>
      </c>
      <c r="F7" s="13">
        <f>SUMIFS('Data (parsed)'!$I$2:$I$235,'Data (parsed)'!$B$2:$B$235,"Honor",'Data (parsed)'!$C$2:$C$235,$A7,'Data (parsed)'!$D$2:$D$235,F$4)</f>
        <v>0</v>
      </c>
      <c r="G7" s="15">
        <f t="shared" si="0"/>
        <v>6</v>
      </c>
    </row>
    <row r="8" spans="1:7" ht="15" customHeight="1" x14ac:dyDescent="0.35">
      <c r="A8" s="21" t="s">
        <v>991</v>
      </c>
      <c r="B8" s="13">
        <f>SUMIFS('Data (parsed)'!$I$2:$I$235,'Data (parsed)'!$B$2:$B$235,"Honor",'Data (parsed)'!$C$2:$C$235,$A8,'Data (parsed)'!$D$2:$D$235,B$4)</f>
        <v>0</v>
      </c>
      <c r="C8" s="13">
        <f>SUMIFS('Data (parsed)'!$I$2:$I$235,'Data (parsed)'!$B$2:$B$235,"Honor",'Data (parsed)'!$C$2:$C$235,$A8,'Data (parsed)'!$D$2:$D$235,C$4)</f>
        <v>1</v>
      </c>
      <c r="D8" s="13">
        <f>SUMIFS('Data (parsed)'!$I$2:$I$235,'Data (parsed)'!$B$2:$B$235,"Honor",'Data (parsed)'!$C$2:$C$235,$A8,'Data (parsed)'!$D$2:$D$235,D$4)</f>
        <v>0</v>
      </c>
      <c r="E8" s="13">
        <f>SUMIFS('Data (parsed)'!$I$2:$I$235,'Data (parsed)'!$B$2:$B$235,"Honor",'Data (parsed)'!$C$2:$C$235,$A8,'Data (parsed)'!$D$2:$D$235,E$4)</f>
        <v>4</v>
      </c>
      <c r="F8" s="13">
        <f>SUMIFS('Data (parsed)'!$I$2:$I$235,'Data (parsed)'!$B$2:$B$235,"Honor",'Data (parsed)'!$C$2:$C$235,$A8,'Data (parsed)'!$D$2:$D$235,F$4)</f>
        <v>0</v>
      </c>
      <c r="G8" s="15">
        <f t="shared" si="0"/>
        <v>5</v>
      </c>
    </row>
    <row r="9" spans="1:7" ht="15" customHeight="1" x14ac:dyDescent="0.35">
      <c r="A9" s="21" t="s">
        <v>992</v>
      </c>
      <c r="B9" s="13">
        <f>SUMIFS('Data (parsed)'!$I$2:$I$235,'Data (parsed)'!$B$2:$B$235,"Honor",'Data (parsed)'!$C$2:$C$235,$A9,'Data (parsed)'!$D$2:$D$235,B$4)</f>
        <v>1</v>
      </c>
      <c r="C9" s="13">
        <f>SUMIFS('Data (parsed)'!$I$2:$I$235,'Data (parsed)'!$B$2:$B$235,"Honor",'Data (parsed)'!$C$2:$C$235,$A9,'Data (parsed)'!$D$2:$D$235,C$4)</f>
        <v>0</v>
      </c>
      <c r="D9" s="13">
        <f>SUMIFS('Data (parsed)'!$I$2:$I$235,'Data (parsed)'!$B$2:$B$235,"Honor",'Data (parsed)'!$C$2:$C$235,$A9,'Data (parsed)'!$D$2:$D$235,D$4)</f>
        <v>0</v>
      </c>
      <c r="E9" s="13">
        <f>SUMIFS('Data (parsed)'!$I$2:$I$235,'Data (parsed)'!$B$2:$B$235,"Honor",'Data (parsed)'!$C$2:$C$235,$A9,'Data (parsed)'!$D$2:$D$235,E$4)</f>
        <v>2</v>
      </c>
      <c r="F9" s="13">
        <f>SUMIFS('Data (parsed)'!$I$2:$I$235,'Data (parsed)'!$B$2:$B$235,"Honor",'Data (parsed)'!$C$2:$C$235,$A9,'Data (parsed)'!$D$2:$D$235,F$4)</f>
        <v>2</v>
      </c>
      <c r="G9" s="15">
        <f t="shared" si="0"/>
        <v>5</v>
      </c>
    </row>
    <row r="10" spans="1:7" ht="15" customHeight="1" x14ac:dyDescent="0.35">
      <c r="A10" s="21" t="s">
        <v>924</v>
      </c>
      <c r="B10" s="13">
        <f>SUMIFS('Data (parsed)'!$I$2:$I$235,'Data (parsed)'!$B$2:$B$235,"Honor",'Data (parsed)'!$C$2:$C$235,$A10,'Data (parsed)'!$D$2:$D$235,B$4)</f>
        <v>0</v>
      </c>
      <c r="C10" s="13">
        <f>SUMIFS('Data (parsed)'!$I$2:$I$235,'Data (parsed)'!$B$2:$B$235,"Honor",'Data (parsed)'!$C$2:$C$235,$A10,'Data (parsed)'!$D$2:$D$235,C$4)</f>
        <v>0</v>
      </c>
      <c r="D10" s="13">
        <f>SUMIFS('Data (parsed)'!$I$2:$I$235,'Data (parsed)'!$B$2:$B$235,"Honor",'Data (parsed)'!$C$2:$C$235,$A10,'Data (parsed)'!$D$2:$D$235,D$4)</f>
        <v>0</v>
      </c>
      <c r="E10" s="13">
        <f>SUMIFS('Data (parsed)'!$I$2:$I$235,'Data (parsed)'!$B$2:$B$235,"Honor",'Data (parsed)'!$C$2:$C$235,$A10,'Data (parsed)'!$D$2:$D$235,E$4)</f>
        <v>2</v>
      </c>
      <c r="F10" s="13">
        <f>SUMIFS('Data (parsed)'!$I$2:$I$235,'Data (parsed)'!$B$2:$B$235,"Honor",'Data (parsed)'!$C$2:$C$235,$A10,'Data (parsed)'!$D$2:$D$235,F$4)</f>
        <v>0</v>
      </c>
      <c r="G10" s="15">
        <f t="shared" si="0"/>
        <v>2</v>
      </c>
    </row>
    <row r="11" spans="1:7" ht="15" customHeight="1" x14ac:dyDescent="0.35">
      <c r="A11" s="21" t="s">
        <v>993</v>
      </c>
      <c r="B11" s="13">
        <f>SUMIFS('Data (parsed)'!$I$2:$I$235,'Data (parsed)'!$B$2:$B$235,"Honor",'Data (parsed)'!$C$2:$C$235,$A11,'Data (parsed)'!$D$2:$D$235,B$4)</f>
        <v>0</v>
      </c>
      <c r="C11" s="13">
        <f>SUMIFS('Data (parsed)'!$I$2:$I$235,'Data (parsed)'!$B$2:$B$235,"Honor",'Data (parsed)'!$C$2:$C$235,$A11,'Data (parsed)'!$D$2:$D$235,C$4)</f>
        <v>0</v>
      </c>
      <c r="D11" s="13">
        <f>SUMIFS('Data (parsed)'!$I$2:$I$235,'Data (parsed)'!$B$2:$B$235,"Honor",'Data (parsed)'!$C$2:$C$235,$A11,'Data (parsed)'!$D$2:$D$235,D$4)</f>
        <v>0</v>
      </c>
      <c r="E11" s="13">
        <f>SUMIFS('Data (parsed)'!$I$2:$I$235,'Data (parsed)'!$B$2:$B$235,"Honor",'Data (parsed)'!$C$2:$C$235,$A11,'Data (parsed)'!$D$2:$D$235,E$4)</f>
        <v>0</v>
      </c>
      <c r="F11" s="13">
        <f>SUMIFS('Data (parsed)'!$I$2:$I$235,'Data (parsed)'!$B$2:$B$235,"Honor",'Data (parsed)'!$C$2:$C$235,$A11,'Data (parsed)'!$D$2:$D$235,F$4)</f>
        <v>1</v>
      </c>
      <c r="G11" s="15">
        <f t="shared" si="0"/>
        <v>1</v>
      </c>
    </row>
    <row r="12" spans="1:7" ht="15" customHeight="1" x14ac:dyDescent="0.35">
      <c r="A12" s="14" t="s">
        <v>941</v>
      </c>
      <c r="B12" s="15">
        <f t="shared" ref="B12:G12" si="1">SUM(B5:B11)</f>
        <v>6</v>
      </c>
      <c r="C12" s="15">
        <f t="shared" si="1"/>
        <v>5</v>
      </c>
      <c r="D12" s="15">
        <f t="shared" si="1"/>
        <v>2</v>
      </c>
      <c r="E12" s="15">
        <f t="shared" si="1"/>
        <v>31</v>
      </c>
      <c r="F12" s="15">
        <f t="shared" si="1"/>
        <v>13</v>
      </c>
      <c r="G12" s="15">
        <f t="shared" si="1"/>
        <v>57</v>
      </c>
    </row>
    <row r="14" spans="1:7" ht="15" customHeight="1" x14ac:dyDescent="0.35">
      <c r="A14" s="10" t="s">
        <v>994</v>
      </c>
    </row>
    <row r="15" spans="1:7" ht="15" customHeight="1" x14ac:dyDescent="0.35">
      <c r="A15" s="11" t="s">
        <v>951</v>
      </c>
      <c r="B15" s="11" t="s">
        <v>14</v>
      </c>
      <c r="C15" s="11" t="s">
        <v>99</v>
      </c>
      <c r="D15" s="11" t="s">
        <v>88</v>
      </c>
      <c r="E15" s="11" t="s">
        <v>93</v>
      </c>
      <c r="F15" s="11" t="s">
        <v>964</v>
      </c>
      <c r="G15" s="11" t="s">
        <v>936</v>
      </c>
    </row>
    <row r="16" spans="1:7" ht="15" customHeight="1" x14ac:dyDescent="0.35">
      <c r="A16" s="21" t="s">
        <v>767</v>
      </c>
      <c r="B16" s="13">
        <f>COUNTIFS('Data (parsed)'!$E$2:$E$235,B$15,'Data (parsed)'!$B$2:$B$235,"Honor",'Data (parsed)'!$C$2:$C$235,$A16)</f>
        <v>6</v>
      </c>
      <c r="C16" s="13">
        <f>COUNTIFS('Data (parsed)'!$E$2:$E$235,C$15,'Data (parsed)'!$B$2:$B$235,"Honor",'Data (parsed)'!$C$2:$C$235,$A16)</f>
        <v>18</v>
      </c>
      <c r="D16" s="13">
        <f>COUNTIFS('Data (parsed)'!$E$2:$E$235,D$15,'Data (parsed)'!$B$2:$B$235,"Honor",'Data (parsed)'!$C$2:$C$235,$A16)</f>
        <v>2</v>
      </c>
      <c r="E16" s="13">
        <f>COUNTIFS('Data (parsed)'!$E$2:$E$235,E$15,'Data (parsed)'!$B$2:$B$235,"Honor",'Data (parsed)'!$C$2:$C$235,$A16)</f>
        <v>0</v>
      </c>
      <c r="F16" s="13">
        <f>SUMIFS('Data (parsed)'!$I$2:$I$235,'Data (parsed)'!$B$2:$B$235,"Honor",'Data (parsed)'!$C$2:$C$235,$A16,'Data (parsed)'!$J$2:$J$235,0)</f>
        <v>1</v>
      </c>
      <c r="G16" s="15">
        <f>SUMIFS('Data (parsed)'!$I$2:$I$235,'Data (parsed)'!$B$2:$B$235,"Honor",'Data (parsed)'!$C$2:$C$235,$A16)</f>
        <v>27</v>
      </c>
    </row>
    <row r="17" spans="1:7" ht="15" customHeight="1" x14ac:dyDescent="0.35">
      <c r="A17" s="21" t="s">
        <v>989</v>
      </c>
      <c r="B17" s="13">
        <f>COUNTIFS('Data (parsed)'!$E$2:$E$235,B$15,'Data (parsed)'!$B$2:$B$235,"Honor",'Data (parsed)'!$C$2:$C$235,$A17)</f>
        <v>2</v>
      </c>
      <c r="C17" s="13">
        <f>COUNTIFS('Data (parsed)'!$E$2:$E$235,C$15,'Data (parsed)'!$B$2:$B$235,"Honor",'Data (parsed)'!$C$2:$C$235,$A17)</f>
        <v>3</v>
      </c>
      <c r="D17" s="13">
        <f>COUNTIFS('Data (parsed)'!$E$2:$E$235,D$15,'Data (parsed)'!$B$2:$B$235,"Honor",'Data (parsed)'!$C$2:$C$235,$A17)</f>
        <v>1</v>
      </c>
      <c r="E17" s="13">
        <f>COUNTIFS('Data (parsed)'!$E$2:$E$235,E$15,'Data (parsed)'!$B$2:$B$235,"Honor",'Data (parsed)'!$C$2:$C$235,$A17)</f>
        <v>0</v>
      </c>
      <c r="F17" s="13">
        <f>SUMIFS('Data (parsed)'!$I$2:$I$235,'Data (parsed)'!$B$2:$B$235,"Honor",'Data (parsed)'!$C$2:$C$235,$A17,'Data (parsed)'!$J$2:$J$235,0)</f>
        <v>5</v>
      </c>
      <c r="G17" s="15">
        <f>SUMIFS('Data (parsed)'!$I$2:$I$235,'Data (parsed)'!$B$2:$B$235,"Honor",'Data (parsed)'!$C$2:$C$235,$A17)</f>
        <v>11</v>
      </c>
    </row>
    <row r="18" spans="1:7" ht="15" customHeight="1" x14ac:dyDescent="0.35">
      <c r="A18" s="21" t="s">
        <v>990</v>
      </c>
      <c r="B18" s="13">
        <f>COUNTIFS('Data (parsed)'!$E$2:$E$235,B$15,'Data (parsed)'!$B$2:$B$235,"Honor",'Data (parsed)'!$C$2:$C$235,$A18)</f>
        <v>0</v>
      </c>
      <c r="C18" s="13">
        <f>COUNTIFS('Data (parsed)'!$E$2:$E$235,C$15,'Data (parsed)'!$B$2:$B$235,"Honor",'Data (parsed)'!$C$2:$C$235,$A18)</f>
        <v>1</v>
      </c>
      <c r="D18" s="13">
        <f>COUNTIFS('Data (parsed)'!$E$2:$E$235,D$15,'Data (parsed)'!$B$2:$B$235,"Honor",'Data (parsed)'!$C$2:$C$235,$A18)</f>
        <v>1</v>
      </c>
      <c r="E18" s="13">
        <f>COUNTIFS('Data (parsed)'!$E$2:$E$235,E$15,'Data (parsed)'!$B$2:$B$235,"Honor",'Data (parsed)'!$C$2:$C$235,$A18)</f>
        <v>0</v>
      </c>
      <c r="F18" s="13">
        <f>SUMIFS('Data (parsed)'!$I$2:$I$235,'Data (parsed)'!$B$2:$B$235,"Honor",'Data (parsed)'!$C$2:$C$235,$A18,'Data (parsed)'!$J$2:$J$235,0)</f>
        <v>4</v>
      </c>
      <c r="G18" s="15">
        <f>SUMIFS('Data (parsed)'!$I$2:$I$235,'Data (parsed)'!$B$2:$B$235,"Honor",'Data (parsed)'!$C$2:$C$235,$A18)</f>
        <v>6</v>
      </c>
    </row>
    <row r="19" spans="1:7" ht="15" customHeight="1" x14ac:dyDescent="0.35">
      <c r="A19" s="21" t="s">
        <v>991</v>
      </c>
      <c r="B19" s="13">
        <f>COUNTIFS('Data (parsed)'!$E$2:$E$235,B$15,'Data (parsed)'!$B$2:$B$235,"Honor",'Data (parsed)'!$C$2:$C$235,$A19)</f>
        <v>0</v>
      </c>
      <c r="C19" s="13">
        <f>COUNTIFS('Data (parsed)'!$E$2:$E$235,C$15,'Data (parsed)'!$B$2:$B$235,"Honor",'Data (parsed)'!$C$2:$C$235,$A19)</f>
        <v>3</v>
      </c>
      <c r="D19" s="13">
        <f>COUNTIFS('Data (parsed)'!$E$2:$E$235,D$15,'Data (parsed)'!$B$2:$B$235,"Honor",'Data (parsed)'!$C$2:$C$235,$A19)</f>
        <v>1</v>
      </c>
      <c r="E19" s="13">
        <f>COUNTIFS('Data (parsed)'!$E$2:$E$235,E$15,'Data (parsed)'!$B$2:$B$235,"Honor",'Data (parsed)'!$C$2:$C$235,$A19)</f>
        <v>0</v>
      </c>
      <c r="F19" s="13">
        <f>SUMIFS('Data (parsed)'!$I$2:$I$235,'Data (parsed)'!$B$2:$B$235,"Honor",'Data (parsed)'!$C$2:$C$235,$A19,'Data (parsed)'!$J$2:$J$235,0)</f>
        <v>1</v>
      </c>
      <c r="G19" s="15">
        <f>SUMIFS('Data (parsed)'!$I$2:$I$235,'Data (parsed)'!$B$2:$B$235,"Honor",'Data (parsed)'!$C$2:$C$235,$A19)</f>
        <v>5</v>
      </c>
    </row>
    <row r="20" spans="1:7" ht="15" customHeight="1" x14ac:dyDescent="0.35">
      <c r="A20" s="21" t="s">
        <v>992</v>
      </c>
      <c r="B20" s="13">
        <f>COUNTIFS('Data (parsed)'!$E$2:$E$235,B$15,'Data (parsed)'!$B$2:$B$235,"Honor",'Data (parsed)'!$C$2:$C$235,$A20)</f>
        <v>1</v>
      </c>
      <c r="C20" s="13">
        <f>COUNTIFS('Data (parsed)'!$E$2:$E$235,C$15,'Data (parsed)'!$B$2:$B$235,"Honor",'Data (parsed)'!$C$2:$C$235,$A20)</f>
        <v>2</v>
      </c>
      <c r="D20" s="13">
        <f>COUNTIFS('Data (parsed)'!$E$2:$E$235,D$15,'Data (parsed)'!$B$2:$B$235,"Honor",'Data (parsed)'!$C$2:$C$235,$A20)</f>
        <v>2</v>
      </c>
      <c r="E20" s="13">
        <f>COUNTIFS('Data (parsed)'!$E$2:$E$235,E$15,'Data (parsed)'!$B$2:$B$235,"Honor",'Data (parsed)'!$C$2:$C$235,$A20)</f>
        <v>0</v>
      </c>
      <c r="F20" s="13">
        <f>SUMIFS('Data (parsed)'!$I$2:$I$235,'Data (parsed)'!$B$2:$B$235,"Honor",'Data (parsed)'!$C$2:$C$235,$A20,'Data (parsed)'!$J$2:$J$235,0)</f>
        <v>1</v>
      </c>
      <c r="G20" s="15">
        <f>SUMIFS('Data (parsed)'!$I$2:$I$235,'Data (parsed)'!$B$2:$B$235,"Honor",'Data (parsed)'!$C$2:$C$235,$A20)</f>
        <v>5</v>
      </c>
    </row>
    <row r="21" spans="1:7" ht="15" customHeight="1" x14ac:dyDescent="0.35">
      <c r="A21" s="21" t="s">
        <v>924</v>
      </c>
      <c r="B21" s="13">
        <f>COUNTIFS('Data (parsed)'!$E$2:$E$235,B$15,'Data (parsed)'!$B$2:$B$235,"Honor",'Data (parsed)'!$C$2:$C$235,$A21)</f>
        <v>0</v>
      </c>
      <c r="C21" s="13">
        <f>COUNTIFS('Data (parsed)'!$E$2:$E$235,C$15,'Data (parsed)'!$B$2:$B$235,"Honor",'Data (parsed)'!$C$2:$C$235,$A21)</f>
        <v>1</v>
      </c>
      <c r="D21" s="13">
        <f>COUNTIFS('Data (parsed)'!$E$2:$E$235,D$15,'Data (parsed)'!$B$2:$B$235,"Honor",'Data (parsed)'!$C$2:$C$235,$A21)</f>
        <v>1</v>
      </c>
      <c r="E21" s="13">
        <f>COUNTIFS('Data (parsed)'!$E$2:$E$235,E$15,'Data (parsed)'!$B$2:$B$235,"Honor",'Data (parsed)'!$C$2:$C$235,$A21)</f>
        <v>0</v>
      </c>
      <c r="F21" s="13">
        <f>SUMIFS('Data (parsed)'!$I$2:$I$235,'Data (parsed)'!$B$2:$B$235,"Honor",'Data (parsed)'!$C$2:$C$235,$A21,'Data (parsed)'!$J$2:$J$235,0)</f>
        <v>0</v>
      </c>
      <c r="G21" s="15">
        <f>SUMIFS('Data (parsed)'!$I$2:$I$235,'Data (parsed)'!$B$2:$B$235,"Honor",'Data (parsed)'!$C$2:$C$235,$A21)</f>
        <v>2</v>
      </c>
    </row>
    <row r="22" spans="1:7" ht="15" customHeight="1" x14ac:dyDescent="0.35">
      <c r="A22" s="21" t="s">
        <v>993</v>
      </c>
      <c r="B22" s="13">
        <f>COUNTIFS('Data (parsed)'!$E$2:$E$235,B$15,'Data (parsed)'!$B$2:$B$235,"Honor",'Data (parsed)'!$C$2:$C$235,$A22)</f>
        <v>0</v>
      </c>
      <c r="C22" s="13">
        <f>COUNTIFS('Data (parsed)'!$E$2:$E$235,C$15,'Data (parsed)'!$B$2:$B$235,"Honor",'Data (parsed)'!$C$2:$C$235,$A22)</f>
        <v>0</v>
      </c>
      <c r="D22" s="13">
        <f>COUNTIFS('Data (parsed)'!$E$2:$E$235,D$15,'Data (parsed)'!$B$2:$B$235,"Honor",'Data (parsed)'!$C$2:$C$235,$A22)</f>
        <v>0</v>
      </c>
      <c r="E22" s="13">
        <f>COUNTIFS('Data (parsed)'!$E$2:$E$235,E$15,'Data (parsed)'!$B$2:$B$235,"Honor",'Data (parsed)'!$C$2:$C$235,$A22)</f>
        <v>1</v>
      </c>
      <c r="F22" s="13">
        <f>SUMIFS('Data (parsed)'!$I$2:$I$235,'Data (parsed)'!$B$2:$B$235,"Honor",'Data (parsed)'!$C$2:$C$235,$A22,'Data (parsed)'!$J$2:$J$235,0)</f>
        <v>0</v>
      </c>
      <c r="G22" s="15">
        <f>SUMIFS('Data (parsed)'!$I$2:$I$235,'Data (parsed)'!$B$2:$B$235,"Honor",'Data (parsed)'!$C$2:$C$235,$A22)</f>
        <v>1</v>
      </c>
    </row>
    <row r="23" spans="1:7" ht="15" customHeight="1" x14ac:dyDescent="0.35">
      <c r="A23" s="14" t="s">
        <v>941</v>
      </c>
      <c r="B23" s="15">
        <f t="shared" ref="B23:G23" si="2">SUM(B16:B22)</f>
        <v>9</v>
      </c>
      <c r="C23" s="15">
        <f t="shared" si="2"/>
        <v>28</v>
      </c>
      <c r="D23" s="15">
        <f t="shared" si="2"/>
        <v>8</v>
      </c>
      <c r="E23" s="15">
        <f t="shared" si="2"/>
        <v>1</v>
      </c>
      <c r="F23" s="15">
        <f t="shared" si="2"/>
        <v>12</v>
      </c>
      <c r="G23" s="15">
        <f t="shared" si="2"/>
        <v>57</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0"/>
  <sheetViews>
    <sheetView zoomScaleNormal="100" workbookViewId="0">
      <pane ySplit="3" topLeftCell="A4" activePane="bottomLeft" state="frozen"/>
      <selection pane="bottomLeft"/>
    </sheetView>
  </sheetViews>
  <sheetFormatPr defaultColWidth="8.6328125" defaultRowHeight="14.5" x14ac:dyDescent="0.35"/>
  <cols>
    <col min="1" max="1" width="13" style="2" customWidth="1"/>
    <col min="2" max="2" width="30" style="2" customWidth="1"/>
    <col min="3" max="3" width="46" style="2" customWidth="1"/>
    <col min="4" max="4" width="8" style="2" customWidth="1"/>
  </cols>
  <sheetData>
    <row r="1" spans="1:4" ht="15.75" customHeight="1" x14ac:dyDescent="0.35">
      <c r="A1" s="8" t="s">
        <v>995</v>
      </c>
    </row>
    <row r="3" spans="1:4" ht="15" customHeight="1" x14ac:dyDescent="0.35">
      <c r="A3" s="11" t="s">
        <v>935</v>
      </c>
      <c r="B3" s="11" t="s">
        <v>951</v>
      </c>
      <c r="C3" s="11" t="s">
        <v>996</v>
      </c>
      <c r="D3" s="11" t="s">
        <v>997</v>
      </c>
    </row>
    <row r="4" spans="1:4" ht="15" customHeight="1" x14ac:dyDescent="0.35">
      <c r="A4" s="16" t="s">
        <v>937</v>
      </c>
      <c r="B4" s="16" t="s">
        <v>960</v>
      </c>
      <c r="C4" s="16" t="s">
        <v>998</v>
      </c>
      <c r="D4" s="22">
        <f>SUMIFS('Data (parsed)'!$I$2:$I$235,'Data (parsed)'!$B$2:$B$235,$A4,'Data (parsed)'!$C$2:$C$235,$B4,'Data (parsed)'!$G$2:$G$235,$C4)</f>
        <v>1</v>
      </c>
    </row>
    <row r="5" spans="1:4" ht="15" customHeight="1" x14ac:dyDescent="0.35">
      <c r="A5" s="16" t="s">
        <v>937</v>
      </c>
      <c r="B5" s="16" t="s">
        <v>960</v>
      </c>
      <c r="C5" s="16" t="s">
        <v>999</v>
      </c>
      <c r="D5" s="22">
        <f>SUMIFS('Data (parsed)'!$I$2:$I$235,'Data (parsed)'!$B$2:$B$235,$A5,'Data (parsed)'!$C$2:$C$235,$B5,'Data (parsed)'!$G$2:$G$235,$C5)</f>
        <v>1</v>
      </c>
    </row>
    <row r="6" spans="1:4" ht="15" customHeight="1" x14ac:dyDescent="0.35">
      <c r="A6" s="16" t="s">
        <v>937</v>
      </c>
      <c r="B6" s="16" t="s">
        <v>960</v>
      </c>
      <c r="C6" s="16" t="s">
        <v>1000</v>
      </c>
      <c r="D6" s="22">
        <f>SUMIFS('Data (parsed)'!$I$2:$I$235,'Data (parsed)'!$B$2:$B$235,$A6,'Data (parsed)'!$C$2:$C$235,$B6,'Data (parsed)'!$G$2:$G$235,$C6)</f>
        <v>1</v>
      </c>
    </row>
    <row r="7" spans="1:4" ht="15" customHeight="1" x14ac:dyDescent="0.35">
      <c r="A7" s="16" t="s">
        <v>937</v>
      </c>
      <c r="B7" s="16" t="s">
        <v>955</v>
      </c>
      <c r="C7" s="16" t="s">
        <v>1001</v>
      </c>
      <c r="D7" s="22">
        <f>SUMIFS('Data (parsed)'!$I$2:$I$235,'Data (parsed)'!$B$2:$B$235,$A7,'Data (parsed)'!$C$2:$C$235,$B7,'Data (parsed)'!$G$2:$G$235,$C7)</f>
        <v>3</v>
      </c>
    </row>
    <row r="8" spans="1:4" ht="15" customHeight="1" x14ac:dyDescent="0.35">
      <c r="A8" s="16" t="s">
        <v>937</v>
      </c>
      <c r="B8" s="16" t="s">
        <v>955</v>
      </c>
      <c r="C8" s="16" t="s">
        <v>1002</v>
      </c>
      <c r="D8" s="22">
        <f>SUMIFS('Data (parsed)'!$I$2:$I$235,'Data (parsed)'!$B$2:$B$235,$A8,'Data (parsed)'!$C$2:$C$235,$B8,'Data (parsed)'!$G$2:$G$235,$C8)</f>
        <v>1</v>
      </c>
    </row>
    <row r="9" spans="1:4" ht="15" customHeight="1" x14ac:dyDescent="0.35">
      <c r="A9" s="16" t="s">
        <v>937</v>
      </c>
      <c r="B9" s="16" t="s">
        <v>955</v>
      </c>
      <c r="C9" s="16" t="s">
        <v>1003</v>
      </c>
      <c r="D9" s="22">
        <f>SUMIFS('Data (parsed)'!$I$2:$I$235,'Data (parsed)'!$B$2:$B$235,$A9,'Data (parsed)'!$C$2:$C$235,$B9,'Data (parsed)'!$G$2:$G$235,$C9)</f>
        <v>1</v>
      </c>
    </row>
    <row r="10" spans="1:4" ht="15" customHeight="1" x14ac:dyDescent="0.35">
      <c r="A10" s="16" t="s">
        <v>937</v>
      </c>
      <c r="B10" s="16" t="s">
        <v>955</v>
      </c>
      <c r="C10" s="16" t="s">
        <v>1004</v>
      </c>
      <c r="D10" s="22">
        <f>SUMIFS('Data (parsed)'!$I$2:$I$235,'Data (parsed)'!$B$2:$B$235,$A10,'Data (parsed)'!$C$2:$C$235,$B10,'Data (parsed)'!$G$2:$G$235,$C10)</f>
        <v>1</v>
      </c>
    </row>
    <row r="11" spans="1:4" ht="15" customHeight="1" x14ac:dyDescent="0.35">
      <c r="A11" s="16" t="s">
        <v>937</v>
      </c>
      <c r="B11" s="16" t="s">
        <v>955</v>
      </c>
      <c r="C11" s="16" t="s">
        <v>1005</v>
      </c>
      <c r="D11" s="22">
        <f>SUMIFS('Data (parsed)'!$I$2:$I$235,'Data (parsed)'!$B$2:$B$235,$A11,'Data (parsed)'!$C$2:$C$235,$B11,'Data (parsed)'!$G$2:$G$235,$C11)</f>
        <v>1</v>
      </c>
    </row>
    <row r="12" spans="1:4" ht="15" customHeight="1" x14ac:dyDescent="0.35">
      <c r="A12" s="16" t="s">
        <v>937</v>
      </c>
      <c r="B12" s="16" t="s">
        <v>955</v>
      </c>
      <c r="C12" s="16" t="s">
        <v>1006</v>
      </c>
      <c r="D12" s="22">
        <f>SUMIFS('Data (parsed)'!$I$2:$I$235,'Data (parsed)'!$B$2:$B$235,$A12,'Data (parsed)'!$C$2:$C$235,$B12,'Data (parsed)'!$G$2:$G$235,$C12)</f>
        <v>1</v>
      </c>
    </row>
    <row r="13" spans="1:4" ht="15" customHeight="1" x14ac:dyDescent="0.35">
      <c r="A13" s="16" t="s">
        <v>937</v>
      </c>
      <c r="B13" s="16" t="s">
        <v>955</v>
      </c>
      <c r="C13" s="16" t="s">
        <v>1007</v>
      </c>
      <c r="D13" s="22">
        <f>SUMIFS('Data (parsed)'!$I$2:$I$235,'Data (parsed)'!$B$2:$B$235,$A13,'Data (parsed)'!$C$2:$C$235,$B13,'Data (parsed)'!$G$2:$G$235,$C13)</f>
        <v>1</v>
      </c>
    </row>
    <row r="14" spans="1:4" ht="15" customHeight="1" x14ac:dyDescent="0.35">
      <c r="A14" s="16" t="s">
        <v>937</v>
      </c>
      <c r="B14" s="16" t="s">
        <v>955</v>
      </c>
      <c r="C14" s="16" t="s">
        <v>1008</v>
      </c>
      <c r="D14" s="22">
        <f>SUMIFS('Data (parsed)'!$I$2:$I$235,'Data (parsed)'!$B$2:$B$235,$A14,'Data (parsed)'!$C$2:$C$235,$B14,'Data (parsed)'!$G$2:$G$235,$C14)</f>
        <v>1</v>
      </c>
    </row>
    <row r="15" spans="1:4" ht="15" customHeight="1" x14ac:dyDescent="0.35">
      <c r="A15" s="16" t="s">
        <v>937</v>
      </c>
      <c r="B15" s="16" t="s">
        <v>955</v>
      </c>
      <c r="C15" s="16" t="s">
        <v>1009</v>
      </c>
      <c r="D15" s="22">
        <f>SUMIFS('Data (parsed)'!$I$2:$I$235,'Data (parsed)'!$B$2:$B$235,$A15,'Data (parsed)'!$C$2:$C$235,$B15,'Data (parsed)'!$G$2:$G$235,$C15)</f>
        <v>1</v>
      </c>
    </row>
    <row r="16" spans="1:4" ht="15" customHeight="1" x14ac:dyDescent="0.35">
      <c r="A16" s="16" t="s">
        <v>937</v>
      </c>
      <c r="B16" s="16" t="s">
        <v>955</v>
      </c>
      <c r="C16" s="16" t="s">
        <v>1010</v>
      </c>
      <c r="D16" s="22">
        <f>SUMIFS('Data (parsed)'!$I$2:$I$235,'Data (parsed)'!$B$2:$B$235,$A16,'Data (parsed)'!$C$2:$C$235,$B16,'Data (parsed)'!$G$2:$G$235,$C16)</f>
        <v>1</v>
      </c>
    </row>
    <row r="17" spans="1:4" ht="15" customHeight="1" x14ac:dyDescent="0.35">
      <c r="A17" s="16" t="s">
        <v>937</v>
      </c>
      <c r="B17" s="16" t="s">
        <v>957</v>
      </c>
      <c r="C17" s="16" t="s">
        <v>999</v>
      </c>
      <c r="D17" s="22">
        <f>SUMIFS('Data (parsed)'!$I$2:$I$235,'Data (parsed)'!$B$2:$B$235,$A17,'Data (parsed)'!$C$2:$C$235,$B17,'Data (parsed)'!$G$2:$G$235,$C17)</f>
        <v>2</v>
      </c>
    </row>
    <row r="18" spans="1:4" ht="15" customHeight="1" x14ac:dyDescent="0.35">
      <c r="A18" s="16" t="s">
        <v>937</v>
      </c>
      <c r="B18" s="16" t="s">
        <v>957</v>
      </c>
      <c r="C18" s="16" t="s">
        <v>1011</v>
      </c>
      <c r="D18" s="22">
        <f>SUMIFS('Data (parsed)'!$I$2:$I$235,'Data (parsed)'!$B$2:$B$235,$A18,'Data (parsed)'!$C$2:$C$235,$B18,'Data (parsed)'!$G$2:$G$235,$C18)</f>
        <v>2</v>
      </c>
    </row>
    <row r="19" spans="1:4" ht="15" customHeight="1" x14ac:dyDescent="0.35">
      <c r="A19" s="16" t="s">
        <v>937</v>
      </c>
      <c r="B19" s="16" t="s">
        <v>957</v>
      </c>
      <c r="C19" s="16" t="s">
        <v>1005</v>
      </c>
      <c r="D19" s="22">
        <f>SUMIFS('Data (parsed)'!$I$2:$I$235,'Data (parsed)'!$B$2:$B$235,$A19,'Data (parsed)'!$C$2:$C$235,$B19,'Data (parsed)'!$G$2:$G$235,$C19)</f>
        <v>1</v>
      </c>
    </row>
    <row r="20" spans="1:4" ht="15" customHeight="1" x14ac:dyDescent="0.35">
      <c r="A20" s="16" t="s">
        <v>937</v>
      </c>
      <c r="B20" s="16" t="s">
        <v>957</v>
      </c>
      <c r="C20" s="16" t="s">
        <v>1012</v>
      </c>
      <c r="D20" s="22">
        <f>SUMIFS('Data (parsed)'!$I$2:$I$235,'Data (parsed)'!$B$2:$B$235,$A20,'Data (parsed)'!$C$2:$C$235,$B20,'Data (parsed)'!$G$2:$G$235,$C20)</f>
        <v>1</v>
      </c>
    </row>
    <row r="21" spans="1:4" ht="15" customHeight="1" x14ac:dyDescent="0.35">
      <c r="A21" s="16" t="s">
        <v>937</v>
      </c>
      <c r="B21" s="16" t="s">
        <v>957</v>
      </c>
      <c r="C21" s="16" t="s">
        <v>1001</v>
      </c>
      <c r="D21" s="22">
        <f>SUMIFS('Data (parsed)'!$I$2:$I$235,'Data (parsed)'!$B$2:$B$235,$A21,'Data (parsed)'!$C$2:$C$235,$B21,'Data (parsed)'!$G$2:$G$235,$C21)</f>
        <v>1</v>
      </c>
    </row>
    <row r="22" spans="1:4" ht="26.25" customHeight="1" x14ac:dyDescent="0.35">
      <c r="A22" s="16" t="s">
        <v>937</v>
      </c>
      <c r="B22" s="16" t="s">
        <v>961</v>
      </c>
      <c r="C22" s="16" t="s">
        <v>1013</v>
      </c>
      <c r="D22" s="22">
        <f>SUMIFS('Data (parsed)'!$I$2:$I$235,'Data (parsed)'!$B$2:$B$235,$A22,'Data (parsed)'!$C$2:$C$235,$B22,'Data (parsed)'!$G$2:$G$235,$C22)</f>
        <v>1</v>
      </c>
    </row>
    <row r="23" spans="1:4" ht="26.25" customHeight="1" x14ac:dyDescent="0.35">
      <c r="A23" s="16" t="s">
        <v>937</v>
      </c>
      <c r="B23" s="16" t="s">
        <v>961</v>
      </c>
      <c r="C23" s="16" t="s">
        <v>1001</v>
      </c>
      <c r="D23" s="22">
        <f>SUMIFS('Data (parsed)'!$I$2:$I$235,'Data (parsed)'!$B$2:$B$235,$A23,'Data (parsed)'!$C$2:$C$235,$B23,'Data (parsed)'!$G$2:$G$235,$C23)</f>
        <v>1</v>
      </c>
    </row>
    <row r="24" spans="1:4" ht="15" customHeight="1" x14ac:dyDescent="0.35">
      <c r="A24" s="16" t="s">
        <v>937</v>
      </c>
      <c r="B24" s="16" t="s">
        <v>954</v>
      </c>
      <c r="C24" s="16" t="s">
        <v>999</v>
      </c>
      <c r="D24" s="22">
        <f>SUMIFS('Data (parsed)'!$I$2:$I$235,'Data (parsed)'!$B$2:$B$235,$A24,'Data (parsed)'!$C$2:$C$235,$B24,'Data (parsed)'!$G$2:$G$235,$C24)</f>
        <v>3</v>
      </c>
    </row>
    <row r="25" spans="1:4" ht="15" customHeight="1" x14ac:dyDescent="0.35">
      <c r="A25" s="16" t="s">
        <v>937</v>
      </c>
      <c r="B25" s="16" t="s">
        <v>954</v>
      </c>
      <c r="C25" s="16" t="s">
        <v>1002</v>
      </c>
      <c r="D25" s="22">
        <f>SUMIFS('Data (parsed)'!$I$2:$I$235,'Data (parsed)'!$B$2:$B$235,$A25,'Data (parsed)'!$C$2:$C$235,$B25,'Data (parsed)'!$G$2:$G$235,$C25)</f>
        <v>2</v>
      </c>
    </row>
    <row r="26" spans="1:4" ht="15" customHeight="1" x14ac:dyDescent="0.35">
      <c r="A26" s="16" t="s">
        <v>937</v>
      </c>
      <c r="B26" s="16" t="s">
        <v>954</v>
      </c>
      <c r="C26" s="16" t="s">
        <v>1014</v>
      </c>
      <c r="D26" s="22">
        <f>SUMIFS('Data (parsed)'!$I$2:$I$235,'Data (parsed)'!$B$2:$B$235,$A26,'Data (parsed)'!$C$2:$C$235,$B26,'Data (parsed)'!$G$2:$G$235,$C26)</f>
        <v>2</v>
      </c>
    </row>
    <row r="27" spans="1:4" ht="15" customHeight="1" x14ac:dyDescent="0.35">
      <c r="A27" s="16" t="s">
        <v>937</v>
      </c>
      <c r="B27" s="16" t="s">
        <v>954</v>
      </c>
      <c r="C27" s="16" t="s">
        <v>1015</v>
      </c>
      <c r="D27" s="22">
        <f>SUMIFS('Data (parsed)'!$I$2:$I$235,'Data (parsed)'!$B$2:$B$235,$A27,'Data (parsed)'!$C$2:$C$235,$B27,'Data (parsed)'!$G$2:$G$235,$C27)</f>
        <v>2</v>
      </c>
    </row>
    <row r="28" spans="1:4" ht="15" customHeight="1" x14ac:dyDescent="0.35">
      <c r="A28" s="16" t="s">
        <v>937</v>
      </c>
      <c r="B28" s="16" t="s">
        <v>954</v>
      </c>
      <c r="C28" s="16" t="s">
        <v>1016</v>
      </c>
      <c r="D28" s="22">
        <f>SUMIFS('Data (parsed)'!$I$2:$I$235,'Data (parsed)'!$B$2:$B$235,$A28,'Data (parsed)'!$C$2:$C$235,$B28,'Data (parsed)'!$G$2:$G$235,$C28)</f>
        <v>2</v>
      </c>
    </row>
    <row r="29" spans="1:4" ht="15" customHeight="1" x14ac:dyDescent="0.35">
      <c r="A29" s="16" t="s">
        <v>937</v>
      </c>
      <c r="B29" s="16" t="s">
        <v>954</v>
      </c>
      <c r="C29" s="16" t="s">
        <v>1010</v>
      </c>
      <c r="D29" s="22">
        <f>SUMIFS('Data (parsed)'!$I$2:$I$235,'Data (parsed)'!$B$2:$B$235,$A29,'Data (parsed)'!$C$2:$C$235,$B29,'Data (parsed)'!$G$2:$G$235,$C29)</f>
        <v>2</v>
      </c>
    </row>
    <row r="30" spans="1:4" ht="15" customHeight="1" x14ac:dyDescent="0.35">
      <c r="A30" s="16" t="s">
        <v>937</v>
      </c>
      <c r="B30" s="16" t="s">
        <v>954</v>
      </c>
      <c r="C30" s="16" t="s">
        <v>1017</v>
      </c>
      <c r="D30" s="22">
        <f>SUMIFS('Data (parsed)'!$I$2:$I$235,'Data (parsed)'!$B$2:$B$235,$A30,'Data (parsed)'!$C$2:$C$235,$B30,'Data (parsed)'!$G$2:$G$235,$C30)</f>
        <v>1</v>
      </c>
    </row>
    <row r="31" spans="1:4" ht="15" customHeight="1" x14ac:dyDescent="0.35">
      <c r="A31" s="16" t="s">
        <v>937</v>
      </c>
      <c r="B31" s="16" t="s">
        <v>954</v>
      </c>
      <c r="C31" s="16" t="s">
        <v>1018</v>
      </c>
      <c r="D31" s="22">
        <f>SUMIFS('Data (parsed)'!$I$2:$I$235,'Data (parsed)'!$B$2:$B$235,$A31,'Data (parsed)'!$C$2:$C$235,$B31,'Data (parsed)'!$G$2:$G$235,$C31)</f>
        <v>1</v>
      </c>
    </row>
    <row r="32" spans="1:4" ht="15" customHeight="1" x14ac:dyDescent="0.35">
      <c r="A32" s="16" t="s">
        <v>937</v>
      </c>
      <c r="B32" s="16" t="s">
        <v>954</v>
      </c>
      <c r="C32" s="16" t="s">
        <v>1019</v>
      </c>
      <c r="D32" s="22">
        <f>SUMIFS('Data (parsed)'!$I$2:$I$235,'Data (parsed)'!$B$2:$B$235,$A32,'Data (parsed)'!$C$2:$C$235,$B32,'Data (parsed)'!$G$2:$G$235,$C32)</f>
        <v>1</v>
      </c>
    </row>
    <row r="33" spans="1:4" ht="15" customHeight="1" x14ac:dyDescent="0.35">
      <c r="A33" s="16" t="s">
        <v>937</v>
      </c>
      <c r="B33" s="16" t="s">
        <v>954</v>
      </c>
      <c r="C33" s="16" t="s">
        <v>1020</v>
      </c>
      <c r="D33" s="22">
        <f>SUMIFS('Data (parsed)'!$I$2:$I$235,'Data (parsed)'!$B$2:$B$235,$A33,'Data (parsed)'!$C$2:$C$235,$B33,'Data (parsed)'!$G$2:$G$235,$C33)</f>
        <v>1</v>
      </c>
    </row>
    <row r="34" spans="1:4" ht="15" customHeight="1" x14ac:dyDescent="0.35">
      <c r="A34" s="16" t="s">
        <v>937</v>
      </c>
      <c r="B34" s="16" t="s">
        <v>952</v>
      </c>
      <c r="C34" s="16" t="s">
        <v>1010</v>
      </c>
      <c r="D34" s="22">
        <f>SUMIFS('Data (parsed)'!$I$2:$I$235,'Data (parsed)'!$B$2:$B$235,$A34,'Data (parsed)'!$C$2:$C$235,$B34,'Data (parsed)'!$G$2:$G$235,$C34)</f>
        <v>10</v>
      </c>
    </row>
    <row r="35" spans="1:4" ht="15" customHeight="1" x14ac:dyDescent="0.35">
      <c r="A35" s="16" t="s">
        <v>937</v>
      </c>
      <c r="B35" s="16" t="s">
        <v>952</v>
      </c>
      <c r="C35" s="16" t="s">
        <v>999</v>
      </c>
      <c r="D35" s="22">
        <f>SUMIFS('Data (parsed)'!$I$2:$I$235,'Data (parsed)'!$B$2:$B$235,$A35,'Data (parsed)'!$C$2:$C$235,$B35,'Data (parsed)'!$G$2:$G$235,$C35)</f>
        <v>7</v>
      </c>
    </row>
    <row r="36" spans="1:4" ht="15" customHeight="1" x14ac:dyDescent="0.35">
      <c r="A36" s="16" t="s">
        <v>937</v>
      </c>
      <c r="B36" s="16" t="s">
        <v>952</v>
      </c>
      <c r="C36" s="16" t="s">
        <v>1011</v>
      </c>
      <c r="D36" s="22">
        <f>SUMIFS('Data (parsed)'!$I$2:$I$235,'Data (parsed)'!$B$2:$B$235,$A36,'Data (parsed)'!$C$2:$C$235,$B36,'Data (parsed)'!$G$2:$G$235,$C36)</f>
        <v>2</v>
      </c>
    </row>
    <row r="37" spans="1:4" ht="15" customHeight="1" x14ac:dyDescent="0.35">
      <c r="A37" s="16" t="s">
        <v>937</v>
      </c>
      <c r="B37" s="16" t="s">
        <v>952</v>
      </c>
      <c r="C37" s="16" t="s">
        <v>1014</v>
      </c>
      <c r="D37" s="22">
        <f>SUMIFS('Data (parsed)'!$I$2:$I$235,'Data (parsed)'!$B$2:$B$235,$A37,'Data (parsed)'!$C$2:$C$235,$B37,'Data (parsed)'!$G$2:$G$235,$C37)</f>
        <v>1</v>
      </c>
    </row>
    <row r="38" spans="1:4" ht="15" customHeight="1" x14ac:dyDescent="0.35">
      <c r="A38" s="16" t="s">
        <v>937</v>
      </c>
      <c r="B38" s="16" t="s">
        <v>952</v>
      </c>
      <c r="C38" s="16" t="s">
        <v>1021</v>
      </c>
      <c r="D38" s="22">
        <f>SUMIFS('Data (parsed)'!$I$2:$I$235,'Data (parsed)'!$B$2:$B$235,$A38,'Data (parsed)'!$C$2:$C$235,$B38,'Data (parsed)'!$G$2:$G$235,$C38)</f>
        <v>1</v>
      </c>
    </row>
    <row r="39" spans="1:4" ht="15" customHeight="1" x14ac:dyDescent="0.35">
      <c r="A39" s="16" t="s">
        <v>937</v>
      </c>
      <c r="B39" s="16" t="s">
        <v>952</v>
      </c>
      <c r="C39" s="16" t="s">
        <v>1008</v>
      </c>
      <c r="D39" s="22">
        <f>SUMIFS('Data (parsed)'!$I$2:$I$235,'Data (parsed)'!$B$2:$B$235,$A39,'Data (parsed)'!$C$2:$C$235,$B39,'Data (parsed)'!$G$2:$G$235,$C39)</f>
        <v>1</v>
      </c>
    </row>
    <row r="40" spans="1:4" ht="15" customHeight="1" x14ac:dyDescent="0.35">
      <c r="A40" s="16" t="s">
        <v>937</v>
      </c>
      <c r="B40" s="16" t="s">
        <v>952</v>
      </c>
      <c r="C40" s="16" t="s">
        <v>1022</v>
      </c>
      <c r="D40" s="22">
        <f>SUMIFS('Data (parsed)'!$I$2:$I$235,'Data (parsed)'!$B$2:$B$235,$A40,'Data (parsed)'!$C$2:$C$235,$B40,'Data (parsed)'!$G$2:$G$235,$C40)</f>
        <v>1</v>
      </c>
    </row>
    <row r="41" spans="1:4" ht="15" customHeight="1" x14ac:dyDescent="0.35">
      <c r="A41" s="16" t="s">
        <v>937</v>
      </c>
      <c r="B41" s="16" t="s">
        <v>952</v>
      </c>
      <c r="C41" s="16" t="s">
        <v>1023</v>
      </c>
      <c r="D41" s="22">
        <f>SUMIFS('Data (parsed)'!$I$2:$I$235,'Data (parsed)'!$B$2:$B$235,$A41,'Data (parsed)'!$C$2:$C$235,$B41,'Data (parsed)'!$G$2:$G$235,$C41)</f>
        <v>1</v>
      </c>
    </row>
    <row r="42" spans="1:4" ht="15" customHeight="1" x14ac:dyDescent="0.35">
      <c r="A42" s="16" t="s">
        <v>937</v>
      </c>
      <c r="B42" s="16" t="s">
        <v>952</v>
      </c>
      <c r="C42" s="16" t="s">
        <v>1001</v>
      </c>
      <c r="D42" s="22">
        <f>SUMIFS('Data (parsed)'!$I$2:$I$235,'Data (parsed)'!$B$2:$B$235,$A42,'Data (parsed)'!$C$2:$C$235,$B42,'Data (parsed)'!$G$2:$G$235,$C42)</f>
        <v>1</v>
      </c>
    </row>
    <row r="43" spans="1:4" ht="15" customHeight="1" x14ac:dyDescent="0.35">
      <c r="A43" s="16" t="s">
        <v>937</v>
      </c>
      <c r="B43" s="16" t="s">
        <v>956</v>
      </c>
      <c r="C43" s="16" t="s">
        <v>1010</v>
      </c>
      <c r="D43" s="22">
        <f>SUMIFS('Data (parsed)'!$I$2:$I$235,'Data (parsed)'!$B$2:$B$235,$A43,'Data (parsed)'!$C$2:$C$235,$B43,'Data (parsed)'!$G$2:$G$235,$C43)</f>
        <v>4</v>
      </c>
    </row>
    <row r="44" spans="1:4" ht="15" customHeight="1" x14ac:dyDescent="0.35">
      <c r="A44" s="16" t="s">
        <v>937</v>
      </c>
      <c r="B44" s="16" t="s">
        <v>956</v>
      </c>
      <c r="C44" s="16" t="s">
        <v>1001</v>
      </c>
      <c r="D44" s="22">
        <f>SUMIFS('Data (parsed)'!$I$2:$I$235,'Data (parsed)'!$B$2:$B$235,$A44,'Data (parsed)'!$C$2:$C$235,$B44,'Data (parsed)'!$G$2:$G$235,$C44)</f>
        <v>2</v>
      </c>
    </row>
    <row r="45" spans="1:4" ht="15" customHeight="1" x14ac:dyDescent="0.35">
      <c r="A45" s="16" t="s">
        <v>937</v>
      </c>
      <c r="B45" s="16" t="s">
        <v>956</v>
      </c>
      <c r="C45" s="16" t="s">
        <v>1024</v>
      </c>
      <c r="D45" s="22">
        <f>SUMIFS('Data (parsed)'!$I$2:$I$235,'Data (parsed)'!$B$2:$B$235,$A45,'Data (parsed)'!$C$2:$C$235,$B45,'Data (parsed)'!$G$2:$G$235,$C45)</f>
        <v>4</v>
      </c>
    </row>
    <row r="46" spans="1:4" ht="15" customHeight="1" x14ac:dyDescent="0.35">
      <c r="A46" s="16" t="s">
        <v>937</v>
      </c>
      <c r="B46" s="16" t="s">
        <v>956</v>
      </c>
      <c r="C46" s="16" t="s">
        <v>1014</v>
      </c>
      <c r="D46" s="22">
        <f>SUMIFS('Data (parsed)'!$I$2:$I$235,'Data (parsed)'!$B$2:$B$235,$A46,'Data (parsed)'!$C$2:$C$235,$B46,'Data (parsed)'!$G$2:$G$235,$C46)</f>
        <v>1</v>
      </c>
    </row>
    <row r="47" spans="1:4" ht="15" customHeight="1" x14ac:dyDescent="0.35">
      <c r="A47" s="16" t="s">
        <v>937</v>
      </c>
      <c r="B47" s="16" t="s">
        <v>956</v>
      </c>
      <c r="C47" s="16" t="s">
        <v>1019</v>
      </c>
      <c r="D47" s="22">
        <f>SUMIFS('Data (parsed)'!$I$2:$I$235,'Data (parsed)'!$B$2:$B$235,$A47,'Data (parsed)'!$C$2:$C$235,$B47,'Data (parsed)'!$G$2:$G$235,$C47)</f>
        <v>1</v>
      </c>
    </row>
    <row r="48" spans="1:4" ht="15" customHeight="1" x14ac:dyDescent="0.35">
      <c r="A48" s="16" t="s">
        <v>937</v>
      </c>
      <c r="B48" s="16" t="s">
        <v>956</v>
      </c>
      <c r="C48" s="16" t="s">
        <v>1009</v>
      </c>
      <c r="D48" s="22">
        <f>SUMIFS('Data (parsed)'!$I$2:$I$235,'Data (parsed)'!$B$2:$B$235,$A48,'Data (parsed)'!$C$2:$C$235,$B48,'Data (parsed)'!$G$2:$G$235,$C48)</f>
        <v>1</v>
      </c>
    </row>
    <row r="49" spans="1:4" ht="15" customHeight="1" x14ac:dyDescent="0.35">
      <c r="A49" s="16" t="s">
        <v>937</v>
      </c>
      <c r="B49" s="16" t="s">
        <v>962</v>
      </c>
      <c r="C49" s="16" t="s">
        <v>1014</v>
      </c>
      <c r="D49" s="22">
        <f>SUMIFS('Data (parsed)'!$I$2:$I$235,'Data (parsed)'!$B$2:$B$235,$A49,'Data (parsed)'!$C$2:$C$235,$B49,'Data (parsed)'!$G$2:$G$235,$C49)</f>
        <v>2</v>
      </c>
    </row>
    <row r="50" spans="1:4" ht="15" customHeight="1" x14ac:dyDescent="0.35">
      <c r="A50" s="16" t="s">
        <v>937</v>
      </c>
      <c r="B50" s="16" t="s">
        <v>953</v>
      </c>
      <c r="C50" s="16" t="s">
        <v>1010</v>
      </c>
      <c r="D50" s="22">
        <f>SUMIFS('Data (parsed)'!$I$2:$I$235,'Data (parsed)'!$B$2:$B$235,$A50,'Data (parsed)'!$C$2:$C$235,$B50,'Data (parsed)'!$G$2:$G$235,$C50)</f>
        <v>5</v>
      </c>
    </row>
    <row r="51" spans="1:4" ht="15" customHeight="1" x14ac:dyDescent="0.35">
      <c r="A51" s="16" t="s">
        <v>937</v>
      </c>
      <c r="B51" s="16" t="s">
        <v>953</v>
      </c>
      <c r="C51" s="16" t="s">
        <v>999</v>
      </c>
      <c r="D51" s="22">
        <f>SUMIFS('Data (parsed)'!$I$2:$I$235,'Data (parsed)'!$B$2:$B$235,$A51,'Data (parsed)'!$C$2:$C$235,$B51,'Data (parsed)'!$G$2:$G$235,$C51)</f>
        <v>3</v>
      </c>
    </row>
    <row r="52" spans="1:4" ht="15" customHeight="1" x14ac:dyDescent="0.35">
      <c r="A52" s="16" t="s">
        <v>937</v>
      </c>
      <c r="B52" s="16" t="s">
        <v>953</v>
      </c>
      <c r="C52" s="16" t="s">
        <v>1002</v>
      </c>
      <c r="D52" s="22">
        <f>SUMIFS('Data (parsed)'!$I$2:$I$235,'Data (parsed)'!$B$2:$B$235,$A52,'Data (parsed)'!$C$2:$C$235,$B52,'Data (parsed)'!$G$2:$G$235,$C52)</f>
        <v>2</v>
      </c>
    </row>
    <row r="53" spans="1:4" ht="15" customHeight="1" x14ac:dyDescent="0.35">
      <c r="A53" s="16" t="s">
        <v>937</v>
      </c>
      <c r="B53" s="16" t="s">
        <v>953</v>
      </c>
      <c r="C53" s="16" t="s">
        <v>1001</v>
      </c>
      <c r="D53" s="22">
        <f>SUMIFS('Data (parsed)'!$I$2:$I$235,'Data (parsed)'!$B$2:$B$235,$A53,'Data (parsed)'!$C$2:$C$235,$B53,'Data (parsed)'!$G$2:$G$235,$C53)</f>
        <v>2</v>
      </c>
    </row>
    <row r="54" spans="1:4" ht="15" customHeight="1" x14ac:dyDescent="0.35">
      <c r="A54" s="16" t="s">
        <v>937</v>
      </c>
      <c r="B54" s="16" t="s">
        <v>953</v>
      </c>
      <c r="C54" s="16" t="s">
        <v>1014</v>
      </c>
      <c r="D54" s="22">
        <f>SUMIFS('Data (parsed)'!$I$2:$I$235,'Data (parsed)'!$B$2:$B$235,$A54,'Data (parsed)'!$C$2:$C$235,$B54,'Data (parsed)'!$G$2:$G$235,$C54)</f>
        <v>1</v>
      </c>
    </row>
    <row r="55" spans="1:4" ht="15" customHeight="1" x14ac:dyDescent="0.35">
      <c r="A55" s="16" t="s">
        <v>937</v>
      </c>
      <c r="B55" s="16" t="s">
        <v>953</v>
      </c>
      <c r="C55" s="16" t="s">
        <v>1012</v>
      </c>
      <c r="D55" s="22">
        <f>SUMIFS('Data (parsed)'!$I$2:$I$235,'Data (parsed)'!$B$2:$B$235,$A55,'Data (parsed)'!$C$2:$C$235,$B55,'Data (parsed)'!$G$2:$G$235,$C55)</f>
        <v>1</v>
      </c>
    </row>
    <row r="56" spans="1:4" ht="15" customHeight="1" x14ac:dyDescent="0.35">
      <c r="A56" s="16" t="s">
        <v>937</v>
      </c>
      <c r="B56" s="16" t="s">
        <v>953</v>
      </c>
      <c r="C56" s="16" t="s">
        <v>1025</v>
      </c>
      <c r="D56" s="22">
        <f>SUMIFS('Data (parsed)'!$I$2:$I$235,'Data (parsed)'!$B$2:$B$235,$A56,'Data (parsed)'!$C$2:$C$235,$B56,'Data (parsed)'!$G$2:$G$235,$C56)</f>
        <v>1</v>
      </c>
    </row>
    <row r="57" spans="1:4" ht="15" customHeight="1" x14ac:dyDescent="0.35">
      <c r="A57" s="16" t="s">
        <v>937</v>
      </c>
      <c r="B57" s="16" t="s">
        <v>953</v>
      </c>
      <c r="C57" s="16" t="s">
        <v>1026</v>
      </c>
      <c r="D57" s="22">
        <f>SUMIFS('Data (parsed)'!$I$2:$I$235,'Data (parsed)'!$B$2:$B$235,$A57,'Data (parsed)'!$C$2:$C$235,$B57,'Data (parsed)'!$G$2:$G$235,$C57)</f>
        <v>1</v>
      </c>
    </row>
    <row r="58" spans="1:4" ht="15" customHeight="1" x14ac:dyDescent="0.35">
      <c r="A58" s="16" t="s">
        <v>937</v>
      </c>
      <c r="B58" s="16" t="s">
        <v>953</v>
      </c>
      <c r="C58" s="16" t="s">
        <v>1027</v>
      </c>
      <c r="D58" s="22">
        <f>SUMIFS('Data (parsed)'!$I$2:$I$235,'Data (parsed)'!$B$2:$B$235,$A58,'Data (parsed)'!$C$2:$C$235,$B58,'Data (parsed)'!$G$2:$G$235,$C58)</f>
        <v>1</v>
      </c>
    </row>
    <row r="59" spans="1:4" ht="15" customHeight="1" x14ac:dyDescent="0.35">
      <c r="A59" s="16" t="s">
        <v>937</v>
      </c>
      <c r="B59" s="16" t="s">
        <v>953</v>
      </c>
      <c r="C59" s="16" t="s">
        <v>1028</v>
      </c>
      <c r="D59" s="22">
        <f>SUMIFS('Data (parsed)'!$I$2:$I$235,'Data (parsed)'!$B$2:$B$235,$A59,'Data (parsed)'!$C$2:$C$235,$B59,'Data (parsed)'!$G$2:$G$235,$C59)</f>
        <v>1</v>
      </c>
    </row>
    <row r="60" spans="1:4" ht="15" customHeight="1" x14ac:dyDescent="0.35">
      <c r="A60" s="16" t="s">
        <v>937</v>
      </c>
      <c r="B60" s="16" t="s">
        <v>953</v>
      </c>
      <c r="C60" s="16" t="s">
        <v>1029</v>
      </c>
      <c r="D60" s="22">
        <f>SUMIFS('Data (parsed)'!$I$2:$I$235,'Data (parsed)'!$B$2:$B$235,$A60,'Data (parsed)'!$C$2:$C$235,$B60,'Data (parsed)'!$G$2:$G$235,$C60)</f>
        <v>1</v>
      </c>
    </row>
    <row r="61" spans="1:4" ht="15" customHeight="1" x14ac:dyDescent="0.35">
      <c r="A61" s="16" t="s">
        <v>937</v>
      </c>
      <c r="B61" s="16" t="s">
        <v>959</v>
      </c>
      <c r="C61" s="16" t="s">
        <v>1030</v>
      </c>
      <c r="D61" s="22">
        <f>SUMIFS('Data (parsed)'!$I$2:$I$235,'Data (parsed)'!$B$2:$B$235,$A61,'Data (parsed)'!$C$2:$C$235,$B61,'Data (parsed)'!$G$2:$G$235,$C61)</f>
        <v>1</v>
      </c>
    </row>
    <row r="62" spans="1:4" ht="15" customHeight="1" x14ac:dyDescent="0.35">
      <c r="A62" s="16" t="s">
        <v>937</v>
      </c>
      <c r="B62" s="16" t="s">
        <v>959</v>
      </c>
      <c r="C62" s="16" t="s">
        <v>1031</v>
      </c>
      <c r="D62" s="22">
        <f>SUMIFS('Data (parsed)'!$I$2:$I$235,'Data (parsed)'!$B$2:$B$235,$A62,'Data (parsed)'!$C$2:$C$235,$B62,'Data (parsed)'!$G$2:$G$235,$C62)</f>
        <v>1</v>
      </c>
    </row>
    <row r="63" spans="1:4" ht="15" customHeight="1" x14ac:dyDescent="0.35">
      <c r="A63" s="16" t="s">
        <v>937</v>
      </c>
      <c r="B63" s="16" t="s">
        <v>959</v>
      </c>
      <c r="C63" s="16" t="s">
        <v>999</v>
      </c>
      <c r="D63" s="22">
        <f>SUMIFS('Data (parsed)'!$I$2:$I$235,'Data (parsed)'!$B$2:$B$235,$A63,'Data (parsed)'!$C$2:$C$235,$B63,'Data (parsed)'!$G$2:$G$235,$C63)</f>
        <v>1</v>
      </c>
    </row>
    <row r="64" spans="1:4" ht="15" customHeight="1" x14ac:dyDescent="0.35">
      <c r="A64" s="16" t="s">
        <v>937</v>
      </c>
      <c r="B64" s="16" t="s">
        <v>959</v>
      </c>
      <c r="C64" s="16" t="s">
        <v>1010</v>
      </c>
      <c r="D64" s="22">
        <f>SUMIFS('Data (parsed)'!$I$2:$I$235,'Data (parsed)'!$B$2:$B$235,$A64,'Data (parsed)'!$C$2:$C$235,$B64,'Data (parsed)'!$G$2:$G$235,$C64)</f>
        <v>1</v>
      </c>
    </row>
    <row r="65" spans="1:4" ht="26.25" customHeight="1" x14ac:dyDescent="0.35">
      <c r="A65" s="16" t="s">
        <v>937</v>
      </c>
      <c r="B65" s="16" t="s">
        <v>958</v>
      </c>
      <c r="C65" s="16" t="s">
        <v>1032</v>
      </c>
      <c r="D65" s="22">
        <f>SUMIFS('Data (parsed)'!$I$2:$I$235,'Data (parsed)'!$B$2:$B$235,$A65,'Data (parsed)'!$C$2:$C$235,$B65,'Data (parsed)'!$G$2:$G$235,$C65)</f>
        <v>1</v>
      </c>
    </row>
    <row r="66" spans="1:4" ht="26.25" customHeight="1" x14ac:dyDescent="0.35">
      <c r="A66" s="16" t="s">
        <v>937</v>
      </c>
      <c r="B66" s="16" t="s">
        <v>958</v>
      </c>
      <c r="C66" s="16" t="s">
        <v>1033</v>
      </c>
      <c r="D66" s="22">
        <f>SUMIFS('Data (parsed)'!$I$2:$I$235,'Data (parsed)'!$B$2:$B$235,$A66,'Data (parsed)'!$C$2:$C$235,$B66,'Data (parsed)'!$G$2:$G$235,$C66)</f>
        <v>1</v>
      </c>
    </row>
    <row r="67" spans="1:4" ht="26.25" customHeight="1" x14ac:dyDescent="0.35">
      <c r="A67" s="16" t="s">
        <v>937</v>
      </c>
      <c r="B67" s="16" t="s">
        <v>958</v>
      </c>
      <c r="C67" s="16" t="s">
        <v>1034</v>
      </c>
      <c r="D67" s="22">
        <f>SUMIFS('Data (parsed)'!$I$2:$I$235,'Data (parsed)'!$B$2:$B$235,$A67,'Data (parsed)'!$C$2:$C$235,$B67,'Data (parsed)'!$G$2:$G$235,$C67)</f>
        <v>1</v>
      </c>
    </row>
    <row r="68" spans="1:4" ht="26.25" customHeight="1" x14ac:dyDescent="0.35">
      <c r="A68" s="16" t="s">
        <v>937</v>
      </c>
      <c r="B68" s="16" t="s">
        <v>958</v>
      </c>
      <c r="C68" s="16" t="s">
        <v>999</v>
      </c>
      <c r="D68" s="22">
        <f>SUMIFS('Data (parsed)'!$I$2:$I$235,'Data (parsed)'!$B$2:$B$235,$A68,'Data (parsed)'!$C$2:$C$235,$B68,'Data (parsed)'!$G$2:$G$235,$C68)</f>
        <v>1</v>
      </c>
    </row>
    <row r="69" spans="1:4" ht="15" customHeight="1" x14ac:dyDescent="0.35">
      <c r="A69" s="23" t="s">
        <v>938</v>
      </c>
      <c r="B69" s="23" t="s">
        <v>967</v>
      </c>
      <c r="C69" s="23" t="s">
        <v>1035</v>
      </c>
      <c r="D69" s="24">
        <f>SUMIFS('Data (parsed)'!$I$2:$I$235,'Data (parsed)'!$B$2:$B$235,$A69,'Data (parsed)'!$C$2:$C$235,$B69,'Data (parsed)'!$G$2:$G$235,$C69)</f>
        <v>4</v>
      </c>
    </row>
    <row r="70" spans="1:4" ht="15" customHeight="1" x14ac:dyDescent="0.35">
      <c r="A70" s="23" t="s">
        <v>938</v>
      </c>
      <c r="B70" s="23" t="s">
        <v>967</v>
      </c>
      <c r="C70" s="23" t="s">
        <v>1002</v>
      </c>
      <c r="D70" s="24">
        <f>SUMIFS('Data (parsed)'!$I$2:$I$235,'Data (parsed)'!$B$2:$B$235,$A70,'Data (parsed)'!$C$2:$C$235,$B70,'Data (parsed)'!$G$2:$G$235,$C70)</f>
        <v>2</v>
      </c>
    </row>
    <row r="71" spans="1:4" ht="15" customHeight="1" x14ac:dyDescent="0.35">
      <c r="A71" s="23" t="s">
        <v>938</v>
      </c>
      <c r="B71" s="23" t="s">
        <v>967</v>
      </c>
      <c r="C71" s="23" t="s">
        <v>1036</v>
      </c>
      <c r="D71" s="24">
        <f>SUMIFS('Data (parsed)'!$I$2:$I$235,'Data (parsed)'!$B$2:$B$235,$A71,'Data (parsed)'!$C$2:$C$235,$B71,'Data (parsed)'!$G$2:$G$235,$C71)</f>
        <v>2</v>
      </c>
    </row>
    <row r="72" spans="1:4" ht="15" customHeight="1" x14ac:dyDescent="0.35">
      <c r="A72" s="23" t="s">
        <v>938</v>
      </c>
      <c r="B72" s="23" t="s">
        <v>967</v>
      </c>
      <c r="C72" s="23" t="s">
        <v>1037</v>
      </c>
      <c r="D72" s="24">
        <f>SUMIFS('Data (parsed)'!$I$2:$I$235,'Data (parsed)'!$B$2:$B$235,$A72,'Data (parsed)'!$C$2:$C$235,$B72,'Data (parsed)'!$G$2:$G$235,$C72)</f>
        <v>2</v>
      </c>
    </row>
    <row r="73" spans="1:4" ht="15" customHeight="1" x14ac:dyDescent="0.35">
      <c r="A73" s="23" t="s">
        <v>938</v>
      </c>
      <c r="B73" s="23" t="s">
        <v>967</v>
      </c>
      <c r="C73" s="23" t="s">
        <v>1038</v>
      </c>
      <c r="D73" s="24">
        <f>SUMIFS('Data (parsed)'!$I$2:$I$235,'Data (parsed)'!$B$2:$B$235,$A73,'Data (parsed)'!$C$2:$C$235,$B73,'Data (parsed)'!$G$2:$G$235,$C73)</f>
        <v>1</v>
      </c>
    </row>
    <row r="74" spans="1:4" ht="15" customHeight="1" x14ac:dyDescent="0.35">
      <c r="A74" s="23" t="s">
        <v>938</v>
      </c>
      <c r="B74" s="23" t="s">
        <v>967</v>
      </c>
      <c r="C74" s="23" t="s">
        <v>1039</v>
      </c>
      <c r="D74" s="24">
        <f>SUMIFS('Data (parsed)'!$I$2:$I$235,'Data (parsed)'!$B$2:$B$235,$A74,'Data (parsed)'!$C$2:$C$235,$B74,'Data (parsed)'!$G$2:$G$235,$C74)</f>
        <v>1</v>
      </c>
    </row>
    <row r="75" spans="1:4" ht="15" customHeight="1" x14ac:dyDescent="0.35">
      <c r="A75" s="23" t="s">
        <v>938</v>
      </c>
      <c r="B75" s="23" t="s">
        <v>967</v>
      </c>
      <c r="C75" s="23" t="s">
        <v>1014</v>
      </c>
      <c r="D75" s="24">
        <f>SUMIFS('Data (parsed)'!$I$2:$I$235,'Data (parsed)'!$B$2:$B$235,$A75,'Data (parsed)'!$C$2:$C$235,$B75,'Data (parsed)'!$G$2:$G$235,$C75)</f>
        <v>1</v>
      </c>
    </row>
    <row r="76" spans="1:4" ht="15" customHeight="1" x14ac:dyDescent="0.35">
      <c r="A76" s="23" t="s">
        <v>938</v>
      </c>
      <c r="B76" s="23" t="s">
        <v>967</v>
      </c>
      <c r="C76" s="23" t="s">
        <v>1027</v>
      </c>
      <c r="D76" s="24">
        <f>SUMIFS('Data (parsed)'!$I$2:$I$235,'Data (parsed)'!$B$2:$B$235,$A76,'Data (parsed)'!$C$2:$C$235,$B76,'Data (parsed)'!$G$2:$G$235,$C76)</f>
        <v>1</v>
      </c>
    </row>
    <row r="77" spans="1:4" ht="15" customHeight="1" x14ac:dyDescent="0.35">
      <c r="A77" s="23" t="s">
        <v>938</v>
      </c>
      <c r="B77" s="23" t="s">
        <v>967</v>
      </c>
      <c r="C77" s="23" t="s">
        <v>1009</v>
      </c>
      <c r="D77" s="24">
        <f>SUMIFS('Data (parsed)'!$I$2:$I$235,'Data (parsed)'!$B$2:$B$235,$A77,'Data (parsed)'!$C$2:$C$235,$B77,'Data (parsed)'!$G$2:$G$235,$C77)</f>
        <v>1</v>
      </c>
    </row>
    <row r="78" spans="1:4" ht="15" customHeight="1" x14ac:dyDescent="0.35">
      <c r="A78" s="23" t="s">
        <v>938</v>
      </c>
      <c r="B78" s="23" t="s">
        <v>967</v>
      </c>
      <c r="C78" s="23" t="s">
        <v>1010</v>
      </c>
      <c r="D78" s="24">
        <f>SUMIFS('Data (parsed)'!$I$2:$I$235,'Data (parsed)'!$B$2:$B$235,$A78,'Data (parsed)'!$C$2:$C$235,$B78,'Data (parsed)'!$G$2:$G$235,$C78)</f>
        <v>1</v>
      </c>
    </row>
    <row r="79" spans="1:4" ht="15" customHeight="1" x14ac:dyDescent="0.35">
      <c r="A79" s="23" t="s">
        <v>938</v>
      </c>
      <c r="B79" s="23" t="s">
        <v>967</v>
      </c>
      <c r="C79" s="23" t="s">
        <v>1040</v>
      </c>
      <c r="D79" s="24">
        <f>SUMIFS('Data (parsed)'!$I$2:$I$235,'Data (parsed)'!$B$2:$B$235,$A79,'Data (parsed)'!$C$2:$C$235,$B79,'Data (parsed)'!$G$2:$G$235,$C79)</f>
        <v>1</v>
      </c>
    </row>
    <row r="80" spans="1:4" ht="15" customHeight="1" x14ac:dyDescent="0.35">
      <c r="A80" s="23" t="s">
        <v>938</v>
      </c>
      <c r="B80" s="23" t="s">
        <v>970</v>
      </c>
      <c r="C80" s="23" t="s">
        <v>1037</v>
      </c>
      <c r="D80" s="24">
        <f>SUMIFS('Data (parsed)'!$I$2:$I$235,'Data (parsed)'!$B$2:$B$235,$A80,'Data (parsed)'!$C$2:$C$235,$B80,'Data (parsed)'!$G$2:$G$235,$C80)</f>
        <v>3</v>
      </c>
    </row>
    <row r="81" spans="1:4" ht="15" customHeight="1" x14ac:dyDescent="0.35">
      <c r="A81" s="23" t="s">
        <v>938</v>
      </c>
      <c r="B81" s="23" t="s">
        <v>969</v>
      </c>
      <c r="C81" s="23" t="s">
        <v>1002</v>
      </c>
      <c r="D81" s="24">
        <f>SUMIFS('Data (parsed)'!$I$2:$I$235,'Data (parsed)'!$B$2:$B$235,$A81,'Data (parsed)'!$C$2:$C$235,$B81,'Data (parsed)'!$G$2:$G$235,$C81)</f>
        <v>2</v>
      </c>
    </row>
    <row r="82" spans="1:4" ht="15" customHeight="1" x14ac:dyDescent="0.35">
      <c r="A82" s="23" t="s">
        <v>938</v>
      </c>
      <c r="B82" s="23" t="s">
        <v>969</v>
      </c>
      <c r="C82" s="23" t="s">
        <v>1000</v>
      </c>
      <c r="D82" s="24">
        <f>SUMIFS('Data (parsed)'!$I$2:$I$235,'Data (parsed)'!$B$2:$B$235,$A82,'Data (parsed)'!$C$2:$C$235,$B82,'Data (parsed)'!$G$2:$G$235,$C82)</f>
        <v>1</v>
      </c>
    </row>
    <row r="83" spans="1:4" ht="15" customHeight="1" x14ac:dyDescent="0.35">
      <c r="A83" s="23" t="s">
        <v>938</v>
      </c>
      <c r="B83" s="23" t="s">
        <v>968</v>
      </c>
      <c r="C83" s="23" t="s">
        <v>1035</v>
      </c>
      <c r="D83" s="24">
        <f>SUMIFS('Data (parsed)'!$I$2:$I$235,'Data (parsed)'!$B$2:$B$235,$A83,'Data (parsed)'!$C$2:$C$235,$B83,'Data (parsed)'!$G$2:$G$235,$C83)</f>
        <v>1</v>
      </c>
    </row>
    <row r="84" spans="1:4" ht="15" customHeight="1" x14ac:dyDescent="0.35">
      <c r="A84" s="23" t="s">
        <v>938</v>
      </c>
      <c r="B84" s="23" t="s">
        <v>968</v>
      </c>
      <c r="C84" s="23" t="s">
        <v>1039</v>
      </c>
      <c r="D84" s="24">
        <f>SUMIFS('Data (parsed)'!$I$2:$I$235,'Data (parsed)'!$B$2:$B$235,$A84,'Data (parsed)'!$C$2:$C$235,$B84,'Data (parsed)'!$G$2:$G$235,$C84)</f>
        <v>1</v>
      </c>
    </row>
    <row r="85" spans="1:4" ht="15" customHeight="1" x14ac:dyDescent="0.35">
      <c r="A85" s="23" t="s">
        <v>938</v>
      </c>
      <c r="B85" s="23" t="s">
        <v>968</v>
      </c>
      <c r="C85" s="23" t="s">
        <v>1041</v>
      </c>
      <c r="D85" s="24">
        <f>SUMIFS('Data (parsed)'!$I$2:$I$235,'Data (parsed)'!$B$2:$B$235,$A85,'Data (parsed)'!$C$2:$C$235,$B85,'Data (parsed)'!$G$2:$G$235,$C85)</f>
        <v>1</v>
      </c>
    </row>
    <row r="86" spans="1:4" ht="15" customHeight="1" x14ac:dyDescent="0.35">
      <c r="A86" s="23" t="s">
        <v>938</v>
      </c>
      <c r="B86" s="23" t="s">
        <v>968</v>
      </c>
      <c r="C86" s="23" t="s">
        <v>1042</v>
      </c>
      <c r="D86" s="24">
        <f>SUMIFS('Data (parsed)'!$I$2:$I$235,'Data (parsed)'!$B$2:$B$235,$A86,'Data (parsed)'!$C$2:$C$235,$B86,'Data (parsed)'!$G$2:$G$235,$C86)</f>
        <v>1</v>
      </c>
    </row>
    <row r="87" spans="1:4" ht="15" customHeight="1" x14ac:dyDescent="0.35">
      <c r="A87" s="23" t="s">
        <v>938</v>
      </c>
      <c r="B87" s="23" t="s">
        <v>968</v>
      </c>
      <c r="C87" s="23" t="s">
        <v>1043</v>
      </c>
      <c r="D87" s="24">
        <f>SUMIFS('Data (parsed)'!$I$2:$I$235,'Data (parsed)'!$B$2:$B$235,$A87,'Data (parsed)'!$C$2:$C$235,$B87,'Data (parsed)'!$G$2:$G$235,$C87)</f>
        <v>1</v>
      </c>
    </row>
    <row r="88" spans="1:4" ht="15" customHeight="1" x14ac:dyDescent="0.35">
      <c r="A88" s="23" t="s">
        <v>938</v>
      </c>
      <c r="B88" s="23" t="s">
        <v>971</v>
      </c>
      <c r="C88" s="23" t="s">
        <v>1044</v>
      </c>
      <c r="D88" s="24">
        <f>SUMIFS('Data (parsed)'!$I$2:$I$235,'Data (parsed)'!$B$2:$B$235,$A88,'Data (parsed)'!$C$2:$C$235,$B88,'Data (parsed)'!$G$2:$G$235,$C88)</f>
        <v>1</v>
      </c>
    </row>
    <row r="89" spans="1:4" ht="15" customHeight="1" x14ac:dyDescent="0.35">
      <c r="A89" s="23" t="s">
        <v>938</v>
      </c>
      <c r="B89" s="23" t="s">
        <v>971</v>
      </c>
      <c r="C89" s="23" t="s">
        <v>1037</v>
      </c>
      <c r="D89" s="24">
        <f>SUMIFS('Data (parsed)'!$I$2:$I$235,'Data (parsed)'!$B$2:$B$235,$A89,'Data (parsed)'!$C$2:$C$235,$B89,'Data (parsed)'!$G$2:$G$235,$C89)</f>
        <v>1</v>
      </c>
    </row>
    <row r="90" spans="1:4" ht="15" customHeight="1" x14ac:dyDescent="0.35">
      <c r="A90" s="23" t="s">
        <v>938</v>
      </c>
      <c r="B90" s="23" t="s">
        <v>972</v>
      </c>
      <c r="C90" s="23" t="s">
        <v>1045</v>
      </c>
      <c r="D90" s="24">
        <f>SUMIFS('Data (parsed)'!$I$2:$I$235,'Data (parsed)'!$B$2:$B$235,$A90,'Data (parsed)'!$C$2:$C$235,$B90,'Data (parsed)'!$G$2:$G$235,$C90)</f>
        <v>1</v>
      </c>
    </row>
    <row r="91" spans="1:4" ht="15" customHeight="1" x14ac:dyDescent="0.35">
      <c r="A91" s="16" t="s">
        <v>939</v>
      </c>
      <c r="B91" s="16" t="s">
        <v>977</v>
      </c>
      <c r="C91" s="16" t="s">
        <v>1037</v>
      </c>
      <c r="D91" s="22">
        <f>SUMIFS('Data (parsed)'!$I$2:$I$235,'Data (parsed)'!$B$2:$B$235,$A91,'Data (parsed)'!$C$2:$C$235,$B91,'Data (parsed)'!$G$2:$G$235,$C91)</f>
        <v>6</v>
      </c>
    </row>
    <row r="92" spans="1:4" ht="15" customHeight="1" x14ac:dyDescent="0.35">
      <c r="A92" s="16" t="s">
        <v>939</v>
      </c>
      <c r="B92" s="16" t="s">
        <v>977</v>
      </c>
      <c r="C92" s="16" t="s">
        <v>1046</v>
      </c>
      <c r="D92" s="22">
        <f>SUMIFS('Data (parsed)'!$I$2:$I$235,'Data (parsed)'!$B$2:$B$235,$A92,'Data (parsed)'!$C$2:$C$235,$B92,'Data (parsed)'!$G$2:$G$235,$C92)</f>
        <v>1</v>
      </c>
    </row>
    <row r="93" spans="1:4" ht="15" customHeight="1" x14ac:dyDescent="0.35">
      <c r="A93" s="16" t="s">
        <v>939</v>
      </c>
      <c r="B93" s="16" t="s">
        <v>977</v>
      </c>
      <c r="C93" s="16" t="s">
        <v>1000</v>
      </c>
      <c r="D93" s="22">
        <f>SUMIFS('Data (parsed)'!$I$2:$I$235,'Data (parsed)'!$B$2:$B$235,$A93,'Data (parsed)'!$C$2:$C$235,$B93,'Data (parsed)'!$G$2:$G$235,$C93)</f>
        <v>1</v>
      </c>
    </row>
    <row r="94" spans="1:4" ht="15" customHeight="1" x14ac:dyDescent="0.35">
      <c r="A94" s="16" t="s">
        <v>939</v>
      </c>
      <c r="B94" s="16" t="s">
        <v>980</v>
      </c>
      <c r="C94" s="16" t="s">
        <v>1037</v>
      </c>
      <c r="D94" s="22">
        <f>SUMIFS('Data (parsed)'!$I$2:$I$235,'Data (parsed)'!$B$2:$B$235,$A94,'Data (parsed)'!$C$2:$C$235,$B94,'Data (parsed)'!$G$2:$G$235,$C94)</f>
        <v>3</v>
      </c>
    </row>
    <row r="95" spans="1:4" ht="15" customHeight="1" x14ac:dyDescent="0.35">
      <c r="A95" s="16" t="s">
        <v>939</v>
      </c>
      <c r="B95" s="16" t="s">
        <v>981</v>
      </c>
      <c r="C95" s="16" t="s">
        <v>1037</v>
      </c>
      <c r="D95" s="22">
        <f>SUMIFS('Data (parsed)'!$I$2:$I$235,'Data (parsed)'!$B$2:$B$235,$A95,'Data (parsed)'!$C$2:$C$235,$B95,'Data (parsed)'!$G$2:$G$235,$C95)</f>
        <v>2</v>
      </c>
    </row>
    <row r="96" spans="1:4" ht="26.25" customHeight="1" x14ac:dyDescent="0.35">
      <c r="A96" s="16" t="s">
        <v>939</v>
      </c>
      <c r="B96" s="16" t="s">
        <v>976</v>
      </c>
      <c r="C96" s="16" t="s">
        <v>1037</v>
      </c>
      <c r="D96" s="22">
        <f>SUMIFS('Data (parsed)'!$I$2:$I$235,'Data (parsed)'!$B$2:$B$235,$A96,'Data (parsed)'!$C$2:$C$235,$B96,'Data (parsed)'!$G$2:$G$235,$C96)</f>
        <v>8</v>
      </c>
    </row>
    <row r="97" spans="1:4" ht="26.25" customHeight="1" x14ac:dyDescent="0.35">
      <c r="A97" s="16" t="s">
        <v>939</v>
      </c>
      <c r="B97" s="16" t="s">
        <v>976</v>
      </c>
      <c r="C97" s="16" t="s">
        <v>1047</v>
      </c>
      <c r="D97" s="22">
        <f>SUMIFS('Data (parsed)'!$I$2:$I$235,'Data (parsed)'!$B$2:$B$235,$A97,'Data (parsed)'!$C$2:$C$235,$B97,'Data (parsed)'!$G$2:$G$235,$C97)</f>
        <v>1</v>
      </c>
    </row>
    <row r="98" spans="1:4" ht="15" customHeight="1" x14ac:dyDescent="0.35">
      <c r="A98" s="16" t="s">
        <v>939</v>
      </c>
      <c r="B98" s="16" t="s">
        <v>985</v>
      </c>
      <c r="C98" s="16" t="s">
        <v>1002</v>
      </c>
      <c r="D98" s="22">
        <f>SUMIFS('Data (parsed)'!$I$2:$I$235,'Data (parsed)'!$B$2:$B$235,$A98,'Data (parsed)'!$C$2:$C$235,$B98,'Data (parsed)'!$G$2:$G$235,$C98)</f>
        <v>1</v>
      </c>
    </row>
    <row r="99" spans="1:4" ht="15" customHeight="1" x14ac:dyDescent="0.35">
      <c r="A99" s="16" t="s">
        <v>939</v>
      </c>
      <c r="B99" s="16" t="s">
        <v>984</v>
      </c>
      <c r="C99" s="16" t="s">
        <v>1037</v>
      </c>
      <c r="D99" s="22">
        <f>SUMIFS('Data (parsed)'!$I$2:$I$235,'Data (parsed)'!$B$2:$B$235,$A99,'Data (parsed)'!$C$2:$C$235,$B99,'Data (parsed)'!$G$2:$G$235,$C99)</f>
        <v>1</v>
      </c>
    </row>
    <row r="100" spans="1:4" ht="15" customHeight="1" x14ac:dyDescent="0.35">
      <c r="A100" s="16" t="s">
        <v>939</v>
      </c>
      <c r="B100" s="16" t="s">
        <v>982</v>
      </c>
      <c r="C100" s="16" t="s">
        <v>1037</v>
      </c>
      <c r="D100" s="22">
        <f>SUMIFS('Data (parsed)'!$I$2:$I$235,'Data (parsed)'!$B$2:$B$235,$A100,'Data (parsed)'!$C$2:$C$235,$B100,'Data (parsed)'!$G$2:$G$235,$C100)</f>
        <v>1</v>
      </c>
    </row>
    <row r="101" spans="1:4" ht="15" customHeight="1" x14ac:dyDescent="0.35">
      <c r="A101" s="16" t="s">
        <v>939</v>
      </c>
      <c r="B101" s="16" t="s">
        <v>674</v>
      </c>
      <c r="C101" s="16" t="s">
        <v>1037</v>
      </c>
      <c r="D101" s="22">
        <f>SUMIFS('Data (parsed)'!$I$2:$I$235,'Data (parsed)'!$B$2:$B$235,$A101,'Data (parsed)'!$C$2:$C$235,$B101,'Data (parsed)'!$G$2:$G$235,$C101)</f>
        <v>2</v>
      </c>
    </row>
    <row r="102" spans="1:4" ht="15" customHeight="1" x14ac:dyDescent="0.35">
      <c r="A102" s="16" t="s">
        <v>939</v>
      </c>
      <c r="B102" s="16" t="s">
        <v>983</v>
      </c>
      <c r="C102" s="16" t="s">
        <v>1037</v>
      </c>
      <c r="D102" s="22">
        <f>SUMIFS('Data (parsed)'!$I$2:$I$235,'Data (parsed)'!$B$2:$B$235,$A102,'Data (parsed)'!$C$2:$C$235,$B102,'Data (parsed)'!$G$2:$G$235,$C102)</f>
        <v>1</v>
      </c>
    </row>
    <row r="103" spans="1:4" ht="15" customHeight="1" x14ac:dyDescent="0.35">
      <c r="A103" s="16" t="s">
        <v>939</v>
      </c>
      <c r="B103" s="16" t="s">
        <v>978</v>
      </c>
      <c r="C103" s="16" t="s">
        <v>1037</v>
      </c>
      <c r="D103" s="22">
        <f>SUMIFS('Data (parsed)'!$I$2:$I$235,'Data (parsed)'!$B$2:$B$235,$A103,'Data (parsed)'!$C$2:$C$235,$B103,'Data (parsed)'!$G$2:$G$235,$C103)</f>
        <v>5</v>
      </c>
    </row>
    <row r="104" spans="1:4" ht="15" customHeight="1" x14ac:dyDescent="0.35">
      <c r="A104" s="16" t="s">
        <v>939</v>
      </c>
      <c r="B104" s="16" t="s">
        <v>978</v>
      </c>
      <c r="C104" s="16" t="s">
        <v>1048</v>
      </c>
      <c r="D104" s="22">
        <f>SUMIFS('Data (parsed)'!$I$2:$I$235,'Data (parsed)'!$B$2:$B$235,$A104,'Data (parsed)'!$C$2:$C$235,$B104,'Data (parsed)'!$G$2:$G$235,$C104)</f>
        <v>5</v>
      </c>
    </row>
    <row r="105" spans="1:4" ht="15" customHeight="1" x14ac:dyDescent="0.35">
      <c r="A105" s="16" t="s">
        <v>939</v>
      </c>
      <c r="B105" s="16" t="s">
        <v>978</v>
      </c>
      <c r="C105" s="16" t="s">
        <v>1049</v>
      </c>
      <c r="D105" s="22">
        <f>SUMIFS('Data (parsed)'!$I$2:$I$235,'Data (parsed)'!$B$2:$B$235,$A105,'Data (parsed)'!$C$2:$C$235,$B105,'Data (parsed)'!$G$2:$G$235,$C105)</f>
        <v>1</v>
      </c>
    </row>
    <row r="106" spans="1:4" ht="15" customHeight="1" x14ac:dyDescent="0.35">
      <c r="A106" s="16" t="s">
        <v>939</v>
      </c>
      <c r="B106" s="16" t="s">
        <v>978</v>
      </c>
      <c r="C106" s="16" t="s">
        <v>1050</v>
      </c>
      <c r="D106" s="22">
        <f>SUMIFS('Data (parsed)'!$I$2:$I$235,'Data (parsed)'!$B$2:$B$235,$A106,'Data (parsed)'!$C$2:$C$235,$B106,'Data (parsed)'!$G$2:$G$235,$C106)</f>
        <v>1</v>
      </c>
    </row>
    <row r="107" spans="1:4" ht="15" customHeight="1" x14ac:dyDescent="0.35">
      <c r="A107" s="16" t="s">
        <v>939</v>
      </c>
      <c r="B107" s="16" t="s">
        <v>979</v>
      </c>
      <c r="C107" s="16" t="s">
        <v>1037</v>
      </c>
      <c r="D107" s="22">
        <f>SUMIFS('Data (parsed)'!$I$2:$I$235,'Data (parsed)'!$B$2:$B$235,$A107,'Data (parsed)'!$C$2:$C$235,$B107,'Data (parsed)'!$G$2:$G$235,$C107)</f>
        <v>2</v>
      </c>
    </row>
    <row r="108" spans="1:4" ht="15" customHeight="1" x14ac:dyDescent="0.35">
      <c r="A108" s="16" t="s">
        <v>939</v>
      </c>
      <c r="B108" s="16" t="s">
        <v>979</v>
      </c>
      <c r="C108" s="16" t="s">
        <v>1002</v>
      </c>
      <c r="D108" s="22">
        <f>SUMIFS('Data (parsed)'!$I$2:$I$235,'Data (parsed)'!$B$2:$B$235,$A108,'Data (parsed)'!$C$2:$C$235,$B108,'Data (parsed)'!$G$2:$G$235,$C108)</f>
        <v>1</v>
      </c>
    </row>
    <row r="109" spans="1:4" ht="15" customHeight="1" x14ac:dyDescent="0.35">
      <c r="A109" s="16" t="s">
        <v>939</v>
      </c>
      <c r="B109" s="16" t="s">
        <v>979</v>
      </c>
      <c r="C109" s="16" t="s">
        <v>1051</v>
      </c>
      <c r="D109" s="22">
        <f>SUMIFS('Data (parsed)'!$I$2:$I$235,'Data (parsed)'!$B$2:$B$235,$A109,'Data (parsed)'!$C$2:$C$235,$B109,'Data (parsed)'!$G$2:$G$235,$C109)</f>
        <v>1</v>
      </c>
    </row>
    <row r="110" spans="1:4" ht="15" customHeight="1" x14ac:dyDescent="0.35">
      <c r="A110" s="23" t="s">
        <v>940</v>
      </c>
      <c r="B110" s="23" t="s">
        <v>992</v>
      </c>
      <c r="C110" s="23" t="s">
        <v>1052</v>
      </c>
      <c r="D110" s="24">
        <f>SUMIFS('Data (parsed)'!$I$2:$I$235,'Data (parsed)'!$B$2:$B$235,$A110,'Data (parsed)'!$C$2:$C$235,$B110,'Data (parsed)'!$G$2:$G$235,$C110)</f>
        <v>2</v>
      </c>
    </row>
    <row r="111" spans="1:4" ht="15" customHeight="1" x14ac:dyDescent="0.35">
      <c r="A111" s="23" t="s">
        <v>940</v>
      </c>
      <c r="B111" s="23" t="s">
        <v>992</v>
      </c>
      <c r="C111" s="23" t="s">
        <v>1053</v>
      </c>
      <c r="D111" s="24">
        <f>SUMIFS('Data (parsed)'!$I$2:$I$235,'Data (parsed)'!$B$2:$B$235,$A111,'Data (parsed)'!$C$2:$C$235,$B111,'Data (parsed)'!$G$2:$G$235,$C111)</f>
        <v>1</v>
      </c>
    </row>
    <row r="112" spans="1:4" ht="15" customHeight="1" x14ac:dyDescent="0.35">
      <c r="A112" s="23" t="s">
        <v>940</v>
      </c>
      <c r="B112" s="23" t="s">
        <v>992</v>
      </c>
      <c r="C112" s="23" t="s">
        <v>1054</v>
      </c>
      <c r="D112" s="24">
        <f>SUMIFS('Data (parsed)'!$I$2:$I$235,'Data (parsed)'!$B$2:$B$235,$A112,'Data (parsed)'!$C$2:$C$235,$B112,'Data (parsed)'!$G$2:$G$235,$C112)</f>
        <v>1</v>
      </c>
    </row>
    <row r="113" spans="1:4" ht="15" customHeight="1" x14ac:dyDescent="0.35">
      <c r="A113" s="23" t="s">
        <v>940</v>
      </c>
      <c r="B113" s="23" t="s">
        <v>992</v>
      </c>
      <c r="C113" s="23" t="s">
        <v>1055</v>
      </c>
      <c r="D113" s="24">
        <f>SUMIFS('Data (parsed)'!$I$2:$I$235,'Data (parsed)'!$B$2:$B$235,$A113,'Data (parsed)'!$C$2:$C$235,$B113,'Data (parsed)'!$G$2:$G$235,$C113)</f>
        <v>1</v>
      </c>
    </row>
    <row r="114" spans="1:4" ht="15" customHeight="1" x14ac:dyDescent="0.35">
      <c r="A114" s="23" t="s">
        <v>940</v>
      </c>
      <c r="B114" s="23" t="s">
        <v>991</v>
      </c>
      <c r="C114" s="23" t="s">
        <v>1055</v>
      </c>
      <c r="D114" s="24">
        <f>SUMIFS('Data (parsed)'!$I$2:$I$235,'Data (parsed)'!$B$2:$B$235,$A114,'Data (parsed)'!$C$2:$C$235,$B114,'Data (parsed)'!$G$2:$G$235,$C114)</f>
        <v>2</v>
      </c>
    </row>
    <row r="115" spans="1:4" ht="15" customHeight="1" x14ac:dyDescent="0.35">
      <c r="A115" s="23" t="s">
        <v>940</v>
      </c>
      <c r="B115" s="23" t="s">
        <v>991</v>
      </c>
      <c r="C115" s="23" t="s">
        <v>1056</v>
      </c>
      <c r="D115" s="24">
        <f>SUMIFS('Data (parsed)'!$I$2:$I$235,'Data (parsed)'!$B$2:$B$235,$A115,'Data (parsed)'!$C$2:$C$235,$B115,'Data (parsed)'!$G$2:$G$235,$C115)</f>
        <v>1</v>
      </c>
    </row>
    <row r="116" spans="1:4" ht="15" customHeight="1" x14ac:dyDescent="0.35">
      <c r="A116" s="23" t="s">
        <v>940</v>
      </c>
      <c r="B116" s="23" t="s">
        <v>991</v>
      </c>
      <c r="C116" s="23" t="s">
        <v>1057</v>
      </c>
      <c r="D116" s="24">
        <f>SUMIFS('Data (parsed)'!$I$2:$I$235,'Data (parsed)'!$B$2:$B$235,$A116,'Data (parsed)'!$C$2:$C$235,$B116,'Data (parsed)'!$G$2:$G$235,$C116)</f>
        <v>1</v>
      </c>
    </row>
    <row r="117" spans="1:4" ht="15" customHeight="1" x14ac:dyDescent="0.35">
      <c r="A117" s="23" t="s">
        <v>940</v>
      </c>
      <c r="B117" s="23" t="s">
        <v>991</v>
      </c>
      <c r="C117" s="23" t="s">
        <v>1058</v>
      </c>
      <c r="D117" s="24">
        <f>SUMIFS('Data (parsed)'!$I$2:$I$235,'Data (parsed)'!$B$2:$B$235,$A117,'Data (parsed)'!$C$2:$C$235,$B117,'Data (parsed)'!$G$2:$G$235,$C117)</f>
        <v>1</v>
      </c>
    </row>
    <row r="118" spans="1:4" ht="15" customHeight="1" x14ac:dyDescent="0.35">
      <c r="A118" s="23" t="s">
        <v>940</v>
      </c>
      <c r="B118" s="23" t="s">
        <v>767</v>
      </c>
      <c r="C118" s="23" t="s">
        <v>1055</v>
      </c>
      <c r="D118" s="24">
        <f>SUMIFS('Data (parsed)'!$I$2:$I$235,'Data (parsed)'!$B$2:$B$235,$A118,'Data (parsed)'!$C$2:$C$235,$B118,'Data (parsed)'!$G$2:$G$235,$C118)</f>
        <v>12</v>
      </c>
    </row>
    <row r="119" spans="1:4" ht="15" customHeight="1" x14ac:dyDescent="0.35">
      <c r="A119" s="23" t="s">
        <v>940</v>
      </c>
      <c r="B119" s="23" t="s">
        <v>767</v>
      </c>
      <c r="C119" s="23" t="s">
        <v>1059</v>
      </c>
      <c r="D119" s="24">
        <f>SUMIFS('Data (parsed)'!$I$2:$I$235,'Data (parsed)'!$B$2:$B$235,$A119,'Data (parsed)'!$C$2:$C$235,$B119,'Data (parsed)'!$G$2:$G$235,$C119)</f>
        <v>5</v>
      </c>
    </row>
    <row r="120" spans="1:4" ht="15" customHeight="1" x14ac:dyDescent="0.35">
      <c r="A120" s="23" t="s">
        <v>940</v>
      </c>
      <c r="B120" s="23" t="s">
        <v>767</v>
      </c>
      <c r="C120" s="23" t="s">
        <v>1052</v>
      </c>
      <c r="D120" s="24">
        <f>SUMIFS('Data (parsed)'!$I$2:$I$235,'Data (parsed)'!$B$2:$B$235,$A120,'Data (parsed)'!$C$2:$C$235,$B120,'Data (parsed)'!$G$2:$G$235,$C120)</f>
        <v>2</v>
      </c>
    </row>
    <row r="121" spans="1:4" ht="15" customHeight="1" x14ac:dyDescent="0.35">
      <c r="A121" s="23" t="s">
        <v>940</v>
      </c>
      <c r="B121" s="23" t="s">
        <v>767</v>
      </c>
      <c r="C121" s="23" t="s">
        <v>1056</v>
      </c>
      <c r="D121" s="24">
        <f>SUMIFS('Data (parsed)'!$I$2:$I$235,'Data (parsed)'!$B$2:$B$235,$A121,'Data (parsed)'!$C$2:$C$235,$B121,'Data (parsed)'!$G$2:$G$235,$C121)</f>
        <v>2</v>
      </c>
    </row>
    <row r="122" spans="1:4" ht="15" customHeight="1" x14ac:dyDescent="0.35">
      <c r="A122" s="23" t="s">
        <v>940</v>
      </c>
      <c r="B122" s="23" t="s">
        <v>767</v>
      </c>
      <c r="C122" s="23" t="s">
        <v>1060</v>
      </c>
      <c r="D122" s="24">
        <f>SUMIFS('Data (parsed)'!$I$2:$I$235,'Data (parsed)'!$B$2:$B$235,$A122,'Data (parsed)'!$C$2:$C$235,$B122,'Data (parsed)'!$G$2:$G$235,$C122)</f>
        <v>2</v>
      </c>
    </row>
    <row r="123" spans="1:4" ht="15" customHeight="1" x14ac:dyDescent="0.35">
      <c r="A123" s="23" t="s">
        <v>940</v>
      </c>
      <c r="B123" s="23" t="s">
        <v>767</v>
      </c>
      <c r="C123" s="23" t="s">
        <v>1061</v>
      </c>
      <c r="D123" s="24">
        <f>SUMIFS('Data (parsed)'!$I$2:$I$235,'Data (parsed)'!$B$2:$B$235,$A123,'Data (parsed)'!$C$2:$C$235,$B123,'Data (parsed)'!$G$2:$G$235,$C123)</f>
        <v>1</v>
      </c>
    </row>
    <row r="124" spans="1:4" ht="15" customHeight="1" x14ac:dyDescent="0.35">
      <c r="A124" s="23" t="s">
        <v>940</v>
      </c>
      <c r="B124" s="23" t="s">
        <v>767</v>
      </c>
      <c r="C124" s="23" t="s">
        <v>1062</v>
      </c>
      <c r="D124" s="24">
        <f>SUMIFS('Data (parsed)'!$I$2:$I$235,'Data (parsed)'!$B$2:$B$235,$A124,'Data (parsed)'!$C$2:$C$235,$B124,'Data (parsed)'!$G$2:$G$235,$C124)</f>
        <v>1</v>
      </c>
    </row>
    <row r="125" spans="1:4" ht="15" customHeight="1" x14ac:dyDescent="0.35">
      <c r="A125" s="23" t="s">
        <v>940</v>
      </c>
      <c r="B125" s="23" t="s">
        <v>767</v>
      </c>
      <c r="C125" s="23" t="s">
        <v>1063</v>
      </c>
      <c r="D125" s="24">
        <f>SUMIFS('Data (parsed)'!$I$2:$I$235,'Data (parsed)'!$B$2:$B$235,$A125,'Data (parsed)'!$C$2:$C$235,$B125,'Data (parsed)'!$G$2:$G$235,$C125)</f>
        <v>1</v>
      </c>
    </row>
    <row r="126" spans="1:4" ht="15" customHeight="1" x14ac:dyDescent="0.35">
      <c r="A126" s="23" t="s">
        <v>940</v>
      </c>
      <c r="B126" s="23" t="s">
        <v>767</v>
      </c>
      <c r="C126" s="23" t="s">
        <v>1064</v>
      </c>
      <c r="D126" s="24">
        <f>SUMIFS('Data (parsed)'!$I$2:$I$235,'Data (parsed)'!$B$2:$B$235,$A126,'Data (parsed)'!$C$2:$C$235,$B126,'Data (parsed)'!$G$2:$G$235,$C126)</f>
        <v>1</v>
      </c>
    </row>
    <row r="127" spans="1:4" ht="15" customHeight="1" x14ac:dyDescent="0.35">
      <c r="A127" s="23" t="s">
        <v>940</v>
      </c>
      <c r="B127" s="23" t="s">
        <v>993</v>
      </c>
      <c r="C127" s="23" t="s">
        <v>1065</v>
      </c>
      <c r="D127" s="24">
        <f>SUMIFS('Data (parsed)'!$I$2:$I$235,'Data (parsed)'!$B$2:$B$235,$A127,'Data (parsed)'!$C$2:$C$235,$B127,'Data (parsed)'!$G$2:$G$235,$C127)</f>
        <v>1</v>
      </c>
    </row>
    <row r="128" spans="1:4" ht="15" customHeight="1" x14ac:dyDescent="0.35">
      <c r="A128" s="23" t="s">
        <v>940</v>
      </c>
      <c r="B128" s="23" t="s">
        <v>989</v>
      </c>
      <c r="C128" s="23" t="s">
        <v>1055</v>
      </c>
      <c r="D128" s="24">
        <f>SUMIFS('Data (parsed)'!$I$2:$I$235,'Data (parsed)'!$B$2:$B$235,$A128,'Data (parsed)'!$C$2:$C$235,$B128,'Data (parsed)'!$G$2:$G$235,$C128)</f>
        <v>3</v>
      </c>
    </row>
    <row r="129" spans="1:4" ht="15" customHeight="1" x14ac:dyDescent="0.35">
      <c r="A129" s="23" t="s">
        <v>940</v>
      </c>
      <c r="B129" s="23" t="s">
        <v>989</v>
      </c>
      <c r="C129" s="23" t="s">
        <v>1059</v>
      </c>
      <c r="D129" s="24">
        <f>SUMIFS('Data (parsed)'!$I$2:$I$235,'Data (parsed)'!$B$2:$B$235,$A129,'Data (parsed)'!$C$2:$C$235,$B129,'Data (parsed)'!$G$2:$G$235,$C129)</f>
        <v>2</v>
      </c>
    </row>
    <row r="130" spans="1:4" ht="15" customHeight="1" x14ac:dyDescent="0.35">
      <c r="A130" s="23" t="s">
        <v>940</v>
      </c>
      <c r="B130" s="23" t="s">
        <v>989</v>
      </c>
      <c r="C130" s="23" t="s">
        <v>1002</v>
      </c>
      <c r="D130" s="24">
        <f>SUMIFS('Data (parsed)'!$I$2:$I$235,'Data (parsed)'!$B$2:$B$235,$A130,'Data (parsed)'!$C$2:$C$235,$B130,'Data (parsed)'!$G$2:$G$235,$C130)</f>
        <v>1</v>
      </c>
    </row>
    <row r="131" spans="1:4" ht="15" customHeight="1" x14ac:dyDescent="0.35">
      <c r="A131" s="23" t="s">
        <v>940</v>
      </c>
      <c r="B131" s="23" t="s">
        <v>989</v>
      </c>
      <c r="C131" s="23" t="s">
        <v>1066</v>
      </c>
      <c r="D131" s="24">
        <f>SUMIFS('Data (parsed)'!$I$2:$I$235,'Data (parsed)'!$B$2:$B$235,$A131,'Data (parsed)'!$C$2:$C$235,$B131,'Data (parsed)'!$G$2:$G$235,$C131)</f>
        <v>1</v>
      </c>
    </row>
    <row r="132" spans="1:4" ht="15" customHeight="1" x14ac:dyDescent="0.35">
      <c r="A132" s="23" t="s">
        <v>940</v>
      </c>
      <c r="B132" s="23" t="s">
        <v>989</v>
      </c>
      <c r="C132" s="23" t="s">
        <v>1067</v>
      </c>
      <c r="D132" s="24">
        <f>SUMIFS('Data (parsed)'!$I$2:$I$235,'Data (parsed)'!$B$2:$B$235,$A132,'Data (parsed)'!$C$2:$C$235,$B132,'Data (parsed)'!$G$2:$G$235,$C132)</f>
        <v>1</v>
      </c>
    </row>
    <row r="133" spans="1:4" ht="15" customHeight="1" x14ac:dyDescent="0.35">
      <c r="A133" s="23" t="s">
        <v>940</v>
      </c>
      <c r="B133" s="23" t="s">
        <v>989</v>
      </c>
      <c r="C133" s="23" t="s">
        <v>1068</v>
      </c>
      <c r="D133" s="24">
        <f>SUMIFS('Data (parsed)'!$I$2:$I$235,'Data (parsed)'!$B$2:$B$235,$A133,'Data (parsed)'!$C$2:$C$235,$B133,'Data (parsed)'!$G$2:$G$235,$C133)</f>
        <v>1</v>
      </c>
    </row>
    <row r="134" spans="1:4" ht="15" customHeight="1" x14ac:dyDescent="0.35">
      <c r="A134" s="23" t="s">
        <v>940</v>
      </c>
      <c r="B134" s="23" t="s">
        <v>989</v>
      </c>
      <c r="C134" s="23" t="s">
        <v>1014</v>
      </c>
      <c r="D134" s="24">
        <f>SUMIFS('Data (parsed)'!$I$2:$I$235,'Data (parsed)'!$B$2:$B$235,$A134,'Data (parsed)'!$C$2:$C$235,$B134,'Data (parsed)'!$G$2:$G$235,$C134)</f>
        <v>1</v>
      </c>
    </row>
    <row r="135" spans="1:4" ht="15" customHeight="1" x14ac:dyDescent="0.35">
      <c r="A135" s="23" t="s">
        <v>940</v>
      </c>
      <c r="B135" s="23" t="s">
        <v>989</v>
      </c>
      <c r="C135" s="23" t="s">
        <v>1069</v>
      </c>
      <c r="D135" s="24">
        <f>SUMIFS('Data (parsed)'!$I$2:$I$235,'Data (parsed)'!$B$2:$B$235,$A135,'Data (parsed)'!$C$2:$C$235,$B135,'Data (parsed)'!$G$2:$G$235,$C135)</f>
        <v>1</v>
      </c>
    </row>
    <row r="136" spans="1:4" ht="15" customHeight="1" x14ac:dyDescent="0.35">
      <c r="A136" s="23" t="s">
        <v>940</v>
      </c>
      <c r="B136" s="23" t="s">
        <v>990</v>
      </c>
      <c r="C136" s="23" t="s">
        <v>1055</v>
      </c>
      <c r="D136" s="24">
        <f>SUMIFS('Data (parsed)'!$I$2:$I$235,'Data (parsed)'!$B$2:$B$235,$A136,'Data (parsed)'!$C$2:$C$235,$B136,'Data (parsed)'!$G$2:$G$235,$C136)</f>
        <v>4</v>
      </c>
    </row>
    <row r="137" spans="1:4" ht="15" customHeight="1" x14ac:dyDescent="0.35">
      <c r="A137" s="23" t="s">
        <v>940</v>
      </c>
      <c r="B137" s="23" t="s">
        <v>990</v>
      </c>
      <c r="C137" s="23" t="s">
        <v>1002</v>
      </c>
      <c r="D137" s="24">
        <f>SUMIFS('Data (parsed)'!$I$2:$I$235,'Data (parsed)'!$B$2:$B$235,$A137,'Data (parsed)'!$C$2:$C$235,$B137,'Data (parsed)'!$G$2:$G$235,$C137)</f>
        <v>1</v>
      </c>
    </row>
    <row r="138" spans="1:4" ht="15" customHeight="1" x14ac:dyDescent="0.35">
      <c r="A138" s="23" t="s">
        <v>940</v>
      </c>
      <c r="B138" s="23" t="s">
        <v>990</v>
      </c>
      <c r="C138" s="23" t="s">
        <v>1070</v>
      </c>
      <c r="D138" s="24">
        <f>SUMIFS('Data (parsed)'!$I$2:$I$235,'Data (parsed)'!$B$2:$B$235,$A138,'Data (parsed)'!$C$2:$C$235,$B138,'Data (parsed)'!$G$2:$G$235,$C138)</f>
        <v>1</v>
      </c>
    </row>
    <row r="139" spans="1:4" ht="15" customHeight="1" x14ac:dyDescent="0.35">
      <c r="A139" s="23" t="s">
        <v>940</v>
      </c>
      <c r="B139" s="23" t="s">
        <v>924</v>
      </c>
      <c r="C139" s="23" t="s">
        <v>1002</v>
      </c>
      <c r="D139" s="24">
        <f>SUMIFS('Data (parsed)'!$I$2:$I$235,'Data (parsed)'!$B$2:$B$235,$A139,'Data (parsed)'!$C$2:$C$235,$B139,'Data (parsed)'!$G$2:$G$235,$C139)</f>
        <v>1</v>
      </c>
    </row>
    <row r="140" spans="1:4" ht="15" customHeight="1" x14ac:dyDescent="0.35">
      <c r="A140" s="23" t="s">
        <v>940</v>
      </c>
      <c r="B140" s="23" t="s">
        <v>924</v>
      </c>
      <c r="C140" s="23" t="s">
        <v>1071</v>
      </c>
      <c r="D140" s="24">
        <f>SUMIFS('Data (parsed)'!$I$2:$I$235,'Data (parsed)'!$B$2:$B$235,$A140,'Data (parsed)'!$C$2:$C$235,$B140,'Data (parsed)'!$G$2:$G$235,$C140)</f>
        <v>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47"/>
  <sheetViews>
    <sheetView zoomScaleNormal="100" workbookViewId="0">
      <pane ySplit="3" topLeftCell="A4" activePane="bottomLeft" state="frozen"/>
      <selection pane="bottomLeft"/>
    </sheetView>
  </sheetViews>
  <sheetFormatPr defaultColWidth="8.6328125" defaultRowHeight="14.5" x14ac:dyDescent="0.35"/>
  <cols>
    <col min="1" max="1" width="13" style="2" customWidth="1"/>
    <col min="2" max="2" width="30" style="2" customWidth="1"/>
    <col min="3" max="3" width="46" style="2" customWidth="1"/>
    <col min="4" max="4" width="8" style="2" customWidth="1"/>
  </cols>
  <sheetData>
    <row r="1" spans="1:4" ht="15.75" customHeight="1" x14ac:dyDescent="0.35">
      <c r="A1" s="8" t="s">
        <v>1072</v>
      </c>
    </row>
    <row r="3" spans="1:4" ht="15" customHeight="1" x14ac:dyDescent="0.35">
      <c r="A3" s="11" t="s">
        <v>935</v>
      </c>
      <c r="B3" s="11" t="s">
        <v>951</v>
      </c>
      <c r="C3" s="11" t="s">
        <v>996</v>
      </c>
      <c r="D3" s="11" t="s">
        <v>997</v>
      </c>
    </row>
    <row r="4" spans="1:4" ht="15" customHeight="1" x14ac:dyDescent="0.35">
      <c r="A4" s="16" t="s">
        <v>937</v>
      </c>
      <c r="B4" s="16" t="s">
        <v>960</v>
      </c>
      <c r="C4" s="16" t="s">
        <v>1073</v>
      </c>
      <c r="D4" s="22">
        <f>SUMIFS('Data (parsed)'!$I$2:$I$235,'Data (parsed)'!$B$2:$B$235,$A4,'Data (parsed)'!$C$2:$C$235,$B4,'Data (parsed)'!$H$2:$H$235,$C4)</f>
        <v>1</v>
      </c>
    </row>
    <row r="5" spans="1:4" ht="15" customHeight="1" x14ac:dyDescent="0.35">
      <c r="A5" s="16" t="s">
        <v>937</v>
      </c>
      <c r="B5" s="16" t="s">
        <v>960</v>
      </c>
      <c r="C5" s="16" t="s">
        <v>1002</v>
      </c>
      <c r="D5" s="22">
        <f>SUMIFS('Data (parsed)'!$I$2:$I$235,'Data (parsed)'!$B$2:$B$235,$A5,'Data (parsed)'!$C$2:$C$235,$B5,'Data (parsed)'!$H$2:$H$235,$C5)</f>
        <v>1</v>
      </c>
    </row>
    <row r="6" spans="1:4" ht="15" customHeight="1" x14ac:dyDescent="0.35">
      <c r="A6" s="16" t="s">
        <v>937</v>
      </c>
      <c r="B6" s="16" t="s">
        <v>960</v>
      </c>
      <c r="C6" s="16" t="s">
        <v>1074</v>
      </c>
      <c r="D6" s="22">
        <f>SUMIFS('Data (parsed)'!$I$2:$I$235,'Data (parsed)'!$B$2:$B$235,$A6,'Data (parsed)'!$C$2:$C$235,$B6,'Data (parsed)'!$H$2:$H$235,$C6)</f>
        <v>1</v>
      </c>
    </row>
    <row r="7" spans="1:4" ht="15" customHeight="1" x14ac:dyDescent="0.35">
      <c r="A7" s="16" t="s">
        <v>937</v>
      </c>
      <c r="B7" s="16" t="s">
        <v>955</v>
      </c>
      <c r="C7" s="16" t="s">
        <v>1075</v>
      </c>
      <c r="D7" s="22">
        <f>SUMIFS('Data (parsed)'!$I$2:$I$235,'Data (parsed)'!$B$2:$B$235,$A7,'Data (parsed)'!$C$2:$C$235,$B7,'Data (parsed)'!$H$2:$H$235,$C7)</f>
        <v>6</v>
      </c>
    </row>
    <row r="8" spans="1:4" ht="15" customHeight="1" x14ac:dyDescent="0.35">
      <c r="A8" s="16" t="s">
        <v>937</v>
      </c>
      <c r="B8" s="16" t="s">
        <v>955</v>
      </c>
      <c r="C8" s="16" t="s">
        <v>1076</v>
      </c>
      <c r="D8" s="22">
        <f>SUMIFS('Data (parsed)'!$I$2:$I$235,'Data (parsed)'!$B$2:$B$235,$A8,'Data (parsed)'!$C$2:$C$235,$B8,'Data (parsed)'!$H$2:$H$235,$C8)</f>
        <v>2</v>
      </c>
    </row>
    <row r="9" spans="1:4" ht="15" customHeight="1" x14ac:dyDescent="0.35">
      <c r="A9" s="16" t="s">
        <v>937</v>
      </c>
      <c r="B9" s="16" t="s">
        <v>955</v>
      </c>
      <c r="C9" s="16" t="s">
        <v>1077</v>
      </c>
      <c r="D9" s="22">
        <f>SUMIFS('Data (parsed)'!$I$2:$I$235,'Data (parsed)'!$B$2:$B$235,$A9,'Data (parsed)'!$C$2:$C$235,$B9,'Data (parsed)'!$H$2:$H$235,$C9)</f>
        <v>1</v>
      </c>
    </row>
    <row r="10" spans="1:4" ht="15" customHeight="1" x14ac:dyDescent="0.35">
      <c r="A10" s="16" t="s">
        <v>937</v>
      </c>
      <c r="B10" s="16" t="s">
        <v>955</v>
      </c>
      <c r="C10" s="16" t="s">
        <v>1073</v>
      </c>
      <c r="D10" s="22">
        <f>SUMIFS('Data (parsed)'!$I$2:$I$235,'Data (parsed)'!$B$2:$B$235,$A10,'Data (parsed)'!$C$2:$C$235,$B10,'Data (parsed)'!$H$2:$H$235,$C10)</f>
        <v>1</v>
      </c>
    </row>
    <row r="11" spans="1:4" ht="15" customHeight="1" x14ac:dyDescent="0.35">
      <c r="A11" s="16" t="s">
        <v>937</v>
      </c>
      <c r="B11" s="16" t="s">
        <v>955</v>
      </c>
      <c r="C11" s="16" t="s">
        <v>1078</v>
      </c>
      <c r="D11" s="22">
        <f>SUMIFS('Data (parsed)'!$I$2:$I$235,'Data (parsed)'!$B$2:$B$235,$A11,'Data (parsed)'!$C$2:$C$235,$B11,'Data (parsed)'!$H$2:$H$235,$C11)</f>
        <v>1</v>
      </c>
    </row>
    <row r="12" spans="1:4" ht="15" customHeight="1" x14ac:dyDescent="0.35">
      <c r="A12" s="16" t="s">
        <v>937</v>
      </c>
      <c r="B12" s="16" t="s">
        <v>955</v>
      </c>
      <c r="C12" s="16" t="s">
        <v>1079</v>
      </c>
      <c r="D12" s="22">
        <f>SUMIFS('Data (parsed)'!$I$2:$I$235,'Data (parsed)'!$B$2:$B$235,$A12,'Data (parsed)'!$C$2:$C$235,$B12,'Data (parsed)'!$H$2:$H$235,$C12)</f>
        <v>1</v>
      </c>
    </row>
    <row r="13" spans="1:4" ht="15" customHeight="1" x14ac:dyDescent="0.35">
      <c r="A13" s="16" t="s">
        <v>937</v>
      </c>
      <c r="B13" s="16" t="s">
        <v>957</v>
      </c>
      <c r="C13" s="16" t="s">
        <v>1075</v>
      </c>
      <c r="D13" s="22">
        <f>SUMIFS('Data (parsed)'!$I$2:$I$235,'Data (parsed)'!$B$2:$B$235,$A13,'Data (parsed)'!$C$2:$C$235,$B13,'Data (parsed)'!$H$2:$H$235,$C13)</f>
        <v>3</v>
      </c>
    </row>
    <row r="14" spans="1:4" ht="15" customHeight="1" x14ac:dyDescent="0.35">
      <c r="A14" s="16" t="s">
        <v>937</v>
      </c>
      <c r="B14" s="16" t="s">
        <v>957</v>
      </c>
      <c r="C14" s="16" t="s">
        <v>1074</v>
      </c>
      <c r="D14" s="22">
        <f>SUMIFS('Data (parsed)'!$I$2:$I$235,'Data (parsed)'!$B$2:$B$235,$A14,'Data (parsed)'!$C$2:$C$235,$B14,'Data (parsed)'!$H$2:$H$235,$C14)</f>
        <v>2</v>
      </c>
    </row>
    <row r="15" spans="1:4" ht="15" customHeight="1" x14ac:dyDescent="0.35">
      <c r="A15" s="16" t="s">
        <v>937</v>
      </c>
      <c r="B15" s="16" t="s">
        <v>957</v>
      </c>
      <c r="C15" s="16" t="s">
        <v>1076</v>
      </c>
      <c r="D15" s="22">
        <f>SUMIFS('Data (parsed)'!$I$2:$I$235,'Data (parsed)'!$B$2:$B$235,$A15,'Data (parsed)'!$C$2:$C$235,$B15,'Data (parsed)'!$H$2:$H$235,$C15)</f>
        <v>1</v>
      </c>
    </row>
    <row r="16" spans="1:4" ht="15" customHeight="1" x14ac:dyDescent="0.35">
      <c r="A16" s="16" t="s">
        <v>937</v>
      </c>
      <c r="B16" s="16" t="s">
        <v>957</v>
      </c>
      <c r="C16" s="16" t="s">
        <v>1079</v>
      </c>
      <c r="D16" s="22">
        <f>SUMIFS('Data (parsed)'!$I$2:$I$235,'Data (parsed)'!$B$2:$B$235,$A16,'Data (parsed)'!$C$2:$C$235,$B16,'Data (parsed)'!$H$2:$H$235,$C16)</f>
        <v>1</v>
      </c>
    </row>
    <row r="17" spans="1:4" ht="26.25" customHeight="1" x14ac:dyDescent="0.35">
      <c r="A17" s="16" t="s">
        <v>937</v>
      </c>
      <c r="B17" s="16" t="s">
        <v>961</v>
      </c>
      <c r="C17" s="16" t="s">
        <v>1080</v>
      </c>
      <c r="D17" s="22">
        <f>SUMIFS('Data (parsed)'!$I$2:$I$235,'Data (parsed)'!$B$2:$B$235,$A17,'Data (parsed)'!$C$2:$C$235,$B17,'Data (parsed)'!$H$2:$H$235,$C17)</f>
        <v>1</v>
      </c>
    </row>
    <row r="18" spans="1:4" ht="26.25" customHeight="1" x14ac:dyDescent="0.35">
      <c r="A18" s="16" t="s">
        <v>937</v>
      </c>
      <c r="B18" s="16" t="s">
        <v>961</v>
      </c>
      <c r="C18" s="16" t="s">
        <v>1076</v>
      </c>
      <c r="D18" s="22">
        <f>SUMIFS('Data (parsed)'!$I$2:$I$235,'Data (parsed)'!$B$2:$B$235,$A18,'Data (parsed)'!$C$2:$C$235,$B18,'Data (parsed)'!$H$2:$H$235,$C18)</f>
        <v>1</v>
      </c>
    </row>
    <row r="19" spans="1:4" ht="15" customHeight="1" x14ac:dyDescent="0.35">
      <c r="A19" s="16" t="s">
        <v>937</v>
      </c>
      <c r="B19" s="16" t="s">
        <v>954</v>
      </c>
      <c r="C19" s="16" t="s">
        <v>1075</v>
      </c>
      <c r="D19" s="22">
        <f>SUMIFS('Data (parsed)'!$I$2:$I$235,'Data (parsed)'!$B$2:$B$235,$A19,'Data (parsed)'!$C$2:$C$235,$B19,'Data (parsed)'!$H$2:$H$235,$C19)</f>
        <v>4</v>
      </c>
    </row>
    <row r="20" spans="1:4" ht="15" customHeight="1" x14ac:dyDescent="0.35">
      <c r="A20" s="16" t="s">
        <v>937</v>
      </c>
      <c r="B20" s="16" t="s">
        <v>954</v>
      </c>
      <c r="C20" s="16" t="s">
        <v>1074</v>
      </c>
      <c r="D20" s="22">
        <f>SUMIFS('Data (parsed)'!$I$2:$I$235,'Data (parsed)'!$B$2:$B$235,$A20,'Data (parsed)'!$C$2:$C$235,$B20,'Data (parsed)'!$H$2:$H$235,$C20)</f>
        <v>4</v>
      </c>
    </row>
    <row r="21" spans="1:4" ht="15" customHeight="1" x14ac:dyDescent="0.35">
      <c r="A21" s="16" t="s">
        <v>937</v>
      </c>
      <c r="B21" s="16" t="s">
        <v>954</v>
      </c>
      <c r="C21" s="16" t="s">
        <v>1002</v>
      </c>
      <c r="D21" s="22">
        <f>SUMIFS('Data (parsed)'!$I$2:$I$235,'Data (parsed)'!$B$2:$B$235,$A21,'Data (parsed)'!$C$2:$C$235,$B21,'Data (parsed)'!$H$2:$H$235,$C21)</f>
        <v>3</v>
      </c>
    </row>
    <row r="22" spans="1:4" ht="15" customHeight="1" x14ac:dyDescent="0.35">
      <c r="A22" s="16" t="s">
        <v>937</v>
      </c>
      <c r="B22" s="16" t="s">
        <v>954</v>
      </c>
      <c r="C22" s="16" t="s">
        <v>1081</v>
      </c>
      <c r="D22" s="22">
        <f>SUMIFS('Data (parsed)'!$I$2:$I$235,'Data (parsed)'!$B$2:$B$235,$A22,'Data (parsed)'!$C$2:$C$235,$B22,'Data (parsed)'!$H$2:$H$235,$C22)</f>
        <v>2</v>
      </c>
    </row>
    <row r="23" spans="1:4" ht="15" customHeight="1" x14ac:dyDescent="0.35">
      <c r="A23" s="16" t="s">
        <v>937</v>
      </c>
      <c r="B23" s="16" t="s">
        <v>954</v>
      </c>
      <c r="C23" s="16" t="s">
        <v>1082</v>
      </c>
      <c r="D23" s="22">
        <f>SUMIFS('Data (parsed)'!$I$2:$I$235,'Data (parsed)'!$B$2:$B$235,$A23,'Data (parsed)'!$C$2:$C$235,$B23,'Data (parsed)'!$H$2:$H$235,$C23)</f>
        <v>1</v>
      </c>
    </row>
    <row r="24" spans="1:4" ht="15" customHeight="1" x14ac:dyDescent="0.35">
      <c r="A24" s="16" t="s">
        <v>937</v>
      </c>
      <c r="B24" s="16" t="s">
        <v>954</v>
      </c>
      <c r="C24" s="16" t="s">
        <v>1083</v>
      </c>
      <c r="D24" s="22">
        <f>SUMIFS('Data (parsed)'!$I$2:$I$235,'Data (parsed)'!$B$2:$B$235,$A24,'Data (parsed)'!$C$2:$C$235,$B24,'Data (parsed)'!$H$2:$H$235,$C24)</f>
        <v>1</v>
      </c>
    </row>
    <row r="25" spans="1:4" ht="15" customHeight="1" x14ac:dyDescent="0.35">
      <c r="A25" s="16" t="s">
        <v>937</v>
      </c>
      <c r="B25" s="16" t="s">
        <v>954</v>
      </c>
      <c r="C25" s="16" t="s">
        <v>1076</v>
      </c>
      <c r="D25" s="22">
        <f>SUMIFS('Data (parsed)'!$I$2:$I$235,'Data (parsed)'!$B$2:$B$235,$A25,'Data (parsed)'!$C$2:$C$235,$B25,'Data (parsed)'!$H$2:$H$235,$C25)</f>
        <v>1</v>
      </c>
    </row>
    <row r="26" spans="1:4" ht="15" customHeight="1" x14ac:dyDescent="0.35">
      <c r="A26" s="16" t="s">
        <v>937</v>
      </c>
      <c r="B26" s="16" t="s">
        <v>954</v>
      </c>
      <c r="C26" s="16" t="s">
        <v>1084</v>
      </c>
      <c r="D26" s="22">
        <f>SUMIFS('Data (parsed)'!$I$2:$I$235,'Data (parsed)'!$B$2:$B$235,$A26,'Data (parsed)'!$C$2:$C$235,$B26,'Data (parsed)'!$H$2:$H$235,$C26)</f>
        <v>1</v>
      </c>
    </row>
    <row r="27" spans="1:4" ht="15" customHeight="1" x14ac:dyDescent="0.35">
      <c r="A27" s="16" t="s">
        <v>937</v>
      </c>
      <c r="B27" s="16" t="s">
        <v>952</v>
      </c>
      <c r="C27" s="16" t="s">
        <v>1075</v>
      </c>
      <c r="D27" s="22">
        <f>SUMIFS('Data (parsed)'!$I$2:$I$235,'Data (parsed)'!$B$2:$B$235,$A27,'Data (parsed)'!$C$2:$C$235,$B27,'Data (parsed)'!$H$2:$H$235,$C27)</f>
        <v>10</v>
      </c>
    </row>
    <row r="28" spans="1:4" ht="15" customHeight="1" x14ac:dyDescent="0.35">
      <c r="A28" s="16" t="s">
        <v>937</v>
      </c>
      <c r="B28" s="16" t="s">
        <v>952</v>
      </c>
      <c r="C28" s="16" t="s">
        <v>1074</v>
      </c>
      <c r="D28" s="22">
        <f>SUMIFS('Data (parsed)'!$I$2:$I$235,'Data (parsed)'!$B$2:$B$235,$A28,'Data (parsed)'!$C$2:$C$235,$B28,'Data (parsed)'!$H$2:$H$235,$C28)</f>
        <v>5</v>
      </c>
    </row>
    <row r="29" spans="1:4" ht="15" customHeight="1" x14ac:dyDescent="0.35">
      <c r="A29" s="16" t="s">
        <v>937</v>
      </c>
      <c r="B29" s="16" t="s">
        <v>952</v>
      </c>
      <c r="C29" s="16" t="s">
        <v>1002</v>
      </c>
      <c r="D29" s="22">
        <f>SUMIFS('Data (parsed)'!$I$2:$I$235,'Data (parsed)'!$B$2:$B$235,$A29,'Data (parsed)'!$C$2:$C$235,$B29,'Data (parsed)'!$H$2:$H$235,$C29)</f>
        <v>4</v>
      </c>
    </row>
    <row r="30" spans="1:4" ht="15" customHeight="1" x14ac:dyDescent="0.35">
      <c r="A30" s="16" t="s">
        <v>937</v>
      </c>
      <c r="B30" s="16" t="s">
        <v>952</v>
      </c>
      <c r="C30" s="16" t="s">
        <v>1085</v>
      </c>
      <c r="D30" s="22">
        <f>SUMIFS('Data (parsed)'!$I$2:$I$235,'Data (parsed)'!$B$2:$B$235,$A30,'Data (parsed)'!$C$2:$C$235,$B30,'Data (parsed)'!$H$2:$H$235,$C30)</f>
        <v>1</v>
      </c>
    </row>
    <row r="31" spans="1:4" ht="15" customHeight="1" x14ac:dyDescent="0.35">
      <c r="A31" s="16" t="s">
        <v>937</v>
      </c>
      <c r="B31" s="16" t="s">
        <v>952</v>
      </c>
      <c r="C31" s="16" t="s">
        <v>1086</v>
      </c>
      <c r="D31" s="22">
        <f>SUMIFS('Data (parsed)'!$I$2:$I$235,'Data (parsed)'!$B$2:$B$235,$A31,'Data (parsed)'!$C$2:$C$235,$B31,'Data (parsed)'!$H$2:$H$235,$C31)</f>
        <v>1</v>
      </c>
    </row>
    <row r="32" spans="1:4" ht="15" customHeight="1" x14ac:dyDescent="0.35">
      <c r="A32" s="16" t="s">
        <v>937</v>
      </c>
      <c r="B32" s="16" t="s">
        <v>952</v>
      </c>
      <c r="C32" s="16" t="s">
        <v>1076</v>
      </c>
      <c r="D32" s="22">
        <f>SUMIFS('Data (parsed)'!$I$2:$I$235,'Data (parsed)'!$B$2:$B$235,$A32,'Data (parsed)'!$C$2:$C$235,$B32,'Data (parsed)'!$H$2:$H$235,$C32)</f>
        <v>1</v>
      </c>
    </row>
    <row r="33" spans="1:4" ht="15" customHeight="1" x14ac:dyDescent="0.35">
      <c r="A33" s="16" t="s">
        <v>937</v>
      </c>
      <c r="B33" s="16" t="s">
        <v>952</v>
      </c>
      <c r="C33" s="16" t="s">
        <v>1087</v>
      </c>
      <c r="D33" s="22">
        <f>SUMIFS('Data (parsed)'!$I$2:$I$235,'Data (parsed)'!$B$2:$B$235,$A33,'Data (parsed)'!$C$2:$C$235,$B33,'Data (parsed)'!$H$2:$H$235,$C33)</f>
        <v>1</v>
      </c>
    </row>
    <row r="34" spans="1:4" ht="15" customHeight="1" x14ac:dyDescent="0.35">
      <c r="A34" s="16" t="s">
        <v>937</v>
      </c>
      <c r="B34" s="16" t="s">
        <v>952</v>
      </c>
      <c r="C34" s="16" t="s">
        <v>1088</v>
      </c>
      <c r="D34" s="22">
        <f>SUMIFS('Data (parsed)'!$I$2:$I$235,'Data (parsed)'!$B$2:$B$235,$A34,'Data (parsed)'!$C$2:$C$235,$B34,'Data (parsed)'!$H$2:$H$235,$C34)</f>
        <v>1</v>
      </c>
    </row>
    <row r="35" spans="1:4" ht="15" customHeight="1" x14ac:dyDescent="0.35">
      <c r="A35" s="16" t="s">
        <v>937</v>
      </c>
      <c r="B35" s="16" t="s">
        <v>952</v>
      </c>
      <c r="C35" s="16" t="s">
        <v>1078</v>
      </c>
      <c r="D35" s="22">
        <f>SUMIFS('Data (parsed)'!$I$2:$I$235,'Data (parsed)'!$B$2:$B$235,$A35,'Data (parsed)'!$C$2:$C$235,$B35,'Data (parsed)'!$H$2:$H$235,$C35)</f>
        <v>1</v>
      </c>
    </row>
    <row r="36" spans="1:4" ht="15" customHeight="1" x14ac:dyDescent="0.35">
      <c r="A36" s="16" t="s">
        <v>937</v>
      </c>
      <c r="B36" s="16" t="s">
        <v>956</v>
      </c>
      <c r="C36" s="16" t="s">
        <v>1075</v>
      </c>
      <c r="D36" s="22">
        <f>SUMIFS('Data (parsed)'!$I$2:$I$235,'Data (parsed)'!$B$2:$B$235,$A36,'Data (parsed)'!$C$2:$C$235,$B36,'Data (parsed)'!$H$2:$H$235,$C36)</f>
        <v>4</v>
      </c>
    </row>
    <row r="37" spans="1:4" ht="15" customHeight="1" x14ac:dyDescent="0.35">
      <c r="A37" s="16" t="s">
        <v>937</v>
      </c>
      <c r="B37" s="16" t="s">
        <v>956</v>
      </c>
      <c r="C37" s="16" t="s">
        <v>1074</v>
      </c>
      <c r="D37" s="22">
        <f>SUMIFS('Data (parsed)'!$I$2:$I$235,'Data (parsed)'!$B$2:$B$235,$A37,'Data (parsed)'!$C$2:$C$235,$B37,'Data (parsed)'!$H$2:$H$235,$C37)</f>
        <v>3</v>
      </c>
    </row>
    <row r="38" spans="1:4" ht="15" customHeight="1" x14ac:dyDescent="0.35">
      <c r="A38" s="16" t="s">
        <v>937</v>
      </c>
      <c r="B38" s="16" t="s">
        <v>956</v>
      </c>
      <c r="C38" s="16" t="s">
        <v>1089</v>
      </c>
      <c r="D38" s="22">
        <f>SUMIFS('Data (parsed)'!$I$2:$I$235,'Data (parsed)'!$B$2:$B$235,$A38,'Data (parsed)'!$C$2:$C$235,$B38,'Data (parsed)'!$H$2:$H$235,$C38)</f>
        <v>1</v>
      </c>
    </row>
    <row r="39" spans="1:4" ht="15" customHeight="1" x14ac:dyDescent="0.35">
      <c r="A39" s="16" t="s">
        <v>937</v>
      </c>
      <c r="B39" s="16" t="s">
        <v>956</v>
      </c>
      <c r="C39" s="16" t="s">
        <v>1090</v>
      </c>
      <c r="D39" s="22">
        <f>SUMIFS('Data (parsed)'!$I$2:$I$235,'Data (parsed)'!$B$2:$B$235,$A39,'Data (parsed)'!$C$2:$C$235,$B39,'Data (parsed)'!$H$2:$H$235,$C39)</f>
        <v>1</v>
      </c>
    </row>
    <row r="40" spans="1:4" ht="15" customHeight="1" x14ac:dyDescent="0.35">
      <c r="A40" s="16" t="s">
        <v>937</v>
      </c>
      <c r="B40" s="16" t="s">
        <v>962</v>
      </c>
      <c r="C40" s="16" t="s">
        <v>1091</v>
      </c>
      <c r="D40" s="22">
        <f>SUMIFS('Data (parsed)'!$I$2:$I$235,'Data (parsed)'!$B$2:$B$235,$A40,'Data (parsed)'!$C$2:$C$235,$B40,'Data (parsed)'!$H$2:$H$235,$C40)</f>
        <v>1</v>
      </c>
    </row>
    <row r="41" spans="1:4" ht="15" customHeight="1" x14ac:dyDescent="0.35">
      <c r="A41" s="16" t="s">
        <v>937</v>
      </c>
      <c r="B41" s="16" t="s">
        <v>962</v>
      </c>
      <c r="C41" s="16" t="s">
        <v>1081</v>
      </c>
      <c r="D41" s="22">
        <f>SUMIFS('Data (parsed)'!$I$2:$I$235,'Data (parsed)'!$B$2:$B$235,$A41,'Data (parsed)'!$C$2:$C$235,$B41,'Data (parsed)'!$H$2:$H$235,$C41)</f>
        <v>1</v>
      </c>
    </row>
    <row r="42" spans="1:4" ht="15" customHeight="1" x14ac:dyDescent="0.35">
      <c r="A42" s="16" t="s">
        <v>937</v>
      </c>
      <c r="B42" s="16" t="s">
        <v>953</v>
      </c>
      <c r="C42" s="16" t="s">
        <v>1075</v>
      </c>
      <c r="D42" s="22">
        <f>SUMIFS('Data (parsed)'!$I$2:$I$235,'Data (parsed)'!$B$2:$B$235,$A42,'Data (parsed)'!$C$2:$C$235,$B42,'Data (parsed)'!$H$2:$H$235,$C42)</f>
        <v>6</v>
      </c>
    </row>
    <row r="43" spans="1:4" ht="15" customHeight="1" x14ac:dyDescent="0.35">
      <c r="A43" s="16" t="s">
        <v>937</v>
      </c>
      <c r="B43" s="16" t="s">
        <v>953</v>
      </c>
      <c r="C43" s="16" t="s">
        <v>1074</v>
      </c>
      <c r="D43" s="22">
        <f>SUMIFS('Data (parsed)'!$I$2:$I$235,'Data (parsed)'!$B$2:$B$235,$A43,'Data (parsed)'!$C$2:$C$235,$B43,'Data (parsed)'!$H$2:$H$235,$C43)</f>
        <v>4</v>
      </c>
    </row>
    <row r="44" spans="1:4" ht="15" customHeight="1" x14ac:dyDescent="0.35">
      <c r="A44" s="16" t="s">
        <v>937</v>
      </c>
      <c r="B44" s="16" t="s">
        <v>953</v>
      </c>
      <c r="C44" s="16" t="s">
        <v>1076</v>
      </c>
      <c r="D44" s="22">
        <f>SUMIFS('Data (parsed)'!$I$2:$I$235,'Data (parsed)'!$B$2:$B$235,$A44,'Data (parsed)'!$C$2:$C$235,$B44,'Data (parsed)'!$H$2:$H$235,$C44)</f>
        <v>2</v>
      </c>
    </row>
    <row r="45" spans="1:4" ht="15" customHeight="1" x14ac:dyDescent="0.35">
      <c r="A45" s="16" t="s">
        <v>937</v>
      </c>
      <c r="B45" s="16" t="s">
        <v>953</v>
      </c>
      <c r="C45" s="16" t="s">
        <v>1002</v>
      </c>
      <c r="D45" s="22">
        <f>SUMIFS('Data (parsed)'!$I$2:$I$235,'Data (parsed)'!$B$2:$B$235,$A45,'Data (parsed)'!$C$2:$C$235,$B45,'Data (parsed)'!$H$2:$H$235,$C45)</f>
        <v>2</v>
      </c>
    </row>
    <row r="46" spans="1:4" ht="15" customHeight="1" x14ac:dyDescent="0.35">
      <c r="A46" s="16" t="s">
        <v>937</v>
      </c>
      <c r="B46" s="16" t="s">
        <v>953</v>
      </c>
      <c r="C46" s="16" t="s">
        <v>1092</v>
      </c>
      <c r="D46" s="22">
        <f>SUMIFS('Data (parsed)'!$I$2:$I$235,'Data (parsed)'!$B$2:$B$235,$A46,'Data (parsed)'!$C$2:$C$235,$B46,'Data (parsed)'!$H$2:$H$235,$C46)</f>
        <v>1</v>
      </c>
    </row>
    <row r="47" spans="1:4" ht="15" customHeight="1" x14ac:dyDescent="0.35">
      <c r="A47" s="16" t="s">
        <v>937</v>
      </c>
      <c r="B47" s="16" t="s">
        <v>953</v>
      </c>
      <c r="C47" s="16" t="s">
        <v>1093</v>
      </c>
      <c r="D47" s="22">
        <f>SUMIFS('Data (parsed)'!$I$2:$I$235,'Data (parsed)'!$B$2:$B$235,$A47,'Data (parsed)'!$C$2:$C$235,$B47,'Data (parsed)'!$H$2:$H$235,$C47)</f>
        <v>1</v>
      </c>
    </row>
    <row r="48" spans="1:4" ht="15" customHeight="1" x14ac:dyDescent="0.35">
      <c r="A48" s="16" t="s">
        <v>937</v>
      </c>
      <c r="B48" s="16" t="s">
        <v>953</v>
      </c>
      <c r="C48" s="16" t="s">
        <v>1073</v>
      </c>
      <c r="D48" s="22">
        <f>SUMIFS('Data (parsed)'!$I$2:$I$235,'Data (parsed)'!$B$2:$B$235,$A48,'Data (parsed)'!$C$2:$C$235,$B48,'Data (parsed)'!$H$2:$H$235,$C48)</f>
        <v>1</v>
      </c>
    </row>
    <row r="49" spans="1:4" ht="15" customHeight="1" x14ac:dyDescent="0.35">
      <c r="A49" s="16" t="s">
        <v>937</v>
      </c>
      <c r="B49" s="16" t="s">
        <v>953</v>
      </c>
      <c r="C49" s="16" t="s">
        <v>1094</v>
      </c>
      <c r="D49" s="22">
        <f>SUMIFS('Data (parsed)'!$I$2:$I$235,'Data (parsed)'!$B$2:$B$235,$A49,'Data (parsed)'!$C$2:$C$235,$B49,'Data (parsed)'!$H$2:$H$235,$C49)</f>
        <v>1</v>
      </c>
    </row>
    <row r="50" spans="1:4" ht="15" customHeight="1" x14ac:dyDescent="0.35">
      <c r="A50" s="16" t="s">
        <v>937</v>
      </c>
      <c r="B50" s="16" t="s">
        <v>953</v>
      </c>
      <c r="C50" s="16" t="s">
        <v>1095</v>
      </c>
      <c r="D50" s="22">
        <f>SUMIFS('Data (parsed)'!$I$2:$I$235,'Data (parsed)'!$B$2:$B$235,$A50,'Data (parsed)'!$C$2:$C$235,$B50,'Data (parsed)'!$H$2:$H$235,$C50)</f>
        <v>1</v>
      </c>
    </row>
    <row r="51" spans="1:4" ht="15" customHeight="1" x14ac:dyDescent="0.35">
      <c r="A51" s="16" t="s">
        <v>937</v>
      </c>
      <c r="B51" s="16" t="s">
        <v>959</v>
      </c>
      <c r="C51" s="16" t="s">
        <v>1075</v>
      </c>
      <c r="D51" s="22">
        <f>SUMIFS('Data (parsed)'!$I$2:$I$235,'Data (parsed)'!$B$2:$B$235,$A51,'Data (parsed)'!$C$2:$C$235,$B51,'Data (parsed)'!$H$2:$H$235,$C51)</f>
        <v>3</v>
      </c>
    </row>
    <row r="52" spans="1:4" ht="15" customHeight="1" x14ac:dyDescent="0.35">
      <c r="A52" s="16" t="s">
        <v>937</v>
      </c>
      <c r="B52" s="16" t="s">
        <v>959</v>
      </c>
      <c r="C52" s="16" t="s">
        <v>1096</v>
      </c>
      <c r="D52" s="22">
        <f>SUMIFS('Data (parsed)'!$I$2:$I$235,'Data (parsed)'!$B$2:$B$235,$A52,'Data (parsed)'!$C$2:$C$235,$B52,'Data (parsed)'!$H$2:$H$235,$C52)</f>
        <v>1</v>
      </c>
    </row>
    <row r="53" spans="1:4" ht="26.25" customHeight="1" x14ac:dyDescent="0.35">
      <c r="A53" s="16" t="s">
        <v>937</v>
      </c>
      <c r="B53" s="16" t="s">
        <v>958</v>
      </c>
      <c r="C53" s="16" t="s">
        <v>1074</v>
      </c>
      <c r="D53" s="22">
        <f>SUMIFS('Data (parsed)'!$I$2:$I$235,'Data (parsed)'!$B$2:$B$235,$A53,'Data (parsed)'!$C$2:$C$235,$B53,'Data (parsed)'!$H$2:$H$235,$C53)</f>
        <v>2</v>
      </c>
    </row>
    <row r="54" spans="1:4" ht="26.25" customHeight="1" x14ac:dyDescent="0.35">
      <c r="A54" s="16" t="s">
        <v>937</v>
      </c>
      <c r="B54" s="16" t="s">
        <v>958</v>
      </c>
      <c r="C54" s="16" t="s">
        <v>1097</v>
      </c>
      <c r="D54" s="22">
        <f>SUMIFS('Data (parsed)'!$I$2:$I$235,'Data (parsed)'!$B$2:$B$235,$A54,'Data (parsed)'!$C$2:$C$235,$B54,'Data (parsed)'!$H$2:$H$235,$C54)</f>
        <v>1</v>
      </c>
    </row>
    <row r="55" spans="1:4" ht="26.25" customHeight="1" x14ac:dyDescent="0.35">
      <c r="A55" s="16" t="s">
        <v>937</v>
      </c>
      <c r="B55" s="16" t="s">
        <v>958</v>
      </c>
      <c r="C55" s="16" t="s">
        <v>1075</v>
      </c>
      <c r="D55" s="22">
        <f>SUMIFS('Data (parsed)'!$I$2:$I$235,'Data (parsed)'!$B$2:$B$235,$A55,'Data (parsed)'!$C$2:$C$235,$B55,'Data (parsed)'!$H$2:$H$235,$C55)</f>
        <v>1</v>
      </c>
    </row>
    <row r="56" spans="1:4" ht="15" customHeight="1" x14ac:dyDescent="0.35">
      <c r="A56" s="23" t="s">
        <v>938</v>
      </c>
      <c r="B56" s="23" t="s">
        <v>967</v>
      </c>
      <c r="C56" s="23" t="s">
        <v>1098</v>
      </c>
      <c r="D56" s="24">
        <f>SUMIFS('Data (parsed)'!$I$2:$I$235,'Data (parsed)'!$B$2:$B$235,$A56,'Data (parsed)'!$C$2:$C$235,$B56,'Data (parsed)'!$H$2:$H$235,$C56)</f>
        <v>4</v>
      </c>
    </row>
    <row r="57" spans="1:4" ht="15" customHeight="1" x14ac:dyDescent="0.35">
      <c r="A57" s="23" t="s">
        <v>938</v>
      </c>
      <c r="B57" s="23" t="s">
        <v>967</v>
      </c>
      <c r="C57" s="23" t="s">
        <v>1076</v>
      </c>
      <c r="D57" s="24">
        <f>SUMIFS('Data (parsed)'!$I$2:$I$235,'Data (parsed)'!$B$2:$B$235,$A57,'Data (parsed)'!$C$2:$C$235,$B57,'Data (parsed)'!$H$2:$H$235,$C57)</f>
        <v>3</v>
      </c>
    </row>
    <row r="58" spans="1:4" ht="15" customHeight="1" x14ac:dyDescent="0.35">
      <c r="A58" s="23" t="s">
        <v>938</v>
      </c>
      <c r="B58" s="23" t="s">
        <v>967</v>
      </c>
      <c r="C58" s="23" t="s">
        <v>1075</v>
      </c>
      <c r="D58" s="24">
        <f>SUMIFS('Data (parsed)'!$I$2:$I$235,'Data (parsed)'!$B$2:$B$235,$A58,'Data (parsed)'!$C$2:$C$235,$B58,'Data (parsed)'!$H$2:$H$235,$C58)</f>
        <v>2</v>
      </c>
    </row>
    <row r="59" spans="1:4" ht="15" customHeight="1" x14ac:dyDescent="0.35">
      <c r="A59" s="23" t="s">
        <v>938</v>
      </c>
      <c r="B59" s="23" t="s">
        <v>967</v>
      </c>
      <c r="C59" s="23" t="s">
        <v>1099</v>
      </c>
      <c r="D59" s="24">
        <f>SUMIFS('Data (parsed)'!$I$2:$I$235,'Data (parsed)'!$B$2:$B$235,$A59,'Data (parsed)'!$C$2:$C$235,$B59,'Data (parsed)'!$H$2:$H$235,$C59)</f>
        <v>1</v>
      </c>
    </row>
    <row r="60" spans="1:4" ht="15" customHeight="1" x14ac:dyDescent="0.35">
      <c r="A60" s="23" t="s">
        <v>938</v>
      </c>
      <c r="B60" s="23" t="s">
        <v>967</v>
      </c>
      <c r="C60" s="23" t="s">
        <v>1100</v>
      </c>
      <c r="D60" s="24">
        <f>SUMIFS('Data (parsed)'!$I$2:$I$235,'Data (parsed)'!$B$2:$B$235,$A60,'Data (parsed)'!$C$2:$C$235,$B60,'Data (parsed)'!$H$2:$H$235,$C60)</f>
        <v>1</v>
      </c>
    </row>
    <row r="61" spans="1:4" ht="15" customHeight="1" x14ac:dyDescent="0.35">
      <c r="A61" s="23" t="s">
        <v>938</v>
      </c>
      <c r="B61" s="23" t="s">
        <v>967</v>
      </c>
      <c r="C61" s="23" t="s">
        <v>1101</v>
      </c>
      <c r="D61" s="24">
        <f>SUMIFS('Data (parsed)'!$I$2:$I$235,'Data (parsed)'!$B$2:$B$235,$A61,'Data (parsed)'!$C$2:$C$235,$B61,'Data (parsed)'!$H$2:$H$235,$C61)</f>
        <v>1</v>
      </c>
    </row>
    <row r="62" spans="1:4" ht="15" customHeight="1" x14ac:dyDescent="0.35">
      <c r="A62" s="23" t="s">
        <v>938</v>
      </c>
      <c r="B62" s="23" t="s">
        <v>967</v>
      </c>
      <c r="C62" s="23" t="s">
        <v>1077</v>
      </c>
      <c r="D62" s="24">
        <f>SUMIFS('Data (parsed)'!$I$2:$I$235,'Data (parsed)'!$B$2:$B$235,$A62,'Data (parsed)'!$C$2:$C$235,$B62,'Data (parsed)'!$H$2:$H$235,$C62)</f>
        <v>1</v>
      </c>
    </row>
    <row r="63" spans="1:4" ht="15" customHeight="1" x14ac:dyDescent="0.35">
      <c r="A63" s="23" t="s">
        <v>938</v>
      </c>
      <c r="B63" s="23" t="s">
        <v>967</v>
      </c>
      <c r="C63" s="23" t="s">
        <v>1002</v>
      </c>
      <c r="D63" s="24">
        <f>SUMIFS('Data (parsed)'!$I$2:$I$235,'Data (parsed)'!$B$2:$B$235,$A63,'Data (parsed)'!$C$2:$C$235,$B63,'Data (parsed)'!$H$2:$H$235,$C63)</f>
        <v>1</v>
      </c>
    </row>
    <row r="64" spans="1:4" ht="15" customHeight="1" x14ac:dyDescent="0.35">
      <c r="A64" s="23" t="s">
        <v>938</v>
      </c>
      <c r="B64" s="23" t="s">
        <v>967</v>
      </c>
      <c r="C64" s="23" t="s">
        <v>1087</v>
      </c>
      <c r="D64" s="24">
        <f>SUMIFS('Data (parsed)'!$I$2:$I$235,'Data (parsed)'!$B$2:$B$235,$A64,'Data (parsed)'!$C$2:$C$235,$B64,'Data (parsed)'!$H$2:$H$235,$C64)</f>
        <v>1</v>
      </c>
    </row>
    <row r="65" spans="1:4" ht="15" customHeight="1" x14ac:dyDescent="0.35">
      <c r="A65" s="23" t="s">
        <v>938</v>
      </c>
      <c r="B65" s="23" t="s">
        <v>967</v>
      </c>
      <c r="C65" s="23" t="s">
        <v>1102</v>
      </c>
      <c r="D65" s="24">
        <f>SUMIFS('Data (parsed)'!$I$2:$I$235,'Data (parsed)'!$B$2:$B$235,$A65,'Data (parsed)'!$C$2:$C$235,$B65,'Data (parsed)'!$H$2:$H$235,$C65)</f>
        <v>1</v>
      </c>
    </row>
    <row r="66" spans="1:4" ht="15" customHeight="1" x14ac:dyDescent="0.35">
      <c r="A66" s="23" t="s">
        <v>938</v>
      </c>
      <c r="B66" s="23" t="s">
        <v>967</v>
      </c>
      <c r="C66" s="23" t="s">
        <v>1074</v>
      </c>
      <c r="D66" s="24">
        <f>SUMIFS('Data (parsed)'!$I$2:$I$235,'Data (parsed)'!$B$2:$B$235,$A66,'Data (parsed)'!$C$2:$C$235,$B66,'Data (parsed)'!$H$2:$H$235,$C66)</f>
        <v>1</v>
      </c>
    </row>
    <row r="67" spans="1:4" ht="15" customHeight="1" x14ac:dyDescent="0.35">
      <c r="A67" s="23" t="s">
        <v>938</v>
      </c>
      <c r="B67" s="23" t="s">
        <v>970</v>
      </c>
      <c r="C67" s="23" t="s">
        <v>1002</v>
      </c>
      <c r="D67" s="24">
        <f>SUMIFS('Data (parsed)'!$I$2:$I$235,'Data (parsed)'!$B$2:$B$235,$A67,'Data (parsed)'!$C$2:$C$235,$B67,'Data (parsed)'!$H$2:$H$235,$C67)</f>
        <v>1</v>
      </c>
    </row>
    <row r="68" spans="1:4" ht="15" customHeight="1" x14ac:dyDescent="0.35">
      <c r="A68" s="23" t="s">
        <v>938</v>
      </c>
      <c r="B68" s="23" t="s">
        <v>970</v>
      </c>
      <c r="C68" s="23" t="s">
        <v>1074</v>
      </c>
      <c r="D68" s="24">
        <f>SUMIFS('Data (parsed)'!$I$2:$I$235,'Data (parsed)'!$B$2:$B$235,$A68,'Data (parsed)'!$C$2:$C$235,$B68,'Data (parsed)'!$H$2:$H$235,$C68)</f>
        <v>1</v>
      </c>
    </row>
    <row r="69" spans="1:4" ht="15" customHeight="1" x14ac:dyDescent="0.35">
      <c r="A69" s="23" t="s">
        <v>938</v>
      </c>
      <c r="B69" s="23" t="s">
        <v>970</v>
      </c>
      <c r="C69" s="23" t="s">
        <v>1103</v>
      </c>
      <c r="D69" s="24">
        <f>SUMIFS('Data (parsed)'!$I$2:$I$235,'Data (parsed)'!$B$2:$B$235,$A69,'Data (parsed)'!$C$2:$C$235,$B69,'Data (parsed)'!$H$2:$H$235,$C69)</f>
        <v>1</v>
      </c>
    </row>
    <row r="70" spans="1:4" ht="15" customHeight="1" x14ac:dyDescent="0.35">
      <c r="A70" s="23" t="s">
        <v>938</v>
      </c>
      <c r="B70" s="23" t="s">
        <v>969</v>
      </c>
      <c r="C70" s="23" t="s">
        <v>1002</v>
      </c>
      <c r="D70" s="24">
        <f>SUMIFS('Data (parsed)'!$I$2:$I$235,'Data (parsed)'!$B$2:$B$235,$A70,'Data (parsed)'!$C$2:$C$235,$B70,'Data (parsed)'!$H$2:$H$235,$C70)</f>
        <v>2</v>
      </c>
    </row>
    <row r="71" spans="1:4" ht="15" customHeight="1" x14ac:dyDescent="0.35">
      <c r="A71" s="23" t="s">
        <v>938</v>
      </c>
      <c r="B71" s="23" t="s">
        <v>969</v>
      </c>
      <c r="C71" s="23" t="s">
        <v>1104</v>
      </c>
      <c r="D71" s="24">
        <f>SUMIFS('Data (parsed)'!$I$2:$I$235,'Data (parsed)'!$B$2:$B$235,$A71,'Data (parsed)'!$C$2:$C$235,$B71,'Data (parsed)'!$H$2:$H$235,$C71)</f>
        <v>1</v>
      </c>
    </row>
    <row r="72" spans="1:4" ht="15" customHeight="1" x14ac:dyDescent="0.35">
      <c r="A72" s="23" t="s">
        <v>938</v>
      </c>
      <c r="B72" s="23" t="s">
        <v>968</v>
      </c>
      <c r="C72" s="23" t="s">
        <v>1105</v>
      </c>
      <c r="D72" s="24">
        <f>SUMIFS('Data (parsed)'!$I$2:$I$235,'Data (parsed)'!$B$2:$B$235,$A72,'Data (parsed)'!$C$2:$C$235,$B72,'Data (parsed)'!$H$2:$H$235,$C72)</f>
        <v>1</v>
      </c>
    </row>
    <row r="73" spans="1:4" ht="15" customHeight="1" x14ac:dyDescent="0.35">
      <c r="A73" s="23" t="s">
        <v>938</v>
      </c>
      <c r="B73" s="23" t="s">
        <v>968</v>
      </c>
      <c r="C73" s="23" t="s">
        <v>1106</v>
      </c>
      <c r="D73" s="24">
        <f>SUMIFS('Data (parsed)'!$I$2:$I$235,'Data (parsed)'!$B$2:$B$235,$A73,'Data (parsed)'!$C$2:$C$235,$B73,'Data (parsed)'!$H$2:$H$235,$C73)</f>
        <v>1</v>
      </c>
    </row>
    <row r="74" spans="1:4" ht="15" customHeight="1" x14ac:dyDescent="0.35">
      <c r="A74" s="23" t="s">
        <v>938</v>
      </c>
      <c r="B74" s="23" t="s">
        <v>968</v>
      </c>
      <c r="C74" s="23" t="s">
        <v>1107</v>
      </c>
      <c r="D74" s="24">
        <f>SUMIFS('Data (parsed)'!$I$2:$I$235,'Data (parsed)'!$B$2:$B$235,$A74,'Data (parsed)'!$C$2:$C$235,$B74,'Data (parsed)'!$H$2:$H$235,$C74)</f>
        <v>1</v>
      </c>
    </row>
    <row r="75" spans="1:4" ht="15" customHeight="1" x14ac:dyDescent="0.35">
      <c r="A75" s="23" t="s">
        <v>938</v>
      </c>
      <c r="B75" s="23" t="s">
        <v>968</v>
      </c>
      <c r="C75" s="23" t="s">
        <v>1098</v>
      </c>
      <c r="D75" s="24">
        <f>SUMIFS('Data (parsed)'!$I$2:$I$235,'Data (parsed)'!$B$2:$B$235,$A75,'Data (parsed)'!$C$2:$C$235,$B75,'Data (parsed)'!$H$2:$H$235,$C75)</f>
        <v>1</v>
      </c>
    </row>
    <row r="76" spans="1:4" ht="15" customHeight="1" x14ac:dyDescent="0.35">
      <c r="A76" s="23" t="s">
        <v>938</v>
      </c>
      <c r="B76" s="23" t="s">
        <v>968</v>
      </c>
      <c r="C76" s="23" t="s">
        <v>1108</v>
      </c>
      <c r="D76" s="24">
        <f>SUMIFS('Data (parsed)'!$I$2:$I$235,'Data (parsed)'!$B$2:$B$235,$A76,'Data (parsed)'!$C$2:$C$235,$B76,'Data (parsed)'!$H$2:$H$235,$C76)</f>
        <v>1</v>
      </c>
    </row>
    <row r="77" spans="1:4" ht="15" customHeight="1" x14ac:dyDescent="0.35">
      <c r="A77" s="23" t="s">
        <v>938</v>
      </c>
      <c r="B77" s="23" t="s">
        <v>971</v>
      </c>
      <c r="C77" s="23" t="s">
        <v>1099</v>
      </c>
      <c r="D77" s="24">
        <f>SUMIFS('Data (parsed)'!$I$2:$I$235,'Data (parsed)'!$B$2:$B$235,$A77,'Data (parsed)'!$C$2:$C$235,$B77,'Data (parsed)'!$H$2:$H$235,$C77)</f>
        <v>1</v>
      </c>
    </row>
    <row r="78" spans="1:4" ht="15" customHeight="1" x14ac:dyDescent="0.35">
      <c r="A78" s="23" t="s">
        <v>938</v>
      </c>
      <c r="B78" s="23" t="s">
        <v>971</v>
      </c>
      <c r="C78" s="23" t="s">
        <v>1097</v>
      </c>
      <c r="D78" s="24">
        <f>SUMIFS('Data (parsed)'!$I$2:$I$235,'Data (parsed)'!$B$2:$B$235,$A78,'Data (parsed)'!$C$2:$C$235,$B78,'Data (parsed)'!$H$2:$H$235,$C78)</f>
        <v>1</v>
      </c>
    </row>
    <row r="79" spans="1:4" ht="15" customHeight="1" x14ac:dyDescent="0.35">
      <c r="A79" s="23" t="s">
        <v>938</v>
      </c>
      <c r="B79" s="23" t="s">
        <v>972</v>
      </c>
      <c r="C79" s="23" t="s">
        <v>1109</v>
      </c>
      <c r="D79" s="24">
        <f>SUMIFS('Data (parsed)'!$I$2:$I$235,'Data (parsed)'!$B$2:$B$235,$A79,'Data (parsed)'!$C$2:$C$235,$B79,'Data (parsed)'!$H$2:$H$235,$C79)</f>
        <v>1</v>
      </c>
    </row>
    <row r="80" spans="1:4" ht="15" customHeight="1" x14ac:dyDescent="0.35">
      <c r="A80" s="16" t="s">
        <v>939</v>
      </c>
      <c r="B80" s="16" t="s">
        <v>977</v>
      </c>
      <c r="C80" s="16" t="s">
        <v>1075</v>
      </c>
      <c r="D80" s="22">
        <f>SUMIFS('Data (parsed)'!$I$2:$I$235,'Data (parsed)'!$B$2:$B$235,$A80,'Data (parsed)'!$C$2:$C$235,$B80,'Data (parsed)'!$H$2:$H$235,$C80)</f>
        <v>2</v>
      </c>
    </row>
    <row r="81" spans="1:4" ht="15" customHeight="1" x14ac:dyDescent="0.35">
      <c r="A81" s="16" t="s">
        <v>939</v>
      </c>
      <c r="B81" s="16" t="s">
        <v>977</v>
      </c>
      <c r="C81" s="16" t="s">
        <v>1074</v>
      </c>
      <c r="D81" s="22">
        <f>SUMIFS('Data (parsed)'!$I$2:$I$235,'Data (parsed)'!$B$2:$B$235,$A81,'Data (parsed)'!$C$2:$C$235,$B81,'Data (parsed)'!$H$2:$H$235,$C81)</f>
        <v>2</v>
      </c>
    </row>
    <row r="82" spans="1:4" ht="15" customHeight="1" x14ac:dyDescent="0.35">
      <c r="A82" s="16" t="s">
        <v>939</v>
      </c>
      <c r="B82" s="16" t="s">
        <v>977</v>
      </c>
      <c r="C82" s="16" t="s">
        <v>1104</v>
      </c>
      <c r="D82" s="22">
        <f>SUMIFS('Data (parsed)'!$I$2:$I$235,'Data (parsed)'!$B$2:$B$235,$A82,'Data (parsed)'!$C$2:$C$235,$B82,'Data (parsed)'!$H$2:$H$235,$C82)</f>
        <v>1</v>
      </c>
    </row>
    <row r="83" spans="1:4" ht="15" customHeight="1" x14ac:dyDescent="0.35">
      <c r="A83" s="16" t="s">
        <v>939</v>
      </c>
      <c r="B83" s="16" t="s">
        <v>977</v>
      </c>
      <c r="C83" s="16" t="s">
        <v>1110</v>
      </c>
      <c r="D83" s="22">
        <f>SUMIFS('Data (parsed)'!$I$2:$I$235,'Data (parsed)'!$B$2:$B$235,$A83,'Data (parsed)'!$C$2:$C$235,$B83,'Data (parsed)'!$H$2:$H$235,$C83)</f>
        <v>1</v>
      </c>
    </row>
    <row r="84" spans="1:4" ht="15" customHeight="1" x14ac:dyDescent="0.35">
      <c r="A84" s="16" t="s">
        <v>939</v>
      </c>
      <c r="B84" s="16" t="s">
        <v>977</v>
      </c>
      <c r="C84" s="16" t="s">
        <v>1111</v>
      </c>
      <c r="D84" s="22">
        <f>SUMIFS('Data (parsed)'!$I$2:$I$235,'Data (parsed)'!$B$2:$B$235,$A84,'Data (parsed)'!$C$2:$C$235,$B84,'Data (parsed)'!$H$2:$H$235,$C84)</f>
        <v>1</v>
      </c>
    </row>
    <row r="85" spans="1:4" ht="15" customHeight="1" x14ac:dyDescent="0.35">
      <c r="A85" s="16" t="s">
        <v>939</v>
      </c>
      <c r="B85" s="16" t="s">
        <v>977</v>
      </c>
      <c r="C85" s="16" t="s">
        <v>1002</v>
      </c>
      <c r="D85" s="22">
        <f>SUMIFS('Data (parsed)'!$I$2:$I$235,'Data (parsed)'!$B$2:$B$235,$A85,'Data (parsed)'!$C$2:$C$235,$B85,'Data (parsed)'!$H$2:$H$235,$C85)</f>
        <v>1</v>
      </c>
    </row>
    <row r="86" spans="1:4" ht="15" customHeight="1" x14ac:dyDescent="0.35">
      <c r="A86" s="16" t="s">
        <v>939</v>
      </c>
      <c r="B86" s="16" t="s">
        <v>980</v>
      </c>
      <c r="C86" s="16" t="s">
        <v>1110</v>
      </c>
      <c r="D86" s="22">
        <f>SUMIFS('Data (parsed)'!$I$2:$I$235,'Data (parsed)'!$B$2:$B$235,$A86,'Data (parsed)'!$C$2:$C$235,$B86,'Data (parsed)'!$H$2:$H$235,$C86)</f>
        <v>1</v>
      </c>
    </row>
    <row r="87" spans="1:4" ht="15" customHeight="1" x14ac:dyDescent="0.35">
      <c r="A87" s="16" t="s">
        <v>939</v>
      </c>
      <c r="B87" s="16" t="s">
        <v>980</v>
      </c>
      <c r="C87" s="16" t="s">
        <v>1075</v>
      </c>
      <c r="D87" s="22">
        <f>SUMIFS('Data (parsed)'!$I$2:$I$235,'Data (parsed)'!$B$2:$B$235,$A87,'Data (parsed)'!$C$2:$C$235,$B87,'Data (parsed)'!$H$2:$H$235,$C87)</f>
        <v>1</v>
      </c>
    </row>
    <row r="88" spans="1:4" ht="15" customHeight="1" x14ac:dyDescent="0.35">
      <c r="A88" s="16" t="s">
        <v>939</v>
      </c>
      <c r="B88" s="16" t="s">
        <v>980</v>
      </c>
      <c r="C88" s="16" t="s">
        <v>1074</v>
      </c>
      <c r="D88" s="22">
        <f>SUMIFS('Data (parsed)'!$I$2:$I$235,'Data (parsed)'!$B$2:$B$235,$A88,'Data (parsed)'!$C$2:$C$235,$B88,'Data (parsed)'!$H$2:$H$235,$C88)</f>
        <v>1</v>
      </c>
    </row>
    <row r="89" spans="1:4" ht="15" customHeight="1" x14ac:dyDescent="0.35">
      <c r="A89" s="16" t="s">
        <v>939</v>
      </c>
      <c r="B89" s="16" t="s">
        <v>981</v>
      </c>
      <c r="C89" s="16" t="s">
        <v>1104</v>
      </c>
      <c r="D89" s="22">
        <f>SUMIFS('Data (parsed)'!$I$2:$I$235,'Data (parsed)'!$B$2:$B$235,$A89,'Data (parsed)'!$C$2:$C$235,$B89,'Data (parsed)'!$H$2:$H$235,$C89)</f>
        <v>1</v>
      </c>
    </row>
    <row r="90" spans="1:4" ht="15" customHeight="1" x14ac:dyDescent="0.35">
      <c r="A90" s="16" t="s">
        <v>939</v>
      </c>
      <c r="B90" s="16" t="s">
        <v>981</v>
      </c>
      <c r="C90" s="16" t="s">
        <v>1074</v>
      </c>
      <c r="D90" s="22">
        <f>SUMIFS('Data (parsed)'!$I$2:$I$235,'Data (parsed)'!$B$2:$B$235,$A90,'Data (parsed)'!$C$2:$C$235,$B90,'Data (parsed)'!$H$2:$H$235,$C90)</f>
        <v>1</v>
      </c>
    </row>
    <row r="91" spans="1:4" ht="26.25" customHeight="1" x14ac:dyDescent="0.35">
      <c r="A91" s="16" t="s">
        <v>939</v>
      </c>
      <c r="B91" s="16" t="s">
        <v>976</v>
      </c>
      <c r="C91" s="16" t="s">
        <v>1110</v>
      </c>
      <c r="D91" s="22">
        <f>SUMIFS('Data (parsed)'!$I$2:$I$235,'Data (parsed)'!$B$2:$B$235,$A91,'Data (parsed)'!$C$2:$C$235,$B91,'Data (parsed)'!$H$2:$H$235,$C91)</f>
        <v>4</v>
      </c>
    </row>
    <row r="92" spans="1:4" ht="26.25" customHeight="1" x14ac:dyDescent="0.35">
      <c r="A92" s="16" t="s">
        <v>939</v>
      </c>
      <c r="B92" s="16" t="s">
        <v>976</v>
      </c>
      <c r="C92" s="16" t="s">
        <v>1074</v>
      </c>
      <c r="D92" s="22">
        <f>SUMIFS('Data (parsed)'!$I$2:$I$235,'Data (parsed)'!$B$2:$B$235,$A92,'Data (parsed)'!$C$2:$C$235,$B92,'Data (parsed)'!$H$2:$H$235,$C92)</f>
        <v>3</v>
      </c>
    </row>
    <row r="93" spans="1:4" ht="26.25" customHeight="1" x14ac:dyDescent="0.35">
      <c r="A93" s="16" t="s">
        <v>939</v>
      </c>
      <c r="B93" s="16" t="s">
        <v>976</v>
      </c>
      <c r="C93" s="16" t="s">
        <v>1099</v>
      </c>
      <c r="D93" s="22">
        <f>SUMIFS('Data (parsed)'!$I$2:$I$235,'Data (parsed)'!$B$2:$B$235,$A93,'Data (parsed)'!$C$2:$C$235,$B93,'Data (parsed)'!$H$2:$H$235,$C93)</f>
        <v>1</v>
      </c>
    </row>
    <row r="94" spans="1:4" ht="26.25" customHeight="1" x14ac:dyDescent="0.35">
      <c r="A94" s="16" t="s">
        <v>939</v>
      </c>
      <c r="B94" s="16" t="s">
        <v>976</v>
      </c>
      <c r="C94" s="16" t="s">
        <v>1112</v>
      </c>
      <c r="D94" s="22">
        <f>SUMIFS('Data (parsed)'!$I$2:$I$235,'Data (parsed)'!$B$2:$B$235,$A94,'Data (parsed)'!$C$2:$C$235,$B94,'Data (parsed)'!$H$2:$H$235,$C94)</f>
        <v>1</v>
      </c>
    </row>
    <row r="95" spans="1:4" ht="15" customHeight="1" x14ac:dyDescent="0.35">
      <c r="A95" s="16" t="s">
        <v>939</v>
      </c>
      <c r="B95" s="16" t="s">
        <v>985</v>
      </c>
      <c r="C95" s="16" t="s">
        <v>1002</v>
      </c>
      <c r="D95" s="22">
        <f>SUMIFS('Data (parsed)'!$I$2:$I$235,'Data (parsed)'!$B$2:$B$235,$A95,'Data (parsed)'!$C$2:$C$235,$B95,'Data (parsed)'!$H$2:$H$235,$C95)</f>
        <v>1</v>
      </c>
    </row>
    <row r="96" spans="1:4" ht="15" customHeight="1" x14ac:dyDescent="0.35">
      <c r="A96" s="16" t="s">
        <v>939</v>
      </c>
      <c r="B96" s="16" t="s">
        <v>984</v>
      </c>
      <c r="C96" s="16" t="s">
        <v>1099</v>
      </c>
      <c r="D96" s="22">
        <f>SUMIFS('Data (parsed)'!$I$2:$I$235,'Data (parsed)'!$B$2:$B$235,$A96,'Data (parsed)'!$C$2:$C$235,$B96,'Data (parsed)'!$H$2:$H$235,$C96)</f>
        <v>1</v>
      </c>
    </row>
    <row r="97" spans="1:4" ht="15" customHeight="1" x14ac:dyDescent="0.35">
      <c r="A97" s="16" t="s">
        <v>939</v>
      </c>
      <c r="B97" s="16" t="s">
        <v>982</v>
      </c>
      <c r="C97" s="16" t="s">
        <v>1110</v>
      </c>
      <c r="D97" s="22">
        <f>SUMIFS('Data (parsed)'!$I$2:$I$235,'Data (parsed)'!$B$2:$B$235,$A97,'Data (parsed)'!$C$2:$C$235,$B97,'Data (parsed)'!$H$2:$H$235,$C97)</f>
        <v>1</v>
      </c>
    </row>
    <row r="98" spans="1:4" ht="15" customHeight="1" x14ac:dyDescent="0.35">
      <c r="A98" s="16" t="s">
        <v>939</v>
      </c>
      <c r="B98" s="16" t="s">
        <v>674</v>
      </c>
      <c r="C98" s="16" t="s">
        <v>1104</v>
      </c>
      <c r="D98" s="22">
        <f>SUMIFS('Data (parsed)'!$I$2:$I$235,'Data (parsed)'!$B$2:$B$235,$A98,'Data (parsed)'!$C$2:$C$235,$B98,'Data (parsed)'!$H$2:$H$235,$C98)</f>
        <v>1</v>
      </c>
    </row>
    <row r="99" spans="1:4" ht="15" customHeight="1" x14ac:dyDescent="0.35">
      <c r="A99" s="16" t="s">
        <v>939</v>
      </c>
      <c r="B99" s="16" t="s">
        <v>674</v>
      </c>
      <c r="C99" s="16" t="s">
        <v>1099</v>
      </c>
      <c r="D99" s="22">
        <f>SUMIFS('Data (parsed)'!$I$2:$I$235,'Data (parsed)'!$B$2:$B$235,$A99,'Data (parsed)'!$C$2:$C$235,$B99,'Data (parsed)'!$H$2:$H$235,$C99)</f>
        <v>1</v>
      </c>
    </row>
    <row r="100" spans="1:4" ht="15" customHeight="1" x14ac:dyDescent="0.35">
      <c r="A100" s="16" t="s">
        <v>939</v>
      </c>
      <c r="B100" s="16" t="s">
        <v>983</v>
      </c>
      <c r="C100" s="16" t="s">
        <v>1074</v>
      </c>
      <c r="D100" s="22">
        <f>SUMIFS('Data (parsed)'!$I$2:$I$235,'Data (parsed)'!$B$2:$B$235,$A100,'Data (parsed)'!$C$2:$C$235,$B100,'Data (parsed)'!$H$2:$H$235,$C100)</f>
        <v>1</v>
      </c>
    </row>
    <row r="101" spans="1:4" ht="15" customHeight="1" x14ac:dyDescent="0.35">
      <c r="A101" s="16" t="s">
        <v>939</v>
      </c>
      <c r="B101" s="16" t="s">
        <v>978</v>
      </c>
      <c r="C101" s="16" t="s">
        <v>1099</v>
      </c>
      <c r="D101" s="22">
        <f>SUMIFS('Data (parsed)'!$I$2:$I$235,'Data (parsed)'!$B$2:$B$235,$A101,'Data (parsed)'!$C$2:$C$235,$B101,'Data (parsed)'!$H$2:$H$235,$C101)</f>
        <v>3</v>
      </c>
    </row>
    <row r="102" spans="1:4" ht="15" customHeight="1" x14ac:dyDescent="0.35">
      <c r="A102" s="16" t="s">
        <v>939</v>
      </c>
      <c r="B102" s="16" t="s">
        <v>978</v>
      </c>
      <c r="C102" s="16" t="s">
        <v>1110</v>
      </c>
      <c r="D102" s="22">
        <f>SUMIFS('Data (parsed)'!$I$2:$I$235,'Data (parsed)'!$B$2:$B$235,$A102,'Data (parsed)'!$C$2:$C$235,$B102,'Data (parsed)'!$H$2:$H$235,$C102)</f>
        <v>1</v>
      </c>
    </row>
    <row r="103" spans="1:4" ht="15" customHeight="1" x14ac:dyDescent="0.35">
      <c r="A103" s="16" t="s">
        <v>939</v>
      </c>
      <c r="B103" s="16" t="s">
        <v>978</v>
      </c>
      <c r="C103" s="16" t="s">
        <v>1002</v>
      </c>
      <c r="D103" s="22">
        <f>SUMIFS('Data (parsed)'!$I$2:$I$235,'Data (parsed)'!$B$2:$B$235,$A103,'Data (parsed)'!$C$2:$C$235,$B103,'Data (parsed)'!$H$2:$H$235,$C103)</f>
        <v>1</v>
      </c>
    </row>
    <row r="104" spans="1:4" ht="15" customHeight="1" x14ac:dyDescent="0.35">
      <c r="A104" s="16" t="s">
        <v>939</v>
      </c>
      <c r="B104" s="16" t="s">
        <v>978</v>
      </c>
      <c r="C104" s="16" t="s">
        <v>1075</v>
      </c>
      <c r="D104" s="22">
        <f>SUMIFS('Data (parsed)'!$I$2:$I$235,'Data (parsed)'!$B$2:$B$235,$A104,'Data (parsed)'!$C$2:$C$235,$B104,'Data (parsed)'!$H$2:$H$235,$C104)</f>
        <v>1</v>
      </c>
    </row>
    <row r="105" spans="1:4" ht="15" customHeight="1" x14ac:dyDescent="0.35">
      <c r="A105" s="16" t="s">
        <v>939</v>
      </c>
      <c r="B105" s="16" t="s">
        <v>978</v>
      </c>
      <c r="C105" s="16" t="s">
        <v>1074</v>
      </c>
      <c r="D105" s="22">
        <f>SUMIFS('Data (parsed)'!$I$2:$I$235,'Data (parsed)'!$B$2:$B$235,$A105,'Data (parsed)'!$C$2:$C$235,$B105,'Data (parsed)'!$H$2:$H$235,$C105)</f>
        <v>1</v>
      </c>
    </row>
    <row r="106" spans="1:4" ht="15" customHeight="1" x14ac:dyDescent="0.35">
      <c r="A106" s="16" t="s">
        <v>939</v>
      </c>
      <c r="B106" s="16" t="s">
        <v>979</v>
      </c>
      <c r="C106" s="16" t="s">
        <v>1074</v>
      </c>
      <c r="D106" s="22">
        <f>SUMIFS('Data (parsed)'!$I$2:$I$235,'Data (parsed)'!$B$2:$B$235,$A106,'Data (parsed)'!$C$2:$C$235,$B106,'Data (parsed)'!$H$2:$H$235,$C106)</f>
        <v>2</v>
      </c>
    </row>
    <row r="107" spans="1:4" ht="15" customHeight="1" x14ac:dyDescent="0.35">
      <c r="A107" s="16" t="s">
        <v>939</v>
      </c>
      <c r="B107" s="16" t="s">
        <v>979</v>
      </c>
      <c r="C107" s="16" t="s">
        <v>1098</v>
      </c>
      <c r="D107" s="22">
        <f>SUMIFS('Data (parsed)'!$I$2:$I$235,'Data (parsed)'!$B$2:$B$235,$A107,'Data (parsed)'!$C$2:$C$235,$B107,'Data (parsed)'!$H$2:$H$235,$C107)</f>
        <v>1</v>
      </c>
    </row>
    <row r="108" spans="1:4" ht="15" customHeight="1" x14ac:dyDescent="0.35">
      <c r="A108" s="16" t="s">
        <v>939</v>
      </c>
      <c r="B108" s="16" t="s">
        <v>979</v>
      </c>
      <c r="C108" s="16" t="s">
        <v>1113</v>
      </c>
      <c r="D108" s="22">
        <f>SUMIFS('Data (parsed)'!$I$2:$I$235,'Data (parsed)'!$B$2:$B$235,$A108,'Data (parsed)'!$C$2:$C$235,$B108,'Data (parsed)'!$H$2:$H$235,$C108)</f>
        <v>1</v>
      </c>
    </row>
    <row r="109" spans="1:4" ht="15" customHeight="1" x14ac:dyDescent="0.35">
      <c r="A109" s="23" t="s">
        <v>940</v>
      </c>
      <c r="B109" s="23" t="s">
        <v>992</v>
      </c>
      <c r="C109" s="23" t="s">
        <v>1114</v>
      </c>
      <c r="D109" s="24">
        <f>SUMIFS('Data (parsed)'!$I$2:$I$235,'Data (parsed)'!$B$2:$B$235,$A109,'Data (parsed)'!$C$2:$C$235,$B109,'Data (parsed)'!$H$2:$H$235,$C109)</f>
        <v>1</v>
      </c>
    </row>
    <row r="110" spans="1:4" ht="15" customHeight="1" x14ac:dyDescent="0.35">
      <c r="A110" s="23" t="s">
        <v>940</v>
      </c>
      <c r="B110" s="23" t="s">
        <v>992</v>
      </c>
      <c r="C110" s="23" t="s">
        <v>1104</v>
      </c>
      <c r="D110" s="24">
        <f>SUMIFS('Data (parsed)'!$I$2:$I$235,'Data (parsed)'!$B$2:$B$235,$A110,'Data (parsed)'!$C$2:$C$235,$B110,'Data (parsed)'!$H$2:$H$235,$C110)</f>
        <v>1</v>
      </c>
    </row>
    <row r="111" spans="1:4" ht="15" customHeight="1" x14ac:dyDescent="0.35">
      <c r="A111" s="23" t="s">
        <v>940</v>
      </c>
      <c r="B111" s="23" t="s">
        <v>992</v>
      </c>
      <c r="C111" s="23" t="s">
        <v>1115</v>
      </c>
      <c r="D111" s="24">
        <f>SUMIFS('Data (parsed)'!$I$2:$I$235,'Data (parsed)'!$B$2:$B$235,$A111,'Data (parsed)'!$C$2:$C$235,$B111,'Data (parsed)'!$H$2:$H$235,$C111)</f>
        <v>1</v>
      </c>
    </row>
    <row r="112" spans="1:4" ht="15" customHeight="1" x14ac:dyDescent="0.35">
      <c r="A112" s="23" t="s">
        <v>940</v>
      </c>
      <c r="B112" s="23" t="s">
        <v>992</v>
      </c>
      <c r="C112" s="23" t="s">
        <v>1116</v>
      </c>
      <c r="D112" s="24">
        <f>SUMIFS('Data (parsed)'!$I$2:$I$235,'Data (parsed)'!$B$2:$B$235,$A112,'Data (parsed)'!$C$2:$C$235,$B112,'Data (parsed)'!$H$2:$H$235,$C112)</f>
        <v>1</v>
      </c>
    </row>
    <row r="113" spans="1:4" ht="15" customHeight="1" x14ac:dyDescent="0.35">
      <c r="A113" s="23" t="s">
        <v>940</v>
      </c>
      <c r="B113" s="23" t="s">
        <v>992</v>
      </c>
      <c r="C113" s="23" t="s">
        <v>1117</v>
      </c>
      <c r="D113" s="24">
        <f>SUMIFS('Data (parsed)'!$I$2:$I$235,'Data (parsed)'!$B$2:$B$235,$A113,'Data (parsed)'!$C$2:$C$235,$B113,'Data (parsed)'!$H$2:$H$235,$C113)</f>
        <v>1</v>
      </c>
    </row>
    <row r="114" spans="1:4" ht="15" customHeight="1" x14ac:dyDescent="0.35">
      <c r="A114" s="23" t="s">
        <v>940</v>
      </c>
      <c r="B114" s="23" t="s">
        <v>991</v>
      </c>
      <c r="C114" s="23" t="s">
        <v>1118</v>
      </c>
      <c r="D114" s="24">
        <f>SUMIFS('Data (parsed)'!$I$2:$I$235,'Data (parsed)'!$B$2:$B$235,$A114,'Data (parsed)'!$C$2:$C$235,$B114,'Data (parsed)'!$H$2:$H$235,$C114)</f>
        <v>1</v>
      </c>
    </row>
    <row r="115" spans="1:4" ht="15" customHeight="1" x14ac:dyDescent="0.35">
      <c r="A115" s="23" t="s">
        <v>940</v>
      </c>
      <c r="B115" s="23" t="s">
        <v>991</v>
      </c>
      <c r="C115" s="23" t="s">
        <v>1119</v>
      </c>
      <c r="D115" s="24">
        <f>SUMIFS('Data (parsed)'!$I$2:$I$235,'Data (parsed)'!$B$2:$B$235,$A115,'Data (parsed)'!$C$2:$C$235,$B115,'Data (parsed)'!$H$2:$H$235,$C115)</f>
        <v>1</v>
      </c>
    </row>
    <row r="116" spans="1:4" ht="15" customHeight="1" x14ac:dyDescent="0.35">
      <c r="A116" s="23" t="s">
        <v>940</v>
      </c>
      <c r="B116" s="23" t="s">
        <v>991</v>
      </c>
      <c r="C116" s="23" t="s">
        <v>1120</v>
      </c>
      <c r="D116" s="24">
        <f>SUMIFS('Data (parsed)'!$I$2:$I$235,'Data (parsed)'!$B$2:$B$235,$A116,'Data (parsed)'!$C$2:$C$235,$B116,'Data (parsed)'!$H$2:$H$235,$C116)</f>
        <v>1</v>
      </c>
    </row>
    <row r="117" spans="1:4" ht="15" customHeight="1" x14ac:dyDescent="0.35">
      <c r="A117" s="23" t="s">
        <v>940</v>
      </c>
      <c r="B117" s="23" t="s">
        <v>991</v>
      </c>
      <c r="C117" s="23" t="s">
        <v>1002</v>
      </c>
      <c r="D117" s="24">
        <f>SUMIFS('Data (parsed)'!$I$2:$I$235,'Data (parsed)'!$B$2:$B$235,$A117,'Data (parsed)'!$C$2:$C$235,$B117,'Data (parsed)'!$H$2:$H$235,$C117)</f>
        <v>1</v>
      </c>
    </row>
    <row r="118" spans="1:4" ht="15" customHeight="1" x14ac:dyDescent="0.35">
      <c r="A118" s="23" t="s">
        <v>940</v>
      </c>
      <c r="B118" s="23" t="s">
        <v>991</v>
      </c>
      <c r="C118" s="23" t="s">
        <v>1121</v>
      </c>
      <c r="D118" s="24">
        <f>SUMIFS('Data (parsed)'!$I$2:$I$235,'Data (parsed)'!$B$2:$B$235,$A118,'Data (parsed)'!$C$2:$C$235,$B118,'Data (parsed)'!$H$2:$H$235,$C118)</f>
        <v>1</v>
      </c>
    </row>
    <row r="119" spans="1:4" ht="15" customHeight="1" x14ac:dyDescent="0.35">
      <c r="A119" s="23" t="s">
        <v>940</v>
      </c>
      <c r="B119" s="23" t="s">
        <v>767</v>
      </c>
      <c r="C119" s="23" t="s">
        <v>1110</v>
      </c>
      <c r="D119" s="24">
        <f>SUMIFS('Data (parsed)'!$I$2:$I$235,'Data (parsed)'!$B$2:$B$235,$A119,'Data (parsed)'!$C$2:$C$235,$B119,'Data (parsed)'!$H$2:$H$235,$C119)</f>
        <v>7</v>
      </c>
    </row>
    <row r="120" spans="1:4" ht="15" customHeight="1" x14ac:dyDescent="0.35">
      <c r="A120" s="23" t="s">
        <v>940</v>
      </c>
      <c r="B120" s="23" t="s">
        <v>767</v>
      </c>
      <c r="C120" s="23" t="s">
        <v>1002</v>
      </c>
      <c r="D120" s="24">
        <f>SUMIFS('Data (parsed)'!$I$2:$I$235,'Data (parsed)'!$B$2:$B$235,$A120,'Data (parsed)'!$C$2:$C$235,$B120,'Data (parsed)'!$H$2:$H$235,$C120)</f>
        <v>4</v>
      </c>
    </row>
    <row r="121" spans="1:4" ht="15" customHeight="1" x14ac:dyDescent="0.35">
      <c r="A121" s="23" t="s">
        <v>940</v>
      </c>
      <c r="B121" s="23" t="s">
        <v>767</v>
      </c>
      <c r="C121" s="23" t="s">
        <v>1099</v>
      </c>
      <c r="D121" s="24">
        <f>SUMIFS('Data (parsed)'!$I$2:$I$235,'Data (parsed)'!$B$2:$B$235,$A121,'Data (parsed)'!$C$2:$C$235,$B121,'Data (parsed)'!$H$2:$H$235,$C121)</f>
        <v>3</v>
      </c>
    </row>
    <row r="122" spans="1:4" ht="15" customHeight="1" x14ac:dyDescent="0.35">
      <c r="A122" s="23" t="s">
        <v>940</v>
      </c>
      <c r="B122" s="23" t="s">
        <v>767</v>
      </c>
      <c r="C122" s="23" t="s">
        <v>1122</v>
      </c>
      <c r="D122" s="24">
        <f>SUMIFS('Data (parsed)'!$I$2:$I$235,'Data (parsed)'!$B$2:$B$235,$A122,'Data (parsed)'!$C$2:$C$235,$B122,'Data (parsed)'!$H$2:$H$235,$C122)</f>
        <v>2</v>
      </c>
    </row>
    <row r="123" spans="1:4" ht="15" customHeight="1" x14ac:dyDescent="0.35">
      <c r="A123" s="23" t="s">
        <v>940</v>
      </c>
      <c r="B123" s="23" t="s">
        <v>767</v>
      </c>
      <c r="C123" s="23" t="s">
        <v>1121</v>
      </c>
      <c r="D123" s="24">
        <f>SUMIFS('Data (parsed)'!$I$2:$I$235,'Data (parsed)'!$B$2:$B$235,$A123,'Data (parsed)'!$C$2:$C$235,$B123,'Data (parsed)'!$H$2:$H$235,$C123)</f>
        <v>2</v>
      </c>
    </row>
    <row r="124" spans="1:4" ht="15" customHeight="1" x14ac:dyDescent="0.35">
      <c r="A124" s="23" t="s">
        <v>940</v>
      </c>
      <c r="B124" s="23" t="s">
        <v>767</v>
      </c>
      <c r="C124" s="23" t="s">
        <v>1118</v>
      </c>
      <c r="D124" s="24">
        <f>SUMIFS('Data (parsed)'!$I$2:$I$235,'Data (parsed)'!$B$2:$B$235,$A124,'Data (parsed)'!$C$2:$C$235,$B124,'Data (parsed)'!$H$2:$H$235,$C124)</f>
        <v>1</v>
      </c>
    </row>
    <row r="125" spans="1:4" ht="15" customHeight="1" x14ac:dyDescent="0.35">
      <c r="A125" s="23" t="s">
        <v>940</v>
      </c>
      <c r="B125" s="23" t="s">
        <v>767</v>
      </c>
      <c r="C125" s="23" t="s">
        <v>1114</v>
      </c>
      <c r="D125" s="24">
        <f>SUMIFS('Data (parsed)'!$I$2:$I$235,'Data (parsed)'!$B$2:$B$235,$A125,'Data (parsed)'!$C$2:$C$235,$B125,'Data (parsed)'!$H$2:$H$235,$C125)</f>
        <v>1</v>
      </c>
    </row>
    <row r="126" spans="1:4" ht="15" customHeight="1" x14ac:dyDescent="0.35">
      <c r="A126" s="23" t="s">
        <v>940</v>
      </c>
      <c r="B126" s="23" t="s">
        <v>767</v>
      </c>
      <c r="C126" s="23" t="s">
        <v>1104</v>
      </c>
      <c r="D126" s="24">
        <f>SUMIFS('Data (parsed)'!$I$2:$I$235,'Data (parsed)'!$B$2:$B$235,$A126,'Data (parsed)'!$C$2:$C$235,$B126,'Data (parsed)'!$H$2:$H$235,$C126)</f>
        <v>1</v>
      </c>
    </row>
    <row r="127" spans="1:4" ht="15" customHeight="1" x14ac:dyDescent="0.35">
      <c r="A127" s="23" t="s">
        <v>940</v>
      </c>
      <c r="B127" s="23" t="s">
        <v>767</v>
      </c>
      <c r="C127" s="23" t="s">
        <v>1123</v>
      </c>
      <c r="D127" s="24">
        <f>SUMIFS('Data (parsed)'!$I$2:$I$235,'Data (parsed)'!$B$2:$B$235,$A127,'Data (parsed)'!$C$2:$C$235,$B127,'Data (parsed)'!$H$2:$H$235,$C127)</f>
        <v>1</v>
      </c>
    </row>
    <row r="128" spans="1:4" ht="15" customHeight="1" x14ac:dyDescent="0.35">
      <c r="A128" s="23" t="s">
        <v>940</v>
      </c>
      <c r="B128" s="23" t="s">
        <v>767</v>
      </c>
      <c r="C128" s="23" t="s">
        <v>1124</v>
      </c>
      <c r="D128" s="24">
        <f>SUMIFS('Data (parsed)'!$I$2:$I$235,'Data (parsed)'!$B$2:$B$235,$A128,'Data (parsed)'!$C$2:$C$235,$B128,'Data (parsed)'!$H$2:$H$235,$C128)</f>
        <v>1</v>
      </c>
    </row>
    <row r="129" spans="1:4" ht="15" customHeight="1" x14ac:dyDescent="0.35">
      <c r="A129" s="23" t="s">
        <v>940</v>
      </c>
      <c r="B129" s="23" t="s">
        <v>767</v>
      </c>
      <c r="C129" s="23" t="s">
        <v>1125</v>
      </c>
      <c r="D129" s="24">
        <f>SUMIFS('Data (parsed)'!$I$2:$I$235,'Data (parsed)'!$B$2:$B$235,$A129,'Data (parsed)'!$C$2:$C$235,$B129,'Data (parsed)'!$H$2:$H$235,$C129)</f>
        <v>1</v>
      </c>
    </row>
    <row r="130" spans="1:4" ht="15" customHeight="1" x14ac:dyDescent="0.35">
      <c r="A130" s="23" t="s">
        <v>940</v>
      </c>
      <c r="B130" s="23" t="s">
        <v>767</v>
      </c>
      <c r="C130" s="23" t="s">
        <v>1126</v>
      </c>
      <c r="D130" s="24">
        <f>SUMIFS('Data (parsed)'!$I$2:$I$235,'Data (parsed)'!$B$2:$B$235,$A130,'Data (parsed)'!$C$2:$C$235,$B130,'Data (parsed)'!$H$2:$H$235,$C130)</f>
        <v>1</v>
      </c>
    </row>
    <row r="131" spans="1:4" ht="15" customHeight="1" x14ac:dyDescent="0.35">
      <c r="A131" s="23" t="s">
        <v>940</v>
      </c>
      <c r="B131" s="23" t="s">
        <v>767</v>
      </c>
      <c r="C131" s="23" t="s">
        <v>1127</v>
      </c>
      <c r="D131" s="24">
        <f>SUMIFS('Data (parsed)'!$I$2:$I$235,'Data (parsed)'!$B$2:$B$235,$A131,'Data (parsed)'!$C$2:$C$235,$B131,'Data (parsed)'!$H$2:$H$235,$C131)</f>
        <v>1</v>
      </c>
    </row>
    <row r="132" spans="1:4" ht="15" customHeight="1" x14ac:dyDescent="0.35">
      <c r="A132" s="23" t="s">
        <v>940</v>
      </c>
      <c r="B132" s="23" t="s">
        <v>767</v>
      </c>
      <c r="C132" s="23" t="s">
        <v>1128</v>
      </c>
      <c r="D132" s="24">
        <f>SUMIFS('Data (parsed)'!$I$2:$I$235,'Data (parsed)'!$B$2:$B$235,$A132,'Data (parsed)'!$C$2:$C$235,$B132,'Data (parsed)'!$H$2:$H$235,$C132)</f>
        <v>1</v>
      </c>
    </row>
    <row r="133" spans="1:4" ht="15" customHeight="1" x14ac:dyDescent="0.35">
      <c r="A133" s="23" t="s">
        <v>940</v>
      </c>
      <c r="B133" s="23" t="s">
        <v>993</v>
      </c>
      <c r="C133" s="23" t="s">
        <v>1129</v>
      </c>
      <c r="D133" s="24">
        <f>SUMIFS('Data (parsed)'!$I$2:$I$235,'Data (parsed)'!$B$2:$B$235,$A133,'Data (parsed)'!$C$2:$C$235,$B133,'Data (parsed)'!$H$2:$H$235,$C133)</f>
        <v>1</v>
      </c>
    </row>
    <row r="134" spans="1:4" ht="15" customHeight="1" x14ac:dyDescent="0.35">
      <c r="A134" s="23" t="s">
        <v>940</v>
      </c>
      <c r="B134" s="23" t="s">
        <v>989</v>
      </c>
      <c r="C134" s="23" t="s">
        <v>1104</v>
      </c>
      <c r="D134" s="24">
        <f>SUMIFS('Data (parsed)'!$I$2:$I$235,'Data (parsed)'!$B$2:$B$235,$A134,'Data (parsed)'!$C$2:$C$235,$B134,'Data (parsed)'!$H$2:$H$235,$C134)</f>
        <v>2</v>
      </c>
    </row>
    <row r="135" spans="1:4" ht="15" customHeight="1" x14ac:dyDescent="0.35">
      <c r="A135" s="23" t="s">
        <v>940</v>
      </c>
      <c r="B135" s="23" t="s">
        <v>989</v>
      </c>
      <c r="C135" s="23" t="s">
        <v>1002</v>
      </c>
      <c r="D135" s="24">
        <f>SUMIFS('Data (parsed)'!$I$2:$I$235,'Data (parsed)'!$B$2:$B$235,$A135,'Data (parsed)'!$C$2:$C$235,$B135,'Data (parsed)'!$H$2:$H$235,$C135)</f>
        <v>2</v>
      </c>
    </row>
    <row r="136" spans="1:4" ht="15" customHeight="1" x14ac:dyDescent="0.35">
      <c r="A136" s="23" t="s">
        <v>940</v>
      </c>
      <c r="B136" s="23" t="s">
        <v>989</v>
      </c>
      <c r="C136" s="23" t="s">
        <v>1119</v>
      </c>
      <c r="D136" s="24">
        <f>SUMIFS('Data (parsed)'!$I$2:$I$235,'Data (parsed)'!$B$2:$B$235,$A136,'Data (parsed)'!$C$2:$C$235,$B136,'Data (parsed)'!$H$2:$H$235,$C136)</f>
        <v>1</v>
      </c>
    </row>
    <row r="137" spans="1:4" ht="15" customHeight="1" x14ac:dyDescent="0.35">
      <c r="A137" s="23" t="s">
        <v>940</v>
      </c>
      <c r="B137" s="23" t="s">
        <v>989</v>
      </c>
      <c r="C137" s="23" t="s">
        <v>1123</v>
      </c>
      <c r="D137" s="24">
        <f>SUMIFS('Data (parsed)'!$I$2:$I$235,'Data (parsed)'!$B$2:$B$235,$A137,'Data (parsed)'!$C$2:$C$235,$B137,'Data (parsed)'!$H$2:$H$235,$C137)</f>
        <v>1</v>
      </c>
    </row>
    <row r="138" spans="1:4" ht="15" customHeight="1" x14ac:dyDescent="0.35">
      <c r="A138" s="23" t="s">
        <v>940</v>
      </c>
      <c r="B138" s="23" t="s">
        <v>989</v>
      </c>
      <c r="C138" s="23" t="s">
        <v>1091</v>
      </c>
      <c r="D138" s="24">
        <f>SUMIFS('Data (parsed)'!$I$2:$I$235,'Data (parsed)'!$B$2:$B$235,$A138,'Data (parsed)'!$C$2:$C$235,$B138,'Data (parsed)'!$H$2:$H$235,$C138)</f>
        <v>1</v>
      </c>
    </row>
    <row r="139" spans="1:4" ht="15" customHeight="1" x14ac:dyDescent="0.35">
      <c r="A139" s="23" t="s">
        <v>940</v>
      </c>
      <c r="B139" s="23" t="s">
        <v>989</v>
      </c>
      <c r="C139" s="23" t="s">
        <v>1130</v>
      </c>
      <c r="D139" s="24">
        <f>SUMIFS('Data (parsed)'!$I$2:$I$235,'Data (parsed)'!$B$2:$B$235,$A139,'Data (parsed)'!$C$2:$C$235,$B139,'Data (parsed)'!$H$2:$H$235,$C139)</f>
        <v>1</v>
      </c>
    </row>
    <row r="140" spans="1:4" ht="15" customHeight="1" x14ac:dyDescent="0.35">
      <c r="A140" s="23" t="s">
        <v>940</v>
      </c>
      <c r="B140" s="23" t="s">
        <v>989</v>
      </c>
      <c r="C140" s="23" t="s">
        <v>1131</v>
      </c>
      <c r="D140" s="24">
        <f>SUMIFS('Data (parsed)'!$I$2:$I$235,'Data (parsed)'!$B$2:$B$235,$A140,'Data (parsed)'!$C$2:$C$235,$B140,'Data (parsed)'!$H$2:$H$235,$C140)</f>
        <v>1</v>
      </c>
    </row>
    <row r="141" spans="1:4" ht="15" customHeight="1" x14ac:dyDescent="0.35">
      <c r="A141" s="23" t="s">
        <v>940</v>
      </c>
      <c r="B141" s="23" t="s">
        <v>989</v>
      </c>
      <c r="C141" s="23" t="s">
        <v>1132</v>
      </c>
      <c r="D141" s="24">
        <f>SUMIFS('Data (parsed)'!$I$2:$I$235,'Data (parsed)'!$B$2:$B$235,$A141,'Data (parsed)'!$C$2:$C$235,$B141,'Data (parsed)'!$H$2:$H$235,$C141)</f>
        <v>1</v>
      </c>
    </row>
    <row r="142" spans="1:4" ht="15" customHeight="1" x14ac:dyDescent="0.35">
      <c r="A142" s="23" t="s">
        <v>940</v>
      </c>
      <c r="B142" s="23" t="s">
        <v>989</v>
      </c>
      <c r="C142" s="23" t="s">
        <v>1121</v>
      </c>
      <c r="D142" s="24">
        <f>SUMIFS('Data (parsed)'!$I$2:$I$235,'Data (parsed)'!$B$2:$B$235,$A142,'Data (parsed)'!$C$2:$C$235,$B142,'Data (parsed)'!$H$2:$H$235,$C142)</f>
        <v>1</v>
      </c>
    </row>
    <row r="143" spans="1:4" ht="15" customHeight="1" x14ac:dyDescent="0.35">
      <c r="A143" s="23" t="s">
        <v>940</v>
      </c>
      <c r="B143" s="23" t="s">
        <v>990</v>
      </c>
      <c r="C143" s="23" t="s">
        <v>1133</v>
      </c>
      <c r="D143" s="24">
        <f>SUMIFS('Data (parsed)'!$I$2:$I$235,'Data (parsed)'!$B$2:$B$235,$A143,'Data (parsed)'!$C$2:$C$235,$B143,'Data (parsed)'!$H$2:$H$235,$C143)</f>
        <v>3</v>
      </c>
    </row>
    <row r="144" spans="1:4" ht="15" customHeight="1" x14ac:dyDescent="0.35">
      <c r="A144" s="23" t="s">
        <v>940</v>
      </c>
      <c r="B144" s="23" t="s">
        <v>990</v>
      </c>
      <c r="C144" s="23" t="s">
        <v>1002</v>
      </c>
      <c r="D144" s="24">
        <f>SUMIFS('Data (parsed)'!$I$2:$I$235,'Data (parsed)'!$B$2:$B$235,$A144,'Data (parsed)'!$C$2:$C$235,$B144,'Data (parsed)'!$H$2:$H$235,$C144)</f>
        <v>2</v>
      </c>
    </row>
    <row r="145" spans="1:4" ht="15" customHeight="1" x14ac:dyDescent="0.35">
      <c r="A145" s="23" t="s">
        <v>940</v>
      </c>
      <c r="B145" s="23" t="s">
        <v>990</v>
      </c>
      <c r="C145" s="23" t="s">
        <v>1118</v>
      </c>
      <c r="D145" s="24">
        <f>SUMIFS('Data (parsed)'!$I$2:$I$235,'Data (parsed)'!$B$2:$B$235,$A145,'Data (parsed)'!$C$2:$C$235,$B145,'Data (parsed)'!$H$2:$H$235,$C145)</f>
        <v>1</v>
      </c>
    </row>
    <row r="146" spans="1:4" ht="15" customHeight="1" x14ac:dyDescent="0.35">
      <c r="A146" s="23" t="s">
        <v>940</v>
      </c>
      <c r="B146" s="23" t="s">
        <v>924</v>
      </c>
      <c r="C146" s="23" t="s">
        <v>1118</v>
      </c>
      <c r="D146" s="24">
        <f>SUMIFS('Data (parsed)'!$I$2:$I$235,'Data (parsed)'!$B$2:$B$235,$A146,'Data (parsed)'!$C$2:$C$235,$B146,'Data (parsed)'!$H$2:$H$235,$C146)</f>
        <v>1</v>
      </c>
    </row>
    <row r="147" spans="1:4" ht="15" customHeight="1" x14ac:dyDescent="0.35">
      <c r="A147" s="23" t="s">
        <v>940</v>
      </c>
      <c r="B147" s="23" t="s">
        <v>924</v>
      </c>
      <c r="C147" s="23" t="s">
        <v>1134</v>
      </c>
      <c r="D147" s="24">
        <f>SUMIFS('Data (parsed)'!$I$2:$I$235,'Data (parsed)'!$B$2:$B$235,$A147,'Data (parsed)'!$C$2:$C$235,$B147,'Data (parsed)'!$H$2:$H$235,$C147)</f>
        <v>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35"/>
  <sheetViews>
    <sheetView zoomScaleNormal="100" workbookViewId="0">
      <pane ySplit="1" topLeftCell="A2" activePane="bottomLeft" state="frozen"/>
      <selection pane="bottomLeft"/>
    </sheetView>
  </sheetViews>
  <sheetFormatPr defaultColWidth="8.6328125" defaultRowHeight="14.5" x14ac:dyDescent="0.35"/>
  <cols>
    <col min="1" max="1" width="5" style="2" customWidth="1"/>
    <col min="2" max="2" width="12" style="2" customWidth="1"/>
    <col min="3" max="3" width="30" style="2" customWidth="1"/>
    <col min="4" max="4" width="6" style="2" customWidth="1"/>
    <col min="5" max="5" width="16" style="2" customWidth="1"/>
    <col min="6" max="6" width="9" style="2" customWidth="1"/>
    <col min="7" max="8" width="32" style="2" customWidth="1"/>
    <col min="9" max="9" width="7" style="2" customWidth="1"/>
    <col min="10" max="10" width="10" style="2" customWidth="1"/>
  </cols>
  <sheetData>
    <row r="1" spans="1:10" ht="15" customHeight="1" x14ac:dyDescent="0.35">
      <c r="A1" s="11" t="s">
        <v>0</v>
      </c>
      <c r="B1" s="11" t="s">
        <v>1135</v>
      </c>
      <c r="C1" s="11" t="s">
        <v>951</v>
      </c>
      <c r="D1" s="11" t="s">
        <v>2</v>
      </c>
      <c r="E1" s="11" t="s">
        <v>5</v>
      </c>
      <c r="F1" s="11" t="s">
        <v>6</v>
      </c>
      <c r="G1" s="11" t="s">
        <v>1136</v>
      </c>
      <c r="H1" s="11" t="s">
        <v>1137</v>
      </c>
      <c r="I1" s="11" t="s">
        <v>1138</v>
      </c>
      <c r="J1" s="11" t="s">
        <v>1139</v>
      </c>
    </row>
    <row r="2" spans="1:10" ht="15" customHeight="1" x14ac:dyDescent="0.35">
      <c r="A2" s="16">
        <v>1</v>
      </c>
      <c r="B2" s="16" t="s">
        <v>937</v>
      </c>
      <c r="C2" s="16" t="s">
        <v>952</v>
      </c>
      <c r="D2" s="16" t="s">
        <v>11</v>
      </c>
      <c r="E2" s="16" t="s">
        <v>14</v>
      </c>
      <c r="F2" s="16" t="s">
        <v>15</v>
      </c>
      <c r="G2" s="16" t="s">
        <v>1008</v>
      </c>
      <c r="H2" s="16" t="s">
        <v>1078</v>
      </c>
      <c r="I2" s="16">
        <v>1</v>
      </c>
      <c r="J2" s="16">
        <v>1</v>
      </c>
    </row>
    <row r="3" spans="1:10" ht="15" customHeight="1" x14ac:dyDescent="0.35">
      <c r="A3" s="16">
        <v>2</v>
      </c>
      <c r="B3" s="16" t="s">
        <v>937</v>
      </c>
      <c r="C3" s="16" t="s">
        <v>952</v>
      </c>
      <c r="D3" s="16" t="s">
        <v>11</v>
      </c>
      <c r="E3" s="16" t="s">
        <v>14</v>
      </c>
      <c r="F3" s="16" t="s">
        <v>15</v>
      </c>
      <c r="G3" s="16" t="s">
        <v>1011</v>
      </c>
      <c r="H3" s="16" t="s">
        <v>1075</v>
      </c>
      <c r="I3" s="16">
        <v>1</v>
      </c>
      <c r="J3" s="16">
        <v>1</v>
      </c>
    </row>
    <row r="4" spans="1:10" ht="15" customHeight="1" x14ac:dyDescent="0.35">
      <c r="A4" s="16">
        <v>3</v>
      </c>
      <c r="B4" s="16" t="s">
        <v>937</v>
      </c>
      <c r="C4" s="16" t="s">
        <v>952</v>
      </c>
      <c r="D4" s="16" t="s">
        <v>22</v>
      </c>
      <c r="E4" s="16" t="s">
        <v>14</v>
      </c>
      <c r="F4" s="16" t="s">
        <v>15</v>
      </c>
      <c r="G4" s="16" t="s">
        <v>1010</v>
      </c>
      <c r="H4" s="16" t="s">
        <v>1075</v>
      </c>
      <c r="I4" s="16">
        <v>1</v>
      </c>
      <c r="J4" s="16">
        <v>1</v>
      </c>
    </row>
    <row r="5" spans="1:10" ht="15" customHeight="1" x14ac:dyDescent="0.35">
      <c r="A5" s="16">
        <v>4</v>
      </c>
      <c r="B5" s="16" t="s">
        <v>937</v>
      </c>
      <c r="C5" s="16" t="s">
        <v>952</v>
      </c>
      <c r="D5" s="16" t="s">
        <v>22</v>
      </c>
      <c r="E5" s="16" t="s">
        <v>14</v>
      </c>
      <c r="F5" s="16" t="s">
        <v>15</v>
      </c>
      <c r="G5" s="16" t="s">
        <v>1011</v>
      </c>
      <c r="H5" s="16" t="s">
        <v>1075</v>
      </c>
      <c r="I5" s="16">
        <v>1</v>
      </c>
      <c r="J5" s="16">
        <v>1</v>
      </c>
    </row>
    <row r="6" spans="1:10" ht="15" customHeight="1" x14ac:dyDescent="0.35">
      <c r="A6" s="16">
        <v>5</v>
      </c>
      <c r="B6" s="16" t="s">
        <v>937</v>
      </c>
      <c r="C6" s="16" t="s">
        <v>952</v>
      </c>
      <c r="D6" s="16" t="s">
        <v>22</v>
      </c>
      <c r="E6" s="16" t="s">
        <v>14</v>
      </c>
      <c r="F6" s="16" t="s">
        <v>15</v>
      </c>
      <c r="G6" s="16" t="s">
        <v>1010</v>
      </c>
      <c r="H6" s="16" t="s">
        <v>1075</v>
      </c>
      <c r="I6" s="16">
        <v>1</v>
      </c>
      <c r="J6" s="16">
        <v>1</v>
      </c>
    </row>
    <row r="7" spans="1:10" ht="26.25" customHeight="1" x14ac:dyDescent="0.35">
      <c r="A7" s="16">
        <v>6</v>
      </c>
      <c r="B7" s="16" t="s">
        <v>937</v>
      </c>
      <c r="C7" s="16" t="s">
        <v>952</v>
      </c>
      <c r="D7" s="16" t="s">
        <v>22</v>
      </c>
      <c r="E7" s="16" t="s">
        <v>14</v>
      </c>
      <c r="F7" s="16" t="s">
        <v>15</v>
      </c>
      <c r="G7" s="16" t="s">
        <v>1010</v>
      </c>
      <c r="H7" s="16" t="s">
        <v>1002</v>
      </c>
      <c r="I7" s="16">
        <v>1</v>
      </c>
      <c r="J7" s="16">
        <v>1</v>
      </c>
    </row>
    <row r="8" spans="1:10" ht="15" customHeight="1" x14ac:dyDescent="0.35">
      <c r="A8" s="16">
        <v>7</v>
      </c>
      <c r="B8" s="16" t="s">
        <v>937</v>
      </c>
      <c r="C8" s="16" t="s">
        <v>952</v>
      </c>
      <c r="D8" s="16" t="s">
        <v>39</v>
      </c>
      <c r="E8" s="16" t="s">
        <v>14</v>
      </c>
      <c r="F8" s="16" t="s">
        <v>42</v>
      </c>
      <c r="G8" s="16" t="s">
        <v>1010</v>
      </c>
      <c r="H8" s="16" t="s">
        <v>1074</v>
      </c>
      <c r="I8" s="16">
        <v>1</v>
      </c>
      <c r="J8" s="16">
        <v>1</v>
      </c>
    </row>
    <row r="9" spans="1:10" ht="15" customHeight="1" x14ac:dyDescent="0.35">
      <c r="A9" s="16">
        <v>8</v>
      </c>
      <c r="B9" s="16" t="s">
        <v>937</v>
      </c>
      <c r="C9" s="16" t="s">
        <v>952</v>
      </c>
      <c r="D9" s="16" t="s">
        <v>39</v>
      </c>
      <c r="E9" s="16" t="s">
        <v>14</v>
      </c>
      <c r="F9" s="16" t="s">
        <v>15</v>
      </c>
      <c r="G9" s="16" t="s">
        <v>1022</v>
      </c>
      <c r="H9" s="16" t="s">
        <v>1086</v>
      </c>
      <c r="I9" s="16">
        <v>1</v>
      </c>
      <c r="J9" s="16">
        <v>1</v>
      </c>
    </row>
    <row r="10" spans="1:10" ht="15" customHeight="1" x14ac:dyDescent="0.35">
      <c r="A10" s="16">
        <v>9</v>
      </c>
      <c r="B10" s="16" t="s">
        <v>937</v>
      </c>
      <c r="C10" s="16" t="s">
        <v>952</v>
      </c>
      <c r="D10" s="16" t="s">
        <v>39</v>
      </c>
      <c r="E10" s="16" t="s">
        <v>14</v>
      </c>
      <c r="F10" s="16" t="s">
        <v>42</v>
      </c>
      <c r="G10" s="16" t="s">
        <v>1010</v>
      </c>
      <c r="H10" s="16" t="s">
        <v>1075</v>
      </c>
      <c r="I10" s="16">
        <v>1</v>
      </c>
      <c r="J10" s="16">
        <v>1</v>
      </c>
    </row>
    <row r="11" spans="1:10" ht="26.25" customHeight="1" x14ac:dyDescent="0.35">
      <c r="A11" s="16">
        <v>10</v>
      </c>
      <c r="B11" s="16" t="s">
        <v>937</v>
      </c>
      <c r="C11" s="16" t="s">
        <v>952</v>
      </c>
      <c r="D11" s="16" t="s">
        <v>39</v>
      </c>
      <c r="E11" s="16" t="s">
        <v>14</v>
      </c>
      <c r="F11" s="16" t="s">
        <v>15</v>
      </c>
      <c r="G11" s="16" t="s">
        <v>1023</v>
      </c>
      <c r="H11" s="16" t="s">
        <v>1002</v>
      </c>
      <c r="I11" s="16">
        <v>1</v>
      </c>
      <c r="J11" s="16">
        <v>1</v>
      </c>
    </row>
    <row r="12" spans="1:10" ht="15" customHeight="1" x14ac:dyDescent="0.35">
      <c r="A12" s="16">
        <v>11</v>
      </c>
      <c r="B12" s="16" t="s">
        <v>937</v>
      </c>
      <c r="C12" s="16" t="s">
        <v>952</v>
      </c>
      <c r="D12" s="16" t="s">
        <v>39</v>
      </c>
      <c r="E12" s="16" t="s">
        <v>14</v>
      </c>
      <c r="F12" s="16" t="s">
        <v>15</v>
      </c>
      <c r="G12" s="16" t="s">
        <v>999</v>
      </c>
      <c r="H12" s="16" t="s">
        <v>1074</v>
      </c>
      <c r="I12" s="16">
        <v>1</v>
      </c>
      <c r="J12" s="16">
        <v>1</v>
      </c>
    </row>
    <row r="13" spans="1:10" ht="15" customHeight="1" x14ac:dyDescent="0.35">
      <c r="A13" s="16">
        <v>12</v>
      </c>
      <c r="B13" s="16" t="s">
        <v>937</v>
      </c>
      <c r="C13" s="16" t="s">
        <v>952</v>
      </c>
      <c r="D13" s="16" t="s">
        <v>39</v>
      </c>
      <c r="E13" s="16" t="s">
        <v>14</v>
      </c>
      <c r="F13" s="16" t="s">
        <v>15</v>
      </c>
      <c r="G13" s="16" t="s">
        <v>999</v>
      </c>
      <c r="H13" s="16" t="s">
        <v>1074</v>
      </c>
      <c r="I13" s="16">
        <v>1</v>
      </c>
      <c r="J13" s="16">
        <v>1</v>
      </c>
    </row>
    <row r="14" spans="1:10" ht="26.25" customHeight="1" x14ac:dyDescent="0.35">
      <c r="A14" s="16">
        <v>13</v>
      </c>
      <c r="B14" s="16" t="s">
        <v>937</v>
      </c>
      <c r="C14" s="16" t="s">
        <v>952</v>
      </c>
      <c r="D14" s="16" t="s">
        <v>65</v>
      </c>
      <c r="E14" s="16" t="s">
        <v>14</v>
      </c>
      <c r="F14" s="16" t="s">
        <v>15</v>
      </c>
      <c r="G14" s="16" t="s">
        <v>999</v>
      </c>
      <c r="H14" s="16" t="s">
        <v>1002</v>
      </c>
      <c r="I14" s="16">
        <v>1</v>
      </c>
      <c r="J14" s="16">
        <v>1</v>
      </c>
    </row>
    <row r="15" spans="1:10" ht="15" customHeight="1" x14ac:dyDescent="0.35">
      <c r="A15" s="16">
        <v>14</v>
      </c>
      <c r="B15" s="16" t="s">
        <v>937</v>
      </c>
      <c r="C15" s="16" t="s">
        <v>952</v>
      </c>
      <c r="D15" s="16" t="s">
        <v>65</v>
      </c>
      <c r="E15" s="16" t="s">
        <v>14</v>
      </c>
      <c r="F15" s="16" t="s">
        <v>15</v>
      </c>
      <c r="G15" s="16" t="s">
        <v>999</v>
      </c>
      <c r="H15" s="16" t="s">
        <v>1085</v>
      </c>
      <c r="I15" s="16">
        <v>1</v>
      </c>
      <c r="J15" s="16">
        <v>1</v>
      </c>
    </row>
    <row r="16" spans="1:10" ht="15" customHeight="1" x14ac:dyDescent="0.35">
      <c r="A16" s="16">
        <v>15</v>
      </c>
      <c r="B16" s="16" t="s">
        <v>937</v>
      </c>
      <c r="C16" s="16" t="s">
        <v>952</v>
      </c>
      <c r="D16" s="16" t="s">
        <v>65</v>
      </c>
      <c r="E16" s="16" t="s">
        <v>14</v>
      </c>
      <c r="F16" s="16" t="s">
        <v>15</v>
      </c>
      <c r="G16" s="16" t="s">
        <v>1010</v>
      </c>
      <c r="H16" s="16" t="s">
        <v>1075</v>
      </c>
      <c r="I16" s="16">
        <v>1</v>
      </c>
      <c r="J16" s="16">
        <v>1</v>
      </c>
    </row>
    <row r="17" spans="1:10" ht="15" customHeight="1" x14ac:dyDescent="0.35">
      <c r="A17" s="16">
        <v>16</v>
      </c>
      <c r="B17" s="16" t="s">
        <v>937</v>
      </c>
      <c r="C17" s="16" t="s">
        <v>952</v>
      </c>
      <c r="D17" s="16" t="s">
        <v>65</v>
      </c>
      <c r="E17" s="16" t="s">
        <v>14</v>
      </c>
      <c r="F17" s="16" t="s">
        <v>15</v>
      </c>
      <c r="G17" s="16" t="s">
        <v>999</v>
      </c>
      <c r="H17" s="16" t="s">
        <v>1075</v>
      </c>
      <c r="I17" s="16">
        <v>1</v>
      </c>
      <c r="J17" s="16">
        <v>1</v>
      </c>
    </row>
    <row r="18" spans="1:10" ht="15" customHeight="1" x14ac:dyDescent="0.35">
      <c r="A18" s="16">
        <v>17</v>
      </c>
      <c r="B18" s="16" t="s">
        <v>937</v>
      </c>
      <c r="C18" s="16" t="s">
        <v>952</v>
      </c>
      <c r="D18" s="16" t="s">
        <v>65</v>
      </c>
      <c r="E18" s="16" t="s">
        <v>14</v>
      </c>
      <c r="F18" s="16" t="s">
        <v>15</v>
      </c>
      <c r="G18" s="16" t="s">
        <v>1010</v>
      </c>
      <c r="H18" s="16" t="s">
        <v>1074</v>
      </c>
      <c r="I18" s="16">
        <v>1</v>
      </c>
      <c r="J18" s="16">
        <v>1</v>
      </c>
    </row>
    <row r="19" spans="1:10" ht="15" customHeight="1" x14ac:dyDescent="0.35">
      <c r="A19" s="16">
        <v>18</v>
      </c>
      <c r="B19" s="16" t="s">
        <v>937</v>
      </c>
      <c r="C19" s="16" t="s">
        <v>952</v>
      </c>
      <c r="D19" s="16" t="s">
        <v>39</v>
      </c>
      <c r="E19" s="16" t="s">
        <v>88</v>
      </c>
      <c r="F19" s="16" t="s">
        <v>42</v>
      </c>
      <c r="G19" s="16" t="s">
        <v>1010</v>
      </c>
      <c r="H19" s="16" t="s">
        <v>1088</v>
      </c>
      <c r="I19" s="16">
        <v>1</v>
      </c>
      <c r="J19" s="16">
        <v>1</v>
      </c>
    </row>
    <row r="20" spans="1:10" ht="15" customHeight="1" x14ac:dyDescent="0.35">
      <c r="A20" s="16">
        <v>19</v>
      </c>
      <c r="B20" s="16" t="s">
        <v>937</v>
      </c>
      <c r="C20" s="16" t="s">
        <v>952</v>
      </c>
      <c r="D20" s="16" t="s">
        <v>65</v>
      </c>
      <c r="E20" s="16" t="s">
        <v>93</v>
      </c>
      <c r="F20" s="16" t="s">
        <v>15</v>
      </c>
      <c r="G20" s="16" t="s">
        <v>1010</v>
      </c>
      <c r="H20" s="16" t="s">
        <v>1075</v>
      </c>
      <c r="I20" s="16">
        <v>1</v>
      </c>
      <c r="J20" s="16">
        <v>1</v>
      </c>
    </row>
    <row r="21" spans="1:10" ht="15" customHeight="1" x14ac:dyDescent="0.35">
      <c r="A21" s="16">
        <v>20</v>
      </c>
      <c r="B21" s="16" t="s">
        <v>937</v>
      </c>
      <c r="C21" s="16" t="s">
        <v>952</v>
      </c>
      <c r="D21" s="16" t="s">
        <v>96</v>
      </c>
      <c r="E21" s="16" t="s">
        <v>99</v>
      </c>
      <c r="F21" s="16" t="s">
        <v>15</v>
      </c>
      <c r="G21" s="16" t="s">
        <v>999</v>
      </c>
      <c r="H21" s="16" t="s">
        <v>1074</v>
      </c>
      <c r="I21" s="16">
        <v>1</v>
      </c>
      <c r="J21" s="16">
        <v>1</v>
      </c>
    </row>
    <row r="22" spans="1:10" ht="15" customHeight="1" x14ac:dyDescent="0.35">
      <c r="A22" s="16">
        <v>21</v>
      </c>
      <c r="B22" s="16" t="s">
        <v>937</v>
      </c>
      <c r="C22" s="16" t="s">
        <v>952</v>
      </c>
      <c r="D22" s="16" t="s">
        <v>39</v>
      </c>
      <c r="E22" s="16" t="s">
        <v>99</v>
      </c>
      <c r="F22" s="16" t="s">
        <v>103</v>
      </c>
      <c r="G22" s="16" t="s">
        <v>1010</v>
      </c>
      <c r="H22" s="16" t="s">
        <v>1075</v>
      </c>
      <c r="I22" s="16">
        <v>1</v>
      </c>
      <c r="J22" s="16">
        <v>1</v>
      </c>
    </row>
    <row r="23" spans="1:10" ht="15" customHeight="1" x14ac:dyDescent="0.35">
      <c r="A23" s="16">
        <v>22</v>
      </c>
      <c r="B23" s="16" t="s">
        <v>937</v>
      </c>
      <c r="C23" s="16" t="s">
        <v>952</v>
      </c>
      <c r="D23" s="16" t="s">
        <v>39</v>
      </c>
      <c r="E23" s="16" t="s">
        <v>99</v>
      </c>
      <c r="F23" s="16" t="s">
        <v>15</v>
      </c>
      <c r="G23" s="16" t="s">
        <v>1001</v>
      </c>
      <c r="H23" s="16" t="s">
        <v>1076</v>
      </c>
      <c r="I23" s="16">
        <v>1</v>
      </c>
      <c r="J23" s="16">
        <v>1</v>
      </c>
    </row>
    <row r="24" spans="1:10" ht="15" customHeight="1" x14ac:dyDescent="0.35">
      <c r="A24" s="16">
        <v>23</v>
      </c>
      <c r="B24" s="16" t="s">
        <v>937</v>
      </c>
      <c r="C24" s="16" t="s">
        <v>952</v>
      </c>
      <c r="D24" s="16" t="s">
        <v>65</v>
      </c>
      <c r="E24" s="16" t="s">
        <v>14</v>
      </c>
      <c r="F24" s="16" t="s">
        <v>15</v>
      </c>
      <c r="G24" s="16" t="s">
        <v>1014</v>
      </c>
      <c r="H24" s="16" t="s">
        <v>1087</v>
      </c>
      <c r="I24" s="16">
        <v>1</v>
      </c>
      <c r="J24" s="16">
        <v>1</v>
      </c>
    </row>
    <row r="25" spans="1:10" ht="15" customHeight="1" x14ac:dyDescent="0.35">
      <c r="A25" s="16">
        <v>23</v>
      </c>
      <c r="B25" s="16" t="s">
        <v>937</v>
      </c>
      <c r="C25" s="16" t="s">
        <v>952</v>
      </c>
      <c r="D25" s="16" t="s">
        <v>65</v>
      </c>
      <c r="E25" s="16" t="s">
        <v>99</v>
      </c>
      <c r="F25" s="16" t="s">
        <v>15</v>
      </c>
      <c r="G25" s="16" t="s">
        <v>1014</v>
      </c>
      <c r="H25" s="16" t="s">
        <v>1087</v>
      </c>
      <c r="I25" s="16">
        <v>0</v>
      </c>
      <c r="J25" s="16">
        <v>1</v>
      </c>
    </row>
    <row r="26" spans="1:10" ht="15" customHeight="1" x14ac:dyDescent="0.35">
      <c r="A26" s="16">
        <v>24</v>
      </c>
      <c r="B26" s="16" t="s">
        <v>937</v>
      </c>
      <c r="C26" s="16" t="s">
        <v>952</v>
      </c>
      <c r="D26" s="16" t="s">
        <v>22</v>
      </c>
      <c r="E26" s="16" t="s">
        <v>115</v>
      </c>
      <c r="F26" s="16" t="s">
        <v>15</v>
      </c>
      <c r="G26" s="16" t="s">
        <v>999</v>
      </c>
      <c r="H26" s="16" t="s">
        <v>1075</v>
      </c>
      <c r="I26" s="16">
        <v>1</v>
      </c>
      <c r="J26" s="16">
        <v>0</v>
      </c>
    </row>
    <row r="27" spans="1:10" ht="26.25" customHeight="1" x14ac:dyDescent="0.35">
      <c r="A27" s="16">
        <v>25</v>
      </c>
      <c r="B27" s="16" t="s">
        <v>937</v>
      </c>
      <c r="C27" s="16" t="s">
        <v>952</v>
      </c>
      <c r="D27" s="16" t="s">
        <v>22</v>
      </c>
      <c r="E27" s="16" t="s">
        <v>120</v>
      </c>
      <c r="F27" s="16" t="s">
        <v>15</v>
      </c>
      <c r="G27" s="16" t="s">
        <v>1021</v>
      </c>
      <c r="H27" s="16" t="s">
        <v>1002</v>
      </c>
      <c r="I27" s="16">
        <v>1</v>
      </c>
      <c r="J27" s="16">
        <v>0</v>
      </c>
    </row>
    <row r="28" spans="1:10" ht="15" customHeight="1" x14ac:dyDescent="0.35">
      <c r="A28" s="16">
        <v>26</v>
      </c>
      <c r="B28" s="16" t="s">
        <v>937</v>
      </c>
      <c r="C28" s="16" t="s">
        <v>960</v>
      </c>
      <c r="D28" s="16" t="s">
        <v>96</v>
      </c>
      <c r="E28" s="16" t="s">
        <v>14</v>
      </c>
      <c r="F28" s="16" t="s">
        <v>15</v>
      </c>
      <c r="G28" s="16" t="s">
        <v>1000</v>
      </c>
      <c r="H28" s="16" t="s">
        <v>1073</v>
      </c>
      <c r="I28" s="16">
        <v>1</v>
      </c>
      <c r="J28" s="16">
        <v>1</v>
      </c>
    </row>
    <row r="29" spans="1:10" ht="15" customHeight="1" x14ac:dyDescent="0.35">
      <c r="A29" s="16">
        <v>27</v>
      </c>
      <c r="B29" s="16" t="s">
        <v>937</v>
      </c>
      <c r="C29" s="16" t="s">
        <v>960</v>
      </c>
      <c r="D29" s="16" t="s">
        <v>39</v>
      </c>
      <c r="E29" s="16" t="s">
        <v>14</v>
      </c>
      <c r="F29" s="16" t="s">
        <v>15</v>
      </c>
      <c r="G29" s="16" t="s">
        <v>999</v>
      </c>
      <c r="H29" s="16" t="s">
        <v>1074</v>
      </c>
      <c r="I29" s="16">
        <v>1</v>
      </c>
      <c r="J29" s="16">
        <v>1</v>
      </c>
    </row>
    <row r="30" spans="1:10" ht="26.25" customHeight="1" x14ac:dyDescent="0.35">
      <c r="A30" s="16">
        <v>28</v>
      </c>
      <c r="B30" s="16" t="s">
        <v>937</v>
      </c>
      <c r="C30" s="16" t="s">
        <v>960</v>
      </c>
      <c r="D30" s="16" t="s">
        <v>65</v>
      </c>
      <c r="E30" s="16" t="s">
        <v>14</v>
      </c>
      <c r="F30" s="16" t="s">
        <v>15</v>
      </c>
      <c r="G30" s="16" t="s">
        <v>998</v>
      </c>
      <c r="H30" s="16" t="s">
        <v>1002</v>
      </c>
      <c r="I30" s="16">
        <v>1</v>
      </c>
      <c r="J30" s="16">
        <v>1</v>
      </c>
    </row>
    <row r="31" spans="1:10" ht="26.25" customHeight="1" x14ac:dyDescent="0.35">
      <c r="A31" s="16">
        <v>29</v>
      </c>
      <c r="B31" s="16" t="s">
        <v>937</v>
      </c>
      <c r="C31" s="16" t="s">
        <v>961</v>
      </c>
      <c r="D31" s="16" t="s">
        <v>11</v>
      </c>
      <c r="E31" s="16" t="s">
        <v>14</v>
      </c>
      <c r="F31" s="16" t="s">
        <v>15</v>
      </c>
      <c r="G31" s="16" t="s">
        <v>1001</v>
      </c>
      <c r="H31" s="16" t="s">
        <v>1076</v>
      </c>
      <c r="I31" s="16">
        <v>1</v>
      </c>
      <c r="J31" s="16">
        <v>1</v>
      </c>
    </row>
    <row r="32" spans="1:10" ht="26.25" customHeight="1" x14ac:dyDescent="0.35">
      <c r="A32" s="16">
        <v>30</v>
      </c>
      <c r="B32" s="16" t="s">
        <v>937</v>
      </c>
      <c r="C32" s="16" t="s">
        <v>961</v>
      </c>
      <c r="D32" s="16" t="s">
        <v>11</v>
      </c>
      <c r="E32" s="16" t="s">
        <v>14</v>
      </c>
      <c r="F32" s="16" t="s">
        <v>15</v>
      </c>
      <c r="G32" s="16" t="s">
        <v>1013</v>
      </c>
      <c r="H32" s="16" t="s">
        <v>1080</v>
      </c>
      <c r="I32" s="16">
        <v>1</v>
      </c>
      <c r="J32" s="16">
        <v>1</v>
      </c>
    </row>
    <row r="33" spans="1:10" ht="15" customHeight="1" x14ac:dyDescent="0.35">
      <c r="A33" s="16">
        <v>31</v>
      </c>
      <c r="B33" s="16" t="s">
        <v>937</v>
      </c>
      <c r="C33" s="16" t="s">
        <v>953</v>
      </c>
      <c r="D33" s="16" t="s">
        <v>11</v>
      </c>
      <c r="E33" s="16" t="s">
        <v>14</v>
      </c>
      <c r="F33" s="16" t="s">
        <v>15</v>
      </c>
      <c r="G33" s="16" t="s">
        <v>1025</v>
      </c>
      <c r="H33" s="16" t="s">
        <v>1074</v>
      </c>
      <c r="I33" s="16">
        <v>1</v>
      </c>
      <c r="J33" s="16">
        <v>1</v>
      </c>
    </row>
    <row r="34" spans="1:10" ht="26.25" customHeight="1" x14ac:dyDescent="0.35">
      <c r="A34" s="16">
        <v>32</v>
      </c>
      <c r="B34" s="16" t="s">
        <v>937</v>
      </c>
      <c r="C34" s="16" t="s">
        <v>958</v>
      </c>
      <c r="D34" s="16" t="s">
        <v>96</v>
      </c>
      <c r="E34" s="16" t="s">
        <v>14</v>
      </c>
      <c r="F34" s="16" t="s">
        <v>15</v>
      </c>
      <c r="G34" s="16" t="s">
        <v>1032</v>
      </c>
      <c r="H34" s="16" t="s">
        <v>1075</v>
      </c>
      <c r="I34" s="16">
        <v>1</v>
      </c>
      <c r="J34" s="16">
        <v>1</v>
      </c>
    </row>
    <row r="35" spans="1:10" ht="15" customHeight="1" x14ac:dyDescent="0.35">
      <c r="A35" s="16">
        <v>33</v>
      </c>
      <c r="B35" s="16" t="s">
        <v>937</v>
      </c>
      <c r="C35" s="16" t="s">
        <v>953</v>
      </c>
      <c r="D35" s="16" t="s">
        <v>96</v>
      </c>
      <c r="E35" s="16" t="s">
        <v>14</v>
      </c>
      <c r="F35" s="16" t="s">
        <v>15</v>
      </c>
      <c r="G35" s="16" t="s">
        <v>999</v>
      </c>
      <c r="H35" s="16" t="s">
        <v>1075</v>
      </c>
      <c r="I35" s="16">
        <v>1</v>
      </c>
      <c r="J35" s="16">
        <v>1</v>
      </c>
    </row>
    <row r="36" spans="1:10" ht="26.25" customHeight="1" x14ac:dyDescent="0.35">
      <c r="A36" s="16">
        <v>34</v>
      </c>
      <c r="B36" s="16" t="s">
        <v>937</v>
      </c>
      <c r="C36" s="16" t="s">
        <v>958</v>
      </c>
      <c r="D36" s="16" t="s">
        <v>22</v>
      </c>
      <c r="E36" s="16" t="s">
        <v>14</v>
      </c>
      <c r="F36" s="16" t="s">
        <v>15</v>
      </c>
      <c r="G36" s="16" t="s">
        <v>1034</v>
      </c>
      <c r="H36" s="16" t="s">
        <v>1074</v>
      </c>
      <c r="I36" s="16">
        <v>1</v>
      </c>
      <c r="J36" s="16">
        <v>1</v>
      </c>
    </row>
    <row r="37" spans="1:10" ht="15" customHeight="1" x14ac:dyDescent="0.35">
      <c r="A37" s="16">
        <v>35</v>
      </c>
      <c r="B37" s="16" t="s">
        <v>937</v>
      </c>
      <c r="C37" s="16" t="s">
        <v>953</v>
      </c>
      <c r="D37" s="16" t="s">
        <v>39</v>
      </c>
      <c r="E37" s="16" t="s">
        <v>14</v>
      </c>
      <c r="F37" s="16" t="s">
        <v>15</v>
      </c>
      <c r="G37" s="16" t="s">
        <v>1029</v>
      </c>
      <c r="H37" s="16" t="s">
        <v>1094</v>
      </c>
      <c r="I37" s="16">
        <v>1</v>
      </c>
      <c r="J37" s="16">
        <v>1</v>
      </c>
    </row>
    <row r="38" spans="1:10" ht="15" customHeight="1" x14ac:dyDescent="0.35">
      <c r="A38" s="16">
        <v>36</v>
      </c>
      <c r="B38" s="16" t="s">
        <v>937</v>
      </c>
      <c r="C38" s="16" t="s">
        <v>953</v>
      </c>
      <c r="D38" s="16" t="s">
        <v>39</v>
      </c>
      <c r="E38" s="16" t="s">
        <v>14</v>
      </c>
      <c r="F38" s="16" t="s">
        <v>15</v>
      </c>
      <c r="G38" s="16" t="s">
        <v>1012</v>
      </c>
      <c r="H38" s="16" t="s">
        <v>1076</v>
      </c>
      <c r="I38" s="16">
        <v>1</v>
      </c>
      <c r="J38" s="16">
        <v>1</v>
      </c>
    </row>
    <row r="39" spans="1:10" ht="26.25" customHeight="1" x14ac:dyDescent="0.35">
      <c r="A39" s="16">
        <v>37</v>
      </c>
      <c r="B39" s="16" t="s">
        <v>937</v>
      </c>
      <c r="C39" s="16" t="s">
        <v>958</v>
      </c>
      <c r="D39" s="16" t="s">
        <v>39</v>
      </c>
      <c r="E39" s="16" t="s">
        <v>14</v>
      </c>
      <c r="F39" s="16" t="s">
        <v>15</v>
      </c>
      <c r="G39" s="16" t="s">
        <v>999</v>
      </c>
      <c r="H39" s="16" t="s">
        <v>1074</v>
      </c>
      <c r="I39" s="16">
        <v>1</v>
      </c>
      <c r="J39" s="16">
        <v>1</v>
      </c>
    </row>
    <row r="40" spans="1:10" ht="15" customHeight="1" x14ac:dyDescent="0.35">
      <c r="A40" s="16">
        <v>38</v>
      </c>
      <c r="B40" s="16" t="s">
        <v>937</v>
      </c>
      <c r="C40" s="16" t="s">
        <v>959</v>
      </c>
      <c r="D40" s="16" t="s">
        <v>39</v>
      </c>
      <c r="E40" s="16" t="s">
        <v>14</v>
      </c>
      <c r="F40" s="16" t="s">
        <v>15</v>
      </c>
      <c r="G40" s="16" t="s">
        <v>1010</v>
      </c>
      <c r="H40" s="16" t="s">
        <v>1075</v>
      </c>
      <c r="I40" s="16">
        <v>1</v>
      </c>
      <c r="J40" s="16">
        <v>1</v>
      </c>
    </row>
    <row r="41" spans="1:10" ht="26.25" customHeight="1" x14ac:dyDescent="0.35">
      <c r="A41" s="16">
        <v>39</v>
      </c>
      <c r="B41" s="16" t="s">
        <v>937</v>
      </c>
      <c r="C41" s="16" t="s">
        <v>958</v>
      </c>
      <c r="D41" s="16" t="s">
        <v>39</v>
      </c>
      <c r="E41" s="16" t="s">
        <v>14</v>
      </c>
      <c r="F41" s="16" t="s">
        <v>15</v>
      </c>
      <c r="G41" s="16" t="s">
        <v>1033</v>
      </c>
      <c r="H41" s="16" t="s">
        <v>1097</v>
      </c>
      <c r="I41" s="16">
        <v>1</v>
      </c>
      <c r="J41" s="16">
        <v>1</v>
      </c>
    </row>
    <row r="42" spans="1:10" ht="15" customHeight="1" x14ac:dyDescent="0.35">
      <c r="A42" s="16">
        <v>40</v>
      </c>
      <c r="B42" s="16" t="s">
        <v>937</v>
      </c>
      <c r="C42" s="16" t="s">
        <v>959</v>
      </c>
      <c r="D42" s="16" t="s">
        <v>39</v>
      </c>
      <c r="E42" s="16" t="s">
        <v>14</v>
      </c>
      <c r="F42" s="16" t="s">
        <v>15</v>
      </c>
      <c r="G42" s="16" t="s">
        <v>999</v>
      </c>
      <c r="H42" s="16" t="s">
        <v>1075</v>
      </c>
      <c r="I42" s="16">
        <v>1</v>
      </c>
      <c r="J42" s="16">
        <v>1</v>
      </c>
    </row>
    <row r="43" spans="1:10" ht="15" customHeight="1" x14ac:dyDescent="0.35">
      <c r="A43" s="16">
        <v>41</v>
      </c>
      <c r="B43" s="16" t="s">
        <v>937</v>
      </c>
      <c r="C43" s="16" t="s">
        <v>959</v>
      </c>
      <c r="D43" s="16" t="s">
        <v>39</v>
      </c>
      <c r="E43" s="16" t="s">
        <v>14</v>
      </c>
      <c r="F43" s="16" t="s">
        <v>15</v>
      </c>
      <c r="G43" s="16" t="s">
        <v>1031</v>
      </c>
      <c r="H43" s="16" t="s">
        <v>1075</v>
      </c>
      <c r="I43" s="16">
        <v>1</v>
      </c>
      <c r="J43" s="16">
        <v>1</v>
      </c>
    </row>
    <row r="44" spans="1:10" ht="15" customHeight="1" x14ac:dyDescent="0.35">
      <c r="A44" s="16">
        <v>42</v>
      </c>
      <c r="B44" s="16" t="s">
        <v>937</v>
      </c>
      <c r="C44" s="16" t="s">
        <v>953</v>
      </c>
      <c r="D44" s="16" t="s">
        <v>39</v>
      </c>
      <c r="E44" s="16" t="s">
        <v>14</v>
      </c>
      <c r="F44" s="16" t="s">
        <v>103</v>
      </c>
      <c r="G44" s="16" t="s">
        <v>1010</v>
      </c>
      <c r="H44" s="16" t="s">
        <v>1075</v>
      </c>
      <c r="I44" s="16">
        <v>1</v>
      </c>
      <c r="J44" s="16">
        <v>1</v>
      </c>
    </row>
    <row r="45" spans="1:10" ht="15" customHeight="1" x14ac:dyDescent="0.35">
      <c r="A45" s="16">
        <v>43</v>
      </c>
      <c r="B45" s="16" t="s">
        <v>937</v>
      </c>
      <c r="C45" s="16" t="s">
        <v>953</v>
      </c>
      <c r="D45" s="16" t="s">
        <v>39</v>
      </c>
      <c r="E45" s="16" t="s">
        <v>14</v>
      </c>
      <c r="F45" s="16" t="s">
        <v>15</v>
      </c>
      <c r="G45" s="16" t="s">
        <v>1010</v>
      </c>
      <c r="H45" s="16" t="s">
        <v>1076</v>
      </c>
      <c r="I45" s="16">
        <v>1</v>
      </c>
      <c r="J45" s="16">
        <v>1</v>
      </c>
    </row>
    <row r="46" spans="1:10" ht="15" customHeight="1" x14ac:dyDescent="0.35">
      <c r="A46" s="16">
        <v>44</v>
      </c>
      <c r="B46" s="16" t="s">
        <v>937</v>
      </c>
      <c r="C46" s="16" t="s">
        <v>953</v>
      </c>
      <c r="D46" s="16" t="s">
        <v>65</v>
      </c>
      <c r="E46" s="16" t="s">
        <v>14</v>
      </c>
      <c r="F46" s="16" t="s">
        <v>15</v>
      </c>
      <c r="G46" s="16" t="s">
        <v>999</v>
      </c>
      <c r="H46" s="16" t="s">
        <v>1074</v>
      </c>
      <c r="I46" s="16">
        <v>1</v>
      </c>
      <c r="J46" s="16">
        <v>1</v>
      </c>
    </row>
    <row r="47" spans="1:10" ht="26.25" customHeight="1" x14ac:dyDescent="0.35">
      <c r="A47" s="16">
        <v>45</v>
      </c>
      <c r="B47" s="16" t="s">
        <v>937</v>
      </c>
      <c r="C47" s="16" t="s">
        <v>953</v>
      </c>
      <c r="D47" s="16" t="s">
        <v>11</v>
      </c>
      <c r="E47" s="16" t="s">
        <v>205</v>
      </c>
      <c r="F47" s="16" t="s">
        <v>15</v>
      </c>
      <c r="G47" s="16" t="s">
        <v>1027</v>
      </c>
      <c r="H47" s="16" t="s">
        <v>1092</v>
      </c>
      <c r="I47" s="16">
        <v>1</v>
      </c>
      <c r="J47" s="16">
        <v>0</v>
      </c>
    </row>
    <row r="48" spans="1:10" ht="26.25" customHeight="1" x14ac:dyDescent="0.35">
      <c r="A48" s="16">
        <v>46</v>
      </c>
      <c r="B48" s="16" t="s">
        <v>937</v>
      </c>
      <c r="C48" s="16" t="s">
        <v>953</v>
      </c>
      <c r="D48" s="16" t="s">
        <v>96</v>
      </c>
      <c r="E48" s="16" t="s">
        <v>210</v>
      </c>
      <c r="F48" s="16" t="s">
        <v>15</v>
      </c>
      <c r="G48" s="16" t="s">
        <v>1026</v>
      </c>
      <c r="H48" s="16" t="s">
        <v>1073</v>
      </c>
      <c r="I48" s="16">
        <v>1</v>
      </c>
      <c r="J48" s="16">
        <v>0</v>
      </c>
    </row>
    <row r="49" spans="1:10" ht="15" customHeight="1" x14ac:dyDescent="0.35">
      <c r="A49" s="16">
        <v>47</v>
      </c>
      <c r="B49" s="16" t="s">
        <v>937</v>
      </c>
      <c r="C49" s="16" t="s">
        <v>953</v>
      </c>
      <c r="D49" s="16" t="s">
        <v>65</v>
      </c>
      <c r="E49" s="16" t="s">
        <v>215</v>
      </c>
      <c r="F49" s="16" t="s">
        <v>42</v>
      </c>
      <c r="G49" s="16" t="s">
        <v>1010</v>
      </c>
      <c r="H49" s="16" t="s">
        <v>1093</v>
      </c>
      <c r="I49" s="16">
        <v>1</v>
      </c>
      <c r="J49" s="16">
        <v>0</v>
      </c>
    </row>
    <row r="50" spans="1:10" ht="15" customHeight="1" x14ac:dyDescent="0.35">
      <c r="A50" s="16">
        <v>48</v>
      </c>
      <c r="B50" s="16" t="s">
        <v>937</v>
      </c>
      <c r="C50" s="16" t="s">
        <v>953</v>
      </c>
      <c r="D50" s="16" t="s">
        <v>65</v>
      </c>
      <c r="E50" s="16" t="s">
        <v>219</v>
      </c>
      <c r="F50" s="16" t="s">
        <v>42</v>
      </c>
      <c r="G50" s="16" t="s">
        <v>1001</v>
      </c>
      <c r="H50" s="16" t="s">
        <v>1075</v>
      </c>
      <c r="I50" s="16">
        <v>1</v>
      </c>
      <c r="J50" s="16">
        <v>0</v>
      </c>
    </row>
    <row r="51" spans="1:10" ht="26.25" customHeight="1" x14ac:dyDescent="0.35">
      <c r="A51" s="16">
        <v>49</v>
      </c>
      <c r="B51" s="16" t="s">
        <v>937</v>
      </c>
      <c r="C51" s="16" t="s">
        <v>953</v>
      </c>
      <c r="D51" s="16" t="s">
        <v>65</v>
      </c>
      <c r="E51" s="16" t="s">
        <v>210</v>
      </c>
      <c r="F51" s="16" t="s">
        <v>42</v>
      </c>
      <c r="G51" s="16" t="s">
        <v>1028</v>
      </c>
      <c r="H51" s="16" t="s">
        <v>1095</v>
      </c>
      <c r="I51" s="16">
        <v>1</v>
      </c>
      <c r="J51" s="16">
        <v>0</v>
      </c>
    </row>
    <row r="52" spans="1:10" ht="15" customHeight="1" x14ac:dyDescent="0.35">
      <c r="A52" s="16">
        <v>50</v>
      </c>
      <c r="B52" s="16" t="s">
        <v>937</v>
      </c>
      <c r="C52" s="16" t="s">
        <v>959</v>
      </c>
      <c r="D52" s="16" t="s">
        <v>22</v>
      </c>
      <c r="E52" s="16" t="s">
        <v>93</v>
      </c>
      <c r="F52" s="16" t="s">
        <v>15</v>
      </c>
      <c r="G52" s="16" t="s">
        <v>1030</v>
      </c>
      <c r="H52" s="16" t="s">
        <v>1096</v>
      </c>
      <c r="I52" s="16">
        <v>1</v>
      </c>
      <c r="J52" s="16">
        <v>1</v>
      </c>
    </row>
    <row r="53" spans="1:10" ht="26.25" customHeight="1" x14ac:dyDescent="0.35">
      <c r="A53" s="16">
        <v>51</v>
      </c>
      <c r="B53" s="16" t="s">
        <v>937</v>
      </c>
      <c r="C53" s="16" t="s">
        <v>953</v>
      </c>
      <c r="D53" s="16" t="s">
        <v>96</v>
      </c>
      <c r="E53" s="16" t="s">
        <v>232</v>
      </c>
      <c r="F53" s="16" t="s">
        <v>103</v>
      </c>
      <c r="G53" s="16" t="s">
        <v>1002</v>
      </c>
      <c r="H53" s="16" t="s">
        <v>1002</v>
      </c>
      <c r="I53" s="16">
        <v>1</v>
      </c>
      <c r="J53" s="16">
        <v>0</v>
      </c>
    </row>
    <row r="54" spans="1:10" ht="15" customHeight="1" x14ac:dyDescent="0.35">
      <c r="A54" s="16">
        <v>52</v>
      </c>
      <c r="B54" s="16" t="s">
        <v>937</v>
      </c>
      <c r="C54" s="16" t="s">
        <v>953</v>
      </c>
      <c r="D54" s="16" t="s">
        <v>39</v>
      </c>
      <c r="E54" s="16" t="s">
        <v>14</v>
      </c>
      <c r="F54" s="16" t="s">
        <v>103</v>
      </c>
      <c r="G54" s="16" t="s">
        <v>1010</v>
      </c>
      <c r="H54" s="16" t="s">
        <v>1075</v>
      </c>
      <c r="I54" s="16">
        <v>1</v>
      </c>
      <c r="J54" s="16">
        <v>1</v>
      </c>
    </row>
    <row r="55" spans="1:10" ht="15" customHeight="1" x14ac:dyDescent="0.35">
      <c r="A55" s="16">
        <v>53</v>
      </c>
      <c r="B55" s="16" t="s">
        <v>937</v>
      </c>
      <c r="C55" s="16" t="s">
        <v>953</v>
      </c>
      <c r="D55" s="16" t="s">
        <v>65</v>
      </c>
      <c r="E55" s="16" t="s">
        <v>99</v>
      </c>
      <c r="F55" s="16" t="s">
        <v>42</v>
      </c>
      <c r="G55" s="16" t="s">
        <v>999</v>
      </c>
      <c r="H55" s="16" t="s">
        <v>1074</v>
      </c>
      <c r="I55" s="16">
        <v>1</v>
      </c>
      <c r="J55" s="16">
        <v>1</v>
      </c>
    </row>
    <row r="56" spans="1:10" ht="26.25" customHeight="1" x14ac:dyDescent="0.35">
      <c r="A56" s="16">
        <v>54</v>
      </c>
      <c r="B56" s="16" t="s">
        <v>937</v>
      </c>
      <c r="C56" s="16" t="s">
        <v>953</v>
      </c>
      <c r="D56" s="16" t="s">
        <v>65</v>
      </c>
      <c r="E56" s="16" t="s">
        <v>99</v>
      </c>
      <c r="F56" s="16" t="s">
        <v>42</v>
      </c>
      <c r="G56" s="16" t="s">
        <v>1014</v>
      </c>
      <c r="H56" s="16" t="s">
        <v>1002</v>
      </c>
      <c r="I56" s="16">
        <v>1</v>
      </c>
      <c r="J56" s="16">
        <v>1</v>
      </c>
    </row>
    <row r="57" spans="1:10" ht="26.25" customHeight="1" x14ac:dyDescent="0.35">
      <c r="A57" s="16">
        <v>55</v>
      </c>
      <c r="B57" s="16" t="s">
        <v>937</v>
      </c>
      <c r="C57" s="16" t="s">
        <v>953</v>
      </c>
      <c r="D57" s="16" t="s">
        <v>96</v>
      </c>
      <c r="E57" s="16" t="s">
        <v>210</v>
      </c>
      <c r="F57" s="16" t="s">
        <v>15</v>
      </c>
      <c r="G57" s="16" t="s">
        <v>1002</v>
      </c>
      <c r="H57" s="16" t="s">
        <v>1074</v>
      </c>
      <c r="I57" s="16">
        <v>1</v>
      </c>
      <c r="J57" s="16">
        <v>0</v>
      </c>
    </row>
    <row r="58" spans="1:10" ht="15" customHeight="1" x14ac:dyDescent="0.35">
      <c r="A58" s="16">
        <v>56</v>
      </c>
      <c r="B58" s="16" t="s">
        <v>937</v>
      </c>
      <c r="C58" s="16" t="s">
        <v>953</v>
      </c>
      <c r="D58" s="16" t="s">
        <v>22</v>
      </c>
      <c r="E58" s="16" t="s">
        <v>14</v>
      </c>
      <c r="F58" s="16" t="s">
        <v>42</v>
      </c>
      <c r="G58" s="16" t="s">
        <v>1001</v>
      </c>
      <c r="H58" s="16" t="s">
        <v>1075</v>
      </c>
      <c r="I58" s="16">
        <v>1</v>
      </c>
      <c r="J58" s="16">
        <v>1</v>
      </c>
    </row>
    <row r="59" spans="1:10" ht="15" customHeight="1" x14ac:dyDescent="0.35">
      <c r="A59" s="16">
        <v>57</v>
      </c>
      <c r="B59" s="16" t="s">
        <v>937</v>
      </c>
      <c r="C59" s="16" t="s">
        <v>953</v>
      </c>
      <c r="D59" s="16" t="s">
        <v>39</v>
      </c>
      <c r="E59" s="16" t="s">
        <v>255</v>
      </c>
      <c r="F59" s="16" t="s">
        <v>103</v>
      </c>
      <c r="G59" s="16" t="s">
        <v>1010</v>
      </c>
      <c r="H59" s="16" t="s">
        <v>1075</v>
      </c>
      <c r="I59" s="16">
        <v>1</v>
      </c>
      <c r="J59" s="16">
        <v>0</v>
      </c>
    </row>
    <row r="60" spans="1:10" ht="15" customHeight="1" x14ac:dyDescent="0.35">
      <c r="A60" s="16">
        <v>58</v>
      </c>
      <c r="B60" s="16" t="s">
        <v>937</v>
      </c>
      <c r="C60" s="16" t="s">
        <v>957</v>
      </c>
      <c r="D60" s="16" t="s">
        <v>39</v>
      </c>
      <c r="E60" s="16" t="s">
        <v>261</v>
      </c>
      <c r="F60" s="16" t="s">
        <v>15</v>
      </c>
      <c r="G60" s="16" t="s">
        <v>1011</v>
      </c>
      <c r="H60" s="16" t="s">
        <v>1076</v>
      </c>
      <c r="I60" s="16">
        <v>1</v>
      </c>
      <c r="J60" s="16">
        <v>0</v>
      </c>
    </row>
    <row r="61" spans="1:10" ht="15" customHeight="1" x14ac:dyDescent="0.35">
      <c r="A61" s="16">
        <v>59</v>
      </c>
      <c r="B61" s="16" t="s">
        <v>937</v>
      </c>
      <c r="C61" s="16" t="s">
        <v>957</v>
      </c>
      <c r="D61" s="16" t="s">
        <v>65</v>
      </c>
      <c r="E61" s="16" t="s">
        <v>14</v>
      </c>
      <c r="F61" s="16" t="s">
        <v>15</v>
      </c>
      <c r="G61" s="16" t="s">
        <v>1011</v>
      </c>
      <c r="H61" s="16" t="s">
        <v>1075</v>
      </c>
      <c r="I61" s="16">
        <v>1</v>
      </c>
      <c r="J61" s="16">
        <v>1</v>
      </c>
    </row>
    <row r="62" spans="1:10" ht="15" customHeight="1" x14ac:dyDescent="0.35">
      <c r="A62" s="16">
        <v>60</v>
      </c>
      <c r="B62" s="16" t="s">
        <v>937</v>
      </c>
      <c r="C62" s="16" t="s">
        <v>957</v>
      </c>
      <c r="D62" s="16" t="s">
        <v>22</v>
      </c>
      <c r="E62" s="16" t="s">
        <v>93</v>
      </c>
      <c r="F62" s="16" t="s">
        <v>103</v>
      </c>
      <c r="G62" s="16" t="s">
        <v>1012</v>
      </c>
      <c r="H62" s="16" t="s">
        <v>1074</v>
      </c>
      <c r="I62" s="16">
        <v>1</v>
      </c>
      <c r="J62" s="16">
        <v>1</v>
      </c>
    </row>
    <row r="63" spans="1:10" ht="15" customHeight="1" x14ac:dyDescent="0.35">
      <c r="A63" s="16">
        <v>61</v>
      </c>
      <c r="B63" s="16" t="s">
        <v>937</v>
      </c>
      <c r="C63" s="16" t="s">
        <v>957</v>
      </c>
      <c r="D63" s="16" t="s">
        <v>39</v>
      </c>
      <c r="E63" s="16" t="s">
        <v>93</v>
      </c>
      <c r="F63" s="16" t="s">
        <v>15</v>
      </c>
      <c r="G63" s="16" t="s">
        <v>1001</v>
      </c>
      <c r="H63" s="16" t="s">
        <v>1075</v>
      </c>
      <c r="I63" s="16">
        <v>1</v>
      </c>
      <c r="J63" s="16">
        <v>1</v>
      </c>
    </row>
    <row r="64" spans="1:10" ht="26.25" customHeight="1" x14ac:dyDescent="0.35">
      <c r="A64" s="16">
        <v>62</v>
      </c>
      <c r="B64" s="16" t="s">
        <v>937</v>
      </c>
      <c r="C64" s="16" t="s">
        <v>957</v>
      </c>
      <c r="D64" s="16" t="s">
        <v>22</v>
      </c>
      <c r="E64" s="16" t="s">
        <v>210</v>
      </c>
      <c r="F64" s="16" t="s">
        <v>15</v>
      </c>
      <c r="G64" s="16" t="s">
        <v>1005</v>
      </c>
      <c r="H64" s="16" t="s">
        <v>1079</v>
      </c>
      <c r="I64" s="16">
        <v>1</v>
      </c>
      <c r="J64" s="16">
        <v>0</v>
      </c>
    </row>
    <row r="65" spans="1:10" ht="15" customHeight="1" x14ac:dyDescent="0.35">
      <c r="A65" s="16">
        <v>63</v>
      </c>
      <c r="B65" s="16" t="s">
        <v>937</v>
      </c>
      <c r="C65" s="16" t="s">
        <v>957</v>
      </c>
      <c r="D65" s="16" t="s">
        <v>22</v>
      </c>
      <c r="E65" s="16" t="s">
        <v>14</v>
      </c>
      <c r="F65" s="16" t="s">
        <v>15</v>
      </c>
      <c r="G65" s="16" t="s">
        <v>999</v>
      </c>
      <c r="H65" s="16" t="s">
        <v>1075</v>
      </c>
      <c r="I65" s="16">
        <v>1</v>
      </c>
      <c r="J65" s="16">
        <v>1</v>
      </c>
    </row>
    <row r="66" spans="1:10" ht="15" customHeight="1" x14ac:dyDescent="0.35">
      <c r="A66" s="16">
        <v>64</v>
      </c>
      <c r="B66" s="16" t="s">
        <v>937</v>
      </c>
      <c r="C66" s="16" t="s">
        <v>957</v>
      </c>
      <c r="D66" s="16" t="s">
        <v>39</v>
      </c>
      <c r="E66" s="16" t="s">
        <v>261</v>
      </c>
      <c r="F66" s="16" t="s">
        <v>103</v>
      </c>
      <c r="G66" s="16" t="s">
        <v>999</v>
      </c>
      <c r="H66" s="16" t="s">
        <v>1074</v>
      </c>
      <c r="I66" s="16">
        <v>1</v>
      </c>
      <c r="J66" s="16">
        <v>0</v>
      </c>
    </row>
    <row r="67" spans="1:10" ht="15" customHeight="1" x14ac:dyDescent="0.35">
      <c r="A67" s="16">
        <v>65</v>
      </c>
      <c r="B67" s="16" t="s">
        <v>937</v>
      </c>
      <c r="C67" s="16" t="s">
        <v>954</v>
      </c>
      <c r="D67" s="16" t="s">
        <v>39</v>
      </c>
      <c r="E67" s="16" t="s">
        <v>14</v>
      </c>
      <c r="F67" s="16" t="s">
        <v>103</v>
      </c>
      <c r="G67" s="16" t="s">
        <v>1010</v>
      </c>
      <c r="H67" s="16" t="s">
        <v>1076</v>
      </c>
      <c r="I67" s="16">
        <v>1</v>
      </c>
      <c r="J67" s="16">
        <v>1</v>
      </c>
    </row>
    <row r="68" spans="1:10" ht="15" customHeight="1" x14ac:dyDescent="0.35">
      <c r="A68" s="16">
        <v>66</v>
      </c>
      <c r="B68" s="16" t="s">
        <v>937</v>
      </c>
      <c r="C68" s="16" t="s">
        <v>954</v>
      </c>
      <c r="D68" s="16" t="s">
        <v>39</v>
      </c>
      <c r="E68" s="16" t="s">
        <v>14</v>
      </c>
      <c r="F68" s="16" t="s">
        <v>15</v>
      </c>
      <c r="G68" s="16" t="s">
        <v>1015</v>
      </c>
      <c r="H68" s="16" t="s">
        <v>1075</v>
      </c>
      <c r="I68" s="16">
        <v>1</v>
      </c>
      <c r="J68" s="16">
        <v>1</v>
      </c>
    </row>
    <row r="69" spans="1:10" ht="15" customHeight="1" x14ac:dyDescent="0.35">
      <c r="A69" s="16">
        <v>67</v>
      </c>
      <c r="B69" s="16" t="s">
        <v>937</v>
      </c>
      <c r="C69" s="16" t="s">
        <v>954</v>
      </c>
      <c r="D69" s="16" t="s">
        <v>39</v>
      </c>
      <c r="E69" s="16" t="s">
        <v>255</v>
      </c>
      <c r="F69" s="16" t="s">
        <v>15</v>
      </c>
      <c r="G69" s="16" t="s">
        <v>1018</v>
      </c>
      <c r="H69" s="16" t="s">
        <v>1083</v>
      </c>
      <c r="I69" s="16">
        <v>1</v>
      </c>
      <c r="J69" s="16">
        <v>0</v>
      </c>
    </row>
    <row r="70" spans="1:10" ht="15" customHeight="1" x14ac:dyDescent="0.35">
      <c r="A70" s="16">
        <v>68</v>
      </c>
      <c r="B70" s="16" t="s">
        <v>937</v>
      </c>
      <c r="C70" s="16" t="s">
        <v>954</v>
      </c>
      <c r="D70" s="16" t="s">
        <v>65</v>
      </c>
      <c r="E70" s="16" t="s">
        <v>14</v>
      </c>
      <c r="F70" s="16" t="s">
        <v>15</v>
      </c>
      <c r="G70" s="16" t="s">
        <v>1017</v>
      </c>
      <c r="H70" s="16" t="s">
        <v>1082</v>
      </c>
      <c r="I70" s="16">
        <v>1</v>
      </c>
      <c r="J70" s="16">
        <v>1</v>
      </c>
    </row>
    <row r="71" spans="1:10" ht="15" customHeight="1" x14ac:dyDescent="0.35">
      <c r="A71" s="16">
        <v>69</v>
      </c>
      <c r="B71" s="16" t="s">
        <v>937</v>
      </c>
      <c r="C71" s="16" t="s">
        <v>954</v>
      </c>
      <c r="D71" s="16" t="s">
        <v>65</v>
      </c>
      <c r="E71" s="16" t="s">
        <v>14</v>
      </c>
      <c r="F71" s="16" t="s">
        <v>15</v>
      </c>
      <c r="G71" s="16" t="s">
        <v>1014</v>
      </c>
      <c r="H71" s="16" t="s">
        <v>1081</v>
      </c>
      <c r="I71" s="16">
        <v>1</v>
      </c>
      <c r="J71" s="16">
        <v>1</v>
      </c>
    </row>
    <row r="72" spans="1:10" ht="15" customHeight="1" x14ac:dyDescent="0.35">
      <c r="A72" s="16">
        <v>70</v>
      </c>
      <c r="B72" s="16" t="s">
        <v>937</v>
      </c>
      <c r="C72" s="16" t="s">
        <v>954</v>
      </c>
      <c r="D72" s="16" t="s">
        <v>65</v>
      </c>
      <c r="E72" s="16" t="s">
        <v>14</v>
      </c>
      <c r="F72" s="16" t="s">
        <v>15</v>
      </c>
      <c r="G72" s="16" t="s">
        <v>1020</v>
      </c>
      <c r="H72" s="16" t="s">
        <v>1084</v>
      </c>
      <c r="I72" s="16">
        <v>1</v>
      </c>
      <c r="J72" s="16">
        <v>1</v>
      </c>
    </row>
    <row r="73" spans="1:10" ht="15" customHeight="1" x14ac:dyDescent="0.35">
      <c r="A73" s="16">
        <v>71</v>
      </c>
      <c r="B73" s="16" t="s">
        <v>937</v>
      </c>
      <c r="C73" s="16" t="s">
        <v>954</v>
      </c>
      <c r="D73" s="16" t="s">
        <v>96</v>
      </c>
      <c r="E73" s="16" t="s">
        <v>14</v>
      </c>
      <c r="F73" s="16" t="s">
        <v>103</v>
      </c>
      <c r="G73" s="16" t="s">
        <v>1014</v>
      </c>
      <c r="H73" s="16" t="s">
        <v>1081</v>
      </c>
      <c r="I73" s="16">
        <v>1</v>
      </c>
      <c r="J73" s="16">
        <v>1</v>
      </c>
    </row>
    <row r="74" spans="1:10" ht="15" customHeight="1" x14ac:dyDescent="0.35">
      <c r="A74" s="16">
        <v>72</v>
      </c>
      <c r="B74" s="16" t="s">
        <v>937</v>
      </c>
      <c r="C74" s="16" t="s">
        <v>954</v>
      </c>
      <c r="D74" s="16" t="s">
        <v>22</v>
      </c>
      <c r="E74" s="16" t="s">
        <v>88</v>
      </c>
      <c r="F74" s="16" t="s">
        <v>42</v>
      </c>
      <c r="G74" s="16" t="s">
        <v>1019</v>
      </c>
      <c r="H74" s="16" t="s">
        <v>1074</v>
      </c>
      <c r="I74" s="16">
        <v>1</v>
      </c>
      <c r="J74" s="16">
        <v>1</v>
      </c>
    </row>
    <row r="75" spans="1:10" ht="15" customHeight="1" x14ac:dyDescent="0.35">
      <c r="A75" s="16">
        <v>73</v>
      </c>
      <c r="B75" s="16" t="s">
        <v>937</v>
      </c>
      <c r="C75" s="16" t="s">
        <v>954</v>
      </c>
      <c r="D75" s="16" t="s">
        <v>96</v>
      </c>
      <c r="E75" s="16" t="s">
        <v>93</v>
      </c>
      <c r="F75" s="16" t="s">
        <v>42</v>
      </c>
      <c r="G75" s="16" t="s">
        <v>1015</v>
      </c>
      <c r="H75" s="16" t="s">
        <v>1075</v>
      </c>
      <c r="I75" s="16">
        <v>1</v>
      </c>
      <c r="J75" s="16">
        <v>1</v>
      </c>
    </row>
    <row r="76" spans="1:10" ht="26.25" customHeight="1" x14ac:dyDescent="0.35">
      <c r="A76" s="16">
        <v>74</v>
      </c>
      <c r="B76" s="16" t="s">
        <v>937</v>
      </c>
      <c r="C76" s="16" t="s">
        <v>954</v>
      </c>
      <c r="D76" s="16" t="s">
        <v>65</v>
      </c>
      <c r="E76" s="16" t="s">
        <v>93</v>
      </c>
      <c r="F76" s="16" t="s">
        <v>42</v>
      </c>
      <c r="G76" s="16" t="s">
        <v>1002</v>
      </c>
      <c r="H76" s="16" t="s">
        <v>1002</v>
      </c>
      <c r="I76" s="16">
        <v>1</v>
      </c>
      <c r="J76" s="16">
        <v>1</v>
      </c>
    </row>
    <row r="77" spans="1:10" ht="15" customHeight="1" x14ac:dyDescent="0.35">
      <c r="A77" s="16">
        <v>75</v>
      </c>
      <c r="B77" s="16" t="s">
        <v>937</v>
      </c>
      <c r="C77" s="16" t="s">
        <v>954</v>
      </c>
      <c r="D77" s="16" t="s">
        <v>96</v>
      </c>
      <c r="E77" s="16" t="s">
        <v>325</v>
      </c>
      <c r="F77" s="16" t="s">
        <v>42</v>
      </c>
      <c r="G77" s="16" t="s">
        <v>1016</v>
      </c>
      <c r="H77" s="16" t="s">
        <v>1075</v>
      </c>
      <c r="I77" s="16">
        <v>1</v>
      </c>
      <c r="J77" s="16">
        <v>0</v>
      </c>
    </row>
    <row r="78" spans="1:10" ht="15" customHeight="1" x14ac:dyDescent="0.35">
      <c r="A78" s="16">
        <v>76</v>
      </c>
      <c r="B78" s="16" t="s">
        <v>937</v>
      </c>
      <c r="C78" s="16" t="s">
        <v>954</v>
      </c>
      <c r="D78" s="16" t="s">
        <v>22</v>
      </c>
      <c r="E78" s="16" t="s">
        <v>325</v>
      </c>
      <c r="F78" s="16" t="s">
        <v>42</v>
      </c>
      <c r="G78" s="16" t="s">
        <v>1016</v>
      </c>
      <c r="H78" s="16" t="s">
        <v>1075</v>
      </c>
      <c r="I78" s="16">
        <v>1</v>
      </c>
      <c r="J78" s="16">
        <v>0</v>
      </c>
    </row>
    <row r="79" spans="1:10" ht="26.25" customHeight="1" x14ac:dyDescent="0.35">
      <c r="A79" s="16">
        <v>77</v>
      </c>
      <c r="B79" s="16" t="s">
        <v>937</v>
      </c>
      <c r="C79" s="16" t="s">
        <v>954</v>
      </c>
      <c r="D79" s="16" t="s">
        <v>65</v>
      </c>
      <c r="E79" s="16" t="s">
        <v>99</v>
      </c>
      <c r="F79" s="16" t="s">
        <v>42</v>
      </c>
      <c r="G79" s="16" t="s">
        <v>999</v>
      </c>
      <c r="H79" s="16" t="s">
        <v>1002</v>
      </c>
      <c r="I79" s="16">
        <v>1</v>
      </c>
      <c r="J79" s="16">
        <v>1</v>
      </c>
    </row>
    <row r="80" spans="1:10" ht="26.25" customHeight="1" x14ac:dyDescent="0.35">
      <c r="A80" s="16">
        <v>78</v>
      </c>
      <c r="B80" s="16" t="s">
        <v>937</v>
      </c>
      <c r="C80" s="16" t="s">
        <v>954</v>
      </c>
      <c r="D80" s="16" t="s">
        <v>22</v>
      </c>
      <c r="E80" s="16" t="s">
        <v>334</v>
      </c>
      <c r="F80" s="16" t="s">
        <v>42</v>
      </c>
      <c r="G80" s="16" t="s">
        <v>1002</v>
      </c>
      <c r="H80" s="16" t="s">
        <v>1002</v>
      </c>
      <c r="I80" s="16">
        <v>1</v>
      </c>
      <c r="J80" s="16">
        <v>0</v>
      </c>
    </row>
    <row r="81" spans="1:10" ht="15" customHeight="1" x14ac:dyDescent="0.35">
      <c r="A81" s="16">
        <v>79</v>
      </c>
      <c r="B81" s="16" t="s">
        <v>937</v>
      </c>
      <c r="C81" s="16" t="s">
        <v>954</v>
      </c>
      <c r="D81" s="16" t="s">
        <v>39</v>
      </c>
      <c r="E81" s="16" t="s">
        <v>255</v>
      </c>
      <c r="F81" s="16" t="s">
        <v>42</v>
      </c>
      <c r="G81" s="16" t="s">
        <v>999</v>
      </c>
      <c r="H81" s="16" t="s">
        <v>1074</v>
      </c>
      <c r="I81" s="16">
        <v>1</v>
      </c>
      <c r="J81" s="16">
        <v>0</v>
      </c>
    </row>
    <row r="82" spans="1:10" ht="15" customHeight="1" x14ac:dyDescent="0.35">
      <c r="A82" s="16">
        <v>80</v>
      </c>
      <c r="B82" s="16" t="s">
        <v>937</v>
      </c>
      <c r="C82" s="16" t="s">
        <v>954</v>
      </c>
      <c r="D82" s="16" t="s">
        <v>39</v>
      </c>
      <c r="E82" s="16" t="s">
        <v>342</v>
      </c>
      <c r="F82" s="16" t="s">
        <v>42</v>
      </c>
      <c r="G82" s="16" t="s">
        <v>999</v>
      </c>
      <c r="H82" s="16" t="s">
        <v>1074</v>
      </c>
      <c r="I82" s="16">
        <v>1</v>
      </c>
      <c r="J82" s="16">
        <v>0</v>
      </c>
    </row>
    <row r="83" spans="1:10" ht="15" customHeight="1" x14ac:dyDescent="0.35">
      <c r="A83" s="16">
        <v>81</v>
      </c>
      <c r="B83" s="16" t="s">
        <v>937</v>
      </c>
      <c r="C83" s="16" t="s">
        <v>954</v>
      </c>
      <c r="D83" s="16" t="s">
        <v>39</v>
      </c>
      <c r="E83" s="16" t="s">
        <v>261</v>
      </c>
      <c r="F83" s="16" t="s">
        <v>42</v>
      </c>
      <c r="G83" s="16" t="s">
        <v>1010</v>
      </c>
      <c r="H83" s="16" t="s">
        <v>1074</v>
      </c>
      <c r="I83" s="16">
        <v>1</v>
      </c>
      <c r="J83" s="16">
        <v>0</v>
      </c>
    </row>
    <row r="84" spans="1:10" ht="15" customHeight="1" x14ac:dyDescent="0.35">
      <c r="A84" s="16">
        <v>82</v>
      </c>
      <c r="B84" s="16" t="s">
        <v>937</v>
      </c>
      <c r="C84" s="16" t="s">
        <v>962</v>
      </c>
      <c r="D84" s="16" t="s">
        <v>39</v>
      </c>
      <c r="E84" s="16" t="s">
        <v>352</v>
      </c>
      <c r="F84" s="16" t="s">
        <v>15</v>
      </c>
      <c r="G84" s="16" t="s">
        <v>1014</v>
      </c>
      <c r="H84" s="16" t="s">
        <v>1091</v>
      </c>
      <c r="I84" s="16">
        <v>1</v>
      </c>
      <c r="J84" s="16">
        <v>0</v>
      </c>
    </row>
    <row r="85" spans="1:10" ht="15" customHeight="1" x14ac:dyDescent="0.35">
      <c r="A85" s="16">
        <v>83</v>
      </c>
      <c r="B85" s="16" t="s">
        <v>937</v>
      </c>
      <c r="C85" s="16" t="s">
        <v>962</v>
      </c>
      <c r="D85" s="16" t="s">
        <v>39</v>
      </c>
      <c r="E85" s="16" t="s">
        <v>352</v>
      </c>
      <c r="F85" s="16" t="s">
        <v>42</v>
      </c>
      <c r="G85" s="16" t="s">
        <v>1014</v>
      </c>
      <c r="H85" s="16" t="s">
        <v>1081</v>
      </c>
      <c r="I85" s="16">
        <v>1</v>
      </c>
      <c r="J85" s="16">
        <v>0</v>
      </c>
    </row>
    <row r="86" spans="1:10" ht="15" customHeight="1" x14ac:dyDescent="0.35">
      <c r="A86" s="16">
        <v>84</v>
      </c>
      <c r="B86" s="16" t="s">
        <v>937</v>
      </c>
      <c r="C86" s="16" t="s">
        <v>955</v>
      </c>
      <c r="D86" s="16" t="s">
        <v>65</v>
      </c>
      <c r="E86" s="16" t="s">
        <v>14</v>
      </c>
      <c r="F86" s="16" t="s">
        <v>15</v>
      </c>
      <c r="G86" s="16" t="s">
        <v>1006</v>
      </c>
      <c r="H86" s="16" t="s">
        <v>1076</v>
      </c>
      <c r="I86" s="16">
        <v>1</v>
      </c>
      <c r="J86" s="16">
        <v>1</v>
      </c>
    </row>
    <row r="87" spans="1:10" ht="26.25" customHeight="1" x14ac:dyDescent="0.35">
      <c r="A87" s="16">
        <v>85</v>
      </c>
      <c r="B87" s="16" t="s">
        <v>937</v>
      </c>
      <c r="C87" s="16" t="s">
        <v>955</v>
      </c>
      <c r="D87" s="16" t="s">
        <v>96</v>
      </c>
      <c r="E87" s="16" t="s">
        <v>88</v>
      </c>
      <c r="F87" s="16" t="s">
        <v>15</v>
      </c>
      <c r="G87" s="16" t="s">
        <v>1002</v>
      </c>
      <c r="H87" s="16" t="s">
        <v>1075</v>
      </c>
      <c r="I87" s="16">
        <v>1</v>
      </c>
      <c r="J87" s="16">
        <v>1</v>
      </c>
    </row>
    <row r="88" spans="1:10" ht="15" customHeight="1" x14ac:dyDescent="0.35">
      <c r="A88" s="16">
        <v>86</v>
      </c>
      <c r="B88" s="16" t="s">
        <v>937</v>
      </c>
      <c r="C88" s="16" t="s">
        <v>955</v>
      </c>
      <c r="D88" s="16" t="s">
        <v>96</v>
      </c>
      <c r="E88" s="16" t="s">
        <v>88</v>
      </c>
      <c r="F88" s="16" t="s">
        <v>15</v>
      </c>
      <c r="G88" s="16" t="s">
        <v>1003</v>
      </c>
      <c r="H88" s="16" t="s">
        <v>1078</v>
      </c>
      <c r="I88" s="16">
        <v>1</v>
      </c>
      <c r="J88" s="16">
        <v>1</v>
      </c>
    </row>
    <row r="89" spans="1:10" ht="15" customHeight="1" x14ac:dyDescent="0.35">
      <c r="A89" s="16">
        <v>87</v>
      </c>
      <c r="B89" s="16" t="s">
        <v>937</v>
      </c>
      <c r="C89" s="16" t="s">
        <v>955</v>
      </c>
      <c r="D89" s="16" t="s">
        <v>22</v>
      </c>
      <c r="E89" s="16" t="s">
        <v>88</v>
      </c>
      <c r="F89" s="16" t="s">
        <v>15</v>
      </c>
      <c r="G89" s="16" t="s">
        <v>1008</v>
      </c>
      <c r="H89" s="16" t="s">
        <v>1075</v>
      </c>
      <c r="I89" s="16">
        <v>1</v>
      </c>
      <c r="J89" s="16">
        <v>1</v>
      </c>
    </row>
    <row r="90" spans="1:10" ht="15" customHeight="1" x14ac:dyDescent="0.35">
      <c r="A90" s="16">
        <v>88</v>
      </c>
      <c r="B90" s="16" t="s">
        <v>937</v>
      </c>
      <c r="C90" s="16" t="s">
        <v>955</v>
      </c>
      <c r="D90" s="16" t="s">
        <v>39</v>
      </c>
      <c r="E90" s="16" t="s">
        <v>88</v>
      </c>
      <c r="F90" s="16" t="s">
        <v>15</v>
      </c>
      <c r="G90" s="16" t="s">
        <v>1007</v>
      </c>
      <c r="H90" s="16" t="s">
        <v>1077</v>
      </c>
      <c r="I90" s="16">
        <v>1</v>
      </c>
      <c r="J90" s="16">
        <v>1</v>
      </c>
    </row>
    <row r="91" spans="1:10" ht="15" customHeight="1" x14ac:dyDescent="0.35">
      <c r="A91" s="16">
        <v>89</v>
      </c>
      <c r="B91" s="16" t="s">
        <v>937</v>
      </c>
      <c r="C91" s="16" t="s">
        <v>955</v>
      </c>
      <c r="D91" s="16" t="s">
        <v>39</v>
      </c>
      <c r="E91" s="16" t="s">
        <v>88</v>
      </c>
      <c r="F91" s="16" t="s">
        <v>42</v>
      </c>
      <c r="G91" s="16" t="s">
        <v>1005</v>
      </c>
      <c r="H91" s="16" t="s">
        <v>1079</v>
      </c>
      <c r="I91" s="16">
        <v>1</v>
      </c>
      <c r="J91" s="16">
        <v>1</v>
      </c>
    </row>
    <row r="92" spans="1:10" ht="15" customHeight="1" x14ac:dyDescent="0.35">
      <c r="A92" s="16">
        <v>90</v>
      </c>
      <c r="B92" s="16" t="s">
        <v>937</v>
      </c>
      <c r="C92" s="16" t="s">
        <v>955</v>
      </c>
      <c r="D92" s="16" t="s">
        <v>65</v>
      </c>
      <c r="E92" s="16" t="s">
        <v>88</v>
      </c>
      <c r="F92" s="16" t="s">
        <v>15</v>
      </c>
      <c r="G92" s="16" t="s">
        <v>1009</v>
      </c>
      <c r="H92" s="16" t="s">
        <v>1075</v>
      </c>
      <c r="I92" s="16">
        <v>1</v>
      </c>
      <c r="J92" s="16">
        <v>1</v>
      </c>
    </row>
    <row r="93" spans="1:10" ht="15" customHeight="1" x14ac:dyDescent="0.35">
      <c r="A93" s="16">
        <v>91</v>
      </c>
      <c r="B93" s="16" t="s">
        <v>937</v>
      </c>
      <c r="C93" s="16" t="s">
        <v>955</v>
      </c>
      <c r="D93" s="16" t="s">
        <v>65</v>
      </c>
      <c r="E93" s="16" t="s">
        <v>88</v>
      </c>
      <c r="F93" s="16" t="s">
        <v>15</v>
      </c>
      <c r="G93" s="16" t="s">
        <v>1004</v>
      </c>
      <c r="H93" s="16" t="s">
        <v>1073</v>
      </c>
      <c r="I93" s="16">
        <v>1</v>
      </c>
      <c r="J93" s="16">
        <v>1</v>
      </c>
    </row>
    <row r="94" spans="1:10" ht="15" customHeight="1" x14ac:dyDescent="0.35">
      <c r="A94" s="16">
        <v>92</v>
      </c>
      <c r="B94" s="16" t="s">
        <v>937</v>
      </c>
      <c r="C94" s="16" t="s">
        <v>955</v>
      </c>
      <c r="D94" s="16" t="s">
        <v>65</v>
      </c>
      <c r="E94" s="16" t="s">
        <v>88</v>
      </c>
      <c r="F94" s="16" t="s">
        <v>103</v>
      </c>
      <c r="G94" s="16" t="s">
        <v>1010</v>
      </c>
      <c r="H94" s="16" t="s">
        <v>1075</v>
      </c>
      <c r="I94" s="16">
        <v>1</v>
      </c>
      <c r="J94" s="16">
        <v>1</v>
      </c>
    </row>
    <row r="95" spans="1:10" ht="15" customHeight="1" x14ac:dyDescent="0.35">
      <c r="A95" s="16">
        <v>93</v>
      </c>
      <c r="B95" s="16" t="s">
        <v>937</v>
      </c>
      <c r="C95" s="16" t="s">
        <v>955</v>
      </c>
      <c r="D95" s="16" t="s">
        <v>65</v>
      </c>
      <c r="E95" s="16" t="s">
        <v>88</v>
      </c>
      <c r="F95" s="16" t="s">
        <v>103</v>
      </c>
      <c r="G95" s="16" t="s">
        <v>1001</v>
      </c>
      <c r="H95" s="16" t="s">
        <v>1075</v>
      </c>
      <c r="I95" s="16">
        <v>1</v>
      </c>
      <c r="J95" s="16">
        <v>1</v>
      </c>
    </row>
    <row r="96" spans="1:10" ht="15" customHeight="1" x14ac:dyDescent="0.35">
      <c r="A96" s="16">
        <v>94</v>
      </c>
      <c r="B96" s="16" t="s">
        <v>937</v>
      </c>
      <c r="C96" s="16" t="s">
        <v>955</v>
      </c>
      <c r="D96" s="16" t="s">
        <v>96</v>
      </c>
      <c r="E96" s="16" t="s">
        <v>93</v>
      </c>
      <c r="F96" s="16" t="s">
        <v>103</v>
      </c>
      <c r="G96" s="16" t="s">
        <v>1001</v>
      </c>
      <c r="H96" s="16" t="s">
        <v>1075</v>
      </c>
      <c r="I96" s="16">
        <v>1</v>
      </c>
      <c r="J96" s="16">
        <v>1</v>
      </c>
    </row>
    <row r="97" spans="1:10" ht="15" customHeight="1" x14ac:dyDescent="0.35">
      <c r="A97" s="16">
        <v>95</v>
      </c>
      <c r="B97" s="16" t="s">
        <v>937</v>
      </c>
      <c r="C97" s="16" t="s">
        <v>955</v>
      </c>
      <c r="D97" s="16" t="s">
        <v>96</v>
      </c>
      <c r="E97" s="16" t="s">
        <v>93</v>
      </c>
      <c r="F97" s="16" t="s">
        <v>15</v>
      </c>
      <c r="G97" s="16" t="s">
        <v>1001</v>
      </c>
      <c r="H97" s="16" t="s">
        <v>1076</v>
      </c>
      <c r="I97" s="16">
        <v>1</v>
      </c>
      <c r="J97" s="16">
        <v>1</v>
      </c>
    </row>
    <row r="98" spans="1:10" ht="15" customHeight="1" x14ac:dyDescent="0.35">
      <c r="A98" s="16">
        <v>96</v>
      </c>
      <c r="B98" s="16" t="s">
        <v>937</v>
      </c>
      <c r="C98" s="16" t="s">
        <v>956</v>
      </c>
      <c r="D98" s="16" t="s">
        <v>22</v>
      </c>
      <c r="E98" s="16" t="s">
        <v>88</v>
      </c>
      <c r="F98" s="16" t="s">
        <v>103</v>
      </c>
      <c r="G98" s="16" t="s">
        <v>1010</v>
      </c>
      <c r="H98" s="16" t="s">
        <v>1075</v>
      </c>
      <c r="I98" s="16">
        <v>1</v>
      </c>
      <c r="J98" s="16">
        <v>1</v>
      </c>
    </row>
    <row r="99" spans="1:10" ht="15" customHeight="1" x14ac:dyDescent="0.35">
      <c r="A99" s="16">
        <v>97</v>
      </c>
      <c r="B99" s="16" t="s">
        <v>937</v>
      </c>
      <c r="C99" s="16" t="s">
        <v>956</v>
      </c>
      <c r="D99" s="16" t="s">
        <v>39</v>
      </c>
      <c r="E99" s="16" t="s">
        <v>88</v>
      </c>
      <c r="F99" s="16" t="s">
        <v>103</v>
      </c>
      <c r="G99" s="16" t="s">
        <v>1019</v>
      </c>
      <c r="H99" s="16" t="s">
        <v>1074</v>
      </c>
      <c r="I99" s="16">
        <v>1</v>
      </c>
      <c r="J99" s="16">
        <v>1</v>
      </c>
    </row>
    <row r="100" spans="1:10" ht="15" customHeight="1" x14ac:dyDescent="0.35">
      <c r="A100" s="16">
        <v>98</v>
      </c>
      <c r="B100" s="16" t="s">
        <v>937</v>
      </c>
      <c r="C100" s="16" t="s">
        <v>956</v>
      </c>
      <c r="D100" s="16" t="s">
        <v>39</v>
      </c>
      <c r="E100" s="16" t="s">
        <v>88</v>
      </c>
      <c r="F100" s="16" t="s">
        <v>15</v>
      </c>
      <c r="G100" s="16" t="s">
        <v>1014</v>
      </c>
      <c r="H100" s="16" t="s">
        <v>1090</v>
      </c>
      <c r="I100" s="16">
        <v>1</v>
      </c>
      <c r="J100" s="16">
        <v>1</v>
      </c>
    </row>
    <row r="101" spans="1:10" ht="15" customHeight="1" x14ac:dyDescent="0.35">
      <c r="A101" s="16">
        <v>99</v>
      </c>
      <c r="B101" s="16" t="s">
        <v>937</v>
      </c>
      <c r="C101" s="16" t="s">
        <v>956</v>
      </c>
      <c r="D101" s="16" t="s">
        <v>39</v>
      </c>
      <c r="E101" s="16" t="s">
        <v>88</v>
      </c>
      <c r="F101" s="16" t="s">
        <v>103</v>
      </c>
      <c r="G101" s="16" t="s">
        <v>1024</v>
      </c>
      <c r="H101" s="16" t="s">
        <v>1074</v>
      </c>
      <c r="I101" s="16">
        <v>1</v>
      </c>
      <c r="J101" s="16">
        <v>1</v>
      </c>
    </row>
    <row r="102" spans="1:10" ht="15" customHeight="1" x14ac:dyDescent="0.35">
      <c r="A102" s="16">
        <v>100</v>
      </c>
      <c r="B102" s="16" t="s">
        <v>937</v>
      </c>
      <c r="C102" s="16" t="s">
        <v>956</v>
      </c>
      <c r="D102" s="16" t="s">
        <v>65</v>
      </c>
      <c r="E102" s="16" t="s">
        <v>88</v>
      </c>
      <c r="F102" s="16" t="s">
        <v>42</v>
      </c>
      <c r="G102" s="16" t="s">
        <v>1001</v>
      </c>
      <c r="H102" s="16" t="s">
        <v>1075</v>
      </c>
      <c r="I102" s="16">
        <v>1</v>
      </c>
      <c r="J102" s="16">
        <v>1</v>
      </c>
    </row>
    <row r="103" spans="1:10" ht="15" customHeight="1" x14ac:dyDescent="0.35">
      <c r="A103" s="16">
        <v>101</v>
      </c>
      <c r="B103" s="16" t="s">
        <v>937</v>
      </c>
      <c r="C103" s="16" t="s">
        <v>956</v>
      </c>
      <c r="D103" s="16" t="s">
        <v>65</v>
      </c>
      <c r="E103" s="16" t="s">
        <v>88</v>
      </c>
      <c r="F103" s="16" t="s">
        <v>42</v>
      </c>
      <c r="G103" s="16" t="s">
        <v>1009</v>
      </c>
      <c r="H103" s="16" t="s">
        <v>1075</v>
      </c>
      <c r="I103" s="16">
        <v>1</v>
      </c>
      <c r="J103" s="16">
        <v>1</v>
      </c>
    </row>
    <row r="104" spans="1:10" ht="15" customHeight="1" x14ac:dyDescent="0.35">
      <c r="A104" s="16">
        <v>102</v>
      </c>
      <c r="B104" s="16" t="s">
        <v>937</v>
      </c>
      <c r="C104" s="16" t="s">
        <v>956</v>
      </c>
      <c r="D104" s="16" t="s">
        <v>65</v>
      </c>
      <c r="E104" s="16" t="s">
        <v>88</v>
      </c>
      <c r="F104" s="16" t="s">
        <v>103</v>
      </c>
      <c r="G104" s="16" t="s">
        <v>1010</v>
      </c>
      <c r="H104" s="16" t="s">
        <v>1089</v>
      </c>
      <c r="I104" s="16">
        <v>1</v>
      </c>
      <c r="J104" s="16">
        <v>1</v>
      </c>
    </row>
    <row r="105" spans="1:10" ht="15" customHeight="1" x14ac:dyDescent="0.35">
      <c r="A105" s="16">
        <v>103</v>
      </c>
      <c r="B105" s="16" t="s">
        <v>937</v>
      </c>
      <c r="C105" s="16" t="s">
        <v>956</v>
      </c>
      <c r="D105" s="16" t="s">
        <v>65</v>
      </c>
      <c r="E105" s="16" t="s">
        <v>88</v>
      </c>
      <c r="F105" s="16" t="s">
        <v>42</v>
      </c>
      <c r="G105" s="16" t="s">
        <v>1010</v>
      </c>
      <c r="H105" s="16" t="s">
        <v>1074</v>
      </c>
      <c r="I105" s="16">
        <v>1</v>
      </c>
      <c r="J105" s="16">
        <v>1</v>
      </c>
    </row>
    <row r="106" spans="1:10" ht="15" customHeight="1" x14ac:dyDescent="0.35">
      <c r="A106" s="16">
        <v>104</v>
      </c>
      <c r="B106" s="16" t="s">
        <v>937</v>
      </c>
      <c r="C106" s="16" t="s">
        <v>956</v>
      </c>
      <c r="D106" s="16" t="s">
        <v>65</v>
      </c>
      <c r="E106" s="16" t="s">
        <v>88</v>
      </c>
      <c r="F106" s="16" t="s">
        <v>42</v>
      </c>
      <c r="G106" s="16" t="s">
        <v>1001</v>
      </c>
      <c r="H106" s="16" t="s">
        <v>1075</v>
      </c>
      <c r="I106" s="16">
        <v>1</v>
      </c>
      <c r="J106" s="16">
        <v>1</v>
      </c>
    </row>
    <row r="107" spans="1:10" ht="15" customHeight="1" x14ac:dyDescent="0.35">
      <c r="A107" s="16">
        <v>105</v>
      </c>
      <c r="B107" s="16" t="s">
        <v>938</v>
      </c>
      <c r="C107" s="16" t="s">
        <v>967</v>
      </c>
      <c r="D107" s="16" t="s">
        <v>11</v>
      </c>
      <c r="E107" s="16" t="s">
        <v>442</v>
      </c>
      <c r="F107" s="16" t="s">
        <v>15</v>
      </c>
      <c r="G107" s="16" t="s">
        <v>1035</v>
      </c>
      <c r="H107" s="16" t="s">
        <v>1098</v>
      </c>
      <c r="I107" s="16">
        <v>1</v>
      </c>
      <c r="J107" s="16">
        <v>0</v>
      </c>
    </row>
    <row r="108" spans="1:10" ht="26.25" customHeight="1" x14ac:dyDescent="0.35">
      <c r="A108" s="16">
        <v>106</v>
      </c>
      <c r="B108" s="16" t="s">
        <v>938</v>
      </c>
      <c r="C108" s="16" t="s">
        <v>969</v>
      </c>
      <c r="D108" s="16" t="s">
        <v>11</v>
      </c>
      <c r="E108" s="16" t="s">
        <v>448</v>
      </c>
      <c r="F108" s="16" t="s">
        <v>15</v>
      </c>
      <c r="G108" s="16" t="s">
        <v>1002</v>
      </c>
      <c r="H108" s="16" t="s">
        <v>1002</v>
      </c>
      <c r="I108" s="16">
        <v>1</v>
      </c>
      <c r="J108" s="16">
        <v>0</v>
      </c>
    </row>
    <row r="109" spans="1:10" ht="15" customHeight="1" x14ac:dyDescent="0.35">
      <c r="A109" s="16">
        <v>107</v>
      </c>
      <c r="B109" s="16" t="s">
        <v>938</v>
      </c>
      <c r="C109" s="16" t="s">
        <v>967</v>
      </c>
      <c r="D109" s="16" t="s">
        <v>11</v>
      </c>
      <c r="E109" s="16" t="s">
        <v>448</v>
      </c>
      <c r="F109" s="16" t="s">
        <v>15</v>
      </c>
      <c r="G109" s="16" t="s">
        <v>1027</v>
      </c>
      <c r="H109" s="16" t="s">
        <v>1075</v>
      </c>
      <c r="I109" s="16">
        <v>1</v>
      </c>
      <c r="J109" s="16">
        <v>0</v>
      </c>
    </row>
    <row r="110" spans="1:10" ht="15" customHeight="1" x14ac:dyDescent="0.35">
      <c r="A110" s="16">
        <v>108</v>
      </c>
      <c r="B110" s="16" t="s">
        <v>938</v>
      </c>
      <c r="C110" s="16" t="s">
        <v>969</v>
      </c>
      <c r="D110" s="16" t="s">
        <v>11</v>
      </c>
      <c r="E110" s="16" t="s">
        <v>14</v>
      </c>
      <c r="F110" s="16" t="s">
        <v>15</v>
      </c>
      <c r="G110" s="16" t="s">
        <v>1000</v>
      </c>
      <c r="H110" s="16" t="s">
        <v>1104</v>
      </c>
      <c r="I110" s="16">
        <v>1</v>
      </c>
      <c r="J110" s="16">
        <v>1</v>
      </c>
    </row>
    <row r="111" spans="1:10" ht="15" customHeight="1" x14ac:dyDescent="0.35">
      <c r="A111" s="16">
        <v>109</v>
      </c>
      <c r="B111" s="16" t="s">
        <v>938</v>
      </c>
      <c r="C111" s="16" t="s">
        <v>971</v>
      </c>
      <c r="D111" s="16" t="s">
        <v>96</v>
      </c>
      <c r="E111" s="16" t="s">
        <v>14</v>
      </c>
      <c r="F111" s="16" t="s">
        <v>15</v>
      </c>
      <c r="G111" s="16" t="s">
        <v>1044</v>
      </c>
      <c r="H111" s="16" t="s">
        <v>1097</v>
      </c>
      <c r="I111" s="16">
        <v>1</v>
      </c>
      <c r="J111" s="16">
        <v>1</v>
      </c>
    </row>
    <row r="112" spans="1:10" ht="15" customHeight="1" x14ac:dyDescent="0.35">
      <c r="A112" s="16">
        <v>110</v>
      </c>
      <c r="B112" s="16" t="s">
        <v>938</v>
      </c>
      <c r="C112" s="16" t="s">
        <v>967</v>
      </c>
      <c r="D112" s="16" t="s">
        <v>96</v>
      </c>
      <c r="E112" s="16" t="s">
        <v>14</v>
      </c>
      <c r="F112" s="16" t="s">
        <v>15</v>
      </c>
      <c r="G112" s="16" t="s">
        <v>1036</v>
      </c>
      <c r="H112" s="16" t="s">
        <v>1101</v>
      </c>
      <c r="I112" s="16">
        <v>1</v>
      </c>
      <c r="J112" s="16">
        <v>1</v>
      </c>
    </row>
    <row r="113" spans="1:10" ht="15" customHeight="1" x14ac:dyDescent="0.35">
      <c r="A113" s="16">
        <v>111</v>
      </c>
      <c r="B113" s="16" t="s">
        <v>938</v>
      </c>
      <c r="C113" s="16" t="s">
        <v>967</v>
      </c>
      <c r="D113" s="16" t="s">
        <v>96</v>
      </c>
      <c r="E113" s="16" t="s">
        <v>14</v>
      </c>
      <c r="F113" s="16" t="s">
        <v>15</v>
      </c>
      <c r="G113" s="16" t="s">
        <v>1037</v>
      </c>
      <c r="H113" s="16" t="s">
        <v>1099</v>
      </c>
      <c r="I113" s="16">
        <v>1</v>
      </c>
      <c r="J113" s="16">
        <v>1</v>
      </c>
    </row>
    <row r="114" spans="1:10" ht="15" customHeight="1" x14ac:dyDescent="0.35">
      <c r="A114" s="16">
        <v>112</v>
      </c>
      <c r="B114" s="16" t="s">
        <v>938</v>
      </c>
      <c r="C114" s="16" t="s">
        <v>967</v>
      </c>
      <c r="D114" s="16" t="s">
        <v>96</v>
      </c>
      <c r="E114" s="16" t="s">
        <v>14</v>
      </c>
      <c r="F114" s="16" t="s">
        <v>15</v>
      </c>
      <c r="G114" s="16" t="s">
        <v>1040</v>
      </c>
      <c r="H114" s="16" t="s">
        <v>1076</v>
      </c>
      <c r="I114" s="16">
        <v>1</v>
      </c>
      <c r="J114" s="16">
        <v>1</v>
      </c>
    </row>
    <row r="115" spans="1:10" ht="15" customHeight="1" x14ac:dyDescent="0.35">
      <c r="A115" s="16">
        <v>113</v>
      </c>
      <c r="B115" s="16" t="s">
        <v>938</v>
      </c>
      <c r="C115" s="16" t="s">
        <v>970</v>
      </c>
      <c r="D115" s="16" t="s">
        <v>96</v>
      </c>
      <c r="E115" s="16" t="s">
        <v>14</v>
      </c>
      <c r="F115" s="16" t="s">
        <v>15</v>
      </c>
      <c r="G115" s="16" t="s">
        <v>1037</v>
      </c>
      <c r="H115" s="16" t="s">
        <v>1103</v>
      </c>
      <c r="I115" s="16">
        <v>1</v>
      </c>
      <c r="J115" s="16">
        <v>1</v>
      </c>
    </row>
    <row r="116" spans="1:10" ht="15" customHeight="1" x14ac:dyDescent="0.35">
      <c r="A116" s="16">
        <v>114</v>
      </c>
      <c r="B116" s="16" t="s">
        <v>938</v>
      </c>
      <c r="C116" s="16" t="s">
        <v>971</v>
      </c>
      <c r="D116" s="16" t="s">
        <v>96</v>
      </c>
      <c r="E116" s="16" t="s">
        <v>14</v>
      </c>
      <c r="F116" s="16" t="s">
        <v>15</v>
      </c>
      <c r="G116" s="16" t="s">
        <v>1037</v>
      </c>
      <c r="H116" s="16" t="s">
        <v>1099</v>
      </c>
      <c r="I116" s="16">
        <v>1</v>
      </c>
      <c r="J116" s="16">
        <v>1</v>
      </c>
    </row>
    <row r="117" spans="1:10" ht="15" customHeight="1" x14ac:dyDescent="0.35">
      <c r="A117" s="16">
        <v>115</v>
      </c>
      <c r="B117" s="16" t="s">
        <v>938</v>
      </c>
      <c r="C117" s="16" t="s">
        <v>967</v>
      </c>
      <c r="D117" s="16" t="s">
        <v>39</v>
      </c>
      <c r="E117" s="16" t="s">
        <v>14</v>
      </c>
      <c r="F117" s="16" t="s">
        <v>15</v>
      </c>
      <c r="G117" s="16" t="s">
        <v>1037</v>
      </c>
      <c r="H117" s="16" t="s">
        <v>1074</v>
      </c>
      <c r="I117" s="16">
        <v>1</v>
      </c>
      <c r="J117" s="16">
        <v>1</v>
      </c>
    </row>
    <row r="118" spans="1:10" ht="15" customHeight="1" x14ac:dyDescent="0.35">
      <c r="A118" s="16">
        <v>116</v>
      </c>
      <c r="B118" s="16" t="s">
        <v>938</v>
      </c>
      <c r="C118" s="16" t="s">
        <v>967</v>
      </c>
      <c r="D118" s="16" t="s">
        <v>39</v>
      </c>
      <c r="E118" s="16" t="s">
        <v>14</v>
      </c>
      <c r="F118" s="16" t="s">
        <v>15</v>
      </c>
      <c r="G118" s="16" t="s">
        <v>1010</v>
      </c>
      <c r="H118" s="16" t="s">
        <v>1076</v>
      </c>
      <c r="I118" s="16">
        <v>1</v>
      </c>
      <c r="J118" s="16">
        <v>1</v>
      </c>
    </row>
    <row r="119" spans="1:10" ht="26.25" customHeight="1" x14ac:dyDescent="0.35">
      <c r="A119" s="16">
        <v>117</v>
      </c>
      <c r="B119" s="16" t="s">
        <v>938</v>
      </c>
      <c r="C119" s="16" t="s">
        <v>969</v>
      </c>
      <c r="D119" s="16" t="s">
        <v>39</v>
      </c>
      <c r="E119" s="16" t="s">
        <v>14</v>
      </c>
      <c r="F119" s="16" t="s">
        <v>15</v>
      </c>
      <c r="G119" s="16" t="s">
        <v>1002</v>
      </c>
      <c r="H119" s="16" t="s">
        <v>1002</v>
      </c>
      <c r="I119" s="16">
        <v>1</v>
      </c>
      <c r="J119" s="16">
        <v>1</v>
      </c>
    </row>
    <row r="120" spans="1:10" ht="26.25" customHeight="1" x14ac:dyDescent="0.35">
      <c r="A120" s="16">
        <v>118</v>
      </c>
      <c r="B120" s="16" t="s">
        <v>938</v>
      </c>
      <c r="C120" s="16" t="s">
        <v>967</v>
      </c>
      <c r="D120" s="16" t="s">
        <v>39</v>
      </c>
      <c r="E120" s="16" t="s">
        <v>14</v>
      </c>
      <c r="F120" s="16" t="s">
        <v>15</v>
      </c>
      <c r="G120" s="16" t="s">
        <v>1002</v>
      </c>
      <c r="H120" s="16" t="s">
        <v>1098</v>
      </c>
      <c r="I120" s="16">
        <v>1</v>
      </c>
      <c r="J120" s="16">
        <v>1</v>
      </c>
    </row>
    <row r="121" spans="1:10" ht="15" customHeight="1" x14ac:dyDescent="0.35">
      <c r="A121" s="16">
        <v>119</v>
      </c>
      <c r="B121" s="16" t="s">
        <v>938</v>
      </c>
      <c r="C121" s="16" t="s">
        <v>972</v>
      </c>
      <c r="D121" s="16" t="s">
        <v>39</v>
      </c>
      <c r="E121" s="16" t="s">
        <v>14</v>
      </c>
      <c r="F121" s="16" t="s">
        <v>15</v>
      </c>
      <c r="G121" s="16" t="s">
        <v>1045</v>
      </c>
      <c r="H121" s="16" t="s">
        <v>1109</v>
      </c>
      <c r="I121" s="16">
        <v>1</v>
      </c>
      <c r="J121" s="16">
        <v>1</v>
      </c>
    </row>
    <row r="122" spans="1:10" ht="15" customHeight="1" x14ac:dyDescent="0.35">
      <c r="A122" s="16">
        <v>120</v>
      </c>
      <c r="B122" s="16" t="s">
        <v>938</v>
      </c>
      <c r="C122" s="16" t="s">
        <v>967</v>
      </c>
      <c r="D122" s="16" t="s">
        <v>65</v>
      </c>
      <c r="E122" s="16" t="s">
        <v>14</v>
      </c>
      <c r="F122" s="16" t="s">
        <v>15</v>
      </c>
      <c r="G122" s="16" t="s">
        <v>1035</v>
      </c>
      <c r="H122" s="16" t="s">
        <v>1077</v>
      </c>
      <c r="I122" s="16">
        <v>1</v>
      </c>
      <c r="J122" s="16">
        <v>1</v>
      </c>
    </row>
    <row r="123" spans="1:10" ht="26.25" customHeight="1" x14ac:dyDescent="0.35">
      <c r="A123" s="16">
        <v>121</v>
      </c>
      <c r="B123" s="16" t="s">
        <v>938</v>
      </c>
      <c r="C123" s="16" t="s">
        <v>967</v>
      </c>
      <c r="D123" s="16" t="s">
        <v>65</v>
      </c>
      <c r="E123" s="16" t="s">
        <v>14</v>
      </c>
      <c r="F123" s="16" t="s">
        <v>15</v>
      </c>
      <c r="G123" s="16" t="s">
        <v>1035</v>
      </c>
      <c r="H123" s="16" t="s">
        <v>1002</v>
      </c>
      <c r="I123" s="16">
        <v>1</v>
      </c>
      <c r="J123" s="16">
        <v>1</v>
      </c>
    </row>
    <row r="124" spans="1:10" ht="26.25" customHeight="1" x14ac:dyDescent="0.35">
      <c r="A124" s="16">
        <v>122</v>
      </c>
      <c r="B124" s="16" t="s">
        <v>938</v>
      </c>
      <c r="C124" s="16" t="s">
        <v>970</v>
      </c>
      <c r="D124" s="16" t="s">
        <v>65</v>
      </c>
      <c r="E124" s="16" t="s">
        <v>14</v>
      </c>
      <c r="F124" s="16" t="s">
        <v>15</v>
      </c>
      <c r="G124" s="16" t="s">
        <v>1037</v>
      </c>
      <c r="H124" s="16" t="s">
        <v>1002</v>
      </c>
      <c r="I124" s="16">
        <v>1</v>
      </c>
      <c r="J124" s="16">
        <v>1</v>
      </c>
    </row>
    <row r="125" spans="1:10" ht="15" customHeight="1" x14ac:dyDescent="0.35">
      <c r="A125" s="16">
        <v>123</v>
      </c>
      <c r="B125" s="16" t="s">
        <v>938</v>
      </c>
      <c r="C125" s="16" t="s">
        <v>967</v>
      </c>
      <c r="D125" s="16" t="s">
        <v>65</v>
      </c>
      <c r="E125" s="16" t="s">
        <v>14</v>
      </c>
      <c r="F125" s="16" t="s">
        <v>15</v>
      </c>
      <c r="G125" s="16" t="s">
        <v>1039</v>
      </c>
      <c r="H125" s="16" t="s">
        <v>1102</v>
      </c>
      <c r="I125" s="16">
        <v>1</v>
      </c>
      <c r="J125" s="16">
        <v>1</v>
      </c>
    </row>
    <row r="126" spans="1:10" ht="15" customHeight="1" x14ac:dyDescent="0.35">
      <c r="A126" s="16">
        <v>124</v>
      </c>
      <c r="B126" s="16" t="s">
        <v>938</v>
      </c>
      <c r="C126" s="16" t="s">
        <v>967</v>
      </c>
      <c r="D126" s="16" t="s">
        <v>65</v>
      </c>
      <c r="E126" s="16" t="s">
        <v>14</v>
      </c>
      <c r="F126" s="16" t="s">
        <v>15</v>
      </c>
      <c r="G126" s="16" t="s">
        <v>1014</v>
      </c>
      <c r="H126" s="16" t="s">
        <v>1087</v>
      </c>
      <c r="I126" s="16">
        <v>1</v>
      </c>
      <c r="J126" s="16">
        <v>1</v>
      </c>
    </row>
    <row r="127" spans="1:10" ht="26.25" customHeight="1" x14ac:dyDescent="0.35">
      <c r="A127" s="16">
        <v>125</v>
      </c>
      <c r="B127" s="16" t="s">
        <v>938</v>
      </c>
      <c r="C127" s="16" t="s">
        <v>967</v>
      </c>
      <c r="D127" s="16" t="s">
        <v>65</v>
      </c>
      <c r="E127" s="16" t="s">
        <v>14</v>
      </c>
      <c r="F127" s="16" t="s">
        <v>15</v>
      </c>
      <c r="G127" s="16" t="s">
        <v>1002</v>
      </c>
      <c r="H127" s="16" t="s">
        <v>1098</v>
      </c>
      <c r="I127" s="16">
        <v>1</v>
      </c>
      <c r="J127" s="16">
        <v>1</v>
      </c>
    </row>
    <row r="128" spans="1:10" ht="15" customHeight="1" x14ac:dyDescent="0.35">
      <c r="A128" s="16">
        <v>126</v>
      </c>
      <c r="B128" s="16" t="s">
        <v>938</v>
      </c>
      <c r="C128" s="16" t="s">
        <v>967</v>
      </c>
      <c r="D128" s="16" t="s">
        <v>65</v>
      </c>
      <c r="E128" s="16" t="s">
        <v>93</v>
      </c>
      <c r="F128" s="16" t="s">
        <v>15</v>
      </c>
      <c r="G128" s="16" t="s">
        <v>1038</v>
      </c>
      <c r="H128" s="16" t="s">
        <v>1076</v>
      </c>
      <c r="I128" s="16">
        <v>1</v>
      </c>
      <c r="J128" s="16">
        <v>1</v>
      </c>
    </row>
    <row r="129" spans="1:10" ht="15" customHeight="1" x14ac:dyDescent="0.35">
      <c r="A129" s="16">
        <v>127</v>
      </c>
      <c r="B129" s="16" t="s">
        <v>938</v>
      </c>
      <c r="C129" s="16" t="s">
        <v>967</v>
      </c>
      <c r="D129" s="16" t="s">
        <v>22</v>
      </c>
      <c r="E129" s="16" t="s">
        <v>535</v>
      </c>
      <c r="F129" s="16" t="s">
        <v>15</v>
      </c>
      <c r="G129" s="16" t="s">
        <v>1035</v>
      </c>
      <c r="H129" s="16" t="s">
        <v>1100</v>
      </c>
      <c r="I129" s="16">
        <v>1</v>
      </c>
      <c r="J129" s="16">
        <v>0</v>
      </c>
    </row>
    <row r="130" spans="1:10" ht="15" customHeight="1" x14ac:dyDescent="0.35">
      <c r="A130" s="16">
        <v>128</v>
      </c>
      <c r="B130" s="16" t="s">
        <v>938</v>
      </c>
      <c r="C130" s="16" t="s">
        <v>967</v>
      </c>
      <c r="D130" s="16" t="s">
        <v>22</v>
      </c>
      <c r="E130" s="16" t="s">
        <v>93</v>
      </c>
      <c r="F130" s="16" t="s">
        <v>15</v>
      </c>
      <c r="G130" s="16" t="s">
        <v>1036</v>
      </c>
      <c r="H130" s="16" t="s">
        <v>1098</v>
      </c>
      <c r="I130" s="16">
        <v>1</v>
      </c>
      <c r="J130" s="16">
        <v>1</v>
      </c>
    </row>
    <row r="131" spans="1:10" ht="15" customHeight="1" x14ac:dyDescent="0.35">
      <c r="A131" s="16">
        <v>128</v>
      </c>
      <c r="B131" s="16" t="s">
        <v>938</v>
      </c>
      <c r="C131" s="16" t="s">
        <v>967</v>
      </c>
      <c r="D131" s="16" t="s">
        <v>22</v>
      </c>
      <c r="E131" s="16" t="s">
        <v>14</v>
      </c>
      <c r="F131" s="16" t="s">
        <v>15</v>
      </c>
      <c r="G131" s="16" t="s">
        <v>1036</v>
      </c>
      <c r="H131" s="16" t="s">
        <v>1098</v>
      </c>
      <c r="I131" s="16">
        <v>0</v>
      </c>
      <c r="J131" s="16">
        <v>1</v>
      </c>
    </row>
    <row r="132" spans="1:10" ht="15" customHeight="1" x14ac:dyDescent="0.35">
      <c r="A132" s="16">
        <v>129</v>
      </c>
      <c r="B132" s="16" t="s">
        <v>938</v>
      </c>
      <c r="C132" s="16" t="s">
        <v>967</v>
      </c>
      <c r="D132" s="16" t="s">
        <v>65</v>
      </c>
      <c r="E132" s="16" t="s">
        <v>544</v>
      </c>
      <c r="F132" s="16" t="s">
        <v>15</v>
      </c>
      <c r="G132" s="16" t="s">
        <v>1009</v>
      </c>
      <c r="H132" s="16" t="s">
        <v>1075</v>
      </c>
      <c r="I132" s="16">
        <v>1</v>
      </c>
      <c r="J132" s="16">
        <v>0</v>
      </c>
    </row>
    <row r="133" spans="1:10" ht="15" customHeight="1" x14ac:dyDescent="0.35">
      <c r="A133" s="16">
        <v>130</v>
      </c>
      <c r="B133" s="16" t="s">
        <v>938</v>
      </c>
      <c r="C133" s="16" t="s">
        <v>970</v>
      </c>
      <c r="D133" s="16" t="s">
        <v>65</v>
      </c>
      <c r="E133" s="16" t="s">
        <v>14</v>
      </c>
      <c r="F133" s="16" t="s">
        <v>15</v>
      </c>
      <c r="G133" s="16" t="s">
        <v>1037</v>
      </c>
      <c r="H133" s="16" t="s">
        <v>1074</v>
      </c>
      <c r="I133" s="16">
        <v>1</v>
      </c>
      <c r="J133" s="16">
        <v>1</v>
      </c>
    </row>
    <row r="134" spans="1:10" ht="15" customHeight="1" x14ac:dyDescent="0.35">
      <c r="A134" s="16">
        <v>131</v>
      </c>
      <c r="B134" s="16" t="s">
        <v>938</v>
      </c>
      <c r="C134" s="16" t="s">
        <v>968</v>
      </c>
      <c r="D134" s="16" t="s">
        <v>65</v>
      </c>
      <c r="E134" s="16" t="s">
        <v>14</v>
      </c>
      <c r="F134" s="16" t="s">
        <v>15</v>
      </c>
      <c r="G134" s="16" t="s">
        <v>1039</v>
      </c>
      <c r="H134" s="16" t="s">
        <v>1098</v>
      </c>
      <c r="I134" s="16">
        <v>1</v>
      </c>
      <c r="J134" s="16">
        <v>1</v>
      </c>
    </row>
    <row r="135" spans="1:10" ht="15" customHeight="1" x14ac:dyDescent="0.35">
      <c r="A135" s="16">
        <v>132</v>
      </c>
      <c r="B135" s="16" t="s">
        <v>938</v>
      </c>
      <c r="C135" s="16" t="s">
        <v>968</v>
      </c>
      <c r="D135" s="16" t="s">
        <v>65</v>
      </c>
      <c r="E135" s="16" t="s">
        <v>14</v>
      </c>
      <c r="F135" s="16" t="s">
        <v>15</v>
      </c>
      <c r="G135" s="16" t="s">
        <v>1035</v>
      </c>
      <c r="H135" s="16" t="s">
        <v>1107</v>
      </c>
      <c r="I135" s="16">
        <v>1</v>
      </c>
      <c r="J135" s="16">
        <v>1</v>
      </c>
    </row>
    <row r="136" spans="1:10" ht="15" customHeight="1" x14ac:dyDescent="0.35">
      <c r="A136" s="16">
        <v>133</v>
      </c>
      <c r="B136" s="16" t="s">
        <v>938</v>
      </c>
      <c r="C136" s="16" t="s">
        <v>968</v>
      </c>
      <c r="D136" s="16" t="s">
        <v>65</v>
      </c>
      <c r="E136" s="16" t="s">
        <v>14</v>
      </c>
      <c r="F136" s="16" t="s">
        <v>42</v>
      </c>
      <c r="G136" s="16" t="s">
        <v>1043</v>
      </c>
      <c r="H136" s="16" t="s">
        <v>1106</v>
      </c>
      <c r="I136" s="16">
        <v>1</v>
      </c>
      <c r="J136" s="16">
        <v>1</v>
      </c>
    </row>
    <row r="137" spans="1:10" ht="15" customHeight="1" x14ac:dyDescent="0.35">
      <c r="A137" s="16">
        <v>134</v>
      </c>
      <c r="B137" s="16" t="s">
        <v>938</v>
      </c>
      <c r="C137" s="16" t="s">
        <v>968</v>
      </c>
      <c r="D137" s="16" t="s">
        <v>65</v>
      </c>
      <c r="E137" s="16" t="s">
        <v>14</v>
      </c>
      <c r="F137" s="16" t="s">
        <v>42</v>
      </c>
      <c r="G137" s="16" t="s">
        <v>1042</v>
      </c>
      <c r="H137" s="16" t="s">
        <v>1105</v>
      </c>
      <c r="I137" s="16">
        <v>1</v>
      </c>
      <c r="J137" s="16">
        <v>1</v>
      </c>
    </row>
    <row r="138" spans="1:10" ht="15" customHeight="1" x14ac:dyDescent="0.35">
      <c r="A138" s="16">
        <v>135</v>
      </c>
      <c r="B138" s="16" t="s">
        <v>938</v>
      </c>
      <c r="C138" s="16" t="s">
        <v>968</v>
      </c>
      <c r="D138" s="16" t="s">
        <v>96</v>
      </c>
      <c r="E138" s="16" t="s">
        <v>93</v>
      </c>
      <c r="F138" s="16" t="s">
        <v>42</v>
      </c>
      <c r="G138" s="16" t="s">
        <v>1041</v>
      </c>
      <c r="H138" s="16" t="s">
        <v>1108</v>
      </c>
      <c r="I138" s="16">
        <v>1</v>
      </c>
      <c r="J138" s="16">
        <v>1</v>
      </c>
    </row>
    <row r="139" spans="1:10" ht="26.25" customHeight="1" x14ac:dyDescent="0.35">
      <c r="A139" s="16">
        <v>136</v>
      </c>
      <c r="B139" s="16" t="s">
        <v>939</v>
      </c>
      <c r="C139" s="16" t="s">
        <v>976</v>
      </c>
      <c r="D139" s="16" t="s">
        <v>65</v>
      </c>
      <c r="E139" s="16" t="s">
        <v>14</v>
      </c>
      <c r="F139" s="16" t="s">
        <v>15</v>
      </c>
      <c r="G139" s="16" t="s">
        <v>1037</v>
      </c>
      <c r="H139" s="16" t="s">
        <v>1110</v>
      </c>
      <c r="I139" s="16">
        <v>1</v>
      </c>
      <c r="J139" s="16">
        <v>1</v>
      </c>
    </row>
    <row r="140" spans="1:10" ht="26.25" customHeight="1" x14ac:dyDescent="0.35">
      <c r="A140" s="16">
        <v>137</v>
      </c>
      <c r="B140" s="16" t="s">
        <v>939</v>
      </c>
      <c r="C140" s="16" t="s">
        <v>976</v>
      </c>
      <c r="D140" s="16" t="s">
        <v>11</v>
      </c>
      <c r="E140" s="16" t="s">
        <v>448</v>
      </c>
      <c r="F140" s="16" t="s">
        <v>15</v>
      </c>
      <c r="G140" s="16" t="s">
        <v>1037</v>
      </c>
      <c r="H140" s="16" t="s">
        <v>1110</v>
      </c>
      <c r="I140" s="16">
        <v>1</v>
      </c>
      <c r="J140" s="16">
        <v>0</v>
      </c>
    </row>
    <row r="141" spans="1:10" ht="26.25" customHeight="1" x14ac:dyDescent="0.35">
      <c r="A141" s="16">
        <v>138</v>
      </c>
      <c r="B141" s="16" t="s">
        <v>939</v>
      </c>
      <c r="C141" s="16" t="s">
        <v>976</v>
      </c>
      <c r="D141" s="16" t="s">
        <v>96</v>
      </c>
      <c r="E141" s="16" t="s">
        <v>14</v>
      </c>
      <c r="F141" s="16" t="s">
        <v>15</v>
      </c>
      <c r="G141" s="16" t="s">
        <v>1037</v>
      </c>
      <c r="H141" s="16" t="s">
        <v>1099</v>
      </c>
      <c r="I141" s="16">
        <v>1</v>
      </c>
      <c r="J141" s="16">
        <v>1</v>
      </c>
    </row>
    <row r="142" spans="1:10" ht="26.25" customHeight="1" x14ac:dyDescent="0.35">
      <c r="A142" s="16">
        <v>139</v>
      </c>
      <c r="B142" s="16" t="s">
        <v>939</v>
      </c>
      <c r="C142" s="16" t="s">
        <v>976</v>
      </c>
      <c r="D142" s="16" t="s">
        <v>39</v>
      </c>
      <c r="E142" s="16" t="s">
        <v>14</v>
      </c>
      <c r="F142" s="16" t="s">
        <v>15</v>
      </c>
      <c r="G142" s="16" t="s">
        <v>1037</v>
      </c>
      <c r="H142" s="16" t="s">
        <v>1110</v>
      </c>
      <c r="I142" s="16">
        <v>1</v>
      </c>
      <c r="J142" s="16">
        <v>1</v>
      </c>
    </row>
    <row r="143" spans="1:10" ht="26.25" customHeight="1" x14ac:dyDescent="0.35">
      <c r="A143" s="16">
        <v>140</v>
      </c>
      <c r="B143" s="16" t="s">
        <v>939</v>
      </c>
      <c r="C143" s="16" t="s">
        <v>976</v>
      </c>
      <c r="D143" s="16" t="s">
        <v>39</v>
      </c>
      <c r="E143" s="16" t="s">
        <v>14</v>
      </c>
      <c r="F143" s="16" t="s">
        <v>15</v>
      </c>
      <c r="G143" s="16" t="s">
        <v>1037</v>
      </c>
      <c r="H143" s="16" t="s">
        <v>1074</v>
      </c>
      <c r="I143" s="16">
        <v>1</v>
      </c>
      <c r="J143" s="16">
        <v>1</v>
      </c>
    </row>
    <row r="144" spans="1:10" ht="26.25" customHeight="1" x14ac:dyDescent="0.35">
      <c r="A144" s="16">
        <v>141</v>
      </c>
      <c r="B144" s="16" t="s">
        <v>939</v>
      </c>
      <c r="C144" s="16" t="s">
        <v>976</v>
      </c>
      <c r="D144" s="16" t="s">
        <v>39</v>
      </c>
      <c r="E144" s="16" t="s">
        <v>14</v>
      </c>
      <c r="F144" s="16" t="s">
        <v>103</v>
      </c>
      <c r="G144" s="16" t="s">
        <v>1037</v>
      </c>
      <c r="H144" s="16" t="s">
        <v>1074</v>
      </c>
      <c r="I144" s="16">
        <v>1</v>
      </c>
      <c r="J144" s="16">
        <v>1</v>
      </c>
    </row>
    <row r="145" spans="1:10" ht="26.25" customHeight="1" x14ac:dyDescent="0.35">
      <c r="A145" s="16">
        <v>142</v>
      </c>
      <c r="B145" s="16" t="s">
        <v>939</v>
      </c>
      <c r="C145" s="16" t="s">
        <v>976</v>
      </c>
      <c r="D145" s="16" t="s">
        <v>65</v>
      </c>
      <c r="E145" s="16" t="s">
        <v>14</v>
      </c>
      <c r="F145" s="16" t="s">
        <v>103</v>
      </c>
      <c r="G145" s="16" t="s">
        <v>1037</v>
      </c>
      <c r="H145" s="16" t="s">
        <v>1110</v>
      </c>
      <c r="I145" s="16">
        <v>1</v>
      </c>
      <c r="J145" s="16">
        <v>1</v>
      </c>
    </row>
    <row r="146" spans="1:10" ht="26.25" customHeight="1" x14ac:dyDescent="0.35">
      <c r="A146" s="16">
        <v>143</v>
      </c>
      <c r="B146" s="16" t="s">
        <v>939</v>
      </c>
      <c r="C146" s="16" t="s">
        <v>976</v>
      </c>
      <c r="D146" s="16" t="s">
        <v>96</v>
      </c>
      <c r="E146" s="16" t="s">
        <v>601</v>
      </c>
      <c r="F146" s="16" t="s">
        <v>15</v>
      </c>
      <c r="G146" s="16" t="s">
        <v>1047</v>
      </c>
      <c r="H146" s="16" t="s">
        <v>1112</v>
      </c>
      <c r="I146" s="16">
        <v>1</v>
      </c>
      <c r="J146" s="16">
        <v>0</v>
      </c>
    </row>
    <row r="147" spans="1:10" ht="26.25" customHeight="1" x14ac:dyDescent="0.35">
      <c r="A147" s="16">
        <v>144</v>
      </c>
      <c r="B147" s="16" t="s">
        <v>939</v>
      </c>
      <c r="C147" s="16" t="s">
        <v>976</v>
      </c>
      <c r="D147" s="16" t="s">
        <v>39</v>
      </c>
      <c r="E147" s="16" t="s">
        <v>255</v>
      </c>
      <c r="F147" s="16" t="s">
        <v>15</v>
      </c>
      <c r="G147" s="16" t="s">
        <v>1037</v>
      </c>
      <c r="H147" s="16" t="s">
        <v>1074</v>
      </c>
      <c r="I147" s="16">
        <v>1</v>
      </c>
      <c r="J147" s="16">
        <v>0</v>
      </c>
    </row>
    <row r="148" spans="1:10" ht="26.25" customHeight="1" x14ac:dyDescent="0.35">
      <c r="A148" s="16">
        <v>145</v>
      </c>
      <c r="B148" s="16" t="s">
        <v>939</v>
      </c>
      <c r="C148" s="16" t="s">
        <v>977</v>
      </c>
      <c r="D148" s="16" t="s">
        <v>39</v>
      </c>
      <c r="E148" s="16" t="s">
        <v>342</v>
      </c>
      <c r="F148" s="16" t="s">
        <v>15</v>
      </c>
      <c r="G148" s="16" t="s">
        <v>1046</v>
      </c>
      <c r="H148" s="16" t="s">
        <v>1002</v>
      </c>
      <c r="I148" s="16">
        <v>1</v>
      </c>
      <c r="J148" s="16">
        <v>0</v>
      </c>
    </row>
    <row r="149" spans="1:10" ht="15" customHeight="1" x14ac:dyDescent="0.35">
      <c r="A149" s="16">
        <v>146</v>
      </c>
      <c r="B149" s="16" t="s">
        <v>939</v>
      </c>
      <c r="C149" s="16" t="s">
        <v>980</v>
      </c>
      <c r="D149" s="16" t="s">
        <v>96</v>
      </c>
      <c r="E149" s="16" t="s">
        <v>14</v>
      </c>
      <c r="F149" s="16" t="s">
        <v>15</v>
      </c>
      <c r="G149" s="16" t="s">
        <v>1037</v>
      </c>
      <c r="H149" s="16" t="s">
        <v>1075</v>
      </c>
      <c r="I149" s="16">
        <v>1</v>
      </c>
      <c r="J149" s="16">
        <v>1</v>
      </c>
    </row>
    <row r="150" spans="1:10" ht="15" customHeight="1" x14ac:dyDescent="0.35">
      <c r="A150" s="16">
        <v>147</v>
      </c>
      <c r="B150" s="16" t="s">
        <v>939</v>
      </c>
      <c r="C150" s="16" t="s">
        <v>981</v>
      </c>
      <c r="D150" s="16" t="s">
        <v>39</v>
      </c>
      <c r="E150" s="16" t="s">
        <v>14</v>
      </c>
      <c r="F150" s="16" t="s">
        <v>15</v>
      </c>
      <c r="G150" s="16" t="s">
        <v>1037</v>
      </c>
      <c r="H150" s="16" t="s">
        <v>1074</v>
      </c>
      <c r="I150" s="16">
        <v>1</v>
      </c>
      <c r="J150" s="16">
        <v>1</v>
      </c>
    </row>
    <row r="151" spans="1:10" ht="15" customHeight="1" x14ac:dyDescent="0.35">
      <c r="A151" s="16">
        <v>148</v>
      </c>
      <c r="B151" s="16" t="s">
        <v>939</v>
      </c>
      <c r="C151" s="16" t="s">
        <v>980</v>
      </c>
      <c r="D151" s="16" t="s">
        <v>39</v>
      </c>
      <c r="E151" s="16" t="s">
        <v>14</v>
      </c>
      <c r="F151" s="16" t="s">
        <v>42</v>
      </c>
      <c r="G151" s="16" t="s">
        <v>1037</v>
      </c>
      <c r="H151" s="16" t="s">
        <v>1074</v>
      </c>
      <c r="I151" s="16">
        <v>1</v>
      </c>
      <c r="J151" s="16">
        <v>1</v>
      </c>
    </row>
    <row r="152" spans="1:10" ht="15" customHeight="1" x14ac:dyDescent="0.35">
      <c r="A152" s="16">
        <v>149</v>
      </c>
      <c r="B152" s="16" t="s">
        <v>939</v>
      </c>
      <c r="C152" s="16" t="s">
        <v>980</v>
      </c>
      <c r="D152" s="16" t="s">
        <v>65</v>
      </c>
      <c r="E152" s="16" t="s">
        <v>14</v>
      </c>
      <c r="F152" s="16" t="s">
        <v>15</v>
      </c>
      <c r="G152" s="16" t="s">
        <v>1037</v>
      </c>
      <c r="H152" s="16" t="s">
        <v>1110</v>
      </c>
      <c r="I152" s="16">
        <v>1</v>
      </c>
      <c r="J152" s="16">
        <v>1</v>
      </c>
    </row>
    <row r="153" spans="1:10" ht="15" customHeight="1" x14ac:dyDescent="0.35">
      <c r="A153" s="16">
        <v>150</v>
      </c>
      <c r="B153" s="16" t="s">
        <v>939</v>
      </c>
      <c r="C153" s="16" t="s">
        <v>982</v>
      </c>
      <c r="D153" s="16" t="s">
        <v>22</v>
      </c>
      <c r="E153" s="16" t="s">
        <v>14</v>
      </c>
      <c r="F153" s="16" t="s">
        <v>103</v>
      </c>
      <c r="G153" s="16" t="s">
        <v>1037</v>
      </c>
      <c r="H153" s="16" t="s">
        <v>1110</v>
      </c>
      <c r="I153" s="16">
        <v>1</v>
      </c>
      <c r="J153" s="16">
        <v>1</v>
      </c>
    </row>
    <row r="154" spans="1:10" ht="15" customHeight="1" x14ac:dyDescent="0.35">
      <c r="A154" s="16">
        <v>151</v>
      </c>
      <c r="B154" s="16" t="s">
        <v>939</v>
      </c>
      <c r="C154" s="16" t="s">
        <v>983</v>
      </c>
      <c r="D154" s="16" t="s">
        <v>39</v>
      </c>
      <c r="E154" s="16" t="s">
        <v>14</v>
      </c>
      <c r="F154" s="16" t="s">
        <v>42</v>
      </c>
      <c r="G154" s="16" t="s">
        <v>1037</v>
      </c>
      <c r="H154" s="16" t="s">
        <v>1074</v>
      </c>
      <c r="I154" s="16">
        <v>1</v>
      </c>
      <c r="J154" s="16">
        <v>1</v>
      </c>
    </row>
    <row r="155" spans="1:10" ht="15" customHeight="1" x14ac:dyDescent="0.35">
      <c r="A155" s="16">
        <v>152</v>
      </c>
      <c r="B155" s="16" t="s">
        <v>939</v>
      </c>
      <c r="C155" s="16" t="s">
        <v>984</v>
      </c>
      <c r="D155" s="16" t="s">
        <v>11</v>
      </c>
      <c r="E155" s="16" t="s">
        <v>14</v>
      </c>
      <c r="F155" s="16" t="s">
        <v>15</v>
      </c>
      <c r="G155" s="16" t="s">
        <v>1037</v>
      </c>
      <c r="H155" s="16" t="s">
        <v>1099</v>
      </c>
      <c r="I155" s="16">
        <v>1</v>
      </c>
      <c r="J155" s="16">
        <v>1</v>
      </c>
    </row>
    <row r="156" spans="1:10" ht="15" customHeight="1" x14ac:dyDescent="0.35">
      <c r="A156" s="16">
        <v>153</v>
      </c>
      <c r="B156" s="16" t="s">
        <v>939</v>
      </c>
      <c r="C156" s="16" t="s">
        <v>978</v>
      </c>
      <c r="D156" s="16" t="s">
        <v>65</v>
      </c>
      <c r="E156" s="16" t="s">
        <v>14</v>
      </c>
      <c r="F156" s="16" t="s">
        <v>103</v>
      </c>
      <c r="G156" s="16" t="s">
        <v>1037</v>
      </c>
      <c r="H156" s="16" t="s">
        <v>1110</v>
      </c>
      <c r="I156" s="16">
        <v>1</v>
      </c>
      <c r="J156" s="16">
        <v>1</v>
      </c>
    </row>
    <row r="157" spans="1:10" ht="15" customHeight="1" x14ac:dyDescent="0.35">
      <c r="A157" s="16">
        <v>154</v>
      </c>
      <c r="B157" s="16" t="s">
        <v>939</v>
      </c>
      <c r="C157" s="16" t="s">
        <v>978</v>
      </c>
      <c r="D157" s="16" t="s">
        <v>96</v>
      </c>
      <c r="E157" s="16" t="s">
        <v>14</v>
      </c>
      <c r="F157" s="16" t="s">
        <v>15</v>
      </c>
      <c r="G157" s="16" t="s">
        <v>1037</v>
      </c>
      <c r="H157" s="16" t="s">
        <v>1099</v>
      </c>
      <c r="I157" s="16">
        <v>1</v>
      </c>
      <c r="J157" s="16">
        <v>1</v>
      </c>
    </row>
    <row r="158" spans="1:10" ht="15" customHeight="1" x14ac:dyDescent="0.35">
      <c r="A158" s="16">
        <v>155</v>
      </c>
      <c r="B158" s="16" t="s">
        <v>939</v>
      </c>
      <c r="C158" s="16" t="s">
        <v>978</v>
      </c>
      <c r="D158" s="16" t="s">
        <v>96</v>
      </c>
      <c r="E158" s="16" t="s">
        <v>14</v>
      </c>
      <c r="F158" s="16" t="s">
        <v>15</v>
      </c>
      <c r="G158" s="16" t="s">
        <v>1037</v>
      </c>
      <c r="H158" s="16" t="s">
        <v>1099</v>
      </c>
      <c r="I158" s="16">
        <v>1</v>
      </c>
      <c r="J158" s="16">
        <v>1</v>
      </c>
    </row>
    <row r="159" spans="1:10" ht="15" customHeight="1" x14ac:dyDescent="0.35">
      <c r="A159" s="16">
        <v>156</v>
      </c>
      <c r="B159" s="16" t="s">
        <v>939</v>
      </c>
      <c r="C159" s="16" t="s">
        <v>978</v>
      </c>
      <c r="D159" s="16" t="s">
        <v>22</v>
      </c>
      <c r="E159" s="16" t="s">
        <v>14</v>
      </c>
      <c r="F159" s="16" t="s">
        <v>15</v>
      </c>
      <c r="G159" s="16" t="s">
        <v>1050</v>
      </c>
      <c r="H159" s="16" t="s">
        <v>1075</v>
      </c>
      <c r="I159" s="16">
        <v>1</v>
      </c>
      <c r="J159" s="16">
        <v>1</v>
      </c>
    </row>
    <row r="160" spans="1:10" ht="15" customHeight="1" x14ac:dyDescent="0.35">
      <c r="A160" s="16">
        <v>157</v>
      </c>
      <c r="B160" s="16" t="s">
        <v>939</v>
      </c>
      <c r="C160" s="16" t="s">
        <v>978</v>
      </c>
      <c r="D160" s="16" t="s">
        <v>22</v>
      </c>
      <c r="E160" s="16" t="s">
        <v>14</v>
      </c>
      <c r="F160" s="16" t="s">
        <v>42</v>
      </c>
      <c r="G160" s="16" t="s">
        <v>1037</v>
      </c>
      <c r="H160" s="16" t="s">
        <v>1099</v>
      </c>
      <c r="I160" s="16">
        <v>1</v>
      </c>
      <c r="J160" s="16">
        <v>1</v>
      </c>
    </row>
    <row r="161" spans="1:10" ht="15" customHeight="1" x14ac:dyDescent="0.35">
      <c r="A161" s="16">
        <v>158</v>
      </c>
      <c r="B161" s="16" t="s">
        <v>939</v>
      </c>
      <c r="C161" s="16" t="s">
        <v>978</v>
      </c>
      <c r="D161" s="16" t="s">
        <v>65</v>
      </c>
      <c r="E161" s="16" t="s">
        <v>14</v>
      </c>
      <c r="F161" s="16" t="s">
        <v>15</v>
      </c>
      <c r="G161" s="16" t="s">
        <v>1048</v>
      </c>
      <c r="H161" s="16" t="s">
        <v>1074</v>
      </c>
      <c r="I161" s="16">
        <v>1</v>
      </c>
      <c r="J161" s="16">
        <v>1</v>
      </c>
    </row>
    <row r="162" spans="1:10" ht="26.25" customHeight="1" x14ac:dyDescent="0.35">
      <c r="A162" s="16">
        <v>159</v>
      </c>
      <c r="B162" s="16" t="s">
        <v>939</v>
      </c>
      <c r="C162" s="16" t="s">
        <v>978</v>
      </c>
      <c r="D162" s="16" t="s">
        <v>65</v>
      </c>
      <c r="E162" s="16" t="s">
        <v>93</v>
      </c>
      <c r="F162" s="16" t="s">
        <v>15</v>
      </c>
      <c r="G162" s="16" t="s">
        <v>1049</v>
      </c>
      <c r="H162" s="16" t="s">
        <v>1002</v>
      </c>
      <c r="I162" s="16">
        <v>1</v>
      </c>
      <c r="J162" s="16">
        <v>1</v>
      </c>
    </row>
    <row r="163" spans="1:10" ht="26.25" customHeight="1" x14ac:dyDescent="0.35">
      <c r="A163" s="16">
        <v>160</v>
      </c>
      <c r="B163" s="16" t="s">
        <v>939</v>
      </c>
      <c r="C163" s="16" t="s">
        <v>985</v>
      </c>
      <c r="D163" s="16" t="s">
        <v>22</v>
      </c>
      <c r="E163" s="16" t="s">
        <v>14</v>
      </c>
      <c r="F163" s="16" t="s">
        <v>15</v>
      </c>
      <c r="G163" s="16" t="s">
        <v>1002</v>
      </c>
      <c r="H163" s="16" t="s">
        <v>1002</v>
      </c>
      <c r="I163" s="16">
        <v>1</v>
      </c>
      <c r="J163" s="16">
        <v>1</v>
      </c>
    </row>
    <row r="164" spans="1:10" ht="15" customHeight="1" x14ac:dyDescent="0.35">
      <c r="A164" s="16">
        <v>161</v>
      </c>
      <c r="B164" s="16" t="s">
        <v>939</v>
      </c>
      <c r="C164" s="16" t="s">
        <v>674</v>
      </c>
      <c r="D164" s="16" t="s">
        <v>11</v>
      </c>
      <c r="E164" s="16" t="s">
        <v>14</v>
      </c>
      <c r="F164" s="16" t="s">
        <v>15</v>
      </c>
      <c r="G164" s="16" t="s">
        <v>1037</v>
      </c>
      <c r="H164" s="16" t="s">
        <v>1099</v>
      </c>
      <c r="I164" s="16">
        <v>1</v>
      </c>
      <c r="J164" s="16">
        <v>1</v>
      </c>
    </row>
    <row r="165" spans="1:10" ht="15" customHeight="1" x14ac:dyDescent="0.35">
      <c r="A165" s="16">
        <v>162</v>
      </c>
      <c r="B165" s="16" t="s">
        <v>939</v>
      </c>
      <c r="C165" s="16" t="s">
        <v>674</v>
      </c>
      <c r="D165" s="16" t="s">
        <v>96</v>
      </c>
      <c r="E165" s="16" t="s">
        <v>14</v>
      </c>
      <c r="F165" s="16" t="s">
        <v>15</v>
      </c>
      <c r="G165" s="16" t="s">
        <v>1037</v>
      </c>
      <c r="H165" s="16" t="s">
        <v>1104</v>
      </c>
      <c r="I165" s="16">
        <v>1</v>
      </c>
      <c r="J165" s="16">
        <v>1</v>
      </c>
    </row>
    <row r="166" spans="1:10" ht="26.25" customHeight="1" x14ac:dyDescent="0.35">
      <c r="A166" s="16">
        <v>163</v>
      </c>
      <c r="B166" s="16" t="s">
        <v>939</v>
      </c>
      <c r="C166" s="16" t="s">
        <v>979</v>
      </c>
      <c r="D166" s="16" t="s">
        <v>39</v>
      </c>
      <c r="E166" s="16" t="s">
        <v>14</v>
      </c>
      <c r="F166" s="16" t="s">
        <v>15</v>
      </c>
      <c r="G166" s="16" t="s">
        <v>1002</v>
      </c>
      <c r="H166" s="16" t="s">
        <v>1098</v>
      </c>
      <c r="I166" s="16">
        <v>1</v>
      </c>
      <c r="J166" s="16">
        <v>1</v>
      </c>
    </row>
    <row r="167" spans="1:10" ht="15" customHeight="1" x14ac:dyDescent="0.35">
      <c r="A167" s="16">
        <v>164</v>
      </c>
      <c r="B167" s="16" t="s">
        <v>939</v>
      </c>
      <c r="C167" s="16" t="s">
        <v>979</v>
      </c>
      <c r="D167" s="16" t="s">
        <v>39</v>
      </c>
      <c r="E167" s="16" t="s">
        <v>14</v>
      </c>
      <c r="F167" s="16" t="s">
        <v>15</v>
      </c>
      <c r="G167" s="16" t="s">
        <v>1051</v>
      </c>
      <c r="H167" s="16" t="s">
        <v>1113</v>
      </c>
      <c r="I167" s="16">
        <v>1</v>
      </c>
      <c r="J167" s="16">
        <v>1</v>
      </c>
    </row>
    <row r="168" spans="1:10" ht="15" customHeight="1" x14ac:dyDescent="0.35">
      <c r="A168" s="16">
        <v>165</v>
      </c>
      <c r="B168" s="16" t="s">
        <v>939</v>
      </c>
      <c r="C168" s="16" t="s">
        <v>979</v>
      </c>
      <c r="D168" s="16" t="s">
        <v>65</v>
      </c>
      <c r="E168" s="16" t="s">
        <v>14</v>
      </c>
      <c r="F168" s="16" t="s">
        <v>42</v>
      </c>
      <c r="G168" s="16" t="s">
        <v>1037</v>
      </c>
      <c r="H168" s="16" t="s">
        <v>1074</v>
      </c>
      <c r="I168" s="16">
        <v>1</v>
      </c>
      <c r="J168" s="16">
        <v>1</v>
      </c>
    </row>
    <row r="169" spans="1:10" ht="15" customHeight="1" x14ac:dyDescent="0.35">
      <c r="A169" s="16">
        <v>166</v>
      </c>
      <c r="B169" s="16" t="s">
        <v>939</v>
      </c>
      <c r="C169" s="16" t="s">
        <v>979</v>
      </c>
      <c r="D169" s="16" t="s">
        <v>39</v>
      </c>
      <c r="E169" s="16" t="s">
        <v>255</v>
      </c>
      <c r="F169" s="16" t="s">
        <v>103</v>
      </c>
      <c r="G169" s="16" t="s">
        <v>1037</v>
      </c>
      <c r="H169" s="16" t="s">
        <v>1074</v>
      </c>
      <c r="I169" s="16">
        <v>1</v>
      </c>
      <c r="J169" s="16">
        <v>0</v>
      </c>
    </row>
    <row r="170" spans="1:10" ht="15" customHeight="1" x14ac:dyDescent="0.35">
      <c r="A170" s="16">
        <v>167</v>
      </c>
      <c r="B170" s="16" t="s">
        <v>939</v>
      </c>
      <c r="C170" s="16" t="s">
        <v>977</v>
      </c>
      <c r="D170" s="16" t="s">
        <v>22</v>
      </c>
      <c r="E170" s="16" t="s">
        <v>14</v>
      </c>
      <c r="F170" s="16" t="s">
        <v>15</v>
      </c>
      <c r="G170" s="16" t="s">
        <v>1000</v>
      </c>
      <c r="H170" s="16" t="s">
        <v>1075</v>
      </c>
      <c r="I170" s="16">
        <v>1</v>
      </c>
      <c r="J170" s="16">
        <v>1</v>
      </c>
    </row>
    <row r="171" spans="1:10" ht="15" customHeight="1" x14ac:dyDescent="0.35">
      <c r="A171" s="16">
        <v>168</v>
      </c>
      <c r="B171" s="16" t="s">
        <v>939</v>
      </c>
      <c r="C171" s="16" t="s">
        <v>977</v>
      </c>
      <c r="D171" s="16" t="s">
        <v>39</v>
      </c>
      <c r="E171" s="16" t="s">
        <v>14</v>
      </c>
      <c r="F171" s="16" t="s">
        <v>15</v>
      </c>
      <c r="G171" s="16" t="s">
        <v>1037</v>
      </c>
      <c r="H171" s="16" t="s">
        <v>1074</v>
      </c>
      <c r="I171" s="16">
        <v>1</v>
      </c>
      <c r="J171" s="16">
        <v>1</v>
      </c>
    </row>
    <row r="172" spans="1:10" ht="15" customHeight="1" x14ac:dyDescent="0.35">
      <c r="A172" s="16">
        <v>169</v>
      </c>
      <c r="B172" s="16" t="s">
        <v>939</v>
      </c>
      <c r="C172" s="16" t="s">
        <v>977</v>
      </c>
      <c r="D172" s="16" t="s">
        <v>39</v>
      </c>
      <c r="E172" s="16" t="s">
        <v>14</v>
      </c>
      <c r="F172" s="16" t="s">
        <v>15</v>
      </c>
      <c r="G172" s="16" t="s">
        <v>1037</v>
      </c>
      <c r="H172" s="16" t="s">
        <v>1074</v>
      </c>
      <c r="I172" s="16">
        <v>1</v>
      </c>
      <c r="J172" s="16">
        <v>1</v>
      </c>
    </row>
    <row r="173" spans="1:10" ht="15" customHeight="1" x14ac:dyDescent="0.35">
      <c r="A173" s="16">
        <v>170</v>
      </c>
      <c r="B173" s="16" t="s">
        <v>939</v>
      </c>
      <c r="C173" s="16" t="s">
        <v>977</v>
      </c>
      <c r="D173" s="16" t="s">
        <v>39</v>
      </c>
      <c r="E173" s="16" t="s">
        <v>88</v>
      </c>
      <c r="F173" s="16" t="s">
        <v>103</v>
      </c>
      <c r="G173" s="16" t="s">
        <v>1037</v>
      </c>
      <c r="H173" s="16" t="s">
        <v>1104</v>
      </c>
      <c r="I173" s="16">
        <v>1</v>
      </c>
      <c r="J173" s="16">
        <v>1</v>
      </c>
    </row>
    <row r="174" spans="1:10" ht="15" customHeight="1" x14ac:dyDescent="0.35">
      <c r="A174" s="16">
        <v>171</v>
      </c>
      <c r="B174" s="16" t="s">
        <v>939</v>
      </c>
      <c r="C174" s="16" t="s">
        <v>977</v>
      </c>
      <c r="D174" s="16" t="s">
        <v>39</v>
      </c>
      <c r="E174" s="16" t="s">
        <v>14</v>
      </c>
      <c r="F174" s="16" t="s">
        <v>15</v>
      </c>
      <c r="G174" s="16" t="s">
        <v>1037</v>
      </c>
      <c r="H174" s="16" t="s">
        <v>1111</v>
      </c>
      <c r="I174" s="16">
        <v>1</v>
      </c>
      <c r="J174" s="16">
        <v>1</v>
      </c>
    </row>
    <row r="175" spans="1:10" ht="15" customHeight="1" x14ac:dyDescent="0.35">
      <c r="A175" s="16">
        <v>172</v>
      </c>
      <c r="B175" s="16" t="s">
        <v>939</v>
      </c>
      <c r="C175" s="16" t="s">
        <v>977</v>
      </c>
      <c r="D175" s="16" t="s">
        <v>65</v>
      </c>
      <c r="E175" s="16" t="s">
        <v>14</v>
      </c>
      <c r="F175" s="16" t="s">
        <v>15</v>
      </c>
      <c r="G175" s="16" t="s">
        <v>1037</v>
      </c>
      <c r="H175" s="16" t="s">
        <v>1110</v>
      </c>
      <c r="I175" s="16">
        <v>1</v>
      </c>
      <c r="J175" s="16">
        <v>1</v>
      </c>
    </row>
    <row r="176" spans="1:10" ht="15" customHeight="1" x14ac:dyDescent="0.35">
      <c r="A176" s="16">
        <v>173</v>
      </c>
      <c r="B176" s="16" t="s">
        <v>939</v>
      </c>
      <c r="C176" s="16" t="s">
        <v>977</v>
      </c>
      <c r="D176" s="16" t="s">
        <v>39</v>
      </c>
      <c r="E176" s="16" t="s">
        <v>88</v>
      </c>
      <c r="F176" s="16" t="s">
        <v>103</v>
      </c>
      <c r="G176" s="16" t="s">
        <v>1037</v>
      </c>
      <c r="H176" s="16" t="s">
        <v>1075</v>
      </c>
      <c r="I176" s="16">
        <v>1</v>
      </c>
      <c r="J176" s="16">
        <v>1</v>
      </c>
    </row>
    <row r="177" spans="1:10" ht="15" customHeight="1" x14ac:dyDescent="0.35">
      <c r="A177" s="16">
        <v>174</v>
      </c>
      <c r="B177" s="16" t="s">
        <v>939</v>
      </c>
      <c r="C177" s="16" t="s">
        <v>981</v>
      </c>
      <c r="D177" s="16" t="s">
        <v>39</v>
      </c>
      <c r="E177" s="16" t="s">
        <v>14</v>
      </c>
      <c r="F177" s="16" t="s">
        <v>42</v>
      </c>
      <c r="G177" s="16" t="s">
        <v>1037</v>
      </c>
      <c r="H177" s="16" t="s">
        <v>1104</v>
      </c>
      <c r="I177" s="16">
        <v>1</v>
      </c>
      <c r="J177" s="16">
        <v>1</v>
      </c>
    </row>
    <row r="178" spans="1:10" ht="15" customHeight="1" x14ac:dyDescent="0.35">
      <c r="A178" s="16">
        <v>175</v>
      </c>
      <c r="B178" s="16" t="s">
        <v>940</v>
      </c>
      <c r="C178" s="16" t="s">
        <v>767</v>
      </c>
      <c r="D178" s="16" t="s">
        <v>39</v>
      </c>
      <c r="E178" s="16" t="s">
        <v>99</v>
      </c>
      <c r="F178" s="16" t="s">
        <v>103</v>
      </c>
      <c r="G178" s="16" t="s">
        <v>1055</v>
      </c>
      <c r="H178" s="16" t="s">
        <v>1110</v>
      </c>
      <c r="I178" s="16">
        <v>1</v>
      </c>
      <c r="J178" s="16">
        <v>1</v>
      </c>
    </row>
    <row r="179" spans="1:10" ht="15" customHeight="1" x14ac:dyDescent="0.35">
      <c r="A179" s="16">
        <v>176</v>
      </c>
      <c r="B179" s="16" t="s">
        <v>940</v>
      </c>
      <c r="C179" s="16" t="s">
        <v>767</v>
      </c>
      <c r="D179" s="16" t="s">
        <v>39</v>
      </c>
      <c r="E179" s="16" t="s">
        <v>99</v>
      </c>
      <c r="F179" s="16" t="s">
        <v>15</v>
      </c>
      <c r="G179" s="16" t="s">
        <v>1055</v>
      </c>
      <c r="H179" s="16" t="s">
        <v>1099</v>
      </c>
      <c r="I179" s="16">
        <v>1</v>
      </c>
      <c r="J179" s="16">
        <v>1</v>
      </c>
    </row>
    <row r="180" spans="1:10" ht="15" customHeight="1" x14ac:dyDescent="0.35">
      <c r="A180" s="16">
        <v>177</v>
      </c>
      <c r="B180" s="16" t="s">
        <v>940</v>
      </c>
      <c r="C180" s="16" t="s">
        <v>767</v>
      </c>
      <c r="D180" s="16" t="s">
        <v>65</v>
      </c>
      <c r="E180" s="16" t="s">
        <v>99</v>
      </c>
      <c r="F180" s="16" t="s">
        <v>15</v>
      </c>
      <c r="G180" s="16" t="s">
        <v>1055</v>
      </c>
      <c r="H180" s="16" t="s">
        <v>1122</v>
      </c>
      <c r="I180" s="16">
        <v>1</v>
      </c>
      <c r="J180" s="16">
        <v>1</v>
      </c>
    </row>
    <row r="181" spans="1:10" ht="15" customHeight="1" x14ac:dyDescent="0.35">
      <c r="A181" s="16">
        <v>178</v>
      </c>
      <c r="B181" s="16" t="s">
        <v>940</v>
      </c>
      <c r="C181" s="16" t="s">
        <v>993</v>
      </c>
      <c r="D181" s="16" t="s">
        <v>65</v>
      </c>
      <c r="E181" s="16" t="s">
        <v>93</v>
      </c>
      <c r="F181" s="16" t="s">
        <v>42</v>
      </c>
      <c r="G181" s="16" t="s">
        <v>1065</v>
      </c>
      <c r="H181" s="16" t="s">
        <v>1129</v>
      </c>
      <c r="I181" s="16">
        <v>1</v>
      </c>
      <c r="J181" s="16">
        <v>1</v>
      </c>
    </row>
    <row r="182" spans="1:10" ht="26.25" customHeight="1" x14ac:dyDescent="0.35">
      <c r="A182" s="16">
        <v>179</v>
      </c>
      <c r="B182" s="16" t="s">
        <v>940</v>
      </c>
      <c r="C182" s="16" t="s">
        <v>767</v>
      </c>
      <c r="D182" s="16" t="s">
        <v>39</v>
      </c>
      <c r="E182" s="16" t="s">
        <v>99</v>
      </c>
      <c r="F182" s="16" t="s">
        <v>103</v>
      </c>
      <c r="G182" s="16" t="s">
        <v>1052</v>
      </c>
      <c r="H182" s="16" t="s">
        <v>1002</v>
      </c>
      <c r="I182" s="16">
        <v>1</v>
      </c>
      <c r="J182" s="16">
        <v>1</v>
      </c>
    </row>
    <row r="183" spans="1:10" ht="15" customHeight="1" x14ac:dyDescent="0.35">
      <c r="A183" s="16">
        <v>180</v>
      </c>
      <c r="B183" s="16" t="s">
        <v>940</v>
      </c>
      <c r="C183" s="16" t="s">
        <v>767</v>
      </c>
      <c r="D183" s="16" t="s">
        <v>96</v>
      </c>
      <c r="E183" s="16" t="s">
        <v>14</v>
      </c>
      <c r="F183" s="16" t="s">
        <v>15</v>
      </c>
      <c r="G183" s="16" t="s">
        <v>1056</v>
      </c>
      <c r="H183" s="16" t="s">
        <v>1110</v>
      </c>
      <c r="I183" s="16">
        <v>1</v>
      </c>
      <c r="J183" s="16">
        <v>1</v>
      </c>
    </row>
    <row r="184" spans="1:10" ht="15" customHeight="1" x14ac:dyDescent="0.35">
      <c r="A184" s="16">
        <v>181</v>
      </c>
      <c r="B184" s="16" t="s">
        <v>940</v>
      </c>
      <c r="C184" s="16" t="s">
        <v>767</v>
      </c>
      <c r="D184" s="16" t="s">
        <v>22</v>
      </c>
      <c r="E184" s="16" t="s">
        <v>14</v>
      </c>
      <c r="F184" s="16" t="s">
        <v>15</v>
      </c>
      <c r="G184" s="16" t="s">
        <v>1061</v>
      </c>
      <c r="H184" s="16" t="s">
        <v>1128</v>
      </c>
      <c r="I184" s="16">
        <v>1</v>
      </c>
      <c r="J184" s="16">
        <v>1</v>
      </c>
    </row>
    <row r="185" spans="1:10" ht="15" customHeight="1" x14ac:dyDescent="0.35">
      <c r="A185" s="16">
        <v>182</v>
      </c>
      <c r="B185" s="16" t="s">
        <v>940</v>
      </c>
      <c r="C185" s="16" t="s">
        <v>767</v>
      </c>
      <c r="D185" s="16" t="s">
        <v>39</v>
      </c>
      <c r="E185" s="16" t="s">
        <v>753</v>
      </c>
      <c r="F185" s="16" t="s">
        <v>15</v>
      </c>
      <c r="G185" s="16" t="s">
        <v>1055</v>
      </c>
      <c r="H185" s="16" t="s">
        <v>1099</v>
      </c>
      <c r="I185" s="16">
        <v>1</v>
      </c>
      <c r="J185" s="16">
        <v>0</v>
      </c>
    </row>
    <row r="186" spans="1:10" ht="15" customHeight="1" x14ac:dyDescent="0.35">
      <c r="A186" s="16">
        <v>183</v>
      </c>
      <c r="B186" s="16" t="s">
        <v>940</v>
      </c>
      <c r="C186" s="16" t="s">
        <v>767</v>
      </c>
      <c r="D186" s="16" t="s">
        <v>39</v>
      </c>
      <c r="E186" s="16" t="s">
        <v>14</v>
      </c>
      <c r="F186" s="16" t="s">
        <v>42</v>
      </c>
      <c r="G186" s="16" t="s">
        <v>1064</v>
      </c>
      <c r="H186" s="16" t="s">
        <v>1114</v>
      </c>
      <c r="I186" s="16">
        <v>1</v>
      </c>
      <c r="J186" s="16">
        <v>1</v>
      </c>
    </row>
    <row r="187" spans="1:10" ht="15" customHeight="1" x14ac:dyDescent="0.35">
      <c r="A187" s="16">
        <v>184</v>
      </c>
      <c r="B187" s="16" t="s">
        <v>940</v>
      </c>
      <c r="C187" s="16" t="s">
        <v>767</v>
      </c>
      <c r="D187" s="16" t="s">
        <v>39</v>
      </c>
      <c r="E187" s="16" t="s">
        <v>14</v>
      </c>
      <c r="F187" s="16" t="s">
        <v>42</v>
      </c>
      <c r="G187" s="16" t="s">
        <v>1055</v>
      </c>
      <c r="H187" s="16" t="s">
        <v>1104</v>
      </c>
      <c r="I187" s="16">
        <v>1</v>
      </c>
      <c r="J187" s="16">
        <v>1</v>
      </c>
    </row>
    <row r="188" spans="1:10" ht="15" customHeight="1" x14ac:dyDescent="0.35">
      <c r="A188" s="16">
        <v>185</v>
      </c>
      <c r="B188" s="16" t="s">
        <v>940</v>
      </c>
      <c r="C188" s="16" t="s">
        <v>767</v>
      </c>
      <c r="D188" s="16" t="s">
        <v>39</v>
      </c>
      <c r="E188" s="16" t="s">
        <v>14</v>
      </c>
      <c r="F188" s="16" t="s">
        <v>42</v>
      </c>
      <c r="G188" s="16" t="s">
        <v>1055</v>
      </c>
      <c r="H188" s="16" t="s">
        <v>1110</v>
      </c>
      <c r="I188" s="16">
        <v>1</v>
      </c>
      <c r="J188" s="16">
        <v>1</v>
      </c>
    </row>
    <row r="189" spans="1:10" ht="15" customHeight="1" x14ac:dyDescent="0.35">
      <c r="A189" s="16">
        <v>186</v>
      </c>
      <c r="B189" s="16" t="s">
        <v>940</v>
      </c>
      <c r="C189" s="16" t="s">
        <v>767</v>
      </c>
      <c r="D189" s="16" t="s">
        <v>39</v>
      </c>
      <c r="E189" s="16" t="s">
        <v>99</v>
      </c>
      <c r="F189" s="16" t="s">
        <v>42</v>
      </c>
      <c r="G189" s="16" t="s">
        <v>1059</v>
      </c>
      <c r="H189" s="16" t="s">
        <v>1123</v>
      </c>
      <c r="I189" s="16">
        <v>1</v>
      </c>
      <c r="J189" s="16">
        <v>1</v>
      </c>
    </row>
    <row r="190" spans="1:10" ht="15" customHeight="1" x14ac:dyDescent="0.35">
      <c r="A190" s="16">
        <v>187</v>
      </c>
      <c r="B190" s="16" t="s">
        <v>940</v>
      </c>
      <c r="C190" s="16" t="s">
        <v>767</v>
      </c>
      <c r="D190" s="16" t="s">
        <v>39</v>
      </c>
      <c r="E190" s="16" t="s">
        <v>99</v>
      </c>
      <c r="F190" s="16" t="s">
        <v>42</v>
      </c>
      <c r="G190" s="16" t="s">
        <v>1060</v>
      </c>
      <c r="H190" s="16" t="s">
        <v>1121</v>
      </c>
      <c r="I190" s="16">
        <v>1</v>
      </c>
      <c r="J190" s="16">
        <v>1</v>
      </c>
    </row>
    <row r="191" spans="1:10" ht="15" customHeight="1" x14ac:dyDescent="0.35">
      <c r="A191" s="16">
        <v>188</v>
      </c>
      <c r="B191" s="16" t="s">
        <v>940</v>
      </c>
      <c r="C191" s="16" t="s">
        <v>767</v>
      </c>
      <c r="D191" s="16" t="s">
        <v>39</v>
      </c>
      <c r="E191" s="16" t="s">
        <v>99</v>
      </c>
      <c r="F191" s="16" t="s">
        <v>42</v>
      </c>
      <c r="G191" s="16" t="s">
        <v>1060</v>
      </c>
      <c r="H191" s="16" t="s">
        <v>1121</v>
      </c>
      <c r="I191" s="16">
        <v>1</v>
      </c>
      <c r="J191" s="16">
        <v>1</v>
      </c>
    </row>
    <row r="192" spans="1:10" ht="26.25" customHeight="1" x14ac:dyDescent="0.35">
      <c r="A192" s="16">
        <v>189</v>
      </c>
      <c r="B192" s="16" t="s">
        <v>940</v>
      </c>
      <c r="C192" s="16" t="s">
        <v>767</v>
      </c>
      <c r="D192" s="16" t="s">
        <v>39</v>
      </c>
      <c r="E192" s="16" t="s">
        <v>99</v>
      </c>
      <c r="F192" s="16" t="s">
        <v>15</v>
      </c>
      <c r="G192" s="16" t="s">
        <v>1059</v>
      </c>
      <c r="H192" s="16" t="s">
        <v>1002</v>
      </c>
      <c r="I192" s="16">
        <v>1</v>
      </c>
      <c r="J192" s="16">
        <v>1</v>
      </c>
    </row>
    <row r="193" spans="1:10" ht="15" customHeight="1" x14ac:dyDescent="0.35">
      <c r="A193" s="16">
        <v>190</v>
      </c>
      <c r="B193" s="16" t="s">
        <v>940</v>
      </c>
      <c r="C193" s="16" t="s">
        <v>767</v>
      </c>
      <c r="D193" s="16" t="s">
        <v>39</v>
      </c>
      <c r="E193" s="16" t="s">
        <v>99</v>
      </c>
      <c r="F193" s="16" t="s">
        <v>15</v>
      </c>
      <c r="G193" s="16" t="s">
        <v>1056</v>
      </c>
      <c r="H193" s="16" t="s">
        <v>1126</v>
      </c>
      <c r="I193" s="16">
        <v>1</v>
      </c>
      <c r="J193" s="16">
        <v>1</v>
      </c>
    </row>
    <row r="194" spans="1:10" ht="15" customHeight="1" x14ac:dyDescent="0.35">
      <c r="A194" s="16">
        <v>191</v>
      </c>
      <c r="B194" s="16" t="s">
        <v>940</v>
      </c>
      <c r="C194" s="16" t="s">
        <v>767</v>
      </c>
      <c r="D194" s="16" t="s">
        <v>65</v>
      </c>
      <c r="E194" s="16" t="s">
        <v>88</v>
      </c>
      <c r="F194" s="16" t="s">
        <v>103</v>
      </c>
      <c r="G194" s="16" t="s">
        <v>1055</v>
      </c>
      <c r="H194" s="16" t="s">
        <v>1122</v>
      </c>
      <c r="I194" s="16">
        <v>1</v>
      </c>
      <c r="J194" s="16">
        <v>1</v>
      </c>
    </row>
    <row r="195" spans="1:10" ht="15" customHeight="1" x14ac:dyDescent="0.35">
      <c r="A195" s="16">
        <v>192</v>
      </c>
      <c r="B195" s="16" t="s">
        <v>940</v>
      </c>
      <c r="C195" s="16" t="s">
        <v>767</v>
      </c>
      <c r="D195" s="16" t="s">
        <v>39</v>
      </c>
      <c r="E195" s="16" t="s">
        <v>14</v>
      </c>
      <c r="F195" s="16" t="s">
        <v>103</v>
      </c>
      <c r="G195" s="16" t="s">
        <v>1052</v>
      </c>
      <c r="H195" s="16" t="s">
        <v>1127</v>
      </c>
      <c r="I195" s="16">
        <v>1</v>
      </c>
      <c r="J195" s="16">
        <v>1</v>
      </c>
    </row>
    <row r="196" spans="1:10" ht="15" customHeight="1" x14ac:dyDescent="0.35">
      <c r="A196" s="16">
        <v>193</v>
      </c>
      <c r="B196" s="16" t="s">
        <v>940</v>
      </c>
      <c r="C196" s="16" t="s">
        <v>989</v>
      </c>
      <c r="D196" s="16" t="s">
        <v>65</v>
      </c>
      <c r="E196" s="16" t="s">
        <v>14</v>
      </c>
      <c r="F196" s="16" t="s">
        <v>15</v>
      </c>
      <c r="G196" s="16" t="s">
        <v>1055</v>
      </c>
      <c r="H196" s="16" t="s">
        <v>1132</v>
      </c>
      <c r="I196" s="16">
        <v>1</v>
      </c>
      <c r="J196" s="16">
        <v>1</v>
      </c>
    </row>
    <row r="197" spans="1:10" ht="15" customHeight="1" x14ac:dyDescent="0.35">
      <c r="A197" s="16">
        <v>194</v>
      </c>
      <c r="B197" s="16" t="s">
        <v>940</v>
      </c>
      <c r="C197" s="16" t="s">
        <v>767</v>
      </c>
      <c r="D197" s="16" t="s">
        <v>22</v>
      </c>
      <c r="E197" s="16" t="s">
        <v>99</v>
      </c>
      <c r="F197" s="16" t="s">
        <v>42</v>
      </c>
      <c r="G197" s="16" t="s">
        <v>1059</v>
      </c>
      <c r="H197" s="16" t="s">
        <v>1125</v>
      </c>
      <c r="I197" s="16">
        <v>1</v>
      </c>
      <c r="J197" s="16">
        <v>1</v>
      </c>
    </row>
    <row r="198" spans="1:10" ht="15" customHeight="1" x14ac:dyDescent="0.35">
      <c r="A198" s="16">
        <v>195</v>
      </c>
      <c r="B198" s="16" t="s">
        <v>940</v>
      </c>
      <c r="C198" s="16" t="s">
        <v>767</v>
      </c>
      <c r="D198" s="16" t="s">
        <v>39</v>
      </c>
      <c r="E198" s="16" t="s">
        <v>99</v>
      </c>
      <c r="F198" s="16" t="s">
        <v>15</v>
      </c>
      <c r="G198" s="16" t="s">
        <v>1055</v>
      </c>
      <c r="H198" s="16" t="s">
        <v>1118</v>
      </c>
      <c r="I198" s="16">
        <v>1</v>
      </c>
      <c r="J198" s="16">
        <v>1</v>
      </c>
    </row>
    <row r="199" spans="1:10" ht="15" customHeight="1" x14ac:dyDescent="0.35">
      <c r="A199" s="16">
        <v>196</v>
      </c>
      <c r="B199" s="16" t="s">
        <v>940</v>
      </c>
      <c r="C199" s="16" t="s">
        <v>767</v>
      </c>
      <c r="D199" s="16" t="s">
        <v>39</v>
      </c>
      <c r="E199" s="16" t="s">
        <v>88</v>
      </c>
      <c r="F199" s="16" t="s">
        <v>103</v>
      </c>
      <c r="G199" s="16" t="s">
        <v>1055</v>
      </c>
      <c r="H199" s="16" t="s">
        <v>1110</v>
      </c>
      <c r="I199" s="16">
        <v>1</v>
      </c>
      <c r="J199" s="16">
        <v>1</v>
      </c>
    </row>
    <row r="200" spans="1:10" ht="15" customHeight="1" x14ac:dyDescent="0.35">
      <c r="A200" s="16">
        <v>197</v>
      </c>
      <c r="B200" s="16" t="s">
        <v>940</v>
      </c>
      <c r="C200" s="16" t="s">
        <v>767</v>
      </c>
      <c r="D200" s="16" t="s">
        <v>39</v>
      </c>
      <c r="E200" s="16" t="s">
        <v>99</v>
      </c>
      <c r="F200" s="16" t="s">
        <v>103</v>
      </c>
      <c r="G200" s="16" t="s">
        <v>1055</v>
      </c>
      <c r="H200" s="16" t="s">
        <v>1110</v>
      </c>
      <c r="I200" s="16">
        <v>1</v>
      </c>
      <c r="J200" s="16">
        <v>1</v>
      </c>
    </row>
    <row r="201" spans="1:10" ht="15" customHeight="1" x14ac:dyDescent="0.35">
      <c r="A201" s="16">
        <v>198</v>
      </c>
      <c r="B201" s="16" t="s">
        <v>940</v>
      </c>
      <c r="C201" s="16" t="s">
        <v>767</v>
      </c>
      <c r="D201" s="16" t="s">
        <v>39</v>
      </c>
      <c r="E201" s="16" t="s">
        <v>99</v>
      </c>
      <c r="F201" s="16" t="s">
        <v>103</v>
      </c>
      <c r="G201" s="16" t="s">
        <v>1055</v>
      </c>
      <c r="H201" s="16" t="s">
        <v>1099</v>
      </c>
      <c r="I201" s="16">
        <v>1</v>
      </c>
      <c r="J201" s="16">
        <v>1</v>
      </c>
    </row>
    <row r="202" spans="1:10" ht="15" customHeight="1" x14ac:dyDescent="0.35">
      <c r="A202" s="16">
        <v>199</v>
      </c>
      <c r="B202" s="16" t="s">
        <v>940</v>
      </c>
      <c r="C202" s="16" t="s">
        <v>767</v>
      </c>
      <c r="D202" s="16" t="s">
        <v>65</v>
      </c>
      <c r="E202" s="16" t="s">
        <v>99</v>
      </c>
      <c r="F202" s="16" t="s">
        <v>42</v>
      </c>
      <c r="G202" s="16" t="s">
        <v>1059</v>
      </c>
      <c r="H202" s="16" t="s">
        <v>1124</v>
      </c>
      <c r="I202" s="16">
        <v>1</v>
      </c>
      <c r="J202" s="16">
        <v>1</v>
      </c>
    </row>
    <row r="203" spans="1:10" ht="26.25" customHeight="1" x14ac:dyDescent="0.35">
      <c r="A203" s="16">
        <v>200</v>
      </c>
      <c r="B203" s="16" t="s">
        <v>940</v>
      </c>
      <c r="C203" s="16" t="s">
        <v>767</v>
      </c>
      <c r="D203" s="16" t="s">
        <v>65</v>
      </c>
      <c r="E203" s="16" t="s">
        <v>99</v>
      </c>
      <c r="F203" s="16" t="s">
        <v>42</v>
      </c>
      <c r="G203" s="16" t="s">
        <v>1059</v>
      </c>
      <c r="H203" s="16" t="s">
        <v>1002</v>
      </c>
      <c r="I203" s="16">
        <v>1</v>
      </c>
      <c r="J203" s="16">
        <v>1</v>
      </c>
    </row>
    <row r="204" spans="1:10" ht="15" customHeight="1" x14ac:dyDescent="0.35">
      <c r="A204" s="16">
        <v>201</v>
      </c>
      <c r="B204" s="16" t="s">
        <v>940</v>
      </c>
      <c r="C204" s="16" t="s">
        <v>767</v>
      </c>
      <c r="D204" s="16" t="s">
        <v>65</v>
      </c>
      <c r="E204" s="16" t="s">
        <v>99</v>
      </c>
      <c r="F204" s="16" t="s">
        <v>42</v>
      </c>
      <c r="G204" s="16" t="s">
        <v>1055</v>
      </c>
      <c r="H204" s="16" t="s">
        <v>1110</v>
      </c>
      <c r="I204" s="16">
        <v>1</v>
      </c>
      <c r="J204" s="16">
        <v>1</v>
      </c>
    </row>
    <row r="205" spans="1:10" ht="26.25" customHeight="1" x14ac:dyDescent="0.35">
      <c r="A205" s="16">
        <v>202</v>
      </c>
      <c r="B205" s="16" t="s">
        <v>940</v>
      </c>
      <c r="C205" s="16" t="s">
        <v>767</v>
      </c>
      <c r="D205" s="16" t="s">
        <v>65</v>
      </c>
      <c r="E205" s="16" t="s">
        <v>99</v>
      </c>
      <c r="F205" s="16" t="s">
        <v>103</v>
      </c>
      <c r="G205" s="16" t="s">
        <v>1063</v>
      </c>
      <c r="H205" s="16" t="s">
        <v>1002</v>
      </c>
      <c r="I205" s="16">
        <v>1</v>
      </c>
      <c r="J205" s="16">
        <v>1</v>
      </c>
    </row>
    <row r="206" spans="1:10" ht="15" customHeight="1" x14ac:dyDescent="0.35">
      <c r="A206" s="16">
        <v>203</v>
      </c>
      <c r="B206" s="16" t="s">
        <v>940</v>
      </c>
      <c r="C206" s="16" t="s">
        <v>767</v>
      </c>
      <c r="D206" s="16" t="s">
        <v>65</v>
      </c>
      <c r="E206" s="16" t="s">
        <v>99</v>
      </c>
      <c r="F206" s="16" t="s">
        <v>103</v>
      </c>
      <c r="G206" s="16" t="s">
        <v>1062</v>
      </c>
      <c r="H206" s="16" t="s">
        <v>1110</v>
      </c>
      <c r="I206" s="16">
        <v>1</v>
      </c>
      <c r="J206" s="16">
        <v>1</v>
      </c>
    </row>
    <row r="207" spans="1:10" ht="15" customHeight="1" x14ac:dyDescent="0.35">
      <c r="A207" s="16">
        <v>204</v>
      </c>
      <c r="B207" s="16" t="s">
        <v>940</v>
      </c>
      <c r="C207" s="16" t="s">
        <v>989</v>
      </c>
      <c r="D207" s="16" t="s">
        <v>39</v>
      </c>
      <c r="E207" s="16" t="s">
        <v>88</v>
      </c>
      <c r="F207" s="16" t="s">
        <v>15</v>
      </c>
      <c r="G207" s="16" t="s">
        <v>1059</v>
      </c>
      <c r="H207" s="16" t="s">
        <v>1119</v>
      </c>
      <c r="I207" s="16">
        <v>1</v>
      </c>
      <c r="J207" s="16">
        <v>1</v>
      </c>
    </row>
    <row r="208" spans="1:10" ht="26.25" customHeight="1" x14ac:dyDescent="0.35">
      <c r="A208" s="16">
        <v>205</v>
      </c>
      <c r="B208" s="16" t="s">
        <v>940</v>
      </c>
      <c r="C208" s="16" t="s">
        <v>989</v>
      </c>
      <c r="D208" s="16" t="s">
        <v>11</v>
      </c>
      <c r="E208" s="16" t="s">
        <v>210</v>
      </c>
      <c r="F208" s="16" t="s">
        <v>15</v>
      </c>
      <c r="G208" s="16" t="s">
        <v>1066</v>
      </c>
      <c r="H208" s="16" t="s">
        <v>1002</v>
      </c>
      <c r="I208" s="16">
        <v>1</v>
      </c>
      <c r="J208" s="16">
        <v>0</v>
      </c>
    </row>
    <row r="209" spans="1:10" ht="26.25" customHeight="1" x14ac:dyDescent="0.35">
      <c r="A209" s="16">
        <v>206</v>
      </c>
      <c r="B209" s="16" t="s">
        <v>940</v>
      </c>
      <c r="C209" s="16" t="s">
        <v>989</v>
      </c>
      <c r="D209" s="16" t="s">
        <v>11</v>
      </c>
      <c r="E209" s="16" t="s">
        <v>210</v>
      </c>
      <c r="F209" s="16" t="s">
        <v>15</v>
      </c>
      <c r="G209" s="16" t="s">
        <v>1002</v>
      </c>
      <c r="H209" s="16" t="s">
        <v>1002</v>
      </c>
      <c r="I209" s="16">
        <v>1</v>
      </c>
      <c r="J209" s="16">
        <v>0</v>
      </c>
    </row>
    <row r="210" spans="1:10" ht="26.25" customHeight="1" x14ac:dyDescent="0.35">
      <c r="A210" s="16">
        <v>207</v>
      </c>
      <c r="B210" s="16" t="s">
        <v>940</v>
      </c>
      <c r="C210" s="16" t="s">
        <v>989</v>
      </c>
      <c r="D210" s="16" t="s">
        <v>39</v>
      </c>
      <c r="E210" s="16" t="s">
        <v>210</v>
      </c>
      <c r="F210" s="16" t="s">
        <v>15</v>
      </c>
      <c r="G210" s="16" t="s">
        <v>1055</v>
      </c>
      <c r="H210" s="16" t="s">
        <v>1104</v>
      </c>
      <c r="I210" s="16">
        <v>1</v>
      </c>
      <c r="J210" s="16">
        <v>0</v>
      </c>
    </row>
    <row r="211" spans="1:10" ht="26.25" customHeight="1" x14ac:dyDescent="0.35">
      <c r="A211" s="16">
        <v>208</v>
      </c>
      <c r="B211" s="16" t="s">
        <v>940</v>
      </c>
      <c r="C211" s="16" t="s">
        <v>989</v>
      </c>
      <c r="D211" s="16" t="s">
        <v>39</v>
      </c>
      <c r="E211" s="16" t="s">
        <v>210</v>
      </c>
      <c r="F211" s="16" t="s">
        <v>15</v>
      </c>
      <c r="G211" s="16" t="s">
        <v>1014</v>
      </c>
      <c r="H211" s="16" t="s">
        <v>1091</v>
      </c>
      <c r="I211" s="16">
        <v>1</v>
      </c>
      <c r="J211" s="16">
        <v>0</v>
      </c>
    </row>
    <row r="212" spans="1:10" ht="15" customHeight="1" x14ac:dyDescent="0.35">
      <c r="A212" s="16">
        <v>209</v>
      </c>
      <c r="B212" s="16" t="s">
        <v>940</v>
      </c>
      <c r="C212" s="16" t="s">
        <v>989</v>
      </c>
      <c r="D212" s="16" t="s">
        <v>39</v>
      </c>
      <c r="E212" s="16" t="s">
        <v>14</v>
      </c>
      <c r="F212" s="16" t="s">
        <v>15</v>
      </c>
      <c r="G212" s="16" t="s">
        <v>1069</v>
      </c>
      <c r="H212" s="16" t="s">
        <v>1104</v>
      </c>
      <c r="I212" s="16">
        <v>1</v>
      </c>
      <c r="J212" s="16">
        <v>1</v>
      </c>
    </row>
    <row r="213" spans="1:10" ht="15" customHeight="1" x14ac:dyDescent="0.35">
      <c r="A213" s="16">
        <v>210</v>
      </c>
      <c r="B213" s="16" t="s">
        <v>940</v>
      </c>
      <c r="C213" s="16" t="s">
        <v>989</v>
      </c>
      <c r="D213" s="16" t="s">
        <v>39</v>
      </c>
      <c r="E213" s="16" t="s">
        <v>99</v>
      </c>
      <c r="F213" s="16" t="s">
        <v>42</v>
      </c>
      <c r="G213" s="16" t="s">
        <v>1067</v>
      </c>
      <c r="H213" s="16" t="s">
        <v>1130</v>
      </c>
      <c r="I213" s="16">
        <v>1</v>
      </c>
      <c r="J213" s="16">
        <v>1</v>
      </c>
    </row>
    <row r="214" spans="1:10" ht="15" customHeight="1" x14ac:dyDescent="0.35">
      <c r="A214" s="16">
        <v>211</v>
      </c>
      <c r="B214" s="16" t="s">
        <v>940</v>
      </c>
      <c r="C214" s="16" t="s">
        <v>989</v>
      </c>
      <c r="D214" s="16" t="s">
        <v>65</v>
      </c>
      <c r="E214" s="16" t="s">
        <v>99</v>
      </c>
      <c r="F214" s="16" t="s">
        <v>15</v>
      </c>
      <c r="G214" s="16" t="s">
        <v>1059</v>
      </c>
      <c r="H214" s="16" t="s">
        <v>1123</v>
      </c>
      <c r="I214" s="16">
        <v>1</v>
      </c>
      <c r="J214" s="16">
        <v>1</v>
      </c>
    </row>
    <row r="215" spans="1:10" ht="15" customHeight="1" x14ac:dyDescent="0.35">
      <c r="A215" s="16">
        <v>212</v>
      </c>
      <c r="B215" s="16" t="s">
        <v>940</v>
      </c>
      <c r="C215" s="16" t="s">
        <v>989</v>
      </c>
      <c r="D215" s="16" t="s">
        <v>65</v>
      </c>
      <c r="E215" s="16" t="s">
        <v>99</v>
      </c>
      <c r="F215" s="16" t="s">
        <v>42</v>
      </c>
      <c r="G215" s="16" t="s">
        <v>1068</v>
      </c>
      <c r="H215" s="16" t="s">
        <v>1121</v>
      </c>
      <c r="I215" s="16">
        <v>1</v>
      </c>
      <c r="J215" s="16">
        <v>1</v>
      </c>
    </row>
    <row r="216" spans="1:10" ht="15" customHeight="1" x14ac:dyDescent="0.35">
      <c r="A216" s="16">
        <v>213</v>
      </c>
      <c r="B216" s="16" t="s">
        <v>940</v>
      </c>
      <c r="C216" s="16" t="s">
        <v>989</v>
      </c>
      <c r="D216" s="16" t="s">
        <v>96</v>
      </c>
      <c r="E216" s="16" t="s">
        <v>862</v>
      </c>
      <c r="F216" s="16" t="s">
        <v>15</v>
      </c>
      <c r="G216" s="16" t="s">
        <v>1055</v>
      </c>
      <c r="H216" s="16" t="s">
        <v>1131</v>
      </c>
      <c r="I216" s="16">
        <v>1</v>
      </c>
      <c r="J216" s="16">
        <v>0</v>
      </c>
    </row>
    <row r="217" spans="1:10" ht="26.25" customHeight="1" x14ac:dyDescent="0.35">
      <c r="A217" s="16">
        <v>214</v>
      </c>
      <c r="B217" s="16" t="s">
        <v>940</v>
      </c>
      <c r="C217" s="16" t="s">
        <v>990</v>
      </c>
      <c r="D217" s="16" t="s">
        <v>11</v>
      </c>
      <c r="E217" s="16" t="s">
        <v>210</v>
      </c>
      <c r="F217" s="16" t="s">
        <v>15</v>
      </c>
      <c r="G217" s="16" t="s">
        <v>1055</v>
      </c>
      <c r="H217" s="16" t="s">
        <v>1133</v>
      </c>
      <c r="I217" s="16">
        <v>1</v>
      </c>
      <c r="J217" s="16">
        <v>0</v>
      </c>
    </row>
    <row r="218" spans="1:10" ht="26.25" customHeight="1" x14ac:dyDescent="0.35">
      <c r="A218" s="16">
        <v>215</v>
      </c>
      <c r="B218" s="16" t="s">
        <v>940</v>
      </c>
      <c r="C218" s="16" t="s">
        <v>990</v>
      </c>
      <c r="D218" s="16" t="s">
        <v>11</v>
      </c>
      <c r="E218" s="16" t="s">
        <v>210</v>
      </c>
      <c r="F218" s="16" t="s">
        <v>15</v>
      </c>
      <c r="G218" s="16" t="s">
        <v>1002</v>
      </c>
      <c r="H218" s="16" t="s">
        <v>1002</v>
      </c>
      <c r="I218" s="16">
        <v>1</v>
      </c>
      <c r="J218" s="16">
        <v>0</v>
      </c>
    </row>
    <row r="219" spans="1:10" ht="26.25" customHeight="1" x14ac:dyDescent="0.35">
      <c r="A219" s="16">
        <v>216</v>
      </c>
      <c r="B219" s="16" t="s">
        <v>940</v>
      </c>
      <c r="C219" s="16" t="s">
        <v>990</v>
      </c>
      <c r="D219" s="16" t="s">
        <v>11</v>
      </c>
      <c r="E219" s="16" t="s">
        <v>210</v>
      </c>
      <c r="F219" s="16" t="s">
        <v>103</v>
      </c>
      <c r="G219" s="16" t="s">
        <v>1055</v>
      </c>
      <c r="H219" s="16" t="s">
        <v>1133</v>
      </c>
      <c r="I219" s="16">
        <v>1</v>
      </c>
      <c r="J219" s="16">
        <v>0</v>
      </c>
    </row>
    <row r="220" spans="1:10" ht="26.25" customHeight="1" x14ac:dyDescent="0.35">
      <c r="A220" s="16">
        <v>217</v>
      </c>
      <c r="B220" s="16" t="s">
        <v>940</v>
      </c>
      <c r="C220" s="16" t="s">
        <v>990</v>
      </c>
      <c r="D220" s="16" t="s">
        <v>96</v>
      </c>
      <c r="E220" s="16" t="s">
        <v>210</v>
      </c>
      <c r="F220" s="16" t="s">
        <v>15</v>
      </c>
      <c r="G220" s="16" t="s">
        <v>1055</v>
      </c>
      <c r="H220" s="16" t="s">
        <v>1133</v>
      </c>
      <c r="I220" s="16">
        <v>1</v>
      </c>
      <c r="J220" s="16">
        <v>0</v>
      </c>
    </row>
    <row r="221" spans="1:10" ht="26.25" customHeight="1" x14ac:dyDescent="0.35">
      <c r="A221" s="16">
        <v>218</v>
      </c>
      <c r="B221" s="16" t="s">
        <v>940</v>
      </c>
      <c r="C221" s="16" t="s">
        <v>990</v>
      </c>
      <c r="D221" s="16" t="s">
        <v>39</v>
      </c>
      <c r="E221" s="16" t="s">
        <v>88</v>
      </c>
      <c r="F221" s="16" t="s">
        <v>103</v>
      </c>
      <c r="G221" s="16" t="s">
        <v>1055</v>
      </c>
      <c r="H221" s="16" t="s">
        <v>1002</v>
      </c>
      <c r="I221" s="16">
        <v>1</v>
      </c>
      <c r="J221" s="16">
        <v>1</v>
      </c>
    </row>
    <row r="222" spans="1:10" ht="15" customHeight="1" x14ac:dyDescent="0.35">
      <c r="A222" s="16">
        <v>219</v>
      </c>
      <c r="B222" s="16" t="s">
        <v>940</v>
      </c>
      <c r="C222" s="16" t="s">
        <v>990</v>
      </c>
      <c r="D222" s="16" t="s">
        <v>96</v>
      </c>
      <c r="E222" s="16" t="s">
        <v>99</v>
      </c>
      <c r="F222" s="16" t="s">
        <v>103</v>
      </c>
      <c r="G222" s="16" t="s">
        <v>1070</v>
      </c>
      <c r="H222" s="16" t="s">
        <v>1118</v>
      </c>
      <c r="I222" s="16">
        <v>1</v>
      </c>
      <c r="J222" s="16">
        <v>1</v>
      </c>
    </row>
    <row r="223" spans="1:10" ht="15" customHeight="1" x14ac:dyDescent="0.35">
      <c r="A223" s="16">
        <v>220</v>
      </c>
      <c r="B223" s="16" t="s">
        <v>940</v>
      </c>
      <c r="C223" s="16" t="s">
        <v>991</v>
      </c>
      <c r="D223" s="16" t="s">
        <v>39</v>
      </c>
      <c r="E223" s="16" t="s">
        <v>99</v>
      </c>
      <c r="F223" s="16" t="s">
        <v>42</v>
      </c>
      <c r="G223" s="16" t="s">
        <v>1055</v>
      </c>
      <c r="H223" s="16" t="s">
        <v>1121</v>
      </c>
      <c r="I223" s="16">
        <v>1</v>
      </c>
      <c r="J223" s="16">
        <v>1</v>
      </c>
    </row>
    <row r="224" spans="1:10" ht="15" customHeight="1" x14ac:dyDescent="0.35">
      <c r="A224" s="16">
        <v>221</v>
      </c>
      <c r="B224" s="16" t="s">
        <v>940</v>
      </c>
      <c r="C224" s="16" t="s">
        <v>991</v>
      </c>
      <c r="D224" s="16" t="s">
        <v>39</v>
      </c>
      <c r="E224" s="16" t="s">
        <v>99</v>
      </c>
      <c r="F224" s="16" t="s">
        <v>42</v>
      </c>
      <c r="G224" s="16" t="s">
        <v>1055</v>
      </c>
      <c r="H224" s="16" t="s">
        <v>1118</v>
      </c>
      <c r="I224" s="16">
        <v>1</v>
      </c>
      <c r="J224" s="16">
        <v>1</v>
      </c>
    </row>
    <row r="225" spans="1:10" ht="15" customHeight="1" x14ac:dyDescent="0.35">
      <c r="A225" s="16">
        <v>222</v>
      </c>
      <c r="B225" s="16" t="s">
        <v>940</v>
      </c>
      <c r="C225" s="16" t="s">
        <v>991</v>
      </c>
      <c r="D225" s="16" t="s">
        <v>96</v>
      </c>
      <c r="E225" s="16" t="s">
        <v>99</v>
      </c>
      <c r="F225" s="16" t="s">
        <v>42</v>
      </c>
      <c r="G225" s="16" t="s">
        <v>1058</v>
      </c>
      <c r="H225" s="16" t="s">
        <v>1120</v>
      </c>
      <c r="I225" s="16">
        <v>1</v>
      </c>
      <c r="J225" s="16">
        <v>1</v>
      </c>
    </row>
    <row r="226" spans="1:10" ht="26.25" customHeight="1" x14ac:dyDescent="0.35">
      <c r="A226" s="16">
        <v>223</v>
      </c>
      <c r="B226" s="16" t="s">
        <v>940</v>
      </c>
      <c r="C226" s="16" t="s">
        <v>991</v>
      </c>
      <c r="D226" s="16" t="s">
        <v>39</v>
      </c>
      <c r="E226" s="16" t="s">
        <v>897</v>
      </c>
      <c r="F226" s="16" t="s">
        <v>103</v>
      </c>
      <c r="G226" s="16" t="s">
        <v>1057</v>
      </c>
      <c r="H226" s="16" t="s">
        <v>1002</v>
      </c>
      <c r="I226" s="16">
        <v>1</v>
      </c>
      <c r="J226" s="16">
        <v>0</v>
      </c>
    </row>
    <row r="227" spans="1:10" ht="15" customHeight="1" x14ac:dyDescent="0.35">
      <c r="A227" s="16">
        <v>224</v>
      </c>
      <c r="B227" s="16" t="s">
        <v>940</v>
      </c>
      <c r="C227" s="16" t="s">
        <v>991</v>
      </c>
      <c r="D227" s="16" t="s">
        <v>39</v>
      </c>
      <c r="E227" s="16" t="s">
        <v>88</v>
      </c>
      <c r="F227" s="16" t="s">
        <v>103</v>
      </c>
      <c r="G227" s="16" t="s">
        <v>1056</v>
      </c>
      <c r="H227" s="16" t="s">
        <v>1119</v>
      </c>
      <c r="I227" s="16">
        <v>1</v>
      </c>
      <c r="J227" s="16">
        <v>1</v>
      </c>
    </row>
    <row r="228" spans="1:10" ht="26.25" customHeight="1" x14ac:dyDescent="0.35">
      <c r="A228" s="16">
        <v>225</v>
      </c>
      <c r="B228" s="16" t="s">
        <v>940</v>
      </c>
      <c r="C228" s="16" t="s">
        <v>992</v>
      </c>
      <c r="D228" s="16" t="s">
        <v>11</v>
      </c>
      <c r="E228" s="16" t="s">
        <v>210</v>
      </c>
      <c r="F228" s="16" t="s">
        <v>15</v>
      </c>
      <c r="G228" s="16" t="s">
        <v>1054</v>
      </c>
      <c r="H228" s="16" t="s">
        <v>1115</v>
      </c>
      <c r="I228" s="16">
        <v>1</v>
      </c>
      <c r="J228" s="16">
        <v>0</v>
      </c>
    </row>
    <row r="229" spans="1:10" ht="15" customHeight="1" x14ac:dyDescent="0.35">
      <c r="A229" s="16">
        <v>226</v>
      </c>
      <c r="B229" s="16" t="s">
        <v>940</v>
      </c>
      <c r="C229" s="16" t="s">
        <v>992</v>
      </c>
      <c r="D229" s="16" t="s">
        <v>39</v>
      </c>
      <c r="E229" s="16" t="s">
        <v>14</v>
      </c>
      <c r="F229" s="16" t="s">
        <v>42</v>
      </c>
      <c r="G229" s="16" t="s">
        <v>1052</v>
      </c>
      <c r="H229" s="16" t="s">
        <v>1116</v>
      </c>
      <c r="I229" s="16">
        <v>1</v>
      </c>
      <c r="J229" s="16">
        <v>1</v>
      </c>
    </row>
    <row r="230" spans="1:10" ht="15" customHeight="1" x14ac:dyDescent="0.35">
      <c r="A230" s="16">
        <v>227</v>
      </c>
      <c r="B230" s="16" t="s">
        <v>940</v>
      </c>
      <c r="C230" s="16" t="s">
        <v>992</v>
      </c>
      <c r="D230" s="16" t="s">
        <v>65</v>
      </c>
      <c r="E230" s="16" t="s">
        <v>99</v>
      </c>
      <c r="F230" s="16" t="s">
        <v>42</v>
      </c>
      <c r="G230" s="16" t="s">
        <v>1053</v>
      </c>
      <c r="H230" s="16" t="s">
        <v>1114</v>
      </c>
      <c r="I230" s="16">
        <v>1</v>
      </c>
      <c r="J230" s="16">
        <v>1</v>
      </c>
    </row>
    <row r="231" spans="1:10" ht="15" customHeight="1" x14ac:dyDescent="0.35">
      <c r="A231" s="16">
        <v>228</v>
      </c>
      <c r="B231" s="16" t="s">
        <v>940</v>
      </c>
      <c r="C231" s="16" t="s">
        <v>992</v>
      </c>
      <c r="D231" s="16" t="s">
        <v>39</v>
      </c>
      <c r="E231" s="16" t="s">
        <v>88</v>
      </c>
      <c r="F231" s="16" t="s">
        <v>15</v>
      </c>
      <c r="G231" s="16" t="s">
        <v>1052</v>
      </c>
      <c r="H231" s="16" t="s">
        <v>1117</v>
      </c>
      <c r="I231" s="16">
        <v>1</v>
      </c>
      <c r="J231" s="16">
        <v>1</v>
      </c>
    </row>
    <row r="232" spans="1:10" ht="15" customHeight="1" x14ac:dyDescent="0.35">
      <c r="A232" s="16">
        <v>229</v>
      </c>
      <c r="B232" s="16" t="s">
        <v>940</v>
      </c>
      <c r="C232" s="16" t="s">
        <v>992</v>
      </c>
      <c r="D232" s="16" t="s">
        <v>65</v>
      </c>
      <c r="E232" s="16" t="s">
        <v>88</v>
      </c>
      <c r="F232" s="16" t="s">
        <v>15</v>
      </c>
      <c r="G232" s="16" t="s">
        <v>1055</v>
      </c>
      <c r="H232" s="16" t="s">
        <v>1104</v>
      </c>
      <c r="I232" s="16">
        <v>1</v>
      </c>
      <c r="J232" s="16">
        <v>1</v>
      </c>
    </row>
    <row r="233" spans="1:10" ht="15" customHeight="1" x14ac:dyDescent="0.35">
      <c r="A233" s="16">
        <v>229</v>
      </c>
      <c r="B233" s="16" t="s">
        <v>940</v>
      </c>
      <c r="C233" s="16" t="s">
        <v>992</v>
      </c>
      <c r="D233" s="16" t="s">
        <v>65</v>
      </c>
      <c r="E233" s="16" t="s">
        <v>99</v>
      </c>
      <c r="F233" s="16" t="s">
        <v>15</v>
      </c>
      <c r="G233" s="16" t="s">
        <v>1055</v>
      </c>
      <c r="H233" s="16" t="s">
        <v>1104</v>
      </c>
      <c r="I233" s="16">
        <v>0</v>
      </c>
      <c r="J233" s="16">
        <v>1</v>
      </c>
    </row>
    <row r="234" spans="1:10" ht="26.25" customHeight="1" x14ac:dyDescent="0.35">
      <c r="A234" s="16">
        <v>230</v>
      </c>
      <c r="B234" s="16" t="s">
        <v>940</v>
      </c>
      <c r="C234" s="16" t="s">
        <v>924</v>
      </c>
      <c r="D234" s="16" t="s">
        <v>39</v>
      </c>
      <c r="E234" s="16" t="s">
        <v>99</v>
      </c>
      <c r="F234" s="16" t="s">
        <v>15</v>
      </c>
      <c r="G234" s="16" t="s">
        <v>1002</v>
      </c>
      <c r="H234" s="16" t="s">
        <v>1118</v>
      </c>
      <c r="I234" s="16">
        <v>1</v>
      </c>
      <c r="J234" s="16">
        <v>1</v>
      </c>
    </row>
    <row r="235" spans="1:10" ht="15" customHeight="1" x14ac:dyDescent="0.35">
      <c r="A235" s="16">
        <v>231</v>
      </c>
      <c r="B235" s="16" t="s">
        <v>940</v>
      </c>
      <c r="C235" s="16" t="s">
        <v>924</v>
      </c>
      <c r="D235" s="16" t="s">
        <v>39</v>
      </c>
      <c r="E235" s="16" t="s">
        <v>88</v>
      </c>
      <c r="F235" s="16" t="s">
        <v>103</v>
      </c>
      <c r="G235" s="16" t="s">
        <v>1071</v>
      </c>
      <c r="H235" s="16" t="s">
        <v>1134</v>
      </c>
      <c r="I235" s="16">
        <v>1</v>
      </c>
      <c r="J235" s="16">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Corpus</vt:lpstr>
      <vt:lpstr>Summary</vt:lpstr>
      <vt:lpstr>Principal characters</vt:lpstr>
      <vt:lpstr>Shame</vt:lpstr>
      <vt:lpstr>Guilt</vt:lpstr>
      <vt:lpstr>Conscience</vt:lpstr>
      <vt:lpstr>Honor</vt:lpstr>
      <vt:lpstr>Russian renderings</vt:lpstr>
      <vt:lpstr>Kazakh renderings</vt:lpstr>
      <vt:lpstr>Data (parsed)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Валентина</cp:lastModifiedBy>
  <cp:revision>0</cp:revision>
  <dcterms:created xsi:type="dcterms:W3CDTF">2026-05-21T22:18:29Z</dcterms:created>
  <dcterms:modified xsi:type="dcterms:W3CDTF">2026-06-04T23:24:58Z</dcterms:modified>
  <dc:language>en-US</dc:language>
</cp:coreProperties>
</file>