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ae239f87ba4189" /></Relationships>
</file>

<file path=xl/workbook.xml><?xml version="1.0" encoding="utf-8"?>
<x:workbook xmlns:x="http://schemas.openxmlformats.org/spreadsheetml/2006/main">
  <x:sheets>
    <x:sheet xmlns:r="http://schemas.openxmlformats.org/officeDocument/2006/relationships" name="Corpus" sheetId="1" r:id="R6ecf32df7f954e34"/>
    <x:sheet xmlns:r="http://schemas.openxmlformats.org/officeDocument/2006/relationships" name="Summary" sheetId="2" r:id="R373a01c99a7640d8"/>
    <x:sheet xmlns:r="http://schemas.openxmlformats.org/officeDocument/2006/relationships" name="Principal characters" sheetId="3" r:id="R6204c74c6e1a406f"/>
    <x:sheet xmlns:r="http://schemas.openxmlformats.org/officeDocument/2006/relationships" name="Shame" sheetId="4" r:id="R53cedeaeff6c48db"/>
    <x:sheet xmlns:r="http://schemas.openxmlformats.org/officeDocument/2006/relationships" name="Guilt" sheetId="5" r:id="R866d4dda790a4284"/>
    <x:sheet xmlns:r="http://schemas.openxmlformats.org/officeDocument/2006/relationships" name="Conscience" sheetId="6" r:id="Rc32c9d0678d940f1"/>
    <x:sheet xmlns:r="http://schemas.openxmlformats.org/officeDocument/2006/relationships" name="Honor" sheetId="7" r:id="R7d34921d50ab4ba8"/>
    <x:sheet xmlns:r="http://schemas.openxmlformats.org/officeDocument/2006/relationships" name="Russian renderings" sheetId="8" r:id="Rc98ac390684a440f"/>
    <x:sheet xmlns:r="http://schemas.openxmlformats.org/officeDocument/2006/relationships" name="Kazakh renderings" sheetId="9" r:id="R74ddc5bfb3c8478f"/>
    <x:sheet xmlns:r="http://schemas.openxmlformats.org/officeDocument/2006/relationships" name="Data (parsed)" sheetId="10" r:id="Rde8cccbe0b2c49cd"/>
  </x:sheets>
</x:workbook>
</file>

<file path=xl/sharedStrings.xml><?xml version="1.0" encoding="utf-8"?>
<sst xmlns="http://schemas.openxmlformats.org/spreadsheetml/2006/main" count="1382" uniqueCount="1382">
  <si>
    <t xml:space="preserve">#</t>
  </si>
  <si>
    <t xml:space="preserve">Domain — Category</t>
  </si>
  <si>
    <t xml:space="preserve">Part</t>
  </si>
  <si>
    <t xml:space="preserve">Semantic</t>
  </si>
  <si>
    <t xml:space="preserve">English</t>
  </si>
  <si>
    <t xml:space="preserve">Character</t>
  </si>
  <si>
    <t xml:space="preserve">Mode</t>
  </si>
  <si>
    <t xml:space="preserve">Russian</t>
  </si>
  <si>
    <t xml:space="preserve">Kazakh</t>
  </si>
  <si>
    <t xml:space="preserve">SHAME DOMAIN</t>
  </si>
  <si>
    <t xml:space="preserve">Shame — Moral shame</t>
  </si>
  <si>
    <t xml:space="preserve">P1</t>
  </si>
  <si>
    <t xml:space="preserve">caused moral shame, tears as physical manifestation; Ellen (external moral standard, parental authority)</t>
  </si>
  <si>
    <t xml:space="preserve">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shame her to tears with a reproachful glance.</t>
  </si>
  <si>
    <t xml:space="preserve">Scarlett</t>
  </si>
  <si>
    <t xml:space="preserve">felt</t>
  </si>
  <si>
    <r>
      <rPr>
        <b/>
        <sz val="10"/>
        <rFont val="Arial"/>
      </rPr>
      <t xml:space="preserve">TERM:</t>
    </r>
    <r>
      <rPr>
        <sz val="10"/>
        <rFont val="Arial"/>
      </rPr>
      <t xml:space="preserve"> pristydit' (пристыдить) — to put to shame, to shame (someone) [ORD]
</t>
    </r>
    <r>
      <rPr>
        <b/>
        <sz val="10"/>
        <rFont val="Arial"/>
      </rPr>
      <t xml:space="preserve">PASSAGE:</t>
    </r>
    <r>
      <rPr>
        <sz val="10"/>
        <rFont val="Arial"/>
      </rPr>
      <t xml:space="preserve"> ибо одного укоряющего взгляда матери было достаточно, чтобы пристыдить ее до слез.
</t>
    </r>
    <r>
      <rPr>
        <b/>
        <sz val="10"/>
        <rFont val="Arial"/>
      </rPr>
      <t xml:space="preserve">TRANS:</t>
    </r>
    <r>
      <rPr>
        <sz val="10"/>
        <rFont val="Arial"/>
      </rPr>
      <t xml:space="preserve"> ibo odnogo ukoryayushchego vzglyada materi bylo dostatochno, chtoby pristydit' ee do slez.
</t>
    </r>
    <r>
      <rPr>
        <b/>
        <sz val="10"/>
        <rFont val="Arial"/>
      </rPr>
      <t xml:space="preserve">TRANSLATION:</t>
    </r>
    <r>
      <rPr>
        <sz val="10"/>
        <rFont val="Arial"/>
      </rPr>
      <t xml:space="preserve"> for a single reproachful glance from her mother was enough to shame her to tears.</t>
    </r>
  </si>
  <si>
    <r>
      <rPr>
        <b/>
        <sz val="10"/>
        <rFont val="Arial"/>
      </rPr>
      <t xml:space="preserve">TERM:</t>
    </r>
    <r>
      <rPr>
        <sz val="10"/>
        <rFont val="Arial"/>
      </rPr>
      <t xml:space="preserve"> ŪİALTU (ҰЯЛТУ) — to make (someone) feel ashamed; to disconcert; to embarrass (causative) [KED, SZK]
</t>
    </r>
    <r>
      <rPr>
        <b/>
        <sz val="10"/>
        <rFont val="Arial"/>
      </rPr>
      <t xml:space="preserve">PASSAGE:</t>
    </r>
    <r>
      <rPr>
        <sz val="10"/>
        <rFont val="Arial"/>
      </rPr>
      <t xml:space="preserve"> Өзін момын етіп көрсетудің жолын білді, анасының сөге қараған жалғыз көзқарасы оны ұялтып, жылатуға жеткілікті болатын
</t>
    </r>
    <r>
      <rPr>
        <b/>
        <sz val="10"/>
        <rFont val="Arial"/>
      </rPr>
      <t xml:space="preserve">TRANS:</t>
    </r>
    <r>
      <rPr>
        <sz val="10"/>
        <rFont val="Arial"/>
      </rPr>
      <t xml:space="preserve"> Özın momyn etıp körsetudıñ jolyn bıldı, anasynyñ söge qarağan jalğyz közqarasy ony ūialtyp, jylatuğa jetkılıktı bolatyn
</t>
    </r>
    <r>
      <rPr>
        <b/>
        <sz val="10"/>
        <rFont val="Arial"/>
      </rPr>
      <t xml:space="preserve">TRANSLATION:</t>
    </r>
    <r>
      <rPr>
        <sz val="10"/>
        <rFont val="Arial"/>
      </rPr>
      <t xml:space="preserve"> She knew how to put on an air of meekness; her mother's single reproachful glance was enough to shame her into tears.</t>
    </r>
  </si>
  <si>
    <t xml:space="preserve">mild moral shame, inner accusation; no physical manifestation; Ellen (internalized moral standard)</t>
  </si>
  <si>
    <t xml:space="preserve">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ashamed of it.</t>
  </si>
  <si>
    <r>
      <rPr>
        <b/>
        <sz val="10"/>
        <rFont val="Arial"/>
      </rPr>
      <t xml:space="preserve">TERM:</t>
    </r>
    <r>
      <rPr>
        <sz val="10"/>
        <rFont val="Arial"/>
      </rPr>
      <t xml:space="preserve"> ustydilas' (устыдилась) — felt ashamed (pf., past fem.) [ORD] (lemma: устыдиться)
</t>
    </r>
    <r>
      <rPr>
        <b/>
        <sz val="10"/>
        <rFont val="Arial"/>
      </rPr>
      <t xml:space="preserve">PASSAGE:</t>
    </r>
    <r>
      <rPr>
        <sz val="10"/>
        <rFont val="Arial"/>
      </rPr>
      <t xml:space="preserve"> Но она устыдилась такой мысли, почувствовав даже в этом какое-то неуважение к Эллин
</t>
    </r>
    <r>
      <rPr>
        <b/>
        <sz val="10"/>
        <rFont val="Arial"/>
      </rPr>
      <t xml:space="preserve">TRANS:</t>
    </r>
    <r>
      <rPr>
        <sz val="10"/>
        <rFont val="Arial"/>
      </rPr>
      <t xml:space="preserve"> No ona ustydilas' takoy mysli, pochuvstvovav dazhe v etom kakoe-to neuvazhenie k Ellin
</t>
    </r>
    <r>
      <rPr>
        <b/>
        <sz val="10"/>
        <rFont val="Arial"/>
      </rPr>
      <t xml:space="preserve">TRANSLATION:</t>
    </r>
    <r>
      <rPr>
        <sz val="10"/>
        <rFont val="Arial"/>
      </rPr>
      <t xml:space="preserve"> But she felt ashamed at such a thought, sensing in it a kind of disrespect toward Ellen</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</si>
  <si>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Әйтсе де мұндай ойдың өзі Эллинге деген құрметсіздік сияқты сезіліп, ұялып қалды.
</t>
    </r>
    <r>
      <rPr>
        <b/>
        <sz val="10"/>
        <rFont val="Arial"/>
      </rPr>
      <t xml:space="preserve">TRANS:</t>
    </r>
    <r>
      <rPr>
        <sz val="10"/>
        <rFont val="Arial"/>
      </rPr>
      <t xml:space="preserve"> Äitse de mūndai oidyñ özı Elinge degen qūrmetsızdık siaqty sezılıp, ūialyp qaldy.
</t>
    </r>
    <r>
      <rPr>
        <b/>
        <sz val="10"/>
        <rFont val="Arial"/>
      </rPr>
      <t xml:space="preserve">TRANSLATION:</t>
    </r>
    <r>
      <rPr>
        <sz val="10"/>
        <rFont val="Arial"/>
      </rPr>
      <t xml:space="preserve"> And yet such a thought itself felt like disrespect toward Ellen, and she felt ashamed.</t>
    </r>
  </si>
  <si>
    <t xml:space="preserve">P3</t>
  </si>
  <si>
    <t xml:space="preserve">shame at openly  violating social-moral duty; mild; no physical manifestation</t>
  </si>
  <si>
    <t xml:space="preserve">She went hastily up the two short blocks to Peachtree Street, breathing the unfouled air in as deep gulps as her tightly laced corset would permit. She was standing on the corner, uncertain as to what she would do next, ashamed to go home to Aunt Pitty's but determined not to go back to the hospital, when Rhett Butler drove by.</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</si>
  <si>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ей стыдно было возвратиться к тете Питти,
</t>
    </r>
    <r>
      <rPr>
        <b/>
        <sz val="10"/>
        <rFont val="Arial"/>
      </rPr>
      <t xml:space="preserve">TRANS:</t>
    </r>
    <r>
      <rPr>
        <sz val="10"/>
        <rFont val="Arial"/>
      </rPr>
      <t xml:space="preserve"> ey stydno bylo vozvratit'sya k tete Pitti,
</t>
    </r>
    <r>
      <rPr>
        <b/>
        <sz val="10"/>
        <rFont val="Arial"/>
      </rPr>
      <t xml:space="preserve">TRANSLATION:</t>
    </r>
    <r>
      <rPr>
        <sz val="10"/>
        <rFont val="Arial"/>
      </rPr>
      <t xml:space="preserve"> she was ashamed to return to Aunt Pitty,</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</si>
  <si>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Бұрышқа жеткенде әрі қарай қалай жүрерін білмей тұрып қалды; Ол Питти тәтейге баруға ұялды
</t>
    </r>
    <r>
      <rPr>
        <b/>
        <sz val="10"/>
        <rFont val="Arial"/>
      </rPr>
      <t xml:space="preserve">TRANS:</t>
    </r>
    <r>
      <rPr>
        <sz val="10"/>
        <rFont val="Arial"/>
      </rPr>
      <t xml:space="preserve"> Būryşqa jetkende ärı qarai qalai jürerın bılmei tūryp qaldy; Ol Pitti täteige baruğa ūialdy
</t>
    </r>
    <r>
      <rPr>
        <b/>
        <sz val="10"/>
        <rFont val="Arial"/>
      </rPr>
      <t xml:space="preserve">TRANSLATION:</t>
    </r>
    <r>
      <rPr>
        <sz val="10"/>
        <rFont val="Arial"/>
      </rPr>
      <t xml:space="preserve"> When she reached the corner she stood still, not knowing what to do next; she was too ashamed to go to Aunt Pitty.</t>
    </r>
  </si>
  <si>
    <t xml:space="preserve">mild moral shame about angry outburst towards a servant; inner accusation; no physical manifestation; no specific witness</t>
  </si>
  <si>
    <t xml:space="preserve">A sullen "Yas'm" drifted up to her and she drew a deep breath, feeling suddenly ashamed of herself.</t>
  </si>
  <si>
    <r>
      <rPr>
        <b/>
        <sz val="10"/>
        <rFont val="Arial"/>
      </rPr>
      <t xml:space="preserve">TERM:</t>
    </r>
    <r>
      <rPr>
        <sz val="10"/>
        <rFont val="Arial"/>
      </rPr>
      <t xml:space="preserve"> ustydyas' (устыдясь) — having felt ashamed (gerund) [ORD] (lemma: устыдиться)
</t>
    </r>
    <r>
      <rPr>
        <b/>
        <sz val="10"/>
        <rFont val="Arial"/>
      </rPr>
      <t xml:space="preserve">PASSAGE:</t>
    </r>
    <r>
      <rPr>
        <sz val="10"/>
        <rFont val="Arial"/>
      </rPr>
      <t xml:space="preserve"> и Скарлетт глубоко вздохнула, устыдясь своей внезапной вспышки
</t>
    </r>
    <r>
      <rPr>
        <b/>
        <sz val="10"/>
        <rFont val="Arial"/>
      </rPr>
      <t xml:space="preserve">TRANS:</t>
    </r>
    <r>
      <rPr>
        <sz val="10"/>
        <rFont val="Arial"/>
      </rPr>
      <t xml:space="preserve"> i Skarlett gluboko vzdokhnula, ustydyas' svoey vnezapnoy vspyshki
</t>
    </r>
    <r>
      <rPr>
        <b/>
        <sz val="10"/>
        <rFont val="Arial"/>
      </rPr>
      <t xml:space="preserve">TRANSLATION:</t>
    </r>
    <r>
      <rPr>
        <sz val="10"/>
        <rFont val="Arial"/>
      </rPr>
      <t xml:space="preserve"> and Scarlett took a deep breath, ashamed of her sudden outburst</t>
    </r>
  </si>
  <si>
    <t xml:space="preserve">shame about own cowardice, inadvertently exposed by Melanie; no physical manifestation</t>
  </si>
  <si>
    <t xml:space="preserve">What Melanie said was no more than Scarlett had been thinking but hearing it put into words infuriated her, shamed her as if her secret cowardice was written plainly in her face.</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</si>
  <si>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ей было стыдно, словно Мелани прочла трусливые мысли на ее лице.
</t>
    </r>
    <r>
      <rPr>
        <b/>
        <sz val="10"/>
        <rFont val="Arial"/>
      </rPr>
      <t xml:space="preserve">TRANS:</t>
    </r>
    <r>
      <rPr>
        <sz val="10"/>
        <rFont val="Arial"/>
      </rPr>
      <t xml:space="preserve"> ey bylo stydno, slovno Melani prochla truslivye mysli na ee litse.
</t>
    </r>
    <r>
      <rPr>
        <b/>
        <sz val="10"/>
        <rFont val="Arial"/>
      </rPr>
      <t xml:space="preserve">TRANSLATION:</t>
    </r>
    <r>
      <rPr>
        <sz val="10"/>
        <rFont val="Arial"/>
      </rPr>
      <t xml:space="preserve"> she felt ashamed, as if Melanie had read her cowardly thoughts on her face.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</si>
  <si>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Мелани тек Скарлеттің өзі ойлағанын дауыстап айтқан еді, бірақ Скарлетт, Мелани оның қорқынышын бетінен оқып қойғандай, ұялғаннан ашуланды.
</t>
    </r>
    <r>
      <rPr>
        <b/>
        <sz val="10"/>
        <rFont val="Arial"/>
      </rPr>
      <t xml:space="preserve">TRANS:</t>
    </r>
    <r>
      <rPr>
        <sz val="10"/>
        <rFont val="Arial"/>
      </rPr>
      <t xml:space="preserve"> Melani tek Skarlettıñ özı oilağanyn dauystap aitqan edı, bıraq Skarlett, Melani onyñ qorqynyşyn betınen oqyp qoiğandai, ūialğannan aşulandy.
</t>
    </r>
    <r>
      <rPr>
        <b/>
        <sz val="10"/>
        <rFont val="Arial"/>
      </rPr>
      <t xml:space="preserve">TRANSLATION:</t>
    </r>
    <r>
      <rPr>
        <sz val="10"/>
        <rFont val="Arial"/>
      </rPr>
      <t xml:space="preserve"> Melanie had only said aloud what Scarlett herself had been thinking, but Scarlett, as if Melanie had read her fear on her face, became angry from shame.</t>
    </r>
  </si>
  <si>
    <t xml:space="preserve">shame about unfair inner judgment; no physical manifestation; no audience</t>
  </si>
  <si>
    <t xml:space="preserve">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shame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</si>
  <si>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И тут ей неожиданно стало стыдно.
</t>
    </r>
    <r>
      <rPr>
        <b/>
        <sz val="10"/>
        <rFont val="Arial"/>
      </rPr>
      <t xml:space="preserve">TRANS:</t>
    </r>
    <r>
      <rPr>
        <sz val="10"/>
        <rFont val="Arial"/>
      </rPr>
      <t xml:space="preserve"> I tut ey neozhidanno stalo stydno.
</t>
    </r>
    <r>
      <rPr>
        <b/>
        <sz val="10"/>
        <rFont val="Arial"/>
      </rPr>
      <t xml:space="preserve">TRANSLATION:</t>
    </r>
    <r>
      <rPr>
        <sz val="10"/>
        <rFont val="Arial"/>
      </rPr>
      <t xml:space="preserve"> And then suddenly she felt ashamed.</t>
    </r>
  </si>
  <si>
    <t xml:space="preserve">P4</t>
  </si>
  <si>
    <t xml:space="preserve">shame ascribed to  another — performative speech act (verdict / directive)</t>
  </si>
  <si>
    <t xml:space="preserve">"She didn't write you? Oh, I guess she was too ashamed to write you. She should be ashamed! Oh, to have such a mean sister!"</t>
  </si>
  <si>
    <t xml:space="preserve">ascribed</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</si>
  <si>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Ах, наверное, ей было слишком стыдно.
</t>
    </r>
    <r>
      <rPr>
        <b/>
        <sz val="10"/>
        <rFont val="Arial"/>
      </rPr>
      <t xml:space="preserve">TRANS:</t>
    </r>
    <r>
      <rPr>
        <sz val="10"/>
        <rFont val="Arial"/>
      </rPr>
      <t xml:space="preserve"> Akh, navernoe, ey bylo slishkom stydno.
</t>
    </r>
    <r>
      <rPr>
        <b/>
        <sz val="10"/>
        <rFont val="Arial"/>
      </rPr>
      <t xml:space="preserve">TRANSLATION:</t>
    </r>
    <r>
      <rPr>
        <sz val="10"/>
        <rFont val="Arial"/>
      </rPr>
      <t xml:space="preserve"> Ah, she must have been too ashamed.</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</si>
  <si>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Сірә, ұяты жібермеген шығар.
</t>
    </r>
    <r>
      <rPr>
        <b/>
        <sz val="10"/>
        <rFont val="Arial"/>
      </rPr>
      <t xml:space="preserve">TRANS:</t>
    </r>
    <r>
      <rPr>
        <sz val="10"/>
        <rFont val="Arial"/>
      </rPr>
      <t xml:space="preserve"> Sırä, ūiaty jıbermegen şyğar.
</t>
    </r>
    <r>
      <rPr>
        <b/>
        <sz val="10"/>
        <rFont val="Arial"/>
      </rPr>
      <t xml:space="preserve">TRANSLATION:</t>
    </r>
    <r>
      <rPr>
        <sz val="10"/>
        <rFont val="Arial"/>
      </rPr>
      <t xml:space="preserve"> Most likely shame did not let her [write].</t>
    </r>
  </si>
  <si>
    <t xml:space="preserve">mild shame about being thought better than she is; no physical manifestation; community / diffuse audience</t>
  </si>
  <si>
    <t xml:space="preserve">She felt puzzled and a little ashamed, as always when people attributed to her emotions and motives they possessed and thought she shared.</t>
  </si>
  <si>
    <r>
      <rPr>
        <b/>
        <sz val="10"/>
        <rFont val="Arial"/>
      </rPr>
      <t xml:space="preserve">TERM:</t>
    </r>
    <r>
      <rPr>
        <sz val="10"/>
        <rFont val="Arial"/>
      </rPr>
      <t xml:space="preserve"> pristyzhennoy (пристыженной) — shamed, abashed (past pass. participle) [ORD] (lemma: пристыженный)
</t>
    </r>
    <r>
      <rPr>
        <b/>
        <sz val="10"/>
        <rFont val="Arial"/>
      </rPr>
      <t xml:space="preserve">PASSAGE:</t>
    </r>
    <r>
      <rPr>
        <sz val="10"/>
        <rFont val="Arial"/>
      </rPr>
      <t xml:space="preserve"> Скарлетт была озадачена и чувствовала себя немного пристыженной
</t>
    </r>
    <r>
      <rPr>
        <b/>
        <sz val="10"/>
        <rFont val="Arial"/>
      </rPr>
      <t xml:space="preserve">TRANS:</t>
    </r>
    <r>
      <rPr>
        <sz val="10"/>
        <rFont val="Arial"/>
      </rPr>
      <t xml:space="preserve"> Skarlett byla ozadachena i chuvstvovala sebya nemnogo pristyzhennoy
</t>
    </r>
    <r>
      <rPr>
        <b/>
        <sz val="10"/>
        <rFont val="Arial"/>
      </rPr>
      <t xml:space="preserve">TRANSLATION:</t>
    </r>
    <r>
      <rPr>
        <sz val="10"/>
        <rFont val="Arial"/>
      </rPr>
      <t xml:space="preserve"> Scarlett was puzzled and felt herself a bit shamed</t>
    </r>
  </si>
  <si>
    <r>
      <rPr>
        <b/>
        <sz val="10"/>
        <rFont val="Arial"/>
      </rPr>
      <t xml:space="preserve">TERM:</t>
    </r>
    <r>
      <rPr>
        <sz val="10"/>
        <rFont val="Arial"/>
      </rPr>
      <t xml:space="preserve"> QOLAİSYZ (ҚОЛАЙСЫЗ) — inappropriate; inconvenient; awkward [KED, SZK]
</t>
    </r>
    <r>
      <rPr>
        <b/>
        <sz val="10"/>
        <rFont val="Arial"/>
      </rPr>
      <t xml:space="preserve">PASSAGE:</t>
    </r>
    <r>
      <rPr>
        <sz val="10"/>
        <rFont val="Arial"/>
      </rPr>
      <t xml:space="preserve"> Скарлеттің көңілі алаңдап, өзін қолайсыз сезініп тұр, әйтеуір, адамдар ылғи да бұған өзінің ойлары мен сезімдерін таңады да жүреді, мұның ортақтаспайтынымен шаруалары жоқ.
</t>
    </r>
    <r>
      <rPr>
        <b/>
        <sz val="10"/>
        <rFont val="Arial"/>
      </rPr>
      <t xml:space="preserve">TRANS:</t>
    </r>
    <r>
      <rPr>
        <sz val="10"/>
        <rFont val="Arial"/>
      </rPr>
      <t xml:space="preserve"> Skarlettıñ köñılı alañdap, özın qolaisyz sezınıp tūr, äiteuır, adamdar ylği da būğan özınıñ oilary men sezımderın tañady da jüredı, mūnyñ ortaqtaspaitynymen şarualary joq.
</t>
    </r>
    <r>
      <rPr>
        <b/>
        <sz val="10"/>
        <rFont val="Arial"/>
      </rPr>
      <t xml:space="preserve">TRANSLATION:</t>
    </r>
    <r>
      <rPr>
        <sz val="10"/>
        <rFont val="Arial"/>
      </rPr>
      <t xml:space="preserve"> Scarlett was confused and felt awkward — people always ascribe to her their own thoughts and feelings, with no regard for whether she shares them.</t>
    </r>
  </si>
  <si>
    <t xml:space="preserve">Ashley’s self-directed moral shame about causing another to sacrifice</t>
  </si>
  <si>
    <t xml:space="preserve">"You ashamed? Why should you be ashamed? I'm the one to feel shame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</si>
  <si>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Вам было стыдно?
</t>
    </r>
    <r>
      <rPr>
        <b/>
        <sz val="10"/>
        <rFont val="Arial"/>
      </rPr>
      <t xml:space="preserve">TRANS:</t>
    </r>
    <r>
      <rPr>
        <sz val="10"/>
        <rFont val="Arial"/>
      </rPr>
      <t xml:space="preserve"> Vam bylo stydno?
</t>
    </r>
    <r>
      <rPr>
        <b/>
        <sz val="10"/>
        <rFont val="Arial"/>
      </rPr>
      <t xml:space="preserve">TRANSLATION:</t>
    </r>
    <r>
      <rPr>
        <sz val="10"/>
        <rFont val="Arial"/>
      </rPr>
      <t xml:space="preserve"> You were ashamed?</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</si>
  <si>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Ұялдым дейсіз бе?
</t>
    </r>
    <r>
      <rPr>
        <b/>
        <sz val="10"/>
        <rFont val="Arial"/>
      </rPr>
      <t xml:space="preserve">TRANS:</t>
    </r>
    <r>
      <rPr>
        <sz val="10"/>
        <rFont val="Arial"/>
      </rPr>
      <t xml:space="preserve"> Ūialdym deisız be?
</t>
    </r>
    <r>
      <rPr>
        <b/>
        <sz val="10"/>
        <rFont val="Arial"/>
      </rPr>
      <t xml:space="preserve">TRANSLATION:</t>
    </r>
    <r>
      <rPr>
        <sz val="10"/>
        <rFont val="Arial"/>
      </rPr>
      <t xml:space="preserve"> You say you were ashamed?</t>
    </r>
  </si>
  <si>
    <t xml:space="preserve">moral shame, Ashley’s self-accusation and pain as stimulus; physical manifestation – facial expression (eyes); Ashley as stimulus and witness</t>
  </si>
  <si>
    <t xml:space="preserve">The edge in his voice spoke of a raw, unhealed wound that ached within him and his words brought shame to her eyes. He was swift to see it and his face changed to gentleness.</t>
  </si>
  <si>
    <r>
      <rPr>
        <b/>
        <sz val="10"/>
        <rFont val="Arial"/>
      </rPr>
      <t xml:space="preserve">TERM:</t>
    </r>
    <r>
      <rPr>
        <sz val="10"/>
        <rFont val="Arial"/>
      </rPr>
      <t xml:space="preserve"> slezy styda (слезы стыда) — tears of shame [ORD] (lemma: слеза)
</t>
    </r>
    <r>
      <rPr>
        <b/>
        <sz val="10"/>
        <rFont val="Arial"/>
      </rPr>
      <t xml:space="preserve">PASSAGE:</t>
    </r>
    <r>
      <rPr>
        <sz val="10"/>
        <rFont val="Arial"/>
      </rPr>
      <t xml:space="preserve"> Раздражение, звучавшее в его голосе, говорило о незаживающей ране, которая болела, и от его слов слезы стыда выступили у нее на глазах.
</t>
    </r>
    <r>
      <rPr>
        <b/>
        <sz val="10"/>
        <rFont val="Arial"/>
      </rPr>
      <t xml:space="preserve">TRANS:</t>
    </r>
    <r>
      <rPr>
        <sz val="10"/>
        <rFont val="Arial"/>
      </rPr>
      <t xml:space="preserve"> Razdrazhenie, zvuchavshee v ego golose, govorilo o nezazhivayushchey rane, kotoraya bolela, i ot ego slov slezy styda vystupili u nee na glazakh.
</t>
    </r>
    <r>
      <rPr>
        <b/>
        <sz val="10"/>
        <rFont val="Arial"/>
      </rPr>
      <t xml:space="preserve">TRANSLATION:</t>
    </r>
    <r>
      <rPr>
        <sz val="10"/>
        <rFont val="Arial"/>
      </rPr>
      <t xml:space="preserve"> The irritation that sounded in his voice spoke of an unhealing wound that hurt, and at his words tears of shame welled up in her eyes.</t>
    </r>
  </si>
  <si>
    <t xml:space="preserve">moral shame, inner accusation; no physical manifestation; not understanding Melanie as stimulus and moral mirror; Melanie ascribing noble motives to Scarlett when she had ulterior motives</t>
  </si>
  <si>
    <t xml:space="preserve">Her eyes blazed with enthusiasm and happiness and the two stared at her, Ashley with a queer stunned look, Scarlett with surprise mingled with shame. It had never occurred to her that Melanie missed Atlanta so much and longed to be back, longed for a home of her own. She had seemed so contented at Tara it came to Scarlett as a shock that she was homesick.</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</si>
  <si>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Скарлетт — со смесью удивления и стыда.
</t>
    </r>
    <r>
      <rPr>
        <b/>
        <sz val="10"/>
        <rFont val="Arial"/>
      </rPr>
      <t xml:space="preserve">TRANS:</t>
    </r>
    <r>
      <rPr>
        <sz val="10"/>
        <rFont val="Arial"/>
      </rPr>
      <t xml:space="preserve"> Skarlett — so smes'yu udivleniya i styda.
</t>
    </r>
    <r>
      <rPr>
        <b/>
        <sz val="10"/>
        <rFont val="Arial"/>
      </rPr>
      <t xml:space="preserve">TRANSLATION:</t>
    </r>
    <r>
      <rPr>
        <sz val="10"/>
        <rFont val="Arial"/>
      </rPr>
      <t xml:space="preserve"> Scarlett — with a mix of surprise and shame.</t>
    </r>
  </si>
  <si>
    <r>
      <rPr>
        <b/>
        <sz val="10"/>
        <rFont val="Arial"/>
      </rPr>
      <t xml:space="preserve">TERM:</t>
    </r>
    <r>
      <rPr>
        <sz val="10"/>
        <rFont val="Arial"/>
      </rPr>
      <t xml:space="preserve"> ŪİAT(ҰЯТ) — shame; disgrace; sense of decency (also: that which is improper) [KED, SZK]
</t>
    </r>
    <r>
      <rPr>
        <b/>
        <sz val="10"/>
        <rFont val="Arial"/>
      </rPr>
      <t xml:space="preserve">PASSAGE:</t>
    </r>
    <r>
      <rPr>
        <sz val="10"/>
        <rFont val="Arial"/>
      </rPr>
      <t xml:space="preserve"> Эшли дағдарып, есін жия алмаса, Скарлетт ұяттан өртеніп әрі таңырқап тұр.
</t>
    </r>
    <r>
      <rPr>
        <b/>
        <sz val="10"/>
        <rFont val="Arial"/>
      </rPr>
      <t xml:space="preserve">TRANS:</t>
    </r>
    <r>
      <rPr>
        <sz val="10"/>
        <rFont val="Arial"/>
      </rPr>
      <t xml:space="preserve"> Eşli dağdaryp, esın jia almasa, Skarlett ūiattan örtenıp ärı tañyrqap tūr.
</t>
    </r>
    <r>
      <rPr>
        <b/>
        <sz val="10"/>
        <rFont val="Arial"/>
      </rPr>
      <t xml:space="preserve">TRANSLATION:</t>
    </r>
    <r>
      <rPr>
        <sz val="10"/>
        <rFont val="Arial"/>
      </rPr>
      <t xml:space="preserve"> While Ashley was confused and could not collect himself, Scarlett stood burning with shame and astonished.</t>
    </r>
  </si>
  <si>
    <t xml:space="preserve">moral shame, inner accusation; no physical manifestation; Melanie as moral mirror; Melanie and Ashley audience</t>
  </si>
  <si>
    <t xml:space="preserve">As usual when confronted by Melanie's habit of attributing worthy motives where no worth existed, Scarlett was ashamed and irritated, and suddenly she could not meet either Ashley's or Melanie's eyes.</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</si>
  <si>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
    </r>
    <r>
      <rPr>
        <b/>
        <sz val="10"/>
        <rFont val="Arial"/>
      </rPr>
      <t xml:space="preserve">TRANS:</t>
    </r>
    <r>
      <rPr>
        <sz val="10"/>
        <rFont val="Arial"/>
      </rPr>
      <t xml:space="preserve"> I Skarlett, stolknuvshis' s etim umeniem Melani pripisyvat' lyudyam blagorodnye postupki tam, gde blagorodstvom i ne pakhlo, pochuvstvovala, po obyknoveniyu, priliv styda i razdrazheniya
</t>
    </r>
    <r>
      <rPr>
        <b/>
        <sz val="10"/>
        <rFont val="Arial"/>
      </rPr>
      <t xml:space="preserve">TRANSLATION:</t>
    </r>
    <r>
      <rPr>
        <sz val="10"/>
        <rFont val="Arial"/>
      </rPr>
      <t xml:space="preserve"> And Scarlett, faced with this skill of Melanie's for ascribing noble motives to people where no nobility was to be found, felt her customary surge of shame and irritation</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</si>
  <si>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ұяттан жерге кірердей болды.
</t>
    </r>
    <r>
      <rPr>
        <b/>
        <sz val="10"/>
        <rFont val="Arial"/>
      </rPr>
      <t xml:space="preserve">TRANS:</t>
    </r>
    <r>
      <rPr>
        <sz val="10"/>
        <rFont val="Arial"/>
      </rPr>
      <t xml:space="preserve"> Özınıñ körgen, mañdaiyna būiyrğan är jaqsylyğyn qaşan da bıreudıñ arqasynda boldy dep oilaityn Melanidıñ myna quanyşty küiı Skarlettıñ betınen otyn şyğaryp, ūiattan jerge kırerdei boldy.
</t>
    </r>
    <r>
      <rPr>
        <b/>
        <sz val="10"/>
        <rFont val="Arial"/>
      </rPr>
      <t xml:space="preserve">TRANSLATION:</t>
    </r>
    <r>
      <rPr>
        <sz val="10"/>
        <rFont val="Arial"/>
      </rPr>
      <t xml:space="preserve"> Melanie's joyous mood — always thinking that every good thing she had received in life had come because of someone else — made Scarlett's face burn and want to sink into the ground from shame.</t>
    </r>
  </si>
  <si>
    <t xml:space="preserve">P5</t>
  </si>
  <si>
    <t xml:space="preserve">Shame about past moral wrongs, strengthened by Melanie’s love; no physical manifestation; Melanie as moral mirror</t>
  </si>
  <si>
    <t xml:space="preserve">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</si>
  <si>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r>
      <rPr>
        <b/>
        <sz val="10"/>
        <rFont val="Arial"/>
      </rPr>
      <t xml:space="preserve">TERM:</t>
    </r>
    <r>
      <rPr>
        <sz val="10"/>
        <rFont val="Arial"/>
      </rPr>
      <t xml:space="preserve"> stydom (стыдом) — shame (instrumental) [ORD] (lemma: стыд)
</t>
    </r>
    <r>
      <rPr>
        <b/>
        <sz val="10"/>
        <rFont val="Arial"/>
      </rPr>
      <t xml:space="preserve">PASSAGE:</t>
    </r>
    <r>
      <rPr>
        <sz val="10"/>
        <rFont val="Arial"/>
      </rPr>
      <t xml:space="preserv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
    </r>
    <r>
      <rPr>
        <b/>
        <sz val="10"/>
        <rFont val="Arial"/>
      </rPr>
      <t xml:space="preserve">TRANS:</t>
    </r>
    <r>
      <rPr>
        <sz val="10"/>
        <rFont val="Arial"/>
      </rPr>
      <t xml:space="preserve"> I Skarlett, so stydom glyadya v temnye, sverkayushchie lyubov'yu i vozmushcheniem glaza, pochuvstvovala, kak u nee zakholonulo serdtse, ibo ponyala, chto nikogda ne uznaet mira i pokoya, sleduyushchikh za priznaniem.
</t>
    </r>
    <r>
      <rPr>
        <b/>
        <sz val="10"/>
        <rFont val="Arial"/>
      </rPr>
      <t xml:space="preserve">TRANSLATION:</t>
    </r>
    <r>
      <rPr>
        <sz val="10"/>
        <rFont val="Arial"/>
      </rPr>
      <t xml:space="preserve"> And Scarlett, looking with shame into the dark eyes shining with love and indignation, felt her heart go cold, for she understood that she would never know the peace and quiet that follows confession.</t>
    </r>
  </si>
  <si>
    <t xml:space="preserve">retrospective moral shame, sustained burden; no physical manifestation; Melanie as moral mirror</t>
  </si>
  <si>
    <t xml:space="preserve">Yes, it would be her cross, until she died, to keep this torment silent within her, to wear the hair shirt of shame, to feel it chafing her at every tender look and gesture Melanie would make throughout the years, to subdue forever the impulse to cry: "Don't be so kind! Don't fight for me! I'm not worth it!"</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</si>
  <si>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
    </r>
    <r>
      <rPr>
        <b/>
        <sz val="10"/>
        <rFont val="Arial"/>
      </rPr>
      <t xml:space="preserve">TRANS:</t>
    </r>
    <r>
      <rPr>
        <sz val="10"/>
        <rFont val="Arial"/>
      </rPr>
      <t xml:space="preserve"> Da, etot krest ona budet nesti do samoy smerti — budet molcha terpet' svoyu muku, nikomu ne skazhet o tom, kak bol'no kolet ee vlasyanitsa styda pri kazhdom nezhnom vzglyade i zheste Melani, budet vechno podavlyat' v sebe zhelanie kriknut': «Ne bud' takoy dobroy!
</t>
    </r>
    <r>
      <rPr>
        <b/>
        <sz val="10"/>
        <rFont val="Arial"/>
      </rPr>
      <t xml:space="preserve">TRANSLATION:</t>
    </r>
    <r>
      <rPr>
        <sz val="10"/>
        <rFont val="Arial"/>
      </rPr>
      <t xml:space="preserve"> Yes, she would bear this cross until her very death — she would silently endure her torment, would tell no one how painfully the hair shirt of shame pricked her at every tender glance and gesture of Melanie's, would forever suppress the desire to cry: "Don't be so kind!"</t>
    </r>
  </si>
  <si>
    <r>
      <rPr>
        <b/>
        <sz val="10"/>
        <rFont val="Arial"/>
      </rPr>
      <t xml:space="preserve">TERM:</t>
    </r>
    <r>
      <rPr>
        <sz val="10"/>
        <rFont val="Arial"/>
      </rPr>
      <t xml:space="preserve"> KÜNÄ (КҮНӘ) — sin (religious register; from Persian gunāh) [KED, SZK]
</t>
    </r>
    <r>
      <rPr>
        <b/>
        <sz val="10"/>
        <rFont val="Arial"/>
      </rPr>
      <t xml:space="preserve">PASSAGE:</t>
    </r>
    <r>
      <rPr>
        <sz val="10"/>
        <rFont val="Arial"/>
      </rPr>
      <t xml:space="preserve"> Иә, бұл күнәсін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b/>
        <sz val="10"/>
        <rFont val="Arial"/>
      </rPr>
      <t xml:space="preserve">TRANS:</t>
    </r>
    <r>
      <rPr>
        <sz val="10"/>
        <rFont val="Arial"/>
      </rPr>
      <t xml:space="preserve"> İä, būl künäsın mäñgı arqalaitynyn özı de bıledı, ünsız şydaidy, Melanidıñ meiırımı tögılgen ärbır közqarasyn körgen saiyn jüregı şanşyp, «Būlai eljıremeşı mağan! Men üşın eşkımmen kürespe de! Men oğan müldem laiyq emespın!» degısı keledı.
</t>
    </r>
    <r>
      <rPr>
        <b/>
        <sz val="10"/>
        <rFont val="Arial"/>
      </rPr>
      <t xml:space="preserve">TRANSLATION:</t>
    </r>
    <r>
      <rPr>
        <sz val="10"/>
        <rFont val="Arial"/>
      </rPr>
      <t xml:space="preserve"> Yes, she herself knows that she will carry this sin forever; she will endure in silence; every time she sees Melanie's glance brimming with kindness her heart pierces her, and she wants to say: "Don't feel such tenderness for me! Don't fight with anyone for my sake! I am not at all worthy of it!"</t>
    </r>
  </si>
  <si>
    <t xml:space="preserve">retrospective moral shame, sustained burden; sobs; Melanie as moral mirror</t>
  </si>
  <si>
    <t xml:space="preserve">At the mention of Ashley's name, Scarlett's heart stood still, cold as granite within her. Melanie had known all the time. Scarlett dropped her head on the coverlet and a sob that would not rise caught her throat with a cruel hand. Melanie knew. Scarlett was beyond shame now, beyond any feeling save a wild remorse that she had hurt this gentle creature throughout the long years. Melanie had known—and yet, she had remained her loyal friend. Oh, if she could only live those years over again! She would never even let her eyes meet those of Ashley.</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</si>
  <si>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
    </r>
    <r>
      <rPr>
        <b/>
        <sz val="10"/>
        <rFont val="Arial"/>
      </rPr>
      <t xml:space="preserve">TRANS:</t>
    </r>
    <r>
      <rPr>
        <sz val="10"/>
        <rFont val="Arial"/>
      </rPr>
      <t xml:space="preserve"> Seychas Skarlett uzhe ne bylo stydno, ona nichego ne chuvstvovala, krome dikikh ugryzeniy sovesti za to, chto stol'ko let prichinyala bol' etoy myagkoy, laskovoy zhenshchine.
</t>
    </r>
    <r>
      <rPr>
        <b/>
        <sz val="10"/>
        <rFont val="Arial"/>
      </rPr>
      <t xml:space="preserve">TRANSLATION:</t>
    </r>
    <r>
      <rPr>
        <sz val="10"/>
        <rFont val="Arial"/>
      </rPr>
      <t xml:space="preserve"> Now Scarlett was no longer ashamed; she felt nothing but wild pangs of conscience for having caused pain to this gentle, tender woman for so many years.</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</si>
  <si>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Дәл қазір Скарлетт ешкімнен, ештеңеден де ұялған жоқ, осынау мейірімді де жұмсақ, жайсаң әйелге өмір бойы қиянат жасап келгеніне ғана қиналды.
</t>
    </r>
    <r>
      <rPr>
        <b/>
        <sz val="10"/>
        <rFont val="Arial"/>
      </rPr>
      <t xml:space="preserve">TRANS:</t>
    </r>
    <r>
      <rPr>
        <sz val="10"/>
        <rFont val="Arial"/>
      </rPr>
      <t xml:space="preserve"> Däl qazır Skarlett eşkımnen, eşteñeden de ūialğan joq, osynau meiırımdı de jūmsaq, jaisañ äielge ömır boiy qianat jasap kelgenıne ğana qinaldy.
</t>
    </r>
    <r>
      <rPr>
        <b/>
        <sz val="10"/>
        <rFont val="Arial"/>
      </rPr>
      <t xml:space="preserve">TRANSLATION:</t>
    </r>
    <r>
      <rPr>
        <sz val="10"/>
        <rFont val="Arial"/>
      </rPr>
      <t xml:space="preserve"> Right now Scarlett was not ashamed of anyone, of anything; she only suffered because she had wronged this kind, gentle, generous woman all her life.</t>
    </r>
  </si>
  <si>
    <t xml:space="preserve">retrospective moral shame about cruelty to Rhett, sustained burden; internal (heart contracts); no audience</t>
  </si>
  <si>
    <t xml:space="preserve">She had started up the steps in search of him when she saw that the door of the dining room was closed. Her heart contracted a little with shame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</si>
  <si>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
    </r>
    <r>
      <rPr>
        <b/>
        <sz val="10"/>
        <rFont val="Arial"/>
      </rPr>
      <t xml:space="preserve">TRANS:</t>
    </r>
    <r>
      <rPr>
        <sz val="10"/>
        <rFont val="Arial"/>
      </rPr>
      <t xml:space="preserve"> Serdtse u nee chut' szhalos' ot styda pri vide etoy zakrytoy dveri — ona vspomnila mnogie vechera proshedshego leta, kogda Rett sidel tam odin i pil do odureniya, a potom Pork yavlyalsya i ukladyval ego v postel'.
</t>
    </r>
    <r>
      <rPr>
        <b/>
        <sz val="10"/>
        <rFont val="Arial"/>
      </rPr>
      <t xml:space="preserve">TRANSLATION:</t>
    </r>
    <r>
      <rPr>
        <sz val="10"/>
        <rFont val="Arial"/>
      </rPr>
      <t xml:space="preserve"> Her heart contracted with shame at the sight of this closed door — she remembered many evenings of the past summer when Rhett sat there alone drinking himself into oblivion, and then Pork would come and put him to bed.</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</si>
  <si>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ұялғаннан жүрегі қысылып кетті.
</t>
    </r>
    <r>
      <rPr>
        <b/>
        <sz val="10"/>
        <rFont val="Arial"/>
      </rPr>
      <t xml:space="preserve">TRANS:</t>
    </r>
    <r>
      <rPr>
        <sz val="10"/>
        <rFont val="Arial"/>
      </rPr>
      <t xml:space="preserve"> Sol esıkke közı tüskende Rettıñ esınen tanğanşa ışetın kezderı, aqyrynda Porktıñ ony süirelep, tösegıne äzer jetkızetın sätterı köp bolğan ötken jazdyñ keşterı esıne tüsıp, ūialğannan jüregı qysylyp kettı.
</t>
    </r>
    <r>
      <rPr>
        <b/>
        <sz val="10"/>
        <rFont val="Arial"/>
      </rPr>
      <t xml:space="preserve">TRANSLATION:</t>
    </r>
    <r>
      <rPr>
        <sz val="10"/>
        <rFont val="Arial"/>
      </rPr>
      <t xml:space="preserve"> When her gaze fell on that door she remembered the evenings of the past summer when Rhett used to drink until he lost his senses, and finally Pork would drag him and barely manage to put him in bed — and her heart was clenched from shame.</t>
    </r>
  </si>
  <si>
    <t xml:space="preserve">Preventative shame about breaking social-moral conventions – speaking of love to Rhett when Melanie just died; no physical manifestation; Rhett as specific witness</t>
  </si>
  <si>
    <t xml:space="preserve">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ashamed to speak of love when Melanie was hardly cold.</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</si>
  <si>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Но что-то в его лице удержало ее, и внезапно ей стало стыдно говорить о любви в такую минуту — ведь Мелани еще не успела остыть.
</t>
    </r>
    <r>
      <rPr>
        <b/>
        <sz val="10"/>
        <rFont val="Arial"/>
      </rPr>
      <t xml:space="preserve">TRANS:</t>
    </r>
    <r>
      <rPr>
        <sz val="10"/>
        <rFont val="Arial"/>
      </rPr>
      <t xml:space="preserve"> No chto-to v ego litse uderzhalo ee, i vnezapno ey stalo stydno govorit' o lyubvi v takuyu minutu — ved' Melani eshche ne uspela ostyt'.
</t>
    </r>
    <r>
      <rPr>
        <b/>
        <sz val="10"/>
        <rFont val="Arial"/>
      </rPr>
      <t xml:space="preserve">TRANSLATION:</t>
    </r>
    <r>
      <rPr>
        <sz val="10"/>
        <rFont val="Arial"/>
      </rPr>
      <t xml:space="preserve"> But something in his face restrained her, and suddenly she felt ashamed to speak of love at such a moment — Melanie had not yet had time to grow cold.</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</si>
  <si>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Бірақ оның жүзіндегі әлдене ниетін тежей берді, тіпті мынадай жағдайда сезім туралы айтудың өзі ұят сияқтанды, Меланидің денесі де суып үлгермеді ғой.
</t>
    </r>
    <r>
      <rPr>
        <b/>
        <sz val="10"/>
        <rFont val="Arial"/>
      </rPr>
      <t xml:space="preserve">TRANS:</t>
    </r>
    <r>
      <rPr>
        <sz val="10"/>
        <rFont val="Arial"/>
      </rPr>
      <t xml:space="preserve"> Bıraq onyñ jüzındegı äldene nietın tejei berdı, tıptı mynadai jağdaida sezım turaly aitudyñ özı ūiat siaqtandy, Melanidıñ denesı de suyp ülgermedı ğoi.
</t>
    </r>
    <r>
      <rPr>
        <b/>
        <sz val="10"/>
        <rFont val="Arial"/>
      </rPr>
      <t xml:space="preserve">TRANSLATION:</t>
    </r>
    <r>
      <rPr>
        <sz val="10"/>
        <rFont val="Arial"/>
      </rPr>
      <t xml:space="preserve"> But something on his face held back her intent; even speaking of feelings in such a situation felt like a shame, since Melanie's body had not even had time to cool.</t>
    </r>
  </si>
  <si>
    <t xml:space="preserve">Moral shame expected by Scarlett, not felt by Rhett</t>
  </si>
  <si>
    <t xml:space="preserve">"Well, I'm glad to learn you are ashamed of the way you treated me."</t>
  </si>
  <si>
    <t xml:space="preserve">Rhett</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</si>
  <si>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Что ж, я рада слышать, что вам стыдно вспоминать, как вы поступили со мной.
</t>
    </r>
    <r>
      <rPr>
        <b/>
        <sz val="10"/>
        <rFont val="Arial"/>
      </rPr>
      <t xml:space="preserve">TRANS:</t>
    </r>
    <r>
      <rPr>
        <sz val="10"/>
        <rFont val="Arial"/>
      </rPr>
      <t xml:space="preserve"> Chto zh, ya rada slyshat', chto vam stydno vspominat', kak vy postupili so mnoy.
</t>
    </r>
    <r>
      <rPr>
        <b/>
        <sz val="10"/>
        <rFont val="Arial"/>
      </rPr>
      <t xml:space="preserve">TRANSLATION:</t>
    </r>
    <r>
      <rPr>
        <sz val="10"/>
        <rFont val="Arial"/>
      </rPr>
      <t xml:space="preserve"> Well, I am glad to hear that you are ashamed of remembering how you treated me.</t>
    </r>
  </si>
  <si>
    <r>
      <rPr>
        <b/>
        <sz val="10"/>
        <rFont val="Arial"/>
      </rPr>
      <t xml:space="preserve">TERM:</t>
    </r>
    <r>
      <rPr>
        <sz val="10"/>
        <rFont val="Arial"/>
      </rPr>
      <t xml:space="preserve"> ÖKINU (ӨКІНУ) — to regret; to repent [KED, SZK]
</t>
    </r>
    <r>
      <rPr>
        <b/>
        <sz val="10"/>
        <rFont val="Arial"/>
      </rPr>
      <t xml:space="preserve">PASSAGE:</t>
    </r>
    <r>
      <rPr>
        <sz val="10"/>
        <rFont val="Arial"/>
      </rPr>
      <t xml:space="preserve"> Жарайды, мені тастап кеткеніңіз үшін өкінгеніңізге де қуанамын.
</t>
    </r>
    <r>
      <rPr>
        <b/>
        <sz val="10"/>
        <rFont val="Arial"/>
      </rPr>
      <t xml:space="preserve">TRANS:</t>
    </r>
    <r>
      <rPr>
        <sz val="10"/>
        <rFont val="Arial"/>
      </rPr>
      <t xml:space="preserve"> Jaraidy, menı tastap ketkenıñız üşın ökıngenıñızge de quanamyn.
</t>
    </r>
    <r>
      <rPr>
        <b/>
        <sz val="10"/>
        <rFont val="Arial"/>
      </rPr>
      <t xml:space="preserve">TRANSLATION:</t>
    </r>
    <r>
      <rPr>
        <sz val="10"/>
        <rFont val="Arial"/>
      </rPr>
      <t xml:space="preserve"> Very well, I am also glad that you regret leaving me behind.</t>
    </r>
  </si>
  <si>
    <t xml:space="preserve">Melanie as moral mirror; reproaches Scarlett for doubting Melanie’s good opinion of her</t>
  </si>
  <si>
    <t xml:space="preserve">"Darling,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ashamed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</si>
  <si>
    <t xml:space="preserve">Melanie</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</si>
  <si>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
    </r>
    <r>
      <rPr>
        <b/>
        <sz val="10"/>
        <rFont val="Arial"/>
      </rPr>
      <t xml:space="preserve">TRANS:</t>
    </r>
    <r>
      <rPr>
        <sz val="10"/>
        <rFont val="Arial"/>
      </rPr>
      <t xml:space="preserve"> Ved' my troe… kak soldaty srazhalis' vmeste na protyazhenii stol'kikh let, tak chto mne dazhe stydno za tebya: nu, kak ty mogla podumat', chto dosuzhie spletni mogut vozvesti mezhdu nami stenu.
</t>
    </r>
    <r>
      <rPr>
        <b/>
        <sz val="10"/>
        <rFont val="Arial"/>
      </rPr>
      <t xml:space="preserve">TRANSLATION:</t>
    </r>
    <r>
      <rPr>
        <sz val="10"/>
        <rFont val="Arial"/>
      </rPr>
      <t xml:space="preserve"> For we three... like soldiers fought together for so many years, that I am even ashamed for you: how could you have thought that idle gossip could erect a wall between us.</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</si>
  <si>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ұяламын, қайдағы біреулердің қаңқу өсектеріне бола ортамызда алауыздық болады деп, қалай ойлайсың, сірә?
</t>
    </r>
    <r>
      <rPr>
        <b/>
        <sz val="10"/>
        <rFont val="Arial"/>
      </rPr>
      <t xml:space="preserve">TRANS:</t>
    </r>
    <r>
      <rPr>
        <sz val="10"/>
        <rFont val="Arial"/>
      </rPr>
      <t xml:space="preserve"> Bız üşeumız… qanşama jyldar boiy qatar tüzep, ömırdegı tosqauyldarmen sarbazdarşa küresıp, berıspei kelemız, sondyqtan senıñ būl äreketıñ üşın ūialamyn, qaidağy bıreulerdıñ qañqu ösekterıne bola ortamyzda alauyzdyq bolady dep, qalai oilaisyñ, sırä?
</t>
    </r>
    <r>
      <rPr>
        <b/>
        <sz val="10"/>
        <rFont val="Arial"/>
      </rPr>
      <t xml:space="preserve">TRANSLATION:</t>
    </r>
    <r>
      <rPr>
        <sz val="10"/>
        <rFont val="Arial"/>
      </rPr>
      <t xml:space="preserve"> We three... for so many years standing in line, fighting like soldiers against life's obstacles without yielding — and so I am ashamed for you for this action of yours: how could you have thought that the cackling rumors of some people would create division among us?</t>
    </r>
  </si>
  <si>
    <t xml:space="preserve">P2</t>
  </si>
  <si>
    <t xml:space="preserve">Moral inner shame about infidelity; facial expression manifestation; Scarlett witness</t>
  </si>
  <si>
    <t xml:space="preserve">He bent suddenly to retrieve his hat and she had one glimpse of his face. It was the unhappiest face she was ever to see, a face from which all aloofness had fled. Written on it were his love for and joy that she loved him, but battling them both were shame and despair.</t>
  </si>
  <si>
    <t xml:space="preserve">Ashley</t>
  </si>
  <si>
    <r>
      <rPr>
        <b/>
        <sz val="10"/>
        <rFont val="Arial"/>
      </rPr>
      <t xml:space="preserve">TERM:</t>
    </r>
    <r>
      <rPr>
        <sz val="10"/>
        <rFont val="Arial"/>
      </rPr>
      <t xml:space="preserve"> styd (стыд) — shame; the feeling of having transgressed a moral or social norm [ORD]
</t>
    </r>
    <r>
      <rPr>
        <b/>
        <sz val="10"/>
        <rFont val="Arial"/>
      </rPr>
      <t xml:space="preserve">PASSAGE:</t>
    </r>
    <r>
      <rPr>
        <sz val="10"/>
        <rFont val="Arial"/>
      </rPr>
      <t xml:space="preserve"> Она поняла, что он любит ее и ее любовь дает ему радость и повергает его в безмерное отчаяние и стыд.
</t>
    </r>
    <r>
      <rPr>
        <b/>
        <sz val="10"/>
        <rFont val="Arial"/>
      </rPr>
      <t xml:space="preserve">TRANS:</t>
    </r>
    <r>
      <rPr>
        <sz val="10"/>
        <rFont val="Arial"/>
      </rPr>
      <t xml:space="preserve"> Ona ponyala, chto on lyubit ee i ee lyubov' daet emu radost' i povergaet ego v bezmernoe otchayanie i styd.
</t>
    </r>
    <r>
      <rPr>
        <b/>
        <sz val="10"/>
        <rFont val="Arial"/>
      </rPr>
      <t xml:space="preserve">TRANSLATION:</t>
    </r>
    <r>
      <rPr>
        <sz val="10"/>
        <rFont val="Arial"/>
      </rPr>
      <t xml:space="preserve"> She understood that he loves her, and that her love brings him joy and casts him into boundless despair and shame.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</si>
  <si>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Ол оның өзін жақсы көретінін түсінді... мұның махаббаты оған қуаныш сыйлайтынын және оны үлкен үмітсіздік пен ұятқа душар ететінін де түсінді.
</t>
    </r>
    <r>
      <rPr>
        <b/>
        <sz val="10"/>
        <rFont val="Arial"/>
      </rPr>
      <t xml:space="preserve">TRANS:</t>
    </r>
    <r>
      <rPr>
        <sz val="10"/>
        <rFont val="Arial"/>
      </rPr>
      <t xml:space="preserve"> Ol onyñ özın jaqsy köretının tüsındı... mūnyñ mahabbaty oğan quanyş syilaitynyn jäne ony ülken ümıtsızdık pen ūiatqa duşar etetının de tüsındı.
</t>
    </r>
    <r>
      <rPr>
        <b/>
        <sz val="10"/>
        <rFont val="Arial"/>
      </rPr>
      <t xml:space="preserve">TRANSLATION:</t>
    </r>
    <r>
      <rPr>
        <sz val="10"/>
        <rFont val="Arial"/>
      </rPr>
      <t xml:space="preserve"> She understood that he loves her... she understood that her love gives him joy and brings him to great hopelessness and shame.</t>
    </r>
  </si>
  <si>
    <t xml:space="preserve">Ashley disclaims Scarlett’s social shame, claims his moral shame</t>
  </si>
  <si>
    <t xml:space="preserve">spoken</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</si>
  <si>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Вам было стыдно? Stydit’sja (стыдиться) = to be ashamed
</t>
    </r>
    <r>
      <rPr>
        <b/>
        <sz val="10"/>
        <rFont val="Arial"/>
      </rPr>
      <t xml:space="preserve">TRANS:</t>
    </r>
    <r>
      <rPr>
        <sz val="10"/>
        <rFont val="Arial"/>
      </rPr>
      <t xml:space="preserve"> Vam bylo stydno? Stydit’sja (stydit'sya) = to be ashamed
</t>
    </r>
    <r>
      <rPr>
        <b/>
        <sz val="10"/>
        <rFont val="Arial"/>
      </rPr>
      <t xml:space="preserve">TRANSLATION:</t>
    </r>
    <r>
      <rPr>
        <sz val="10"/>
        <rFont val="Arial"/>
      </rPr>
      <t xml:space="preserve"> You were ashamed?</t>
    </r>
  </si>
  <si>
    <t xml:space="preserve">Moral shame observed by Scarlett</t>
  </si>
  <si>
    <t xml:space="preserve">Ashley was doing little better with convicts than he had done with free labor, although why, he was unable to tell. Moreover, he looked as if he were ashamed to be working convicts and he had little to say to her these days.</t>
  </si>
  <si>
    <r>
      <rPr>
        <b/>
        <sz val="10"/>
        <rFont val="Arial"/>
      </rPr>
      <t xml:space="preserve">TERM:</t>
    </r>
    <r>
      <rPr>
        <sz val="10"/>
        <rFont val="Arial"/>
      </rPr>
      <t xml:space="preserve"> stydilsya (стыдился) — felt ashamed (3sg masc. past, impf.) [ORD] (lemma: стыдиться)
</t>
    </r>
    <r>
      <rPr>
        <b/>
        <sz val="10"/>
        <rFont val="Arial"/>
      </rPr>
      <t xml:space="preserve">PASSAGE:</t>
    </r>
    <r>
      <rPr>
        <sz val="10"/>
        <rFont val="Arial"/>
      </rPr>
      <t xml:space="preserve"> К тому же он, казалось, стыдился того, что у него работают каторжники, и почти не общался со Скарлетт.
</t>
    </r>
    <r>
      <rPr>
        <b/>
        <sz val="10"/>
        <rFont val="Arial"/>
      </rPr>
      <t xml:space="preserve">TRANS:</t>
    </r>
    <r>
      <rPr>
        <sz val="10"/>
        <rFont val="Arial"/>
      </rPr>
      <t xml:space="preserve"> K tomu zhe on, kazalos', stydilsya togo, chto u nego rabotayut katorzhniki, i pochti ne obshchalsya so Skarlett.
</t>
    </r>
    <r>
      <rPr>
        <b/>
        <sz val="10"/>
        <rFont val="Arial"/>
      </rPr>
      <t xml:space="preserve">TRANSLATION:</t>
    </r>
    <r>
      <rPr>
        <sz val="10"/>
        <rFont val="Arial"/>
      </rPr>
      <t xml:space="preserve"> Moreover, he seemed to be ashamed that convicts were working for him, and he hardly communicated with Scarlett at all.</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</si>
  <si>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Сотталғандармен жұмыс істеп жүргеніне қысылатын да сияқты ма, Скарлеттпен де көп кездеспей жүр.
</t>
    </r>
    <r>
      <rPr>
        <b/>
        <sz val="10"/>
        <rFont val="Arial"/>
      </rPr>
      <t xml:space="preserve">TRANS:</t>
    </r>
    <r>
      <rPr>
        <sz val="10"/>
        <rFont val="Arial"/>
      </rPr>
      <t xml:space="preserve"> Sottalğandarmen jūmys ıstep jürgenıne qysylatyn da siaqty ma, Skarlettpen de köp kezdespei jür.
</t>
    </r>
    <r>
      <rPr>
        <b/>
        <sz val="10"/>
        <rFont val="Arial"/>
      </rPr>
      <t xml:space="preserve">TRANSLATION:</t>
    </r>
    <r>
      <rPr>
        <sz val="10"/>
        <rFont val="Arial"/>
      </rPr>
      <t xml:space="preserve"> It seems he is also embarrassed at working with convicts; he no longer often meets with Scarlett either.</t>
    </r>
  </si>
  <si>
    <t xml:space="preserve">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</si>
  <si>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 xml:space="preserve">Scarlett-Ashley</t>
  </si>
  <si>
    <r>
      <rPr>
        <b/>
        <sz val="10"/>
        <rFont val="Arial"/>
      </rPr>
      <t xml:space="preserve">TERM:</t>
    </r>
    <r>
      <rPr>
        <sz val="10"/>
        <rFont val="Arial"/>
      </rPr>
      <t xml:space="preserve"> pozor (позор) — disgrace; shame; ignominy [ORD]
</t>
    </r>
    <r>
      <rPr>
        <b/>
        <sz val="10"/>
        <rFont val="Arial"/>
      </rPr>
      <t xml:space="preserve">PASSAGE:</t>
    </r>
    <r>
      <rPr>
        <sz val="10"/>
        <rFont val="Arial"/>
      </rPr>
      <t xml:space="preserve"> Черное пятно позора и вины, лежавшее на ней, переползло и на него.
</t>
    </r>
    <r>
      <rPr>
        <b/>
        <sz val="10"/>
        <rFont val="Arial"/>
      </rPr>
      <t xml:space="preserve">TRANS:</t>
    </r>
    <r>
      <rPr>
        <sz val="10"/>
        <rFont val="Arial"/>
      </rPr>
      <t xml:space="preserve"> Černoe pjatno pozora i viny, ležavšee na nej, perepolzlo i na nego.
</t>
    </r>
    <r>
      <rPr>
        <b/>
        <sz val="10"/>
        <rFont val="Arial"/>
      </rPr>
      <t xml:space="preserve">TRANSLATION:</t>
    </r>
    <r>
      <rPr>
        <sz val="10"/>
        <rFont val="Arial"/>
      </rPr>
      <t xml:space="preserve"> The black stain of disgrace and guilt that lay upon her spread to him as well.</t>
    </r>
  </si>
  <si>
    <r>
      <rPr>
        <b/>
        <sz val="10"/>
        <rFont val="Arial"/>
      </rPr>
      <t xml:space="preserve">TERM:</t>
    </r>
    <r>
      <rPr>
        <sz val="10"/>
        <rFont val="Arial"/>
      </rPr>
      <t xml:space="preserve"> kınä men künä (кінә мен күнә) — guilt and sin (set phrase combining secular and religious registers) [KED, SZK] (lemma: кінә)
</t>
    </r>
    <r>
      <rPr>
        <b/>
        <sz val="10"/>
        <rFont val="Arial"/>
      </rPr>
      <t xml:space="preserve">PASSAGE:</t>
    </r>
    <r>
      <rPr>
        <sz val="10"/>
        <rFont val="Arial"/>
      </rPr>
      <t xml:space="preserve"> Осы уақытқа дейін өз арқасына басқан кінә мен күнәнің қап-қара нүктесі жылыстап, Эшлиге қарай ауып бара жатты.
</t>
    </r>
    <r>
      <rPr>
        <b/>
        <sz val="10"/>
        <rFont val="Arial"/>
      </rPr>
      <t xml:space="preserve">TRANS:</t>
    </r>
    <r>
      <rPr>
        <sz val="10"/>
        <rFont val="Arial"/>
      </rPr>
      <t xml:space="preserve"> Osy uaqytqa deiın öz arqasyna basqan kınä men künänıñ qap-qara nüktesı jylystap, Eşlige qarai auyp bara jatty.
</t>
    </r>
    <r>
      <rPr>
        <b/>
        <sz val="10"/>
        <rFont val="Arial"/>
      </rPr>
      <t xml:space="preserve">TRANSLATION:</t>
    </r>
    <r>
      <rPr>
        <sz val="10"/>
        <rFont val="Arial"/>
      </rPr>
      <t xml:space="preserve"> Up till now, the pitch-black mark of guilt and sin she had borne on her own back was sliding off and shifting toward Ashley.</t>
    </r>
  </si>
  <si>
    <t xml:space="preserve">Shame about being caught in a lie about knowing midwifery</t>
  </si>
  <si>
    <t xml:space="preserve">"Fo' Gawd, Miss Scarlett—" Fright and shame were in her rolling eyes.</t>
  </si>
  <si>
    <t xml:space="preserve">Prissy</t>
  </si>
  <si>
    <r>
      <rPr>
        <b/>
        <sz val="10"/>
        <rFont val="Arial"/>
      </rPr>
      <t xml:space="preserve">TERM:</t>
    </r>
    <r>
      <rPr>
        <sz val="10"/>
        <rFont val="Arial"/>
      </rPr>
      <t xml:space="preserve"> styd (стыд) — shame; the feeling of having transgressed a moral or social norm [ORD]
</t>
    </r>
    <r>
      <rPr>
        <b/>
        <sz val="10"/>
        <rFont val="Arial"/>
      </rPr>
      <t xml:space="preserve">PASSAGE:</t>
    </r>
    <r>
      <rPr>
        <sz val="10"/>
        <rFont val="Arial"/>
      </rPr>
      <t xml:space="preserve"> Растерянность и стыд были в ее вытаращенных от страха глазах.
</t>
    </r>
    <r>
      <rPr>
        <b/>
        <sz val="10"/>
        <rFont val="Arial"/>
      </rPr>
      <t xml:space="preserve">TRANS:</t>
    </r>
    <r>
      <rPr>
        <sz val="10"/>
        <rFont val="Arial"/>
      </rPr>
      <t xml:space="preserve"> Rasteryannost' i styd byli v ee vytarashchennykh ot strakha glazakh.
</t>
    </r>
    <r>
      <rPr>
        <b/>
        <sz val="10"/>
        <rFont val="Arial"/>
      </rPr>
      <t xml:space="preserve">TRANSLATION:</t>
    </r>
    <r>
      <rPr>
        <sz val="10"/>
        <rFont val="Arial"/>
      </rPr>
      <t xml:space="preserve"> Bewilderment and shame were in her eyes bulging with terror.</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</si>
  <si>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Оның жүзінен абыржу мен ұялғандықты анық бауқауға болатын еді.
</t>
    </r>
    <r>
      <rPr>
        <b/>
        <sz val="10"/>
        <rFont val="Arial"/>
      </rPr>
      <t xml:space="preserve">TRANS:</t>
    </r>
    <r>
      <rPr>
        <sz val="10"/>
        <rFont val="Arial"/>
      </rPr>
      <t xml:space="preserve"> Onyñ jüzınen abyrju men ūialğandyqty anyq bauqauğa bolatyn edı.
</t>
    </r>
    <r>
      <rPr>
        <b/>
        <sz val="10"/>
        <rFont val="Arial"/>
      </rPr>
      <t xml:space="preserve">TRANSLATION:</t>
    </r>
    <r>
      <rPr>
        <sz val="10"/>
        <rFont val="Arial"/>
      </rPr>
      <t xml:space="preserve"> Bewilderment and shame could be clearly seen on her face.</t>
    </r>
  </si>
  <si>
    <t xml:space="preserve">Potential moral shame about spending money when he could steal</t>
  </si>
  <si>
    <t xml:space="preserve">She had a shrewd suspicion that the reason he had so much money left over was that he had not bought the fowls or most of the food. Pork would have taken shame to himself had he spent her money when there were unguarded hen coops along the road and smokehouses handy.</t>
  </si>
  <si>
    <t xml:space="preserve">Pork</t>
  </si>
  <si>
    <r>
      <rPr>
        <b/>
        <sz val="10"/>
        <rFont val="Arial"/>
      </rPr>
      <t xml:space="preserve">TERM:</t>
    </r>
    <r>
      <rPr>
        <sz val="10"/>
        <rFont val="Arial"/>
      </rPr>
      <t xml:space="preserve"> posramil by samogo sebya (посрамил бы самого себя) — would have brought shame on himself [ORD] (lemma: посрамить)
</t>
    </r>
    <r>
      <rPr>
        <b/>
        <sz val="10"/>
        <rFont val="Arial"/>
      </rPr>
      <t xml:space="preserve">PASSAGE:</t>
    </r>
    <r>
      <rPr>
        <sz val="10"/>
        <rFont val="Arial"/>
      </rPr>
      <t xml:space="preserve"> Порк посрамил бы самого себя, если бы потратил ее деньги
</t>
    </r>
    <r>
      <rPr>
        <b/>
        <sz val="10"/>
        <rFont val="Arial"/>
      </rPr>
      <t xml:space="preserve">TRANS:</t>
    </r>
    <r>
      <rPr>
        <sz val="10"/>
        <rFont val="Arial"/>
      </rPr>
      <t xml:space="preserve"> Pork posramil by samogo sebya, esli by potratil ee den'gi
</t>
    </r>
    <r>
      <rPr>
        <b/>
        <sz val="10"/>
        <rFont val="Arial"/>
      </rPr>
      <t xml:space="preserve">TRANSLATION:</t>
    </r>
    <r>
      <rPr>
        <sz val="10"/>
        <rFont val="Arial"/>
      </rPr>
      <t xml:space="preserve"> Pork would have shamed himself if he had spent her money</t>
    </r>
  </si>
  <si>
    <t xml:space="preserve">Shame — Absent moral shame</t>
  </si>
  <si>
    <t xml:space="preserve">moral conventions  breached — manipulation, lies; shame ABSENT</t>
  </si>
  <si>
    <t xml:space="preserve">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shame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</si>
  <si>
    <r>
      <rPr>
        <b/>
        <sz val="10"/>
        <rFont val="Arial"/>
      </rPr>
      <t xml:space="preserve">TERM:</t>
    </r>
    <r>
      <rPr>
        <sz val="10"/>
        <rFont val="Arial"/>
      </rPr>
      <t xml:space="preserve"> nikakikh ugryzeniy sovesti (никаких угрызений совести) — no pangs of conscience whatsoever [ORD] (lemma: угрызение)
</t>
    </r>
    <r>
      <rPr>
        <b/>
        <sz val="10"/>
        <rFont val="Arial"/>
      </rPr>
      <t xml:space="preserve">PASSAGE:</t>
    </r>
    <r>
      <rPr>
        <sz val="10"/>
        <rFont val="Arial"/>
      </rPr>
      <t xml:space="preserve"> Лицо Скарлетт выражало торжество — никаких угрызений совести она не испытывала, хотя и поступила с Джералдом отнюдь не как любящая, преданная дочь.
</t>
    </r>
    <r>
      <rPr>
        <b/>
        <sz val="10"/>
        <rFont val="Arial"/>
      </rPr>
      <t xml:space="preserve">TRANS:</t>
    </r>
    <r>
      <rPr>
        <sz val="10"/>
        <rFont val="Arial"/>
      </rPr>
      <t xml:space="preserve"> Litso Skarlett vyrazhalo torzhestvo — nikakikh ugryzeniy sovesti ona ne ispytyvala, khotya i postupila s Dzheraldom otnyud' ne kak lyubyashchaya, predannaya doch'.
</t>
    </r>
    <r>
      <rPr>
        <b/>
        <sz val="10"/>
        <rFont val="Arial"/>
      </rPr>
      <t xml:space="preserve">TRANSLATION:</t>
    </r>
    <r>
      <rPr>
        <sz val="10"/>
        <rFont val="Arial"/>
      </rPr>
      <t xml:space="preserve"> Scarlett's face wore a triumphant expression — she felt no pangs of conscience whatsoever, although she had not behaved like a loving, devoted daughter toward Gerald.</t>
    </r>
  </si>
  <si>
    <r>
      <rPr>
        <b/>
        <sz val="10"/>
        <rFont val="Arial"/>
      </rPr>
      <t xml:space="preserve">TERM:</t>
    </r>
    <r>
      <rPr>
        <sz val="10"/>
        <rFont val="Arial"/>
      </rPr>
      <t xml:space="preserve"> QYMSYNU (ҚЫМСЫНУ) — to feel awkward; to feel embarrassed [KED, SZK]
</t>
    </r>
    <r>
      <rPr>
        <b/>
        <sz val="10"/>
        <rFont val="Arial"/>
      </rPr>
      <t xml:space="preserve">PASSAGE:</t>
    </r>
    <r>
      <rPr>
        <sz val="10"/>
        <rFont val="Arial"/>
      </rPr>
      <t xml:space="preserve"> Скарлеттің бет-әлпетінде жеңіске жеткен түр байқалады, ол Джералдқа әкесін жақсы көретін адал қызы емес, бөтен біреудей қулық жасағанына еш қымсынған жоқ.
</t>
    </r>
    <r>
      <rPr>
        <b/>
        <sz val="10"/>
        <rFont val="Arial"/>
      </rPr>
      <t xml:space="preserve">TRANS:</t>
    </r>
    <r>
      <rPr>
        <sz val="10"/>
        <rFont val="Arial"/>
      </rPr>
      <t xml:space="preserve"> Skarlettıñ bet-älpetınde jeñıske jetken tür baiqalady, ol Jeraldqa äkesın jaqsy köretın adal qyzy emes, böten bıreudei qulyq jasağanyna eş qymsynğan joq.
</t>
    </r>
    <r>
      <rPr>
        <b/>
        <sz val="10"/>
        <rFont val="Arial"/>
      </rPr>
      <t xml:space="preserve">TRANSLATION:</t>
    </r>
    <r>
      <rPr>
        <sz val="10"/>
        <rFont val="Arial"/>
      </rPr>
      <t xml:space="preserve"> Scarlett's face showed a victorious expression; she felt no embarrassment at all that she had played a trick on Gerald like a stranger rather than as a loving, faithful daughter.</t>
    </r>
  </si>
  <si>
    <t xml:space="preserve">moral and social conventions breached — shame ABSENT; Ashley as witness</t>
  </si>
  <si>
    <t xml:space="preserve">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shame or disappointment or bitterness now, only a weakness of the knees and a great emptiness of heart. She squeezed the clay so tightly it ran out from her clenched fist and she said over and over, parrot-like: "I've still got this. Yes, I've still got this."</t>
  </si>
  <si>
    <r>
      <rPr>
        <b/>
        <sz val="10"/>
        <rFont val="Arial"/>
      </rPr>
      <t xml:space="preserve">TERM:</t>
    </r>
    <r>
      <rPr>
        <sz val="10"/>
        <rFont val="Arial"/>
      </rPr>
      <t xml:space="preserve"> styd (стыд) — shame; the feeling of having transgressed a moral or social norm [ORD]
</t>
    </r>
    <r>
      <rPr>
        <b/>
        <sz val="10"/>
        <rFont val="Arial"/>
      </rPr>
      <t xml:space="preserve">PASSAGE:</t>
    </r>
    <r>
      <rPr>
        <sz val="10"/>
        <rFont val="Arial"/>
      </rPr>
      <t xml:space="preserve"> Ее уже не мучил стыд, разочарование или горечь — лишь была какая-то слабость в коленях да огромная пустота в душе.
</t>
    </r>
    <r>
      <rPr>
        <b/>
        <sz val="10"/>
        <rFont val="Arial"/>
      </rPr>
      <t xml:space="preserve">TRANS:</t>
    </r>
    <r>
      <rPr>
        <sz val="10"/>
        <rFont val="Arial"/>
      </rPr>
      <t xml:space="preserve"> Ee uzhe ne muchil styd, razocharovanie ili gorech' — lish' byla kakaya-to slabost' v kolenyakh da ogromnaya pustota v dushe.
</t>
    </r>
    <r>
      <rPr>
        <b/>
        <sz val="10"/>
        <rFont val="Arial"/>
      </rPr>
      <t xml:space="preserve">TRANSLATION:</t>
    </r>
    <r>
      <rPr>
        <sz val="10"/>
        <rFont val="Arial"/>
      </rPr>
      <t xml:space="preserve"> She was no longer tormented by shame, disappointment, or bitterness — only a kind of weakness in her knees and a vast emptiness in her soul.</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</si>
  <si>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Қалған көңіл де, қысқан ұят та бір шетке ысырылып, жан дүниесі босап, буын-буынынан әл кетіпті.
</t>
    </r>
    <r>
      <rPr>
        <b/>
        <sz val="10"/>
        <rFont val="Arial"/>
      </rPr>
      <t xml:space="preserve">TRANS:</t>
    </r>
    <r>
      <rPr>
        <sz val="10"/>
        <rFont val="Arial"/>
      </rPr>
      <t xml:space="preserve"> Qalğan köñıl de, qysqan ūiat ta bır şetke ysyrylyp, jan düniesı bosap, buyn-buynynan äl ketıptı.
</t>
    </r>
    <r>
      <rPr>
        <b/>
        <sz val="10"/>
        <rFont val="Arial"/>
      </rPr>
      <t xml:space="preserve">TRANSLATION:</t>
    </r>
    <r>
      <rPr>
        <sz val="10"/>
        <rFont val="Arial"/>
      </rPr>
      <t xml:space="preserve"> Both her remaining feelings and her gripping shame had been pushed aside; her inner being was emptied, and the strength had left her every joint.</t>
    </r>
  </si>
  <si>
    <t xml:space="preserve">Immoral behavior impossible with Rhett as specific witness</t>
  </si>
  <si>
    <t xml:space="preserve">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</si>
  <si>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r>
      <rPr>
        <b/>
        <sz val="10"/>
        <rFont val="Arial"/>
      </rPr>
      <t xml:space="preserve">TERM:</t>
    </r>
    <r>
      <rPr>
        <sz val="10"/>
        <rFont val="Arial"/>
      </rPr>
      <t xml:space="preserve"> stesneniya (стеснения) — awkwardness; constraint (gen.) [ORD] (lemma: стеснение)
</t>
    </r>
    <r>
      <rPr>
        <b/>
        <sz val="10"/>
        <rFont val="Arial"/>
      </rPr>
      <t xml:space="preserve">PASSAGE:</t>
    </r>
    <r>
      <rPr>
        <sz val="10"/>
        <rFont val="Arial"/>
      </rPr>
      <t xml:space="preserve"> Скажи она их кому угодно, кроме Ретта, она бы без всякого стеснения взяла их назад.
</t>
    </r>
    <r>
      <rPr>
        <b/>
        <sz val="10"/>
        <rFont val="Arial"/>
      </rPr>
      <t xml:space="preserve">TRANS:</t>
    </r>
    <r>
      <rPr>
        <sz val="10"/>
        <rFont val="Arial"/>
      </rPr>
      <t xml:space="preserve"> Skazhi ona ikh komu ugodno, krome Retta, ona by bez vsyakogo stesneniya vzyala ikh nazad.
</t>
    </r>
    <r>
      <rPr>
        <b/>
        <sz val="10"/>
        <rFont val="Arial"/>
      </rPr>
      <t xml:space="preserve">TRANSLATION:</t>
    </r>
    <r>
      <rPr>
        <sz val="10"/>
        <rFont val="Arial"/>
      </rPr>
      <t xml:space="preserve"> Had she said it to anyone but Rhett, she would have taken it back without any embarrassment.</t>
    </r>
  </si>
  <si>
    <t xml:space="preserve">Shame — Absent social shame (about the body)</t>
  </si>
  <si>
    <t xml:space="preserve">body confidence: NO shame about body as social object</t>
  </si>
  <si>
    <t xml:space="preserve">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ashamed of her neck and arms and bosom, even if it was not correct to show them in the morning.</t>
  </si>
  <si>
    <r>
      <rPr>
        <b/>
        <sz val="10"/>
        <rFont val="Arial"/>
      </rPr>
      <t xml:space="preserve">TERM:</t>
    </r>
    <r>
      <rPr>
        <sz val="10"/>
        <rFont val="Arial"/>
      </rPr>
      <t xml:space="preserve"> stydit'sya (стыдиться) — to feel ashamed (imperfective); pf. постыдиться/устыдиться [ORD]
</t>
    </r>
    <r>
      <rPr>
        <b/>
        <sz val="10"/>
        <rFont val="Arial"/>
      </rPr>
      <t xml:space="preserve">PASSAGE:</t>
    </r>
    <r>
      <rPr>
        <sz val="10"/>
        <rFont val="Arial"/>
      </rPr>
      <t xml:space="preserve"> ей не приходится стыдиться
</t>
    </r>
    <r>
      <rPr>
        <b/>
        <sz val="10"/>
        <rFont val="Arial"/>
      </rPr>
      <t xml:space="preserve">TRANS:</t>
    </r>
    <r>
      <rPr>
        <sz val="10"/>
        <rFont val="Arial"/>
      </rPr>
      <t xml:space="preserve"> ey ne prikhoditsya stydit'sya
</t>
    </r>
    <r>
      <rPr>
        <b/>
        <sz val="10"/>
        <rFont val="Arial"/>
      </rPr>
      <t xml:space="preserve">TRANSLATION:</t>
    </r>
    <r>
      <rPr>
        <sz val="10"/>
        <rFont val="Arial"/>
      </rPr>
      <t xml:space="preserve"> she did not have to feel ashamed</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</si>
  <si>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Түптеп келгенде тіпті таңертеңнен мойнын, иығын, қолын жаңалаштау аса орынды болмаса да, сол үшін қысылуына тура келмейді.
</t>
    </r>
    <r>
      <rPr>
        <b/>
        <sz val="10"/>
        <rFont val="Arial"/>
      </rPr>
      <t xml:space="preserve">TRANS:</t>
    </r>
    <r>
      <rPr>
        <sz val="10"/>
        <rFont val="Arial"/>
      </rPr>
      <t xml:space="preserve"> Tüptep kelgende tıptı tañerteñnen moinyn, iyğyn, qolyn jañalaştau asa oryndy bolmasa da, sol üşın qysyluyna tura kelmeidı.
</t>
    </r>
    <r>
      <rPr>
        <b/>
        <sz val="10"/>
        <rFont val="Arial"/>
      </rPr>
      <t xml:space="preserve">TRANSLATION:</t>
    </r>
    <r>
      <rPr>
        <sz val="10"/>
        <rFont val="Arial"/>
      </rPr>
      <t xml:space="preserve"> After all, even though baring her neck, shoulders, and arms in the morning was not entirely proper, she did not have to feel embarrassed about it.</t>
    </r>
  </si>
  <si>
    <t xml:space="preserve">As she stood before the mirror and twisted herself about to get a side view, she thought that there was absolutely nothing about her figure to cause her shame. Her neck was short but rounded and her arms plump and enticing. Her breasts, pushed high by her stays, were very nice breasts.</t>
  </si>
  <si>
    <r>
      <rPr>
        <b/>
        <sz val="10"/>
        <rFont val="Arial"/>
      </rPr>
      <t xml:space="preserve">TERM:</t>
    </r>
    <r>
      <rPr>
        <sz val="10"/>
        <rFont val="Arial"/>
      </rPr>
      <t xml:space="preserve"> iz"yana (изъяна) — defect; flaw (gen.) [ORD] (lemma: изъян)
</t>
    </r>
    <r>
      <rPr>
        <b/>
        <sz val="10"/>
        <rFont val="Arial"/>
      </rPr>
      <t xml:space="preserve">PASSAGE:</t>
    </r>
    <r>
      <rPr>
        <sz val="10"/>
        <rFont val="Arial"/>
      </rPr>
      <t xml:space="preserve"> не обнаружила в своей фигуре ни малейшего изъяна.
</t>
    </r>
    <r>
      <rPr>
        <b/>
        <sz val="10"/>
        <rFont val="Arial"/>
      </rPr>
      <t xml:space="preserve">TRANS:</t>
    </r>
    <r>
      <rPr>
        <sz val="10"/>
        <rFont val="Arial"/>
      </rPr>
      <t xml:space="preserve"> ne obnaruzhila v svoey figure ni maleyshego iz"yana.
</t>
    </r>
    <r>
      <rPr>
        <b/>
        <sz val="10"/>
        <rFont val="Arial"/>
      </rPr>
      <t xml:space="preserve">TRANSLATION:</t>
    </r>
    <r>
      <rPr>
        <sz val="10"/>
        <rFont val="Arial"/>
      </rPr>
      <t xml:space="preserve"> she found not the slightest flaw in her figure.</t>
    </r>
  </si>
  <si>
    <r>
      <rPr>
        <b/>
        <sz val="10"/>
        <rFont val="Arial"/>
      </rPr>
      <t xml:space="preserve">TERM:</t>
    </r>
    <r>
      <rPr>
        <sz val="10"/>
        <rFont val="Arial"/>
      </rPr>
      <t xml:space="preserve"> KEMŞILIK (КЕМШІЛІК) — defect; failing; shortcoming [KED, SZK]
</t>
    </r>
    <r>
      <rPr>
        <b/>
        <sz val="10"/>
        <rFont val="Arial"/>
      </rPr>
      <t xml:space="preserve">PASSAGE:</t>
    </r>
    <r>
      <rPr>
        <sz val="10"/>
        <rFont val="Arial"/>
      </rPr>
      <t xml:space="preserve"> Айна алдында тұрып, ол өзін жанынан көру үшін белін майыстырып қарап, сымбатынан еш кемшілік таппады.  comment: 'shame' is not directly translated. 
</t>
    </r>
    <r>
      <rPr>
        <b/>
        <sz val="10"/>
        <rFont val="Arial"/>
      </rPr>
      <t xml:space="preserve">TRANS:</t>
    </r>
    <r>
      <rPr>
        <sz val="10"/>
        <rFont val="Arial"/>
      </rPr>
      <t xml:space="preserve"> Aina aldynda tūryp, ol özın janynan köru üşın belın maiystyryp qarap, symbatynan eş kemşılık tappady.  comment: 'shame' is not directly translated. 
</t>
    </r>
    <r>
      <rPr>
        <b/>
        <sz val="10"/>
        <rFont val="Arial"/>
      </rPr>
      <t xml:space="preserve">TRANSLATION:</t>
    </r>
    <r>
      <rPr>
        <sz val="10"/>
        <rFont val="Arial"/>
      </rPr>
      <t xml:space="preserve"> Standing before the mirror and turning sideways to view her profile, she found no flaw in her elegance.</t>
    </r>
  </si>
  <si>
    <t xml:space="preserve">Shame — Social shame</t>
  </si>
  <si>
    <t xml:space="preserve">strong shame about social convention and exposure to societal judgment; internal burning</t>
  </si>
  <si>
    <t xml:space="preserve">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shame!</t>
  </si>
  <si>
    <r>
      <rPr>
        <b/>
        <sz val="10"/>
        <rFont val="Arial"/>
      </rPr>
      <t xml:space="preserve">TERM:</t>
    </r>
    <r>
      <rPr>
        <sz val="10"/>
        <rFont val="Arial"/>
      </rPr>
      <t xml:space="preserve"> sgorat' so styda (сгорать со стыда) — to burn up with shame (idiom) [ORD] (lemma: сгорать)
</t>
    </r>
    <r>
      <rPr>
        <b/>
        <sz val="10"/>
        <rFont val="Arial"/>
      </rPr>
      <t xml:space="preserve">PASSAGE:</t>
    </r>
    <r>
      <rPr>
        <sz val="10"/>
        <rFont val="Arial"/>
      </rPr>
      <t xml:space="preserve"> Пусть бы он никогда-никогда не узнал об этом — все лучше, чем так сгорать со стыда
</t>
    </r>
    <r>
      <rPr>
        <b/>
        <sz val="10"/>
        <rFont val="Arial"/>
      </rPr>
      <t xml:space="preserve">TRANS:</t>
    </r>
    <r>
      <rPr>
        <sz val="10"/>
        <rFont val="Arial"/>
      </rPr>
      <t xml:space="preserve"> Pust' by on nikogda-nikogda ne uznal ob etom — vse luchshe, chem tak sgorat' so styda
</t>
    </r>
    <r>
      <rPr>
        <b/>
        <sz val="10"/>
        <rFont val="Arial"/>
      </rPr>
      <t xml:space="preserve">TRANSLATION:</t>
    </r>
    <r>
      <rPr>
        <sz val="10"/>
        <rFont val="Arial"/>
      </rPr>
      <t xml:space="preserve"> Let him never, never know about it — anything would be better than burning up with shame so</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</si>
  <si>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Ах, ол неге Эллин мен Үлкен шешейдің нұсқауын тыңдамады! Эшли мұның сезімінен күдіктенбеуі керек еді! Бұлай ұяттан өртенгенше, оның бұл туралы ешқашан, еш уақытта білмегені жақсы еді!
</t>
    </r>
    <r>
      <rPr>
        <b/>
        <sz val="10"/>
        <rFont val="Arial"/>
      </rPr>
      <t xml:space="preserve">TRANS:</t>
    </r>
    <r>
      <rPr>
        <sz val="10"/>
        <rFont val="Arial"/>
      </rPr>
      <t xml:space="preserve"> Ah, ol nege Elin men Ülken şeşeidıñ nūsqauyn tyñdamady! Eşli mūnyñ sezımınen küdıktenbeuı kerek edı! Būlai ūiattan örtengenşe, onyñ būl turaly eşqaşan, eş uaqytta bılmegenı jaqsy edı!
</t>
    </r>
    <r>
      <rPr>
        <b/>
        <sz val="10"/>
        <rFont val="Arial"/>
      </rPr>
      <t xml:space="preserve">TRANSLATION:</t>
    </r>
    <r>
      <rPr>
        <sz val="10"/>
        <rFont val="Arial"/>
      </rPr>
      <t xml:space="preserve"> Ah, why had she not heeded Ellen's and Mammy's instructions! Ashley should not have suspected her feelings! Better that he should never, ever know about this than to burn up like this with shame!</t>
    </r>
  </si>
  <si>
    <t xml:space="preserve">Shame — Social shame (somatic expression)</t>
  </si>
  <si>
    <t xml:space="preserve">strong shame about breaking social conventions and Ashley’s rejection, social exposure, physical manifestations –  face crimson; Rhett witness</t>
  </si>
  <si>
    <t xml:space="preserve">She looked up at him imploringly, her face crimson with the shame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</si>
  <si>
    <r>
      <rPr>
        <b/>
        <sz val="10"/>
        <rFont val="Arial"/>
      </rPr>
      <t xml:space="preserve">TERM:</t>
    </r>
    <r>
      <rPr>
        <sz val="10"/>
        <rFont val="Arial"/>
      </rPr>
      <t xml:space="preserve"> Zardevshis' ot smushcheniya, (Зардевшись от смущения,) = flushing; having blushed
</t>
    </r>
    <r>
      <rPr>
        <b/>
        <sz val="10"/>
        <rFont val="Arial"/>
      </rPr>
      <t xml:space="preserve">PASSAGE:</t>
    </r>
    <r>
      <rPr>
        <sz val="10"/>
        <rFont val="Arial"/>
      </rPr>
      <t xml:space="preserve"> Зардевшись от смущения, она с мольбой подняла на него глаза
</t>
    </r>
    <r>
      <rPr>
        <b/>
        <sz val="10"/>
        <rFont val="Arial"/>
      </rPr>
      <t xml:space="preserve">TRANS:</t>
    </r>
    <r>
      <rPr>
        <sz val="10"/>
        <rFont val="Arial"/>
      </rPr>
      <t xml:space="preserve"> Zardevshis' ot smushcheniya, ona s mol'boy podnyala na nego glaza
</t>
    </r>
    <r>
      <rPr>
        <b/>
        <sz val="10"/>
        <rFont val="Arial"/>
      </rPr>
      <t xml:space="preserve">TRANSLATION:</t>
    </r>
    <r>
      <rPr>
        <sz val="10"/>
        <rFont val="Arial"/>
      </rPr>
      <t xml:space="preserve"> Burning crimson with embarrassment, she raised her eyes pleadingly to him</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</si>
  <si>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Ұяла қысылған Скарлетт оған басын көтеріп қарады, ...
</t>
    </r>
    <r>
      <rPr>
        <b/>
        <sz val="10"/>
        <rFont val="Arial"/>
      </rPr>
      <t xml:space="preserve">TRANS:</t>
    </r>
    <r>
      <rPr>
        <sz val="10"/>
        <rFont val="Arial"/>
      </rPr>
      <t xml:space="preserve"> Ūiala qysylğan Skarlett oğan basyn köterıp qarady, ...
</t>
    </r>
    <r>
      <rPr>
        <b/>
        <sz val="10"/>
        <rFont val="Arial"/>
      </rPr>
      <t xml:space="preserve">TRANSLATION:</t>
    </r>
    <r>
      <rPr>
        <sz val="10"/>
        <rFont val="Arial"/>
      </rPr>
      <t xml:space="preserve"> Scarlett, flushed with embarrassment, raised her head and looked at him,...</t>
    </r>
  </si>
  <si>
    <t xml:space="preserve">shame at absence of social tokens of pride (comparison)</t>
  </si>
  <si>
    <t xml:space="preserve">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shame that Melanie had no such letters from Ashley to read aloud at sewing circles.</t>
  </si>
  <si>
    <r>
      <rPr>
        <b/>
        <sz val="10"/>
        <rFont val="Arial"/>
      </rPr>
      <t xml:space="preserve">TERM:</t>
    </r>
    <r>
      <rPr>
        <sz val="10"/>
        <rFont val="Arial"/>
      </rPr>
      <t xml:space="preserve"> styd (стыд) — shame; the feeling of having transgressed a moral or social norm [ORD]
</t>
    </r>
    <r>
      <rPr>
        <b/>
        <sz val="10"/>
        <rFont val="Arial"/>
      </rPr>
      <t xml:space="preserve">PASSAGE:</t>
    </r>
    <r>
      <rPr>
        <sz val="10"/>
        <rFont val="Arial"/>
      </rPr>
      <t xml:space="preserve"> Скарлетт не раз испытывала втайне стыд, что Эшли не пишет Мелани таких писем, которые интересно было бы почитать в швейном кружке вслух.
</t>
    </r>
    <r>
      <rPr>
        <b/>
        <sz val="10"/>
        <rFont val="Arial"/>
      </rPr>
      <t xml:space="preserve">TRANS:</t>
    </r>
    <r>
      <rPr>
        <sz val="10"/>
        <rFont val="Arial"/>
      </rPr>
      <t xml:space="preserve"> Skarlett ne raz ispytyvala vtayne styd, chto Eshli ne pishet Melani takikh pisem, kotorye interesno bylo by pochitat' v shveynom kruzhke vslukh.
</t>
    </r>
    <r>
      <rPr>
        <b/>
        <sz val="10"/>
        <rFont val="Arial"/>
      </rPr>
      <t xml:space="preserve">TRANSLATION:</t>
    </r>
    <r>
      <rPr>
        <sz val="10"/>
        <rFont val="Arial"/>
      </rPr>
      <t xml:space="preserve"> Scarlett had more than once felt secret shame that Ashley did not write Melanie letters of the kind that would be interesting to read aloud in the sewing circle.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</si>
  <si>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 ал Скарлетт Эшлидің Меланиге мұндай хаттарды жазбағанына бірнеше рет ішінен ұялған, ...
</t>
    </r>
    <r>
      <rPr>
        <b/>
        <sz val="10"/>
        <rFont val="Arial"/>
      </rPr>
      <t xml:space="preserve">TRANS:</t>
    </r>
    <r>
      <rPr>
        <sz val="10"/>
        <rFont val="Arial"/>
      </rPr>
      <t xml:space="preserve"> ... al Skarlett Eşlidıñ Melanige mūndai hattardy jazbağanyna bırneşe ret ışınen ūialğan, ...
</t>
    </r>
    <r>
      <rPr>
        <b/>
        <sz val="10"/>
        <rFont val="Arial"/>
      </rPr>
      <t xml:space="preserve">TRANSLATION:</t>
    </r>
    <r>
      <rPr>
        <sz val="10"/>
        <rFont val="Arial"/>
      </rPr>
      <t xml:space="preserve"> ...and Scarlett had felt ashamed inwardly several times that Ashley did not write Melanie such letters,...</t>
    </r>
  </si>
  <si>
    <t xml:space="preserve">strong shame about breaking social-moral conventions, social exposure, face crimson; Ellen (internalized moral standard); Rhett as witness</t>
  </si>
  <si>
    <t xml:space="preserve">Scarlett leaped to her feet, her face red with shame. How could she have said such a thing! How could she, Ellen's daughter, with her upbringing, have sat there and listened to such debasing words and then made such a shameless reply? She should have screamed. She should have fainted. She should have turned coldly away in silence and swept from the porch. Too late now!</t>
  </si>
  <si>
    <r>
      <rPr>
        <b/>
        <sz val="10"/>
        <rFont val="Arial"/>
      </rPr>
      <t xml:space="preserve">TERM:</t>
    </r>
    <r>
      <rPr>
        <sz val="10"/>
        <rFont val="Arial"/>
      </rPr>
      <t xml:space="preserve"> sgoraya ot styda. (сгорая от стыда.) = burning with shame
</t>
    </r>
    <r>
      <rPr>
        <b/>
        <sz val="10"/>
        <rFont val="Arial"/>
      </rPr>
      <t xml:space="preserve">PASSAGE:</t>
    </r>
    <r>
      <rPr>
        <sz val="10"/>
        <rFont val="Arial"/>
      </rPr>
      <t xml:space="preserve"> Скарлетт вскочила с кресла, сгорая от стыда.
</t>
    </r>
    <r>
      <rPr>
        <b/>
        <sz val="10"/>
        <rFont val="Arial"/>
      </rPr>
      <t xml:space="preserve">TRANS:</t>
    </r>
    <r>
      <rPr>
        <sz val="10"/>
        <rFont val="Arial"/>
      </rPr>
      <t xml:space="preserve"> Skarlett vskochila s kresla, sgoraya ot styda.
</t>
    </r>
    <r>
      <rPr>
        <b/>
        <sz val="10"/>
        <rFont val="Arial"/>
      </rPr>
      <t xml:space="preserve">TRANSLATION:</t>
    </r>
    <r>
      <rPr>
        <sz val="10"/>
        <rFont val="Arial"/>
      </rPr>
      <t xml:space="preserve"> Scarlett leapt up from the chair, burning with shame.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</si>
  <si>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Скарлетт ұяттан өртеніп креслодан атып тұрды.
</t>
    </r>
    <r>
      <rPr>
        <b/>
        <sz val="10"/>
        <rFont val="Arial"/>
      </rPr>
      <t xml:space="preserve">TRANS:</t>
    </r>
    <r>
      <rPr>
        <sz val="10"/>
        <rFont val="Arial"/>
      </rPr>
      <t xml:space="preserve"> Skarlett ūiattan örtenıp kreslodan atyp tūrdy.
</t>
    </r>
    <r>
      <rPr>
        <b/>
        <sz val="10"/>
        <rFont val="Arial"/>
      </rPr>
      <t xml:space="preserve">TRANSLATION:</t>
    </r>
    <r>
      <rPr>
        <sz val="10"/>
        <rFont val="Arial"/>
      </rPr>
      <t xml:space="preserve"> Scarlett, burning up with shame, sprang up from the armchair.</t>
    </r>
  </si>
  <si>
    <t xml:space="preserve">Deferred shame from self-humiliation through social-moral transgression; Rhett witness</t>
  </si>
  <si>
    <t xml:space="preserve">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shame and they would make her writhe again. Tomorrow she would wonder if she had made any impression on Frank's hurt and bewildered heart. But not tonight. Tonight she was alive to her finger tips, every sense alert with hope, her eyes sparkling.</t>
  </si>
  <si>
    <r>
      <rPr>
        <b/>
        <sz val="10"/>
        <rFont val="Arial"/>
      </rPr>
      <t xml:space="preserve">TERM:</t>
    </r>
    <r>
      <rPr>
        <sz val="10"/>
        <rFont val="Arial"/>
      </rPr>
      <t xml:space="preserve"> unizhenii (унижении) — humiliation (prep.) [ORD] (lemma: унижение)
</t>
    </r>
    <r>
      <rPr>
        <b/>
        <sz val="10"/>
        <rFont val="Arial"/>
      </rPr>
      <t xml:space="preserve">PASSAGE:</t>
    </r>
    <r>
      <rPr>
        <sz val="10"/>
        <rFont val="Arial"/>
      </rPr>
      <t xml:space="preserve"> Завтра она снова будет думать о поведении Ретта, о своем унижении и снова будет кипеть от гнева.
</t>
    </r>
    <r>
      <rPr>
        <b/>
        <sz val="10"/>
        <rFont val="Arial"/>
      </rPr>
      <t xml:space="preserve">TRANS:</t>
    </r>
    <r>
      <rPr>
        <sz val="10"/>
        <rFont val="Arial"/>
      </rPr>
      <t xml:space="preserve"> Zavtra ona snova budet dumat' o povedenii Retta, o svoem unizhenii i snova budet kipet' ot gneva.
</t>
    </r>
    <r>
      <rPr>
        <b/>
        <sz val="10"/>
        <rFont val="Arial"/>
      </rPr>
      <t xml:space="preserve">TRANSLATION:</t>
    </r>
    <r>
      <rPr>
        <sz val="10"/>
        <rFont val="Arial"/>
      </rPr>
      <t xml:space="preserve"> Tomorrow she would once again be thinking of Rhett's behavior, of her humiliation, and would once again be seething with anger.</t>
    </r>
  </si>
  <si>
    <r>
      <rPr>
        <b/>
        <sz val="10"/>
        <rFont val="Arial"/>
      </rPr>
      <t xml:space="preserve">TERM:</t>
    </r>
    <r>
      <rPr>
        <sz val="10"/>
        <rFont val="Arial"/>
      </rPr>
      <t xml:space="preserve"> QYSAS (ҚЫСАС) — malice; revenge; spite [KED, SZK]
</t>
    </r>
    <r>
      <rPr>
        <b/>
        <sz val="10"/>
        <rFont val="Arial"/>
      </rPr>
      <t xml:space="preserve">PASSAGE:</t>
    </r>
    <r>
      <rPr>
        <sz val="10"/>
        <rFont val="Arial"/>
      </rPr>
      <t xml:space="preserve"> Ертең Реттің қылығын қайтадан еске түсіріп, өзіне жасаған қысастығына күйініп, тағы да ашудан қызынатын шығар.
</t>
    </r>
    <r>
      <rPr>
        <b/>
        <sz val="10"/>
        <rFont val="Arial"/>
      </rPr>
      <t xml:space="preserve">TRANS:</t>
    </r>
    <r>
      <rPr>
        <sz val="10"/>
        <rFont val="Arial"/>
      </rPr>
      <t xml:space="preserve"> Erteñ Rettıñ qylyğyn qaitadan eske tüsırıp, özıne jasağan qysastyğyna küiınıp, tağy da aşudan qyzynatyn şyğar.
</t>
    </r>
    <r>
      <rPr>
        <b/>
        <sz val="10"/>
        <rFont val="Arial"/>
      </rPr>
      <t xml:space="preserve">TRANSLATION:</t>
    </r>
    <r>
      <rPr>
        <sz val="10"/>
        <rFont val="Arial"/>
      </rPr>
      <t xml:space="preserve"> Tomorrow she would probably again recall Rhett's behavior, again be wounded by the wrong he had done her, and again burn with anger.</t>
    </r>
  </si>
  <si>
    <t xml:space="preserve">shame about poverty / reduced circumstances; no physical manifestation; Ellen (internalized moral standard) – shame absent</t>
  </si>
  <si>
    <t xml:space="preserve">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ashamed. Ashamed! Yes, that was how Scarlett felt. Ashamed that she was poor and reduced to galling shifts and penury and work that negroes should do.</t>
  </si>
  <si>
    <r>
      <rPr>
        <b/>
        <sz val="10"/>
        <rFont val="Arial"/>
      </rPr>
      <t xml:space="preserve">TERM:</t>
    </r>
    <r>
      <rPr>
        <sz val="10"/>
        <rFont val="Arial"/>
      </rPr>
      <t xml:space="preserve"> postydnogo (постыдного) — shameful; ignominious (adj., gen.) [ORD] (lemma: постыдный)
</t>
    </r>
    <r>
      <rPr>
        <b/>
        <sz val="10"/>
        <rFont val="Arial"/>
      </rPr>
      <t xml:space="preserve">PASSAGE:</t>
    </r>
    <r>
      <rPr>
        <sz val="10"/>
        <rFont val="Arial"/>
      </rPr>
      <t xml:space="preserve"> Даже очутись Эллин на самом дне нищеты, она бы не увидела в этом ничего постыдного.
</t>
    </r>
    <r>
      <rPr>
        <b/>
        <sz val="10"/>
        <rFont val="Arial"/>
      </rPr>
      <t xml:space="preserve">TRANS:</t>
    </r>
    <r>
      <rPr>
        <sz val="10"/>
        <rFont val="Arial"/>
      </rPr>
      <t xml:space="preserve"> Dazhe ochutis' Ellin na samom dne nishchety, ona by ne uvidela v etom nichego postydnogo.
</t>
    </r>
    <r>
      <rPr>
        <b/>
        <sz val="10"/>
        <rFont val="Arial"/>
      </rPr>
      <t xml:space="preserve">TRANSLATION:</t>
    </r>
    <r>
      <rPr>
        <sz val="10"/>
        <rFont val="Arial"/>
      </rPr>
      <t xml:space="preserve"> Even if Ellen had found herself at the very bottom of poverty, she would not have seen anything shameful in this.</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</si>
  <si>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Жарлылықтың жұтқыншығында жатып, есін жиғанға да Эллин одан ұялып, қысыла қоймаған еді.
</t>
    </r>
    <r>
      <rPr>
        <b/>
        <sz val="10"/>
        <rFont val="Arial"/>
      </rPr>
      <t xml:space="preserve">TRANS:</t>
    </r>
    <r>
      <rPr>
        <sz val="10"/>
        <rFont val="Arial"/>
      </rPr>
      <t xml:space="preserve"> Jarlylyqtyñ jūtqynşyğynda jatyp, esın jiğanğa da Elin odan ūialyp, qysyla qoimağan edı.
</t>
    </r>
    <r>
      <rPr>
        <b/>
        <sz val="10"/>
        <rFont val="Arial"/>
      </rPr>
      <t xml:space="preserve">TRANSLATION:</t>
    </r>
    <r>
      <rPr>
        <sz val="10"/>
        <rFont val="Arial"/>
      </rPr>
      <t xml:space="preserve"> Even if Ellen had been lying in the throat of destitution and come to her senses there, she would not have been ashamed of it nor felt embarrassed.</t>
    </r>
  </si>
  <si>
    <t xml:space="preserve">strong shame about a past event, social exposure, physical manifestation – face crimson; no specific witness at the moment of feeling</t>
  </si>
  <si>
    <t xml:space="preserve">The memory of her humiliation at his hands made her go crimson with shame.</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</si>
  <si>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Она вспомнила, как он унизил ее, и вспыхнула от стыда.
</t>
    </r>
    <r>
      <rPr>
        <b/>
        <sz val="10"/>
        <rFont val="Arial"/>
      </rPr>
      <t xml:space="preserve">TRANS:</t>
    </r>
    <r>
      <rPr>
        <sz val="10"/>
        <rFont val="Arial"/>
      </rPr>
      <t xml:space="preserve"> Ona vspomnila, kak on unizil ee, i vspykhnula ot styda.
</t>
    </r>
    <r>
      <rPr>
        <b/>
        <sz val="10"/>
        <rFont val="Arial"/>
      </rPr>
      <t xml:space="preserve">TRANSLATION:</t>
    </r>
    <r>
      <rPr>
        <sz val="10"/>
        <rFont val="Arial"/>
      </rPr>
      <t xml:space="preserve"> She remembered how he had humiliated her, and she flushed with shame.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</si>
  <si>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Есіне өзін қалай қорлап, мазақ еткені түсті де, ұяттан өртеніп кете жаздады.
</t>
    </r>
    <r>
      <rPr>
        <b/>
        <sz val="10"/>
        <rFont val="Arial"/>
      </rPr>
      <t xml:space="preserve">TRANS:</t>
    </r>
    <r>
      <rPr>
        <sz val="10"/>
        <rFont val="Arial"/>
      </rPr>
      <t xml:space="preserve"> Esıne özın qalai qorlap, mazaq etkenı tüstı de, ūiattan örtenıp kete jazdady.
</t>
    </r>
    <r>
      <rPr>
        <b/>
        <sz val="10"/>
        <rFont val="Arial"/>
      </rPr>
      <t xml:space="preserve">TRANSLATION:</t>
    </r>
    <r>
      <rPr>
        <sz val="10"/>
        <rFont val="Arial"/>
      </rPr>
      <t xml:space="preserve"> She remembered how he had insulted and mocked her, and almost burst into flame with shame.</t>
    </r>
  </si>
  <si>
    <t xml:space="preserve">Shame — Social shame (about the body)</t>
  </si>
  <si>
    <t xml:space="preserve">shame about body as social/erotic object, bodily awareness; physical manifestation – red; Rhett as witness</t>
  </si>
  <si>
    <t xml:space="preserve">Scarlett, suddenly conscious of her error of speech, went red. It was more than his joking words that shamed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shame that he should know.</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</si>
  <si>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Ей вдруг стало стыдно — и не столько того, что она дала ему повод поглумиться над ней, сколько своего раздавшегося тела.
</t>
    </r>
    <r>
      <rPr>
        <b/>
        <sz val="10"/>
        <rFont val="Arial"/>
      </rPr>
      <t xml:space="preserve">TRANS:</t>
    </r>
    <r>
      <rPr>
        <sz val="10"/>
        <rFont val="Arial"/>
      </rPr>
      <t xml:space="preserve"> Ey vdrug stalo stydno — i ne stol'ko togo, chto ona dala emu povod poglumit'sya nad ney, skol'ko svoego razdavshegosya tela.
</t>
    </r>
    <r>
      <rPr>
        <b/>
        <sz val="10"/>
        <rFont val="Arial"/>
      </rPr>
      <t xml:space="preserve">TRANSLATION:</t>
    </r>
    <r>
      <rPr>
        <sz val="10"/>
        <rFont val="Arial"/>
      </rPr>
      <t xml:space="preserve"> She suddenly felt ashamed — and not so much that she had given him an occasion to mock her, as of her swollen body.</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</si>
  <si>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Өзінің мазақ болуына соқтырған әлгі сөзінен де гөрі, жайылып кеткен денесінен, ыңғайсыз пішінінен де өлердей ұялып кетті.
</t>
    </r>
    <r>
      <rPr>
        <b/>
        <sz val="10"/>
        <rFont val="Arial"/>
      </rPr>
      <t xml:space="preserve">TRANS:</t>
    </r>
    <r>
      <rPr>
        <sz val="10"/>
        <rFont val="Arial"/>
      </rPr>
      <t xml:space="preserve"> Özınıñ mazaq boluyna soqtyrğan älgı sözınen de görı, jaiylyp ketken denesınen, yñğaisyz pışınınen de ölerdei ūialyp kettı.
</t>
    </r>
    <r>
      <rPr>
        <b/>
        <sz val="10"/>
        <rFont val="Arial"/>
      </rPr>
      <t xml:space="preserve">TRANSLATION:</t>
    </r>
    <r>
      <rPr>
        <sz val="10"/>
        <rFont val="Arial"/>
      </rPr>
      <t xml:space="preserve"> More than the words that had brought mockery on her, she became mortally embarrassed by her spread-out body and awkward shape.</t>
    </r>
  </si>
  <si>
    <t xml:space="preserve">strong shame, social exposure, manifested in crying; Rhett as specific witness</t>
  </si>
  <si>
    <t xml:space="preserve">"Get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</si>
  <si>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r>
      <rPr>
        <b/>
        <sz val="10"/>
        <rFont val="Arial"/>
      </rPr>
      <t xml:space="preserve">TERM:</t>
    </r>
    <r>
      <rPr>
        <sz val="10"/>
        <rFont val="Arial"/>
      </rPr>
      <t xml:space="preserve"> obidy (обиды) — offence; hurt (gen.) [ORD] (lemma: обида)
</t>
    </r>
    <r>
      <rPr>
        <b/>
        <sz val="10"/>
        <rFont val="Arial"/>
      </rPr>
      <t xml:space="preserve">PASSAGE:</t>
    </r>
    <r>
      <rPr>
        <sz val="10"/>
        <rFont val="Arial"/>
      </rPr>
      <t xml:space="preserve"> Когда приступ рвоты прошел, Скарлетт закрыла лицо руками и заплакала от обиды.
</t>
    </r>
    <r>
      <rPr>
        <b/>
        <sz val="10"/>
        <rFont val="Arial"/>
      </rPr>
      <t xml:space="preserve">TRANS:</t>
    </r>
    <r>
      <rPr>
        <sz val="10"/>
        <rFont val="Arial"/>
      </rPr>
      <t xml:space="preserve"> Kogda pristup rvoty proshel, Skarlett zakryla litso rukami i zaplakala ot obidy.
</t>
    </r>
    <r>
      <rPr>
        <b/>
        <sz val="10"/>
        <rFont val="Arial"/>
      </rPr>
      <t xml:space="preserve">TRANSLATION:</t>
    </r>
    <r>
      <rPr>
        <sz val="10"/>
        <rFont val="Arial"/>
      </rPr>
      <t xml:space="preserve"> When the bout of nausea passed, Scarlett covered her face with her hands and wept from offense.</t>
    </r>
  </si>
  <si>
    <r>
      <rPr>
        <b/>
        <sz val="10"/>
        <rFont val="Arial"/>
      </rPr>
      <t xml:space="preserve">TERM:</t>
    </r>
    <r>
      <rPr>
        <sz val="10"/>
        <rFont val="Arial"/>
      </rPr>
      <t xml:space="preserve"> ÖKINIŞ (ӨКІНІШ) — regret; repentance [KED, SZK]
</t>
    </r>
    <r>
      <rPr>
        <b/>
        <sz val="10"/>
        <rFont val="Arial"/>
      </rPr>
      <t xml:space="preserve">PASSAGE:</t>
    </r>
    <r>
      <rPr>
        <sz val="10"/>
        <rFont val="Arial"/>
      </rPr>
      <t xml:space="preserve"> Жүрегінің айнығаны басылып, құсып болған соң Скарлетт бетін қолымен басып алып, өкініштен жылап жіберді.
</t>
    </r>
    <r>
      <rPr>
        <b/>
        <sz val="10"/>
        <rFont val="Arial"/>
      </rPr>
      <t xml:space="preserve">TRANS:</t>
    </r>
    <r>
      <rPr>
        <sz val="10"/>
        <rFont val="Arial"/>
      </rPr>
      <t xml:space="preserve"> Jüregınıñ ainyğany basylyp, qūsyp bolğan soñ Skarlett betın qolymen basyp alyp, ökınışten jylap jıberdı.
</t>
    </r>
    <r>
      <rPr>
        <b/>
        <sz val="10"/>
        <rFont val="Arial"/>
      </rPr>
      <t xml:space="preserve">TRANSLATION:</t>
    </r>
    <r>
      <rPr>
        <sz val="10"/>
        <rFont val="Arial"/>
      </rPr>
      <t xml:space="preserve"> When her queasiness passed and she had finished retching, Scarlett covered her face with her hands and wept from regret.</t>
    </r>
  </si>
  <si>
    <t xml:space="preserve">shame deemed wrong by Rhett — performative speech act (verdict / directive – shame wrong)</t>
  </si>
  <si>
    <t xml:space="preserve">"Don't be a fool," he said quietly. "And you are a fool, if you are crying for shame. Come, Scarlett, don't be a child. Surely you must know that, not being blind, I knew you were pregnant."</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</si>
  <si>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А вы, видно, самая настоящая дурочка, раз плачете от стыда.
</t>
    </r>
    <r>
      <rPr>
        <b/>
        <sz val="10"/>
        <rFont val="Arial"/>
      </rPr>
      <t xml:space="preserve">TRANS:</t>
    </r>
    <r>
      <rPr>
        <sz val="10"/>
        <rFont val="Arial"/>
      </rPr>
      <t xml:space="preserve"> A vy, vidno, samaya nastoyashchaya durochka, raz plachete ot styda.
</t>
    </r>
    <r>
      <rPr>
        <b/>
        <sz val="10"/>
        <rFont val="Arial"/>
      </rPr>
      <t xml:space="preserve">TRANSLATION:</t>
    </r>
    <r>
      <rPr>
        <sz val="10"/>
        <rFont val="Arial"/>
      </rPr>
      <t xml:space="preserve"> And you, evidently, are a real fool, since you are crying from shame.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</si>
  <si>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Мен білмей жүрсем, ұялғаннан жылайтын сіз шынында нағыз ақымақтың өзі екенсіз ғой.
</t>
    </r>
    <r>
      <rPr>
        <b/>
        <sz val="10"/>
        <rFont val="Arial"/>
      </rPr>
      <t xml:space="preserve">TRANS:</t>
    </r>
    <r>
      <rPr>
        <sz val="10"/>
        <rFont val="Arial"/>
      </rPr>
      <t xml:space="preserve"> Men bılmei jürsem, ūialğannan jylaityn sız şynynda nağyz aqymaqtyñ özı ekensız ğoi.
</t>
    </r>
    <r>
      <rPr>
        <b/>
        <sz val="10"/>
        <rFont val="Arial"/>
      </rPr>
      <t xml:space="preserve">TRANSLATION:</t>
    </r>
    <r>
      <rPr>
        <sz val="10"/>
        <rFont val="Arial"/>
      </rPr>
      <t xml:space="preserve"> I had not realized — you who weep from shame are truly the very picture of a fool.</t>
    </r>
  </si>
  <si>
    <t xml:space="preserve">mild shame about social convention (not being in public when showing pregnancy); face crimson (somatic); Tara  neighbors as audience</t>
  </si>
  <si>
    <t xml:space="preserve">Startled at the abrupt switching from the eulogy to herself, Scarlett went red with embarrassment as all eyes turned toward her. Why should Will advertise her already obvious pregnancy? She gave him a shamed indignant look, but Will's placid gaze bore her down.</t>
  </si>
  <si>
    <r>
      <rPr>
        <b/>
        <sz val="10"/>
        <rFont val="Arial"/>
      </rPr>
      <t xml:space="preserve">TERM:</t>
    </r>
    <r>
      <rPr>
        <sz val="10"/>
        <rFont val="Arial"/>
      </rPr>
      <t xml:space="preserve"> smutilas' (смутилась) — became flustered; got embarrassed (pf. past fem.) [ORD] (lemma: смутиться)
</t>
    </r>
    <r>
      <rPr>
        <b/>
        <sz val="10"/>
        <rFont val="Arial"/>
      </rPr>
      <t xml:space="preserve">PASSAGE:</t>
    </r>
    <r>
      <rPr>
        <sz val="10"/>
        <rFont val="Arial"/>
      </rPr>
      <t xml:space="preserve"> Вздрогнув от этого неожиданного перехода к ее особе, Скарлетт смутилась и покраснела, ибо взоры всех обратились к ней.
</t>
    </r>
    <r>
      <rPr>
        <b/>
        <sz val="10"/>
        <rFont val="Arial"/>
      </rPr>
      <t xml:space="preserve">TRANS:</t>
    </r>
    <r>
      <rPr>
        <sz val="10"/>
        <rFont val="Arial"/>
      </rPr>
      <t xml:space="preserve"> Vzdrognuv ot etogo neozhidannogo perekhoda k ee osobe, Skarlett smutilas' i pokrasnela, ibo vzory vsekh obratilis' k ney.
</t>
    </r>
    <r>
      <rPr>
        <b/>
        <sz val="10"/>
        <rFont val="Arial"/>
      </rPr>
      <t xml:space="preserve">TRANSLATION:</t>
    </r>
    <r>
      <rPr>
        <sz val="10"/>
        <rFont val="Arial"/>
      </rPr>
      <t xml:space="preserve"> Startled at this unexpected shift to her own person, Scarlett became flustered and blushed, for everyone's eyes turned to her.</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</si>
  <si>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Тосыннан өз атына бағыттала айтылған шешімнен селк етіп, Скарлетт ұялғаннан қып-қызыл боп кетті.
</t>
    </r>
    <r>
      <rPr>
        <b/>
        <sz val="10"/>
        <rFont val="Arial"/>
      </rPr>
      <t xml:space="preserve">TRANS:</t>
    </r>
    <r>
      <rPr>
        <sz val="10"/>
        <rFont val="Arial"/>
      </rPr>
      <t xml:space="preserve"> Tosynnan öz atyna bağyttala aitylğan şeşımnen selk etıp, Skarlett ūialğannan qyp-qyzyl bop kettı.
</t>
    </r>
    <r>
      <rPr>
        <b/>
        <sz val="10"/>
        <rFont val="Arial"/>
      </rPr>
      <t xml:space="preserve">TRANSLATION:</t>
    </r>
    <r>
      <rPr>
        <sz val="10"/>
        <rFont val="Arial"/>
      </rPr>
      <t xml:space="preserve"> Startled at this unexpected turn directed at her, Scarlett went bright red with embarrassment.</t>
    </r>
  </si>
  <si>
    <t xml:space="preserve">Mild (possibly pretended) shame about pregnancy; no physical manifestation; specific witness Ashley</t>
  </si>
  <si>
    <t xml:space="preserve">"How sweet of you to say that! For I was so ashamed to let you see me—"</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</si>
  <si>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А мне было так стыдно показываться вам…
</t>
    </r>
    <r>
      <rPr>
        <b/>
        <sz val="10"/>
        <rFont val="Arial"/>
      </rPr>
      <t xml:space="preserve">TRANS:</t>
    </r>
    <r>
      <rPr>
        <sz val="10"/>
        <rFont val="Arial"/>
      </rPr>
      <t xml:space="preserve"> A mne bylo tak stydno pokazyvat'sya vam…
</t>
    </r>
    <r>
      <rPr>
        <b/>
        <sz val="10"/>
        <rFont val="Arial"/>
      </rPr>
      <t xml:space="preserve">TRANSLATION:</t>
    </r>
    <r>
      <rPr>
        <sz val="10"/>
        <rFont val="Arial"/>
      </rPr>
      <t xml:space="preserve"> And I was so ashamed to show myself to you...</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</si>
  <si>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Мен болсам, сізге көрінуге де ұялып жүр едім...
</t>
    </r>
    <r>
      <rPr>
        <b/>
        <sz val="10"/>
        <rFont val="Arial"/>
      </rPr>
      <t xml:space="preserve">TRANS:</t>
    </r>
    <r>
      <rPr>
        <sz val="10"/>
        <rFont val="Arial"/>
      </rPr>
      <t xml:space="preserve"> Men bolsam, sızge körınuge de ūialyp jür edım...
</t>
    </r>
    <r>
      <rPr>
        <b/>
        <sz val="10"/>
        <rFont val="Arial"/>
      </rPr>
      <t xml:space="preserve">TRANSLATION:</t>
    </r>
    <r>
      <rPr>
        <sz val="10"/>
        <rFont val="Arial"/>
      </rPr>
      <t xml:space="preserve"> As for me, I was even ashamed to be seen by you...</t>
    </r>
  </si>
  <si>
    <t xml:space="preserve">shame about social-moral  convention; no physical manifestation; Rhett as specific witness</t>
  </si>
  <si>
    <t xml:space="preserve">Now she was indeed confused and embarrassed, for she remembered the night on this very porch during the siege when he had said: "I am not a marrying man" and casually suggested that she become his mistress—remembered, too, the terrible day when he was in jail and was shamed by the memory. A slow malicious smile went over his face as he read her eyes.</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</si>
  <si>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возник и тот страшный день, когда она пришла к нему в тюрьму, и ей стало стыдно от этих воспоминаний.
</t>
    </r>
    <r>
      <rPr>
        <b/>
        <sz val="10"/>
        <rFont val="Arial"/>
      </rPr>
      <t xml:space="preserve">TRANS:</t>
    </r>
    <r>
      <rPr>
        <sz val="10"/>
        <rFont val="Arial"/>
      </rPr>
      <t xml:space="preserve"> voznik i tot strashnyy den', kogda ona prishla k nemu v tyur'mu, i ey stalo stydno ot etikh vospominaniy.
</t>
    </r>
    <r>
      <rPr>
        <b/>
        <sz val="10"/>
        <rFont val="Arial"/>
      </rPr>
      <t xml:space="preserve">TRANSLATION:</t>
    </r>
    <r>
      <rPr>
        <sz val="10"/>
        <rFont val="Arial"/>
      </rPr>
      <t xml:space="preserve"> that terrible day when she came to him in prison also came back, and she felt ashamed at these memories.</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</si>
  <si>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Бұған нақсүйері болуды ұсынып, емеурін танытқан кезі, содан кейін де өз аяғымен түрмеге іздеп барғандағы ұятқа қалғаны есіне түсіп, қатты қысылып кетті.
</t>
    </r>
    <r>
      <rPr>
        <b/>
        <sz val="10"/>
        <rFont val="Arial"/>
      </rPr>
      <t xml:space="preserve">TRANS:</t>
    </r>
    <r>
      <rPr>
        <sz val="10"/>
        <rFont val="Arial"/>
      </rPr>
      <t xml:space="preserve"> Būğan naqsüierı boludy ūsynyp, emeurın tanytqan kezı, sodan keiın de öz aiağymen türmege ızdep barğandağy ūiatqa qalğany esıne tüsıp, qatty qysylyp kettı.
</t>
    </r>
    <r>
      <rPr>
        <b/>
        <sz val="10"/>
        <rFont val="Arial"/>
      </rPr>
      <t xml:space="preserve">TRANSLATION:</t>
    </r>
    <r>
      <rPr>
        <sz val="10"/>
        <rFont val="Arial"/>
      </rPr>
      <t xml:space="preserve"> She remembered offering herself to him as his mistress, and then later going to him in prison on her own feet and bringing disgrace upon herself; she became deeply embarrassed.</t>
    </r>
  </si>
  <si>
    <t xml:space="preserve">shame about social-moral convention; shame as driver of behavior; Mrs Elsing, Archie as witnesses; potentially the whole society</t>
  </si>
  <si>
    <t xml:space="preserve">How she got out of the office she never remembered. But she went instantly, swiftly, by Ashley's order, leaving Ashley and Archie in grim converse in the little room and India and Mrs. Elsing outside with their backs to her. Shame and fear sped her homeward and, in her mind, Archie with his patriarch's beard assumed the proportions of an avenging angel straight from the pages of the Old Testament.</t>
  </si>
  <si>
    <r>
      <rPr>
        <b/>
        <sz val="10"/>
        <rFont val="Arial"/>
      </rPr>
      <t xml:space="preserve">TERM:</t>
    </r>
    <r>
      <rPr>
        <sz val="10"/>
        <rFont val="Arial"/>
      </rPr>
      <t xml:space="preserve"> stydom (стыдом) — shame (instrumental) [ORD] (lemma: стыд)
</t>
    </r>
    <r>
      <rPr>
        <b/>
        <sz val="10"/>
        <rFont val="Arial"/>
      </rPr>
      <t xml:space="preserve">PASSAGE:</t>
    </r>
    <r>
      <rPr>
        <sz val="10"/>
        <rFont val="Arial"/>
      </rPr>
      <t xml:space="preserve"> Скарлетт помчалась домой, подгоняемая стыдом и страхом,
</t>
    </r>
    <r>
      <rPr>
        <b/>
        <sz val="10"/>
        <rFont val="Arial"/>
      </rPr>
      <t xml:space="preserve">TRANS:</t>
    </r>
    <r>
      <rPr>
        <sz val="10"/>
        <rFont val="Arial"/>
      </rPr>
      <t xml:space="preserve"> Skarlett pomchalas' domoy, podgonyaemaya stydom i strakhom,
</t>
    </r>
    <r>
      <rPr>
        <b/>
        <sz val="10"/>
        <rFont val="Arial"/>
      </rPr>
      <t xml:space="preserve">TRANSLATION:</t>
    </r>
    <r>
      <rPr>
        <sz val="10"/>
        <rFont val="Arial"/>
      </rPr>
      <t xml:space="preserve"> Scarlett rushed home, driven by shame and fear,</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</si>
  <si>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Қорқыныш пен ұят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b/>
        <sz val="10"/>
        <rFont val="Arial"/>
      </rPr>
      <t xml:space="preserve">TRANS:</t>
    </r>
    <r>
      <rPr>
        <sz val="10"/>
        <rFont val="Arial"/>
      </rPr>
      <t xml:space="preserve"> Qorqynyş pen ūiat qamalap, soñynan quyp kele jatqandai, üiıne qarai yşqynyp keledı, köz aldynda saqaly sala qūlaş, Köne Ösiet ışındegı kek aluşy perışte sekıldı Archidıñ beinesı bırge ūşyp keledı.
</t>
    </r>
    <r>
      <rPr>
        <b/>
        <sz val="10"/>
        <rFont val="Arial"/>
      </rPr>
      <t xml:space="preserve">TRANSLATION:</t>
    </r>
    <r>
      <rPr>
        <sz val="10"/>
        <rFont val="Arial"/>
      </rPr>
      <t xml:space="preserve"> Driven on by fear and shame as if pursuing her, she rushed home, with the image of Archie — bearded down to his waist, like an avenging angel from the Old Testament — flying along beside her in her mind.</t>
    </r>
  </si>
  <si>
    <t xml:space="preserve">mild vicarious shame about realizing Scarlett’s ignorance; no physical manifestation; Ashley specific witness</t>
  </si>
  <si>
    <t xml:space="preserve">An odd look came over Charles' face, incredulity and shame struggling with love. Love triumphed as he realized that it was enough for a girl to be sweet and gentle and beautiful, without having an education to hamper her charms, and he made swift answer: "The Borgias were Italians."</t>
  </si>
  <si>
    <t xml:space="preserve">Charles Hamilton</t>
  </si>
  <si>
    <r>
      <rPr>
        <b/>
        <sz val="10"/>
        <rFont val="Arial"/>
      </rPr>
      <t xml:space="preserve">TERM:</t>
    </r>
    <r>
      <rPr>
        <sz val="10"/>
        <rFont val="Arial"/>
      </rPr>
      <t xml:space="preserve"> nedoumevayushche i smushchenno (недоумевающе и смущенно) — in bewilderment and embarrassment [ORD] (lemma: смущенно)
</t>
    </r>
    <r>
      <rPr>
        <b/>
        <sz val="10"/>
        <rFont val="Arial"/>
      </rPr>
      <t xml:space="preserve">PASSAGE:</t>
    </r>
    <r>
      <rPr>
        <sz val="10"/>
        <rFont val="Arial"/>
      </rPr>
      <t xml:space="preserve"> Чарльз как-то странно посмотрел на нее — недоумевающе и смущенно
</t>
    </r>
    <r>
      <rPr>
        <b/>
        <sz val="10"/>
        <rFont val="Arial"/>
      </rPr>
      <t xml:space="preserve">TRANS:</t>
    </r>
    <r>
      <rPr>
        <sz val="10"/>
        <rFont val="Arial"/>
      </rPr>
      <t xml:space="preserve"> Charl'z kak-to stranno posmotrel na nee — nedoumevayushche i smushchenno
</t>
    </r>
    <r>
      <rPr>
        <b/>
        <sz val="10"/>
        <rFont val="Arial"/>
      </rPr>
      <t xml:space="preserve">TRANSLATION:</t>
    </r>
    <r>
      <rPr>
        <sz val="10"/>
        <rFont val="Arial"/>
      </rPr>
      <t xml:space="preserve"> Charles looked at her in a strange way — bewildered and embarrassed.</t>
    </r>
  </si>
  <si>
    <t xml:space="preserve">absent shame about social conventions; community / diffuse audience</t>
  </si>
  <si>
    <t xml:space="preserve">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ashamed. Even the fact that Rene immediately asked for her hand did not improve matters. Mrs. Merriwether felt that the South was heading for a complete moral collapse and frequently said so. Other mothers concurred heartily with her and blamed it on the war.</t>
  </si>
  <si>
    <t xml:space="preserve">Community / South</t>
  </si>
  <si>
    <r>
      <rPr>
        <b/>
        <sz val="10"/>
        <rFont val="Arial"/>
      </rPr>
      <t xml:space="preserve">TERM:</t>
    </r>
    <r>
      <rPr>
        <sz val="10"/>
        <rFont val="Arial"/>
      </rPr>
      <t xml:space="preserve"> ne byla smushchena (не была смущена) — was not embarrassed (passive past fem. neg.) [ORD] (lemma: смутить)
</t>
    </r>
    <r>
      <rPr>
        <b/>
        <sz val="10"/>
        <rFont val="Arial"/>
      </rPr>
      <t xml:space="preserve">PASSAGE:</t>
    </r>
    <r>
      <rPr>
        <sz val="10"/>
        <rFont val="Arial"/>
      </rPr>
      <t xml:space="preserve"> Ужас ее был тем более неописуем, что Мейбелл ничуть не была смущена.
</t>
    </r>
    <r>
      <rPr>
        <b/>
        <sz val="10"/>
        <rFont val="Arial"/>
      </rPr>
      <t xml:space="preserve">TRANS:</t>
    </r>
    <r>
      <rPr>
        <sz val="10"/>
        <rFont val="Arial"/>
      </rPr>
      <t xml:space="preserve"> Uzhas ee byl tem bolee neopisuem, chto Meybell nichut' ne byla smushchena.
</t>
    </r>
    <r>
      <rPr>
        <b/>
        <sz val="10"/>
        <rFont val="Arial"/>
      </rPr>
      <t xml:space="preserve">TRANSLATION:</t>
    </r>
    <r>
      <rPr>
        <sz val="10"/>
        <rFont val="Arial"/>
      </rPr>
      <t xml:space="preserve"> Her horror was the more indescribable because Maybelle was not at all flustered.</t>
    </r>
  </si>
  <si>
    <r>
      <rPr>
        <b/>
        <sz val="10"/>
        <rFont val="Arial"/>
      </rPr>
      <t xml:space="preserve">TERM:</t>
    </r>
    <r>
      <rPr>
        <sz val="10"/>
        <rFont val="Arial"/>
      </rPr>
      <t xml:space="preserve"> QYMSYNU (ҚЫМСЫНУ) — to feel awkward; to feel embarrassed [KED, SZK]
</t>
    </r>
    <r>
      <rPr>
        <b/>
        <sz val="10"/>
        <rFont val="Arial"/>
      </rPr>
      <t xml:space="preserve">PASSAGE:</t>
    </r>
    <r>
      <rPr>
        <sz val="10"/>
        <rFont val="Arial"/>
      </rPr>
      <t xml:space="preserve"> Осы қылығы үшін Мэйбеллдің ешқандай қымсынбағанын көргенде тіпті айран-асыр болды.
</t>
    </r>
    <r>
      <rPr>
        <b/>
        <sz val="10"/>
        <rFont val="Arial"/>
      </rPr>
      <t xml:space="preserve">TRANS:</t>
    </r>
    <r>
      <rPr>
        <sz val="10"/>
        <rFont val="Arial"/>
      </rPr>
      <t xml:space="preserve"> Osy qylyğy üşın Meibelldıñ eşqandai qymsynbağanyn körgende tıptı airan-asyr boldy.
</t>
    </r>
    <r>
      <rPr>
        <b/>
        <sz val="10"/>
        <rFont val="Arial"/>
      </rPr>
      <t xml:space="preserve">TRANSLATION:</t>
    </r>
    <r>
      <rPr>
        <sz val="10"/>
        <rFont val="Arial"/>
      </rPr>
      <t xml:space="preserve"> When she saw that Maybelle was not at all embarrassed about this conduct of hers, she was utterly astounded.</t>
    </r>
  </si>
  <si>
    <t xml:space="preserve">Supposed child’s shame about a parent who breaks social convention; group of children as witnesses</t>
  </si>
  <si>
    <t xml:space="preserve">"A boy has to be proud of his father—or stepfather. I can't let him be ashamed before the other little brutes. Cruel creatures, children."</t>
  </si>
  <si>
    <t xml:space="preserve">Wade</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</si>
  <si>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Я не хочу, чтобы ему было стыдно перед другими маленькими зверюгами.
</t>
    </r>
    <r>
      <rPr>
        <b/>
        <sz val="10"/>
        <rFont val="Arial"/>
      </rPr>
      <t xml:space="preserve">TRANS:</t>
    </r>
    <r>
      <rPr>
        <sz val="10"/>
        <rFont val="Arial"/>
      </rPr>
      <t xml:space="preserve"> Ya ne khochu, chtoby emu bylo stydno pered drugimi malen'kimi zveryugami.
</t>
    </r>
    <r>
      <rPr>
        <b/>
        <sz val="10"/>
        <rFont val="Arial"/>
      </rPr>
      <t xml:space="preserve">TRANSLATION:</t>
    </r>
    <r>
      <rPr>
        <sz val="10"/>
        <rFont val="Arial"/>
      </rPr>
      <t xml:space="preserve"> I do not want him to be ashamed before other little brutes.</t>
    </r>
  </si>
  <si>
    <r>
      <rPr>
        <b/>
        <sz val="10"/>
        <rFont val="Arial"/>
      </rPr>
      <t xml:space="preserve">TERM:</t>
    </r>
    <r>
      <rPr>
        <sz val="10"/>
        <rFont val="Arial"/>
      </rPr>
      <t xml:space="preserve"> NAZAR (НАЗАР) — attention; notice; gaze [KED, SZK]
</t>
    </r>
    <r>
      <rPr>
        <b/>
        <sz val="10"/>
        <rFont val="Arial"/>
      </rPr>
      <t xml:space="preserve">PASSAGE:</t>
    </r>
    <r>
      <rPr>
        <sz val="10"/>
        <rFont val="Arial"/>
      </rPr>
      <t xml:space="preserve"> Өзге балалардың алдында назары төмен, көңілі пәс болғанын қаламаймын.
</t>
    </r>
    <r>
      <rPr>
        <b/>
        <sz val="10"/>
        <rFont val="Arial"/>
      </rPr>
      <t xml:space="preserve">TRANS:</t>
    </r>
    <r>
      <rPr>
        <sz val="10"/>
        <rFont val="Arial"/>
      </rPr>
      <t xml:space="preserve"> Özge balalardyñ aldynda nazary tömen, köñılı päs bolğanyn qalamaimyn.
</t>
    </r>
    <r>
      <rPr>
        <b/>
        <sz val="10"/>
        <rFont val="Arial"/>
      </rPr>
      <t xml:space="preserve">TRANSLATION:</t>
    </r>
    <r>
      <rPr>
        <sz val="10"/>
        <rFont val="Arial"/>
      </rPr>
      <t xml:space="preserve"> I do not want him to be downcast and dispirited before the other children.</t>
    </r>
  </si>
  <si>
    <t xml:space="preserve">"Do you think I'm going to have my Bonnie ashamed of her father? Have her left out of parties when she's nine or ten? Do you think I'm going to have her humiliated like Wade for things that aren't her fault but yours and mine?"</t>
  </si>
  <si>
    <t xml:space="preserve">Bonnie</t>
  </si>
  <si>
    <r>
      <rPr>
        <b/>
        <sz val="10"/>
        <rFont val="Arial"/>
      </rPr>
      <t xml:space="preserve">TERM:</t>
    </r>
    <r>
      <rPr>
        <sz val="10"/>
        <rFont val="Arial"/>
      </rPr>
      <t xml:space="preserve"> stydilas' (стыдилась) — felt ashamed (3sg fem. past, impf.) [ORD] (lemma: стыдиться)
</t>
    </r>
    <r>
      <rPr>
        <b/>
        <sz val="10"/>
        <rFont val="Arial"/>
      </rPr>
      <t xml:space="preserve">PASSAGE:</t>
    </r>
    <r>
      <rPr>
        <sz val="10"/>
        <rFont val="Arial"/>
      </rPr>
      <t xml:space="preserve"> Вы думаете, я допущу, чтобы моя Бонни стыдилась своего отца?
</t>
    </r>
    <r>
      <rPr>
        <b/>
        <sz val="10"/>
        <rFont val="Arial"/>
      </rPr>
      <t xml:space="preserve">TRANS:</t>
    </r>
    <r>
      <rPr>
        <sz val="10"/>
        <rFont val="Arial"/>
      </rPr>
      <t xml:space="preserve"> Vy dumaete, ya dopushchu, chtoby moya Bonni stydilas' svoego ottsa?
</t>
    </r>
    <r>
      <rPr>
        <b/>
        <sz val="10"/>
        <rFont val="Arial"/>
      </rPr>
      <t xml:space="preserve">TRANSLATION:</t>
    </r>
    <r>
      <rPr>
        <sz val="10"/>
        <rFont val="Arial"/>
      </rPr>
      <t xml:space="preserve"> Do you think I will allow my Bonnie to be ashamed of her father?</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</si>
  <si>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Боннидің өз әкесі үшін ұялғанын қалайды ғой деймісің мені?
</t>
    </r>
    <r>
      <rPr>
        <b/>
        <sz val="10"/>
        <rFont val="Arial"/>
      </rPr>
      <t xml:space="preserve">TRANS:</t>
    </r>
    <r>
      <rPr>
        <sz val="10"/>
        <rFont val="Arial"/>
      </rPr>
      <t xml:space="preserve"> Bonnidıñ öz äkesı üşın ūialğanyn qalaidy ğoi deimısıñ menı?
</t>
    </r>
    <r>
      <rPr>
        <b/>
        <sz val="10"/>
        <rFont val="Arial"/>
      </rPr>
      <t xml:space="preserve">TRANSLATION:</t>
    </r>
    <r>
      <rPr>
        <sz val="10"/>
        <rFont val="Arial"/>
      </rPr>
      <t xml:space="preserve"> Do you think I would want Bonnie to be ashamed of her own father?</t>
    </r>
  </si>
  <si>
    <t xml:space="preserve">mild shame about social convention; no physical manifestation; no specific witness</t>
  </si>
  <si>
    <t xml:space="preserve">"It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</si>
  <si>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r>
      <rPr>
        <b/>
        <sz val="10"/>
        <rFont val="Arial"/>
      </rPr>
      <t xml:space="preserve">TERM:</t>
    </r>
    <r>
      <rPr>
        <sz val="10"/>
        <rFont val="Arial"/>
      </rPr>
      <t xml:space="preserve"> smushchennyy (смущенный) — embarrassed; flustered (adj./past pass. part.) [ORD]
</t>
    </r>
    <r>
      <rPr>
        <b/>
        <sz val="10"/>
        <rFont val="Arial"/>
      </rPr>
      <t xml:space="preserve">PASSAGE:</t>
    </r>
    <r>
      <rPr>
        <sz val="10"/>
        <rFont val="Arial"/>
      </rPr>
      <t xml:space="preserve"> Почему не везете их домой?», он ни слова не ответил, но вид у него был смущенный.
</t>
    </r>
    <r>
      <rPr>
        <b/>
        <sz val="10"/>
        <rFont val="Arial"/>
      </rPr>
      <t xml:space="preserve">TRANS:</t>
    </r>
    <r>
      <rPr>
        <sz val="10"/>
        <rFont val="Arial"/>
      </rPr>
      <t xml:space="preserve"> Pochemu ne vezete ikh domoy?», on ni slova ne otvetil, no vid u nego byl smushchennyy.
</t>
    </r>
    <r>
      <rPr>
        <b/>
        <sz val="10"/>
        <rFont val="Arial"/>
      </rPr>
      <t xml:space="preserve">TRANSLATION:</t>
    </r>
    <r>
      <rPr>
        <sz val="10"/>
        <rFont val="Arial"/>
      </rPr>
      <t xml:space="preserve"> "Why don't you take them home?" — he didn't say a word in reply, but he had an embarrassed look.</t>
    </r>
  </si>
  <si>
    <r>
      <rPr>
        <b/>
        <sz val="10"/>
        <rFont val="Arial"/>
      </rPr>
      <t xml:space="preserve">TERM:</t>
    </r>
    <r>
      <rPr>
        <sz val="10"/>
        <rFont val="Arial"/>
      </rPr>
      <t xml:space="preserve"> TÜR (ТҮР) — appearance; look; form [KED, SZK]
</t>
    </r>
    <r>
      <rPr>
        <b/>
        <sz val="10"/>
        <rFont val="Arial"/>
      </rPr>
      <t xml:space="preserve">PASSAGE:</t>
    </r>
    <r>
      <rPr>
        <sz val="10"/>
        <rFont val="Arial"/>
      </rPr>
      <t xml:space="preserve"> жұмған аузын ашпады, бірақ түрі түтігіп кеткен.
</t>
    </r>
    <r>
      <rPr>
        <b/>
        <sz val="10"/>
        <rFont val="Arial"/>
      </rPr>
      <t xml:space="preserve">TRANS:</t>
    </r>
    <r>
      <rPr>
        <sz val="10"/>
        <rFont val="Arial"/>
      </rPr>
      <t xml:space="preserve"> jūmğan auzyn aşpady, bıraq türı tütıgıp ketken.
</t>
    </r>
    <r>
      <rPr>
        <b/>
        <sz val="10"/>
        <rFont val="Arial"/>
      </rPr>
      <t xml:space="preserve">TRANSLATION:</t>
    </r>
    <r>
      <rPr>
        <sz val="10"/>
        <rFont val="Arial"/>
      </rPr>
      <t xml:space="preserve"> he did not open his closed mouth, but his look had darkened.</t>
    </r>
  </si>
  <si>
    <t xml:space="preserve">shame about body exposure, feminine modesty; posture manifests feeling; Scarlett as  witness</t>
  </si>
  <si>
    <t xml:space="preserve">"Thank God, I'm not that modest," thought Scarlett, feeling rather than seeing Melanie's agony of embarrassment, as she wrapped the ragged cloth about the shattered face.</t>
  </si>
  <si>
    <r>
      <rPr>
        <b/>
        <sz val="10"/>
        <rFont val="Arial"/>
      </rPr>
      <t xml:space="preserve">TERM:</t>
    </r>
    <r>
      <rPr>
        <sz val="10"/>
        <rFont val="Arial"/>
      </rPr>
      <t xml:space="preserve"> muki (муки) — torments; agonies (pl.) [ORD] (lemma: мука)
</t>
    </r>
    <r>
      <rPr>
        <b/>
        <sz val="10"/>
        <rFont val="Arial"/>
      </rPr>
      <t xml:space="preserve">PASSAGE:</t>
    </r>
    <r>
      <rPr>
        <sz val="10"/>
        <rFont val="Arial"/>
      </rPr>
      <t xml:space="preserv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
    </r>
    <r>
      <rPr>
        <b/>
        <sz val="10"/>
        <rFont val="Arial"/>
      </rPr>
      <t xml:space="preserve">TRANS:</t>
    </r>
    <r>
      <rPr>
        <sz val="10"/>
        <rFont val="Arial"/>
      </rPr>
      <t xml:space="preserve"> «Kakoe schast'e, chto ya ne nadelena takoy nepomernoy stydlivost'yu», — podumala Skarlett, obertyvaya rvanym pen'yuarom izurodovannuyu golovu soldata i ne stol'ko vidya, skol'ko chuvstvuya, kakie muki ispytyvaet ot svoey nagoty Melani.
</t>
    </r>
    <r>
      <rPr>
        <b/>
        <sz val="10"/>
        <rFont val="Arial"/>
      </rPr>
      <t xml:space="preserve">TRANSLATION:</t>
    </r>
    <r>
      <rPr>
        <sz val="10"/>
        <rFont val="Arial"/>
      </rPr>
      <t xml:space="preserve"> "What luck that I am not endowed with such excessive modesty," thought Scarlett, wrapping the soldier's mutilated head in her torn dressing-gown and not so much seeing as feeling what torments Melanie was undergoing because of her nakedness.</t>
    </r>
  </si>
  <si>
    <r>
      <rPr>
        <b/>
        <sz val="10"/>
        <rFont val="Arial"/>
      </rPr>
      <t xml:space="preserve">TERM:</t>
    </r>
    <r>
      <rPr>
        <sz val="10"/>
        <rFont val="Arial"/>
      </rPr>
      <t xml:space="preserve"> AZAPTY (АЗАПТЫ) — tormented; painful [KED, SZK]
</t>
    </r>
    <r>
      <rPr>
        <b/>
        <sz val="10"/>
        <rFont val="Arial"/>
      </rPr>
      <t xml:space="preserve">PASSAGE:</t>
    </r>
    <r>
      <rPr>
        <sz val="10"/>
        <rFont val="Arial"/>
      </rPr>
      <t xml:space="preserve"> "Маған мұндай шамадан тыс ұялшақтық берілмегені қандай бақыт, - деп ойлады Скарлетт, Меланидің жалаңаштығынан қандай азапты сезінгеніне қарап
</t>
    </r>
    <r>
      <rPr>
        <b/>
        <sz val="10"/>
        <rFont val="Arial"/>
      </rPr>
      <t xml:space="preserve">TRANS:</t>
    </r>
    <r>
      <rPr>
        <sz val="10"/>
        <rFont val="Arial"/>
      </rPr>
      <t xml:space="preserve"> "Mağan mūndai şamadan tys ūialşaqtyq berılmegenı qandai baqyt, - dep oilady Skarlett, Melanidıñ jalañaştyğynan qandai azapty sezıngenıne qarap
</t>
    </r>
    <r>
      <rPr>
        <b/>
        <sz val="10"/>
        <rFont val="Arial"/>
      </rPr>
      <t xml:space="preserve">TRANSLATION:</t>
    </r>
    <r>
      <rPr>
        <sz val="10"/>
        <rFont val="Arial"/>
      </rPr>
      <t xml:space="preserve"> "What good fortune that I have not been given such excessive shyness," thought Scarlett, looking at what torments Melanie was suffering because of her nakedness</t>
    </r>
  </si>
  <si>
    <t xml:space="preserve">mild shame about social convention; no physical manifestation; family witness</t>
  </si>
  <si>
    <t xml:space="preserve">"And the selfish swine won't give them to either of us," said Tony. "And they'd fit our small, aristocratic Fontaine feet perfectly. Hell's afire, I'm ashamed to face Mother in these brogans.</t>
  </si>
  <si>
    <t xml:space="preserve">Tony Fontaine</t>
  </si>
  <si>
    <t xml:space="preserve">Social shame about social convention – not be seen during advanced pregnancy; no physical manifestation; Ashley witness</t>
  </si>
  <si>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Мен болсам, сізге көрінуге де ұялып жүр едім...
</t>
    </r>
    <r>
      <rPr>
        <b/>
        <sz val="10"/>
        <rFont val="Arial"/>
      </rPr>
      <t xml:space="preserve">TRANS:</t>
    </r>
    <r>
      <rPr>
        <sz val="10"/>
        <rFont val="Arial"/>
      </rPr>
      <t xml:space="preserve"> Men bolsam, sızge körınuge de ūialyp jür edım...
</t>
    </r>
    <r>
      <rPr>
        <b/>
        <sz val="10"/>
        <rFont val="Arial"/>
      </rPr>
      <t xml:space="preserve">TRANSLATION:</t>
    </r>
    <r>
      <rPr>
        <sz val="10"/>
        <rFont val="Arial"/>
      </rPr>
      <t xml:space="preserve"> As for me, I had been ashamed to be seen by you...</t>
    </r>
  </si>
  <si>
    <t xml:space="preserve">supposed moral shame</t>
  </si>
  <si>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shame and hate me for bringing this on him. Suddenly her tears stopped short as a deadly fear went through her heart. What of Rhett? What would he do?</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</si>
  <si>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О, Эшли просто умрет со стыда и возненавидит меня за то, что я навлекла на него такое
</t>
    </r>
    <r>
      <rPr>
        <b/>
        <sz val="10"/>
        <rFont val="Arial"/>
      </rPr>
      <t xml:space="preserve">TRANS:</t>
    </r>
    <r>
      <rPr>
        <sz val="10"/>
        <rFont val="Arial"/>
      </rPr>
      <t xml:space="preserve"> O, Eshli prosto umret so styda i voznenavidit menya za to, chto ya navlekla na nego takoe
</t>
    </r>
    <r>
      <rPr>
        <b/>
        <sz val="10"/>
        <rFont val="Arial"/>
      </rPr>
      <t xml:space="preserve">TRANSLATION:</t>
    </r>
    <r>
      <rPr>
        <sz val="10"/>
        <rFont val="Arial"/>
      </rPr>
      <t xml:space="preserve"> Oh, Ashley would simply die of shame and would hate me for having brought such a thing upon him</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</si>
  <si>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Эшли осы жағдайға тап келтіргені үшін мұны өлердей жек көріп және өзі ұяттан өліп те кетуі мүмкін-ау.
</t>
    </r>
    <r>
      <rPr>
        <b/>
        <sz val="10"/>
        <rFont val="Arial"/>
      </rPr>
      <t xml:space="preserve">TRANS:</t>
    </r>
    <r>
      <rPr>
        <sz val="10"/>
        <rFont val="Arial"/>
      </rPr>
      <t xml:space="preserve"> Eşli osy jağdaiğa tap keltırgenı üşın mūny ölerdei jek körıp jäne özı ūiattan ölıp te ketuı mümkın-au.
</t>
    </r>
    <r>
      <rPr>
        <b/>
        <sz val="10"/>
        <rFont val="Arial"/>
      </rPr>
      <t xml:space="preserve">TRANSLATION:</t>
    </r>
    <r>
      <rPr>
        <sz val="10"/>
        <rFont val="Arial"/>
      </rPr>
      <t xml:space="preserve"> Ashley might hate this woman to death and might himself die of shame for having put him in this situation.</t>
    </r>
  </si>
  <si>
    <t xml:space="preserve">Supposed moral shame</t>
  </si>
  <si>
    <t xml:space="preserve">Tomorrow she would not be so haunted by the memory of Ashley's face, his broken pride and his shame—shame that she had caused, shame in which he had so little part. Would he hate her now, her darling honorable Ashley, because she had shamed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</si>
  <si>
    <r>
      <rPr>
        <b/>
        <sz val="10"/>
        <rFont val="Arial"/>
      </rPr>
      <t xml:space="preserve">TERM:</t>
    </r>
    <r>
      <rPr>
        <sz val="10"/>
        <rFont val="Arial"/>
      </rPr>
      <t xml:space="preserve"> pozor (позор) — disgrace; shame; ignominy [ORD]
</t>
    </r>
    <r>
      <rPr>
        <b/>
        <sz val="10"/>
        <rFont val="Arial"/>
      </rPr>
      <t xml:space="preserve">PASSAGE:</t>
    </r>
    <r>
      <rPr>
        <sz val="10"/>
        <rFont val="Arial"/>
      </rPr>
      <t xml:space="preserv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
    </r>
    <r>
      <rPr>
        <b/>
        <sz val="10"/>
        <rFont val="Arial"/>
      </rPr>
      <t xml:space="preserve">TRANS:</t>
    </r>
    <r>
      <rPr>
        <sz val="10"/>
        <rFont val="Arial"/>
      </rPr>
      <t xml:space="preserve"> Zavtra ee uzhe ne budet presledovat' litso Eshli, vospominanie ob ego slomlennoy gordosti i pozore — pozore, kotoryy navlekla na nego ona, togda kak on byl ni v chem ne povinen.
</t>
    </r>
    <r>
      <rPr>
        <b/>
        <sz val="10"/>
        <rFont val="Arial"/>
      </rPr>
      <t xml:space="preserve">TRANSLATION:</t>
    </r>
    <r>
      <rPr>
        <sz val="10"/>
        <rFont val="Arial"/>
      </rPr>
      <t xml:space="preserve"> Tomorrow she would no longer be haunted by Ashley's face, the memory of his broken pride and his disgrace — disgrace which she had brought upon him, while he was guilty of nothing.</t>
    </r>
  </si>
  <si>
    <t xml:space="preserve">Social retrospective shame, society as witness</t>
  </si>
  <si>
    <t xml:space="preserve">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shame.</t>
  </si>
  <si>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Оның Ричмонд пен Уилмингтондағы қызметі туралы қауесет Атландаға жетіп, бір кезде оны қонаққа шақырған барлық адамдарды ұятқа қалдырды.
</t>
    </r>
    <r>
      <rPr>
        <b/>
        <sz val="10"/>
        <rFont val="Arial"/>
      </rPr>
      <t xml:space="preserve">TRANS:</t>
    </r>
    <r>
      <rPr>
        <sz val="10"/>
        <rFont val="Arial"/>
      </rPr>
      <t xml:space="preserve"> Onyñ Richmond pen Uilmingtondağy qyzmetı turaly qaueset Atlandağa jetıp, bır kezde ony qonaqqa şaqyrğan barlyq adamdardy ūiatqa qaldyrdy.
</t>
    </r>
    <r>
      <rPr>
        <b/>
        <sz val="10"/>
        <rFont val="Arial"/>
      </rPr>
      <t xml:space="preserve">TRANSLATION:</t>
    </r>
    <r>
      <rPr>
        <sz val="10"/>
        <rFont val="Arial"/>
      </rPr>
      <t xml:space="preserve"> The talk about his service in Richmond and Wilmington reached Atlanta, and put to shame all those who had once invited him as a guest.</t>
    </r>
  </si>
  <si>
    <t xml:space="preserve">Social shame, ascribed to Scarlett, dismissed as unneeded</t>
  </si>
  <si>
    <t xml:space="preserve">"He just isn't up to active service, Scarlett. You need have no shame about it. After all, someone must stay home and raise crops for the army."</t>
  </si>
  <si>
    <r>
      <rPr>
        <b/>
        <sz val="10"/>
        <rFont val="Arial"/>
      </rPr>
      <t xml:space="preserve">TERM:</t>
    </r>
    <r>
      <rPr>
        <sz val="10"/>
        <rFont val="Arial"/>
      </rPr>
      <t xml:space="preserve"> stydit'sya (стыдиться) — to feel ashamed (imperfective); pf. постыдиться/устыдиться [ORD]
</t>
    </r>
    <r>
      <rPr>
        <b/>
        <sz val="10"/>
        <rFont val="Arial"/>
      </rPr>
      <t xml:space="preserve">PASSAGE:</t>
    </r>
    <r>
      <rPr>
        <sz val="10"/>
        <rFont val="Arial"/>
      </rPr>
      <t xml:space="preserve"> вам нечего этого стыдиться.
</t>
    </r>
    <r>
      <rPr>
        <b/>
        <sz val="10"/>
        <rFont val="Arial"/>
      </rPr>
      <t xml:space="preserve">TRANS:</t>
    </r>
    <r>
      <rPr>
        <sz val="10"/>
        <rFont val="Arial"/>
      </rPr>
      <t xml:space="preserve"> vam nechego etogo stydit'sya.
</t>
    </r>
    <r>
      <rPr>
        <b/>
        <sz val="10"/>
        <rFont val="Arial"/>
      </rPr>
      <t xml:space="preserve">TRANSLATION:</t>
    </r>
    <r>
      <rPr>
        <sz val="10"/>
        <rFont val="Arial"/>
      </rPr>
      <t xml:space="preserve"> you have nothing to be ashamed of for that.</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</si>
  <si>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сізге ол үшін ұялудың қажеті жоқ.
</t>
    </r>
    <r>
      <rPr>
        <b/>
        <sz val="10"/>
        <rFont val="Arial"/>
      </rPr>
      <t xml:space="preserve">TRANS:</t>
    </r>
    <r>
      <rPr>
        <sz val="10"/>
        <rFont val="Arial"/>
      </rPr>
      <t xml:space="preserve"> sızge ol üşın ūialudyñ qajetı joq.
</t>
    </r>
    <r>
      <rPr>
        <b/>
        <sz val="10"/>
        <rFont val="Arial"/>
      </rPr>
      <t xml:space="preserve">TRANSLATION:</t>
    </r>
    <r>
      <rPr>
        <sz val="10"/>
        <rFont val="Arial"/>
      </rPr>
      <t xml:space="preserve"> you have no need to feel ashamed for that.</t>
    </r>
  </si>
  <si>
    <t xml:space="preserve">Social shame, for his wife’s unladylike behavior, manifested in posture</t>
  </si>
  <si>
    <t xml:space="preserve">"And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shame. And Rhett, I killed him. Yes, I did!</t>
  </si>
  <si>
    <t xml:space="preserve">Frank Kennedy</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</si>
  <si>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Ему было до того стыдно — он не мог людям в глаза смотреть.
</t>
    </r>
    <r>
      <rPr>
        <b/>
        <sz val="10"/>
        <rFont val="Arial"/>
      </rPr>
      <t xml:space="preserve">TRANS:</t>
    </r>
    <r>
      <rPr>
        <sz val="10"/>
        <rFont val="Arial"/>
      </rPr>
      <t xml:space="preserve"> Emu bylo do togo stydno — on ne mog lyudyam v glaza smotret'.
</t>
    </r>
    <r>
      <rPr>
        <b/>
        <sz val="10"/>
        <rFont val="Arial"/>
      </rPr>
      <t xml:space="preserve">TRANSLATION:</t>
    </r>
    <r>
      <rPr>
        <sz val="10"/>
        <rFont val="Arial"/>
      </rPr>
      <t xml:space="preserve"> He was so ashamed — he could not look people in the eyes.</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</si>
  <si>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Ол қатты ұялғаннан адамдардың бетіне тіке қарай алмай жүрді.
</t>
    </r>
    <r>
      <rPr>
        <b/>
        <sz val="10"/>
        <rFont val="Arial"/>
      </rPr>
      <t xml:space="preserve">TRANS:</t>
    </r>
    <r>
      <rPr>
        <sz val="10"/>
        <rFont val="Arial"/>
      </rPr>
      <t xml:space="preserve"> Ol qatty ūialğannan adamdardyñ betıne tıke qarai almai jürdı.
</t>
    </r>
    <r>
      <rPr>
        <b/>
        <sz val="10"/>
        <rFont val="Arial"/>
      </rPr>
      <t xml:space="preserve">TRANSLATION:</t>
    </r>
    <r>
      <rPr>
        <sz val="10"/>
        <rFont val="Arial"/>
      </rPr>
      <t xml:space="preserve"> He was so embarrassed that he could not look people directly in the face.</t>
    </r>
  </si>
  <si>
    <t xml:space="preserve">Shame — Absent social shame</t>
  </si>
  <si>
    <t xml:space="preserve">Expected social  shame about degrading occupation — refused / absent</t>
  </si>
  <si>
    <t xml:space="preserve">"And I never thought you'd be driving a pie wagon, Renny Picard," she said. Instead of being ashamed at having his degrading occupation thrown in his face, he seemed pleased and laughed uproariously, slapping Hugh on the back.</t>
  </si>
  <si>
    <t xml:space="preserve">Rene Picard</t>
  </si>
  <si>
    <r>
      <rPr>
        <b/>
        <sz val="10"/>
        <rFont val="Arial"/>
      </rPr>
      <t xml:space="preserve">TERM:</t>
    </r>
    <r>
      <rPr>
        <sz val="10"/>
        <rFont val="Arial"/>
      </rPr>
      <t xml:space="preserve"> ustydit'sya (устыдиться) — to feel ashamed (perfective) [ORD]
</t>
    </r>
    <r>
      <rPr>
        <b/>
        <sz val="10"/>
        <rFont val="Arial"/>
      </rPr>
      <t xml:space="preserve">PASSAGE:</t>
    </r>
    <r>
      <rPr>
        <sz val="10"/>
        <rFont val="Arial"/>
      </rPr>
      <t xml:space="preserv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
    </r>
    <r>
      <rPr>
        <b/>
        <sz val="10"/>
        <rFont val="Arial"/>
      </rPr>
      <t xml:space="preserve">TRANS:</t>
    </r>
    <r>
      <rPr>
        <sz val="10"/>
        <rFont val="Arial"/>
      </rPr>
      <t xml:space="preserve"> No vmesto togo chtoby ustydit'sya stol' unizitel'nogo zanyatiya o kotorom bylo skazano vo vseuslyshanie, Rene raskhokhotalsya s dovol'nym vidom i khlopnul Kh'yu po spinу
</t>
    </r>
    <r>
      <rPr>
        <b/>
        <sz val="10"/>
        <rFont val="Arial"/>
      </rPr>
      <t xml:space="preserve">TRANSLATION:</t>
    </r>
    <r>
      <rPr>
        <sz val="10"/>
        <rFont val="Arial"/>
      </rPr>
      <t xml:space="preserve"> But instead of being ashamed of such a degrading occupation that had been mentioned for everyone to hear, Rene burst into laughter with a satisfied air and slapped Hugh on the back</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</si>
  <si>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Бірақ жұрттың бәрі естісе де янкилерге нан тасығанынан қысыла қоятын, өз ісін қорлық көріп тұрған Рене жоқ, өз-өзіне риза кейіпте қарқылдай күліп, Хьюдің арқасынан қағып қойды.
</t>
    </r>
    <r>
      <rPr>
        <b/>
        <sz val="10"/>
        <rFont val="Arial"/>
      </rPr>
      <t xml:space="preserve">TRANS:</t>
    </r>
    <r>
      <rPr>
        <sz val="10"/>
        <rFont val="Arial"/>
      </rPr>
      <t xml:space="preserve"> Bıraq jūrttyñ bärı estıse de iankilerge nan tasyğanynan qysyla qoiatyn, öz ısın qorlyq körıp tūrğan Rene joq, öz-özıne riza keiıpte qarqyldai külıp, Hüdıñ arqasynan qağyp qoidy.
</t>
    </r>
    <r>
      <rPr>
        <b/>
        <sz val="10"/>
        <rFont val="Arial"/>
      </rPr>
      <t xml:space="preserve">TRANSLATION:</t>
    </r>
    <r>
      <rPr>
        <sz val="10"/>
        <rFont val="Arial"/>
      </rPr>
      <t xml:space="preserve"> But Rene, who would have been embarrassed if everyone heard he was carting bread to the Yankees and considered his work degrading — there was no such Rene; with a self-satisfied air he laughed loudly and slapped Hugh on the back.</t>
    </r>
  </si>
  <si>
    <t xml:space="preserve">shame ABSENT — expected shame from enjoying sexual passion with her husband</t>
  </si>
  <si>
    <t xml:space="preserve">Oh, she should be ashamed, should shrink from the very memory of the hot swirling darkness! A lady, a real lady, could never hold up her head after such a night. But, stronger than shame, was the memory of rapture, of the ecstasy of surrender. For the first time in her life she had felt alive, felt passion as sweeping and primitive as the fear she had known the night she fled Atlanta, as dizzy sweet as the cold hate when she had shot the Yankee.</t>
  </si>
  <si>
    <r>
      <rPr>
        <b/>
        <sz val="10"/>
        <rFont val="Arial"/>
      </rPr>
      <t xml:space="preserve">TERM:</t>
    </r>
    <r>
      <rPr>
        <sz val="10"/>
        <rFont val="Arial"/>
      </rPr>
      <t xml:space="preserve"> ustydit'sya (устыдиться) — to feel ashamed (perfective) [ORD]
</t>
    </r>
    <r>
      <rPr>
        <b/>
        <sz val="10"/>
        <rFont val="Arial"/>
      </rPr>
      <t xml:space="preserve">PASSAGE:</t>
    </r>
    <r>
      <rPr>
        <sz val="10"/>
        <rFont val="Arial"/>
      </rPr>
      <t xml:space="preserve"> А ведь должна была бы устыдиться, должна была бы бежать даже воспоминаний о жаркой, кружащей голову тьме!
</t>
    </r>
    <r>
      <rPr>
        <b/>
        <sz val="10"/>
        <rFont val="Arial"/>
      </rPr>
      <t xml:space="preserve">TRANS:</t>
    </r>
    <r>
      <rPr>
        <sz val="10"/>
        <rFont val="Arial"/>
      </rPr>
      <t xml:space="preserve"> A ved' dolzhna byla by ustydit'sya, dolzhna byla by bezhat' dazhe vospominaniy o zharkoy, kruzhashchey golovu t'me!
</t>
    </r>
    <r>
      <rPr>
        <b/>
        <sz val="10"/>
        <rFont val="Arial"/>
      </rPr>
      <t xml:space="preserve">TRANSLATION:</t>
    </r>
    <r>
      <rPr>
        <sz val="10"/>
        <rFont val="Arial"/>
      </rPr>
      <t xml:space="preserve"> And yet she should have been ashamed, should have fled even from the memories of that hot, head-spinning darkness!</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</si>
  <si>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Содан енді өзі ұялса керек еді ғой, лапылдай жанған отқа оранып, басы айналған түннің есіне түскен елесінен де қашуы керек емес пе?
</t>
    </r>
    <r>
      <rPr>
        <b/>
        <sz val="10"/>
        <rFont val="Arial"/>
      </rPr>
      <t xml:space="preserve">TRANS:</t>
    </r>
    <r>
      <rPr>
        <sz val="10"/>
        <rFont val="Arial"/>
      </rPr>
      <t xml:space="preserve"> Sodan endı özı ūialsa kerek edı ğoi, lapyldai janğan otqa oranyp, basy ainalğan tünnıñ esıne tüsken elesınen de qaşuy kerek emes pe?
</t>
    </r>
    <r>
      <rPr>
        <b/>
        <sz val="10"/>
        <rFont val="Arial"/>
      </rPr>
      <t xml:space="preserve">TRANSLATION:</t>
    </r>
    <r>
      <rPr>
        <sz val="10"/>
        <rFont val="Arial"/>
      </rPr>
      <t xml:space="preserve"> Should she not now be ashamed, should she not flee even from the appearing memory of that night, wrapped in flaming fire, that made her head spin?</t>
    </r>
  </si>
  <si>
    <t xml:space="preserve">shame directed at another — performative speech act (verdict / directive) – shame DECLARED ABSENT</t>
  </si>
  <si>
    <t xml:space="preserve">"Oh, they don't have to marry! There's nothing shameful in being a spinster. Look at Aunt Pitty. Oh, I'd rather see Cathleen dead! I know Cade would rather see her dead.</t>
  </si>
  <si>
    <r>
      <rPr>
        <b/>
        <sz val="10"/>
        <rFont val="Arial"/>
      </rPr>
      <t xml:space="preserve">TERM:</t>
    </r>
    <r>
      <rPr>
        <sz val="10"/>
        <rFont val="Arial"/>
      </rPr>
      <t xml:space="preserve"> postydnogo (постыдного) — shameful; ignominious (adj., gen.) [ORD] (lemma: постыдный)
</t>
    </r>
    <r>
      <rPr>
        <b/>
        <sz val="10"/>
        <rFont val="Arial"/>
      </rPr>
      <t xml:space="preserve">PASSAGE:</t>
    </r>
    <r>
      <rPr>
        <sz val="10"/>
        <rFont val="Arial"/>
      </rPr>
      <t xml:space="preserve"> Ничего нет постыдного в том, чтобы оставаться незамужней.
</t>
    </r>
    <r>
      <rPr>
        <b/>
        <sz val="10"/>
        <rFont val="Arial"/>
      </rPr>
      <t xml:space="preserve">TRANS:</t>
    </r>
    <r>
      <rPr>
        <sz val="10"/>
        <rFont val="Arial"/>
      </rPr>
      <t xml:space="preserve"> Nichego net postydnogo v tom, chtoby ostavat'sya nezamuzhney.
</t>
    </r>
    <r>
      <rPr>
        <b/>
        <sz val="10"/>
        <rFont val="Arial"/>
      </rPr>
      <t xml:space="preserve">TRANSLATION:</t>
    </r>
    <r>
      <rPr>
        <sz val="10"/>
        <rFont val="Arial"/>
      </rPr>
      <t xml:space="preserve"> There is nothing shameful about remaining unmarried.</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</si>
  <si>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Күйеуге шықпағанда тұрған ұят ештеңе жоқ.
</t>
    </r>
    <r>
      <rPr>
        <b/>
        <sz val="10"/>
        <rFont val="Arial"/>
      </rPr>
      <t xml:space="preserve">TRANS:</t>
    </r>
    <r>
      <rPr>
        <sz val="10"/>
        <rFont val="Arial"/>
      </rPr>
      <t xml:space="preserve"> Küieuge şyqpağanda tūrğan ūiat eşteñe joq.
</t>
    </r>
    <r>
      <rPr>
        <b/>
        <sz val="10"/>
        <rFont val="Arial"/>
      </rPr>
      <t xml:space="preserve">TRANSLATION:</t>
    </r>
    <r>
      <rPr>
        <sz val="10"/>
        <rFont val="Arial"/>
      </rPr>
      <t xml:space="preserve"> There is no shame in not having married.</t>
    </r>
  </si>
  <si>
    <t xml:space="preserve">absence of social  shame from moral integrity — Melanie</t>
  </si>
  <si>
    <t xml:space="preserve">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</si>
  <si>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r>
      <rPr>
        <b/>
        <sz val="10"/>
        <rFont val="Arial"/>
      </rPr>
      <t xml:space="preserve">TERM:</t>
    </r>
    <r>
      <rPr>
        <sz val="10"/>
        <rFont val="Arial"/>
      </rPr>
      <t xml:space="preserve"> styditsya (стыдится) — feels ashamed (3sg) [ORD] (lemma: стыдиться)
</t>
    </r>
    <r>
      <rPr>
        <b/>
        <sz val="10"/>
        <rFont val="Arial"/>
      </rPr>
      <t xml:space="preserve">PASSAGE:</t>
    </r>
    <r>
      <rPr>
        <sz val="10"/>
        <rFont val="Arial"/>
      </rPr>
      <t xml:space="preserv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
    </r>
    <r>
      <rPr>
        <b/>
        <sz val="10"/>
        <rFont val="Arial"/>
      </rPr>
      <t xml:space="preserve">TRANS:</t>
    </r>
    <r>
      <rPr>
        <sz val="10"/>
        <rFont val="Arial"/>
      </rPr>
      <t xml:space="preserve"> Poroy, glyadya, kak gosti sidyat na trave i popivayut chay — edinstvennyy napitok, kotoryy Uilksy v sostoyanii byli predlozhit', — Skarlett porazhalas', kak eto Melli ne styditsya vystavlyat' napokaz svoyu bednost'.
</t>
    </r>
    <r>
      <rPr>
        <b/>
        <sz val="10"/>
        <rFont val="Arial"/>
      </rPr>
      <t xml:space="preserve">TRANSLATION:</t>
    </r>
    <r>
      <rPr>
        <sz val="10"/>
        <rFont val="Arial"/>
      </rPr>
      <t xml:space="preserve"> At times, looking at the guests sitting on the grass and sipping tea — the only beverage the Wilkeses were able to offer — Scarlett was amazed that Melly was not ashamed of putting her poverty on display.</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</si>
  <si>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b/>
        <sz val="10"/>
        <rFont val="Arial"/>
      </rPr>
      <t xml:space="preserve">TRANS:</t>
    </r>
    <r>
      <rPr>
        <sz val="10"/>
        <rFont val="Arial"/>
      </rPr>
      <t xml:space="preserve"> Keide qonaqtardyñ şöp üstınde üi iesınıñ şamasy jetetın jalğyz susynyn - şaiyn ışıp otyrğandaryn körgende Skarlett Melanidıñ öz kedeilıgınen ūialmai, elge jaiyp körsetetınıne tañyrqaityn.
</t>
    </r>
    <r>
      <rPr>
        <b/>
        <sz val="10"/>
        <rFont val="Arial"/>
      </rPr>
      <t xml:space="preserve">TRANSLATION:</t>
    </r>
    <r>
      <rPr>
        <sz val="10"/>
        <rFont val="Arial"/>
      </rPr>
      <t xml:space="preserve"> Sometimes, when she saw the guests sitting on the grass drinking the only refreshment the host could afford — tea — Scarlett would be amazed that Melanie was not ashamed of her poverty and openly showed it to all.</t>
    </r>
  </si>
  <si>
    <t xml:space="preserve">Social shame ABSENT in community  - aunt Pitty as witness</t>
  </si>
  <si>
    <t xml:space="preserve">Aunt Pitty disapproved highly of these last, for she felt they had come to Atlanta for no reason at all except to catch husbands, and the shamelessness of it made her wonder what the world was coming to.</t>
  </si>
  <si>
    <r>
      <rPr>
        <b/>
        <sz val="10"/>
        <rFont val="Arial"/>
      </rPr>
      <t xml:space="preserve">TERM:</t>
    </r>
    <r>
      <rPr>
        <sz val="10"/>
        <rFont val="Arial"/>
      </rPr>
      <t xml:space="preserve"> besstydstva (бесстыдства) — shamelessness; impudence (gen.) [ORD] (lemma: бесстыдство)
</t>
    </r>
    <r>
      <rPr>
        <b/>
        <sz val="10"/>
        <rFont val="Arial"/>
      </rPr>
      <t xml:space="preserve">PASSAGE:</t>
    </r>
    <r>
      <rPr>
        <sz val="10"/>
        <rFont val="Arial"/>
      </rPr>
      <t xml:space="preserve"> и перед лицом такого бесстыдства она не переставала с изумлением вопрошать: куда идет мир?
</t>
    </r>
    <r>
      <rPr>
        <b/>
        <sz val="10"/>
        <rFont val="Arial"/>
      </rPr>
      <t xml:space="preserve">TRANS:</t>
    </r>
    <r>
      <rPr>
        <sz val="10"/>
        <rFont val="Arial"/>
      </rPr>
      <t xml:space="preserve"> i pered litsom takogo besstydstva ona ne perestavala s izumleniem voproshat': kuda idet mir?
</t>
    </r>
    <r>
      <rPr>
        <b/>
        <sz val="10"/>
        <rFont val="Arial"/>
      </rPr>
      <t xml:space="preserve">TRANSLATION:</t>
    </r>
    <r>
      <rPr>
        <sz val="10"/>
        <rFont val="Arial"/>
      </rPr>
      <t xml:space="preserve"> and faced with such shamelessness she did not cease asking in astonishment: where is the world heading?</t>
    </r>
  </si>
  <si>
    <r>
      <rPr>
        <b/>
        <sz val="10"/>
        <rFont val="Arial"/>
      </rPr>
      <t xml:space="preserve">TERM:</t>
    </r>
    <r>
      <rPr>
        <sz val="10"/>
        <rFont val="Arial"/>
      </rPr>
      <t xml:space="preserve"> ŪİATSYZDYQ (ҰЯТСЫЗДЫҚ) — shamelessness; impudence [KED, SZK]
</t>
    </r>
    <r>
      <rPr>
        <b/>
        <sz val="10"/>
        <rFont val="Arial"/>
      </rPr>
      <t xml:space="preserve">PASSAGE:</t>
    </r>
    <r>
      <rPr>
        <sz val="10"/>
        <rFont val="Arial"/>
      </rPr>
      <t xml:space="preserve"> ол мұндай ұятсыздыққа "бұл дүние не болып жатыр?" деп таңғалуын қоймады.
</t>
    </r>
    <r>
      <rPr>
        <b/>
        <sz val="10"/>
        <rFont val="Arial"/>
      </rPr>
      <t xml:space="preserve">TRANS:</t>
    </r>
    <r>
      <rPr>
        <sz val="10"/>
        <rFont val="Arial"/>
      </rPr>
      <t xml:space="preserve"> ol mūndai ūiatsyzdyqqa "būl dünie ne bolyp jatyr?" dep tañğaluyn qoimady.
</t>
    </r>
    <r>
      <rPr>
        <b/>
        <sz val="10"/>
        <rFont val="Arial"/>
      </rPr>
      <t xml:space="preserve">TRANSLATION:</t>
    </r>
    <r>
      <rPr>
        <sz val="10"/>
        <rFont val="Arial"/>
      </rPr>
      <t xml:space="preserve"> she did not stop being astonished at this shamelessness, asking, "What is happening to this world?"</t>
    </r>
  </si>
  <si>
    <t xml:space="preserve">Social shame ABSENT</t>
  </si>
  <si>
    <t xml:space="preserve">Scarlett had no shame at all, only an active feeling of relief.</t>
  </si>
  <si>
    <r>
      <rPr>
        <b/>
        <sz val="10"/>
        <rFont val="Arial"/>
      </rPr>
      <t xml:space="preserve">TERM:</t>
    </r>
    <r>
      <rPr>
        <sz val="10"/>
        <rFont val="Arial"/>
      </rPr>
      <t xml:space="preserve"> ni maleyshego styda (ни малейшего стыда) — not the slightest shame [ORD] (lemma: стыд)
</t>
    </r>
    <r>
      <rPr>
        <b/>
        <sz val="10"/>
        <rFont val="Arial"/>
      </rPr>
      <t xml:space="preserve">PASSAGE:</t>
    </r>
    <r>
      <rPr>
        <sz val="10"/>
        <rFont val="Arial"/>
      </rPr>
      <t xml:space="preserve"> А Скарлетт и не испытывала ни малейшего стыда
</t>
    </r>
    <r>
      <rPr>
        <b/>
        <sz val="10"/>
        <rFont val="Arial"/>
      </rPr>
      <t xml:space="preserve">TRANS:</t>
    </r>
    <r>
      <rPr>
        <sz val="10"/>
        <rFont val="Arial"/>
      </rPr>
      <t xml:space="preserve"> A Skarlett i ne ispytyvala ni maleyshego styda
</t>
    </r>
    <r>
      <rPr>
        <b/>
        <sz val="10"/>
        <rFont val="Arial"/>
      </rPr>
      <t xml:space="preserve">TRANSLATION:</t>
    </r>
    <r>
      <rPr>
        <sz val="10"/>
        <rFont val="Arial"/>
      </rPr>
      <t xml:space="preserve"> And Scarlett did not feel the slightest shame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</si>
  <si>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Ал Скарлетт ешқандай да ұялған жоқ еді
</t>
    </r>
    <r>
      <rPr>
        <b/>
        <sz val="10"/>
        <rFont val="Arial"/>
      </rPr>
      <t xml:space="preserve">TRANS:</t>
    </r>
    <r>
      <rPr>
        <sz val="10"/>
        <rFont val="Arial"/>
      </rPr>
      <t xml:space="preserve"> Al Skarlett eşqandai da ūialğan joq edı
</t>
    </r>
    <r>
      <rPr>
        <b/>
        <sz val="10"/>
        <rFont val="Arial"/>
      </rPr>
      <t xml:space="preserve">TRANSLATION:</t>
    </r>
    <r>
      <rPr>
        <sz val="10"/>
        <rFont val="Arial"/>
      </rPr>
      <t xml:space="preserve"> And Scarlett was not in the least ashamed</t>
    </r>
  </si>
  <si>
    <t xml:space="preserve">Happy absence of social shame, feeling of freedom</t>
  </si>
  <si>
    <t xml:space="preserve">"Me, I am dead to shame," grinned Rene. "Who would be respectable? All of my days I was respectable until ze war set me free lak ze darkies. Nevaire again must I be deegneefied and full of ennui. Free lak ze bird!</t>
  </si>
  <si>
    <r>
      <rPr>
        <b/>
        <sz val="10"/>
        <rFont val="Arial"/>
      </rPr>
      <t xml:space="preserve">TERM:</t>
    </r>
    <r>
      <rPr>
        <sz val="10"/>
        <rFont val="Arial"/>
      </rPr>
      <t xml:space="preserve"> styd (стыд) — shame; the feeling of having transgressed a moral or social norm [ORD]
</t>
    </r>
    <r>
      <rPr>
        <b/>
        <sz val="10"/>
        <rFont val="Arial"/>
      </rPr>
      <t xml:space="preserve">PASSAGE:</t>
    </r>
    <r>
      <rPr>
        <sz val="10"/>
        <rFont val="Arial"/>
      </rPr>
      <t xml:space="preserve"> Да я свой стыд давно похоронил!
</t>
    </r>
    <r>
      <rPr>
        <b/>
        <sz val="10"/>
        <rFont val="Arial"/>
      </rPr>
      <t xml:space="preserve">TRANS:</t>
    </r>
    <r>
      <rPr>
        <sz val="10"/>
        <rFont val="Arial"/>
      </rPr>
      <t xml:space="preserve"> Da ya svoy styd davno pokhoronil!
</t>
    </r>
    <r>
      <rPr>
        <b/>
        <sz val="10"/>
        <rFont val="Arial"/>
      </rPr>
      <t xml:space="preserve">TRANSLATION:</t>
    </r>
    <r>
      <rPr>
        <sz val="10"/>
        <rFont val="Arial"/>
      </rPr>
      <t xml:space="preserve"> Oh, I have buried my shame long ago!</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</si>
  <si>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Маған ба? Ой, саспа, мен ұятымды баяғыда жерлеп тастаған адаммын.
</t>
    </r>
    <r>
      <rPr>
        <b/>
        <sz val="10"/>
        <rFont val="Arial"/>
      </rPr>
      <t xml:space="preserve">TRANS:</t>
    </r>
    <r>
      <rPr>
        <sz val="10"/>
        <rFont val="Arial"/>
      </rPr>
      <t xml:space="preserve"> Mağan ba? Oi, saspa, men ūiatymdy baiağyda jerlep tastağan adammyn.
</t>
    </r>
    <r>
      <rPr>
        <b/>
        <sz val="10"/>
        <rFont val="Arial"/>
      </rPr>
      <t xml:space="preserve">TRANSLATION:</t>
    </r>
    <r>
      <rPr>
        <sz val="10"/>
        <rFont val="Arial"/>
      </rPr>
      <t xml:space="preserve"> Me? Oh, don't worry, I am a man who buried my shame long ago.</t>
    </r>
  </si>
  <si>
    <t xml:space="preserve">Shame — Illocutionary shame (shaming)</t>
  </si>
  <si>
    <t xml:space="preserve">shame directed at another — performative speech act (verdict / directive)</t>
  </si>
  <si>
    <t xml:space="preserve">"Peter," she said, her voice breaking as she put her hand on his thin arm. "I'm ashamed of you for crying. What do you care? They aren't anything but damned Yankees!"</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</si>
  <si>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Мне стыдно, что ты плачешь.
</t>
    </r>
    <r>
      <rPr>
        <b/>
        <sz val="10"/>
        <rFont val="Arial"/>
      </rPr>
      <t xml:space="preserve">TRANS:</t>
    </r>
    <r>
      <rPr>
        <sz val="10"/>
        <rFont val="Arial"/>
      </rPr>
      <t xml:space="preserve"> Mne stydno, chto ty plachesh'.
</t>
    </r>
    <r>
      <rPr>
        <b/>
        <sz val="10"/>
        <rFont val="Arial"/>
      </rPr>
      <t xml:space="preserve">TRANSLATION:</t>
    </r>
    <r>
      <rPr>
        <sz val="10"/>
        <rFont val="Arial"/>
      </rPr>
      <t xml:space="preserve"> I am ashamed that you are crying.</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</si>
  <si>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Сенің көз жасың үшін мен қатты қысылып отырмын.
</t>
    </r>
    <r>
      <rPr>
        <b/>
        <sz val="10"/>
        <rFont val="Arial"/>
      </rPr>
      <t xml:space="preserve">TRANS:</t>
    </r>
    <r>
      <rPr>
        <sz val="10"/>
        <rFont val="Arial"/>
      </rPr>
      <t xml:space="preserve"> Senıñ köz jasyñ üşın men qatty qysylyp otyrmyn.
</t>
    </r>
    <r>
      <rPr>
        <b/>
        <sz val="10"/>
        <rFont val="Arial"/>
      </rPr>
      <t xml:space="preserve">TRANSLATION:</t>
    </r>
    <r>
      <rPr>
        <sz val="10"/>
        <rFont val="Arial"/>
      </rPr>
      <t xml:space="preserve"> I am very embarrassed for your tears.</t>
    </r>
  </si>
  <si>
    <t xml:space="preserve">"I wish," thought Scarlett irritably, "that Uncle Henry wouldn't ride home in that contraption. He ought to be ashamed to be seen in it. It isn't as though he didn't have a horse of his own. He just does it so he and Grandpa can go to the saloon together every night."</t>
  </si>
  <si>
    <r>
      <rPr>
        <b/>
        <sz val="10"/>
        <rFont val="Arial"/>
      </rPr>
      <t xml:space="preserve">TERM:</t>
    </r>
    <r>
      <rPr>
        <sz val="10"/>
        <rFont val="Arial"/>
      </rPr>
      <t xml:space="preserve"> Postydilsya (Постыдился) — felt ashamed (pf.); refrained out of shame [ORD] (lemma: постыдиться)
</t>
    </r>
    <r>
      <rPr>
        <b/>
        <sz val="10"/>
        <rFont val="Arial"/>
      </rPr>
      <t xml:space="preserve">PASSAGE:</t>
    </r>
    <r>
      <rPr>
        <sz val="10"/>
        <rFont val="Arial"/>
      </rPr>
      <t xml:space="preserve"> Постыдился бы даже показываться на ней: ведь могут подумать, будто у него нет своей лошади.
</t>
    </r>
    <r>
      <rPr>
        <b/>
        <sz val="10"/>
        <rFont val="Arial"/>
      </rPr>
      <t xml:space="preserve">TRANS:</t>
    </r>
    <r>
      <rPr>
        <sz val="10"/>
        <rFont val="Arial"/>
      </rPr>
      <t xml:space="preserve"> Postydilsya by dazhe pokazyvat'sya na ney: ved' mogut podumat', budto u nego net svoey loshadi.
</t>
    </r>
    <r>
      <rPr>
        <b/>
        <sz val="10"/>
        <rFont val="Arial"/>
      </rPr>
      <t xml:space="preserve">TRANSLATION:</t>
    </r>
    <r>
      <rPr>
        <sz val="10"/>
        <rFont val="Arial"/>
      </rPr>
      <t xml:space="preserve"> He would be ashamed even to show himself on her, for people might think he had no horse of his own.</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</si>
  <si>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Бұған көрінуге де ұялмайды өзі.
</t>
    </r>
    <r>
      <rPr>
        <b/>
        <sz val="10"/>
        <rFont val="Arial"/>
      </rPr>
      <t xml:space="preserve">TRANS:</t>
    </r>
    <r>
      <rPr>
        <sz val="10"/>
        <rFont val="Arial"/>
      </rPr>
      <t xml:space="preserve"> Būğan körınuge de ūialmaidy özı.
</t>
    </r>
    <r>
      <rPr>
        <b/>
        <sz val="10"/>
        <rFont val="Arial"/>
      </rPr>
      <t xml:space="preserve">TRANSLATION:</t>
    </r>
    <r>
      <rPr>
        <sz val="10"/>
        <rFont val="Arial"/>
      </rPr>
      <t xml:space="preserve"> He himself would not even be ashamed to be seen on her.</t>
    </r>
  </si>
  <si>
    <t xml:space="preserve">shame directed at another — performative speech act (verdict / directive); India shames Scarlett about bringing shame on her husband Frank by her behavior</t>
  </si>
  <si>
    <t xml:space="preserve">"I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shame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</si>
  <si>
    <r>
      <rPr>
        <b/>
        <sz val="10"/>
        <rFont val="Arial"/>
      </rPr>
      <t xml:space="preserve">TERM:</t>
    </r>
    <r>
      <rPr>
        <sz val="10"/>
        <rFont val="Arial"/>
      </rPr>
      <t xml:space="preserve"> opozorili (опозорили) — they disgraced (pf. past pl.) [ORD] (lemma: опозорить)
</t>
    </r>
    <r>
      <rPr>
        <b/>
        <sz val="10"/>
        <rFont val="Arial"/>
      </rPr>
      <t xml:space="preserve">PASSAGE:</t>
    </r>
    <r>
      <rPr>
        <sz val="10"/>
        <rFont val="Arial"/>
      </rPr>
      <t xml:space="preserv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
    </r>
    <r>
      <rPr>
        <b/>
        <sz val="10"/>
        <rFont val="Arial"/>
      </rPr>
      <t xml:space="preserve">TRANS:</t>
    </r>
    <r>
      <rPr>
        <sz val="10"/>
        <rFont val="Arial"/>
      </rPr>
      <t xml:space="preserve"> A vy… vy… vy vse sdelali, chtoby uronit' prestizh prilichnykh lyudey: stali rabotat' i opozorili khoroshego muzha, davaya povod yanki i vsemu sbrodu smeyat'sya nad nami i delat' raznye oskorbitel'nye zamechaniya naschet togo, chto nikakie my, deskat', ne aristokraty.
</t>
    </r>
    <r>
      <rPr>
        <b/>
        <sz val="10"/>
        <rFont val="Arial"/>
      </rPr>
      <t xml:space="preserve">TRANSLATION:</t>
    </r>
    <r>
      <rPr>
        <sz val="10"/>
        <rFont val="Arial"/>
      </rPr>
      <t xml:space="preserve"> And you... you... you have done everything to undermine the prestige of decent people: you took to working and disgraced a good husband, giving the Yankees and all the rabble cause to laugh at us and to make all sorts of insulting remarks about how we are no aristocrats at all.</t>
    </r>
  </si>
  <si>
    <r>
      <rPr>
        <b/>
        <sz val="10"/>
        <rFont val="Arial"/>
      </rPr>
      <t xml:space="preserve">TERM:</t>
    </r>
    <r>
      <rPr>
        <sz val="10"/>
        <rFont val="Arial"/>
      </rPr>
      <t xml:space="preserve"> KÜLKI (КҮЛКІ) — laughter; mockery; object of mockery [KED, SZK]
</t>
    </r>
    <r>
      <rPr>
        <b/>
        <sz val="10"/>
        <rFont val="Arial"/>
      </rPr>
      <t xml:space="preserve">PASSAGE:</t>
    </r>
    <r>
      <rPr>
        <sz val="10"/>
        <rFont val="Arial"/>
      </rPr>
      <t xml:space="preserve"> Ал сіз... сіз... Зиялы адамдардың мәртебесін түсіру үшін бәрін жасадыңыз: жұмыс істедіңіз, тым жақсы күйеуіңізді ел алдында күлкіге қалдырдыңыз
</t>
    </r>
    <r>
      <rPr>
        <b/>
        <sz val="10"/>
        <rFont val="Arial"/>
      </rPr>
      <t xml:space="preserve">TRANS:</t>
    </r>
    <r>
      <rPr>
        <sz val="10"/>
        <rFont val="Arial"/>
      </rPr>
      <t xml:space="preserve"> Al sız... sız... Zialy adamdardyñ märtebesın tüsıru üşın bärın jasadyñyz: jūmys ıstedıñız, tym jaqsy küieuıñızdı el aldynda külkıge qaldyrdyñyz
</t>
    </r>
    <r>
      <rPr>
        <b/>
        <sz val="10"/>
        <rFont val="Arial"/>
      </rPr>
      <t xml:space="preserve">TRANSLATION:</t>
    </r>
    <r>
      <rPr>
        <sz val="10"/>
        <rFont val="Arial"/>
      </rPr>
      <t xml:space="preserve"> And you... you... you did everything to bring down the standing of respectable people: you went to work, you put your too-good husband to shame before everyone</t>
    </r>
  </si>
  <si>
    <t xml:space="preserve">Society’s verdict, society witness;   Rhett unbearable as audience</t>
  </si>
  <si>
    <t xml:space="preserve">Rhett had sent her home alone in the carriage when the party was over and she had thanked God for the reprieve. He had not come in yet. Thank God, he had not come in. She could not face him tonight, shamed,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</si>
  <si>
    <r>
      <rPr>
        <b/>
        <sz val="10"/>
        <rFont val="Arial"/>
      </rPr>
      <t xml:space="preserve">TERM:</t>
    </r>
    <r>
      <rPr>
        <sz val="10"/>
        <rFont val="Arial"/>
      </rPr>
      <t xml:space="preserve"> opozorennaya (опозоренная) — disgraced (past pass. part. fem.) [ORD] (lemma: опозоренный)
</t>
    </r>
    <r>
      <rPr>
        <b/>
        <sz val="10"/>
        <rFont val="Arial"/>
      </rPr>
      <t xml:space="preserve">PASSAGE:</t>
    </r>
    <r>
      <rPr>
        <sz val="10"/>
        <rFont val="Arial"/>
      </rPr>
      <t xml:space="preserve"> Она просто не в силах предстать перед ним сегодня — опозоренная, испуганная, трясущаяся.
</t>
    </r>
    <r>
      <rPr>
        <b/>
        <sz val="10"/>
        <rFont val="Arial"/>
      </rPr>
      <t xml:space="preserve">TRANS:</t>
    </r>
    <r>
      <rPr>
        <sz val="10"/>
        <rFont val="Arial"/>
      </rPr>
      <t xml:space="preserve"> Ona prosto ne v silakh predstat' pered nim segodnya — opozorennaya, ispugannaya, tryasushchayasya.
</t>
    </r>
    <r>
      <rPr>
        <b/>
        <sz val="10"/>
        <rFont val="Arial"/>
      </rPr>
      <t xml:space="preserve">TRANSLATION:</t>
    </r>
    <r>
      <rPr>
        <sz val="10"/>
        <rFont val="Arial"/>
      </rPr>
      <t xml:space="preserve"> She simply did not have the strength to appear before him today — disgraced, frightened, trembling.</t>
    </r>
  </si>
  <si>
    <r>
      <rPr>
        <b/>
        <sz val="10"/>
        <rFont val="Arial"/>
      </rPr>
      <t xml:space="preserve">TERM:</t>
    </r>
    <r>
      <rPr>
        <sz val="10"/>
        <rFont val="Arial"/>
      </rPr>
      <t xml:space="preserve"> DÄRMENSIZ (ДӘРМЕНСІЗ) — helpless; powerless [KED, SZK]
</t>
    </r>
    <r>
      <rPr>
        <b/>
        <sz val="10"/>
        <rFont val="Arial"/>
      </rPr>
      <t xml:space="preserve">PASSAGE:</t>
    </r>
    <r>
      <rPr>
        <sz val="10"/>
        <rFont val="Arial"/>
      </rPr>
      <t xml:space="preserve"> Тап бүгін бойын үрей билеген, қалтырап-дірілдеген, дәрменсіз күйінде оның алдында тұрар халі де жоқ.
</t>
    </r>
    <r>
      <rPr>
        <b/>
        <sz val="10"/>
        <rFont val="Arial"/>
      </rPr>
      <t xml:space="preserve">TRANS:</t>
    </r>
    <r>
      <rPr>
        <sz val="10"/>
        <rFont val="Arial"/>
      </rPr>
      <t xml:space="preserve"> Tap bügın boiyn ürei bilegen, qaltyrap-dırıldegen, därmensız küiınde onyñ aldynda tūrar halı de joq.
</t>
    </r>
    <r>
      <rPr>
        <b/>
        <sz val="10"/>
        <rFont val="Arial"/>
      </rPr>
      <t xml:space="preserve">TRANSLATION:</t>
    </r>
    <r>
      <rPr>
        <sz val="10"/>
        <rFont val="Arial"/>
      </rPr>
      <t xml:space="preserve"> Today, with terror gripping her body, trembling and shaking, helpless, she had no condition to stand before him.</t>
    </r>
  </si>
  <si>
    <t xml:space="preserve">Shame about being caught with Ashley, about Rhett’s departure – Scarlett is perceived as a woman taken in adultery</t>
  </si>
  <si>
    <t xml:space="preserve">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</si>
  <si>
    <r>
      <rPr>
        <b/>
        <sz val="10"/>
        <rFont val="Arial"/>
      </rPr>
      <t xml:space="preserve">TERM:</t>
    </r>
    <r>
      <rPr>
        <sz val="10"/>
        <rFont val="Arial"/>
      </rPr>
      <t xml:space="preserve"> pozoru (позору) — disgrace (dat.) [ORD] (lemma: позор)
</t>
    </r>
    <r>
      <rPr>
        <b/>
        <sz val="10"/>
        <rFont val="Arial"/>
      </rPr>
      <t xml:space="preserve">PASSAGE:</t>
    </r>
    <r>
      <rPr>
        <sz val="10"/>
        <rFont val="Arial"/>
      </rPr>
      <t xml:space="preserve"> Ретт покинул город час тому назад с Бонни и Присси, и к позору и злости Скарлетт прибавилось отчаяние.
</t>
    </r>
    <r>
      <rPr>
        <b/>
        <sz val="10"/>
        <rFont val="Arial"/>
      </rPr>
      <t xml:space="preserve">TRANS:</t>
    </r>
    <r>
      <rPr>
        <sz val="10"/>
        <rFont val="Arial"/>
      </rPr>
      <t xml:space="preserve"> Rett pokinul gorod chas tomu nazad s Bonni i Prissi, i k pozoru i zlosti Skarlett pribavilos' otchayanie.
</t>
    </r>
    <r>
      <rPr>
        <b/>
        <sz val="10"/>
        <rFont val="Arial"/>
      </rPr>
      <t xml:space="preserve">TRANSLATION:</t>
    </r>
    <r>
      <rPr>
        <sz val="10"/>
        <rFont val="Arial"/>
      </rPr>
      <t xml:space="preserve"> Rhett had left the city an hour ago with Bonnie and Prissy, and to Scarlett's disgrace and anger was added despair.</t>
    </r>
  </si>
  <si>
    <r>
      <rPr>
        <b/>
        <sz val="10"/>
        <rFont val="Arial"/>
      </rPr>
      <t xml:space="preserve">TERM:</t>
    </r>
    <r>
      <rPr>
        <sz val="10"/>
        <rFont val="Arial"/>
      </rPr>
      <t xml:space="preserve"> MASQARA (МАСҚАРА) — disgrace; scandal; outrage (acute) [KED, SZK]
</t>
    </r>
    <r>
      <rPr>
        <b/>
        <sz val="10"/>
        <rFont val="Arial"/>
      </rPr>
      <t xml:space="preserve">PASSAGE:</t>
    </r>
    <r>
      <rPr>
        <sz val="10"/>
        <rFont val="Arial"/>
      </rPr>
      <t xml:space="preserve"> Ретт осыдан бір сағат бұрын өзімен бірге Бонни мен Приссиді алып, қаладан кетіп қалған еді, сондықтан да Скарлеттің іштей өртенген масқара өкінішіне енді тағы ашу-ызасы мен шарасыздығы қосылды.
</t>
    </r>
    <r>
      <rPr>
        <b/>
        <sz val="10"/>
        <rFont val="Arial"/>
      </rPr>
      <t xml:space="preserve">TRANS:</t>
    </r>
    <r>
      <rPr>
        <sz val="10"/>
        <rFont val="Arial"/>
      </rPr>
      <t xml:space="preserve"> Rett osydan bır sağat būryn özımen bırge Bonni men Prissidı alyp, qaladan ketıp qalğan edı, sondyqtan da Skarlettıñ ıştei örtengen masqara ökınışıne endı tağy aşu-yzasy men şarasyzdyğy qosyldy.
</t>
    </r>
    <r>
      <rPr>
        <b/>
        <sz val="10"/>
        <rFont val="Arial"/>
      </rPr>
      <t xml:space="preserve">TRANSLATION:</t>
    </r>
    <r>
      <rPr>
        <sz val="10"/>
        <rFont val="Arial"/>
      </rPr>
      <t xml:space="preserve"> Rhett had taken Bonnie and Prissy with him and left the city an hour ago, so to Scarlett's inwardly burning shameful regret were now added anger and helplessness.</t>
    </r>
  </si>
  <si>
    <t xml:space="preserve">But she could not accuse him now, could not rage at him, demand fidelity or try to shame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</si>
  <si>
    <r>
      <rPr>
        <b/>
        <sz val="10"/>
        <rFont val="Arial"/>
      </rPr>
      <t xml:space="preserve">TERM:</t>
    </r>
    <r>
      <rPr>
        <sz val="10"/>
        <rFont val="Arial"/>
      </rPr>
      <t xml:space="preserve"> stydit' (стыдить) — to shame (someone) (imperfective) [ORD]
</t>
    </r>
    <r>
      <rPr>
        <b/>
        <sz val="10"/>
        <rFont val="Arial"/>
      </rPr>
      <t xml:space="preserve">PASSAGE:</t>
    </r>
    <r>
      <rPr>
        <sz val="10"/>
        <rFont val="Arial"/>
      </rPr>
      <t xml:space="preserv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
    </r>
    <r>
      <rPr>
        <b/>
        <sz val="10"/>
        <rFont val="Arial"/>
      </rPr>
      <t xml:space="preserve">TRANS:</t>
    </r>
    <r>
      <rPr>
        <sz val="10"/>
        <rFont val="Arial"/>
      </rPr>
      <t xml:space="preserve"> No ona uzhe ne mogla obvinyat' Retta, ne mogla ustraivat' emu burnye stseny, trebovat' vernosti ili stydit' ego — kak ne mogla zastavit' sebya prosit' u nego proshcheniya za to, chto obvinila ego v smerti Bonni.
</t>
    </r>
    <r>
      <rPr>
        <b/>
        <sz val="10"/>
        <rFont val="Arial"/>
      </rPr>
      <t xml:space="preserve">TRANSLATION:</t>
    </r>
    <r>
      <rPr>
        <sz val="10"/>
        <rFont val="Arial"/>
      </rPr>
      <t xml:space="preserve"> But she could no longer accuse Rhett, could no longer make stormy scenes, demand fidelity or shame him — just as she could not bring herself to ask his forgiveness for accusing him of Bonnie's death.</t>
    </r>
  </si>
  <si>
    <r>
      <rPr>
        <b/>
        <sz val="10"/>
        <rFont val="Arial"/>
      </rPr>
      <t xml:space="preserve">TERM:</t>
    </r>
    <r>
      <rPr>
        <sz val="10"/>
        <rFont val="Arial"/>
      </rPr>
      <t xml:space="preserve"> SALMAQ (САЛМАҚ) — weight; burden [KED, SZK]
</t>
    </r>
    <r>
      <rPr>
        <b/>
        <sz val="10"/>
        <rFont val="Arial"/>
      </rPr>
      <t xml:space="preserve">PASSAGE:</t>
    </r>
    <r>
      <rPr>
        <sz val="10"/>
        <rFont val="Arial"/>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салмақ сала алмайды.
</t>
    </r>
    <r>
      <rPr>
        <b/>
        <sz val="10"/>
        <rFont val="Arial"/>
      </rPr>
      <t xml:space="preserve">TRANS:</t>
    </r>
    <r>
      <rPr>
        <sz val="10"/>
        <rFont val="Arial"/>
      </rPr>
      <t xml:space="preserve"> Bıraq özı endı Rettı kınälai da almaidy, qyzğanyştyñ qyzyl itın abalatyp, jer teuıp tūryp, talap ta qoia almaidy, adaldyqty mındettep, ūiatyna da salmaq sala almaidy.
</t>
    </r>
    <r>
      <rPr>
        <b/>
        <sz val="10"/>
        <rFont val="Arial"/>
      </rPr>
      <t xml:space="preserve">TRANSLATION:</t>
    </r>
    <r>
      <rPr>
        <sz val="10"/>
        <rFont val="Arial"/>
      </rPr>
      <t xml:space="preserve"> But she could no longer even blame Rhett, could no longer set loose the red dog of jealousy, stamp her foot and make demands, oblige him to faithfulness and lay the burden on his conscience.</t>
    </r>
  </si>
  <si>
    <t xml:space="preserve">"They know already, to be sure, and everybody knows of our disgrace. And your poor mother taking to her bed with it and me not able to hold up me head. 'Tis shameful. No, Puss, you need not think to get around me with tears this time," he said hastily and with some panic in his voice as Scarlett's lids began to bat and her mouth to screw up. "I know you. You'd be flirting at the wake of your husband”</t>
  </si>
  <si>
    <r>
      <rPr>
        <b/>
        <sz val="10"/>
        <rFont val="Arial"/>
      </rPr>
      <t xml:space="preserve">TERM:</t>
    </r>
    <r>
      <rPr>
        <sz val="10"/>
        <rFont val="Arial"/>
      </rPr>
      <t xml:space="preserve"> pozore (позоре) — disgrace (prep.) [ORD] (lemma: позор)
</t>
    </r>
    <r>
      <rPr>
        <b/>
        <sz val="10"/>
        <rFont val="Arial"/>
      </rPr>
      <t xml:space="preserve">PASSAGE:</t>
    </r>
    <r>
      <rPr>
        <sz val="10"/>
        <rFont val="Arial"/>
      </rPr>
      <t xml:space="preserve"> — Им уже, без сомнения, известно — как, впрочем, и всем остальным — о нашем позоре.
</t>
    </r>
    <r>
      <rPr>
        <b/>
        <sz val="10"/>
        <rFont val="Arial"/>
      </rPr>
      <t xml:space="preserve">TRANS:</t>
    </r>
    <r>
      <rPr>
        <sz val="10"/>
        <rFont val="Arial"/>
      </rPr>
      <t xml:space="preserve"> — Im uzhe, bez somneniya, izvestno — kak, vprochem, i vsem ostal'nym — o nashem pozore.
</t>
    </r>
    <r>
      <rPr>
        <b/>
        <sz val="10"/>
        <rFont val="Arial"/>
      </rPr>
      <t xml:space="preserve">TRANSLATION:</t>
    </r>
    <r>
      <rPr>
        <sz val="10"/>
        <rFont val="Arial"/>
      </rPr>
      <t xml:space="preserve"> They no doubt already know — as do all the rest — of our disgrace.</t>
    </r>
  </si>
  <si>
    <r>
      <rPr>
        <b/>
        <sz val="10"/>
        <rFont val="Arial"/>
      </rPr>
      <t xml:space="preserve">TERM:</t>
    </r>
    <r>
      <rPr>
        <sz val="10"/>
        <rFont val="Arial"/>
      </rPr>
      <t xml:space="preserve"> MASQARA (МАСҚАРА) — disgrace; scandal; outrage (acute) [KED, SZK]
</t>
    </r>
    <r>
      <rPr>
        <b/>
        <sz val="10"/>
        <rFont val="Arial"/>
      </rPr>
      <t xml:space="preserve">PASSAGE:</t>
    </r>
    <r>
      <rPr>
        <sz val="10"/>
        <rFont val="Arial"/>
      </rPr>
      <t xml:space="preserve"> Басқалар сияқты олар да біздің масқарамыз туралы білетіні сөзсіз.
</t>
    </r>
    <r>
      <rPr>
        <b/>
        <sz val="10"/>
        <rFont val="Arial"/>
      </rPr>
      <t xml:space="preserve">TRANS:</t>
    </r>
    <r>
      <rPr>
        <sz val="10"/>
        <rFont val="Arial"/>
      </rPr>
      <t xml:space="preserve"> Basqalar siyaqty olar da bizdiñ masqaramyz turaly biletini sözsiz.
</t>
    </r>
    <r>
      <rPr>
        <b/>
        <sz val="10"/>
        <rFont val="Arial"/>
      </rPr>
      <t xml:space="preserve">TRANSLATION:</t>
    </r>
    <r>
      <rPr>
        <sz val="10"/>
        <rFont val="Arial"/>
      </rPr>
      <t xml:space="preserve"> No doubt they, like the others, also know about our disgrace.</t>
    </r>
  </si>
  <si>
    <t xml:space="preserve">"Ashamed? You should die of shame. To desert us here, alone, helpless—"</t>
  </si>
  <si>
    <r>
      <rPr>
        <b/>
        <sz val="10"/>
        <rFont val="Arial"/>
      </rPr>
      <t xml:space="preserve">TERM:</t>
    </r>
    <r>
      <rPr>
        <sz val="10"/>
        <rFont val="Arial"/>
      </rPr>
      <t xml:space="preserve"> sgorat' so styda! (сгорать со стыда!) = burn with shame
</t>
    </r>
    <r>
      <rPr>
        <b/>
        <sz val="10"/>
        <rFont val="Arial"/>
      </rPr>
      <t xml:space="preserve">PASSAGE:</t>
    </r>
    <r>
      <rPr>
        <sz val="10"/>
        <rFont val="Arial"/>
      </rPr>
      <t xml:space="preserve"> Разумеется, вы должны сгорать со стыда!
</t>
    </r>
    <r>
      <rPr>
        <b/>
        <sz val="10"/>
        <rFont val="Arial"/>
      </rPr>
      <t xml:space="preserve">TRANS:</t>
    </r>
    <r>
      <rPr>
        <sz val="10"/>
        <rFont val="Arial"/>
      </rPr>
      <t xml:space="preserve"> Razumeetsya, vy dolzhny sgorat' so styda!
</t>
    </r>
    <r>
      <rPr>
        <b/>
        <sz val="10"/>
        <rFont val="Arial"/>
      </rPr>
      <t xml:space="preserve">TRANSLATION:</t>
    </r>
    <r>
      <rPr>
        <sz val="10"/>
        <rFont val="Arial"/>
      </rPr>
      <t xml:space="preserve"> Of course, you must be burning up with shame!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</si>
  <si>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Әрине, ұяттан бетіңіздің оты шығып, күйіп қалуыңыз керек!
</t>
    </r>
    <r>
      <rPr>
        <b/>
        <sz val="10"/>
        <rFont val="Arial"/>
      </rPr>
      <t xml:space="preserve">TRANS:</t>
    </r>
    <r>
      <rPr>
        <sz val="10"/>
        <rFont val="Arial"/>
      </rPr>
      <t xml:space="preserve"> Ärine, ūiattan betıñızdıñ oty şyğyp, küiıp qaluyñyz kerek!
</t>
    </r>
    <r>
      <rPr>
        <b/>
        <sz val="10"/>
        <rFont val="Arial"/>
      </rPr>
      <t xml:space="preserve">TRANSLATION:</t>
    </r>
    <r>
      <rPr>
        <sz val="10"/>
        <rFont val="Arial"/>
      </rPr>
      <t xml:space="preserve"> Of course, the fire of shame should come out of your face and scorch you!</t>
    </r>
  </si>
  <si>
    <t xml:space="preserve">shame directed at another — performative speech act (verdict / directive); Mrs Merriwether shames Melanie for comparing “honorable” Ashley to “dishonorable” Rhett</t>
  </si>
  <si>
    <t xml:space="preserve">"You should be ashamed of yourself, comparing a fine man like Ashley Wilkes to a scoundrel like Captain Butler! I suppose you, too, think the Cause is nothing!"</t>
  </si>
  <si>
    <r>
      <rPr>
        <b/>
        <sz val="10"/>
        <rFont val="Arial"/>
      </rPr>
      <t xml:space="preserve">TERM:</t>
    </r>
    <r>
      <rPr>
        <sz val="10"/>
        <rFont val="Arial"/>
      </rPr>
      <t xml:space="preserve"> Postydilis' (Постыдились) — should have been ashamed (pl., reproachful) [ORD] (lemma: постыдиться)
</t>
    </r>
    <r>
      <rPr>
        <b/>
        <sz val="10"/>
        <rFont val="Arial"/>
      </rPr>
      <t xml:space="preserve">PASSAGE:</t>
    </r>
    <r>
      <rPr>
        <sz val="10"/>
        <rFont val="Arial"/>
      </rPr>
      <t xml:space="preserve"> Постыдились бы сравнивать такого благородного человека, как Эшли, с этим подонком, капитаном Батлером!
</t>
    </r>
    <r>
      <rPr>
        <b/>
        <sz val="10"/>
        <rFont val="Arial"/>
      </rPr>
      <t xml:space="preserve">TRANS:</t>
    </r>
    <r>
      <rPr>
        <sz val="10"/>
        <rFont val="Arial"/>
      </rPr>
      <t xml:space="preserve"> Postydilis' by sravnivat' takogo blagorodnogo cheloveka, kak Eshli, s etim podonkom, kapitanom Batlerom!
</t>
    </r>
    <r>
      <rPr>
        <b/>
        <sz val="10"/>
        <rFont val="Arial"/>
      </rPr>
      <t xml:space="preserve">TRANSLATION:</t>
    </r>
    <r>
      <rPr>
        <sz val="10"/>
        <rFont val="Arial"/>
      </rPr>
      <t xml:space="preserve"> You ought to be ashamed of yourselves for comparing such a noble man as Ashley with that scoundrel, Captain Butler!</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</si>
  <si>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Сіз Эшли сияқты асыл адамды сол арсыз Батлер капитанмен салыстыруға ұялсаңызшы!
</t>
    </r>
    <r>
      <rPr>
        <b/>
        <sz val="10"/>
        <rFont val="Arial"/>
      </rPr>
      <t xml:space="preserve">TRANS:</t>
    </r>
    <r>
      <rPr>
        <sz val="10"/>
        <rFont val="Arial"/>
      </rPr>
      <t xml:space="preserve"> Sız Eşli siaqty asyl adamdy sol arsyz Batler kapitanmen salystyruğa ūialsañyzşy!
</t>
    </r>
    <r>
      <rPr>
        <b/>
        <sz val="10"/>
        <rFont val="Arial"/>
      </rPr>
      <t xml:space="preserve">TRANSLATION:</t>
    </r>
    <r>
      <rPr>
        <sz val="10"/>
        <rFont val="Arial"/>
      </rPr>
      <t xml:space="preserve"> You should be ashamed of comparing such a noble man as Ashley with that shameless Captain Butler!</t>
    </r>
  </si>
  <si>
    <t xml:space="preserve">"How dare you, India?" she questioned in a low voice that shook. "Where will your jealousy lead you? For shame!"</t>
  </si>
  <si>
    <r>
      <rPr>
        <b/>
        <sz val="10"/>
        <rFont val="Arial"/>
      </rPr>
      <t xml:space="preserve">TERM:</t>
    </r>
    <r>
      <rPr>
        <sz val="10"/>
        <rFont val="Arial"/>
      </rPr>
      <t xml:space="preserve"> ŪİALU (ҰЯЛУ) — to feel ashamed; to feel shy or embarrassed [KED, SZK]
</t>
    </r>
    <r>
      <rPr>
        <b/>
        <sz val="10"/>
        <rFont val="Arial"/>
      </rPr>
      <t xml:space="preserve">PASSAGE:</t>
    </r>
    <r>
      <rPr>
        <sz val="10"/>
        <rFont val="Arial"/>
      </rPr>
      <t xml:space="preserve"> Ұялсаң нетті!
</t>
    </r>
    <r>
      <rPr>
        <b/>
        <sz val="10"/>
        <rFont val="Arial"/>
      </rPr>
      <t xml:space="preserve">TRANS:</t>
    </r>
    <r>
      <rPr>
        <sz val="10"/>
        <rFont val="Arial"/>
      </rPr>
      <t xml:space="preserve"> Ūialsañ nettı!
</t>
    </r>
    <r>
      <rPr>
        <b/>
        <sz val="10"/>
        <rFont val="Arial"/>
      </rPr>
      <t xml:space="preserve">TRANSLATION:</t>
    </r>
    <r>
      <rPr>
        <sz val="10"/>
        <rFont val="Arial"/>
      </rPr>
      <t xml:space="preserve"> You should be asham</t>
    </r>
  </si>
  <si>
    <t xml:space="preserve">Mild moral shame directed at another — performative speech act (verdict / directive)</t>
  </si>
  <si>
    <t xml:space="preserve">"You young misses ought ter tek shame, gittin' Miss Pitty in a state," he scolded.</t>
  </si>
  <si>
    <t xml:space="preserve">Uncle Peter</t>
  </si>
  <si>
    <r>
      <rPr>
        <b/>
        <sz val="10"/>
        <rFont val="Arial"/>
      </rPr>
      <t xml:space="preserve">TERM:</t>
    </r>
    <r>
      <rPr>
        <sz val="10"/>
        <rFont val="Arial"/>
      </rPr>
      <t xml:space="preserve"> ne sovestno (не совестно) — it is not conscience-troubling; (one) feels no qualms [ORD] (lemma: совестно)
</t>
    </r>
    <r>
      <rPr>
        <b/>
        <sz val="10"/>
        <rFont val="Arial"/>
      </rPr>
      <t xml:space="preserve">PASSAGE:</t>
    </r>
    <r>
      <rPr>
        <sz val="10"/>
        <rFont val="Arial"/>
      </rPr>
      <t xml:space="preserve"> Как же вам, молодые барышни, не совестно доводить мисс Питти до состояния
</t>
    </r>
    <r>
      <rPr>
        <b/>
        <sz val="10"/>
        <rFont val="Arial"/>
      </rPr>
      <t xml:space="preserve">TRANS:</t>
    </r>
    <r>
      <rPr>
        <sz val="10"/>
        <rFont val="Arial"/>
      </rPr>
      <t xml:space="preserve"> Kak zhe vam, molodye baryshni, ne sovestno dovodit' miss Pitti do sostoyaniya
</t>
    </r>
    <r>
      <rPr>
        <b/>
        <sz val="10"/>
        <rFont val="Arial"/>
      </rPr>
      <t xml:space="preserve">TRANSLATION:</t>
    </r>
    <r>
      <rPr>
        <sz val="10"/>
        <rFont val="Arial"/>
      </rPr>
      <t xml:space="preserve"> How can you, young ladies, not be ashamed of bringing Miss Pitty to such a state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</si>
  <si>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Питти бикешті осындай күйге жеткізуге қалайша ұялмайсыңдар, жас ханымдар, ...
</t>
    </r>
    <r>
      <rPr>
        <b/>
        <sz val="10"/>
        <rFont val="Arial"/>
      </rPr>
      <t xml:space="preserve">TRANS:</t>
    </r>
    <r>
      <rPr>
        <sz val="10"/>
        <rFont val="Arial"/>
      </rPr>
      <t xml:space="preserve"> Pitti bikeştı osyndai küige jetkızuge qalaişa ūialmaisyñdar, jas hanymdar, ...
</t>
    </r>
    <r>
      <rPr>
        <b/>
        <sz val="10"/>
        <rFont val="Arial"/>
      </rPr>
      <t xml:space="preserve">TRANSLATION:</t>
    </r>
    <r>
      <rPr>
        <sz val="10"/>
        <rFont val="Arial"/>
      </rPr>
      <t xml:space="preserve"> How can you not be ashamed, young ladies, of bringing Miss Pitty to such a condition,...</t>
    </r>
  </si>
  <si>
    <t xml:space="preserve">"Us ain' had nuthin' ter do wid Mist' Henry fer y'ars, an' us is too ole ter start now." He turned back to the girls, who were trying to suppress their smiles. "You young Misses ought ter tek shame, leavin' po' Miss Pitty 'lone, wid half her frens daid an' de other half in Macom, an' 'Lanta full of Yankee sojers an' trashy free issue niggers."</t>
  </si>
  <si>
    <t xml:space="preserve">Scarlett reasons about Ashley’s feelings – but it is unclear if shame refers to his feelings following exposure, to the societal verdict or to both</t>
  </si>
  <si>
    <t xml:space="preserve">She could not go on this way any longer, wondering what his feelings toward her were now, wondering if all his love had died in shame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</si>
  <si>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
    </r>
    <r>
      <rPr>
        <b/>
        <sz val="10"/>
        <rFont val="Arial"/>
      </rPr>
      <t xml:space="preserve">TRANS:</t>
    </r>
    <r>
      <rPr>
        <sz val="10"/>
        <rFont val="Arial"/>
      </rPr>
      <t xml:space="preserve"> Ne mozhet ona dol'she tak zhit', ne znaya, chto on teper' k ney ispytyvaet, ne znaya, sgorela li ego lyubov' ot styda posle togo strashnogo vechera, kogda Melani ustroila priem.
</t>
    </r>
    <r>
      <rPr>
        <b/>
        <sz val="10"/>
        <rFont val="Arial"/>
      </rPr>
      <t xml:space="preserve">TRANSLATION:</t>
    </r>
    <r>
      <rPr>
        <sz val="10"/>
        <rFont val="Arial"/>
      </rPr>
      <t xml:space="preserve"> She could not go on living like this, not knowing what he now feels toward her, not knowing whether his love had burned out from shame after that terrible evening when Melanie hosted the reception.</t>
    </r>
  </si>
  <si>
    <t xml:space="preserve">"Times never change when there's a need for honest work to be done," stated the sharp-eyed old lady, refusing to be soothed. "And I'm ashamed for your mother, Scarlett, to hear you stand there and talk as though honest work made white trash out of nice people. 'When Adam delved and Eve span'—"</t>
  </si>
  <si>
    <t xml:space="preserve">Grandma Fontaine</t>
  </si>
  <si>
    <t xml:space="preserve">shame directed at another — performative speech act (verdict / directive) for behaving unladylike</t>
  </si>
  <si>
    <t xml:space="preserve">"You are a brave little woman," he pronounced, "but I won't have you do this sort of thing. Your family would die of shame."</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</si>
  <si>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Да ваша семья умрет со стыда.
</t>
    </r>
    <r>
      <rPr>
        <b/>
        <sz val="10"/>
        <rFont val="Arial"/>
      </rPr>
      <t xml:space="preserve">TRANS:</t>
    </r>
    <r>
      <rPr>
        <sz val="10"/>
        <rFont val="Arial"/>
      </rPr>
      <t xml:space="preserve"> Da vasha sem'ya umret so styda.
</t>
    </r>
    <r>
      <rPr>
        <b/>
        <sz val="10"/>
        <rFont val="Arial"/>
      </rPr>
      <t xml:space="preserve">TRANSLATION:</t>
    </r>
    <r>
      <rPr>
        <sz val="10"/>
        <rFont val="Arial"/>
      </rPr>
      <t xml:space="preserve"> Why, your family will die of shame.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</si>
  <si>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Ұяттан отбасыңыз елдің бетіне қарай алмай қалады.
</t>
    </r>
    <r>
      <rPr>
        <b/>
        <sz val="10"/>
        <rFont val="Arial"/>
      </rPr>
      <t xml:space="preserve">TRANS:</t>
    </r>
    <r>
      <rPr>
        <sz val="10"/>
        <rFont val="Arial"/>
      </rPr>
      <t xml:space="preserve"> Ūiattan otbasyñyz eldıñ betıne qarai almai qalady.
</t>
    </r>
    <r>
      <rPr>
        <b/>
        <sz val="10"/>
        <rFont val="Arial"/>
      </rPr>
      <t xml:space="preserve">TRANSLATION:</t>
    </r>
    <r>
      <rPr>
        <sz val="10"/>
        <rFont val="Arial"/>
      </rPr>
      <t xml:space="preserve"> From shame, your family will not be able to look people in the face.</t>
    </r>
  </si>
  <si>
    <t xml:space="preserve">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shame, eve'ybody knowin 'it wud fer mah chile! Miss Scarlett, you is so sweet an' pretty lookin' you doan need no paint. Honey, doan nobody but bad womens use dat stuff."</t>
  </si>
  <si>
    <t xml:space="preserve">Mammy</t>
  </si>
  <si>
    <r>
      <rPr>
        <b/>
        <sz val="10"/>
        <rFont val="Arial"/>
      </rPr>
      <t xml:space="preserve">TERM:</t>
    </r>
    <r>
      <rPr>
        <sz val="10"/>
        <rFont val="Arial"/>
      </rPr>
      <t xml:space="preserve"> styda (стыда) — shame (genitive) [ORD] (lemma: стыд)
</t>
    </r>
    <r>
      <rPr>
        <b/>
        <sz val="10"/>
        <rFont val="Arial"/>
      </rPr>
      <t xml:space="preserve">PASSAGE:</t>
    </r>
    <r>
      <rPr>
        <sz val="10"/>
        <rFont val="Arial"/>
      </rPr>
      <t xml:space="preserve"> Да я со стыда умру, как люди узнают, что это для моей деточки!
</t>
    </r>
    <r>
      <rPr>
        <b/>
        <sz val="10"/>
        <rFont val="Arial"/>
      </rPr>
      <t xml:space="preserve">TRANS:</t>
    </r>
    <r>
      <rPr>
        <sz val="10"/>
        <rFont val="Arial"/>
      </rPr>
      <t xml:space="preserve"> Da ya so styda umru, kak lyudi uznayut, chto eto dlya moey detochki!
</t>
    </r>
    <r>
      <rPr>
        <b/>
        <sz val="10"/>
        <rFont val="Arial"/>
      </rPr>
      <t xml:space="preserve">TRANSLATION:</t>
    </r>
    <r>
      <rPr>
        <sz val="10"/>
        <rFont val="Arial"/>
      </rPr>
      <t xml:space="preserve"> Why, I will die of shame when people learn that this is for my little baby!</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</si>
  <si>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Балама бояу алып жүргенімді ел білсе, ұяттан өлмеймін бе!
</t>
    </r>
    <r>
      <rPr>
        <b/>
        <sz val="10"/>
        <rFont val="Arial"/>
      </rPr>
      <t xml:space="preserve">TRANS:</t>
    </r>
    <r>
      <rPr>
        <sz val="10"/>
        <rFont val="Arial"/>
      </rPr>
      <t xml:space="preserve"> Balama boiau alyp jürgenımdı el bılse, ūiattan ölmeimın be!
</t>
    </r>
    <r>
      <rPr>
        <b/>
        <sz val="10"/>
        <rFont val="Arial"/>
      </rPr>
      <t xml:space="preserve">TRANSLATION:</t>
    </r>
    <r>
      <rPr>
        <sz val="10"/>
        <rFont val="Arial"/>
      </rPr>
      <t xml:space="preserve"> If people find out that I am carrying paint for my child, won't I die of shame!</t>
    </r>
  </si>
  <si>
    <t xml:space="preserve">shame directed at another — performative speech act (verdict / directive) for breaking social conventions</t>
  </si>
  <si>
    <t xml:space="preserve">"Look here, Renny, why don't you come and work for me? Managing a mill is a sight more respectable than driving a pie wagon. I'd think you'd be ashamed."</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</si>
  <si>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Я почему-то считаю, что вам стыдно этим заниматься.
</t>
    </r>
    <r>
      <rPr>
        <b/>
        <sz val="10"/>
        <rFont val="Arial"/>
      </rPr>
      <t xml:space="preserve">TRANS:</t>
    </r>
    <r>
      <rPr>
        <sz val="10"/>
        <rFont val="Arial"/>
      </rPr>
      <t xml:space="preserve"> Ya pochemu-to schitayu, chto vam stydno etim zanimat'sya.
</t>
    </r>
    <r>
      <rPr>
        <b/>
        <sz val="10"/>
        <rFont val="Arial"/>
      </rPr>
      <t xml:space="preserve">TRANSLATION:</t>
    </r>
    <r>
      <rPr>
        <sz val="10"/>
        <rFont val="Arial"/>
      </rPr>
      <t xml:space="preserve"> I somehow think that you are ashamed to do this.</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</si>
  <si>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Сізге нанмен айналысу ұяттау ғой деп ойлаймын.
</t>
    </r>
    <r>
      <rPr>
        <b/>
        <sz val="10"/>
        <rFont val="Arial"/>
      </rPr>
      <t xml:space="preserve">TRANS:</t>
    </r>
    <r>
      <rPr>
        <sz val="10"/>
        <rFont val="Arial"/>
      </rPr>
      <t xml:space="preserve"> Sızge nanmen ainalysu ūiattau ğoi dep oilaimyn.
</t>
    </r>
    <r>
      <rPr>
        <b/>
        <sz val="10"/>
        <rFont val="Arial"/>
      </rPr>
      <t xml:space="preserve">TRANSLATION:</t>
    </r>
    <r>
      <rPr>
        <sz val="10"/>
        <rFont val="Arial"/>
      </rPr>
      <t xml:space="preserve"> I think it is rather shameful for you to be busy with bread.</t>
    </r>
  </si>
  <si>
    <t xml:space="preserve">Shame — Shame as verdict</t>
  </si>
  <si>
    <t xml:space="preserve">Stigma</t>
  </si>
  <si>
    <t xml:space="preserve">She, a member of an old and staunchly Confederate family, a planter's family, had gone over to the enemy and by so doing had brought shame on every family in the County.</t>
  </si>
  <si>
    <t xml:space="preserve">Suellen</t>
  </si>
  <si>
    <r>
      <rPr>
        <b/>
        <sz val="10"/>
        <rFont val="Arial"/>
      </rPr>
      <t xml:space="preserve">TERM:</t>
    </r>
    <r>
      <rPr>
        <sz val="10"/>
        <rFont val="Arial"/>
      </rPr>
      <t xml:space="preserve"> pozor (позор) — disgrace; shame; ignominy [ORD]
</t>
    </r>
    <r>
      <rPr>
        <b/>
        <sz val="10"/>
        <rFont val="Arial"/>
      </rPr>
      <t xml:space="preserve">PASSAGE:</t>
    </r>
    <r>
      <rPr>
        <sz val="10"/>
        <rFont val="Arial"/>
      </rPr>
      <t xml:space="preserve"> навлекла позор на каждую семью в графстве.
</t>
    </r>
    <r>
      <rPr>
        <b/>
        <sz val="10"/>
        <rFont val="Arial"/>
      </rPr>
      <t xml:space="preserve">TRANS:</t>
    </r>
    <r>
      <rPr>
        <sz val="10"/>
        <rFont val="Arial"/>
      </rPr>
      <t xml:space="preserve"> navlekla pozor na kazhduyu sem'yu v grafstve.
</t>
    </r>
    <r>
      <rPr>
        <b/>
        <sz val="10"/>
        <rFont val="Arial"/>
      </rPr>
      <t xml:space="preserve">TRANSLATION:</t>
    </r>
    <r>
      <rPr>
        <sz val="10"/>
        <rFont val="Arial"/>
      </rPr>
      <t xml:space="preserve"> brought disgrace upon every family in the county.</t>
    </r>
  </si>
  <si>
    <r>
      <rPr>
        <b/>
        <sz val="10"/>
        <rFont val="Arial"/>
      </rPr>
      <t xml:space="preserve">TERM:</t>
    </r>
    <r>
      <rPr>
        <sz val="10"/>
        <rFont val="Arial"/>
      </rPr>
      <t xml:space="preserve"> KÜİE (КҮЙЕ) — soot; grime (used metaphorically: "stain") [KED, SZK]
</t>
    </r>
    <r>
      <rPr>
        <b/>
        <sz val="10"/>
        <rFont val="Arial"/>
      </rPr>
      <t xml:space="preserve">PASSAGE:</t>
    </r>
    <r>
      <rPr>
        <sz val="10"/>
        <rFont val="Arial"/>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b/>
        <sz val="10"/>
        <rFont val="Arial"/>
      </rPr>
      <t xml:space="preserve">TRANS:</t>
    </r>
    <r>
      <rPr>
        <sz val="10"/>
        <rFont val="Arial"/>
      </rPr>
      <t xml:space="preserve"> onfederasiağa şyn berılgen, plantator otbasynda tuğan äiel qas dūşpanğa tek öz basyn ğana igen joq, küllı graftyqtardyñ betıne küie jaqty.
</t>
    </r>
    <r>
      <rPr>
        <b/>
        <sz val="10"/>
        <rFont val="Arial"/>
      </rPr>
      <t xml:space="preserve">TRANSLATION:</t>
    </r>
    <r>
      <rPr>
        <sz val="10"/>
        <rFont val="Arial"/>
      </rPr>
      <t xml:space="preserve"> A woman who was truly devoted to the Confederacy and born into a planter's family — she did not only bow her head to her arch-enemy, she daubed soot on the faces of all the counties.</t>
    </r>
  </si>
  <si>
    <t xml:space="preserve">Suellen has her shame to sustain her and Carreen her God. But you've got nothing to sustain you, have you, child?"</t>
  </si>
  <si>
    <r>
      <rPr>
        <b/>
        <sz val="10"/>
        <rFont val="Arial"/>
      </rPr>
      <t xml:space="preserve">TERM:</t>
    </r>
    <r>
      <rPr>
        <sz val="10"/>
        <rFont val="Arial"/>
      </rPr>
      <t xml:space="preserve"> pozore (позоре) — disgrace (prep.) [ORD] (lemma: позор)
</t>
    </r>
    <r>
      <rPr>
        <b/>
        <sz val="10"/>
        <rFont val="Arial"/>
      </rPr>
      <t xml:space="preserve">PASSAGE:</t>
    </r>
    <r>
      <rPr>
        <sz val="10"/>
        <rFont val="Arial"/>
      </rPr>
      <t xml:space="preserve"> Сьюлин вся в мыслях о своем позоре, а Кэррин — о боге, и это их поддерживает.
</t>
    </r>
    <r>
      <rPr>
        <b/>
        <sz val="10"/>
        <rFont val="Arial"/>
      </rPr>
      <t xml:space="preserve">TRANS:</t>
    </r>
    <r>
      <rPr>
        <sz val="10"/>
        <rFont val="Arial"/>
      </rPr>
      <t xml:space="preserve"> S'yulin vsya v myslyakh o svoem pozore, a Kerrin — o boge, i eto ikh podderzhivaet.
</t>
    </r>
    <r>
      <rPr>
        <b/>
        <sz val="10"/>
        <rFont val="Arial"/>
      </rPr>
      <t xml:space="preserve">TRANSLATION:</t>
    </r>
    <r>
      <rPr>
        <sz val="10"/>
        <rFont val="Arial"/>
      </rPr>
      <t xml:space="preserve"> Suellen is wholly absorbed in thoughts of her disgrace, and Carreen in [thoughts of] God, and that supports them.</t>
    </r>
  </si>
  <si>
    <r>
      <rPr>
        <b/>
        <sz val="10"/>
        <rFont val="Arial"/>
      </rPr>
      <t xml:space="preserve">TERM:</t>
    </r>
    <r>
      <rPr>
        <sz val="10"/>
        <rFont val="Arial"/>
      </rPr>
      <t xml:space="preserve"> MASQARA (МАСҚАРА) — disgrace; scandal; outrage (acute) [KED, SZK]
</t>
    </r>
    <r>
      <rPr>
        <b/>
        <sz val="10"/>
        <rFont val="Arial"/>
      </rPr>
      <t xml:space="preserve">PASSAGE:</t>
    </r>
    <r>
      <rPr>
        <sz val="10"/>
        <rFont val="Arial"/>
      </rPr>
      <t xml:space="preserve"> Сьюлин өзінің масқара қылығын еске алса, Кэррин құдайын ойлайды, екеуінің де бас сүйерлері бар.
</t>
    </r>
    <r>
      <rPr>
        <b/>
        <sz val="10"/>
        <rFont val="Arial"/>
      </rPr>
      <t xml:space="preserve">TRANS:</t>
    </r>
    <r>
      <rPr>
        <sz val="10"/>
        <rFont val="Arial"/>
      </rPr>
      <t xml:space="preserve"> S'iulin özınıñ masqara qylyğyn eske alsa, Kerrin qūdaiyn oilaidy, ekeuınıñ de bas süierlerı bar.
</t>
    </r>
    <r>
      <rPr>
        <b/>
        <sz val="10"/>
        <rFont val="Arial"/>
      </rPr>
      <t xml:space="preserve">TRANSLATION:</t>
    </r>
    <r>
      <rPr>
        <sz val="10"/>
        <rFont val="Arial"/>
      </rPr>
      <t xml:space="preserve"> If Suellen recalls her own shameful conduct, Carreen thinks of her God; both have something to lean on.</t>
    </r>
  </si>
  <si>
    <t xml:space="preserve">Shame — Absent shame</t>
  </si>
  <si>
    <t xml:space="preserve">Moral shame ABSENT — Rhett as specific witness</t>
  </si>
  <si>
    <t xml:space="preserve">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</si>
  <si>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r>
      <rPr>
        <b/>
        <sz val="10"/>
        <rFont val="Arial"/>
      </rPr>
      <t xml:space="preserve">TERM:</t>
    </r>
    <r>
      <rPr>
        <sz val="10"/>
        <rFont val="Arial"/>
      </rPr>
      <t xml:space="preserve"> bez zazreniya sovesti (без зазрения совести) — without a qualm of conscience (set phrase) [ORD] (lemma: зазрение)
</t>
    </r>
    <r>
      <rPr>
        <b/>
        <sz val="10"/>
        <rFont val="Arial"/>
      </rPr>
      <t xml:space="preserve">PASSAGE:</t>
    </r>
    <r>
      <rPr>
        <sz val="10"/>
        <rFont val="Arial"/>
      </rPr>
      <t xml:space="preserve"> Она могла без зазрения совести, даже с гордостью, рассказывать ему, как ободрала кого-нибудь точно липку, и он лишь аплодировал ей.
</t>
    </r>
    <r>
      <rPr>
        <b/>
        <sz val="10"/>
        <rFont val="Arial"/>
      </rPr>
      <t xml:space="preserve">TRANS:</t>
    </r>
    <r>
      <rPr>
        <sz val="10"/>
        <rFont val="Arial"/>
      </rPr>
      <t xml:space="preserve"> Ona mogla bez zazreniya sovesti, dazhe s gordost'yu, rasskazyvat' emu, kak obodrala kogo-nibud' tochno lipku, i on lish' aplodiroval ey.
</t>
    </r>
    <r>
      <rPr>
        <b/>
        <sz val="10"/>
        <rFont val="Arial"/>
      </rPr>
      <t xml:space="preserve">TRANSLATION:</t>
    </r>
    <r>
      <rPr>
        <sz val="10"/>
        <rFont val="Arial"/>
      </rPr>
      <t xml:space="preserve"> She could, without any pang of conscience, even with pride, tell him how she had fleeced someone like a sticky-leaf, and he would only applaud her.</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</si>
  <si>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Скарлетт еш қысылмастан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b/>
        <sz val="10"/>
        <rFont val="Arial"/>
      </rPr>
      <t xml:space="preserve">TRANS:</t>
    </r>
    <r>
      <rPr>
        <sz val="10"/>
        <rFont val="Arial"/>
      </rPr>
      <t xml:space="preserve"> Skarlett eş qysylmastan kımnıñ qaltasyn qalai qaqqanyn, qai qyspaqtan qalai sytylyp şyqqanyn ūialmai, qaita tanau jelbezegı dırıldep otyryp, maqtanyşpen aitatyn, sol kezde alaqanyn alaqanyna ūryp, madaqtaityn adamy da sol bolatyn.
</t>
    </r>
    <r>
      <rPr>
        <b/>
        <sz val="10"/>
        <rFont val="Arial"/>
      </rPr>
      <t xml:space="preserve">TRANSLATION:</t>
    </r>
    <r>
      <rPr>
        <sz val="10"/>
        <rFont val="Arial"/>
      </rPr>
      <t xml:space="preserve"> Scarlett would, without the slightest embarrassment — indeed with her nostrils trembling with pride — tell him how she had picked someone's pocket or wriggled out of some squeeze, and he was the very man who would clap his palms in praise.</t>
    </r>
  </si>
  <si>
    <t xml:space="preserve">constitutive absence of shame — Rhett outside the social shame system</t>
  </si>
  <si>
    <t xml:space="preserve">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</si>
  <si>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t xml:space="preserve">constitutive absence of shame — Rhett outside the social shame system; impossible to incur shame</t>
  </si>
  <si>
    <t xml:space="preserve">She was helpless before his calm smile and his drawling remarks, for she had never before met anyone who was so completely impregnable. Her weapons of scorn, coldness and abuse blunted in her hands, for nothing she could say would shame him. It had been her experience that the liar was the hottest to defend his veracity, the coward his courage, the ill-bred his gentlemanliness, and the cad his honor. But not Rhett. He admitted everything and laughed and dared her to say more.</t>
  </si>
  <si>
    <r>
      <rPr>
        <b/>
        <sz val="10"/>
        <rFont val="Arial"/>
      </rPr>
      <t xml:space="preserve">TERM:</t>
    </r>
    <r>
      <rPr>
        <sz val="10"/>
        <rFont val="Arial"/>
      </rPr>
      <t xml:space="preserve"> Smutit' (Смутить) — to disconcert; to embarrass (perfective) [ORD]
</t>
    </r>
    <r>
      <rPr>
        <b/>
        <sz val="10"/>
        <rFont val="Arial"/>
      </rPr>
      <t xml:space="preserve">PASSAGE:</t>
    </r>
    <r>
      <rPr>
        <sz val="10"/>
        <rFont val="Arial"/>
      </rPr>
      <t xml:space="preserve"> Смутить его было невозможно.
</t>
    </r>
    <r>
      <rPr>
        <b/>
        <sz val="10"/>
        <rFont val="Arial"/>
      </rPr>
      <t xml:space="preserve">TRANS:</t>
    </r>
    <r>
      <rPr>
        <sz val="10"/>
        <rFont val="Arial"/>
      </rPr>
      <t xml:space="preserve"> Smutit' ego bylo nevozmozhno.
</t>
    </r>
    <r>
      <rPr>
        <b/>
        <sz val="10"/>
        <rFont val="Arial"/>
      </rPr>
      <t xml:space="preserve">TRANSLATION:</t>
    </r>
    <r>
      <rPr>
        <sz val="10"/>
        <rFont val="Arial"/>
      </rPr>
      <t xml:space="preserve"> It was impossible to disconcert him.</t>
    </r>
  </si>
  <si>
    <r>
      <rPr>
        <b/>
        <sz val="10"/>
        <rFont val="Arial"/>
      </rPr>
      <t xml:space="preserve">TERM:</t>
    </r>
    <r>
      <rPr>
        <sz val="10"/>
        <rFont val="Arial"/>
      </rPr>
      <t xml:space="preserve"> ŪİALTU (ҰЯЛТУ) — to make (someone) feel ashamed; to disconcert; to embarrass (causative) [KED, SZK]
</t>
    </r>
    <r>
      <rPr>
        <b/>
        <sz val="10"/>
        <rFont val="Arial"/>
      </rPr>
      <t xml:space="preserve">PASSAGE:</t>
    </r>
    <r>
      <rPr>
        <sz val="10"/>
        <rFont val="Arial"/>
      </rPr>
      <t xml:space="preserve"> Оны ұялту мүмкін емес еді.
</t>
    </r>
    <r>
      <rPr>
        <b/>
        <sz val="10"/>
        <rFont val="Arial"/>
      </rPr>
      <t xml:space="preserve">TRANS:</t>
    </r>
    <r>
      <rPr>
        <sz val="10"/>
        <rFont val="Arial"/>
      </rPr>
      <t xml:space="preserve"> Ony ūialtu mümkın emes edı.
</t>
    </r>
    <r>
      <rPr>
        <b/>
        <sz val="10"/>
        <rFont val="Arial"/>
      </rPr>
      <t xml:space="preserve">TRANSLATION:</t>
    </r>
    <r>
      <rPr>
        <sz val="10"/>
        <rFont val="Arial"/>
      </rPr>
      <t xml:space="preserve"> It was impossible to make him feel ashamed.</t>
    </r>
  </si>
  <si>
    <t xml:space="preserve">He picked up his hat and bowed and she saw in the light of the lamp that his teeth were showing in a smile beneath his mustache. He was not ashamed, he was amused at what she had said, and he was watching her with alert interest.</t>
  </si>
  <si>
    <r>
      <rPr>
        <b/>
        <sz val="10"/>
        <rFont val="Arial"/>
      </rPr>
      <t xml:space="preserve">TERM:</t>
    </r>
    <r>
      <rPr>
        <sz val="10"/>
        <rFont val="Arial"/>
      </rPr>
      <t xml:space="preserve"> pristyzhen (пристыжен) — shamed; abashed (short form pass.) [ORD] (lemma: пристыдить)
</t>
    </r>
    <r>
      <rPr>
        <b/>
        <sz val="10"/>
        <rFont val="Arial"/>
      </rPr>
      <t xml:space="preserve">PASSAGE:</t>
    </r>
    <r>
      <rPr>
        <sz val="10"/>
        <rFont val="Arial"/>
      </rPr>
      <t xml:space="preserve"> Он явно не был пристыжен
</t>
    </r>
    <r>
      <rPr>
        <b/>
        <sz val="10"/>
        <rFont val="Arial"/>
      </rPr>
      <t xml:space="preserve">TRANS:</t>
    </r>
    <r>
      <rPr>
        <sz val="10"/>
        <rFont val="Arial"/>
      </rPr>
      <t xml:space="preserve"> On yavno ne byl pristyzhen
</t>
    </r>
    <r>
      <rPr>
        <b/>
        <sz val="10"/>
        <rFont val="Arial"/>
      </rPr>
      <t xml:space="preserve">TRANSLATION:</t>
    </r>
    <r>
      <rPr>
        <sz val="10"/>
        <rFont val="Arial"/>
      </rPr>
      <t xml:space="preserve"> He clearly was not put to shame.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</si>
  <si>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Оның ұялмағаны анық
</t>
    </r>
    <r>
      <rPr>
        <b/>
        <sz val="10"/>
        <rFont val="Arial"/>
      </rPr>
      <t xml:space="preserve">TRANS:</t>
    </r>
    <r>
      <rPr>
        <sz val="10"/>
        <rFont val="Arial"/>
      </rPr>
      <t xml:space="preserve"> Onyñ ūialmağany anyq
</t>
    </r>
    <r>
      <rPr>
        <b/>
        <sz val="10"/>
        <rFont val="Arial"/>
      </rPr>
      <t xml:space="preserve">TRANSLATION:</t>
    </r>
    <r>
      <rPr>
        <sz val="10"/>
        <rFont val="Arial"/>
      </rPr>
      <t xml:space="preserve"> It was clear he was not embarrassed.</t>
    </r>
  </si>
  <si>
    <t xml:space="preserve">constitutive absence of shame — Rhett outside the social-moral shame system</t>
  </si>
  <si>
    <t xml:space="preserve">"Shall we let the bugles sing truce?" he smiled down at her, a wide flashing smile that had impudence in it but no shame for his own actions or condemnation for hers. In spite of herself, she had to smile too, but it was a wry, uncomfortable smile.</t>
  </si>
  <si>
    <r>
      <rPr>
        <b/>
        <sz val="10"/>
        <rFont val="Arial"/>
      </rPr>
      <t xml:space="preserve">TERM:</t>
    </r>
    <r>
      <rPr>
        <sz val="10"/>
        <rFont val="Arial"/>
      </rPr>
      <t xml:space="preserve"> ne oszhudat' (не осжудать) — not to condemn (typo for не осуждать in source) [ORD] (lemma: осуждать)
</t>
    </r>
    <r>
      <rPr>
        <b/>
        <sz val="10"/>
        <rFont val="Arial"/>
      </rPr>
      <t xml:space="preserve">PASSAGE:</t>
    </r>
    <r>
      <rPr>
        <sz val="10"/>
        <rFont val="Arial"/>
      </rPr>
      <t xml:space="preserve"> но нисколько не осуждающая ее или себя.
</t>
    </r>
    <r>
      <rPr>
        <b/>
        <sz val="10"/>
        <rFont val="Arial"/>
      </rPr>
      <t xml:space="preserve">TRANS:</t>
    </r>
    <r>
      <rPr>
        <sz val="10"/>
        <rFont val="Arial"/>
      </rPr>
      <t xml:space="preserve"> no niskol'ko ne osuzhdayushchaya ee ili sebya.
</t>
    </r>
    <r>
      <rPr>
        <b/>
        <sz val="10"/>
        <rFont val="Arial"/>
      </rPr>
      <t xml:space="preserve">TRANSLATION:</t>
    </r>
    <r>
      <rPr>
        <sz val="10"/>
        <rFont val="Arial"/>
      </rPr>
      <t xml:space="preserve"> but [a smile] not at all condemning her or himself.</t>
    </r>
  </si>
  <si>
    <r>
      <rPr>
        <b/>
        <sz val="10"/>
        <rFont val="Arial"/>
      </rPr>
      <t xml:space="preserve">TERM:</t>
    </r>
    <r>
      <rPr>
        <sz val="10"/>
        <rFont val="Arial"/>
      </rPr>
      <t xml:space="preserve"> KİNÄLAU (КІНӘЛАУ) — to blame; to find guilty [KED, SZK]
</t>
    </r>
    <r>
      <rPr>
        <b/>
        <sz val="10"/>
        <rFont val="Arial"/>
      </rPr>
      <t xml:space="preserve">PASSAGE:</t>
    </r>
    <r>
      <rPr>
        <sz val="10"/>
        <rFont val="Arial"/>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кінәламайтындай.
</t>
    </r>
    <r>
      <rPr>
        <b/>
        <sz val="10"/>
        <rFont val="Arial"/>
      </rPr>
      <t xml:space="preserve">TRANS:</t>
    </r>
    <r>
      <rPr>
        <sz val="10"/>
        <rFont val="Arial"/>
      </rPr>
      <t xml:space="preserve"> - Mümkın tatulasarmyz? - Joğarydan tömen, būğan jadyrai qarap tūrğan onyñ külkısı sondai şuaqty sonşalyqty keñdık pen azdağan dörekılıktı paş etıp tūrdy, özın de, mūny da eşteñege kınälamaityndai.
</t>
    </r>
    <r>
      <rPr>
        <b/>
        <sz val="10"/>
        <rFont val="Arial"/>
      </rPr>
      <t xml:space="preserve">TRANSLATION:</t>
    </r>
    <r>
      <rPr>
        <sz val="10"/>
        <rFont val="Arial"/>
      </rPr>
      <t xml:space="preserve"> "Perhaps we will be reconciled?" — the smile he gave her, looking down at her with such warmth, such breadth and a slight roughness, as if blaming neither himself nor her in the slightest.</t>
    </r>
  </si>
  <si>
    <t xml:space="preserve">constitutive absence of shame — Rhett outside the moral shame system</t>
  </si>
  <si>
    <t xml:space="preserve">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</si>
  <si>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r>
      <rPr>
        <b/>
        <sz val="10"/>
        <rFont val="Arial"/>
      </rPr>
      <t xml:space="preserve">TERM:</t>
    </r>
    <r>
      <rPr>
        <sz val="10"/>
        <rFont val="Arial"/>
      </rPr>
      <t xml:space="preserve"> besstydstva (бесстыдства) — shamelessness; impudence (gen.) [ORD] (lemma: бесстыдство)
</t>
    </r>
    <r>
      <rPr>
        <b/>
        <sz val="10"/>
        <rFont val="Arial"/>
      </rPr>
      <t xml:space="preserve">PASSAGE:</t>
    </r>
    <r>
      <rPr>
        <sz val="10"/>
        <rFont val="Arial"/>
      </rPr>
      <t xml:space="preserve"> Его наглости нет предела, а от его бесстыдства — ведь он же самый настоящий спекулянт! — я весь киплю.
</t>
    </r>
    <r>
      <rPr>
        <b/>
        <sz val="10"/>
        <rFont val="Arial"/>
      </rPr>
      <t xml:space="preserve">TRANS:</t>
    </r>
    <r>
      <rPr>
        <sz val="10"/>
        <rFont val="Arial"/>
      </rPr>
      <t xml:space="preserve"> Ego naglosti net predela, a ot ego besstydstva — ved' on zhe samyy nastoyashchiy spekulyant! — ya ves' kiplyu.
</t>
    </r>
    <r>
      <rPr>
        <b/>
        <sz val="10"/>
        <rFont val="Arial"/>
      </rPr>
      <t xml:space="preserve">TRANSLATION:</t>
    </r>
    <r>
      <rPr>
        <sz val="10"/>
        <rFont val="Arial"/>
      </rPr>
      <t xml:space="preserve"> His insolence has no limit, and from his shamelessness — for he is the most outright speculator! — I am all boiling.</t>
    </r>
  </si>
  <si>
    <r>
      <rPr>
        <b/>
        <sz val="10"/>
        <rFont val="Arial"/>
      </rPr>
      <t xml:space="preserve">TERM:</t>
    </r>
    <r>
      <rPr>
        <sz val="10"/>
        <rFont val="Arial"/>
      </rPr>
      <t xml:space="preserve"> ŪİATSYZDYQ (ҰЯТСЫЗДЫҚ) — shamelessness; impudence [KED, SZK]
</t>
    </r>
    <r>
      <rPr>
        <b/>
        <sz val="10"/>
        <rFont val="Arial"/>
      </rPr>
      <t xml:space="preserve">PASSAGE:</t>
    </r>
    <r>
      <rPr>
        <sz val="10"/>
        <rFont val="Arial"/>
      </rPr>
      <t xml:space="preserve"> Оның арсыздығының шегі жоқ, ал ұятсыздығы сол, ол нағыз саудагер емес пе? Ойлаған сайын күйініп кетемін.
</t>
    </r>
    <r>
      <rPr>
        <b/>
        <sz val="10"/>
        <rFont val="Arial"/>
      </rPr>
      <t xml:space="preserve">TRANS:</t>
    </r>
    <r>
      <rPr>
        <sz val="10"/>
        <rFont val="Arial"/>
      </rPr>
      <t xml:space="preserve"> Onyñ arsyzdyğynyñ şegı joq, al ūiatsyzdyğy sol, ol nağyz saudager emes pe? Oilağan saiyn küiınıp ketemın.
</t>
    </r>
    <r>
      <rPr>
        <b/>
        <sz val="10"/>
        <rFont val="Arial"/>
      </rPr>
      <t xml:space="preserve">TRANSLATION:</t>
    </r>
    <r>
      <rPr>
        <sz val="10"/>
        <rFont val="Arial"/>
      </rPr>
      <t xml:space="preserve"> His insolence has no limit, and his shamelessness lies in this — is he not a real merchant? Every time I think of it I am incensed.</t>
    </r>
  </si>
  <si>
    <t xml:space="preserve">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</si>
  <si>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r>
      <rPr>
        <b/>
        <sz val="10"/>
        <rFont val="Arial"/>
      </rPr>
      <t xml:space="preserve">TERM:</t>
    </r>
    <r>
      <rPr>
        <sz val="10"/>
        <rFont val="Arial"/>
      </rPr>
      <t xml:space="preserve"> Ne stesnyayas' (Не стесняясь) — without being embarrassed (gerund neg.) [ORD] (lemma: стесняться)
</t>
    </r>
    <r>
      <rPr>
        <b/>
        <sz val="10"/>
        <rFont val="Arial"/>
      </rPr>
      <t xml:space="preserve">PASSAGE:</t>
    </r>
    <r>
      <rPr>
        <sz val="10"/>
        <rFont val="Arial"/>
      </rPr>
      <t xml:space="preserve"> Не стесняясь того, какими путями он сам пришел к богатству, он делал вид,
</t>
    </r>
    <r>
      <rPr>
        <b/>
        <sz val="10"/>
        <rFont val="Arial"/>
      </rPr>
      <t xml:space="preserve">TRANS:</t>
    </r>
    <r>
      <rPr>
        <sz val="10"/>
        <rFont val="Arial"/>
      </rPr>
      <t xml:space="preserve"> Ne stesnyayas' togo, kakimi putyami on sam prishel k bogatstvu, on delal vid,
</t>
    </r>
    <r>
      <rPr>
        <b/>
        <sz val="10"/>
        <rFont val="Arial"/>
      </rPr>
      <t xml:space="preserve">TRANSLATION:</t>
    </r>
    <r>
      <rPr>
        <sz val="10"/>
        <rFont val="Arial"/>
      </rPr>
      <t xml:space="preserve"> Not embarrassed by the ways he himself had come to his wealth, he made out as though...</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</si>
  <si>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Өзінің бұл байлыққа қол жеткізу жолын жасырмайтын да ұялмайтын болған соң,
</t>
    </r>
    <r>
      <rPr>
        <b/>
        <sz val="10"/>
        <rFont val="Arial"/>
      </rPr>
      <t xml:space="preserve">TRANS:</t>
    </r>
    <r>
      <rPr>
        <sz val="10"/>
        <rFont val="Arial"/>
      </rPr>
      <t xml:space="preserve">  Özınıñ būl bailyqqa qol jetkızu jolyn jasyrmaityn da ūialmaityn bolğan soñ,
</t>
    </r>
    <r>
      <rPr>
        <b/>
        <sz val="10"/>
        <rFont val="Arial"/>
      </rPr>
      <t xml:space="preserve">TRANSLATION:</t>
    </r>
    <r>
      <rPr>
        <sz val="10"/>
        <rFont val="Arial"/>
      </rPr>
      <t xml:space="preserve"> Since he neither hid nor was ashamed of the path by which he had come to this wealth,...</t>
    </r>
  </si>
  <si>
    <t xml:space="preserve">constitutive absence of shame — Rhett outside the social shame system (social conventions)</t>
  </si>
  <si>
    <t xml:space="preserve">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</si>
  <si>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r>
      <rPr>
        <b/>
        <sz val="10"/>
        <rFont val="Arial"/>
      </rPr>
      <t xml:space="preserve">TERM:</t>
    </r>
    <r>
      <rPr>
        <sz val="10"/>
        <rFont val="Arial"/>
      </rPr>
      <t xml:space="preserve"> besstydno (бесстыдно) — shamelessly (adv.) [ORD]
</t>
    </r>
    <r>
      <rPr>
        <b/>
        <sz val="10"/>
        <rFont val="Arial"/>
      </rPr>
      <t xml:space="preserve">PASSAGE:</t>
    </r>
    <r>
      <rPr>
        <sz val="10"/>
        <rFont val="Arial"/>
      </rPr>
      <t xml:space="preserve"> Ну, кто бы мог подумать, что из всех людей именно он будет столь открыто, столь бесстыдно гордиться своим отцовством?
</t>
    </r>
    <r>
      <rPr>
        <b/>
        <sz val="10"/>
        <rFont val="Arial"/>
      </rPr>
      <t xml:space="preserve">TRANS:</t>
    </r>
    <r>
      <rPr>
        <sz val="10"/>
        <rFont val="Arial"/>
      </rPr>
      <t xml:space="preserve"> Nu, kto by mog podumat', chto iz vsekh lyudey imenno on budet stol' otkryto, stol' besstydno gordit'sya svoim ottsovstvom?
</t>
    </r>
    <r>
      <rPr>
        <b/>
        <sz val="10"/>
        <rFont val="Arial"/>
      </rPr>
      <t xml:space="preserve">TRANSLATION:</t>
    </r>
    <r>
      <rPr>
        <sz val="10"/>
        <rFont val="Arial"/>
      </rPr>
      <t xml:space="preserve"> Now, who would have thought that of all people, it would be precisely he who would be so openly, so shamelessly proud of his fatherhood?</t>
    </r>
  </si>
  <si>
    <r>
      <rPr>
        <b/>
        <sz val="10"/>
        <rFont val="Arial"/>
      </rPr>
      <t xml:space="preserve">TERM:</t>
    </r>
    <r>
      <rPr>
        <sz val="10"/>
        <rFont val="Arial"/>
      </rPr>
      <t xml:space="preserve"> QYMSYNU (ҚЫМСЫНУ) — to feel awkward; to feel embarrassed [KED, SZK]
</t>
    </r>
    <r>
      <rPr>
        <b/>
        <sz val="10"/>
        <rFont val="Arial"/>
      </rPr>
      <t xml:space="preserve">PASSAGE:</t>
    </r>
    <r>
      <rPr>
        <sz val="10"/>
        <rFont val="Arial"/>
      </rPr>
      <t xml:space="preserve"> Мына дүниедегі қаптаған адамдардың ішінен тап осы еркек өзін осыншама дардай етіп, елдің құлағын да әбден сарсытып, ашықтан-ашық, еш қымсынбастан әке болғанына жатпай-тұрмай мақтанады деп кім ойлаған?
</t>
    </r>
    <r>
      <rPr>
        <b/>
        <sz val="10"/>
        <rFont val="Arial"/>
      </rPr>
      <t xml:space="preserve">TRANS:</t>
    </r>
    <r>
      <rPr>
        <sz val="10"/>
        <rFont val="Arial"/>
      </rPr>
      <t xml:space="preserve"> Myna düniedegı qaptağan adamdardyñ ışınen tap osy erkek özın osynşama dardai etıp, eldıñ qūlağyn da äbden sarsytyp, aşyqtan-aşyq, eş qymsynbastan äke bolğanyna jatpai-tūrmai maqtanady dep kım oilağan?
</t>
    </r>
    <r>
      <rPr>
        <b/>
        <sz val="10"/>
        <rFont val="Arial"/>
      </rPr>
      <t xml:space="preserve">TRANSLATION:</t>
    </r>
    <r>
      <rPr>
        <sz val="10"/>
        <rFont val="Arial"/>
      </rPr>
      <t xml:space="preserve"> Of all the men in this world, who would have thought that this very man — making such a grand show of himself, wearing out everyone's ears — would, openly and without the slightest embarrassment, boast indefatigably of his fatherhood?</t>
    </r>
  </si>
  <si>
    <t xml:space="preserve">"Scarlett, understand this. If you and your bed still held any charms for me, no looks and no entreaties could keep me away. And I would have no sense of shame for anything I did, for I made a bargain with you—a bargain which I have kept and you are now breaking. Keep your chaste bed, my dear."</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</si>
  <si>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И мне не было бы стыдно, так как мы с тобой заключили сделку — сделку, которой я верен и которую ты сейчас нарушаешь.
</t>
    </r>
    <r>
      <rPr>
        <b/>
        <sz val="10"/>
        <rFont val="Arial"/>
      </rPr>
      <t xml:space="preserve">TRANS:</t>
    </r>
    <r>
      <rPr>
        <sz val="10"/>
        <rFont val="Arial"/>
      </rPr>
      <t xml:space="preserve"> I mne ne bylo by stydno, tak kak my s toboy zaklyuchili sdelku — sdelku, kotoroy ya veren i kotoruyu ty seychas narushaesh'.
</t>
    </r>
    <r>
      <rPr>
        <b/>
        <sz val="10"/>
        <rFont val="Arial"/>
      </rPr>
      <t xml:space="preserve">TRANSLATION:</t>
    </r>
    <r>
      <rPr>
        <sz val="10"/>
        <rFont val="Arial"/>
      </rPr>
      <t xml:space="preserve"> And I would not be ashamed, since you and I made a bargain — a bargain to which I have been faithful and which you are now breaking.</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</si>
  <si>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Екеуміз жасасқан келісімге мен қиянат қылмай, осы уақытқа дейін адал боп келгендіктен, ештеңеден ұялар жайым жоқ, бәрін бұзған өзіңнен көрмесең.
</t>
    </r>
    <r>
      <rPr>
        <b/>
        <sz val="10"/>
        <rFont val="Arial"/>
      </rPr>
      <t xml:space="preserve">TRANS:</t>
    </r>
    <r>
      <rPr>
        <sz val="10"/>
        <rFont val="Arial"/>
      </rPr>
      <t xml:space="preserve"> Ekeumız jasasqan kelısımge men qianat qylmai, osy uaqytqa deiın adal bop kelgendıkten, eşteñeden ūialar jaiym joq, bärın būzğan özıñnen körmeseñ.
</t>
    </r>
    <r>
      <rPr>
        <b/>
        <sz val="10"/>
        <rFont val="Arial"/>
      </rPr>
      <t xml:space="preserve">TRANSLATION:</t>
    </r>
    <r>
      <rPr>
        <sz val="10"/>
        <rFont val="Arial"/>
      </rPr>
      <t xml:space="preserve"> Since I have been faithful all this while to the agreement we two made — not betraying it — I have nothing to be ashamed of: for breaking it all you have only yourself to look to.</t>
    </r>
  </si>
  <si>
    <t xml:space="preserve">"Ashamed! Pooh! They're both cut out of the same piece of cloth. Where did you ever get such a silly notion?"</t>
  </si>
  <si>
    <r>
      <rPr>
        <b/>
        <sz val="10"/>
        <rFont val="Arial"/>
      </rPr>
      <t xml:space="preserve">TERM:</t>
    </r>
    <r>
      <rPr>
        <sz val="10"/>
        <rFont val="Arial"/>
      </rPr>
      <t xml:space="preserve"> Styditsya (Стыдится) — feels ashamed (3sg) [ORD] (lemma: стыдиться)
</t>
    </r>
    <r>
      <rPr>
        <b/>
        <sz val="10"/>
        <rFont val="Arial"/>
      </rPr>
      <t xml:space="preserve">PASSAGE:</t>
    </r>
    <r>
      <rPr>
        <sz val="10"/>
        <rFont val="Arial"/>
      </rPr>
      <t xml:space="preserve"> Стыдится?! Ерунда!
</t>
    </r>
    <r>
      <rPr>
        <b/>
        <sz val="10"/>
        <rFont val="Arial"/>
      </rPr>
      <t xml:space="preserve">TRANS:</t>
    </r>
    <r>
      <rPr>
        <sz val="10"/>
        <rFont val="Arial"/>
      </rPr>
      <t xml:space="preserve"> Styditsya?! Erunda!
</t>
    </r>
    <r>
      <rPr>
        <b/>
        <sz val="10"/>
        <rFont val="Arial"/>
      </rPr>
      <t xml:space="preserve">TRANSLATION:</t>
    </r>
    <r>
      <rPr>
        <sz val="10"/>
        <rFont val="Arial"/>
      </rPr>
      <t xml:space="preserve"> Ashamed?! Nonsense!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</si>
  <si>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Ұялады деймісіз? Қайдан?
</t>
    </r>
    <r>
      <rPr>
        <b/>
        <sz val="10"/>
        <rFont val="Arial"/>
      </rPr>
      <t xml:space="preserve">TRANS:</t>
    </r>
    <r>
      <rPr>
        <sz val="10"/>
        <rFont val="Arial"/>
      </rPr>
      <t xml:space="preserve"> Ūialady deimısız? Qaidan?
</t>
    </r>
    <r>
      <rPr>
        <b/>
        <sz val="10"/>
        <rFont val="Arial"/>
      </rPr>
      <t xml:space="preserve">TRANSLATION:</t>
    </r>
    <r>
      <rPr>
        <sz val="10"/>
        <rFont val="Arial"/>
      </rPr>
      <t xml:space="preserve"> You say he is ashamed? From where?</t>
    </r>
  </si>
  <si>
    <t xml:space="preserve">absence of social shame from moral integrity — Melanie</t>
  </si>
  <si>
    <t xml:space="preserve">"But it's true," answered Melanie and she began to cry softly. "And I'm not ashamed that he thinks that way. He thinks the war is all wrong but he's willing to fight and die anyway, and that takes lots more courage than fighting for something you think is right."</t>
  </si>
  <si>
    <r>
      <rPr>
        <b/>
        <sz val="10"/>
        <rFont val="Arial"/>
      </rPr>
      <t xml:space="preserve">TERM:</t>
    </r>
    <r>
      <rPr>
        <sz val="10"/>
        <rFont val="Arial"/>
      </rPr>
      <t xml:space="preserve"> ne styzhus' (не стыжусь) — I am not ashamed (1sg neg.) [ORD] (lemma: стыдиться)
</t>
    </r>
    <r>
      <rPr>
        <b/>
        <sz val="10"/>
        <rFont val="Arial"/>
      </rPr>
      <t xml:space="preserve">PASSAGE:</t>
    </r>
    <r>
      <rPr>
        <sz val="10"/>
        <rFont val="Arial"/>
      </rPr>
      <t xml:space="preserve"> И я нисколько не стыжусь того, что он так думает.
</t>
    </r>
    <r>
      <rPr>
        <b/>
        <sz val="10"/>
        <rFont val="Arial"/>
      </rPr>
      <t xml:space="preserve">TRANS:</t>
    </r>
    <r>
      <rPr>
        <sz val="10"/>
        <rFont val="Arial"/>
      </rPr>
      <t xml:space="preserve"> I ya niskol'ko ne styzhus' togo, chto on tak dumaet.
</t>
    </r>
    <r>
      <rPr>
        <b/>
        <sz val="10"/>
        <rFont val="Arial"/>
      </rPr>
      <t xml:space="preserve">TRANSLATION:</t>
    </r>
    <r>
      <rPr>
        <sz val="10"/>
        <rFont val="Arial"/>
      </rPr>
      <t xml:space="preserve"> And I am not in the least ashamed that he thinks so.</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</si>
  <si>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Ал мен оның солай ойлайтыны үшін еш ұялмаймын.
</t>
    </r>
    <r>
      <rPr>
        <b/>
        <sz val="10"/>
        <rFont val="Arial"/>
      </rPr>
      <t xml:space="preserve">TRANS:</t>
    </r>
    <r>
      <rPr>
        <sz val="10"/>
        <rFont val="Arial"/>
      </rPr>
      <t xml:space="preserve"> Al men onyñ solai oilaityny üşın eş ūialmaimyn.
</t>
    </r>
    <r>
      <rPr>
        <b/>
        <sz val="10"/>
        <rFont val="Arial"/>
      </rPr>
      <t xml:space="preserve">TRANSLATION:</t>
    </r>
    <r>
      <rPr>
        <sz val="10"/>
        <rFont val="Arial"/>
      </rPr>
      <t xml:space="preserve"> And I am not at all ashamed that he thinks so.</t>
    </r>
  </si>
  <si>
    <t xml:space="preserve">absence of social shame from moral integrity and true love — Melanie</t>
  </si>
  <si>
    <t xml:space="preserve">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</si>
  <si>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r>
      <rPr>
        <b/>
        <sz val="10"/>
        <rFont val="Arial"/>
      </rPr>
      <t xml:space="preserve">TERM:</t>
    </r>
    <r>
      <rPr>
        <sz val="10"/>
        <rFont val="Arial"/>
      </rPr>
      <t xml:space="preserve"> ne stydyas' (не стыдясь) — without being ashamed (gerund) [ORD] (lemma: стыдиться)
</t>
    </r>
    <r>
      <rPr>
        <b/>
        <sz val="10"/>
        <rFont val="Arial"/>
      </rPr>
      <t xml:space="preserve">PASSAGE:</t>
    </r>
    <r>
      <rPr>
        <sz val="10"/>
        <rFont val="Arial"/>
      </rPr>
      <t xml:space="preserve"> делать все то, что Мелани, не стыдясь, проделывала при всех.
</t>
    </r>
    <r>
      <rPr>
        <b/>
        <sz val="10"/>
        <rFont val="Arial"/>
      </rPr>
      <t xml:space="preserve">TRANS:</t>
    </r>
    <r>
      <rPr>
        <sz val="10"/>
        <rFont val="Arial"/>
      </rPr>
      <t xml:space="preserve"> delat' vse to, chto Melani, ne stydyas', prodelyvala pri vsekh.
</t>
    </r>
    <r>
      <rPr>
        <b/>
        <sz val="10"/>
        <rFont val="Arial"/>
      </rPr>
      <t xml:space="preserve">TRANSLATION:</t>
    </r>
    <r>
      <rPr>
        <sz val="10"/>
        <rFont val="Arial"/>
      </rPr>
      <t xml:space="preserve"> do everything that Melanie did in front of everyone without being ashamed.</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</si>
  <si>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Мелани сияқты ешкімнен қысылмай, бәрінің көзінше жасар еді.
</t>
    </r>
    <r>
      <rPr>
        <b/>
        <sz val="10"/>
        <rFont val="Arial"/>
      </rPr>
      <t xml:space="preserve">TRANS:</t>
    </r>
    <r>
      <rPr>
        <sz val="10"/>
        <rFont val="Arial"/>
      </rPr>
      <t xml:space="preserve"> Melani siaqty eşkımnen qysylmai, bärınıñ közınşe jasar edı.
</t>
    </r>
    <r>
      <rPr>
        <b/>
        <sz val="10"/>
        <rFont val="Arial"/>
      </rPr>
      <t xml:space="preserve">TRANSLATION:</t>
    </r>
    <r>
      <rPr>
        <sz val="10"/>
        <rFont val="Arial"/>
      </rPr>
      <t xml:space="preserve"> She would do, like Melanie, in front of everyone's eyes, without being embarrassed by anyone.</t>
    </r>
  </si>
  <si>
    <t xml:space="preserve">Shame — Performed / ironic shame</t>
  </si>
  <si>
    <t xml:space="preserve">shame PERFORMED, SUPPOSED or cited ironically</t>
  </si>
  <si>
    <t xml:space="preserve">"Why?" he laughed jauntily. "Because, perhaps, of the betraying sentimentality that lurks in all of us Southerners. Perhaps— perhaps because I am ashamed. Who knows?"</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</si>
  <si>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А возможно… возможно, потому, что мне стыдно.
</t>
    </r>
    <r>
      <rPr>
        <b/>
        <sz val="10"/>
        <rFont val="Arial"/>
      </rPr>
      <t xml:space="preserve">TRANS:</t>
    </r>
    <r>
      <rPr>
        <sz val="10"/>
        <rFont val="Arial"/>
      </rPr>
      <t xml:space="preserve"> A vozmozhno… vozmozhno, potomu, chto mne stydno.
</t>
    </r>
    <r>
      <rPr>
        <b/>
        <sz val="10"/>
        <rFont val="Arial"/>
      </rPr>
      <t xml:space="preserve">TRANSLATION:</t>
    </r>
    <r>
      <rPr>
        <sz val="10"/>
        <rFont val="Arial"/>
      </rPr>
      <t xml:space="preserve"> And perhaps... perhaps because I am ashamed.</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</si>
  <si>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Мүмкін... ұялғанымнан шығар
</t>
    </r>
    <r>
      <rPr>
        <b/>
        <sz val="10"/>
        <rFont val="Arial"/>
      </rPr>
      <t xml:space="preserve">TRANS:</t>
    </r>
    <r>
      <rPr>
        <sz val="10"/>
        <rFont val="Arial"/>
      </rPr>
      <t xml:space="preserve"> Mümkın... ūialğanymnan şyğar
</t>
    </r>
    <r>
      <rPr>
        <b/>
        <sz val="10"/>
        <rFont val="Arial"/>
      </rPr>
      <t xml:space="preserve">TRANSLATION:</t>
    </r>
    <r>
      <rPr>
        <sz val="10"/>
        <rFont val="Arial"/>
      </rPr>
      <t xml:space="preserve"> Perhaps... it must be because I am ashamed.</t>
    </r>
  </si>
  <si>
    <t xml:space="preserve">shame PERFORMED or cited ironically — not genuinely felt</t>
  </si>
  <si>
    <t xml:space="preserve">"Scarlett, spare me! I am always overcome with shame when I think about it."</t>
  </si>
  <si>
    <r>
      <rPr>
        <b/>
        <sz val="10"/>
        <rFont val="Arial"/>
      </rPr>
      <t xml:space="preserve">TERM:</t>
    </r>
    <r>
      <rPr>
        <sz val="10"/>
        <rFont val="Arial"/>
      </rPr>
      <t xml:space="preserve"> sgorat' so styda! (сгорать со стыда!) = burn with shame
</t>
    </r>
    <r>
      <rPr>
        <b/>
        <sz val="10"/>
        <rFont val="Arial"/>
      </rPr>
      <t xml:space="preserve">PASSAGE:</t>
    </r>
    <r>
      <rPr>
        <sz val="10"/>
        <rFont val="Arial"/>
      </rPr>
      <t xml:space="preserve"> Я от стыда сгораю, думая об этом.
</t>
    </r>
    <r>
      <rPr>
        <b/>
        <sz val="10"/>
        <rFont val="Arial"/>
      </rPr>
      <t xml:space="preserve">TRANS:</t>
    </r>
    <r>
      <rPr>
        <sz val="10"/>
        <rFont val="Arial"/>
      </rPr>
      <t xml:space="preserve"> Ya ot styda sgorayu, dumaya ob etom.
</t>
    </r>
    <r>
      <rPr>
        <b/>
        <sz val="10"/>
        <rFont val="Arial"/>
      </rPr>
      <t xml:space="preserve">TRANSLATION:</t>
    </r>
    <r>
      <rPr>
        <sz val="10"/>
        <rFont val="Arial"/>
      </rPr>
      <t xml:space="preserve"> I burn with shame whenever I think about it.</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</si>
  <si>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Соны ойласам, ұяттан өліп кете жаздаймын.
</t>
    </r>
    <r>
      <rPr>
        <b/>
        <sz val="10"/>
        <rFont val="Arial"/>
      </rPr>
      <t xml:space="preserve">TRANS:</t>
    </r>
    <r>
      <rPr>
        <sz val="10"/>
        <rFont val="Arial"/>
      </rPr>
      <t xml:space="preserve"> Sony oilasam, ūiattan ölıp kete jazdaimyn.
</t>
    </r>
    <r>
      <rPr>
        <b/>
        <sz val="10"/>
        <rFont val="Arial"/>
      </rPr>
      <t xml:space="preserve">TRANSLATION:</t>
    </r>
    <r>
      <rPr>
        <sz val="10"/>
        <rFont val="Arial"/>
      </rPr>
      <t xml:space="preserve"> When I think of it, I almost die of shame.</t>
    </r>
  </si>
  <si>
    <t xml:space="preserve">Fake shame about serving in the army – for complying with societal ideas of honor</t>
  </si>
  <si>
    <t xml:space="preserve">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"shame"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</si>
  <si>
    <r>
      <rPr>
        <b/>
        <sz val="10"/>
        <rFont val="Arial"/>
      </rPr>
      <t xml:space="preserve">TERM:</t>
    </r>
    <r>
      <rPr>
        <sz val="10"/>
        <rFont val="Arial"/>
      </rPr>
      <t xml:space="preserve"> pozore (позоре) — disgrace (prep.) [ORD] (lemma: позор)
</t>
    </r>
    <r>
      <rPr>
        <b/>
        <sz val="10"/>
        <rFont val="Arial"/>
      </rPr>
      <t xml:space="preserve">PASSAGE:</t>
    </r>
    <r>
      <rPr>
        <sz val="10"/>
        <rFont val="Arial"/>
      </rPr>
      <t xml:space="preserve"> ибо Ретт с наигранным ужасом умолял ее никому не говорить об этом его «позоре».
</t>
    </r>
    <r>
      <rPr>
        <b/>
        <sz val="10"/>
        <rFont val="Arial"/>
      </rPr>
      <t xml:space="preserve">TRANS:</t>
    </r>
    <r>
      <rPr>
        <sz val="10"/>
        <rFont val="Arial"/>
      </rPr>
      <t xml:space="preserve"> ibo Rett s naigrannym uzhasom umolyal ee nikomu ne govorit' ob etom ego «pozore».
</t>
    </r>
    <r>
      <rPr>
        <b/>
        <sz val="10"/>
        <rFont val="Arial"/>
      </rPr>
      <t xml:space="preserve">TRANSLATION:</t>
    </r>
    <r>
      <rPr>
        <sz val="10"/>
        <rFont val="Arial"/>
      </rPr>
      <t xml:space="preserve"> for Rhett with feigned horror had implored her not to tell anyone about this "disgrace" of his.</t>
    </r>
  </si>
  <si>
    <r>
      <rPr>
        <b/>
        <sz val="10"/>
        <rFont val="Arial"/>
      </rPr>
      <t xml:space="preserve">TERM:</t>
    </r>
    <r>
      <rPr>
        <sz val="10"/>
        <rFont val="Arial"/>
      </rPr>
      <t xml:space="preserve"> ŪİATTY (ҰЯТТЫ) — shameful; indecent (adj.) [KED, SZK]
</t>
    </r>
    <r>
      <rPr>
        <b/>
        <sz val="10"/>
        <rFont val="Arial"/>
      </rPr>
      <t xml:space="preserve">PASSAGE:</t>
    </r>
    <r>
      <rPr>
        <sz val="10"/>
        <rFont val="Arial"/>
      </rPr>
      <t xml:space="preserve"> Реттің сегіз ай бойы конфедераттармен бірге болғанын жалғыз Скарлетт қана білетін, өйткені ол "ұятты іс" туралы ешкімге тіс жармауын жалған қорқақтың кейпіне еніп тұрып сұраған-ды.
</t>
    </r>
    <r>
      <rPr>
        <b/>
        <sz val="10"/>
        <rFont val="Arial"/>
      </rPr>
      <t xml:space="preserve">TRANS:</t>
    </r>
    <r>
      <rPr>
        <sz val="10"/>
        <rFont val="Arial"/>
      </rPr>
      <t xml:space="preserve"> Rettıñ segız ai boiy konfederattarmen bırge bolğanyn jalğyz Skarlett qana bıletın, öitkenı ol "ūiatty ıs" turaly eşkımge tıs jarmauyn jalğan qorqaqtyñ keipıne enıp tūryp sūrağan-dy.
</t>
    </r>
    <r>
      <rPr>
        <b/>
        <sz val="10"/>
        <rFont val="Arial"/>
      </rPr>
      <t xml:space="preserve">TRANSLATION:</t>
    </r>
    <r>
      <rPr>
        <sz val="10"/>
        <rFont val="Arial"/>
      </rPr>
      <t xml:space="preserve"> Only Scarlett knew that Rhett had been with the Confederates for eight months, because he had asked her, donning the mask of feigned cowardice, not to breathe a word about that "shameful business".</t>
    </r>
  </si>
  <si>
    <t xml:space="preserve">Rhett pretends to feel moral shame at Yankee association</t>
  </si>
  <si>
    <t xml:space="preserve">I know what I'm talking about, for I'm hand in glove with the Yankees. Shameful to state, they treat me as one of them and I hear them talk openly.</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</si>
  <si>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Стыдно признаться, но они смотрят на меня, как на своего, и открыто говорят при мне обо всем.
</t>
    </r>
    <r>
      <rPr>
        <b/>
        <sz val="10"/>
        <rFont val="Arial"/>
      </rPr>
      <t xml:space="preserve">TRANS:</t>
    </r>
    <r>
      <rPr>
        <sz val="10"/>
        <rFont val="Arial"/>
      </rPr>
      <t xml:space="preserve"> Stydno priznat'sya, no oni smotryat na menya, kak na svoego, i otkryto govoryat pri mne obo vsem.
</t>
    </r>
    <r>
      <rPr>
        <b/>
        <sz val="10"/>
        <rFont val="Arial"/>
      </rPr>
      <t xml:space="preserve">TRANSLATION:</t>
    </r>
    <r>
      <rPr>
        <sz val="10"/>
        <rFont val="Arial"/>
      </rPr>
      <t xml:space="preserve"> It's shameful to admit, but they look at me as one of their own and openly talk about everything in my presence.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</si>
  <si>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Мұны айтуым ұят шығар, бірақ ол байғұстар мені өз адамдарындай көріп, мен бар жерде барлығын ашық жоспарлай береді.
</t>
    </r>
    <r>
      <rPr>
        <b/>
        <sz val="10"/>
        <rFont val="Arial"/>
      </rPr>
      <t xml:space="preserve">TRANS:</t>
    </r>
    <r>
      <rPr>
        <sz val="10"/>
        <rFont val="Arial"/>
      </rPr>
      <t xml:space="preserve"> Mūny aituym ūiat şyğar, bıraq ol baiğūstar menı öz adamdaryndai körıp, men bar jerde barlyğyn aşyq josparlai beredı.
</t>
    </r>
    <r>
      <rPr>
        <b/>
        <sz val="10"/>
        <rFont val="Arial"/>
      </rPr>
      <t xml:space="preserve">TRANSLATION:</t>
    </r>
    <r>
      <rPr>
        <sz val="10"/>
        <rFont val="Arial"/>
      </rPr>
      <t xml:space="preserve"> Saying this may be shameful, but those poor souls regard me as one of their own people and openly plan everything when I am there.</t>
    </r>
  </si>
  <si>
    <t xml:space="preserve">"I thought you were ashamed of your war record," she said. "Didn't you tell me to keep it quiet?"</t>
  </si>
  <si>
    <r>
      <rPr>
        <b/>
        <sz val="10"/>
        <rFont val="Arial"/>
      </rPr>
      <t xml:space="preserve">TERM:</t>
    </r>
    <r>
      <rPr>
        <sz val="10"/>
        <rFont val="Arial"/>
      </rPr>
      <t xml:space="preserve"> stydites' (стыдитесь) — feel ashamed (imperative pl./formal sg.) [ORD] (lemma: стыдиться)
</t>
    </r>
    <r>
      <rPr>
        <b/>
        <sz val="10"/>
        <rFont val="Arial"/>
      </rPr>
      <t xml:space="preserve">PASSAGE:</t>
    </r>
    <r>
      <rPr>
        <sz val="10"/>
        <rFont val="Arial"/>
      </rPr>
      <t xml:space="preserve"> А я-то полагала, что вы стыдитесь своего участия в войне,
</t>
    </r>
    <r>
      <rPr>
        <b/>
        <sz val="10"/>
        <rFont val="Arial"/>
      </rPr>
      <t xml:space="preserve">TRANS:</t>
    </r>
    <r>
      <rPr>
        <sz val="10"/>
        <rFont val="Arial"/>
      </rPr>
      <t xml:space="preserve"> A ya-to polagala, chto vy stydites' svoego uchastiya v voyne,
</t>
    </r>
    <r>
      <rPr>
        <b/>
        <sz val="10"/>
        <rFont val="Arial"/>
      </rPr>
      <t xml:space="preserve">TRANSLATION:</t>
    </r>
    <r>
      <rPr>
        <sz val="10"/>
        <rFont val="Arial"/>
      </rPr>
      <t xml:space="preserve"> And I had assumed you were ashamed of your participation in the war,</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</si>
  <si>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Мен сізді соғысқа қатысқаныңызға ұялып жүр екен десем.
</t>
    </r>
    <r>
      <rPr>
        <b/>
        <sz val="10"/>
        <rFont val="Arial"/>
      </rPr>
      <t xml:space="preserve">TRANS:</t>
    </r>
    <r>
      <rPr>
        <sz val="10"/>
        <rFont val="Arial"/>
      </rPr>
      <t xml:space="preserve"> Men sızdı soğysqa qatysqanyñyzğa ūialyp jür eken desem.
</t>
    </r>
    <r>
      <rPr>
        <b/>
        <sz val="10"/>
        <rFont val="Arial"/>
      </rPr>
      <t xml:space="preserve">TRANSLATION:</t>
    </r>
    <r>
      <rPr>
        <sz val="10"/>
        <rFont val="Arial"/>
      </rPr>
      <t xml:space="preserve"> Whereas I had thought you were ashamed of having taken part in the war.</t>
    </r>
  </si>
  <si>
    <t xml:space="preserve">"Well!" said Mrs. Elsing, confused. If he had been in the army then she was wrong. She had made many sharp remarks about his cowardice and the memory of them made her feel guilty. "Well! And why haven't you ever told anybody about your service? You act as though you were ashamed of it."</t>
  </si>
  <si>
    <r>
      <rPr>
        <b/>
        <sz val="10"/>
        <rFont val="Arial"/>
      </rPr>
      <t xml:space="preserve">TERM:</t>
    </r>
    <r>
      <rPr>
        <sz val="10"/>
        <rFont val="Arial"/>
      </rPr>
      <t xml:space="preserve"> stesnyaetes' (стесняетесь) — (you) are shy; feel awkward (2pl.) [ORD] (lemma: стесняться)
</t>
    </r>
    <r>
      <rPr>
        <b/>
        <sz val="10"/>
        <rFont val="Arial"/>
      </rPr>
      <t xml:space="preserve">PASSAGE:</t>
    </r>
    <r>
      <rPr>
        <sz val="10"/>
        <rFont val="Arial"/>
      </rPr>
      <t xml:space="preserve"> Можно подумать, что вы стесняетесь этого
</t>
    </r>
    <r>
      <rPr>
        <b/>
        <sz val="10"/>
        <rFont val="Arial"/>
      </rPr>
      <t xml:space="preserve">TRANS:</t>
    </r>
    <r>
      <rPr>
        <sz val="10"/>
        <rFont val="Arial"/>
      </rPr>
      <t xml:space="preserve"> Mozhno podumat', chto vy stesnyaetes' etogo
</t>
    </r>
    <r>
      <rPr>
        <b/>
        <sz val="10"/>
        <rFont val="Arial"/>
      </rPr>
      <t xml:space="preserve">TRANSLATION:</t>
    </r>
    <r>
      <rPr>
        <sz val="10"/>
        <rFont val="Arial"/>
      </rPr>
      <t xml:space="preserve"> One might think you were embarrassed by it</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</si>
  <si>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Тіпті сізді сол қызметі үшін ұялады деуге де болатындай.
</t>
    </r>
    <r>
      <rPr>
        <b/>
        <sz val="10"/>
        <rFont val="Arial"/>
      </rPr>
      <t xml:space="preserve">TRANS:</t>
    </r>
    <r>
      <rPr>
        <sz val="10"/>
        <rFont val="Arial"/>
      </rPr>
      <t xml:space="preserve"> Tıptı sızdı sol qyzmetı üşın ūialady deuge de bolatyndai.
</t>
    </r>
    <r>
      <rPr>
        <b/>
        <sz val="10"/>
        <rFont val="Arial"/>
      </rPr>
      <t xml:space="preserve">TRANSLATION:</t>
    </r>
    <r>
      <rPr>
        <sz val="10"/>
        <rFont val="Arial"/>
      </rPr>
      <t xml:space="preserve"> One could even say you were ashamed of that service.</t>
    </r>
  </si>
  <si>
    <t xml:space="preserve">shame PERFORMED — not genuinely felt</t>
  </si>
  <si>
    <t xml:space="preserve">"I was ashamed to speak of it, in the light of—of some of my former actions."</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</si>
  <si>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Как-то стыдно мне было говорить об этом в свете… в свете некоторых моих тогдашних поступков.
</t>
    </r>
    <r>
      <rPr>
        <b/>
        <sz val="10"/>
        <rFont val="Arial"/>
      </rPr>
      <t xml:space="preserve">TRANS:</t>
    </r>
    <r>
      <rPr>
        <sz val="10"/>
        <rFont val="Arial"/>
      </rPr>
      <t xml:space="preserve"> Kak-to stydno mne bylo govorit' ob etom v svete… v svete nekotorykh moikh togdashnikh postupkov.
</t>
    </r>
    <r>
      <rPr>
        <b/>
        <sz val="10"/>
        <rFont val="Arial"/>
      </rPr>
      <t xml:space="preserve">TRANSLATION:</t>
    </r>
    <r>
      <rPr>
        <sz val="10"/>
        <rFont val="Arial"/>
      </rPr>
      <t xml:space="preserve"> It was somehow shameful for me to talk about it in the light of... in the light of certain of my actions back then.</t>
    </r>
  </si>
  <si>
    <r>
      <rPr>
        <b/>
        <sz val="10"/>
        <rFont val="Arial"/>
      </rPr>
      <t xml:space="preserve">TERM:</t>
    </r>
    <r>
      <rPr>
        <sz val="10"/>
        <rFont val="Arial"/>
      </rPr>
      <t xml:space="preserve"> yñğaisyz (ыңғайсыз) — awkward; uncomfortable [KED, SZK]
</t>
    </r>
    <r>
      <rPr>
        <b/>
        <sz val="10"/>
        <rFont val="Arial"/>
      </rPr>
      <t xml:space="preserve">PASSAGE:</t>
    </r>
    <r>
      <rPr>
        <sz val="10"/>
        <rFont val="Arial"/>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ыңғайсыз секілді.
</t>
    </r>
    <r>
      <rPr>
        <b/>
        <sz val="10"/>
        <rFont val="Arial"/>
      </rPr>
      <t xml:space="preserve">TRANS:</t>
    </r>
    <r>
      <rPr>
        <sz val="10"/>
        <rFont val="Arial"/>
      </rPr>
      <t xml:space="preserve"> Onyñ adam maqtanarlyq eşteñesı joq sekıldı ğoi. Onyñ üstıne köpşılık ortada özımnıñ älgındei... qylyqtarymnan keiın bırdeñe dep maqtanudyñ özı yñğaisyz sekıldı.
</t>
    </r>
    <r>
      <rPr>
        <b/>
        <sz val="10"/>
        <rFont val="Arial"/>
      </rPr>
      <t xml:space="preserve">TRANSLATION:</t>
    </r>
    <r>
      <rPr>
        <sz val="10"/>
        <rFont val="Arial"/>
      </rPr>
      <t xml:space="preserve"> There seems to be nothing in it for one to boast of. Besides, in public, after my own such... behavior, even saying anything boastful seems awkward.</t>
    </r>
  </si>
  <si>
    <t xml:space="preserve">shame PERFORMED  — not genuinely felt</t>
  </si>
  <si>
    <t xml:space="preserve">"And, Dolly, I give you my word that when he said that about being ashamed, tears came into his eyes! Yes, tears! I nearly cried myself."</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</si>
  <si>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И даю слово, Долли, он сказал, что ему стыдно, со слезами на глазах!
</t>
    </r>
    <r>
      <rPr>
        <b/>
        <sz val="10"/>
        <rFont val="Arial"/>
      </rPr>
      <t xml:space="preserve">TRANS:</t>
    </r>
    <r>
      <rPr>
        <sz val="10"/>
        <rFont val="Arial"/>
      </rPr>
      <t xml:space="preserve"> I dayu slovo, Dolli, on skazal, chto emu stydno, so slezami na glazakh!
</t>
    </r>
    <r>
      <rPr>
        <b/>
        <sz val="10"/>
        <rFont val="Arial"/>
      </rPr>
      <t xml:space="preserve">TRANSLATION:</t>
    </r>
    <r>
      <rPr>
        <sz val="10"/>
        <rFont val="Arial"/>
      </rPr>
      <t xml:space="preserve"> And I give you my word, Dolly, he said he was ashamed, with tears in his eyes!</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</si>
  <si>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Шынымен де оның ұяты бар екен, Долли, көзіне жас алып тұрды.
</t>
    </r>
    <r>
      <rPr>
        <b/>
        <sz val="10"/>
        <rFont val="Arial"/>
      </rPr>
      <t xml:space="preserve">TRANS:</t>
    </r>
    <r>
      <rPr>
        <sz val="10"/>
        <rFont val="Arial"/>
      </rPr>
      <t xml:space="preserve"> Şynymen de onyñ ūiaty bar eken, Dolli, közıne jas alyp tūrdy.
</t>
    </r>
    <r>
      <rPr>
        <b/>
        <sz val="10"/>
        <rFont val="Arial"/>
      </rPr>
      <t xml:space="preserve">TRANSLATION:</t>
    </r>
    <r>
      <rPr>
        <sz val="10"/>
        <rFont val="Arial"/>
      </rPr>
      <t xml:space="preserve"> He really did have shame, Dolly — he had tears in his eyes.</t>
    </r>
  </si>
  <si>
    <t xml:space="preserve">shame PERFORMED   — not genuinely felt</t>
  </si>
  <si>
    <t xml:space="preserve">"Somehow," said Mrs. Elsing uncertainly, "somehow, I don't think he's so bad. A man who fought for the Confederacy can't be all bad. It's Scarlett who is the bad one. Do you know, Dolly, I really believe that he—well, he's ashamed of Scarlett but is too much of a gentleman to let on."</t>
  </si>
  <si>
    <r>
      <rPr>
        <b/>
        <sz val="10"/>
        <rFont val="Arial"/>
      </rPr>
      <t xml:space="preserve">TERM:</t>
    </r>
    <r>
      <rPr>
        <sz val="10"/>
        <rFont val="Arial"/>
      </rPr>
      <t xml:space="preserve"> styditsya (стыдится) — feels ashamed (3sg) [ORD] (lemma: стыдиться)
</t>
    </r>
    <r>
      <rPr>
        <b/>
        <sz val="10"/>
        <rFont val="Arial"/>
      </rPr>
      <t xml:space="preserve">PASSAGE:</t>
    </r>
    <r>
      <rPr>
        <sz val="10"/>
        <rFont val="Arial"/>
      </rPr>
      <t xml:space="preserve"> Знаете, Долли, мне в самом деле кажется, что он… ну, словом, что он стыдится Скарлетт, но, будучи джентльменом, не показывает этого.
</t>
    </r>
    <r>
      <rPr>
        <b/>
        <sz val="10"/>
        <rFont val="Arial"/>
      </rPr>
      <t xml:space="preserve">TRANS:</t>
    </r>
    <r>
      <rPr>
        <sz val="10"/>
        <rFont val="Arial"/>
      </rPr>
      <t xml:space="preserve"> Znaete, Dolli, mne v samom dele kazhetsya, chto on… nu, slovom, chto on styditsya Skarlett, no, buduchi dzhentl'menom, ne pokazyvaet etogo.
</t>
    </r>
    <r>
      <rPr>
        <b/>
        <sz val="10"/>
        <rFont val="Arial"/>
      </rPr>
      <t xml:space="preserve">TRANSLATION:</t>
    </r>
    <r>
      <rPr>
        <sz val="10"/>
        <rFont val="Arial"/>
      </rPr>
      <t xml:space="preserve"> You know, Dolly, it really seems to me that he... well, that he is ashamed of Scarlett, but being a gentleman, he does not show it.</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</si>
  <si>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Байқайсыз ба, Долли, сірә, ол Скарлетт үшін ұялатын тәрізді ме, қалай? Тек онысын байқатпайтын сияқты. Қанша дегенмен мырза емес пе?
</t>
    </r>
    <r>
      <rPr>
        <b/>
        <sz val="10"/>
        <rFont val="Arial"/>
      </rPr>
      <t xml:space="preserve">TRANS:</t>
    </r>
    <r>
      <rPr>
        <sz val="10"/>
        <rFont val="Arial"/>
      </rPr>
      <t xml:space="preserve"> Baiqaisyz ba, Dolli, sırä, ol Skarlett üşın ūialatyn tärızdı me, qalai? Tek onysyn baiqatpaityn siaqty. Qanşa degenmen myrza emes pe?
</t>
    </r>
    <r>
      <rPr>
        <b/>
        <sz val="10"/>
        <rFont val="Arial"/>
      </rPr>
      <t xml:space="preserve">TRANSLATION:</t>
    </r>
    <r>
      <rPr>
        <sz val="10"/>
        <rFont val="Arial"/>
      </rPr>
      <t xml:space="preserve"> Don't you notice, Dolly — it seems perhaps he is ashamed for Scarlett's sake, no? But he doesn't let it show. After all, isn't he a gentleman?</t>
    </r>
  </si>
  <si>
    <t xml:space="preserve">GUILT DOMAIN</t>
  </si>
  <si>
    <t xml:space="preserve">Guilt — Felt guilt</t>
  </si>
  <si>
    <t xml:space="preserve">strong felt guilt; inner moral accusation; presence of the person wronged actualizes felt guilt</t>
  </si>
  <si>
    <t xml:space="preserve">Since the day of the speaking, Stuart had been uncomfortable in India's presence. Not that India ever reproached him or even indicated by look or gesture that she was aware of his abruptly changed allegiance. She was too much of a lady. But Stuart felt guilty and ill at ease with her. He knew he had made India love him and he knew that she still loved him and, deep in his heart, he had the feeling that he had not played the gentleman.</t>
  </si>
  <si>
    <t xml:space="preserve">Stuart Tarleton</t>
  </si>
  <si>
    <r>
      <rPr>
        <b/>
        <sz val="10"/>
        <rFont val="Arial"/>
      </rPr>
      <t xml:space="preserve">TERM:</t>
    </r>
    <r>
      <rPr>
        <sz val="10"/>
        <rFont val="Arial"/>
      </rPr>
      <t xml:space="preserve"> chuvstva viny (чувства вины) — feeling of guilt (gen.) [ORD] (lemma: вина)
</t>
    </r>
    <r>
      <rPr>
        <b/>
        <sz val="10"/>
        <rFont val="Arial"/>
      </rPr>
      <t xml:space="preserve">PASSAGE:</t>
    </r>
    <r>
      <rPr>
        <sz val="10"/>
        <rFont val="Arial"/>
      </rPr>
      <t xml:space="preserve"> Но Стюарт не мог избавиться от чувства вины и испытывал поэтому неловкость.
</t>
    </r>
    <r>
      <rPr>
        <b/>
        <sz val="10"/>
        <rFont val="Arial"/>
      </rPr>
      <t xml:space="preserve">TRANS:</t>
    </r>
    <r>
      <rPr>
        <sz val="10"/>
        <rFont val="Arial"/>
      </rPr>
      <t xml:space="preserve"> No Styuart ne mog izbavit'sya ot chuvstva viny i ispytyval poetomu nelovkost'.
</t>
    </r>
    <r>
      <rPr>
        <b/>
        <sz val="10"/>
        <rFont val="Arial"/>
      </rPr>
      <t xml:space="preserve">TRANSLATION:</t>
    </r>
    <r>
      <rPr>
        <sz val="10"/>
        <rFont val="Arial"/>
      </rPr>
      <t xml:space="preserve"> But Stuart could not rid himself of the feeling of guilt and as a result felt awkward.</t>
    </r>
  </si>
  <si>
    <r>
      <rPr>
        <b/>
        <sz val="10"/>
        <rFont val="Arial"/>
      </rPr>
      <t xml:space="preserve">TERM:</t>
    </r>
    <r>
      <rPr>
        <sz val="10"/>
        <rFont val="Arial"/>
      </rPr>
      <t xml:space="preserve"> KİNÄLY (КІНӘЛЫ) — guilty; at fault [KED, SZK] (lemma: кінәлі)
</t>
    </r>
    <r>
      <rPr>
        <b/>
        <sz val="10"/>
        <rFont val="Arial"/>
      </rPr>
      <t xml:space="preserve">PASSAGE:</t>
    </r>
    <r>
      <rPr>
        <sz val="10"/>
        <rFont val="Arial"/>
      </rPr>
      <t xml:space="preserve"> Бірақ Стюарт оның алдында өзін кінәлі сезінгендіктен ыңғайсыздықтан арыла алмады.
</t>
    </r>
    <r>
      <rPr>
        <b/>
        <sz val="10"/>
        <rFont val="Arial"/>
      </rPr>
      <t xml:space="preserve">TRANS:</t>
    </r>
    <r>
      <rPr>
        <sz val="10"/>
        <rFont val="Arial"/>
      </rPr>
      <t xml:space="preserve"> Biraq Styuart onyñ aldynda özin kinäli sezingendikten yñğaysyzdyqtan aryla almady.
</t>
    </r>
    <r>
      <rPr>
        <b/>
        <sz val="10"/>
        <rFont val="Arial"/>
      </rPr>
      <t xml:space="preserve">TRANSLATION:</t>
    </r>
    <r>
      <rPr>
        <sz val="10"/>
        <rFont val="Arial"/>
      </rPr>
      <t xml:space="preserve"> But Stuart could not rid himself of the awkwardness of feeling guilty before her.</t>
    </r>
  </si>
  <si>
    <t xml:space="preserve">Guilt — Felt guilt (guilty pleasure)</t>
  </si>
  <si>
    <t xml:space="preserve">mild guilty pleasure — impropriety felt as pleasurable; no moral weight; Ellen as superego</t>
  </si>
  <si>
    <t xml:space="preserve">Scarlett had no awe of her father and felt him more her contemporary than her sisters, for jumping fences and keeping it a secret from his wife gave him a boyish pride and guilty glee that matched her own pleasure in outwitting Mammy. She rose from her seat to watch him.</t>
  </si>
  <si>
    <t xml:space="preserve">Gerald O’Hara</t>
  </si>
  <si>
    <r>
      <rPr>
        <b/>
        <sz val="10"/>
        <rFont val="Arial"/>
      </rPr>
      <t xml:space="preserve">TERM:</t>
    </r>
    <r>
      <rPr>
        <sz val="10"/>
        <rFont val="Arial"/>
      </rPr>
      <t xml:space="preserve"> Ø — omission; English guilt is not lexicalized in the Kazakh translation
</t>
    </r>
    <r>
      <rPr>
        <b/>
        <sz val="10"/>
        <rFont val="Arial"/>
      </rPr>
      <t xml:space="preserve">PASSAGE:</t>
    </r>
    <r>
      <rPr>
        <sz val="10"/>
        <rFont val="Arial"/>
      </rPr>
      <t xml:space="preserve"> 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
    </r>
    <r>
      <rPr>
        <b/>
        <sz val="10"/>
        <rFont val="Arial"/>
      </rPr>
      <t xml:space="preserve">TRANS:</t>
    </r>
    <r>
      <rPr>
        <sz val="10"/>
        <rFont val="Arial"/>
      </rPr>
      <t xml:space="preserve"> Skarlett äkesınen qoryqpaityn. Ol özınen keiıngı sıñlılerıne qarağanda äkesıne jaqyn boldy, ony qūrdasyndai köretın, öitkenı Gerald jas bala sekıldı äielıne körsetpei şalğynda tıkesınen şauyp ötudı ūnatatyn, Skarlett te sondai tosın qylyqtar men batyldyqtardy öte jaqsy köredı, sonymen bırge onyñ Ülken şeşeige qarsy adal odaqtasy bolatyn.
</t>
    </r>
    <r>
      <rPr>
        <b/>
        <sz val="10"/>
        <rFont val="Arial"/>
      </rPr>
      <t xml:space="preserve">TRANSLATION:</t>
    </r>
    <r>
      <rPr>
        <sz val="10"/>
        <rFont val="Arial"/>
      </rPr>
      <t xml:space="preserve"> Scarlett was not afraid of her father. She was closer to him than her younger sisters were and regarded him as a peer, because Gerald, like a young boy, enjoyed galloping straight across the meadow without his wife seeing him. Scarlett loved such unexpected acts and displays of boldness, and he was also her loyal ally against Mammy.
</t>
    </r>
    <r>
      <rPr>
        <b/>
        <sz val="10"/>
        <rFont val="Arial"/>
      </rPr>
      <t xml:space="preserve">COMMENT:</t>
    </r>
    <r>
      <rPr>
        <sz val="10"/>
        <rFont val="Arial"/>
      </rPr>
      <t xml:space="preserve"> The source-text reference to guilt is omitted; no Kazakh moral-emotion term corresponds to it.</t>
    </r>
  </si>
  <si>
    <t xml:space="preserve">strong felt guilt; inner moral accusation; Ellen (internalized superego)</t>
  </si>
  <si>
    <t xml:space="preserve">"Ah-ah-hum," said Gerald, suddenly and guiltily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</si>
  <si>
    <r>
      <rPr>
        <b/>
        <sz val="10"/>
        <rFont val="Arial"/>
      </rPr>
      <t xml:space="preserve">TERM:</t>
    </r>
    <r>
      <rPr>
        <sz val="10"/>
        <rFont val="Arial"/>
      </rPr>
      <t xml:space="preserve"> smushchenno (смущенно) — in embarrassment; awkwardly (adv.) [ORD]
</t>
    </r>
    <r>
      <rPr>
        <b/>
        <sz val="10"/>
        <rFont val="Arial"/>
      </rPr>
      <t xml:space="preserve">PASSAGE:</t>
    </r>
    <r>
      <rPr>
        <sz val="10"/>
        <rFont val="Arial"/>
      </rPr>
      <t xml:space="preserv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
    </r>
    <r>
      <rPr>
        <b/>
        <sz val="10"/>
        <rFont val="Arial"/>
      </rPr>
      <t xml:space="preserve">TRANS:</t>
    </r>
    <r>
      <rPr>
        <sz val="10"/>
        <rFont val="Arial"/>
      </rPr>
      <t xml:space="preserve"> — Khm, da, da, — smushchenno probormotal Dzherald, do soznaniya kotorogo vdrug doshlo, chto etot chrezvychayno interesnyy i vpolne, na ego vzglyad, prilichnyy razgovor, veroyatno, pokazalsya by sovsem neumestnym ego zhene
</t>
    </r>
    <r>
      <rPr>
        <b/>
        <sz val="10"/>
        <rFont val="Arial"/>
      </rPr>
      <t xml:space="preserve">TRANSLATION:</t>
    </r>
    <r>
      <rPr>
        <sz val="10"/>
        <rFont val="Arial"/>
      </rPr>
      <t xml:space="preserve"> "Hm, yes, yes," Gerald muttered in embarrassment, suddenly realizing that this conversation, extremely interesting and, in his view, perfectly proper, would probably appear utterly inappropriate to his wife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</si>
  <si>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 Джералд ұялғаннан күбірлеп, ол кенет өзінің ойынша өте қызықты әрі әжептәуір әңгіме әйеліме мүлдем орынсыз болып көрінер еді деп ойлады.
</t>
    </r>
    <r>
      <rPr>
        <b/>
        <sz val="10"/>
        <rFont val="Arial"/>
      </rPr>
      <t xml:space="preserve">TRANS:</t>
    </r>
    <r>
      <rPr>
        <sz val="10"/>
        <rFont val="Arial"/>
      </rPr>
      <t xml:space="preserve"> ... Jerald ūialğannan kübırlep, ol kenet özınıñ oiynşa öte qyzyqty ärı äjeptäuır äñgıme äielıme müldem orynsyz bolyp körıner edı dep oilady.
</t>
    </r>
    <r>
      <rPr>
        <b/>
        <sz val="10"/>
        <rFont val="Arial"/>
      </rPr>
      <t xml:space="preserve">TRANSLATION:</t>
    </r>
    <r>
      <rPr>
        <sz val="10"/>
        <rFont val="Arial"/>
      </rPr>
      <t xml:space="preserve"> ... Gerald murmured in embarrassment, suddenly thinking that the conversation he found very interesting and respectable would seem entirely improper to his wife.</t>
    </r>
  </si>
  <si>
    <t xml:space="preserve">mild guilty pleasure — relief mixed with guilt about feeling relief at the absence of her moral superego (Ellen) and her social conscience (Mammy)</t>
  </si>
  <si>
    <t xml:space="preserve">As the carriage bore her down the red road toward the Wilkes plantation, Scarlett had a feeling of guilty pleasure that neither her mother nor Mammy was with the party. There would be no one at the barbecue who, by delicately lifted brows or out-thrust underlip, could interfere with her plan of action.</t>
  </si>
  <si>
    <r>
      <rPr>
        <b/>
        <sz val="10"/>
        <rFont val="Arial"/>
      </rPr>
      <t xml:space="preserve">TERM:</t>
    </r>
    <r>
      <rPr>
        <sz val="10"/>
        <rFont val="Arial"/>
      </rPr>
      <t xml:space="preserve"> ne bez nekotorykh ugryzeniy sovesti (не без некоторых угрызений совести) — not without some pangs of conscience [ORD] (lemma: угрызение)
</t>
    </r>
    <r>
      <rPr>
        <b/>
        <sz val="10"/>
        <rFont val="Arial"/>
      </rPr>
      <t xml:space="preserve">PASSAGE:</t>
    </r>
    <r>
      <rPr>
        <sz val="10"/>
        <rFont val="Arial"/>
      </rPr>
      <t xml:space="preserv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
    </r>
    <r>
      <rPr>
        <b/>
        <sz val="10"/>
        <rFont val="Arial"/>
      </rPr>
      <t xml:space="preserve">TRANS:</t>
    </r>
    <r>
      <rPr>
        <sz val="10"/>
        <rFont val="Arial"/>
      </rPr>
      <t xml:space="preserve"> Poka kolyaska, podnimaya krasnuyu pyl', katilas' po doroge k Dvenadtsati Dubam, Skarlett, ne bez nekotorykh ugryzeniy sovesti, radovalas' tomu, chto ni Ellin, ni Mamushka ne budut prisutstvovat' na barbekyu.
</t>
    </r>
    <r>
      <rPr>
        <b/>
        <sz val="10"/>
        <rFont val="Arial"/>
      </rPr>
      <t xml:space="preserve">TRANSLATION:</t>
    </r>
    <r>
      <rPr>
        <sz val="10"/>
        <rFont val="Arial"/>
      </rPr>
      <t xml:space="preserve"> As the carriage rolled along the road to Twelve Oaks raising red dust, Scarlett, not without some pangs of conscience, was glad that neither Ellen nor Mammy would be present at the barbecue.</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</si>
  <si>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Скарлетт аздап ары мазаласа да, барбекюде Эллиннің де, Үлкен шешейдің де болмайтынына қуанды.
</t>
    </r>
    <r>
      <rPr>
        <b/>
        <sz val="10"/>
        <rFont val="Arial"/>
      </rPr>
      <t xml:space="preserve">TRANS:</t>
    </r>
    <r>
      <rPr>
        <sz val="10"/>
        <rFont val="Arial"/>
      </rPr>
      <t xml:space="preserve"> Skarlett azdap ary mazalasa da, barbeküde Elinnıñ de, Ülken şeşeidıñ de bolmaitynyna quandy
</t>
    </r>
    <r>
      <rPr>
        <b/>
        <sz val="10"/>
        <rFont val="Arial"/>
      </rPr>
      <t xml:space="preserve">TRANSLATION:</t>
    </r>
    <r>
      <rPr>
        <sz val="10"/>
        <rFont val="Arial"/>
      </rPr>
      <t xml:space="preserve"> Although Scarlett's conscience troubled her a little, she rejoiced that neither Ellen nor Mammy would be at the barbecue.</t>
    </r>
  </si>
  <si>
    <t xml:space="preserve">Guilt — Guilt as tormentor</t>
  </si>
  <si>
    <t xml:space="preserve">felt guilt; inner moral accusation; Ellen (internalized superego); guilt about Ellen’s pain, not about scandalous conduct</t>
  </si>
  <si>
    <t xml:space="preserve">A cold qualm of guilt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</si>
  <si>
    <r>
      <rPr>
        <b/>
        <sz val="10"/>
        <rFont val="Arial"/>
      </rPr>
      <t xml:space="preserve">TERM:</t>
    </r>
    <r>
      <rPr>
        <sz val="10"/>
        <rFont val="Arial"/>
      </rPr>
      <t xml:space="preserve"> raskayanie (раскаяние) — repentance; remorse [ORD]
</t>
    </r>
    <r>
      <rPr>
        <b/>
        <sz val="10"/>
        <rFont val="Arial"/>
      </rPr>
      <t xml:space="preserve">PASSAGE:</t>
    </r>
    <r>
      <rPr>
        <sz val="10"/>
        <rFont val="Arial"/>
      </rPr>
      <t xml:space="preserve"> Скарлетт похолодела и в душе у нее пробудилось раскаяние.
</t>
    </r>
    <r>
      <rPr>
        <b/>
        <sz val="10"/>
        <rFont val="Arial"/>
      </rPr>
      <t xml:space="preserve">TRANS:</t>
    </r>
    <r>
      <rPr>
        <sz val="10"/>
        <rFont val="Arial"/>
      </rPr>
      <t xml:space="preserve"> Skarlett pokholodela i v dushe u nee probudilos' raskayanie.
</t>
    </r>
    <r>
      <rPr>
        <b/>
        <sz val="10"/>
        <rFont val="Arial"/>
      </rPr>
      <t xml:space="preserve">TRANSLATION:</t>
    </r>
    <r>
      <rPr>
        <sz val="10"/>
        <rFont val="Arial"/>
      </rPr>
      <t xml:space="preserve"> Scarlett went cold and remorse awakened in her soul.</t>
    </r>
  </si>
  <si>
    <r>
      <rPr>
        <b/>
        <sz val="10"/>
        <rFont val="Arial"/>
      </rPr>
      <t xml:space="preserve">TERM:</t>
    </r>
    <r>
      <rPr>
        <sz val="10"/>
        <rFont val="Arial"/>
      </rPr>
      <t xml:space="preserve"> ÖKİNİSH (ӨКІНІШ) — regret; repentance [KED, SZK]
</t>
    </r>
    <r>
      <rPr>
        <b/>
        <sz val="10"/>
        <rFont val="Arial"/>
      </rPr>
      <t xml:space="preserve">PASSAGE:</t>
    </r>
    <r>
      <rPr>
        <sz val="10"/>
        <rFont val="Arial"/>
      </rPr>
      <t xml:space="preserve"> Скарлетт суып сала берді де, оның жан дүниесінде өкініш пайда болды.
</t>
    </r>
    <r>
      <rPr>
        <b/>
        <sz val="10"/>
        <rFont val="Arial"/>
      </rPr>
      <t xml:space="preserve">TRANS:</t>
    </r>
    <r>
      <rPr>
        <sz val="10"/>
        <rFont val="Arial"/>
      </rPr>
      <t xml:space="preserve"> Skarlett suyp sala berdı de, onyñ jan düniesınde ökınış paida boldy.
</t>
    </r>
    <r>
      <rPr>
        <b/>
        <sz val="10"/>
        <rFont val="Arial"/>
      </rPr>
      <t xml:space="preserve">TRANSLATION:</t>
    </r>
    <r>
      <rPr>
        <sz val="10"/>
        <rFont val="Arial"/>
      </rPr>
      <t xml:space="preserve"> Scarlett grew cold, and remorse arose in her inner being.</t>
    </r>
  </si>
  <si>
    <t xml:space="preserve">felt guilt; child-like emotion; Ellen (internalized superego)</t>
  </si>
  <si>
    <t xml:space="preserve">There was more in the same vein but Scarlett did not finish it. For once, she was thoroughly frightened. She did not feel reckless and defiant now. She felt as young and guilty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</si>
  <si>
    <r>
      <rPr>
        <b/>
        <sz val="10"/>
        <rFont val="Arial"/>
      </rPr>
      <t xml:space="preserve">TERM:</t>
    </r>
    <r>
      <rPr>
        <sz val="10"/>
        <rFont val="Arial"/>
      </rPr>
      <t xml:space="preserve"> provinivshiysya (провинившийся) — the one at fault; one who has done wrong (active part.) [ORD] (lemma: провиниться)
</t>
    </r>
    <r>
      <rPr>
        <b/>
        <sz val="10"/>
        <rFont val="Arial"/>
      </rPr>
      <t xml:space="preserve">PASSAGE:</t>
    </r>
    <r>
      <rPr>
        <sz val="10"/>
        <rFont val="Arial"/>
      </rPr>
      <t xml:space="preserve"> Она чувствовала себя словно провинившийся ребенок — совсем как в десять лет, когда как-то раз за столом запустила в Сьюлин печеньем.
</t>
    </r>
    <r>
      <rPr>
        <b/>
        <sz val="10"/>
        <rFont val="Arial"/>
      </rPr>
      <t xml:space="preserve">TRANS:</t>
    </r>
    <r>
      <rPr>
        <sz val="10"/>
        <rFont val="Arial"/>
      </rPr>
      <t xml:space="preserve"> Ona chuvstvovala sebya slovno provinivshiysya rebenok — sovsem kak v desyat' let, kogda kak-to raz za stolom zapustila v S'yulin pechen'em.
</t>
    </r>
    <r>
      <rPr>
        <b/>
        <sz val="10"/>
        <rFont val="Arial"/>
      </rPr>
      <t xml:space="preserve">TRANSLATION:</t>
    </r>
    <r>
      <rPr>
        <sz val="10"/>
        <rFont val="Arial"/>
      </rPr>
      <t xml:space="preserve"> She felt as though she were a guilty child — exactly as at age ten, when she once threw a cookie at Suellen at the table.</t>
    </r>
  </si>
  <si>
    <r>
      <rPr>
        <b/>
        <sz val="10"/>
        <rFont val="Arial"/>
      </rPr>
      <t xml:space="preserve">TERM:</t>
    </r>
    <r>
      <rPr>
        <sz val="10"/>
        <rFont val="Arial"/>
      </rPr>
      <t xml:space="preserve"> JAZYQTY (ЖАЗЫҚТЫ) — at fault; guilty [KED, SZK]
</t>
    </r>
    <r>
      <rPr>
        <b/>
        <sz val="10"/>
        <rFont val="Arial"/>
      </rPr>
      <t xml:space="preserve">PASSAGE:</t>
    </r>
    <r>
      <rPr>
        <sz val="10"/>
        <rFont val="Arial"/>
      </rPr>
      <t xml:space="preserve"> Сьюлинге тоқаш лақтырған кездегі жазықты болған он жасар жасөспірім кезіндегідей сезінді.
</t>
    </r>
    <r>
      <rPr>
        <b/>
        <sz val="10"/>
        <rFont val="Arial"/>
      </rPr>
      <t xml:space="preserve">TRANS:</t>
    </r>
    <r>
      <rPr>
        <sz val="10"/>
        <rFont val="Arial"/>
      </rPr>
      <t xml:space="preserve"> S'iulinge toqaş laqtyrğan kezdegı jazyqty bolğan on jasar jasöspırım kezındegıdei sezındı.
</t>
    </r>
    <r>
      <rPr>
        <b/>
        <sz val="10"/>
        <rFont val="Arial"/>
      </rPr>
      <t xml:space="preserve">TRANSLATION:</t>
    </r>
    <r>
      <rPr>
        <sz val="10"/>
        <rFont val="Arial"/>
      </rPr>
      <t xml:space="preserve"> She felt as if she were a ten-year-old who had thrown a roll at Suellen — like a guilty youngster.</t>
    </r>
  </si>
  <si>
    <t xml:space="preserve">felt guilt mixed with panic; fear of discovery</t>
  </si>
  <si>
    <t xml:space="preserve">"Mother of God!" thought Scarlett, in a panic of guilt. "'Concealing his real thoughts.' Can Melly have read his mind? Or my mind? Does she suspect that he and I—"</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</si>
  <si>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в испуге подумала Скарлетт, так как, совесть ее, разумеется, была нечиста.
</t>
    </r>
    <r>
      <rPr>
        <b/>
        <sz val="10"/>
        <rFont val="Arial"/>
      </rPr>
      <t xml:space="preserve">TRANS:</t>
    </r>
    <r>
      <rPr>
        <sz val="10"/>
        <rFont val="Arial"/>
      </rPr>
      <t xml:space="preserve"> v ispuge podumala Skarlett, tak kak, sovest' ee, razumeetsya, byla nechista.
</t>
    </r>
    <r>
      <rPr>
        <b/>
        <sz val="10"/>
        <rFont val="Arial"/>
      </rPr>
      <t xml:space="preserve">TRANSLATION:</t>
    </r>
    <r>
      <rPr>
        <sz val="10"/>
        <rFont val="Arial"/>
      </rPr>
      <t xml:space="preserve"> Scarlett thought in fright, since her conscience was, of course, not clean.</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</si>
  <si>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 осылай ойлаған Скарлетт шошып кетті, өйткені оның ар-ұжданы, әрине, таза емес еді.
</t>
    </r>
    <r>
      <rPr>
        <b/>
        <sz val="10"/>
        <rFont val="Arial"/>
      </rPr>
      <t xml:space="preserve">TRANS:</t>
    </r>
    <r>
      <rPr>
        <sz val="10"/>
        <rFont val="Arial"/>
      </rPr>
      <t xml:space="preserve"> ... osylai oilağan Skarlett şoşyp kettı, öitkenı onyñ ar-ūjdany, ärine, taza emes edı.
</t>
    </r>
    <r>
      <rPr>
        <b/>
        <sz val="10"/>
        <rFont val="Arial"/>
      </rPr>
      <t xml:space="preserve">TRANSLATION:</t>
    </r>
    <r>
      <rPr>
        <sz val="10"/>
        <rFont val="Arial"/>
      </rPr>
      <t xml:space="preserve"> ... thinking thus, Scarlett took fright, for her ar-ujdan [conscience] was, of course, not clean.</t>
    </r>
  </si>
  <si>
    <t xml:space="preserve">felt guilt; inner moral accusation; Ellen (internalized superego); pain at deceiving her mother and abusing her trust, not at the actual misdeeds</t>
  </si>
  <si>
    <t xml:space="preserve">"I'm always your little girl," Scarlett would say and bury her head upon Ellen's breast, her guilt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</si>
  <si>
    <r>
      <rPr>
        <b/>
        <sz val="10"/>
        <rFont val="Arial"/>
      </rPr>
      <t xml:space="preserve">TERM:</t>
    </r>
    <r>
      <rPr>
        <sz val="10"/>
        <rFont val="Arial"/>
      </rPr>
      <t xml:space="preserve"> ugryzeniya sovesti. (угрызения совести.) = pangs of conscience
</t>
    </r>
    <r>
      <rPr>
        <b/>
        <sz val="10"/>
        <rFont val="Arial"/>
      </rPr>
      <t xml:space="preserve">PASSAGE:</t>
    </r>
    <r>
      <rPr>
        <sz val="10"/>
        <rFont val="Arial"/>
      </rPr>
      <t xml:space="preserve"> — Я всегда, всегда буду вашей маленькой дочуркой, — говорила Скарлетт и прятала лицо на груди Эллин, чувствуя внезапно вспыхнувшие угрызения совести.
</t>
    </r>
    <r>
      <rPr>
        <b/>
        <sz val="10"/>
        <rFont val="Arial"/>
      </rPr>
      <t xml:space="preserve">TRANS:</t>
    </r>
    <r>
      <rPr>
        <sz val="10"/>
        <rFont val="Arial"/>
      </rPr>
      <t xml:space="preserve"> — Ya vsegda, vsegda budu vashey malen'koy dochurkoy, — govorila Skarlett i pryatala litso na grudi Ellin, chuvstvuya vnezapno vspykhnuvshie ugryzeniya sovesti.
</t>
    </r>
    <r>
      <rPr>
        <b/>
        <sz val="10"/>
        <rFont val="Arial"/>
      </rPr>
      <t xml:space="preserve">TRANSLATION:</t>
    </r>
    <r>
      <rPr>
        <sz val="10"/>
        <rFont val="Arial"/>
      </rPr>
      <t xml:space="preserve"> "I will always, always be your little daughter," said Scarlett, hiding her face on Ellen's breast, feeling suddenly flaring pangs of conscience.</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</si>
  <si>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 Мен әрқашан сенің кішкентай қызың боламын, - деді Скарлетт өзінің ұжданы алдында қысылған жүзін Эллиннің кеудесіне жасырып.
</t>
    </r>
    <r>
      <rPr>
        <b/>
        <sz val="10"/>
        <rFont val="Arial"/>
      </rPr>
      <t xml:space="preserve">TRANS:</t>
    </r>
    <r>
      <rPr>
        <sz val="10"/>
        <rFont val="Arial"/>
      </rPr>
      <t xml:space="preserve"> Men ärqaşan senıñ kışkentai qyzyñ bolamyn, - dedı Skarlett özınıñ ūjdany aldynda qysylğan jüzın Elinnıñ keudesıne jasyryp.
</t>
    </r>
    <r>
      <rPr>
        <b/>
        <sz val="10"/>
        <rFont val="Arial"/>
      </rPr>
      <t xml:space="preserve">TRANSLATION:</t>
    </r>
    <r>
      <rPr>
        <sz val="10"/>
        <rFont val="Arial"/>
      </rPr>
      <t xml:space="preserve"> "I will always be your little girl," said Scarlett, hiding her face — embarrassed before her own conscience [ūjdan] — on Ellen's breast.</t>
    </r>
  </si>
  <si>
    <t xml:space="preserve">Guilt — Felt guilt (guilty conscience)</t>
  </si>
  <si>
    <t xml:space="preserve">guilty conscience — guilt and conscience fused</t>
  </si>
  <si>
    <t xml:space="preserve">Scarlett's guilty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</si>
  <si>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b/>
        <sz val="10"/>
        <rFont val="Arial"/>
      </rPr>
      <t xml:space="preserve">TRANS:</t>
    </r>
    <r>
      <rPr>
        <sz val="10"/>
        <rFont val="Arial"/>
      </rPr>
      <t xml:space="preserve"> Skarlett, ispytyvaya legkiy ukol sovesti, staralas' vspomnit', chto zhe bylo takogo v pis'makh Eshli, chto zastavilo Melani sdelat' podobnoe zayavlenie, no soderzhanie pisem pochti mgnovenno uletuchivalos' u nee iz golovy, kak tol'ko ona konchala chitat'.
</t>
    </r>
    <r>
      <rPr>
        <b/>
        <sz val="10"/>
        <rFont val="Arial"/>
      </rPr>
      <t xml:space="preserve">TRANSLATION:</t>
    </r>
    <r>
      <rPr>
        <sz val="10"/>
        <rFont val="Arial"/>
      </rPr>
      <t xml:space="preserve"> Scarlett, feeling a slight prick of conscience, tried to recall what was in Ashley's letters that would make Melanie make such a statement, but the contents of the letters almost instantly evaporated from her head as soon as she finished reading.</t>
    </r>
  </si>
  <si>
    <r>
      <rPr>
        <b/>
        <sz val="10"/>
        <rFont val="Arial"/>
      </rPr>
      <t xml:space="preserve">TERM:</t>
    </r>
    <r>
      <rPr>
        <sz val="10"/>
        <rFont val="Arial"/>
      </rPr>
      <t xml:space="preserve"> ūial- (ұял-) — be ashamed (verbal stem) [KED, SZK] (lemma: ұялу)
</t>
    </r>
    <r>
      <rPr>
        <b/>
        <sz val="10"/>
        <rFont val="Arial"/>
      </rPr>
      <t xml:space="preserve">PASSAGE:</t>
    </r>
    <r>
      <rPr>
        <sz val="10"/>
        <rFont val="Arial"/>
      </rPr>
      <t xml:space="preserve"> Скарлетт аздап ұялыс сезініп, Эшлидің хаттарындағы Меланиді осындай мәлімдеме жасауға итермелеген жолдарды еске түсіруге тырысты, ...
</t>
    </r>
    <r>
      <rPr>
        <b/>
        <sz val="10"/>
        <rFont val="Arial"/>
      </rPr>
      <t xml:space="preserve">TRANS:</t>
    </r>
    <r>
      <rPr>
        <sz val="10"/>
        <rFont val="Arial"/>
      </rPr>
      <t xml:space="preserve"> Skarlett azdap ūialys sezınıp, Eşlidıñ hattaryndağy Melanidı osyndai mälımdeme jasauğa itermelegen joldardy eske tüsıruge tyrysty, ....
</t>
    </r>
    <r>
      <rPr>
        <b/>
        <sz val="10"/>
        <rFont val="Arial"/>
      </rPr>
      <t xml:space="preserve">TRANSLATION:</t>
    </r>
    <r>
      <rPr>
        <sz val="10"/>
        <rFont val="Arial"/>
      </rPr>
      <t xml:space="preserve"> Feeling a slight twinge of shame, Scarlett tried to recall the lines in Ashley's letters that had pushed Melanie to make such a statement,...</t>
    </r>
  </si>
  <si>
    <t xml:space="preserve">overwhelming felt guilt; inner moral accusation; no specific audience</t>
  </si>
  <si>
    <t xml:space="preserve">"Jealous—of me?" cried Scarlett, stricken with guilt.</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</si>
  <si>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 Завидуешь мне? — воскликнула Скарлетт, чувствуя легкий укол совести.
</t>
    </r>
    <r>
      <rPr>
        <b/>
        <sz val="10"/>
        <rFont val="Arial"/>
      </rPr>
      <t xml:space="preserve">TRANS:</t>
    </r>
    <r>
      <rPr>
        <sz val="10"/>
        <rFont val="Arial"/>
      </rPr>
      <t xml:space="preserve"> — Zaviduesh' mne? — voskliknula Skarlett, chuvstvuya legkiy ukol sovesti.
</t>
    </r>
    <r>
      <rPr>
        <b/>
        <sz val="10"/>
        <rFont val="Arial"/>
      </rPr>
      <t xml:space="preserve">TRANSLATION:</t>
    </r>
    <r>
      <rPr>
        <sz val="10"/>
        <rFont val="Arial"/>
      </rPr>
      <t xml:space="preserve"> "You're jealous of me?" exclaimed Scarlett, feeling a slight prick of conscience.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</si>
  <si>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 Сен менен қызғанасың ба? - деп айқайлады Скарлетт ар-ұжданы ептеп мазалап.
</t>
    </r>
    <r>
      <rPr>
        <b/>
        <sz val="10"/>
        <rFont val="Arial"/>
      </rPr>
      <t xml:space="preserve">TRANS:</t>
    </r>
    <r>
      <rPr>
        <sz val="10"/>
        <rFont val="Arial"/>
      </rPr>
      <t xml:space="preserve"> - Sen menen qyzğanasyñ ba? - dep aiqailady Skarlett ar-ūjdany eptep mazalap.
</t>
    </r>
    <r>
      <rPr>
        <b/>
        <sz val="10"/>
        <rFont val="Arial"/>
      </rPr>
      <t xml:space="preserve">TRANSLATION:</t>
    </r>
    <r>
      <rPr>
        <sz val="10"/>
        <rFont val="Arial"/>
      </rPr>
      <t xml:space="preserve"> "Are you jealous of me?" — Scarlett cried out, her ar-ujdan [conscience] slightly troubling her.</t>
    </r>
  </si>
  <si>
    <t xml:space="preserve">felt guilt at intended conduct – preventative function; activated by Mammy</t>
  </si>
  <si>
    <t xml:space="preserve">Mammy looked at her piercingly, just as she had done when Scarlett was small and had tried unsuccessfully to palm off plausible excuses for misdeeds. She seemed to be reading her mind and Scarlett dropped her eyes unwillingly, the first feeling of guilt at her intended conduct creeping over her.</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</si>
  <si>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Казалось, Мамушка без труда читала в ее мыслях, и Скарлетт невольно опустила глаза, впервые почувствовав укол совести из-за своей затеи.
</t>
    </r>
    <r>
      <rPr>
        <b/>
        <sz val="10"/>
        <rFont val="Arial"/>
      </rPr>
      <t xml:space="preserve">TRANS:</t>
    </r>
    <r>
      <rPr>
        <sz val="10"/>
        <rFont val="Arial"/>
      </rPr>
      <t xml:space="preserve"> Kazalos', Mamushka bez truda chitala v ee myslyakh, i Skarlett nevol'no opustila glaza, vpervye pochuvstvovav ukol sovesti iz-za svoey zatei.
</t>
    </r>
    <r>
      <rPr>
        <b/>
        <sz val="10"/>
        <rFont val="Arial"/>
      </rPr>
      <t xml:space="preserve">TRANSLATION:</t>
    </r>
    <r>
      <rPr>
        <sz val="10"/>
        <rFont val="Arial"/>
      </rPr>
      <t xml:space="preserve"> It seemed that Mammy could read her thoughts without difficulty, and Scarlett involuntarily lowered her eyes, for the first time feeling a prick of conscience because of her scheme.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</si>
  <si>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Скарлетт ұяттың салмағынан ауыр тартқандай болған кірпіктерін төмен түсіре қойды.
</t>
    </r>
    <r>
      <rPr>
        <b/>
        <sz val="10"/>
        <rFont val="Arial"/>
      </rPr>
      <t xml:space="preserve">TRANS:</t>
    </r>
    <r>
      <rPr>
        <sz val="10"/>
        <rFont val="Arial"/>
      </rPr>
      <t xml:space="preserve"> Skarlett ūiattyñ salmağynan auyr tartqandai bolğan kırpıkterın tömen tüsıre qoidy.
</t>
    </r>
    <r>
      <rPr>
        <b/>
        <sz val="10"/>
        <rFont val="Arial"/>
      </rPr>
      <t xml:space="preserve">TRANSLATION:</t>
    </r>
    <r>
      <rPr>
        <sz val="10"/>
        <rFont val="Arial"/>
      </rPr>
      <t xml:space="preserve"> Scarlett, as though her eyelids had grown heavy from the weight of shame, lowered them.</t>
    </r>
  </si>
  <si>
    <t xml:space="preserve">Guilt not of the lie, but at the thought of Ellen; accompanied by discomfort</t>
  </si>
  <si>
    <t xml:space="preserve">The first time Scarlett lied in this fashion she felt disconcerted and guilty—disconcerted because the lie sprang so easily and naturally to her lips, guilty because the thought flashed into her mind: What would Mother say?</t>
  </si>
  <si>
    <r>
      <rPr>
        <b/>
        <sz val="10"/>
        <rFont val="Arial"/>
      </rPr>
      <t xml:space="preserve">TERM:</t>
    </r>
    <r>
      <rPr>
        <sz val="10"/>
        <rFont val="Arial"/>
      </rPr>
      <t xml:space="preserve"> stydno (стыдно) — it is shameful; (one) feels ashamed (impersonal predicate) [ORD]
</t>
    </r>
    <r>
      <rPr>
        <b/>
        <sz val="10"/>
        <rFont val="Arial"/>
      </rPr>
      <t xml:space="preserve">PASSAGE:</t>
    </r>
    <r>
      <rPr>
        <sz val="10"/>
        <rFont val="Arial"/>
      </rPr>
      <t xml:space="preserve"> Когда Скарлетт впервые решилась на такую ложь, ей потом стало стыдно и очень не по себе —
</t>
    </r>
    <r>
      <rPr>
        <b/>
        <sz val="10"/>
        <rFont val="Arial"/>
      </rPr>
      <t xml:space="preserve">TRANS:</t>
    </r>
    <r>
      <rPr>
        <sz val="10"/>
        <rFont val="Arial"/>
      </rPr>
      <t xml:space="preserve"> Kogda Skarlett vpervye reshilas' na takuyu lozh', ey potom stalo stydno i ochen' ne po sebe —
</t>
    </r>
    <r>
      <rPr>
        <b/>
        <sz val="10"/>
        <rFont val="Arial"/>
      </rPr>
      <t xml:space="preserve">TRANSLATION:</t>
    </r>
    <r>
      <rPr>
        <sz val="10"/>
        <rFont val="Arial"/>
      </rPr>
      <t xml:space="preserve"> When Scarlett had first decided on such a lie, she afterward felt ashamed and very ill at ease —</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</si>
  <si>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Осы өтірік айтуға ең алғаш бел байлағанында, әрине, қысылған еді.
</t>
    </r>
    <r>
      <rPr>
        <b/>
        <sz val="10"/>
        <rFont val="Arial"/>
      </rPr>
      <t xml:space="preserve">TRANS:</t>
    </r>
    <r>
      <rPr>
        <sz val="10"/>
        <rFont val="Arial"/>
      </rPr>
      <t xml:space="preserve"> Osy ötırık aituğa eñ alğaş bel bailağanynda, ärine, qysylğan edı.
</t>
    </r>
    <r>
      <rPr>
        <b/>
        <sz val="10"/>
        <rFont val="Arial"/>
      </rPr>
      <t xml:space="preserve">TRANSLATION:</t>
    </r>
    <r>
      <rPr>
        <sz val="10"/>
        <rFont val="Arial"/>
      </rPr>
      <t xml:space="preserve"> When she first resolved to tell this lie, of course, she had been embarrassed.</t>
    </r>
  </si>
  <si>
    <t xml:space="preserve">Guilty sense of pleasure, pleasure that Melanie cannot be intimate with Ashley, guilt at knowing it is bad</t>
  </si>
  <si>
    <t xml:space="preserve">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guilty sense of pleasure that the doctors' edict had made impossible any real intimacy between Ashley and his wife.</t>
  </si>
  <si>
    <t xml:space="preserve">Guilt and conscience close, guilt is mixed with fear of retribution from Rhett – so causes other feelings</t>
  </si>
  <si>
    <t xml:space="preserve">He had been away from Atlanta for months, since just after Gerald died, since long before Ella Lorena was born. She had missed him but she now wished ardently that there was some way to avoid seeing him. In fact, the sight of his dark face brought a feeling of guilty panic to her breast. A matter in which Ashley was concerned lay on her conscience and she did not wish to discuss it with Rhett, but she knew he would force the discussion, no matter how disinclined she might be.</t>
  </si>
  <si>
    <r>
      <rPr>
        <b/>
        <sz val="10"/>
        <rFont val="Arial"/>
      </rPr>
      <t xml:space="preserve">TERM:</t>
    </r>
    <r>
      <rPr>
        <sz val="10"/>
        <rFont val="Arial"/>
      </rPr>
      <t xml:space="preserve"> KİNÄLY (КІНӘЛЫ) — guilty; at fault [KED, SZK] (lemma: кінәлі)
</t>
    </r>
    <r>
      <rPr>
        <b/>
        <sz val="10"/>
        <rFont val="Arial"/>
      </rPr>
      <t xml:space="preserve">PASSAGE:</t>
    </r>
    <r>
      <rPr>
        <sz val="10"/>
        <rFont val="Arial"/>
      </rPr>
      <t xml:space="preserve"> Ашығын айтқанда, оның күреңіткен жүзін көргенде сасқалақтап, өзін кінәлі сезінгендіктен де бүгежектей бастады.
</t>
    </r>
    <r>
      <rPr>
        <b/>
        <sz val="10"/>
        <rFont val="Arial"/>
      </rPr>
      <t xml:space="preserve">TRANS:</t>
    </r>
    <r>
      <rPr>
        <sz val="10"/>
        <rFont val="Arial"/>
      </rPr>
      <t xml:space="preserve"> Aşyğyn aitqanda, onyñ küreñıtken jüzın körgende sasqalaqtap, özın kınälı sezıngendıkten de bügejektei bastady.
</t>
    </r>
    <r>
      <rPr>
        <b/>
        <sz val="10"/>
        <rFont val="Arial"/>
      </rPr>
      <t xml:space="preserve">TRANSLATION:</t>
    </r>
    <r>
      <rPr>
        <sz val="10"/>
        <rFont val="Arial"/>
      </rPr>
      <t xml:space="preserve"> To tell the truth, when she saw his darkened face, she became flustered and, feeling guilty, began to cower.</t>
    </r>
  </si>
  <si>
    <t xml:space="preserve">Guilt — Guilt as weight</t>
  </si>
  <si>
    <t xml:space="preserve">Guilt and fear at causing death (Frank); cannot confess to Ashley for fear of losing his love</t>
  </si>
  <si>
    <t xml:space="preserve">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guilty heart!</t>
  </si>
  <si>
    <r>
      <rPr>
        <b/>
        <sz val="10"/>
        <rFont val="Arial"/>
      </rPr>
      <t xml:space="preserve">TERM:</t>
    </r>
    <r>
      <rPr>
        <sz val="10"/>
        <rFont val="Arial"/>
      </rPr>
      <t xml:space="preserve"> greshnaya dusha (грешная душа) — a sinful soul [ORD] (lemma: грешный)
</t>
    </r>
    <r>
      <rPr>
        <b/>
        <sz val="10"/>
        <rFont val="Arial"/>
      </rPr>
      <t xml:space="preserve">PASSAGE:</t>
    </r>
    <r>
      <rPr>
        <sz val="10"/>
        <rFont val="Arial"/>
      </rPr>
      <t xml:space="preserve"> Хотя ей стало бы намного легче, если бы она могла уткнуться головой ему в плечо, расплакаться и облегчить свою грешную душу!
</t>
    </r>
    <r>
      <rPr>
        <b/>
        <sz val="10"/>
        <rFont val="Arial"/>
      </rPr>
      <t xml:space="preserve">TRANS:</t>
    </r>
    <r>
      <rPr>
        <sz val="10"/>
        <rFont val="Arial"/>
      </rPr>
      <t xml:space="preserve"> Khotya ey stalo by namnogo legche, esli by ona mogla utknut'sya golovoy emu v plecho, rasplakat'sya i oblegchit' svoyu greshnuyu dushu!
</t>
    </r>
    <r>
      <rPr>
        <b/>
        <sz val="10"/>
        <rFont val="Arial"/>
      </rPr>
      <t xml:space="preserve">TRANSLATION:</t>
    </r>
    <r>
      <rPr>
        <sz val="10"/>
        <rFont val="Arial"/>
      </rPr>
      <t xml:space="preserve"> Although she would feel much better if she could bury her head in his shoulder, weep, and unburden her sinful soul!</t>
    </r>
  </si>
  <si>
    <r>
      <rPr>
        <b/>
        <sz val="10"/>
        <rFont val="Arial"/>
      </rPr>
      <t xml:space="preserve">TERM:</t>
    </r>
    <r>
      <rPr>
        <sz val="10"/>
        <rFont val="Arial"/>
      </rPr>
      <t xml:space="preserve"> kökiregindegi zapyranyn (көкірегіндегі запыранын) — the bile in his/her chest (set image: deep bitterness/grief) [KED, SZK] (lemma: запыран)
</t>
    </r>
    <r>
      <rPr>
        <b/>
        <sz val="10"/>
        <rFont val="Arial"/>
      </rPr>
      <t xml:space="preserve">PASSAGE:</t>
    </r>
    <r>
      <rPr>
        <sz val="10"/>
        <rFont val="Arial"/>
      </rPr>
      <t xml:space="preserve"> Әйтсе де соның иығына басын сүйеп қойып, егіліп жыласа, бар ақиқатты, басынан кешкендерін ақтарып, көкірегіндегі запыранын төгіп, мың батпан қасіретінен айрылса, жеңілдеп те қалар еді-ау
</t>
    </r>
    <r>
      <rPr>
        <b/>
        <sz val="10"/>
        <rFont val="Arial"/>
      </rPr>
      <t xml:space="preserve">TRANS:</t>
    </r>
    <r>
      <rPr>
        <sz val="10"/>
        <rFont val="Arial"/>
      </rPr>
      <t xml:space="preserve"> Äitse de sonyñ iyğyna basyn süiep qoiyp, egılıp jylasa, bar aqiqatty, basynan keşkenderın aqtaryp, kökıregındegı zapyranyn tögıp, myñ batpan qasıretınen airylsa, jeñıldep te qalar edı-au
</t>
    </r>
    <r>
      <rPr>
        <b/>
        <sz val="10"/>
        <rFont val="Arial"/>
      </rPr>
      <t xml:space="preserve">TRANSLATION:</t>
    </r>
    <r>
      <rPr>
        <sz val="10"/>
        <rFont val="Arial"/>
      </rPr>
      <t xml:space="preserve"> And yet if she could lean her head on his shoulder and weep her heart out, pour out the whole truth, all she had been through, vent the bitterness from her chest, and rid herself of a thousand-pud weight of grief, she might feel relief.</t>
    </r>
  </si>
  <si>
    <t xml:space="preserve">strong felt guilt; inner moral accusation; Ashley as object of guilt</t>
  </si>
  <si>
    <t xml:space="preserve">"Oh," breathed Scarlett, guilt struggling with joy that Ashley should feel so deeply about her, should still think her sweet. Thank God, he thought Rhett to blame for her penny-pinching ways. Of course, Rhett had nothing to do with it and the guilt was hers but, after all, another black mark on Rhett could do him no harm.</t>
  </si>
  <si>
    <r>
      <rPr>
        <b/>
        <sz val="10"/>
        <rFont val="Arial"/>
      </rPr>
      <t xml:space="preserve">TERM:</t>
    </r>
    <r>
      <rPr>
        <sz val="10"/>
        <rFont val="Arial"/>
      </rPr>
      <t xml:space="preserve"> chuvstvo viny (чувство вины) — feeling of guilt [ORD] (lemma: вина)
</t>
    </r>
    <r>
      <rPr>
        <b/>
        <sz val="10"/>
        <rFont val="Arial"/>
      </rPr>
      <t xml:space="preserve">PASSAGE:</t>
    </r>
    <r>
      <rPr>
        <sz val="10"/>
        <rFont val="Arial"/>
      </rPr>
      <t xml:space="preserve"> — О! — выдохнула Скарлетт: чувство вины боролось в ней с чувством радости оттого, что Эшли неравнодушен к ней, что она ему по-прежнему мила.
</t>
    </r>
    <r>
      <rPr>
        <b/>
        <sz val="10"/>
        <rFont val="Arial"/>
      </rPr>
      <t xml:space="preserve">TRANS:</t>
    </r>
    <r>
      <rPr>
        <sz val="10"/>
        <rFont val="Arial"/>
      </rPr>
      <t xml:space="preserve"> — O! — vydokhnula Skarlett: chuvstvo viny borolos' v ney s chuvstvom radosti ottogo, chto Eshli neravnodushen k ney, chto ona emu po-prezhnemu mila.
</t>
    </r>
    <r>
      <rPr>
        <b/>
        <sz val="10"/>
        <rFont val="Arial"/>
      </rPr>
      <t xml:space="preserve">TRANSLATION:</t>
    </r>
    <r>
      <rPr>
        <sz val="10"/>
        <rFont val="Arial"/>
      </rPr>
      <t xml:space="preserve"> "Oh!" Scarlett exhaled: a feeling of guilt struggled within her with the joy that Ashley was not indifferent to her, that she was still dear to him.</t>
    </r>
  </si>
  <si>
    <r>
      <rPr>
        <b/>
        <sz val="10"/>
        <rFont val="Arial"/>
      </rPr>
      <t xml:space="preserve">TERM:</t>
    </r>
    <r>
      <rPr>
        <sz val="10"/>
        <rFont val="Arial"/>
      </rPr>
      <t xml:space="preserve"> KİNÄLAU (КІНӘЛАУ) — to blame; to find guilty [KED, SZK]
</t>
    </r>
    <r>
      <rPr>
        <b/>
        <sz val="10"/>
        <rFont val="Arial"/>
      </rPr>
      <t xml:space="preserve">PASSAGE:</t>
    </r>
    <r>
      <rPr>
        <sz val="10"/>
        <rFont val="Arial"/>
      </rPr>
      <t xml:space="preserve"> Эшлидің өзіне бейжай қарамайтынына көзі жеткеннен көңілі сергексіп, өзін іштей кінәлау сезімін қуанышы жеңе бастағандай.
</t>
    </r>
    <r>
      <rPr>
        <b/>
        <sz val="10"/>
        <rFont val="Arial"/>
      </rPr>
      <t xml:space="preserve">TRANS:</t>
    </r>
    <r>
      <rPr>
        <sz val="10"/>
        <rFont val="Arial"/>
      </rPr>
      <t xml:space="preserve"> Eşlidıñ özıne beijai qaramaitynyna közı jetkennen köñılı sergeksıp, özın ıştei kınälau sezımın quanyşy jeñe bastağandai.
</t>
    </r>
    <r>
      <rPr>
        <b/>
        <sz val="10"/>
        <rFont val="Arial"/>
      </rPr>
      <t xml:space="preserve">TRANSLATION:</t>
    </r>
    <r>
      <rPr>
        <sz val="10"/>
        <rFont val="Arial"/>
      </rPr>
      <t xml:space="preserve"> When she became convinced that Ashley was not indifferent toward her, her spirits revived, and joy began to overcome the feeling of guilt within her.</t>
    </r>
  </si>
  <si>
    <t xml:space="preserve">Melanie as one wronged and as moral mirror</t>
  </si>
  <si>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t>
  </si>
  <si>
    <r>
      <rPr>
        <b/>
        <sz val="10"/>
        <rFont val="Arial"/>
      </rPr>
      <t xml:space="preserve">TERM:</t>
    </r>
    <r>
      <rPr>
        <sz val="10"/>
        <rFont val="Arial"/>
      </rPr>
      <t xml:space="preserve"> viny (вины) — guilt; fault (gen.) [ORD] (lemma: вина)
</t>
    </r>
    <r>
      <rPr>
        <b/>
        <sz val="10"/>
        <rFont val="Arial"/>
      </rPr>
      <t xml:space="preserve">PASSAGE:</t>
    </r>
    <r>
      <rPr>
        <sz val="10"/>
        <rFont val="Arial"/>
      </rPr>
      <t xml:space="preserve"> Слишком она была испугана и подавлена сознанием вины за прошлое, чтобы пытаться это понять.
</t>
    </r>
    <r>
      <rPr>
        <b/>
        <sz val="10"/>
        <rFont val="Arial"/>
      </rPr>
      <t xml:space="preserve">TRANS:</t>
    </r>
    <r>
      <rPr>
        <sz val="10"/>
        <rFont val="Arial"/>
      </rPr>
      <t xml:space="preserve"> Slishkom ona byla ispugana i podavlena soznaniem viny za proshloe, chtoby pytat'sya eto ponyat'.
</t>
    </r>
    <r>
      <rPr>
        <b/>
        <sz val="10"/>
        <rFont val="Arial"/>
      </rPr>
      <t xml:space="preserve">TRANSLATION:</t>
    </r>
    <r>
      <rPr>
        <sz val="10"/>
        <rFont val="Arial"/>
      </rPr>
      <t xml:space="preserve"> She was too frightened and overwhelmed by the consciousness of guilt for the past to try to understand it.</t>
    </r>
  </si>
  <si>
    <t xml:space="preserve">guilty conscience — guilt and conscience fused; interpersonal harm – Melanie, Ashley, Rhett</t>
  </si>
  <si>
    <t xml:space="preserve">She heard the servants come back as night fell and it seemed to her that they were very silent as they moved about preparing supper. Or was it her guilty conscience? Mammy came to the door and knocked but Scarlett sent her away, saying she did not want any supper.</t>
  </si>
  <si>
    <r>
      <rPr>
        <b/>
        <sz val="10"/>
        <rFont val="Arial"/>
      </rPr>
      <t xml:space="preserve">TERM:</t>
    </r>
    <r>
      <rPr>
        <sz val="10"/>
        <rFont val="Arial"/>
      </rPr>
      <t xml:space="preserve"> nechistoy sovesti (нечистой совести) — an unclean conscience (gen.) [ORD] (lemma: совесть)
</t>
    </r>
    <r>
      <rPr>
        <b/>
        <sz val="10"/>
        <rFont val="Arial"/>
      </rPr>
      <t xml:space="preserve">PASSAGE:</t>
    </r>
    <r>
      <rPr>
        <sz val="10"/>
        <rFont val="Arial"/>
      </rPr>
      <t xml:space="preserve"> Или, быть может, так ей казалось из-за нечистой совести?
</t>
    </r>
    <r>
      <rPr>
        <b/>
        <sz val="10"/>
        <rFont val="Arial"/>
      </rPr>
      <t xml:space="preserve">TRANS:</t>
    </r>
    <r>
      <rPr>
        <sz val="10"/>
        <rFont val="Arial"/>
      </rPr>
      <t xml:space="preserve"> Ili, byt' mozhet, tak ey kazalos' iz-za nechistoy sovesti?
</t>
    </r>
    <r>
      <rPr>
        <b/>
        <sz val="10"/>
        <rFont val="Arial"/>
      </rPr>
      <t xml:space="preserve">TRANSLATION:</t>
    </r>
    <r>
      <rPr>
        <sz val="10"/>
        <rFont val="Arial"/>
      </rPr>
      <t xml:space="preserve"> Or perhaps it seemed so to her because of her unclean conscience?</t>
    </r>
  </si>
  <si>
    <t xml:space="preserve">strong felt guilt; inner moral accusation; Melanie as moral mirror</t>
  </si>
  <si>
    <t xml:space="preserve">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</si>
  <si>
    <r>
      <rPr>
        <b/>
        <sz val="10"/>
        <rFont val="Arial"/>
      </rPr>
      <t xml:space="preserve">TERM:</t>
    </r>
    <r>
      <rPr>
        <sz val="10"/>
        <rFont val="Arial"/>
      </rPr>
      <t xml:space="preserve"> vinovataya (виноватая) — guilty; at fault (fem.) [ORD] (lemma: виноватый)
</t>
    </r>
    <r>
      <rPr>
        <b/>
        <sz val="10"/>
        <rFont val="Arial"/>
      </rPr>
      <t xml:space="preserve">PASSAGE:</t>
    </r>
    <r>
      <rPr>
        <sz val="10"/>
        <rFont val="Arial"/>
      </rPr>
      <t xml:space="preserve"> А сейчас, когда Мелани стала ее защищать, тогда как сама она, Скарлетт, чувствовала себя глубоко виноватой, — этого она и вовсе не в состоянии была вынести.
</t>
    </r>
    <r>
      <rPr>
        <b/>
        <sz val="10"/>
        <rFont val="Arial"/>
      </rPr>
      <t xml:space="preserve">TRANS:</t>
    </r>
    <r>
      <rPr>
        <sz val="10"/>
        <rFont val="Arial"/>
      </rPr>
      <t xml:space="preserve"> A seychas, kogda Melani stala ee zashchishchat', togda kak sama ona, Skarlett, chuvstvovala sebya gluboko vinovatoy, — etogo ona i vovse ne v sostoyanii byla vynesti.
</t>
    </r>
    <r>
      <rPr>
        <b/>
        <sz val="10"/>
        <rFont val="Arial"/>
      </rPr>
      <t xml:space="preserve">TRANSLATION:</t>
    </r>
    <r>
      <rPr>
        <sz val="10"/>
        <rFont val="Arial"/>
      </rPr>
      <t xml:space="preserve"> And now, when Melanie began to defend her, while she herself, Scarlett, felt deeply guilty — this she was simply unable to bear.</t>
    </r>
  </si>
  <si>
    <r>
      <rPr>
        <b/>
        <sz val="10"/>
        <rFont val="Arial"/>
      </rPr>
      <t xml:space="preserve">TERM:</t>
    </r>
    <r>
      <rPr>
        <sz val="10"/>
        <rFont val="Arial"/>
      </rPr>
      <t xml:space="preserve"> künä (күнә) — sin (religious register; from Persian gunāh) [KED, SZK]
</t>
    </r>
    <r>
      <rPr>
        <b/>
        <sz val="10"/>
        <rFont val="Arial"/>
      </rPr>
      <t xml:space="preserve">PASSAGE:</t>
    </r>
    <r>
      <rPr>
        <sz val="10"/>
        <rFont val="Arial"/>
      </rPr>
      <t xml:space="preserve"> Өзінің соншалық күнәға батқан қазіргі жағдайында Меланидің өлердей сеніп, шыр-пыр боп, қорғаштағаны жанына тіпті қатты батып тұр
</t>
    </r>
    <r>
      <rPr>
        <b/>
        <sz val="10"/>
        <rFont val="Arial"/>
      </rPr>
      <t xml:space="preserve">TRANS:</t>
    </r>
    <r>
      <rPr>
        <sz val="10"/>
        <rFont val="Arial"/>
      </rPr>
      <t xml:space="preserve"> Özınıñ sonşalyq künäğa batqan qazırgı jağdaiynda Melanidıñ ölerdei senıp, şyr-pyr bop, qorğaştağany janyna tıptı qatty batyp tūr
</t>
    </r>
    <r>
      <rPr>
        <b/>
        <sz val="10"/>
        <rFont val="Arial"/>
      </rPr>
      <t xml:space="preserve">TRANSLATION:</t>
    </r>
    <r>
      <rPr>
        <sz val="10"/>
        <rFont val="Arial"/>
      </rPr>
      <t xml:space="preserve"> In her present situation, having sinned so deeply, Melanie's believing in her to the death and bustling about to protect her sat very heavily on her soul.</t>
    </r>
  </si>
  <si>
    <t xml:space="preserve">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</si>
  <si>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r>
      <rPr>
        <b/>
        <sz val="10"/>
        <rFont val="Arial"/>
      </rPr>
      <t xml:space="preserve">TERM:</t>
    </r>
    <r>
      <rPr>
        <sz val="10"/>
        <rFont val="Arial"/>
      </rPr>
      <t xml:space="preserve"> pozora (позора) — disgrace (gen.) [ORD] (lemma: позор)
</t>
    </r>
    <r>
      <rPr>
        <b/>
        <sz val="10"/>
        <rFont val="Arial"/>
      </rPr>
      <t xml:space="preserve">PASSAGE:</t>
    </r>
    <r>
      <rPr>
        <sz val="10"/>
        <rFont val="Arial"/>
      </rPr>
      <t xml:space="preserve"> Черное пятно позора и вины, лежавшее на ней, переползло и на него.
</t>
    </r>
    <r>
      <rPr>
        <b/>
        <sz val="10"/>
        <rFont val="Arial"/>
      </rPr>
      <t xml:space="preserve">TRANS:</t>
    </r>
    <r>
      <rPr>
        <sz val="10"/>
        <rFont val="Arial"/>
      </rPr>
      <t xml:space="preserve"> Chernoe pyatno pozora i viny, lezhavshee na ney, perepolzlo i na nego.
</t>
    </r>
    <r>
      <rPr>
        <b/>
        <sz val="10"/>
        <rFont val="Arial"/>
      </rPr>
      <t xml:space="preserve">TRANSLATION:</t>
    </r>
    <r>
      <rPr>
        <sz val="10"/>
        <rFont val="Arial"/>
      </rPr>
      <t xml:space="preserve"> The black stain of disgrace and guilt that lay upon her crept onto him as well.</t>
    </r>
  </si>
  <si>
    <r>
      <rPr>
        <b/>
        <sz val="10"/>
        <rFont val="Arial"/>
      </rPr>
      <t xml:space="preserve">TERM:</t>
    </r>
    <r>
      <rPr>
        <sz val="10"/>
        <rFont val="Arial"/>
      </rPr>
      <t xml:space="preserve"> kınä men künä (кінә мен күнә) — guilt and sin (set phrase combining secular and religious registers) [KED, SZK] (lemma: кінә)
</t>
    </r>
    <r>
      <rPr>
        <b/>
        <sz val="10"/>
        <rFont val="Arial"/>
      </rPr>
      <t xml:space="preserve">PASSAGE:</t>
    </r>
    <r>
      <rPr>
        <sz val="10"/>
        <rFont val="Arial"/>
      </rPr>
      <t xml:space="preserve"> Осы уақытқа дейін өз арқасына басқан кінә мен күнәнің қап-қара нүктесі жылыстап, Эшлиге қарай ауып бара жатты.
</t>
    </r>
    <r>
      <rPr>
        <b/>
        <sz val="10"/>
        <rFont val="Arial"/>
      </rPr>
      <t xml:space="preserve">TRANS:</t>
    </r>
    <r>
      <rPr>
        <sz val="10"/>
        <rFont val="Arial"/>
      </rPr>
      <t xml:space="preserve"> Osy uaqytqa deiın öz arqasyna basqan kınä men künänıñ qap-qara nüktesı jylystap, Eşlige qarai auyp bara jatty.
</t>
    </r>
    <r>
      <rPr>
        <b/>
        <sz val="10"/>
        <rFont val="Arial"/>
      </rPr>
      <t xml:space="preserve">TRANSLATION:</t>
    </r>
    <r>
      <rPr>
        <sz val="10"/>
        <rFont val="Arial"/>
      </rPr>
      <t xml:space="preserve"> The pitch-black mark of guilt and sin that she had borne on her own back was sliding off and shifting toward Ashley.</t>
    </r>
  </si>
  <si>
    <t xml:space="preserve">Guilt about Melanie; activates as Dr Meade’s unmasked contempt</t>
  </si>
  <si>
    <t xml:space="preserve">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guilt.</t>
  </si>
  <si>
    <r>
      <rPr>
        <b/>
        <sz val="10"/>
        <rFont val="Arial"/>
      </rPr>
      <t xml:space="preserve">TERM:</t>
    </r>
    <r>
      <rPr>
        <sz val="10"/>
        <rFont val="Arial"/>
      </rPr>
      <t xml:space="preserve"> KİNÄLY (КІНӘЛЫ) — guilty; at fault [KED, SZK] (lemma: кінәлі)
</t>
    </r>
    <r>
      <rPr>
        <b/>
        <sz val="10"/>
        <rFont val="Arial"/>
      </rPr>
      <t xml:space="preserve">PASSAGE:</t>
    </r>
    <r>
      <rPr>
        <sz val="10"/>
        <rFont val="Arial"/>
      </rPr>
      <t xml:space="preserve"> Бері таман жақындап, қасына келген қарияның жанарынан қасірет көрген Скарлеттің жүрегі зырқ ете қалып кінәлі балаша төмен қарай берді.
</t>
    </r>
    <r>
      <rPr>
        <b/>
        <sz val="10"/>
        <rFont val="Arial"/>
      </rPr>
      <t xml:space="preserve">TRANS:</t>
    </r>
    <r>
      <rPr>
        <sz val="10"/>
        <rFont val="Arial"/>
      </rPr>
      <t xml:space="preserve"> Berı taman jaqyndap, qasyna kelgen qarianyñ janarynan qasıret körgen Skarlettıñ jüregı zyrq ete qalyp kınälı balaşa tömen qarai berdı.
</t>
    </r>
    <r>
      <rPr>
        <b/>
        <sz val="10"/>
        <rFont val="Arial"/>
      </rPr>
      <t xml:space="preserve">TRANSLATION:</t>
    </r>
    <r>
      <rPr>
        <sz val="10"/>
        <rFont val="Arial"/>
      </rPr>
      <t xml:space="preserve"> When the old man came nearer and approached, seeing the suffering in his gaze Scarlett's heart pounded and she lowered her eyes like a guilty child.</t>
    </r>
  </si>
  <si>
    <t xml:space="preserve">strong felt guilt; inner moral accusation; Melanie feels she’s breaking moral and religious laws by coveting Scarlett’s baby</t>
  </si>
  <si>
    <t xml:space="preserve">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guiltily. I am coveting her baby and Scarlett has been so good to me. Forgive me, Lord. I wouldn't really want Scarlett's baby but—but I would so like a baby of my own!</t>
  </si>
  <si>
    <r>
      <rPr>
        <b/>
        <sz val="10"/>
        <rFont val="Arial"/>
      </rPr>
      <t xml:space="preserve">TERM:</t>
    </r>
    <r>
      <rPr>
        <sz val="10"/>
        <rFont val="Arial"/>
      </rPr>
      <t xml:space="preserve"> vinovato (виновато) — guiltily (adv.) [ORD]
</t>
    </r>
    <r>
      <rPr>
        <b/>
        <sz val="10"/>
        <rFont val="Arial"/>
      </rPr>
      <t xml:space="preserve">PASSAGE:</t>
    </r>
    <r>
      <rPr>
        <sz val="10"/>
        <rFont val="Arial"/>
      </rPr>
      <t xml:space="preserve"> «Ах, какая же я скверная, — виновато подумала Мелани.
</t>
    </r>
    <r>
      <rPr>
        <b/>
        <sz val="10"/>
        <rFont val="Arial"/>
      </rPr>
      <t xml:space="preserve">TRANS:</t>
    </r>
    <r>
      <rPr>
        <sz val="10"/>
        <rFont val="Arial"/>
      </rPr>
      <t xml:space="preserve"> «Akh, kakaya zhe ya skvernaya, — vinovato podumala Melani.
</t>
    </r>
    <r>
      <rPr>
        <b/>
        <sz val="10"/>
        <rFont val="Arial"/>
      </rPr>
      <t xml:space="preserve">TRANSLATION:</t>
    </r>
    <r>
      <rPr>
        <sz val="10"/>
        <rFont val="Arial"/>
      </rPr>
      <t xml:space="preserve"> "Oh, what an awful person I am," Melanie thought guiltily.</t>
    </r>
  </si>
  <si>
    <r>
      <rPr>
        <b/>
        <sz val="10"/>
        <rFont val="Arial"/>
      </rPr>
      <t xml:space="preserve">TERM:</t>
    </r>
    <r>
      <rPr>
        <sz val="10"/>
        <rFont val="Arial"/>
      </rPr>
      <t xml:space="preserve"> QYSYLU (ҚЫСЫЛУ) — to feel embarrassed; to feel constrained; to be in difficulty [KED, SZK]
</t>
    </r>
    <r>
      <rPr>
        <b/>
        <sz val="10"/>
        <rFont val="Arial"/>
      </rPr>
      <t xml:space="preserve">PASSAGE:</t>
    </r>
    <r>
      <rPr>
        <sz val="10"/>
        <rFont val="Arial"/>
      </rPr>
      <t xml:space="preserve"> О, тәңірім, мен неткен қызғаншақ едім, - деп ойлады тағы өз ішкі тұжырымдарынан қысылып кеткен Мелани.
</t>
    </r>
    <r>
      <rPr>
        <b/>
        <sz val="10"/>
        <rFont val="Arial"/>
      </rPr>
      <t xml:space="preserve">TRANS:</t>
    </r>
    <r>
      <rPr>
        <sz val="10"/>
        <rFont val="Arial"/>
      </rPr>
      <t xml:space="preserve"> O, täñırım, men netken qyzğanşaq edım, - dep oilady tağy öz ışkı tūjyrymdarynan qysylyp ketken Melani.
</t>
    </r>
    <r>
      <rPr>
        <b/>
        <sz val="10"/>
        <rFont val="Arial"/>
      </rPr>
      <t xml:space="preserve">TRANSLATION:</t>
    </r>
    <r>
      <rPr>
        <sz val="10"/>
        <rFont val="Arial"/>
      </rPr>
      <t xml:space="preserve"> "O God, how envious I have been!" — thought Melanie, again embarrassed at her own inner conclusions.</t>
    </r>
  </si>
  <si>
    <t xml:space="preserve">strong felt guilt; inner moral accusation; about eating stolen food</t>
  </si>
  <si>
    <t xml:space="preserve">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guilt,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</si>
  <si>
    <t xml:space="preserve">Family</t>
  </si>
  <si>
    <r>
      <rPr>
        <b/>
        <sz val="10"/>
        <rFont val="Arial"/>
      </rPr>
      <t xml:space="preserve">TERM:</t>
    </r>
    <r>
      <rPr>
        <sz val="10"/>
        <rFont val="Arial"/>
      </rPr>
      <t xml:space="preserve"> chuvstva viny (чувства вины) — feeling of guilt (gen.) [ORD] (lemma: вина)
</t>
    </r>
    <r>
      <rPr>
        <b/>
        <sz val="10"/>
        <rFont val="Arial"/>
      </rPr>
      <t xml:space="preserve">PASSAGE:</t>
    </r>
    <r>
      <rPr>
        <sz val="10"/>
        <rFont val="Arial"/>
      </rPr>
      <t xml:space="preserve"> Они с превеликим аппетитом, но и не без чувства вины прикончили этого петуха, ибо все отлично понимали: петуха Порк украл, так же как горох и кукурузу.
</t>
    </r>
    <r>
      <rPr>
        <b/>
        <sz val="10"/>
        <rFont val="Arial"/>
      </rPr>
      <t xml:space="preserve">TRANS:</t>
    </r>
    <r>
      <rPr>
        <sz val="10"/>
        <rFont val="Arial"/>
      </rPr>
      <t xml:space="preserve"> Oni s prevelikim appetitom, no i ne bez chuvstva viny prikonchili etogo petukha, ibo vse otlichno ponimali: petukha Pork ukral, tak zhe kak gorokh i kukuruzu.
</t>
    </r>
    <r>
      <rPr>
        <b/>
        <sz val="10"/>
        <rFont val="Arial"/>
      </rPr>
      <t xml:space="preserve">TRANSLATION:</t>
    </r>
    <r>
      <rPr>
        <sz val="10"/>
        <rFont val="Arial"/>
      </rPr>
      <t xml:space="preserve"> They polished off this rooster with great appetite, but not without a feeling of guilt, for everyone understood perfectly well: Pork had stolen the rooster, just as he had the peas and corn.</t>
    </r>
  </si>
  <si>
    <r>
      <rPr>
        <b/>
        <sz val="10"/>
        <rFont val="Arial"/>
      </rPr>
      <t xml:space="preserve">TERM:</t>
    </r>
    <r>
      <rPr>
        <sz val="10"/>
        <rFont val="Arial"/>
      </rPr>
      <t xml:space="preserve"> AİYPTY (АЙЫПТЫ) — guilty [KED, SZK]
</t>
    </r>
    <r>
      <rPr>
        <b/>
        <sz val="10"/>
        <rFont val="Arial"/>
      </rPr>
      <t xml:space="preserve">PASSAGE:</t>
    </r>
    <r>
      <rPr>
        <sz val="10"/>
        <rFont val="Arial"/>
      </rPr>
      <t xml:space="preserve"> Олар бұл әтешті тамаша тәбетпен жеп алды, бірақ оған қоса әлденеге айыпты сезім де болды, өйткені Порктің бұршақ пен жүгеріні ұрлап әкелгені сияқты әтешті де үптеп кеткенін бәрінің іштері сезді.
</t>
    </r>
    <r>
      <rPr>
        <b/>
        <sz val="10"/>
        <rFont val="Arial"/>
      </rPr>
      <t xml:space="preserve">TRANS:</t>
    </r>
    <r>
      <rPr>
        <sz val="10"/>
        <rFont val="Arial"/>
      </rPr>
      <t xml:space="preserve"> Olar būl äteştı tamaşa täbetpen jep aldy, bıraq oğan qosa äldenege aiypty sezım de boldy, öitkenı Porktıñ būrşaq pen jügerını ūrlap äkelgenı siaqty äteştı de üptep ketkenın bärınıñ ışterı sezdı.
</t>
    </r>
    <r>
      <rPr>
        <b/>
        <sz val="10"/>
        <rFont val="Arial"/>
      </rPr>
      <t xml:space="preserve">TRANSLATION:</t>
    </r>
    <r>
      <rPr>
        <sz val="10"/>
        <rFont val="Arial"/>
      </rPr>
      <t xml:space="preserve"> They ate this rooster with wonderful appetite, but along with that there was also a feeling of guilt, for everyone inwardly sensed that, just as Pork had stolen the peas and corn, he had taken this rooster too.</t>
    </r>
  </si>
  <si>
    <t xml:space="preserve">Activated by Peter’s severe look (child’s emotion at adult’s judgment)</t>
  </si>
  <si>
    <t xml:space="preserve">"No'm. She's po'ly, thank God," answered Peter, fastening a severe look first on Melly and then on Scarlett, so that they suddenly felt guilty but could think of no reason why. "She's po'ly but she is plum outdone wid you young Misses, an' ef it come right down to it, Ah is too!"</t>
  </si>
  <si>
    <t xml:space="preserve">Melanie-Scarlett</t>
  </si>
  <si>
    <r>
      <rPr>
        <b/>
        <sz val="10"/>
        <rFont val="Arial"/>
      </rPr>
      <t xml:space="preserve">TERM:</t>
    </r>
    <r>
      <rPr>
        <sz val="10"/>
        <rFont val="Arial"/>
      </rPr>
      <t xml:space="preserve"> provinivshimisya (провинившимися) — those at fault; the guilty ones (instr. pl.) [ORD] (lemma: провиниться)
</t>
    </r>
    <r>
      <rPr>
        <b/>
        <sz val="10"/>
        <rFont val="Arial"/>
      </rPr>
      <t xml:space="preserve">PASSAGE:</t>
    </r>
    <r>
      <rPr>
        <sz val="10"/>
        <rFont val="Arial"/>
      </rPr>
      <t xml:space="preserv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
    </r>
    <r>
      <rPr>
        <b/>
        <sz val="10"/>
        <rFont val="Arial"/>
      </rPr>
      <t xml:space="preserve">TRANS:</t>
    </r>
    <r>
      <rPr>
        <sz val="10"/>
        <rFont val="Arial"/>
      </rPr>
      <t xml:space="preserve"> Ona derzhitsya, khrani ee gospod', — otvechal dyadyushka Piter, brosaya takoy surovyy vzglyad snachala na Melani, zatem na Skarlett, chto oni srazu pochuvstvovali sebya provinivshimisya, khotya eshche ne otdavali sebe otcheta — v chem.
</t>
    </r>
    <r>
      <rPr>
        <b/>
        <sz val="10"/>
        <rFont val="Arial"/>
      </rPr>
      <t xml:space="preserve">TRANSLATION:</t>
    </r>
    <r>
      <rPr>
        <sz val="10"/>
        <rFont val="Arial"/>
      </rPr>
      <t xml:space="preserve"> She is bearing up, God preserve her, — answered Uncle Peter, casting such a stern look first at Melanie and then at Scarlett that they immediately felt guilty, although they could not yet account to themselves of what.</t>
    </r>
  </si>
  <si>
    <r>
      <rPr>
        <b/>
        <sz val="10"/>
        <rFont val="Arial"/>
      </rPr>
      <t xml:space="preserve">TERM:</t>
    </r>
    <r>
      <rPr>
        <sz val="10"/>
        <rFont val="Arial"/>
      </rPr>
      <t xml:space="preserve"> KİNÄLY (КІНӘЛЫ) — guilty; at fault [KED, SZK] (lemma: кінәлі)
</t>
    </r>
    <r>
      <rPr>
        <b/>
        <sz val="10"/>
        <rFont val="Arial"/>
      </rPr>
      <t xml:space="preserve">PASSAGE:</t>
    </r>
    <r>
      <rPr>
        <sz val="10"/>
        <rFont val="Arial"/>
      </rPr>
      <t xml:space="preserve"> осы сәтте олар не үшін екеніне есеп беріп жатпаса да, өздерін кінәлі сезінді.
</t>
    </r>
    <r>
      <rPr>
        <b/>
        <sz val="10"/>
        <rFont val="Arial"/>
      </rPr>
      <t xml:space="preserve">TRANS:</t>
    </r>
    <r>
      <rPr>
        <sz val="10"/>
        <rFont val="Arial"/>
      </rPr>
      <t xml:space="preserve"> osy sätte olar ne üşın ekenıne esep berıp jatpasa da, özderın kınälı sezındı.
</t>
    </r>
    <r>
      <rPr>
        <b/>
        <sz val="10"/>
        <rFont val="Arial"/>
      </rPr>
      <t xml:space="preserve">TRANSLATION:</t>
    </r>
    <r>
      <rPr>
        <sz val="10"/>
        <rFont val="Arial"/>
      </rPr>
      <t xml:space="preserve"> at that moment, although they were not yet giving themselves an account of why, they felt guilty.</t>
    </r>
  </si>
  <si>
    <t xml:space="preserve">strong felt guilt; inner moral accusation about what turned out to be slander</t>
  </si>
  <si>
    <t xml:space="preserve">Mrs Elsing</t>
  </si>
  <si>
    <r>
      <rPr>
        <b/>
        <sz val="10"/>
        <rFont val="Arial"/>
      </rPr>
      <t xml:space="preserve">TERM:</t>
    </r>
    <r>
      <rPr>
        <sz val="10"/>
        <rFont val="Arial"/>
      </rPr>
      <t xml:space="preserve"> stesnyaetes' (стесняетесь) — (you) are shy; feel awkward (2pl.) [ORD] (lemma: стесняться)
</t>
    </r>
    <r>
      <rPr>
        <b/>
        <sz val="10"/>
        <rFont val="Arial"/>
      </rPr>
      <t xml:space="preserve">PASSAGE:</t>
    </r>
    <r>
      <rPr>
        <sz val="10"/>
        <rFont val="Arial"/>
      </rPr>
      <t xml:space="preserve"> Можно подумать, что вы стесняетесь этого
</t>
    </r>
    <r>
      <rPr>
        <b/>
        <sz val="10"/>
        <rFont val="Arial"/>
      </rPr>
      <t xml:space="preserve">TRANS:</t>
    </r>
    <r>
      <rPr>
        <sz val="10"/>
        <rFont val="Arial"/>
      </rPr>
      <t xml:space="preserve"> Mozhno podumat', chto vy stesnyaetes' etogo
</t>
    </r>
    <r>
      <rPr>
        <b/>
        <sz val="10"/>
        <rFont val="Arial"/>
      </rPr>
      <t xml:space="preserve">TRANSLATION:</t>
    </r>
    <r>
      <rPr>
        <sz val="10"/>
        <rFont val="Arial"/>
      </rPr>
      <t xml:space="preserve"> One might think that you are embarrassed by it</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</si>
  <si>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Тіпті сізді сол қызметі үшін ұялады деуге де болатындай.
</t>
    </r>
    <r>
      <rPr>
        <b/>
        <sz val="10"/>
        <rFont val="Arial"/>
      </rPr>
      <t xml:space="preserve">TRANS:</t>
    </r>
    <r>
      <rPr>
        <sz val="10"/>
        <rFont val="Arial"/>
      </rPr>
      <t xml:space="preserve"> Tıptı sızdı sol qyzmetı üşın ūialady deuge de bolatyndai.
</t>
    </r>
    <r>
      <rPr>
        <b/>
        <sz val="10"/>
        <rFont val="Arial"/>
      </rPr>
      <t xml:space="preserve">TRANSLATION:</t>
    </r>
    <r>
      <rPr>
        <sz val="10"/>
        <rFont val="Arial"/>
      </rPr>
      <t xml:space="preserve"> One could even say you are ashamed of that service.</t>
    </r>
  </si>
  <si>
    <t xml:space="preserve">Guilty conscience</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</si>
  <si>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Или, быть может, так ей казалось из-за нечистой совести?
</t>
    </r>
    <r>
      <rPr>
        <b/>
        <sz val="10"/>
        <rFont val="Arial"/>
      </rPr>
      <t xml:space="preserve">TRANS:</t>
    </r>
    <r>
      <rPr>
        <sz val="10"/>
        <rFont val="Arial"/>
      </rPr>
      <t xml:space="preserve"> Ili, byt' mozhet, tak ey kazalos' iz-za nechistoy sovesti?
</t>
    </r>
    <r>
      <rPr>
        <b/>
        <sz val="10"/>
        <rFont val="Arial"/>
      </rPr>
      <t xml:space="preserve">TRANSLATION:</t>
    </r>
    <r>
      <rPr>
        <sz val="10"/>
        <rFont val="Arial"/>
      </rPr>
      <t xml:space="preserve"> Or perhaps it seemed so to her because of her unclean conscience?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</si>
  <si>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Әлде өзінің ұяты таза болмаған соң да солай көрінді ме екен?
</t>
    </r>
    <r>
      <rPr>
        <b/>
        <sz val="10"/>
        <rFont val="Arial"/>
      </rPr>
      <t xml:space="preserve">TRANS:</t>
    </r>
    <r>
      <rPr>
        <sz val="10"/>
        <rFont val="Arial"/>
      </rPr>
      <t xml:space="preserve"> Älde özınıñ ūiaty taza bolmağan soñ da solai körındı me eken?
</t>
    </r>
    <r>
      <rPr>
        <b/>
        <sz val="10"/>
        <rFont val="Arial"/>
      </rPr>
      <t xml:space="preserve">TRANSLATION:</t>
    </r>
    <r>
      <rPr>
        <sz val="10"/>
        <rFont val="Arial"/>
      </rPr>
      <t xml:space="preserve"> Or did it seem so to her because her own shame was not clean?</t>
    </r>
  </si>
  <si>
    <t xml:space="preserve">Guilt — Guilt as deed</t>
  </si>
  <si>
    <t xml:space="preserve">Deed</t>
  </si>
  <si>
    <t xml:space="preserve">If we had been caught that Christmas of his furlough when I kissed him good-by—if we had been caught in the orchard at Tara when I begged him to run away with me—oh, if we'd been caught any of the times when we were really guilty, it wouldn't be so bad! But now! Now! When I went to his arms as a friend—</t>
  </si>
  <si>
    <r>
      <rPr>
        <b/>
        <sz val="10"/>
        <rFont val="Arial"/>
      </rPr>
      <t xml:space="preserve">TERM:</t>
    </r>
    <r>
      <rPr>
        <sz val="10"/>
        <rFont val="Arial"/>
      </rPr>
      <t xml:space="preserve"> vinovaty (виноваты) — (we/they are) at fault (pl.) [ORD] (lemma: виноватый)
</t>
    </r>
    <r>
      <rPr>
        <b/>
        <sz val="10"/>
        <rFont val="Arial"/>
      </rPr>
      <t xml:space="preserve">PASSAGE:</t>
    </r>
    <r>
      <rPr>
        <sz val="10"/>
        <rFont val="Arial"/>
      </rPr>
      <t xml:space="preserve"> ох, если бы нас застигли в любое другое время, когда мы были в самом деле виноваты, это не было бы так обидно!
</t>
    </r>
    <r>
      <rPr>
        <b/>
        <sz val="10"/>
        <rFont val="Arial"/>
      </rPr>
      <t xml:space="preserve">TRANS:</t>
    </r>
    <r>
      <rPr>
        <sz val="10"/>
        <rFont val="Arial"/>
      </rPr>
      <t xml:space="preserve"> okh, esli by nas zastigli v lyuboe drugoe vremya, kogda my byli v samom dele vinovaty, eto ne bylo by tak obidno!
</t>
    </r>
    <r>
      <rPr>
        <b/>
        <sz val="10"/>
        <rFont val="Arial"/>
      </rPr>
      <t xml:space="preserve">TRANSLATION:</t>
    </r>
    <r>
      <rPr>
        <sz val="10"/>
        <rFont val="Arial"/>
      </rPr>
      <t xml:space="preserve"> oh, if we had been caught at any other time, when we really were guilty, it would not have been so distressing!</t>
    </r>
  </si>
  <si>
    <r>
      <rPr>
        <b/>
        <sz val="10"/>
        <rFont val="Arial"/>
      </rPr>
      <t xml:space="preserve">TERM:</t>
    </r>
    <r>
      <rPr>
        <sz val="10"/>
        <rFont val="Arial"/>
      </rPr>
      <t xml:space="preserve"> KİNÄLY (КІНӘЛЫ) — guilty; at fault [KED, SZK] (lemma: кінәлі)
</t>
    </r>
    <r>
      <rPr>
        <b/>
        <sz val="10"/>
        <rFont val="Arial"/>
      </rPr>
      <t xml:space="preserve">PASSAGE:</t>
    </r>
    <r>
      <rPr>
        <sz val="10"/>
        <rFont val="Arial"/>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кінәлі кезімізде көргендерінде бұлай өкінішті болмас еді ғой.
</t>
    </r>
    <r>
      <rPr>
        <b/>
        <sz val="10"/>
        <rFont val="Arial"/>
      </rPr>
      <t xml:space="preserve">TRANS:</t>
    </r>
    <r>
      <rPr>
        <sz val="10"/>
        <rFont val="Arial"/>
      </rPr>
      <t xml:space="preserve"> Äskerde jürgende jaña jylğa kelıp-keterınde betınen süigenımdı körgende ğoi... Tarada menımen bırge qaşuğa azğyryp tūrğanymda... oi, qūdaiym-ai, şynymen kınälı kezımızde körgenderınde būlai ökınıştı bolmas edı ğoi.
</t>
    </r>
    <r>
      <rPr>
        <b/>
        <sz val="10"/>
        <rFont val="Arial"/>
      </rPr>
      <t xml:space="preserve">TRANSLATION:</t>
    </r>
    <r>
      <rPr>
        <sz val="10"/>
        <rFont val="Arial"/>
      </rPr>
      <t xml:space="preserve"> When I kissed his face on his return for New Year while he was on military leave... When in Tara he was tempting me to run away with him... oh, my God, if we had been caught when we really were guilty, it would not have been so distressing.</t>
    </r>
  </si>
  <si>
    <t xml:space="preserve">deed</t>
  </si>
  <si>
    <t xml:space="preserve">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guilt. And in this case they would be right. She had gone into his arms.</t>
  </si>
  <si>
    <r>
      <rPr>
        <b/>
        <sz val="10"/>
        <rFont val="Arial"/>
      </rPr>
      <t xml:space="preserve">TERM:</t>
    </r>
    <r>
      <rPr>
        <sz val="10"/>
        <rFont val="Arial"/>
      </rPr>
      <t xml:space="preserve"> vina (вина) — guilt; fault; blame [ORD]
</t>
    </r>
    <r>
      <rPr>
        <b/>
        <sz val="10"/>
        <rFont val="Arial"/>
      </rPr>
      <t xml:space="preserve">PASSAGE:</t>
    </r>
    <r>
      <rPr>
        <sz val="10"/>
        <rFont val="Arial"/>
      </rPr>
      <t xml:space="preserve"> По обыкновению, всю вину свалят на женщину, а по поводу мужчины лишь пожмут плечами.
</t>
    </r>
    <r>
      <rPr>
        <b/>
        <sz val="10"/>
        <rFont val="Arial"/>
      </rPr>
      <t xml:space="preserve">TRANS:</t>
    </r>
    <r>
      <rPr>
        <sz val="10"/>
        <rFont val="Arial"/>
      </rPr>
      <t xml:space="preserve"> Po obyknoveniyu, vsyu vinu svalyat na zhenshchinu, a po povodu muzhchiny lish' pozhmut plechami.
</t>
    </r>
    <r>
      <rPr>
        <b/>
        <sz val="10"/>
        <rFont val="Arial"/>
      </rPr>
      <t xml:space="preserve">TRANSLATION:</t>
    </r>
    <r>
      <rPr>
        <sz val="10"/>
        <rFont val="Arial"/>
      </rPr>
      <t xml:space="preserve"> As usual, all the blame will be heaped on the woman, while regarding the man they will only shrug.</t>
    </r>
  </si>
  <si>
    <r>
      <rPr>
        <b/>
        <sz val="10"/>
        <rFont val="Arial"/>
      </rPr>
      <t xml:space="preserve">TERM:</t>
    </r>
    <r>
      <rPr>
        <sz val="10"/>
        <rFont val="Arial"/>
      </rPr>
      <t xml:space="preserve"> KİNÄ (КІНӘ) — guilt; fault; blame (secular) [KED, SZK]
</t>
    </r>
    <r>
      <rPr>
        <b/>
        <sz val="10"/>
        <rFont val="Arial"/>
      </rPr>
      <t xml:space="preserve">PASSAGE:</t>
    </r>
    <r>
      <rPr>
        <sz val="10"/>
        <rFont val="Arial"/>
      </rPr>
      <t xml:space="preserve"> Әдеттегіше, бар кінәні әйелге аударады да, еркек туралы айтылғанда тек иықтарын қиқаң еткізер де қояр.
</t>
    </r>
    <r>
      <rPr>
        <b/>
        <sz val="10"/>
        <rFont val="Arial"/>
      </rPr>
      <t xml:space="preserve">TRANS:</t>
    </r>
    <r>
      <rPr>
        <sz val="10"/>
        <rFont val="Arial"/>
      </rPr>
      <t xml:space="preserve"> Ädettegışe, bar kınänı äielge audarady da, erkek turaly aitylğanda tek iyqtaryn qiqañ etkızer de qoiar.
</t>
    </r>
    <r>
      <rPr>
        <b/>
        <sz val="10"/>
        <rFont val="Arial"/>
      </rPr>
      <t xml:space="preserve">TRANSLATION:</t>
    </r>
    <r>
      <rPr>
        <sz val="10"/>
        <rFont val="Arial"/>
      </rPr>
      <t xml:space="preserve"> As usual, all the blame is shifted onto the woman, while regarding the man they will only shrug their shoulders.</t>
    </r>
  </si>
  <si>
    <t xml:space="preserve">Those who espoused Melanie's side pointed triumphantly to the fact that Melanie was constantly with Scarlett these days. Would a woman of Melanie's high principles champion the cause of a guilty woman, especially a woman guilty with her own husband? No, indeed! India was just a cracked old maid who hated Scarlett and lied about her and induced Archie and Mrs. Elsing to believe her lies.</t>
  </si>
  <si>
    <r>
      <rPr>
        <b/>
        <sz val="10"/>
        <rFont val="Arial"/>
      </rPr>
      <t xml:space="preserve">TERM:</t>
    </r>
    <r>
      <rPr>
        <sz val="10"/>
        <rFont val="Arial"/>
      </rPr>
      <t xml:space="preserve"> sogreshivshuyu (согрешившую) — the one who sinned (active part. fem. acc.) [ORD] (lemma: согрешить)
</t>
    </r>
    <r>
      <rPr>
        <b/>
        <sz val="10"/>
        <rFont val="Arial"/>
      </rPr>
      <t xml:space="preserve">PASSAGE:</t>
    </r>
    <r>
      <rPr>
        <sz val="10"/>
        <rFont val="Arial"/>
      </rPr>
      <t xml:space="preserve"> Неужели такая женщина, как Мелани, исповедующая столь высокие принципы, станет защищать женщину согрешившую,
</t>
    </r>
    <r>
      <rPr>
        <b/>
        <sz val="10"/>
        <rFont val="Arial"/>
      </rPr>
      <t xml:space="preserve">TRANS:</t>
    </r>
    <r>
      <rPr>
        <sz val="10"/>
        <rFont val="Arial"/>
      </rPr>
      <t xml:space="preserve"> Neuzheli takaya zhenshchina, kak Melani, ispoveduyushchaya stol' vysokie printsipy, stanet zashchishchat' zhenshchinu sogreshivshuyu,
</t>
    </r>
    <r>
      <rPr>
        <b/>
        <sz val="10"/>
        <rFont val="Arial"/>
      </rPr>
      <t xml:space="preserve">TRANSLATION:</t>
    </r>
    <r>
      <rPr>
        <sz val="10"/>
        <rFont val="Arial"/>
      </rPr>
      <t xml:space="preserve"> Could it be that a woman like Melanie, who professes such high principles, would defend a sinful woman,</t>
    </r>
  </si>
  <si>
    <r>
      <rPr>
        <b/>
        <sz val="10"/>
        <rFont val="Arial"/>
      </rPr>
      <t xml:space="preserve">TERM:</t>
    </r>
    <r>
      <rPr>
        <sz val="10"/>
        <rFont val="Arial"/>
      </rPr>
      <t xml:space="preserve"> künähar (күнәһар) — sinful [KED, SZK]
</t>
    </r>
    <r>
      <rPr>
        <b/>
        <sz val="10"/>
        <rFont val="Arial"/>
      </rPr>
      <t xml:space="preserve">PASSAGE:</t>
    </r>
    <r>
      <rPr>
        <sz val="10"/>
        <rFont val="Arial"/>
      </rPr>
      <t xml:space="preserve"> Таным-түсінігі тым жоғары, адалдықты биік бағалайтын Мелани секілді әйел қалайша Скарлеттей күнәһар әйелді қолдап, қорғаштайды,
</t>
    </r>
    <r>
      <rPr>
        <b/>
        <sz val="10"/>
        <rFont val="Arial"/>
      </rPr>
      <t xml:space="preserve">TRANS:</t>
    </r>
    <r>
      <rPr>
        <sz val="10"/>
        <rFont val="Arial"/>
      </rPr>
      <t xml:space="preserve"> Tanym-tüsınıgı tym joğary, adaldyqty biık bağalaityn Melani sekıldı äiel qalaişa Skarlettei künähar äieldı qoldap, qorğaştaidy,
</t>
    </r>
    <r>
      <rPr>
        <b/>
        <sz val="10"/>
        <rFont val="Arial"/>
      </rPr>
      <t xml:space="preserve">TRANSLATION:</t>
    </r>
    <r>
      <rPr>
        <sz val="10"/>
        <rFont val="Arial"/>
      </rPr>
      <t xml:space="preserve"> How is it that a woman like Melanie, of such lofty understanding, who values integrity highly, would support and protect such a sinful woman as Scarlett,</t>
    </r>
  </si>
  <si>
    <t xml:space="preserve">But, questioned India's adherents, if Scarlett isn't guilty,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</si>
  <si>
    <r>
      <rPr>
        <b/>
        <sz val="10"/>
        <rFont val="Arial"/>
      </rPr>
      <t xml:space="preserve">TERM:</t>
    </r>
    <r>
      <rPr>
        <sz val="10"/>
        <rFont val="Arial"/>
      </rPr>
      <t xml:space="preserve"> povinna (повинна) — (she is) guilty; at fault (short form fem.) [ORD] (lemma: повинный)
</t>
    </r>
    <r>
      <rPr>
        <b/>
        <sz val="10"/>
        <rFont val="Arial"/>
      </rPr>
      <t xml:space="preserve">PASSAGE:</t>
    </r>
    <r>
      <rPr>
        <sz val="10"/>
        <rFont val="Arial"/>
      </rPr>
      <t xml:space="preserve"> Но, спрашивали сторонники Индии, если Скарлетт ни в чем не повинна, где же тогда капитан Батлер?
</t>
    </r>
    <r>
      <rPr>
        <b/>
        <sz val="10"/>
        <rFont val="Arial"/>
      </rPr>
      <t xml:space="preserve">TRANS:</t>
    </r>
    <r>
      <rPr>
        <sz val="10"/>
        <rFont val="Arial"/>
      </rPr>
      <t xml:space="preserve"> No, sprashivali storonniki Indii, esli Skarlett ni v chem ne povinna, gde zhe togda kapitan Batler?
</t>
    </r>
    <r>
      <rPr>
        <b/>
        <sz val="10"/>
        <rFont val="Arial"/>
      </rPr>
      <t xml:space="preserve">TRANSLATION:</t>
    </r>
    <r>
      <rPr>
        <sz val="10"/>
        <rFont val="Arial"/>
      </rPr>
      <t xml:space="preserve"> But, asked India's supporters, if Scarlett is guilty of nothing, then where is Captain Butler?</t>
    </r>
  </si>
  <si>
    <r>
      <rPr>
        <b/>
        <sz val="10"/>
        <rFont val="Arial"/>
      </rPr>
      <t xml:space="preserve">TERM:</t>
    </r>
    <r>
      <rPr>
        <sz val="10"/>
        <rFont val="Arial"/>
      </rPr>
      <t xml:space="preserve"> BEİKÜNÄ (БЕЙКҮНӘ) — innocent; without sin (Persian bey- privative) [KED, SZK]
</t>
    </r>
    <r>
      <rPr>
        <b/>
        <sz val="10"/>
        <rFont val="Arial"/>
      </rPr>
      <t xml:space="preserve">PASSAGE:</t>
    </r>
    <r>
      <rPr>
        <sz val="10"/>
        <rFont val="Arial"/>
      </rPr>
      <t xml:space="preserve"> Бірақ Индияны жақтаушылардың көкейіне Скарлетт бейкүнә періште болса, неше күннен бері қарасы көрінбей, Батлер капитан қайда кетіп қалған деген сұрақ тұрды. 
</t>
    </r>
    <r>
      <rPr>
        <b/>
        <sz val="10"/>
        <rFont val="Arial"/>
      </rPr>
      <t xml:space="preserve">TRANS:</t>
    </r>
    <r>
      <rPr>
        <sz val="10"/>
        <rFont val="Arial"/>
      </rPr>
      <t xml:space="preserve"> Bıraq İndiany jaqtauşylardyñ kökeiıne Skarlett beikünä perışte bolsa, neşe künnen berı qarasy körınbei, Batler kapitan qaida ketıp qalğan degen sūraq tūrdy. 
</t>
    </r>
    <r>
      <rPr>
        <b/>
        <sz val="10"/>
        <rFont val="Arial"/>
      </rPr>
      <t xml:space="preserve">TRANSLATION:</t>
    </r>
    <r>
      <rPr>
        <sz val="10"/>
        <rFont val="Arial"/>
      </rPr>
      <t xml:space="preserve"> But India's supporters were left with the question: if Scarlett is an innocent angel, why has Captain Butler been nowhere in sight for so many days, where has he gone?</t>
    </r>
  </si>
  <si>
    <t xml:space="preserve">Scarlett interprets Melanie’s look as one of a guilty child – after taking money for the cause from Belle</t>
  </si>
  <si>
    <t xml:space="preserve">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guilty child.</t>
  </si>
  <si>
    <r>
      <rPr>
        <b/>
        <sz val="10"/>
        <rFont val="Arial"/>
      </rPr>
      <t xml:space="preserve">TERM:</t>
    </r>
    <r>
      <rPr>
        <sz val="10"/>
        <rFont val="Arial"/>
      </rPr>
      <t xml:space="preserve"> nashkodivshego (нашкодившего) — the naughty/mischievous one (active part. masc. gen.) [ORD] (lemma: нашкодить)
</t>
    </r>
    <r>
      <rPr>
        <b/>
        <sz val="10"/>
        <rFont val="Arial"/>
      </rPr>
      <t xml:space="preserve">PASSAGE:</t>
    </r>
    <r>
      <rPr>
        <sz val="10"/>
        <rFont val="Arial"/>
      </rPr>
      <t xml:space="preserv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
    </r>
    <r>
      <rPr>
        <b/>
        <sz val="10"/>
        <rFont val="Arial"/>
      </rPr>
      <t xml:space="preserve">TRANS:</t>
    </r>
    <r>
      <rPr>
        <sz val="10"/>
        <rFont val="Arial"/>
      </rPr>
      <t xml:space="preserve"> Skarlett pospeshila k dveri, raspakhnula ee, i Melani, perepugannaya, s pylayushchimi shchekami, vbezhala v komnatu, glyadya na Skarlett molyashchimi glazami nashkodivshego rebenka.
</t>
    </r>
    <r>
      <rPr>
        <b/>
        <sz val="10"/>
        <rFont val="Arial"/>
      </rPr>
      <t xml:space="preserve">TRANSLATION:</t>
    </r>
    <r>
      <rPr>
        <sz val="10"/>
        <rFont val="Arial"/>
      </rPr>
      <t xml:space="preserve"> Scarlett hurried to the door, flung it open, and Melanie, frightened, with burning cheeks, ran into the room, looking at Scarlett with the imploring eyes of a mischief-doing child.</t>
    </r>
  </si>
  <si>
    <r>
      <rPr>
        <b/>
        <sz val="10"/>
        <rFont val="Arial"/>
      </rPr>
      <t xml:space="preserve">TERM:</t>
    </r>
    <r>
      <rPr>
        <sz val="10"/>
        <rFont val="Arial"/>
      </rPr>
      <t xml:space="preserve"> būzyq (бұзық) — naughty; mischievous; (of child) ill-behaved [KED, SZK]
</t>
    </r>
    <r>
      <rPr>
        <b/>
        <sz val="10"/>
        <rFont val="Arial"/>
      </rPr>
      <t xml:space="preserve">PASSAGE:</t>
    </r>
    <r>
      <rPr>
        <sz val="10"/>
        <rFont val="Arial"/>
      </rPr>
      <t xml:space="preserve">бұзық баланың бірдеңе бүлдіргендегі жалынышты көзімен Скарлеттке қарады.
</t>
    </r>
    <r>
      <rPr>
        <b/>
        <sz val="10"/>
        <rFont val="Arial"/>
      </rPr>
      <t xml:space="preserve">TRANS:</t>
    </r>
    <r>
      <rPr>
        <sz val="10"/>
        <rFont val="Arial"/>
      </rPr>
      <t xml:space="preserve">būzyq balanyñ bırdeñe büldırgendegı jalynyşty közımen Skarlettke qarady.
</t>
    </r>
    <r>
      <rPr>
        <b/>
        <sz val="10"/>
        <rFont val="Arial"/>
      </rPr>
      <t xml:space="preserve">TRANSLATION:</t>
    </r>
    <r>
      <rPr>
        <sz val="10"/>
        <rFont val="Arial"/>
      </rPr>
      <t xml:space="preserve"> she looked at Scarlett with the imploring eyes of a naughty child who had broken something.</t>
    </r>
  </si>
  <si>
    <t xml:space="preserve">CONSCIENCE DOMAIN</t>
  </si>
  <si>
    <t xml:space="preserve">Conscience — Internal authority (advisor / opponent)</t>
  </si>
  <si>
    <t xml:space="preserve">Ellen as internalized conscience; Melanie as moral mirror; desire for penance and repair</t>
  </si>
  <si>
    <t xml:space="preserve">She was driven by a conscience which, though long suppressed, could still rise up, an active Catholic conscience.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</si>
  <si>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К такому шагу Скарлетт побуждала совесть, которая хоть и долго молчала, но все еще способна была поднять голос, — совесть истинно верующей католички.
</t>
    </r>
    <r>
      <rPr>
        <b/>
        <sz val="10"/>
        <rFont val="Arial"/>
      </rPr>
      <t xml:space="preserve">TRANS:</t>
    </r>
    <r>
      <rPr>
        <sz val="10"/>
        <rFont val="Arial"/>
      </rPr>
      <t xml:space="preserve"> K takomu shagu Skarlett pobuzhdala sovest', kotoraya khot' i dolgo molchala, no vse eshche sposobna byla podnyat' golos, — sovest' istinno veruyushchey katolichki.
</t>
    </r>
    <r>
      <rPr>
        <b/>
        <sz val="10"/>
        <rFont val="Arial"/>
      </rPr>
      <t xml:space="preserve">TRANSLATION:</t>
    </r>
    <r>
      <rPr>
        <sz val="10"/>
        <rFont val="Arial"/>
      </rPr>
      <t xml:space="preserve"> Scarlett was urged to such a step by a conscience that, although it had been silent for a long time, was still capable of raising its voice — the conscience of a true believing Catholic.</t>
    </r>
  </si>
  <si>
    <r>
      <rPr>
        <b/>
        <sz val="10"/>
        <rFont val="Arial"/>
      </rPr>
      <t xml:space="preserve">TERM:</t>
    </r>
    <r>
      <rPr>
        <sz val="10"/>
        <rFont val="Arial"/>
      </rPr>
      <t xml:space="preserve"> AR-ŪİAT(АР-ҰЯТ) — conscience-shame (compound): the active inner moral faculty [KED, SZK]
</t>
    </r>
    <r>
      <rPr>
        <b/>
        <sz val="10"/>
        <rFont val="Arial"/>
      </rPr>
      <t xml:space="preserve">PASSAGE:</t>
    </r>
    <r>
      <rPr>
        <sz val="10"/>
        <rFont val="Arial"/>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b/>
        <sz val="10"/>
        <rFont val="Arial"/>
      </rPr>
      <t xml:space="preserve">TRANS:</t>
    </r>
    <r>
      <rPr>
        <sz val="10"/>
        <rFont val="Arial"/>
      </rPr>
      <t xml:space="preserve"> Baiağydan berı būğyp jatqanymen, aqyry özınıñ bar ekenın, bas köteretın uaqyty kelgenın bıldergen ar-ūiaty Skarlettı osy qadamğa jeteleitın. Jüregınıñ tükpırınde şynaiy katoliktık senımı:
</t>
    </r>
    <r>
      <rPr>
        <b/>
        <sz val="10"/>
        <rFont val="Arial"/>
      </rPr>
      <t xml:space="preserve">TRANSLATION:</t>
    </r>
    <r>
      <rPr>
        <sz val="10"/>
        <rFont val="Arial"/>
      </rPr>
      <t xml:space="preserve"> Although it had been hiding for a long time, her conscience — finally signaling its existence and that the time to raise its head had come — was leading Scarlett to this step. In the depths of her heart, her sincere Catholic faith:</t>
    </r>
  </si>
  <si>
    <t xml:space="preserve">Inner moral advisor and judge</t>
  </si>
  <si>
    <t xml:space="preserve">Gerald shoved in all his chips and laid on top of them his wallet. If the money it contained happened to belong to the firm of O'Hara Brothers, Gerald's conscience was not sufficiently troubled to confess it before Mass the following morning. He knew what he wanted, and when Gerald wanted something he gained it by taking the most direct route.</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</si>
  <si>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
    </r>
    <r>
      <rPr>
        <b/>
        <sz val="10"/>
        <rFont val="Arial"/>
      </rPr>
      <t xml:space="preserve">TRANS:</t>
    </r>
    <r>
      <rPr>
        <sz val="10"/>
        <rFont val="Arial"/>
      </rPr>
      <t xml:space="preserve"> Tot fakt, chto soderzhimoe bumazhnika yavlyalos' sobstvennost'yu firmy brat'ev O'Khara, ne slishkom obremenyal sovest' Dzheralda, i kayat'sya v svoem grekhe zavtra pered utrenney messoy on ne sobiralsya.
</t>
    </r>
    <r>
      <rPr>
        <b/>
        <sz val="10"/>
        <rFont val="Arial"/>
      </rPr>
      <t xml:space="preserve">TRANSLATION:</t>
    </r>
    <r>
      <rPr>
        <sz val="10"/>
        <rFont val="Arial"/>
      </rPr>
      <t xml:space="preserve"> The fact that the contents of the wallet were the property of the firm of the O'Hara brothers did not weigh too heavily on Gerald's conscience, and he was not planning to repent of his sin tomorrow before morning Mass.</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</si>
  <si>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 Джералдтың ар-ұятын мазаламады
</t>
    </r>
    <r>
      <rPr>
        <b/>
        <sz val="10"/>
        <rFont val="Arial"/>
      </rPr>
      <t xml:space="preserve">TRANS:</t>
    </r>
    <r>
      <rPr>
        <sz val="10"/>
        <rFont val="Arial"/>
      </rPr>
      <t xml:space="preserve"> ... Jeraldtyñ ar-ūiatyn mazalamady
</t>
    </r>
    <r>
      <rPr>
        <b/>
        <sz val="10"/>
        <rFont val="Arial"/>
      </rPr>
      <t xml:space="preserve">TRANSLATION:</t>
    </r>
    <r>
      <rPr>
        <sz val="10"/>
        <rFont val="Arial"/>
      </rPr>
      <t xml:space="preserve"> ... did not trouble Gerald's conscience.</t>
    </r>
  </si>
  <si>
    <t xml:space="preserve">conscience as internal debating partner — argued away (early arc)</t>
  </si>
  <si>
    <t xml:space="preserve">"Well, it's true," she argued with her conscience. "Everybody carries on like they were holy and they aren't anything but men, and mighty unattractive looking ones at that."</t>
  </si>
  <si>
    <r>
      <rPr>
        <b/>
        <sz val="10"/>
        <rFont val="Arial"/>
      </rPr>
      <t xml:space="preserve">TERM:</t>
    </r>
    <r>
      <rPr>
        <sz val="10"/>
        <rFont val="Arial"/>
      </rPr>
      <t xml:space="preserve"> sovest'yu (совестью) — conscience (instrumental) [ORD] (lemma: совесть)
</t>
    </r>
    <r>
      <rPr>
        <b/>
        <sz val="10"/>
        <rFont val="Arial"/>
      </rPr>
      <t xml:space="preserve">PASSAGE:</t>
    </r>
    <r>
      <rPr>
        <sz val="10"/>
        <rFont val="Arial"/>
      </rPr>
      <t xml:space="preserve"> «Но ведь это же в самом деле так, — вступила она в спор с собственной совестью.
</t>
    </r>
    <r>
      <rPr>
        <b/>
        <sz val="10"/>
        <rFont val="Arial"/>
      </rPr>
      <t xml:space="preserve">TRANS:</t>
    </r>
    <r>
      <rPr>
        <sz val="10"/>
        <rFont val="Arial"/>
      </rPr>
      <t xml:space="preserve"> «No ved' eto zhe v samom dele tak, — vstupila ona v spor s sobstvennoy sovest'yu.
</t>
    </r>
    <r>
      <rPr>
        <b/>
        <sz val="10"/>
        <rFont val="Arial"/>
      </rPr>
      <t xml:space="preserve">TRANSLATION:</t>
    </r>
    <r>
      <rPr>
        <sz val="10"/>
        <rFont val="Arial"/>
      </rPr>
      <t xml:space="preserve"> "But it really is so," she entered into argument with her own conscience.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</si>
  <si>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"Бірақ бұл шынымен де солай", - деді ол өз ар-ұжданымен дауласып.
</t>
    </r>
    <r>
      <rPr>
        <b/>
        <sz val="10"/>
        <rFont val="Arial"/>
      </rPr>
      <t xml:space="preserve">TRANS:</t>
    </r>
    <r>
      <rPr>
        <sz val="10"/>
        <rFont val="Arial"/>
      </rPr>
      <t xml:space="preserve"> "Bıraq būl şynymen de solai", - dedı ol öz ar-ūjdanymen daulasyp.
</t>
    </r>
    <r>
      <rPr>
        <b/>
        <sz val="10"/>
        <rFont val="Arial"/>
      </rPr>
      <t xml:space="preserve">TRANSLATION:</t>
    </r>
    <r>
      <rPr>
        <sz val="10"/>
        <rFont val="Arial"/>
      </rPr>
      <t xml:space="preserve"> "But this really is so," — she said, arguing with her own conscience.</t>
    </r>
  </si>
  <si>
    <t xml:space="preserve">conscience battles desire for money — equal contest; loses</t>
  </si>
  <si>
    <t xml:space="preserve">As she drove off down the path to the Decatur road her conscience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conscience but as she drove down the road the dull thin faces of the convicts would keep coming back into her mind.</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</si>
  <si>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Она ехала по тропе, выходившей на Декейтерскую дорогу, а в душе у нее совесть боролась с жаждой наживы.
</t>
    </r>
    <r>
      <rPr>
        <b/>
        <sz val="10"/>
        <rFont val="Arial"/>
      </rPr>
      <t xml:space="preserve">TRANS:</t>
    </r>
    <r>
      <rPr>
        <sz val="10"/>
        <rFont val="Arial"/>
      </rPr>
      <t xml:space="preserve"> Ona ekhala po trope, vykhodivshey na Dekeyterskuyu dorogu, a v dushe u nee sovest' borolas' s zhazhdoy nazhivy.
</t>
    </r>
    <r>
      <rPr>
        <b/>
        <sz val="10"/>
        <rFont val="Arial"/>
      </rPr>
      <t xml:space="preserve">TRANSLATION:</t>
    </r>
    <r>
      <rPr>
        <sz val="10"/>
        <rFont val="Arial"/>
      </rPr>
      <t xml:space="preserve"> She was riding along the path that led out to the Decatur road, and in her soul her conscience was struggling with greed.</t>
    </r>
  </si>
  <si>
    <r>
      <rPr>
        <b/>
        <sz val="10"/>
        <rFont val="Arial"/>
      </rPr>
      <t xml:space="preserve">TERM:</t>
    </r>
    <r>
      <rPr>
        <sz val="10"/>
        <rFont val="Arial"/>
      </rPr>
      <t xml:space="preserve"> AR-ŪİAT(АР-ҰЯТ) — conscience-shame (compound): the active inner moral faculty [KED, SZK]
</t>
    </r>
    <r>
      <rPr>
        <b/>
        <sz val="10"/>
        <rFont val="Arial"/>
      </rPr>
      <t xml:space="preserve">PASSAGE:</t>
    </r>
    <r>
      <rPr>
        <sz val="10"/>
        <rFont val="Arial"/>
      </rPr>
      <t xml:space="preserve"> Ол Декейтер жолына шығатын соқпаққа түсіп алып, жүріп келеді, көкірегіндегі табысқа құмарлық мен ар-ұяты өзара алысуда.
</t>
    </r>
    <r>
      <rPr>
        <b/>
        <sz val="10"/>
        <rFont val="Arial"/>
      </rPr>
      <t xml:space="preserve">TRANS:</t>
    </r>
    <r>
      <rPr>
        <sz val="10"/>
        <rFont val="Arial"/>
      </rPr>
      <t xml:space="preserve"> Ol Dekeiter jolyna şyğatyn soqpaqqa tüsıp alyp, jürıp keledı, kökıregındegı tabysqa qūmarlyq men ar-ūiaty özara alysuda..
</t>
    </r>
    <r>
      <rPr>
        <b/>
        <sz val="10"/>
        <rFont val="Arial"/>
      </rPr>
      <t xml:space="preserve">TRANSLATION:</t>
    </r>
    <r>
      <rPr>
        <sz val="10"/>
        <rFont val="Arial"/>
      </rPr>
      <t xml:space="preserve"> Heading down the path that comes out onto the Decatur road, she rides along; her thirst for profit and her conscience are wrestling with each other inside her.</t>
    </r>
  </si>
  <si>
    <t xml:space="preserve">Opponent, attacker, judge</t>
  </si>
  <si>
    <t xml:space="preserve">If only Melanie were with her, Melanie could calm her fears. But Melanie was at home, nursing Ashley. For a moment Scarlett thought of summoning Pittypat to stand between her and her conscience but she hesitated. Pitty would probably make matters worse, for she honestly mourned Frank.</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</si>
  <si>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На мгновение Скарлетт подумала было попросить Питтипэт подняться к ней — может, в ее присутствии умолкнет голос совести, — но не решилась.
</t>
    </r>
    <r>
      <rPr>
        <b/>
        <sz val="10"/>
        <rFont val="Arial"/>
      </rPr>
      <t xml:space="preserve">TRANS:</t>
    </r>
    <r>
      <rPr>
        <sz val="10"/>
        <rFont val="Arial"/>
      </rPr>
      <t xml:space="preserve"> Na mgnovenie Skarlett podumala bylo poprosit' Pittipet podnyat'sya k ney — mozhet, v ee prisutstvii umolknet golos sovesti, — no ne reshilas'.
</t>
    </r>
    <r>
      <rPr>
        <b/>
        <sz val="10"/>
        <rFont val="Arial"/>
      </rPr>
      <t xml:space="preserve">TRANSLATION:</t>
    </r>
    <r>
      <rPr>
        <sz val="10"/>
        <rFont val="Arial"/>
      </rPr>
      <t xml:space="preserve"> For a moment Scarlett thought to ask Pittypat to come up to her — perhaps in her presence the voice of conscience would fall silent — but she did not dare.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</si>
  <si>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Бір сәтке Питтипэт тәтесін шақырғысы келіп те ойланды, ол мұның көңілін аулап, ойын бөлсе, ұятпен бетпе-бет жалғыз қалудан құтылар ма еді, дегенмен бата алмады.
</t>
    </r>
    <r>
      <rPr>
        <b/>
        <sz val="10"/>
        <rFont val="Arial"/>
      </rPr>
      <t xml:space="preserve">TRANS:</t>
    </r>
    <r>
      <rPr>
        <sz val="10"/>
        <rFont val="Arial"/>
      </rPr>
      <t xml:space="preserve"> Bır sätke Pittipet tätesın şaqyrğysy kelıp te oilandy, ol mūnyñ köñılın aulap, oiyn bölse, ūiatpen betpe-bet jalğyz qaludan qūtylar ma edı, degenmen bata almady.
</t>
    </r>
    <r>
      <rPr>
        <b/>
        <sz val="10"/>
        <rFont val="Arial"/>
      </rPr>
      <t xml:space="preserve">TRANSLATION:</t>
    </r>
    <r>
      <rPr>
        <sz val="10"/>
        <rFont val="Arial"/>
      </rPr>
      <t xml:space="preserve"> For a moment she even thought to call Aunt Pittypat — if she could distract her thoughts and entertain her, perhaps she could escape being left alone face-to-face with shame — but she did not dare.</t>
    </r>
  </si>
  <si>
    <t xml:space="preserve">Opponent, attacker, judge – about a particularly “indecent” deed</t>
  </si>
  <si>
    <t xml:space="preserve">"Oh, come! You are confessing and you might as well confess the truth as a decorous lie. Did your—er—conscience bother you much when you offered to—shall we say—part with that jewel which is dearer than life for three hundred dollars?"</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</si>
  <si>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Ваша… м-м… совесть очень вас мучила, когда вы соглашались… скажем, так — расстаться с этим сокровищем, которое вам дороже жизни, за триста долларов?
</t>
    </r>
    <r>
      <rPr>
        <b/>
        <sz val="10"/>
        <rFont val="Arial"/>
      </rPr>
      <t xml:space="preserve">TRANS:</t>
    </r>
    <r>
      <rPr>
        <sz val="10"/>
        <rFont val="Arial"/>
      </rPr>
      <t xml:space="preserve"> Vasha… m-m… sovest' ochen' vas muchila, kogda vy soglashalis'… skazhem, tak — rasstat'sya s etim sokrovishchem, kotoroe vam dorozhe zhizni, za trista dollarov?
</t>
    </r>
    <r>
      <rPr>
        <b/>
        <sz val="10"/>
        <rFont val="Arial"/>
      </rPr>
      <t xml:space="preserve">TRANSLATION:</t>
    </r>
    <r>
      <rPr>
        <sz val="10"/>
        <rFont val="Arial"/>
      </rPr>
      <t xml:space="preserve"> Did your... mm... conscience torment you greatly when you agreed... shall we say — to part with this treasure that is dearer to you than life, for three hundred dollars?</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</si>
  <si>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Сіз үш жүз долларға бағалаған әшекейіңізбен қоштасарыңызда да ұятыңыз сізді қинады ма екен.
</t>
    </r>
    <r>
      <rPr>
        <b/>
        <sz val="10"/>
        <rFont val="Arial"/>
      </rPr>
      <t xml:space="preserve">TRANS:</t>
    </r>
    <r>
      <rPr>
        <sz val="10"/>
        <rFont val="Arial"/>
      </rPr>
      <t xml:space="preserve">Sız üş jüz dollarğa bağalağan äşekeiıñızben qoştasaryñyzda da ūiatyñyz sızdı qinady ma eken.
</t>
    </r>
    <r>
      <rPr>
        <b/>
        <sz val="10"/>
        <rFont val="Arial"/>
      </rPr>
      <t xml:space="preserve">TRANSLATION:</t>
    </r>
    <r>
      <rPr>
        <sz val="10"/>
        <rFont val="Arial"/>
      </rPr>
      <t xml:space="preserve"> When you bid farewell to your jewel that you priced at three hundred dollars, did your shame trouble you?</t>
    </r>
  </si>
  <si>
    <t xml:space="preserve">Opponent, can kill</t>
  </si>
  <si>
    <t xml:space="preserve">"I can't tell her," she thought miserably. "Never, not even if my conscience kills me." She remembered irrelevantly Rhett's drunken remark: "She can't conceive of dishonor in anyone she loves...let that be your cross."</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</si>
  <si>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Никогда не смогу, даже если совесть убьет меня».
</t>
    </r>
    <r>
      <rPr>
        <b/>
        <sz val="10"/>
        <rFont val="Arial"/>
      </rPr>
      <t xml:space="preserve">TRANS:</t>
    </r>
    <r>
      <rPr>
        <sz val="10"/>
        <rFont val="Arial"/>
      </rPr>
      <t xml:space="preserve"> Nikogda ne smogu, dazhe esli sovest' ub'et menya».
</t>
    </r>
    <r>
      <rPr>
        <b/>
        <sz val="10"/>
        <rFont val="Arial"/>
      </rPr>
      <t xml:space="preserve">TRANSLATION:</t>
    </r>
    <r>
      <rPr>
        <sz val="10"/>
        <rFont val="Arial"/>
      </rPr>
      <t xml:space="preserve"> Never, even if my conscience kills me.</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</si>
  <si>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"Мұны айта алмайды екенмін, ар-ұятым тұншықтырып өлтірсе де айта алмаймын" деп тұнжырай ойлады Скарлетт.
</t>
    </r>
    <r>
      <rPr>
        <b/>
        <sz val="10"/>
        <rFont val="Arial"/>
      </rPr>
      <t xml:space="preserve">TRANS:</t>
    </r>
    <r>
      <rPr>
        <sz val="10"/>
        <rFont val="Arial"/>
      </rPr>
      <t xml:space="preserve"> "Mūny aita almaidy ekenmın, ar-ūiatym tūnşyqtyryp öltırse de aita almaimyn" dep tūnjyrai oilady Skarlett.
</t>
    </r>
    <r>
      <rPr>
        <b/>
        <sz val="10"/>
        <rFont val="Arial"/>
      </rPr>
      <t xml:space="preserve">TRANSLATION:</t>
    </r>
    <r>
      <rPr>
        <sz val="10"/>
        <rFont val="Arial"/>
      </rPr>
      <t xml:space="preserve"> "I cannot say it; even if my conscience should choke and kill me, I cannot say it," thought Scarlett gloomily.</t>
    </r>
  </si>
  <si>
    <t xml:space="preserve">Interlocutor, advisor – can make one doubt one’s course of action</t>
  </si>
  <si>
    <t xml:space="preserve">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conscience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</si>
  <si>
    <t xml:space="preserve">Aunt Pitty</t>
  </si>
  <si>
    <r>
      <rPr>
        <b/>
        <sz val="10"/>
        <rFont val="Arial"/>
      </rPr>
      <t xml:space="preserve">TERM:</t>
    </r>
    <r>
      <rPr>
        <sz val="10"/>
        <rFont val="Arial"/>
      </rPr>
      <t xml:space="preserve"> somneniya (сомнения) — doubt; doubts [ORD] (lemma: сомнение)
</t>
    </r>
    <r>
      <rPr>
        <b/>
        <sz val="10"/>
        <rFont val="Arial"/>
      </rPr>
      <t xml:space="preserve">PASSAGE:</t>
    </r>
    <r>
      <rPr>
        <sz val="10"/>
        <rFont val="Arial"/>
      </rPr>
      <t xml:space="preserv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
    </r>
    <r>
      <rPr>
        <b/>
        <sz val="10"/>
        <rFont val="Arial"/>
      </rPr>
      <t xml:space="preserve">TRANS:</t>
    </r>
    <r>
      <rPr>
        <sz val="10"/>
        <rFont val="Arial"/>
      </rPr>
      <t xml:space="preserve"> Kogda dyadyushka Piter svernul emu sheyu, delikatnuyu dushu tetushki Pittipet vnezapno odoleli somneniya: dopustimo li nasladit'sya etoy ptitsey v krugu sem'i, v to vremya kak mnogie iz druzey nedelyami ne mogut otvedat' kurinogo myasa, i ona reshila priglasit' gostey.
</t>
    </r>
    <r>
      <rPr>
        <b/>
        <sz val="10"/>
        <rFont val="Arial"/>
      </rPr>
      <t xml:space="preserve">TRANSLATION:</t>
    </r>
    <r>
      <rPr>
        <sz val="10"/>
        <rFont val="Arial"/>
      </rPr>
      <t xml:space="preserve"> When Uncle Peter wrung its neck, Aunt Pittypat's delicate soul was suddenly seized by doubts: was it permissible to enjoy this bird in the family circle while many of her friends could not have a taste of chicken meat for weeks, and she decided to invite guests.</t>
    </r>
  </si>
  <si>
    <r>
      <rPr>
        <b/>
        <sz val="10"/>
        <rFont val="Arial"/>
      </rPr>
      <t xml:space="preserve">TERM:</t>
    </r>
    <r>
      <rPr>
        <sz val="10"/>
        <rFont val="Arial"/>
      </rPr>
      <t xml:space="preserve"> KÜMÄN (КҮМƏН) = doubt; uncertainty
</t>
    </r>
    <r>
      <rPr>
        <b/>
        <sz val="10"/>
        <rFont val="Arial"/>
      </rPr>
      <t xml:space="preserve">PASSAGE:</t>
    </r>
    <r>
      <rPr>
        <sz val="10"/>
        <rFont val="Arial"/>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күмән пайда болды.
</t>
    </r>
    <r>
      <rPr>
        <b/>
        <sz val="10"/>
        <rFont val="Arial"/>
      </rPr>
      <t xml:space="preserve">TRANS:</t>
    </r>
    <r>
      <rPr>
        <sz val="10"/>
        <rFont val="Arial"/>
      </rPr>
      <t xml:space="preserve"> Pittipet täteidıñ näzık janynda: "onyñ köptegen dostary bırneşe apta boiy tauyqtyñ dämın tata almai otyrğanda, būl qūsty otbasymen bırge jep rahattanuğa bola ma, älde qonaq şaqyruğa şeşım qabyldauy dūrys pa?" degen kümän paida boldy.
</t>
    </r>
    <r>
      <rPr>
        <b/>
        <sz val="10"/>
        <rFont val="Arial"/>
      </rPr>
      <t xml:space="preserve">TRANSLATION:</t>
    </r>
    <r>
      <rPr>
        <sz val="10"/>
        <rFont val="Arial"/>
      </rPr>
      <t xml:space="preserve"> In Aunt Pittypat's sensitive soul there arose the doubt: "While many of his friends have not been able to taste chicken for weeks, is it appropriate to enjoy eating this bird with the family — or would it be right to decide on inviting guests?"</t>
    </r>
  </si>
  <si>
    <t xml:space="preserve">Struggle with conscience</t>
  </si>
  <si>
    <t xml:space="preserve">"Of course," she said, wondering what the old fool had been talking about. Some struggle with his conscience. When a man got as old as Frank Kennedy he ought to have learned not to bother about things that didn't matter. But he always was so nervous and fussy and old maidish.</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</si>
  <si>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Что-то насчет своей совести.
</t>
    </r>
    <r>
      <rPr>
        <b/>
        <sz val="10"/>
        <rFont val="Arial"/>
      </rPr>
      <t xml:space="preserve">TRANS:</t>
    </r>
    <r>
      <rPr>
        <sz val="10"/>
        <rFont val="Arial"/>
      </rPr>
      <t xml:space="preserve"> Chto-to naschet svoey sovesti.
</t>
    </r>
    <r>
      <rPr>
        <b/>
        <sz val="10"/>
        <rFont val="Arial"/>
      </rPr>
      <t xml:space="preserve">TRANSLATION:</t>
    </r>
    <r>
      <rPr>
        <sz val="10"/>
        <rFont val="Arial"/>
      </rPr>
      <t xml:space="preserve"> Something about his conscience.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</si>
  <si>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Өз ұяты туралы ма, бірдеңе.
</t>
    </r>
    <r>
      <rPr>
        <b/>
        <sz val="10"/>
        <rFont val="Arial"/>
      </rPr>
      <t xml:space="preserve">TRANS:</t>
    </r>
    <r>
      <rPr>
        <sz val="10"/>
        <rFont val="Arial"/>
      </rPr>
      <t xml:space="preserve"> Öz ūiaty turaly ma, bırdeñe.
</t>
    </r>
    <r>
      <rPr>
        <b/>
        <sz val="10"/>
        <rFont val="Arial"/>
      </rPr>
      <t xml:space="preserve">TRANSLATION:</t>
    </r>
    <r>
      <rPr>
        <sz val="10"/>
        <rFont val="Arial"/>
      </rPr>
      <t xml:space="preserve"> Something about their own shame [conscience], or something like that.</t>
    </r>
  </si>
  <si>
    <t xml:space="preserve">Conscience — Absent reaction</t>
  </si>
  <si>
    <t xml:space="preserve">ABSENT reaction of conscience due to personal loyalties</t>
  </si>
  <si>
    <t xml:space="preserve">The mottled wise old eyes saw deeply, saw clearly, with the directness of the savage and the child, undeterred by conscience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</si>
  <si>
    <r>
      <rPr>
        <b/>
        <sz val="10"/>
        <rFont val="Arial"/>
      </rPr>
      <t xml:space="preserve">TERM:</t>
    </r>
    <r>
      <rPr>
        <sz val="10"/>
        <rFont val="Arial"/>
      </rPr>
      <t xml:space="preserve"> soznanie (сознание) — consciousness; awareness (here: moral awareness) [ORD]
</t>
    </r>
    <r>
      <rPr>
        <b/>
        <sz val="10"/>
        <rFont val="Arial"/>
      </rPr>
      <t xml:space="preserve">PASSAGE:</t>
    </r>
    <r>
      <rPr>
        <sz val="10"/>
        <rFont val="Arial"/>
      </rPr>
      <t xml:space="preserve"> не затуманенные слишком развитым сознанием
</t>
    </r>
    <r>
      <rPr>
        <b/>
        <sz val="10"/>
        <rFont val="Arial"/>
      </rPr>
      <t xml:space="preserve">TRANS:</t>
    </r>
    <r>
      <rPr>
        <sz val="10"/>
        <rFont val="Arial"/>
      </rPr>
      <t xml:space="preserve"> ne zatumanennye slishkom razvitym soznaniem
</t>
    </r>
    <r>
      <rPr>
        <b/>
        <sz val="10"/>
        <rFont val="Arial"/>
      </rPr>
      <t xml:space="preserve">TRANSLATION:</t>
    </r>
    <r>
      <rPr>
        <sz val="10"/>
        <rFont val="Arial"/>
      </rPr>
      <t xml:space="preserve"> not clouded by an overdeveloped consciousness</t>
    </r>
  </si>
  <si>
    <t xml:space="preserve">Conscience — Dormant / waking creature</t>
  </si>
  <si>
    <t xml:space="preserve">Being that can sleep and wake up</t>
  </si>
  <si>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Скарлетт аздап ұялыс сезініп, Эшлидің хаттарындағы Меланиді осындай мәлімдеме жасауға итермелеген жолдарды еске түсіруге тырысты, ...
</t>
    </r>
    <r>
      <rPr>
        <b/>
        <sz val="10"/>
        <rFont val="Arial"/>
      </rPr>
      <t xml:space="preserve">TRANS:</t>
    </r>
    <r>
      <rPr>
        <sz val="10"/>
        <rFont val="Arial"/>
      </rPr>
      <t xml:space="preserve"> Skarlett azdap ūialys sezınıp, Eşlidıñ hattaryndağy Melanidı osyndai mälımdeme jasauğa itermelegen joldardy eske tüsıruge tyrysty, ...
</t>
    </r>
    <r>
      <rPr>
        <b/>
        <sz val="10"/>
        <rFont val="Arial"/>
      </rPr>
      <t xml:space="preserve">TRANSLATION:</t>
    </r>
    <r>
      <rPr>
        <sz val="10"/>
        <rFont val="Arial"/>
      </rPr>
      <t xml:space="preserve"> Feeling a slight twinge of shame, Scarlett tried to recall the lines in Ashley's letters that had pushed Melanie to make such a statement,...</t>
    </r>
  </si>
  <si>
    <t xml:space="preserve">Conscience — General faculty</t>
  </si>
  <si>
    <t xml:space="preserve">conscience as active inner faculty — inner moral judge</t>
  </si>
  <si>
    <t xml:space="preserve">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conscience. For the first time in her life she was regretting things she had done, regretting them with a sweeping superstitious fear that made her cast sidelong glances at the bed upon which she had lain with Frank.</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</si>
  <si>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Но помимо потрясения от потери мужа, она испытывала еще страх, и раскаяние, и муки внезапно проснувшейся совести.
</t>
    </r>
    <r>
      <rPr>
        <b/>
        <sz val="10"/>
        <rFont val="Arial"/>
      </rPr>
      <t xml:space="preserve">TRANS:</t>
    </r>
    <r>
      <rPr>
        <sz val="10"/>
        <rFont val="Arial"/>
      </rPr>
      <t xml:space="preserve"> No pomimo potryaseniya ot poteri muzha, ona ispytyvala eshche strakh, i raskayanie, i muki vnezapno prosnuvsheysya sovesti.
</t>
    </r>
    <r>
      <rPr>
        <b/>
        <sz val="10"/>
        <rFont val="Arial"/>
      </rPr>
      <t xml:space="preserve">TRANSLATION:</t>
    </r>
    <r>
      <rPr>
        <sz val="10"/>
        <rFont val="Arial"/>
      </rPr>
      <t xml:space="preserve"> But besides the shock of losing her husband, she also felt fear, and remorse, and the pangs of suddenly awakened conscience.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</si>
  <si>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Бірақ күйеуінен айырылған қасіреті өз алдында, бойын билеген қорқыныш пен жанын жеген өкініш, бір бүйірден бас көтере қалған ұят қоса қысып барады.
</t>
    </r>
    <r>
      <rPr>
        <b/>
        <sz val="10"/>
        <rFont val="Arial"/>
      </rPr>
      <t xml:space="preserve">TRANS:</t>
    </r>
    <r>
      <rPr>
        <sz val="10"/>
        <rFont val="Arial"/>
      </rPr>
      <t xml:space="preserve"> Bıraq küieuınen aiyrylğan qasıretı öz aldynda, boiyn bilegen qorqynyş pen janyn jegen ökınış, bır büiırden bas kötere qalğan ūiat qosa qysyp barady.
</t>
    </r>
    <r>
      <rPr>
        <b/>
        <sz val="10"/>
        <rFont val="Arial"/>
      </rPr>
      <t xml:space="preserve">TRANSLATION:</t>
    </r>
    <r>
      <rPr>
        <sz val="10"/>
        <rFont val="Arial"/>
      </rPr>
      <t xml:space="preserve"> But the grief of losing her husband had its own place; the fear that filled her body, the regret that ate at her soul, and the shame that suddenly raised its head from one side, were all squeezing her along with it.</t>
    </r>
  </si>
  <si>
    <t xml:space="preserve">Plant, creature – something that can be born or die, become absent</t>
  </si>
  <si>
    <t xml:space="preserve">"You could have been—if you'd been somebody else. But you were born to bully anyone who'll let you do it. The strong were made to bully and the weak to knuckle under. It's all Frank's fault for not beating you with a buggy whip...I'm surprised at you, Scarlett, for sprouting a conscience this late in life. Opportunists like you shouldn't have them."</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</si>
  <si>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Вы удивляете меня, Скарлетт, — зачем вам понадобилось сейчас, когда вы уже взрослая, будить в себе совесть.
</t>
    </r>
    <r>
      <rPr>
        <b/>
        <sz val="10"/>
        <rFont val="Arial"/>
      </rPr>
      <t xml:space="preserve">TRANS:</t>
    </r>
    <r>
      <rPr>
        <sz val="10"/>
        <rFont val="Arial"/>
      </rPr>
      <t xml:space="preserve"> Vy udivlyaete menya, Skarlett, — zachem vam ponadobilos' seychas, kogda vy uzhe vzroslaya, budit' v sebe sovest'.
</t>
    </r>
    <r>
      <rPr>
        <b/>
        <sz val="10"/>
        <rFont val="Arial"/>
      </rPr>
      <t xml:space="preserve">TRANSLATION:</t>
    </r>
    <r>
      <rPr>
        <sz val="10"/>
        <rFont val="Arial"/>
      </rPr>
      <t xml:space="preserve"> You amaze me, Scarlett — why do you need now, when you are already grown up, to awaken a conscience in yourself?</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</si>
  <si>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Әбден есейген шағыңызда ұятыңызды неге оятып отырсыз?
</t>
    </r>
    <r>
      <rPr>
        <b/>
        <sz val="10"/>
        <rFont val="Arial"/>
      </rPr>
      <t xml:space="preserve">TRANS:</t>
    </r>
    <r>
      <rPr>
        <sz val="10"/>
        <rFont val="Arial"/>
      </rPr>
      <t xml:space="preserve"> Äbden eseigen şağyñyzda ūiatyñyzdy nege oiatyp otyrsyz?
</t>
    </r>
    <r>
      <rPr>
        <b/>
        <sz val="10"/>
        <rFont val="Arial"/>
      </rPr>
      <t xml:space="preserve">TRANSLATION:</t>
    </r>
    <r>
      <rPr>
        <sz val="10"/>
        <rFont val="Arial"/>
      </rPr>
      <t xml:space="preserve"> In your fully matured age, why are you waking up your shame?</t>
    </r>
  </si>
  <si>
    <t xml:space="preserve">Catholic conscience awakened: overwhelming, long suppressed, now drives action</t>
  </si>
  <si>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b/>
        <sz val="10"/>
        <rFont val="Arial"/>
      </rPr>
      <t xml:space="preserve">TRANS:</t>
    </r>
    <r>
      <rPr>
        <sz val="10"/>
        <rFont val="Arial"/>
      </rPr>
      <t xml:space="preserve"> Baiağydan berı būğyp jatqanymen, aqyry özınıñ bar ekenın, bas köteretın uaqyty kelgenın bıldergen ar-ūiaty Skarlettı osy qadamğa jeteleitın. Jüregınıñ tükpırınde şynaiy katoliktık senımı:
</t>
    </r>
    <r>
      <rPr>
        <b/>
        <sz val="10"/>
        <rFont val="Arial"/>
      </rPr>
      <t xml:space="preserve">TRANSLATION:</t>
    </r>
    <r>
      <rPr>
        <sz val="10"/>
        <rFont val="Arial"/>
      </rPr>
      <t xml:space="preserve"> Although it had been hiding for a long time, conscience — finally signaling its existence and that the time to raise its head had come — was leading Scarlett to this step. In the depths of her heart, her sincere Catholic faith:</t>
    </r>
  </si>
  <si>
    <t xml:space="preserve">Conscience — Object (stretchable)</t>
  </si>
  <si>
    <t xml:space="preserve">Stretchable object</t>
  </si>
  <si>
    <t xml:space="preserve">"You hoped! Alas, to blight your hopes! I should love you, for you are charming and talented at many useless accomplishments. But many ladies have charm and accomplishments and are just as useless as you are. No, I don't love you. But I do like you tremendously— for the elasticity of your conscience, for the selfishness which you seldom trouble to hide, and for the shrewd practicality in you which, I fear, you get from some not too remote Irish-peasant ancestor."</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</si>
  <si>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
    </r>
    <r>
      <rPr>
        <b/>
        <sz val="10"/>
        <rFont val="Arial"/>
      </rPr>
      <t xml:space="preserve">TRANS:</t>
    </r>
    <r>
      <rPr>
        <sz val="10"/>
        <rFont val="Arial"/>
      </rPr>
      <t xml:space="preserve">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
    </r>
    <r>
      <rPr>
        <b/>
        <sz val="10"/>
        <rFont val="Arial"/>
      </rPr>
      <t xml:space="preserve">TRANSLATION:</t>
    </r>
    <r>
      <rPr>
        <sz val="10"/>
        <rFont val="Arial"/>
      </rPr>
      <t xml:space="preserve"> But I find you immensely attractive — I like the elasticity of your conscience and your moral rules, I like the egotism that you very rarely take the trouble to conceal, I like your firm grip on life, inherited, I fear, from some not-too-distant Irish peasant ancestor.</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</si>
  <si>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Бірақ сіз маған шексіз ұнайсыз---сіздің ар-ұятыңыз бен адамгершілік ережелеріңіздің икемділігі ұнайды.
</t>
    </r>
    <r>
      <rPr>
        <b/>
        <sz val="10"/>
        <rFont val="Arial"/>
      </rPr>
      <t xml:space="preserve">TRANS:</t>
    </r>
    <r>
      <rPr>
        <sz val="10"/>
        <rFont val="Arial"/>
      </rPr>
      <t xml:space="preserve"> Bıraq sız mağan şeksız ūnaisyz---sızdıñ ar-ūiatyñyz ben adamgerşılık erejelerıñızdıñ ikemdılıgı ūnaidy.
</t>
    </r>
    <r>
      <rPr>
        <b/>
        <sz val="10"/>
        <rFont val="Arial"/>
      </rPr>
      <t xml:space="preserve">TRANSLATION:</t>
    </r>
    <r>
      <rPr>
        <sz val="10"/>
        <rFont val="Arial"/>
      </rPr>
      <t xml:space="preserve"> But you appeal to me without measure — I like the elasticity of your conscience and your principles of humanity.</t>
    </r>
  </si>
  <si>
    <t xml:space="preserve">Conscience — Resource</t>
  </si>
  <si>
    <t xml:space="preserve">Resource that has been almost spent</t>
  </si>
  <si>
    <t xml:space="preserve">"Yes. Aren't you relieved? I leave you to what remains of your conscience."</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</si>
  <si>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Хочу дать вам возможность побыть наедине с остатками вашей совести.
</t>
    </r>
    <r>
      <rPr>
        <b/>
        <sz val="10"/>
        <rFont val="Arial"/>
      </rPr>
      <t xml:space="preserve">TRANS:</t>
    </r>
    <r>
      <rPr>
        <sz val="10"/>
        <rFont val="Arial"/>
      </rPr>
      <t xml:space="preserve"> Khochu dat' vam vozmozhnost' pobyt' naedine s ostatkami vashey sovesti.
</t>
    </r>
    <r>
      <rPr>
        <b/>
        <sz val="10"/>
        <rFont val="Arial"/>
      </rPr>
      <t xml:space="preserve">TRANSLATION:</t>
    </r>
    <r>
      <rPr>
        <sz val="10"/>
        <rFont val="Arial"/>
      </rPr>
      <t xml:space="preserve"> I want to give you the chance to be alone with what remains of your conscience.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</si>
  <si>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Ұятыңыздан қалғандығымен бірге оңаша болуыңызға мүмкіндік берейін.
</t>
    </r>
    <r>
      <rPr>
        <b/>
        <sz val="10"/>
        <rFont val="Arial"/>
      </rPr>
      <t xml:space="preserve">TRANS:</t>
    </r>
    <r>
      <rPr>
        <sz val="10"/>
        <rFont val="Arial"/>
      </rPr>
      <t xml:space="preserve"> Ūiatyñyzdan qalğandyğymen bırge oñaşa boluyñyzğa mümkındık bereiın.
</t>
    </r>
    <r>
      <rPr>
        <b/>
        <sz val="10"/>
        <rFont val="Arial"/>
      </rPr>
      <t xml:space="preserve">TRANSLATION:</t>
    </r>
    <r>
      <rPr>
        <sz val="10"/>
        <rFont val="Arial"/>
      </rPr>
      <t xml:space="preserve"> I will give you the chance to be alone with what is left of your shame.</t>
    </r>
  </si>
  <si>
    <t xml:space="preserve">Conscience — Object (clean / unclean)</t>
  </si>
  <si>
    <t xml:space="preserve">Object that can become unclean</t>
  </si>
  <si>
    <t xml:space="preserve">Ellen finished and Gerald, who could never find his beads at prayer time, began furtively counting his decade on his fingers. As his voice droned on, Scarlett's thoughts strayed, in spite of herself. She knew she should be examining her conscience. Ellen had taught her that at the end of each day it was her duty to examine her conscience thoroughly, to admit her numerous faults and pray to God for forgiveness and strength never to repeat them. But Scarlett was examining her heart.</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</si>
  <si>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
    </r>
    <r>
      <rPr>
        <b/>
        <sz val="10"/>
        <rFont val="Arial"/>
      </rPr>
      <t xml:space="preserve">TRANS:</t>
    </r>
    <r>
      <rPr>
        <sz val="10"/>
        <rFont val="Arial"/>
      </rPr>
      <t xml:space="preserve">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
    </r>
    <r>
      <rPr>
        <b/>
        <sz val="10"/>
        <rFont val="Arial"/>
      </rPr>
      <t xml:space="preserve">TRANSLATION:</t>
    </r>
    <r>
      <rPr>
        <sz val="10"/>
        <rFont val="Arial"/>
      </rPr>
      <t xml:space="preserve">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</si>
  <si>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Скарлетт Эллин үйреткендей, өз ішіне терең бойлап ар-ұжданын жауапқа тартып, ...
</t>
    </r>
    <r>
      <rPr>
        <b/>
        <sz val="10"/>
        <rFont val="Arial"/>
      </rPr>
      <t xml:space="preserve">TRANS:</t>
    </r>
    <r>
      <rPr>
        <sz val="10"/>
        <rFont val="Arial"/>
      </rPr>
      <t xml:space="preserve"> Skarlett Elin üiretkendei, öz ışıne tereñ boilap ar-ūjdanyn jauapqa tartyp, ...
</t>
    </r>
    <r>
      <rPr>
        <b/>
        <sz val="10"/>
        <rFont val="Arial"/>
      </rPr>
      <t xml:space="preserve">TRANSLATION:</t>
    </r>
    <r>
      <rPr>
        <sz val="10"/>
        <rFont val="Arial"/>
      </rPr>
      <t xml:space="preserve"> Scarlett, as Ellen had taught her, plunging deep into herself, putting her conscience to question,...</t>
    </r>
  </si>
  <si>
    <t xml:space="preserve">Conscience — Tormentor / punisher</t>
  </si>
  <si>
    <t xml:space="preserve">Moral wrongs, past harm to Melanie; Melanie as moral mirror</t>
  </si>
  <si>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"Мұны айта алмайды екенмін, ар-ұятым тұншықтырып өлтірсе де айта алмаймын" деп тұнжырай ойлады Скарлетт.
</t>
    </r>
    <r>
      <rPr>
        <b/>
        <sz val="10"/>
        <rFont val="Arial"/>
      </rPr>
      <t xml:space="preserve">TRANS:</t>
    </r>
    <r>
      <rPr>
        <sz val="10"/>
        <rFont val="Arial"/>
      </rPr>
      <t xml:space="preserve"> "Mūny aita almaidy ekenmın, ar-ūiatym tūnşyqtyryp öltırse de aita almaimyn" dep tūnjyrai oilady Skarlett.
</t>
    </r>
    <r>
      <rPr>
        <b/>
        <sz val="10"/>
        <rFont val="Arial"/>
      </rPr>
      <t xml:space="preserve">TRANSLATION:</t>
    </r>
    <r>
      <rPr>
        <sz val="10"/>
        <rFont val="Arial"/>
      </rPr>
      <t xml:space="preserve"> "I cannot say it, even if my conscience should choke and kill me, I cannot say it," thought Scarlett gloomily.</t>
    </r>
  </si>
  <si>
    <t xml:space="preserve">Conscience activated by Ellen’s image, later overcome</t>
  </si>
  <si>
    <t xml:space="preserve">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</si>
  <si>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
    </r>
    <r>
      <rPr>
        <b/>
        <sz val="10"/>
        <rFont val="Arial"/>
      </rPr>
      <t xml:space="preserve">TRANS:</t>
    </r>
    <r>
      <rPr>
        <sz val="10"/>
        <rFont val="Arial"/>
      </rPr>
      <t xml:space="preserve"> Kogda ona vpervye nachala ukradkoy chitat' eti pis'ma, ee poryadkom muchila sovest' i okhvatyval takoy strakh byt' poymannoy na meste prestupleniya, chto ona edva reshalas' vskryt' drozhashchimi pal'tsami konvert.
</t>
    </r>
    <r>
      <rPr>
        <b/>
        <sz val="10"/>
        <rFont val="Arial"/>
      </rPr>
      <t xml:space="preserve">TRANSLATION:</t>
    </r>
    <r>
      <rPr>
        <sz val="10"/>
        <rFont val="Arial"/>
      </rPr>
      <t xml:space="preserve"> When she first began secretly to read these letters, her conscience tormented her terribly and such a fear of being caught in the act gripped her that she barely dared open the envelope with trembling fingers.</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</si>
  <si>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Ол бастапқыда ар-ұжданы қинап, өзін қылмыс үстінде ұстап алатындай қорқыныш билеп, саусағы дірілдеп конвертті әрең ашып, хаттарды оқи бастады.
</t>
    </r>
    <r>
      <rPr>
        <b/>
        <sz val="10"/>
        <rFont val="Arial"/>
      </rPr>
      <t xml:space="preserve">TRANS:</t>
    </r>
    <r>
      <rPr>
        <sz val="10"/>
        <rFont val="Arial"/>
      </rPr>
      <t xml:space="preserve"> Ol bastapqyda ar-ūjdany qinap, özın qylmys üstınde ūstap alatyndai qorqynyş bilep, sausağy dırıldep konverttı äreñ aşyp, hattardy oqi bastady.
</t>
    </r>
    <r>
      <rPr>
        <b/>
        <sz val="10"/>
        <rFont val="Arial"/>
      </rPr>
      <t xml:space="preserve">TRANSLATION:</t>
    </r>
    <r>
      <rPr>
        <sz val="10"/>
        <rFont val="Arial"/>
      </rPr>
      <t xml:space="preserve"> At first her conscience tormented her, fear gripped her as if she might be caught in the crime, and her fingers trembled as she barely managed to open the envelope and begin reading the letters.</t>
    </r>
  </si>
  <si>
    <t xml:space="preserve">Tormentor conscience involuntarily activated — stricken; fused with guilt and social fear</t>
  </si>
  <si>
    <t xml:space="preserve">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conscience.</t>
  </si>
  <si>
    <t xml:space="preserve">Punisher</t>
  </si>
  <si>
    <t xml:space="preserve">Scarlett's conscience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</si>
  <si>
    <r>
      <rPr>
        <b/>
        <sz val="10"/>
        <rFont val="Arial"/>
      </rPr>
      <t xml:space="preserve">TERM:</t>
    </r>
    <r>
      <rPr>
        <sz val="10"/>
        <rFont val="Arial"/>
      </rPr>
      <t xml:space="preserve"> ugryzeniya sovesti: (угрызения совести:) = pangs of conscience
</t>
    </r>
    <r>
      <rPr>
        <b/>
        <sz val="10"/>
        <rFont val="Arial"/>
      </rPr>
      <t xml:space="preserve">PASSAGE:</t>
    </r>
    <r>
      <rPr>
        <sz val="10"/>
        <rFont val="Arial"/>
      </rPr>
      <t xml:space="preserve"> Читая эти строки, Скарлетт почувствовала угрызения совести: ведь она уже который месяц не посещала храма.
</t>
    </r>
    <r>
      <rPr>
        <b/>
        <sz val="10"/>
        <rFont val="Arial"/>
      </rPr>
      <t xml:space="preserve">TRANS:</t>
    </r>
    <r>
      <rPr>
        <sz val="10"/>
        <rFont val="Arial"/>
      </rPr>
      <t xml:space="preserve"> Chitaya eti stroki, Skarlett pochuvstvovala ugryzeniya sovesti: ved' ona uzhe kotoryy mesyats ne poseshchala khrama.
</t>
    </r>
    <r>
      <rPr>
        <b/>
        <sz val="10"/>
        <rFont val="Arial"/>
      </rPr>
      <t xml:space="preserve">TRANSLATION:</t>
    </r>
    <r>
      <rPr>
        <sz val="10"/>
        <rFont val="Arial"/>
      </rPr>
      <t xml:space="preserve"> Reading these lines, Scarlett felt pangs of conscience: for she had not visited the temple for several months now.</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</si>
  <si>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Бұл жолдарды оқи отырып, Скарлетт ұялып кетті: өйткені ол бірнеше ай бойы ғибадатханаға бармаған болатын.
</t>
    </r>
    <r>
      <rPr>
        <b/>
        <sz val="10"/>
        <rFont val="Arial"/>
      </rPr>
      <t xml:space="preserve">TRANS:</t>
    </r>
    <r>
      <rPr>
        <sz val="10"/>
        <rFont val="Arial"/>
      </rPr>
      <t xml:space="preserve"> Būl joldardy oqi otyryp, Skarlett ūialyp kettı: öitkenı ol bırneşe ai boiy ğibadathanağa barmağan bolatyn.
</t>
    </r>
    <r>
      <rPr>
        <b/>
        <sz val="10"/>
        <rFont val="Arial"/>
      </rPr>
      <t xml:space="preserve">TRANSLATION:</t>
    </r>
    <r>
      <rPr>
        <sz val="10"/>
        <rFont val="Arial"/>
      </rPr>
      <t xml:space="preserve"> Reading these lines, Scarlett became ashamed: for she had not gone to the place of worship for several months.</t>
    </r>
  </si>
  <si>
    <t xml:space="preserve">Tormentor</t>
  </si>
  <si>
    <t xml:space="preserve">"Never mind the rest. I follow your general idea. When I'm dead on the altar of my country, I hope your conscience hurts you."</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</si>
  <si>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Когда я сложу голову на алтарь отечества, вам, боюсь, придется испытать легкий укол совести.
</t>
    </r>
    <r>
      <rPr>
        <b/>
        <sz val="10"/>
        <rFont val="Arial"/>
      </rPr>
      <t xml:space="preserve">TRANS:</t>
    </r>
    <r>
      <rPr>
        <sz val="10"/>
        <rFont val="Arial"/>
      </rPr>
      <t xml:space="preserve"> Kogda ya slozhu golovu na altar' otechestva, vam, boyus', pridetsya ispytat' legkiy ukol sovesti.
</t>
    </r>
    <r>
      <rPr>
        <b/>
        <sz val="10"/>
        <rFont val="Arial"/>
      </rPr>
      <t xml:space="preserve">TRANSLATION:</t>
    </r>
    <r>
      <rPr>
        <sz val="10"/>
        <rFont val="Arial"/>
      </rPr>
      <t xml:space="preserve"> When I lay my head on the altar of the fatherland, you, I fear, will have to feel a slight prick of conscience.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</si>
  <si>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Менің басым туған ел үшін құрбан болған кезде, сізді аздап болса да ар-ұжданыңыз мазалайтын шығар деп қорқамын.
</t>
    </r>
    <r>
      <rPr>
        <b/>
        <sz val="10"/>
        <rFont val="Arial"/>
      </rPr>
      <t xml:space="preserve">TRANS:</t>
    </r>
    <r>
      <rPr>
        <sz val="10"/>
        <rFont val="Arial"/>
      </rPr>
      <t xml:space="preserve"> Menıñ basym tuğan el üşın qūrban bolğan kezde, sızdı azdap bolsa da ar-ūjdanyñyz mazalaityn şyğar dep qorqamyn.
</t>
    </r>
    <r>
      <rPr>
        <b/>
        <sz val="10"/>
        <rFont val="Arial"/>
      </rPr>
      <t xml:space="preserve">TRANSLATION:</t>
    </r>
    <r>
      <rPr>
        <sz val="10"/>
        <rFont val="Arial"/>
      </rPr>
      <t xml:space="preserve"> When my head is sacrificed for the native land, I fear your conscience may trouble you a little.</t>
    </r>
  </si>
  <si>
    <t xml:space="preserve">Attacker, tormentor</t>
  </si>
  <si>
    <t xml:space="preserve">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conscience smote her. She was kicking a beaten and defenseless man—and she had promised Melanie that she would look after him.</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</si>
  <si>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Совесть заговорила в ней.
</t>
    </r>
    <r>
      <rPr>
        <b/>
        <sz val="10"/>
        <rFont val="Arial"/>
      </rPr>
      <t xml:space="preserve">TRANS:</t>
    </r>
    <r>
      <rPr>
        <sz val="10"/>
        <rFont val="Arial"/>
      </rPr>
      <t xml:space="preserve"> Sovest' zagovorila v ney.
</t>
    </r>
    <r>
      <rPr>
        <b/>
        <sz val="10"/>
        <rFont val="Arial"/>
      </rPr>
      <t xml:space="preserve">TRANSLATION:</t>
    </r>
    <r>
      <rPr>
        <sz val="10"/>
        <rFont val="Arial"/>
      </rPr>
      <t xml:space="preserve"> Conscience spoke up in her.</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</si>
  <si>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Ұяты өзімен тілдескендей.
</t>
    </r>
    <r>
      <rPr>
        <b/>
        <sz val="10"/>
        <rFont val="Arial"/>
      </rPr>
      <t xml:space="preserve">TRANS:</t>
    </r>
    <r>
      <rPr>
        <sz val="10"/>
        <rFont val="Arial"/>
      </rPr>
      <t xml:space="preserve"> Ūiaty özımen tıldeskendei.
</t>
    </r>
    <r>
      <rPr>
        <b/>
        <sz val="10"/>
        <rFont val="Arial"/>
      </rPr>
      <t xml:space="preserve">TRANSLATION:</t>
    </r>
    <r>
      <rPr>
        <sz val="10"/>
        <rFont val="Arial"/>
      </rPr>
      <t xml:space="preserve"> It was as if her shame began to converse with her.</t>
    </r>
  </si>
  <si>
    <t xml:space="preserve">Mild pain due to a minor breach</t>
  </si>
  <si>
    <t xml:space="preserve">"Oh!" cried Melanie, looking conscience stricken. "How I have run on! Scarlett, I didn't mean to hurt your feelings or to criticize.</t>
  </si>
  <si>
    <t xml:space="preserve">Conscience — Internal authority (judge)</t>
  </si>
  <si>
    <t xml:space="preserve">conscience as active inner faculty — inner moral judge - ABSENT</t>
  </si>
  <si>
    <t xml:space="preserve">But now, Scarlett pushed that admonition into the back of her mind. That she was encouraging theft, and perhaps theft from people worse off than she, was no longer a matter for conscience. In fact the morals of the affair weighed lightly upon her. Instead of punishment or reproof, she only regretted he had been shot.</t>
  </si>
  <si>
    <t xml:space="preserve">Conscience — Pained body part</t>
  </si>
  <si>
    <t xml:space="preserve">Briefly pained body part</t>
  </si>
  <si>
    <t xml:space="preserve">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conscience.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</si>
  <si>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Слов Индии Скарлетт не слышала, но то, что она прочла в устремленном на Стюарта взгляде, заставило ее испытать нечто похожее на укол совести.
</t>
    </r>
    <r>
      <rPr>
        <b/>
        <sz val="10"/>
        <rFont val="Arial"/>
      </rPr>
      <t xml:space="preserve">TRANS:</t>
    </r>
    <r>
      <rPr>
        <sz val="10"/>
        <rFont val="Arial"/>
      </rPr>
      <t xml:space="preserve"> Slov Indii Skarlett ne slyshala, no to, chto ona prochla v ustremlennom na Styuarta vzglyade, zastavilo ee ispytat' nechto pokhozhee na ukol sovesti.
</t>
    </r>
    <r>
      <rPr>
        <b/>
        <sz val="10"/>
        <rFont val="Arial"/>
      </rPr>
      <t xml:space="preserve">TRANSLATION:</t>
    </r>
    <r>
      <rPr>
        <sz val="10"/>
        <rFont val="Arial"/>
      </rPr>
      <t xml:space="preserve"> Scarlett did not hear India's words, but what she read in the look fixed on Stuart made her experience something like a prick of conscience.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</si>
  <si>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Скарлетт Индияның не айтқанын естімеді, бірақ оның Стюартқа қадалған көзінен оқыған жазулар мұның ар-ожданына ине сұғып алғандай әсер етті.
</t>
    </r>
    <r>
      <rPr>
        <b/>
        <sz val="10"/>
        <rFont val="Arial"/>
      </rPr>
      <t xml:space="preserve">TRANS:</t>
    </r>
    <r>
      <rPr>
        <sz val="10"/>
        <rFont val="Arial"/>
      </rPr>
      <t xml:space="preserve"> Skarlett İndianyñ ne aitqanyn estımedı, bıraq onyñ Stüartqa qadalğan közınen oqyğan jazular mūnyñ ar-ojdanyna ine sūğyp alğandai äser ettı.
</t>
    </r>
    <r>
      <rPr>
        <b/>
        <sz val="10"/>
        <rFont val="Arial"/>
      </rPr>
      <t xml:space="preserve">TRANSLATION:</t>
    </r>
    <r>
      <rPr>
        <sz val="10"/>
        <rFont val="Arial"/>
      </rPr>
      <t xml:space="preserve"> Scarlett did not hear what India said, but the writing she read in her gaze fixed on Stuart had the effect of pricking her conscience with a needle.</t>
    </r>
  </si>
  <si>
    <t xml:space="preserve">Pained body part</t>
  </si>
  <si>
    <t xml:space="preserve">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conscience at loving another woman's husband or reading that woman's mail disturbed her pleasure in her youth and charm and her renewed assurance of Ashley's love.</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</si>
  <si>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
    </r>
    <r>
      <rPr>
        <b/>
        <sz val="10"/>
        <rFont val="Arial"/>
      </rPr>
      <t xml:space="preserve">TRANS:</t>
    </r>
    <r>
      <rPr>
        <sz val="10"/>
        <rFont val="Arial"/>
      </rPr>
      <t xml:space="preserve"> Mysl' o tom, chto ona lyubit chuzhogo muzha i tol'ko chto taykom prochla ego pis'ma, adresovannye zhene, ne potrevozhila ee sovesti i ne omrachila radosti, kotoruyu davalo ey soznanie svoey molodosti, ocharovaniya i okrepshaya uverennost' v lyubvi Eshli.
</t>
    </r>
    <r>
      <rPr>
        <b/>
        <sz val="10"/>
        <rFont val="Arial"/>
      </rPr>
      <t xml:space="preserve">TRANSLATION:</t>
    </r>
    <r>
      <rPr>
        <sz val="10"/>
        <rFont val="Arial"/>
      </rPr>
      <t xml:space="preserve"> The thought that she loved another woman's husband and had just secretly read his letters addressed to his wife did not trouble her conscience, nor did it dim the joy that the awareness of her youth, charm, and strengthened conviction in Ashley's love brought her.</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</si>
  <si>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Өзінің басқа біреудің күйеуін жақсы көріп, жаңа ғана оның әйеліне жазған хаттарын жасырын оқығаны туралы ой оның арын мазаламады және оның жастық санасы, сүйкімділігі мен Эшлидің махаббатына деген сенімін нығайтқан қуаныш өшірмеді.
</t>
    </r>
    <r>
      <rPr>
        <b/>
        <sz val="10"/>
        <rFont val="Arial"/>
      </rPr>
      <t xml:space="preserve">TRANS:</t>
    </r>
    <r>
      <rPr>
        <sz val="10"/>
        <rFont val="Arial"/>
      </rPr>
      <t xml:space="preserve"> Özınıñ basqa bıreudıñ küieuın jaqsy körıp, jaña ğana onyñ äielıne jazğan hattaryn jasyryn oqyğany turaly oi onyñ aryn mazalamady jäne onyñ jastyq sanasy, süikımdılıgı men Eşlidıñ mahabbatyna degen senımın nyğaitqan quanyş öşırmedı.
</t>
    </r>
    <r>
      <rPr>
        <b/>
        <sz val="10"/>
        <rFont val="Arial"/>
      </rPr>
      <t xml:space="preserve">TRANSLATION:</t>
    </r>
    <r>
      <rPr>
        <sz val="10"/>
        <rFont val="Arial"/>
      </rPr>
      <t xml:space="preserve"> The thought that she loved someone else's husband and had just secretly read the letters he had written to his wife did not trouble her conscience/honor, nor did it extinguish the joy that her young consciousness, charm, and strengthened belief in Ashley's love had given her.</t>
    </r>
  </si>
  <si>
    <t xml:space="preserve">Conscience — Weight</t>
  </si>
  <si>
    <t xml:space="preserve">Feeling of weight</t>
  </si>
  <si>
    <t xml:space="preserve">Weight-bearer</t>
  </si>
  <si>
    <t xml:space="preserve">She had killed Frank. She had killed him just as surely as if it had been her finger that pulled the trigger. He had begged her not to go about alone but she had not listened to him. And now he was dead because of her obstinacy. God would punish her for that. But there lay upon her conscience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</si>
  <si>
    <r>
      <rPr>
        <b/>
        <sz val="10"/>
        <rFont val="Arial"/>
      </rPr>
      <t xml:space="preserve">TERM:</t>
    </r>
    <r>
      <rPr>
        <sz val="10"/>
        <rFont val="Arial"/>
      </rPr>
      <t xml:space="preserve">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b/>
        <sz val="10"/>
        <rFont val="Arial"/>
      </rPr>
      <t xml:space="preserve">PASSAGE:</t>
    </r>
    <r>
      <rPr>
        <sz val="10"/>
        <rFont val="Arial"/>
      </rPr>
      <t xml:space="preserv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b/>
        <sz val="10"/>
        <rFont val="Arial"/>
      </rPr>
      <t xml:space="preserve">TRANS:</t>
    </r>
    <r>
      <rPr>
        <sz val="10"/>
        <rFont val="Arial"/>
      </rPr>
      <t xml:space="preserve"> No na sovesti yeye lezhal i drugoy grekh — lezhal dazhe boleye tyazhkim i strashnym gruzom, chem yego smert'; i etot grekh nikogda ne trevozhil yeye, poka ona ne uvidela litso Frenka v grobu.
</t>
    </r>
    <r>
      <rPr>
        <b/>
        <sz val="10"/>
        <rFont val="Arial"/>
      </rPr>
      <t xml:space="preserve">TRANSLATION:</t>
    </r>
    <r>
      <rPr>
        <sz val="10"/>
        <rFont val="Arial"/>
      </rPr>
      <t xml:space="preserve"> But upon her conscience there lay also another sin — lay even as a heavier and more terrible burden than his death; and this sin had never troubled her until she saw Frank's face in the coffin.</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</si>
  <si>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Бірақ оның арына салмақ түсірген бұдан да ауыр қылмысы бар, ауырлығы сондай, күйеуінің өлімінен де сорақы..
</t>
    </r>
    <r>
      <rPr>
        <b/>
        <sz val="10"/>
        <rFont val="Arial"/>
      </rPr>
      <t xml:space="preserve">TRANS:</t>
    </r>
    <r>
      <rPr>
        <sz val="10"/>
        <rFont val="Arial"/>
      </rPr>
      <t xml:space="preserve"> Bıraq onyñ aryna salmaq tüsırgen būdan da auyr qylmysy bar, auyrlyğy sondai, küieuınıñ ölımınen de soraqy..
</t>
    </r>
    <r>
      <rPr>
        <b/>
        <sz val="10"/>
        <rFont val="Arial"/>
      </rPr>
      <t xml:space="preserve">TRANSLATION:</t>
    </r>
    <r>
      <rPr>
        <sz val="10"/>
        <rFont val="Arial"/>
      </rPr>
      <t xml:space="preserve"> But upon her conscience there lay an even heavier crime than this; so heavy, more dreadful even than her husband's death...</t>
    </r>
  </si>
  <si>
    <t xml:space="preserve">Weight-carrier</t>
  </si>
  <si>
    <t xml:space="preserve">"Now, Miss," he whispered briefly, "no hysterics and no deathbed confessions from you or, before God, I will wring your neck! Don't give me any of your innocent stares. You know what I mean. Miss Melly is going to die easily and you aren't going to ease your own conscience by telling her anything about Ashley. I've never harmed a woman yet, but if you say anything now—you'll answer to me."</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</si>
  <si>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Мисс Мелли умрет легко, а вы не облегчите своей совести, если скажете ей про Эшли.
</t>
    </r>
    <r>
      <rPr>
        <b/>
        <sz val="10"/>
        <rFont val="Arial"/>
      </rPr>
      <t xml:space="preserve">TRANS:</t>
    </r>
    <r>
      <rPr>
        <sz val="10"/>
        <rFont val="Arial"/>
      </rPr>
      <t xml:space="preserve"> Miss Melli umret legko, a vy ne oblegchite svoey sovesti, esli skazhete ey pro Eshli.
</t>
    </r>
    <r>
      <rPr>
        <b/>
        <sz val="10"/>
        <rFont val="Arial"/>
      </rPr>
      <t xml:space="preserve">TRANSLATION:</t>
    </r>
    <r>
      <rPr>
        <sz val="10"/>
        <rFont val="Arial"/>
      </rPr>
      <t xml:space="preserve"> Miss Melly will die easily, and you will not lighten your conscience if you tell her about Ashley.</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</si>
  <si>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Эшли туралы айтқаннан өз ұятыңыздың жүгін бәрібір жеңілдетпейсіз, Мелли ханым қиналмай кетсін.
</t>
    </r>
    <r>
      <rPr>
        <b/>
        <sz val="10"/>
        <rFont val="Arial"/>
      </rPr>
      <t xml:space="preserve">TRANS:</t>
    </r>
    <r>
      <rPr>
        <sz val="10"/>
        <rFont val="Arial"/>
      </rPr>
      <t xml:space="preserve"> Eşli turaly aitqannan öz ūiatyñyzdyñ jügın bärıbır jeñıldetpeisız, Melli hanym qinalmai ketsın.
</t>
    </r>
    <r>
      <rPr>
        <b/>
        <sz val="10"/>
        <rFont val="Arial"/>
      </rPr>
      <t xml:space="preserve">TRANSLATION:</t>
    </r>
    <r>
      <rPr>
        <sz val="10"/>
        <rFont val="Arial"/>
      </rPr>
      <t xml:space="preserve"> You will not lighten the burden on your own shame by telling about Ashley; let Mrs Melly go without suffering.</t>
    </r>
  </si>
  <si>
    <t xml:space="preserve">mild conscience burden</t>
  </si>
  <si>
    <t xml:space="preserve">"I'm glad you agree with me, Miss Scarlett. In a way, it's been on my conscience. Lots of folks have told me: 'Oh, forget about it, Frank,' but I can't. I couldn't hold up my head if I thought I'd done what wasn't right. Do you think I did right?"</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</si>
  <si>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А то это лежит у меня на совести.
</t>
    </r>
    <r>
      <rPr>
        <b/>
        <sz val="10"/>
        <rFont val="Arial"/>
      </rPr>
      <t xml:space="preserve">TRANS:</t>
    </r>
    <r>
      <rPr>
        <sz val="10"/>
        <rFont val="Arial"/>
      </rPr>
      <t xml:space="preserve"> A to eto lezhit u menya na sovesti.
</t>
    </r>
    <r>
      <rPr>
        <b/>
        <sz val="10"/>
        <rFont val="Arial"/>
      </rPr>
      <t xml:space="preserve">TRANSLATION:</t>
    </r>
    <r>
      <rPr>
        <sz val="10"/>
        <rFont val="Arial"/>
      </rPr>
      <t xml:space="preserve"> Otherwise this lies on my conscience.</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</si>
  <si>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Әйтпесе ұятыма салмақ болып жүр еді.
</t>
    </r>
    <r>
      <rPr>
        <b/>
        <sz val="10"/>
        <rFont val="Arial"/>
      </rPr>
      <t xml:space="preserve">TRANS:</t>
    </r>
    <r>
      <rPr>
        <sz val="10"/>
        <rFont val="Arial"/>
      </rPr>
      <t xml:space="preserve"> Äitpese ūiatyma salmaq bolyp jür edı.
</t>
    </r>
    <r>
      <rPr>
        <b/>
        <sz val="10"/>
        <rFont val="Arial"/>
      </rPr>
      <t xml:space="preserve">TRANSLATION:</t>
    </r>
    <r>
      <rPr>
        <sz val="10"/>
        <rFont val="Arial"/>
      </rPr>
      <t xml:space="preserve"> Otherwise this is becoming a weight on my conscience.</t>
    </r>
  </si>
  <si>
    <t xml:space="preserve">Expected reaction of conscience ABSENT – evading hospital duty</t>
  </si>
  <si>
    <t xml:space="preserve">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conscience as she watched them but only a feeling of vast relief that she had made her escape.</t>
  </si>
  <si>
    <r>
      <rPr>
        <b/>
        <sz val="10"/>
        <rFont val="Arial"/>
      </rPr>
      <t xml:space="preserve">TERM:</t>
    </r>
    <r>
      <rPr>
        <sz val="10"/>
        <rFont val="Arial"/>
      </rPr>
      <t xml:space="preserve"> ugryzeniy (угрызений) — pangs (gen. pl.) [ORD] (lemma: угрызение)
</t>
    </r>
    <r>
      <rPr>
        <b/>
        <sz val="10"/>
        <rFont val="Arial"/>
      </rPr>
      <t xml:space="preserve">PASSAGE:</t>
    </r>
    <r>
      <rPr>
        <sz val="10"/>
        <rFont val="Arial"/>
      </rPr>
      <t xml:space="preserve"> Наблюдая за этим, Скарлетт не испытывала угрызений совести — только чувство огромного облегчения оттого, что ей удалось сбежать.
</t>
    </r>
    <r>
      <rPr>
        <b/>
        <sz val="10"/>
        <rFont val="Arial"/>
      </rPr>
      <t xml:space="preserve">TRANS:</t>
    </r>
    <r>
      <rPr>
        <sz val="10"/>
        <rFont val="Arial"/>
      </rPr>
      <t xml:space="preserve"> Nablyudaya za etim, Skarlett ne ispytyvala ugryzeniy sovesti — tol'ko chuvstvo ogromnogo oblegcheniya ottogo, chto ey udalos' sbezhat'.
</t>
    </r>
    <r>
      <rPr>
        <b/>
        <sz val="10"/>
        <rFont val="Arial"/>
      </rPr>
      <t xml:space="preserve">TRANSLATION:</t>
    </r>
    <r>
      <rPr>
        <sz val="10"/>
        <rFont val="Arial"/>
      </rPr>
      <t xml:space="preserve"> Watching this, Scarlett felt no pangs of conscience — only a sense of immense relief that she had managed to escape.</t>
    </r>
  </si>
  <si>
    <r>
      <rPr>
        <b/>
        <sz val="10"/>
        <rFont val="Arial"/>
      </rPr>
      <t xml:space="preserve">TERM:</t>
    </r>
    <r>
      <rPr>
        <sz val="10"/>
        <rFont val="Arial"/>
      </rPr>
      <t xml:space="preserve"> ŪİALU (ҰЯЛУ) — to feel ashamed; to feel shy; to be embarrassed [KED, SZK]
</t>
    </r>
    <r>
      <rPr>
        <b/>
        <sz val="10"/>
        <rFont val="Arial"/>
      </rPr>
      <t xml:space="preserve">PASSAGE:</t>
    </r>
    <r>
      <rPr>
        <sz val="10"/>
        <rFont val="Arial"/>
      </rPr>
      <t xml:space="preserve"> Мұны көрген Скарлетт түк те ұялған жоқ
</t>
    </r>
    <r>
      <rPr>
        <b/>
        <sz val="10"/>
        <rFont val="Arial"/>
      </rPr>
      <t xml:space="preserve">TRANS:</t>
    </r>
    <r>
      <rPr>
        <sz val="10"/>
        <rFont val="Arial"/>
      </rPr>
      <t xml:space="preserve"> Mūny körgen Skarlett tük te ūialğan joq
</t>
    </r>
    <r>
      <rPr>
        <b/>
        <sz val="10"/>
        <rFont val="Arial"/>
      </rPr>
      <t xml:space="preserve">TRANSLATION:</t>
    </r>
    <r>
      <rPr>
        <sz val="10"/>
        <rFont val="Arial"/>
      </rPr>
      <t xml:space="preserve"> Seeing this, Scarlett felt no shame at all</t>
    </r>
  </si>
  <si>
    <t xml:space="preserve">conscience ABSENT reaction; no inner accusation</t>
  </si>
  <si>
    <t xml:space="preserve">That he was Suellen's fiance caused her no qualm of conscience. After the complete moral collapse which had sent her to Atlanta and to Rhett, the appropriation of her sister's betrothed seemed a minor affair and one not to be bothered with at this time.</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</si>
  <si>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То, что Фрэнк — жених Сьюлин, не вызвало у Скарлетт ни малейшего укора совести.
</t>
    </r>
    <r>
      <rPr>
        <b/>
        <sz val="10"/>
        <rFont val="Arial"/>
      </rPr>
      <t xml:space="preserve">TRANS:</t>
    </r>
    <r>
      <rPr>
        <sz val="10"/>
        <rFont val="Arial"/>
      </rPr>
      <t xml:space="preserve"> To, chto Frenk — zhenikh S'yulin, ne vyzvalo u Skarlett ni maleyshego ukora sovesti.
</t>
    </r>
    <r>
      <rPr>
        <b/>
        <sz val="10"/>
        <rFont val="Arial"/>
      </rPr>
      <t xml:space="preserve">TRANSLATION:</t>
    </r>
    <r>
      <rPr>
        <sz val="10"/>
        <rFont val="Arial"/>
      </rPr>
      <t xml:space="preserve"> The fact that Frank was Suellen's fiancé did not arouse the slightest reproach of conscience in Scarlett.</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</si>
  <si>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Фрэнк Сьюлиннің күйеу жігіті екені Скарлеттің титімдей де ұятын шақырмады.
</t>
    </r>
    <r>
      <rPr>
        <b/>
        <sz val="10"/>
        <rFont val="Arial"/>
      </rPr>
      <t xml:space="preserve">TRANS:</t>
    </r>
    <r>
      <rPr>
        <sz val="10"/>
        <rFont val="Arial"/>
      </rPr>
      <t xml:space="preserve"> Frenk Sülinnıñ küieu jıgıtı ekenı Skarlettıñ titımdei de ūiatyn şaqyrmady.
</t>
    </r>
    <r>
      <rPr>
        <b/>
        <sz val="10"/>
        <rFont val="Arial"/>
      </rPr>
      <t xml:space="preserve">TRANSLATION:</t>
    </r>
    <r>
      <rPr>
        <sz val="10"/>
        <rFont val="Arial"/>
      </rPr>
      <t xml:space="preserve"> That Frank was Suellen's betrothed did not call up the tiniest bit of shame in Scarlett.</t>
    </r>
  </si>
  <si>
    <t xml:space="preserve">Bad deed does not weigh on her conscience contrary to normal expectations; absent reaction</t>
  </si>
  <si>
    <t xml:space="preserve">He was so blithe about his murders her blood chilled. Words of moral indignation rose to her lips but suddenly she remembered the Yankee who lay under the tangle of scuppernong vines at Tara. He had not been on her conscience any more than a roach upon which she might have stepped. She could not sit in judgment on Rhett when she was as guilty as he.</t>
  </si>
  <si>
    <r>
      <rPr>
        <b/>
        <sz val="10"/>
        <rFont val="Arial"/>
      </rPr>
      <t xml:space="preserve">TERM:</t>
    </r>
    <r>
      <rPr>
        <sz val="10"/>
        <rFont val="Arial"/>
      </rPr>
      <t xml:space="preserve"> sovest' muchit ne bol'she (совесть мучит не больше) — conscience torments no more [ORD] (lemma: совесть)
</t>
    </r>
    <r>
      <rPr>
        <b/>
        <sz val="10"/>
        <rFont val="Arial"/>
      </rPr>
      <t xml:space="preserve">PASSAGE:</t>
    </r>
    <r>
      <rPr>
        <sz val="10"/>
        <rFont val="Arial"/>
      </rPr>
      <t xml:space="preserve"> torments her not more) Совесть ведь мучит ее не больше, чем если бы она раздавила таракана.
</t>
    </r>
    <r>
      <rPr>
        <b/>
        <sz val="10"/>
        <rFont val="Arial"/>
      </rPr>
      <t xml:space="preserve">TRANS:</t>
    </r>
    <r>
      <rPr>
        <sz val="10"/>
        <rFont val="Arial"/>
      </rPr>
      <t xml:space="preserve"> torments her not more) Sovest' ved' muchit ee ne bol'she, chem esli by ona razdavila tarakana.
</t>
    </r>
    <r>
      <rPr>
        <b/>
        <sz val="10"/>
        <rFont val="Arial"/>
      </rPr>
      <t xml:space="preserve">TRANSLATION:</t>
    </r>
    <r>
      <rPr>
        <sz val="10"/>
        <rFont val="Arial"/>
      </rPr>
      <t xml:space="preserve"> (torments her not more) Her conscience torments her no more than if she had crushed a cockroach.</t>
    </r>
  </si>
  <si>
    <r>
      <rPr>
        <b/>
        <sz val="10"/>
        <rFont val="Arial"/>
      </rPr>
      <t xml:space="preserve">TERM:</t>
    </r>
    <r>
      <rPr>
        <sz val="10"/>
        <rFont val="Arial"/>
      </rPr>
      <t xml:space="preserve"> ŪİAT (ҰЯТ) — shame; disgrace; sense of decency (also: that which is improper) [KED, SZK]
</t>
    </r>
    <r>
      <rPr>
        <b/>
        <sz val="10"/>
        <rFont val="Arial"/>
      </rPr>
      <t xml:space="preserve">PASSAGE:</t>
    </r>
    <r>
      <rPr>
        <sz val="10"/>
        <rFont val="Arial"/>
      </rPr>
      <t xml:space="preserve"> Аяғымен байқаусызда жердегі қоңызды басып кету емес қой ол, әрине, ұяты өзін де үнемі қинап жүретін
</t>
    </r>
    <r>
      <rPr>
        <b/>
        <sz val="10"/>
        <rFont val="Arial"/>
      </rPr>
      <t xml:space="preserve">TRANS:</t>
    </r>
    <r>
      <rPr>
        <sz val="10"/>
        <rFont val="Arial"/>
      </rPr>
      <t xml:space="preserve"> Aiağymen baiqausyzda jerdegı qoñyzdy basyp ketu emes qoi ol, ärine, ūiaty özın de ünemı qinap jüretın
</t>
    </r>
    <r>
      <rPr>
        <b/>
        <sz val="10"/>
        <rFont val="Arial"/>
      </rPr>
      <t xml:space="preserve">TRANSLATION:</t>
    </r>
    <r>
      <rPr>
        <sz val="10"/>
        <rFont val="Arial"/>
      </rPr>
      <t xml:space="preserve"> Of course, it was not as though she had accidentally stepped on a beetle on the ground — her shame would not constantly torment her either</t>
    </r>
  </si>
  <si>
    <t xml:space="preserve">Bad deed does not weigh on Rhett’s conscience contrary to normal expectations; absent reaction</t>
  </si>
  <si>
    <t xml:space="preserve">"I suppose you think it's honest to keep the Confederate money. Well, it isn't. It's plain out and out stealing and you know it. I wouldn't have that on my conscience."</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</si>
  <si>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Я бы не хотела жить с таким пятном на совести.
</t>
    </r>
    <r>
      <rPr>
        <b/>
        <sz val="10"/>
        <rFont val="Arial"/>
      </rPr>
      <t xml:space="preserve">TRANS:</t>
    </r>
    <r>
      <rPr>
        <sz val="10"/>
        <rFont val="Arial"/>
      </rPr>
      <t xml:space="preserve"> Ya by ne khotela zhit' s takim pyatnom na sovesti.
</t>
    </r>
    <r>
      <rPr>
        <b/>
        <sz val="10"/>
        <rFont val="Arial"/>
      </rPr>
      <t xml:space="preserve">TRANSLATION:</t>
    </r>
    <r>
      <rPr>
        <sz val="10"/>
        <rFont val="Arial"/>
      </rPr>
      <t xml:space="preserve"> I would not want to live with such a stain on my conscience.</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</si>
  <si>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Арыма дақ түсіретін қылмыспен мен еркін өмір сүріп жүре алмас едім.
</t>
    </r>
    <r>
      <rPr>
        <b/>
        <sz val="10"/>
        <rFont val="Arial"/>
      </rPr>
      <t xml:space="preserve">TRANS:</t>
    </r>
    <r>
      <rPr>
        <sz val="10"/>
        <rFont val="Arial"/>
      </rPr>
      <t xml:space="preserve"> Aryma daq tüsıretın qylmyspen men erkın ömır sürıp jüre almas edım.
</t>
    </r>
    <r>
      <rPr>
        <b/>
        <sz val="10"/>
        <rFont val="Arial"/>
      </rPr>
      <t xml:space="preserve">TRANSLATION:</t>
    </r>
    <r>
      <rPr>
        <sz val="10"/>
        <rFont val="Arial"/>
      </rPr>
      <t xml:space="preserve"> I could not live freely with a crime that would put a stain on my conscience.</t>
    </r>
  </si>
  <si>
    <t xml:space="preserve">Scarlett was silent because she knew he was telling the truth and she could think of nothing to say. She had never expected Will, of all people, to sit in judgment on her. Moreover the lie she had told Frank had never weighed heavily upon her conscience. If a girl couldn't keep a beau, she deserved to lose him.</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</si>
  <si>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А кроме того, ложь, которую она сказала Фрэнку, никогда не отягощала ее совести.
</t>
    </r>
    <r>
      <rPr>
        <b/>
        <sz val="10"/>
        <rFont val="Arial"/>
      </rPr>
      <t xml:space="preserve">TRANS:</t>
    </r>
    <r>
      <rPr>
        <sz val="10"/>
        <rFont val="Arial"/>
      </rPr>
      <t xml:space="preserve"> A krome togo, lozh', kotoruyu ona skazala Frenku, nikogda ne otyagoshchala ee sovesti.
</t>
    </r>
    <r>
      <rPr>
        <b/>
        <sz val="10"/>
        <rFont val="Arial"/>
      </rPr>
      <t xml:space="preserve">TRANSLATION:</t>
    </r>
    <r>
      <rPr>
        <sz val="10"/>
        <rFont val="Arial"/>
      </rPr>
      <t xml:space="preserve"> Besides, the lie she had told Frank had never weighed on her conscience.</t>
    </r>
  </si>
  <si>
    <r>
      <rPr>
        <b/>
        <sz val="10"/>
        <rFont val="Arial"/>
      </rPr>
      <t xml:space="preserve">TERM:</t>
    </r>
    <r>
      <rPr>
        <sz val="10"/>
        <rFont val="Arial"/>
      </rPr>
      <t xml:space="preserve"> JÜREK (ЖҮРЕК) — heart (literal and figurative) [KED, SZK]
</t>
    </r>
    <r>
      <rPr>
        <b/>
        <sz val="10"/>
        <rFont val="Arial"/>
      </rPr>
      <t xml:space="preserve">PASSAGE:</t>
    </r>
    <r>
      <rPr>
        <sz val="10"/>
        <rFont val="Arial"/>
      </rPr>
      <t xml:space="preserve"> Фрэнкке айтқан өтірігі өз жүрегіне ешқашан салмақ салып көрмеген еді.
</t>
    </r>
    <r>
      <rPr>
        <b/>
        <sz val="10"/>
        <rFont val="Arial"/>
      </rPr>
      <t xml:space="preserve">TRANS:</t>
    </r>
    <r>
      <rPr>
        <sz val="10"/>
        <rFont val="Arial"/>
      </rPr>
      <t xml:space="preserve"> Frenkke aitqan ötırıgı öz jüregıne eşqaşan salmaq salyp körmegen edı.
</t>
    </r>
    <r>
      <rPr>
        <b/>
        <sz val="10"/>
        <rFont val="Arial"/>
      </rPr>
      <t xml:space="preserve">TRANSLATION:</t>
    </r>
    <r>
      <rPr>
        <sz val="10"/>
        <rFont val="Arial"/>
      </rPr>
      <t xml:space="preserve"> The lie she had told Frank had never weighed on her heart.</t>
    </r>
  </si>
  <si>
    <t xml:space="preserve">conscience as tormentor, almost absent; forgetting Ellen</t>
  </si>
  <si>
    <t xml:space="preserve">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conscience now.</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</si>
  <si>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
    </r>
    <r>
      <rPr>
        <b/>
        <sz val="10"/>
        <rFont val="Arial"/>
      </rPr>
      <t xml:space="preserve">TRANS:</t>
    </r>
    <r>
      <rPr>
        <sz val="10"/>
        <rFont val="Arial"/>
      </rPr>
      <t xml:space="preserve"> No ona uzhe ne raz narushala printsipy Ellin posle togo dalekogo dnya, kogda, stoya v gostinoy Tary, reshila stat' lyubovnitsey Retta, i nel'zya skazat', chtoby teper' ee chasto muchila iz-za etogo sovest'.
</t>
    </r>
    <r>
      <rPr>
        <b/>
        <sz val="10"/>
        <rFont val="Arial"/>
      </rPr>
      <t xml:space="preserve">TRANSLATION:</t>
    </r>
    <r>
      <rPr>
        <sz val="10"/>
        <rFont val="Arial"/>
      </rPr>
      <t xml:space="preserve"> But she had already broken Ellen's principles more than once since that distant day when, standing in the parlor at Tara, she decided to become Rhett's mistress, and one cannot say that her conscience tormented her much over it any more.</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</si>
  <si>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ар-ұяты ертеректегідей аса көп жанын да қинай бермейді.
</t>
    </r>
    <r>
      <rPr>
        <b/>
        <sz val="10"/>
        <rFont val="Arial"/>
      </rPr>
      <t xml:space="preserve">TRANS:</t>
    </r>
    <r>
      <rPr>
        <sz val="10"/>
        <rFont val="Arial"/>
      </rPr>
      <t xml:space="preserve"> Bıraq özı de sol Elinnıñ ūstanymdaryn Taradağy qonaq bölmede tūryp, Rettıñ naqsüierı boluğa şeşım şyğarğan sätten bastap, bälen ret būzğan-dy, sodan ba, būl künderı ar-ūiaty erterektegıdei asa köp janyn da qinai bermeidı.
</t>
    </r>
    <r>
      <rPr>
        <b/>
        <sz val="10"/>
        <rFont val="Arial"/>
      </rPr>
      <t xml:space="preserve">TRANSLATION:</t>
    </r>
    <r>
      <rPr>
        <sz val="10"/>
        <rFont val="Arial"/>
      </rPr>
      <t xml:space="preserve"> But she herself had broken those principles of Ellen's many times since the moment when, standing in the Tara parlor, she resolved to become Rhett's mistress; perhaps because of this, in those days her conscience no longer tormented her soul as much as before.</t>
    </r>
  </si>
  <si>
    <t xml:space="preserve">conscience ABSENT reaction when reaction was expected</t>
  </si>
  <si>
    <t xml:space="preserve">"You misunderstand. I regret to say that my conscience has not troubled me at all about deserting you. But as for enlisting—when I think of joining the army in varnished boots and a white linen suit and armed with only a pair of dueling pistols— And those long cold miles in the snow after my boots wore out and I had no overcoat and nothing to eat...I cannot understand why I did not desert. It was all the purest insanity. But it's in one's blood. Southerners can never resist a losing cause. But never mind my reasons. It's enough that I'm forgiven."</t>
  </si>
  <si>
    <r>
      <rPr>
        <b/>
        <sz val="10"/>
        <rFont val="Arial"/>
      </rPr>
      <t xml:space="preserve">TERM:</t>
    </r>
    <r>
      <rPr>
        <sz val="10"/>
        <rFont val="Arial"/>
      </rPr>
      <t xml:space="preserve"> sovest' (совесть) — conscience; the inner moral faculty [ORD]
</t>
    </r>
    <r>
      <rPr>
        <b/>
        <sz val="10"/>
        <rFont val="Arial"/>
      </rPr>
      <t xml:space="preserve">PASSAGE:</t>
    </r>
    <r>
      <rPr>
        <sz val="10"/>
        <rFont val="Arial"/>
      </rPr>
      <t xml:space="preserve"> К великому сожалению, я вынужден признать: совесть не мучила меня при мысли, что я вас бросил.
</t>
    </r>
    <r>
      <rPr>
        <b/>
        <sz val="10"/>
        <rFont val="Arial"/>
      </rPr>
      <t xml:space="preserve">TRANS:</t>
    </r>
    <r>
      <rPr>
        <sz val="10"/>
        <rFont val="Arial"/>
      </rPr>
      <t xml:space="preserve"> K velikomu sozhaleniyu, ya vynuzhden priznat': sovest' ne muchila menya pri mysli, chto ya vas brosil.
</t>
    </r>
    <r>
      <rPr>
        <b/>
        <sz val="10"/>
        <rFont val="Arial"/>
      </rPr>
      <t xml:space="preserve">TRANSLATION:</t>
    </r>
    <r>
      <rPr>
        <sz val="10"/>
        <rFont val="Arial"/>
      </rPr>
      <t xml:space="preserve"> To my great regret, I am forced to admit: my conscience did not torment me at the thought that I had abandoned you.</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</si>
  <si>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Өз арыңыз, ұятыңыз туралы ұмытыңыз, Скарлетт.
</t>
    </r>
    <r>
      <rPr>
        <b/>
        <sz val="10"/>
        <rFont val="Arial"/>
      </rPr>
      <t xml:space="preserve">TRANS:</t>
    </r>
    <r>
      <rPr>
        <sz val="10"/>
        <rFont val="Arial"/>
      </rPr>
      <t xml:space="preserve"> Öz aryñyz, ūiatyñyz turaly ūmytyñyz, Skarlett.
</t>
    </r>
    <r>
      <rPr>
        <b/>
        <sz val="10"/>
        <rFont val="Arial"/>
      </rPr>
      <t xml:space="preserve">TRANSLATION:</t>
    </r>
    <r>
      <rPr>
        <sz val="10"/>
        <rFont val="Arial"/>
      </rPr>
      <t xml:space="preserve"> Forget about your ar [conscience] and your shame, Scarlett.</t>
    </r>
  </si>
  <si>
    <t xml:space="preserve">Not specified, general moral faculty</t>
  </si>
  <si>
    <t xml:space="preserve">"To England and I may be gone for months. Forget your conscience, Scarlett. I have no intention of discussing your soul's welfare any further. Don't you want to hear my news?"</t>
  </si>
  <si>
    <r>
      <rPr>
        <b/>
        <sz val="10"/>
        <rFont val="Arial"/>
      </rPr>
      <t xml:space="preserve">TERM:</t>
    </r>
    <r>
      <rPr>
        <sz val="10"/>
        <rFont val="Arial"/>
      </rPr>
      <t xml:space="preserve"> sovesti (совести) — conscience (gen./dat./prep.) [ORD] (lemma: совесть)
</t>
    </r>
    <r>
      <rPr>
        <b/>
        <sz val="10"/>
        <rFont val="Arial"/>
      </rPr>
      <t xml:space="preserve">PASSAGE:</t>
    </r>
    <r>
      <rPr>
        <sz val="10"/>
        <rFont val="Arial"/>
      </rPr>
      <t xml:space="preserve"> Забудьте о своей совести, Скарлетт.
</t>
    </r>
    <r>
      <rPr>
        <b/>
        <sz val="10"/>
        <rFont val="Arial"/>
      </rPr>
      <t xml:space="preserve">TRANS:</t>
    </r>
    <r>
      <rPr>
        <sz val="10"/>
        <rFont val="Arial"/>
      </rPr>
      <t xml:space="preserve"> Zabud'te o svoey sovesti, Skarlett.
</t>
    </r>
    <r>
      <rPr>
        <b/>
        <sz val="10"/>
        <rFont val="Arial"/>
      </rPr>
      <t xml:space="preserve">TRANSLATION:</t>
    </r>
    <r>
      <rPr>
        <sz val="10"/>
        <rFont val="Arial"/>
      </rPr>
      <t xml:space="preserve"> Forget about your conscience, Scarlett.</t>
    </r>
  </si>
  <si>
    <r>
      <rPr>
        <b/>
        <sz val="10"/>
        <rFont val="Arial"/>
      </rPr>
      <t xml:space="preserve">TERM:</t>
    </r>
    <r>
      <rPr>
        <sz val="10"/>
        <rFont val="Arial"/>
      </rPr>
      <t xml:space="preserve"> AR (АР) — self-respect; conscience; shame; honor; ŪIAT (ҰЯТ) — conscience; shame; disgrace; sense of shame [KED, SZK]
</t>
    </r>
    <r>
      <rPr>
        <b/>
        <sz val="10"/>
        <rFont val="Arial"/>
      </rPr>
      <t xml:space="preserve">PASSAGE:</t>
    </r>
    <r>
      <rPr>
        <sz val="10"/>
        <rFont val="Arial"/>
      </rPr>
      <t xml:space="preserve"> Өз арыңыз, ұятыңыз туралы ұмытыңыз, Скарлетт.
</t>
    </r>
    <r>
      <rPr>
        <b/>
        <sz val="10"/>
        <rFont val="Arial"/>
      </rPr>
      <t xml:space="preserve">TRANS:</t>
    </r>
    <r>
      <rPr>
        <sz val="10"/>
        <rFont val="Arial"/>
      </rPr>
      <t xml:space="preserve"> Öz ar-yñyz, ūiat-yñyz turaly ūmyt-yñyz, Skarlett.
</t>
    </r>
    <r>
      <rPr>
        <b/>
        <sz val="10"/>
        <rFont val="Arial"/>
      </rPr>
      <t xml:space="preserve">GLOSS:</t>
    </r>
    <r>
      <rPr>
        <sz val="10"/>
        <rFont val="Arial"/>
      </rPr>
      <t xml:space="preserve"> REFL honor/conscience-POSS.2SG.POL shame-POSS.2SG.POL about forget-IMP.2SG.POL Scarlett
</t>
    </r>
    <r>
      <rPr>
        <b/>
        <sz val="10"/>
        <rFont val="Arial"/>
      </rPr>
      <t xml:space="preserve">TRANSLATION:</t>
    </r>
    <r>
      <rPr>
        <sz val="10"/>
        <rFont val="Arial"/>
      </rPr>
      <t xml:space="preserve"> Forget about your conscience and shame, Scarlett.</t>
    </r>
  </si>
  <si>
    <t xml:space="preserve">HONOR DOMAIN</t>
  </si>
  <si>
    <t xml:space="preserve">Honor — Moral code</t>
  </si>
  <si>
    <t xml:space="preserve">honor as absolute inner principle — above life; not negotiable (Ashley)</t>
  </si>
  <si>
    <t xml:space="preserve">"Nothing," he said quietly, "nothing—except honor."</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</si>
  <si>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Ничто, — ровным голосом повторил он, — ничто, кроме чести.
</t>
    </r>
    <r>
      <rPr>
        <b/>
        <sz val="10"/>
        <rFont val="Arial"/>
      </rPr>
      <t xml:space="preserve">TRANS:</t>
    </r>
    <r>
      <rPr>
        <sz val="10"/>
        <rFont val="Arial"/>
      </rPr>
      <t xml:space="preserve"> Nichto, — rovnym golosom povtoril on, — nichto, krome chesti.
</t>
    </r>
    <r>
      <rPr>
        <b/>
        <sz val="10"/>
        <rFont val="Arial"/>
      </rPr>
      <t xml:space="preserve">TRANSLATION:</t>
    </r>
    <r>
      <rPr>
        <sz val="10"/>
        <rFont val="Arial"/>
      </rPr>
      <t xml:space="preserve"> Nothing, — he repeated in an even voice, — nothing except honor.</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</si>
  <si>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Ештеңе жоқ, - деп қайталады ол да,  - ар-ұяттан басқа ештеңе жоқ.
</t>
    </r>
    <r>
      <rPr>
        <b/>
        <sz val="10"/>
        <rFont val="Arial"/>
      </rPr>
      <t xml:space="preserve">TRANS:</t>
    </r>
    <r>
      <rPr>
        <sz val="10"/>
        <rFont val="Arial"/>
      </rPr>
      <t xml:space="preserve"> Eşteñe joq, - dep qaitalady ol da,  - ar-ūiattan basqa eşteñe joq.
</t>
    </r>
    <r>
      <rPr>
        <b/>
        <sz val="10"/>
        <rFont val="Arial"/>
      </rPr>
      <t xml:space="preserve">TRANSLATION:</t>
    </r>
    <r>
      <rPr>
        <sz val="10"/>
        <rFont val="Arial"/>
      </rPr>
      <t xml:space="preserve"> There is nothing, — he repeated, — nothing other than conscience/honor.</t>
    </r>
  </si>
  <si>
    <t xml:space="preserve">Scarlett writhed at his words. Of course, Ashley loved her for just these things. It was this knowledge that made life endurable, this knowledge that Ashley, bound by honor, loved her from afar for beautiful things deep buried in her that he alone could see. But they did not seem so beautiful when dragged to the light by Rhett, especially in that deceptively smooth voice that covered sarcasm.</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</si>
  <si>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
    </r>
    <r>
      <rPr>
        <b/>
        <sz val="10"/>
        <rFont val="Arial"/>
      </rPr>
      <t xml:space="preserve">TRANS:</t>
    </r>
    <r>
      <rPr>
        <sz val="10"/>
        <rFont val="Arial"/>
      </rPr>
      <t xml:space="preserve"> Soznanie togo, chto Eshli, svyazannyy soobrazheniyami chesti, lyubit ee na rasstoyanii za to prekrasnoe, chto gluboko skryto v ney i chto odin, tol'ko on vidit, — eto soznanie kak raz i pozvolyalo ey zhit'.
</t>
    </r>
    <r>
      <rPr>
        <b/>
        <sz val="10"/>
        <rFont val="Arial"/>
      </rPr>
      <t xml:space="preserve">TRANSLATION:</t>
    </r>
    <r>
      <rPr>
        <sz val="10"/>
        <rFont val="Arial"/>
      </rPr>
      <t xml:space="preserve"> The awareness that Ashley, bound by considerations of honor, loves her from a distance for the beautiful that is deeply hidden in her, which only he sees — this awareness was precisely what allowed her to live.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</si>
  <si>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Ар-ождан 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
</t>
    </r>
    <r>
      <rPr>
        <b/>
        <sz val="10"/>
        <rFont val="Arial"/>
      </rPr>
      <t xml:space="preserve">TRANS:</t>
    </r>
    <r>
      <rPr>
        <sz val="10"/>
        <rFont val="Arial"/>
      </rPr>
      <t xml:space="preserve"> Ar-ojdan tazalyğyn bärınen biık qoiğandyqtan da Eşli päk sezımın lastamas üşın boiyn aulaq sala ūstap, mūnyñ tereñge jasyrylğan asyp qasietterıne bola jaqsy köredı.
</t>
    </r>
    <r>
      <rPr>
        <b/>
        <sz val="10"/>
        <rFont val="Arial"/>
      </rPr>
      <t xml:space="preserve">TRANSLATION:</t>
    </r>
    <r>
      <rPr>
        <sz val="10"/>
        <rFont val="Arial"/>
      </rPr>
      <t xml:space="preserve"> Because he placed the purity of his conscience above all, Ashley keeps himself at a distance so as not to soil his pure feeling; he loves her for the noble qualities hidden deep within her.</t>
    </r>
  </si>
  <si>
    <t xml:space="preserve">Knowing how Ashley valued honor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</si>
  <si>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Зная, что Эшли ставит честь выше жизни, Скарлетт понимала, что он, должно быть, кипит от ярости.
</t>
    </r>
    <r>
      <rPr>
        <b/>
        <sz val="10"/>
        <rFont val="Arial"/>
      </rPr>
      <t xml:space="preserve">TRANS:</t>
    </r>
    <r>
      <rPr>
        <sz val="10"/>
        <rFont val="Arial"/>
      </rPr>
      <t xml:space="preserve"> Znaya, chto Eshli stavit chest' vyshe zhizni, Skarlett ponimala, chto on, dolzhno byt', kipit ot yarosti.
</t>
    </r>
    <r>
      <rPr>
        <b/>
        <sz val="10"/>
        <rFont val="Arial"/>
      </rPr>
      <t xml:space="preserve">TRANSLATION:</t>
    </r>
    <r>
      <rPr>
        <sz val="10"/>
        <rFont val="Arial"/>
      </rPr>
      <t xml:space="preserve"> Knowing that Ashley placed honor above life, Scarlett understood that he must be seething with rage.</t>
    </r>
  </si>
  <si>
    <r>
      <rPr>
        <b/>
        <sz val="10"/>
        <rFont val="Arial"/>
      </rPr>
      <t xml:space="preserve">TERM:</t>
    </r>
    <r>
      <rPr>
        <sz val="10"/>
        <rFont val="Arial"/>
      </rPr>
      <t xml:space="preserve"> AR-NAMYS (АР-НАМЫС) — honour; observable behavioural code (compound) [KED, SZK]
</t>
    </r>
    <r>
      <rPr>
        <b/>
        <sz val="10"/>
        <rFont val="Arial"/>
      </rPr>
      <t xml:space="preserve">PASSAGE:</t>
    </r>
    <r>
      <rPr>
        <sz val="10"/>
        <rFont val="Arial"/>
      </rPr>
      <t xml:space="preserve"> Эшлидің ар-намысын өмірінен де жоғары қоятынын білген Скарлетт оның ыза мен өкініштен жарылардай боп жүргенін топшылайды.
</t>
    </r>
    <r>
      <rPr>
        <b/>
        <sz val="10"/>
        <rFont val="Arial"/>
      </rPr>
      <t xml:space="preserve">TRANS:</t>
    </r>
    <r>
      <rPr>
        <sz val="10"/>
        <rFont val="Arial"/>
      </rPr>
      <t xml:space="preserve"> Eşlidıñ ar-namysyn ömırınen de joğary qoiatynyn bılgen Skarlett onyñ yza men ökınışten jarylardai bop jürgenın topşylaidy.
</t>
    </r>
    <r>
      <rPr>
        <b/>
        <sz val="10"/>
        <rFont val="Arial"/>
      </rPr>
      <t xml:space="preserve">TRANSLATION:</t>
    </r>
    <r>
      <rPr>
        <sz val="10"/>
        <rFont val="Arial"/>
      </rPr>
      <t xml:space="preserve"> Knowing that Ashley places his honor-pride above his very life, Scarlett guesses that he is on the verge of bursting from anger and regret.</t>
    </r>
  </si>
  <si>
    <t xml:space="preserve">Honor — Nobility of character</t>
  </si>
  <si>
    <t xml:space="preserve">dishonor / absent honor — violation or accusation; outside the code</t>
  </si>
  <si>
    <t xml:space="preserve">"Yes, you will listen. And I'll tell you this to ease your worry. Miss Melly is a fool but not the kind you think. It was obvious that someone had told her but she didn't believe it. Even if she saw, she wouldn't believe. There's too much honor in her to conceive of dishonor in anyone she loves. I don't know what lie Ashley Wilkes told her—but any clumsy one would do, for she loves Ashley and she loves you. I'm sure I can't see why she loves you but she does. Let that be one of your crosses."</t>
  </si>
  <si>
    <r>
      <rPr>
        <b/>
        <sz val="10"/>
        <rFont val="Arial"/>
      </rPr>
      <t xml:space="preserve">TERM:</t>
    </r>
    <r>
      <rPr>
        <sz val="10"/>
        <rFont val="Arial"/>
      </rPr>
      <t xml:space="preserve"> blagorodstvo (благородство) — nobility; nobleness of character [ORD]
</t>
    </r>
    <r>
      <rPr>
        <b/>
        <sz val="10"/>
        <rFont val="Arial"/>
      </rPr>
      <t xml:space="preserve">PASSAGE:</t>
    </r>
    <r>
      <rPr>
        <sz val="10"/>
        <rFont val="Arial"/>
      </rPr>
      <t xml:space="preserv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
    </r>
    <r>
      <rPr>
        <b/>
        <sz val="10"/>
        <rFont val="Arial"/>
      </rPr>
      <t xml:space="preserve">TRANS:</t>
    </r>
    <r>
      <rPr>
        <sz val="10"/>
        <rFont val="Arial"/>
      </rPr>
      <t xml:space="preserve"> otsutstvie blagorodstva (otsutstvie blagorodstva) = nobleness, absence of nobleness Slishkom mnogo v ney blagorodstva, chtoby ona mogla poverit' v otsutstvie blagorodstva u tekh, kogo lyubit.
</t>
    </r>
    <r>
      <rPr>
        <b/>
        <sz val="10"/>
        <rFont val="Arial"/>
      </rPr>
      <t xml:space="preserve">TRANSLATION:</t>
    </r>
    <r>
      <rPr>
        <sz val="10"/>
        <rFont val="Arial"/>
      </rPr>
      <t xml:space="preserve"> absence of nobility = There is too much nobility in her for her to be able to believe in the absence of nobility in those whom she loves.</t>
    </r>
  </si>
  <si>
    <r>
      <rPr>
        <b/>
        <sz val="10"/>
        <rFont val="Arial"/>
      </rPr>
      <t xml:space="preserve">TERM:</t>
    </r>
    <r>
      <rPr>
        <sz val="10"/>
        <rFont val="Arial"/>
      </rPr>
      <t xml:space="preserve"> Janınıñ asıldığı, päktigi (Жанының асылдығы, пәктігі) = the nobility and purity of her soul
</t>
    </r>
    <r>
      <rPr>
        <b/>
        <sz val="10"/>
        <rFont val="Arial"/>
      </rPr>
      <t xml:space="preserve">PASSAGE:</t>
    </r>
    <r>
      <rPr>
        <sz val="10"/>
        <rFont val="Arial"/>
      </rPr>
      <t xml:space="preserve"> Жанының асылдығы, пәктігі сондай өзі аса қатты жақсы көретін адамының сатқын болуы мүмкін екеніне сене алмайды.
</t>
    </r>
    <r>
      <rPr>
        <b/>
        <sz val="10"/>
        <rFont val="Arial"/>
      </rPr>
      <t xml:space="preserve">TRANS:</t>
    </r>
    <r>
      <rPr>
        <sz val="10"/>
        <rFont val="Arial"/>
      </rPr>
      <t xml:space="preserve"> Janynyñ asyldyğy, päktıgı sondai özı asa qatty jaqsy köretın adamynyñ satqyn boluy mümkın ekenıne sene almaidy.
</t>
    </r>
    <r>
      <rPr>
        <b/>
        <sz val="10"/>
        <rFont val="Arial"/>
      </rPr>
      <t xml:space="preserve">TRANSLATION:</t>
    </r>
    <r>
      <rPr>
        <sz val="10"/>
        <rFont val="Arial"/>
      </rPr>
      <t xml:space="preserve"> The nobility, the purity of her soul is such that she cannot believe that the person she loves so very much could be a traitor.</t>
    </r>
  </si>
  <si>
    <t xml:space="preserve">Scarlett sacrificed herself and did shameful things to prevent Ashley from doing dishonorable things</t>
  </si>
  <si>
    <t xml:space="preserve">"Yes, it's done now," he said with slow bitterness. "You wouldn't have let me do anything dishonorable but you would sell yourself to a man you didn't love—and bear his child, so that my family and I wouldn't starve. It was kind of you to shelter my helplessness."</t>
  </si>
  <si>
    <r>
      <rPr>
        <b/>
        <sz val="10"/>
        <rFont val="Arial"/>
      </rPr>
      <t xml:space="preserve">TERM:</t>
    </r>
    <r>
      <rPr>
        <sz val="10"/>
        <rFont val="Arial"/>
      </rPr>
      <t xml:space="preserve"> beschestnyy (бесчестный) — dishonourable; ignoble [ORD]
</t>
    </r>
    <r>
      <rPr>
        <b/>
        <sz val="10"/>
        <rFont val="Arial"/>
      </rPr>
      <t xml:space="preserve">PASSAGE:</t>
    </r>
    <r>
      <rPr>
        <sz val="10"/>
        <rFont val="Arial"/>
      </rPr>
      <t xml:space="preserv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
    </r>
    <r>
      <rPr>
        <b/>
        <sz val="10"/>
        <rFont val="Arial"/>
      </rPr>
      <t xml:space="preserve">TRANS:</t>
    </r>
    <r>
      <rPr>
        <sz val="10"/>
        <rFont val="Arial"/>
      </rPr>
      <t xml:space="preserve"> Vy by ne dopustili, chtoby ya sovershil beschestnyy postupok, a sami prodalis' cheloveku, kotorogo ne lyubili, i teper' nosite pod serdtsem ego rebenka, i vse radi togo, chtoby ya i moya sem'ya ne umerli s golodu.
</t>
    </r>
    <r>
      <rPr>
        <b/>
        <sz val="10"/>
        <rFont val="Arial"/>
      </rPr>
      <t xml:space="preserve">TRANSLATION:</t>
    </r>
    <r>
      <rPr>
        <sz val="10"/>
        <rFont val="Arial"/>
      </rPr>
      <t xml:space="preserve"> You would never have allowed me to commit a dishonorable deed, and yet you sold yourself to a man you did not love, and now bear his child beneath your heart, all so that I and my family would not die of starvation.</t>
    </r>
  </si>
  <si>
    <r>
      <rPr>
        <b/>
        <sz val="10"/>
        <rFont val="Arial"/>
      </rPr>
      <t xml:space="preserve">TERM:</t>
    </r>
    <r>
      <rPr>
        <sz val="10"/>
        <rFont val="Arial"/>
      </rPr>
      <t xml:space="preserve"> ARSYZDYQ (АРСЫЗДЫҚ) - shamelessness
</t>
    </r>
    <r>
      <rPr>
        <b/>
        <sz val="10"/>
        <rFont val="Arial"/>
      </rPr>
      <t xml:space="preserve">PASSAGE:</t>
    </r>
    <r>
      <rPr>
        <sz val="10"/>
        <rFont val="Arial"/>
      </rPr>
      <t xml:space="preserve"> Мені арсыздыққа қайтсеңіз де жібермес едіңіз, бірақ өзіңізді еш сүймейтін адамға сатып жібердіңіз де, жүрегіңіздің астында соның баласын сақтап жүрсіз.
</t>
    </r>
    <r>
      <rPr>
        <b/>
        <sz val="10"/>
        <rFont val="Arial"/>
      </rPr>
      <t xml:space="preserve">TRANS:</t>
    </r>
    <r>
      <rPr>
        <sz val="10"/>
        <rFont val="Arial"/>
      </rPr>
      <t xml:space="preserve"> Menı arsyzdyqqa qaitseñız de jıbermes edıñız, bıraq özıñızdı eş süimeitın adamğa satyp jıberdıñız de, jüregıñızdıñ astynda sonyñ balasyn saqtap jürsız.
</t>
    </r>
    <r>
      <rPr>
        <b/>
        <sz val="10"/>
        <rFont val="Arial"/>
      </rPr>
      <t xml:space="preserve">TRANSLATION:</t>
    </r>
    <r>
      <rPr>
        <sz val="10"/>
        <rFont val="Arial"/>
      </rPr>
      <t xml:space="preserve"> You, no matter what, would not have let me act shamelessly, but you yourself sold yourself off to a man you did not love at all, and now you carry his child beneath your heart.</t>
    </r>
  </si>
  <si>
    <t xml:space="preserve">Non-scrupulous</t>
  </si>
  <si>
    <r>
      <rPr>
        <b/>
        <sz val="10"/>
        <rFont val="Arial"/>
      </rPr>
      <t xml:space="preserve">TERM:</t>
    </r>
    <r>
      <rPr>
        <sz val="10"/>
        <rFont val="Arial"/>
      </rPr>
      <t xml:space="preserve"> poryadochnost' (порядочность) — decency; respectability; integrity [ORD]
</t>
    </r>
    <r>
      <rPr>
        <b/>
        <sz val="10"/>
        <rFont val="Arial"/>
      </rPr>
      <t xml:space="preserve">PASSAGE:</t>
    </r>
    <r>
      <rPr>
        <sz val="10"/>
        <rFont val="Arial"/>
      </rPr>
      <t xml:space="preserve"> По мало-помалу от частых повторений этой проделки ее не слишком остро развитое чувство порядочности и вовсе притупилось, да и страх сам собой исчез.
</t>
    </r>
    <r>
      <rPr>
        <b/>
        <sz val="10"/>
        <rFont val="Arial"/>
      </rPr>
      <t xml:space="preserve">TRANS:</t>
    </r>
    <r>
      <rPr>
        <sz val="10"/>
        <rFont val="Arial"/>
      </rPr>
      <t xml:space="preserve"> Po malo-pomalu ot chastykh povtoreniy etoy prodelki ee ne slishkom ostro razvitoe chuvstvo poryadochnosti i vovse pritupilos', da i strakh sam soboy ischez.
</t>
    </r>
    <r>
      <rPr>
        <b/>
        <sz val="10"/>
        <rFont val="Arial"/>
      </rPr>
      <t xml:space="preserve">TRANSLATION:</t>
    </r>
    <r>
      <rPr>
        <sz val="10"/>
        <rFont val="Arial"/>
      </rPr>
      <t xml:space="preserve"> But little by little, with frequent repetitions of this trick, her not very sharply developed sense of decency was completely dulled, and the fear itself disappeared.</t>
    </r>
  </si>
  <si>
    <r>
      <rPr>
        <b/>
        <sz val="10"/>
        <rFont val="Arial"/>
      </rPr>
      <t xml:space="preserve">TERM:</t>
    </r>
    <r>
      <rPr>
        <sz val="10"/>
        <rFont val="Arial"/>
      </rPr>
      <t xml:space="preserve">AR-ŪİAT(АР-ҰЯТ) — conscience-shame (compound): the active inner moral faculty [KED, SZK]
</t>
    </r>
    <r>
      <rPr>
        <b/>
        <sz val="10"/>
        <rFont val="Arial"/>
      </rPr>
      <t xml:space="preserve">PASSAGE:</t>
    </r>
    <r>
      <rPr>
        <sz val="10"/>
        <rFont val="Arial"/>
      </rPr>
      <t xml:space="preserve"> оның ар-ұят, әдептілік сезімі мүлдем өшіп, қорқынышы өзіненөзі жоғалып кетті
</t>
    </r>
    <r>
      <rPr>
        <b/>
        <sz val="10"/>
        <rFont val="Arial"/>
      </rPr>
      <t xml:space="preserve">TRANS:</t>
    </r>
    <r>
      <rPr>
        <sz val="10"/>
        <rFont val="Arial"/>
      </rPr>
      <t xml:space="preserve"> onyñ ar-ūiat, ädeptılık sezımı müldem öşıp, qorqynyşy özınenözı joğalyp kettı
</t>
    </r>
    <r>
      <rPr>
        <b/>
        <sz val="10"/>
        <rFont val="Arial"/>
      </rPr>
      <t xml:space="preserve">TRANSLATION:</t>
    </r>
    <r>
      <rPr>
        <sz val="10"/>
        <rFont val="Arial"/>
      </rPr>
      <t xml:space="preserve"> her sense of conscience-shame and propriety was extinguished entirely, and her fear too vanished of itself.</t>
    </r>
  </si>
  <si>
    <t xml:space="preserve">Code of behavior</t>
  </si>
  <si>
    <t xml:space="preserve">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honorable and kind, modest and truthful. Life treated women well when they had learned those lessons, said Ellen.</t>
  </si>
  <si>
    <r>
      <rPr>
        <b/>
        <sz val="10"/>
        <rFont val="Arial"/>
      </rPr>
      <t xml:space="preserve">TERM:</t>
    </r>
    <r>
      <rPr>
        <sz val="10"/>
        <rFont val="Arial"/>
      </rPr>
      <t xml:space="preserve"> , chestnoy, pravdivoy (, честной, правдивой) = honest
</t>
    </r>
    <r>
      <rPr>
        <b/>
        <sz val="10"/>
        <rFont val="Arial"/>
      </rPr>
      <t xml:space="preserve">PASSAGE:</t>
    </r>
    <r>
      <rPr>
        <sz val="10"/>
        <rFont val="Arial"/>
      </rPr>
      <t xml:space="preserve"> уча ее быть доброй, мягкой, уступчивой, честной, правдивой и скромной,
</t>
    </r>
    <r>
      <rPr>
        <b/>
        <sz val="10"/>
        <rFont val="Arial"/>
      </rPr>
      <t xml:space="preserve">TRANS:</t>
    </r>
    <r>
      <rPr>
        <sz val="10"/>
        <rFont val="Arial"/>
      </rPr>
      <t xml:space="preserve"> ucha ee byt' dobroy, myagkoy, ustupchivoy, chestnoy, pravdivoy i skromnoy,
</t>
    </r>
    <r>
      <rPr>
        <b/>
        <sz val="10"/>
        <rFont val="Arial"/>
      </rPr>
      <t xml:space="preserve">TRANSLATION:</t>
    </r>
    <r>
      <rPr>
        <sz val="10"/>
        <rFont val="Arial"/>
      </rPr>
      <t xml:space="preserve"> teaching her to be kind, gentle, yielding, honest, truthful, and modest,</t>
    </r>
  </si>
  <si>
    <r>
      <rPr>
        <b/>
        <sz val="10"/>
        <rFont val="Arial"/>
      </rPr>
      <t xml:space="preserve">TERM:</t>
    </r>
    <r>
      <rPr>
        <sz val="10"/>
        <rFont val="Arial"/>
      </rPr>
      <t xml:space="preserve"> şynşyl, adal, adal (шыншыл, адал) = honest, loyal
</t>
    </r>
    <r>
      <rPr>
        <b/>
        <sz val="10"/>
        <rFont val="Arial"/>
      </rPr>
      <t xml:space="preserve">PASSAGE:</t>
    </r>
    <r>
      <rPr>
        <sz val="10"/>
        <rFont val="Arial"/>
      </rPr>
      <t xml:space="preserve"> Скарлетт Эллиннің мұны мейірімді, жұмсақ, мойынсұнғыш, шыншыл, адал және қарапайым болуға үйрете отырып, өзінің өлшенген өмірі сияқты алдағы өмірден бейбіт, өзгеріссіз жылдар тізбегін ғана көргенін түсінбеді.
</t>
    </r>
    <r>
      <rPr>
        <b/>
        <sz val="10"/>
        <rFont val="Arial"/>
      </rPr>
      <t xml:space="preserve">TRANS:</t>
    </r>
    <r>
      <rPr>
        <sz val="10"/>
        <rFont val="Arial"/>
      </rPr>
      <t xml:space="preserve"> Skarlett Elinnıñ mūny meiırımdı, jūmsaq, moiynsūnğyş, şynşyl, adal jäne qarapaiym boluğa üirete otyryp, özınıñ ölşengen ömırı siaqty aldağy ömırden beibıt, özgerıssız jyldar tızbegın ğana körgenın tüsınbedı.
</t>
    </r>
    <r>
      <rPr>
        <b/>
        <sz val="10"/>
        <rFont val="Arial"/>
      </rPr>
      <t xml:space="preserve">TRANSLATION:</t>
    </r>
    <r>
      <rPr>
        <sz val="10"/>
        <rFont val="Arial"/>
      </rPr>
      <t xml:space="preserve"> Scarlett, while Ellen was teaching her to be kind, gentle, submissive, truthful, honest, and modest, did not understand that, like Ellen's measured life, [Ellen] was seeing only a row of peaceful and unchanging years stretching ahead.</t>
    </r>
  </si>
  <si>
    <t xml:space="preserve">Both social and moral honor</t>
  </si>
  <si>
    <t xml:space="preserve">There was no doubt what Ellen would say to a daughter who told lies and engaged in sharp practices. She would be stunned and incredulous and would speak gentle words that stung despite their gentleness, would talk of honor and honesty and truth and duty to one's neighbor. Momentarily, Scarlett cringed as she pictured the look on her mother's face.</t>
  </si>
  <si>
    <t xml:space="preserve">Ellen</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</si>
  <si>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
    </r>
    <r>
      <rPr>
        <b/>
        <sz val="10"/>
        <rFont val="Arial"/>
      </rPr>
      <t xml:space="preserve">TRANS:</t>
    </r>
    <r>
      <rPr>
        <sz val="10"/>
        <rFont val="Arial"/>
      </rPr>
      <t xml:space="preserve"> Ona byla by potryasena, ona by usham svoim ne poverila i tak i skazala by Skarlett — myagko, no slova ee zhgli by kalenym zhelezom, — skazala by o chesti, i o chestnosti, i o pravde, i o dolge pered blizhnimi.
</t>
    </r>
    <r>
      <rPr>
        <b/>
        <sz val="10"/>
        <rFont val="Arial"/>
      </rPr>
      <t xml:space="preserve">TRANSLATION:</t>
    </r>
    <r>
      <rPr>
        <sz val="10"/>
        <rFont val="Arial"/>
      </rPr>
      <t xml:space="preserve"> She would be shocked, she would not believe her ears and would say so to Scarlett — gently, but her words would burn like a red-hot iron — would speak of honor, and of honesty, and of truth, and of duty toward one's neighbors.</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</si>
  <si>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ар-ождан туралы, адалдық, шындық, туыс-бауыр алдындағы міндеті туралы айтар еді.
</t>
    </r>
    <r>
      <rPr>
        <b/>
        <sz val="10"/>
        <rFont val="Arial"/>
      </rPr>
      <t xml:space="preserve">TRANS:</t>
    </r>
    <r>
      <rPr>
        <sz val="10"/>
        <rFont val="Arial"/>
      </rPr>
      <t xml:space="preserve"> Aldymen öz qūlağyna özı senbei, közı şarasynan şyğa tañdanar edı de, sonşalyq bäseñ, bıraq namysyña tigende temırmen etıñdı tılıp tüskendei ünmen "Skarlett" der edı de, ar-ojdan turaly, adaldyq, şyndyq, tuys-bauyr aldyndağy mındetı turaly aitar edı.
</t>
    </r>
    <r>
      <rPr>
        <b/>
        <sz val="10"/>
        <rFont val="Arial"/>
      </rPr>
      <t xml:space="preserve">TRANSLATION:</t>
    </r>
    <r>
      <rPr>
        <sz val="10"/>
        <rFont val="Arial"/>
      </rPr>
      <t xml:space="preserve"> At first she would hardly believe her own ears and would stare in astonishment with her eyes wide, then say “Scarlett” in a voice so soft yet so cutting it was as if it sliced through your flesh with iron, and then she would speak of conscience, loyalty, truth, and one’s duty to family.</t>
    </r>
  </si>
  <si>
    <t xml:space="preserve">Morality, decency, honest behavior</t>
  </si>
  <si>
    <t xml:space="preserve">"I shouldn't have expected either truth or honor or fair dealing from you, knowing you as I do. But foolishly, I trusted you."</t>
  </si>
  <si>
    <r>
      <rPr>
        <b/>
        <sz val="10"/>
        <rFont val="Arial"/>
      </rPr>
      <t xml:space="preserve">TERM:</t>
    </r>
    <r>
      <rPr>
        <sz val="10"/>
        <rFont val="Arial"/>
      </rPr>
      <t xml:space="preserve"> chestnyy (честный) — honest; honourable [ORD]
</t>
    </r>
    <r>
      <rPr>
        <b/>
        <sz val="10"/>
        <rFont val="Arial"/>
      </rPr>
      <t xml:space="preserve">PASSAGE:</t>
    </r>
    <r>
      <rPr>
        <sz val="10"/>
        <rFont val="Arial"/>
      </rPr>
      <t xml:space="preserve"> Зная вас, мне, конечно, не следовало ожидать, что вы будете правдивы, порядочны и честны со мной.
</t>
    </r>
    <r>
      <rPr>
        <b/>
        <sz val="10"/>
        <rFont val="Arial"/>
      </rPr>
      <t xml:space="preserve">TRANS:</t>
    </r>
    <r>
      <rPr>
        <sz val="10"/>
        <rFont val="Arial"/>
      </rPr>
      <t xml:space="preserve"> Znaya vas, mne, konechno, ne sledovalo ozhidat', chto vy budete pravdivy, poryadochny i chestny so mnoy.
</t>
    </r>
    <r>
      <rPr>
        <b/>
        <sz val="10"/>
        <rFont val="Arial"/>
      </rPr>
      <t xml:space="preserve">TRANSLATION:</t>
    </r>
    <r>
      <rPr>
        <sz val="10"/>
        <rFont val="Arial"/>
      </rPr>
      <t xml:space="preserve"> Knowing you, of course, I should not have expected you to be truthful, decent, and honest with me.</t>
    </r>
  </si>
  <si>
    <r>
      <rPr>
        <b/>
        <sz val="10"/>
        <rFont val="Arial"/>
      </rPr>
      <t xml:space="preserve">TERM:</t>
    </r>
    <r>
      <rPr>
        <sz val="10"/>
        <rFont val="Arial"/>
      </rPr>
      <t xml:space="preserve"> ADAL (АДАЛ) — honest; faithful; pure; lawful (Arabic ḥalāl) [KED, SZK]
</t>
    </r>
    <r>
      <rPr>
        <b/>
        <sz val="10"/>
        <rFont val="Arial"/>
      </rPr>
      <t xml:space="preserve">PASSAGE:</t>
    </r>
    <r>
      <rPr>
        <sz val="10"/>
        <rFont val="Arial"/>
      </rPr>
      <t xml:space="preserve"> Сізді бұрыннан танып, біле тұра, менімен барынша адал, бүкпесіз ашық болады деп илануымның өзі қателік екенін білемін.
</t>
    </r>
    <r>
      <rPr>
        <b/>
        <sz val="10"/>
        <rFont val="Arial"/>
      </rPr>
      <t xml:space="preserve">TRANS:</t>
    </r>
    <r>
      <rPr>
        <sz val="10"/>
        <rFont val="Arial"/>
      </rPr>
      <t xml:space="preserve"> Sızdı būrynnan tanyp, bıle tūra, menımen barynşa adal, bükpesız aşyq bolady dep ilanuymnyñ özı qatelık ekenın bılemın.
</t>
    </r>
    <r>
      <rPr>
        <b/>
        <sz val="10"/>
        <rFont val="Arial"/>
      </rPr>
      <t xml:space="preserve">TRANSLATION:</t>
    </r>
    <r>
      <rPr>
        <sz val="10"/>
        <rFont val="Arial"/>
      </rPr>
      <t xml:space="preserve"> Knowing you of old, I myself know it was a mistake to believe you would be utterly honest with me, open without concealment.</t>
    </r>
  </si>
  <si>
    <t xml:space="preserve">moral honor</t>
  </si>
  <si>
    <t xml:space="preserve">"Pride and honor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</si>
  <si>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Гордость, и честь, и правдивость, и целомудрие, и милосердие, — хмуро перечислил он.
</t>
    </r>
    <r>
      <rPr>
        <b/>
        <sz val="10"/>
        <rFont val="Arial"/>
      </rPr>
      <t xml:space="preserve">TRANS:</t>
    </r>
    <r>
      <rPr>
        <sz val="10"/>
        <rFont val="Arial"/>
      </rPr>
      <t xml:space="preserve"> Gordost', i chest', i pravdivost', i tselomudrie, i miloserdie, — khmuro perechislil on.
</t>
    </r>
    <r>
      <rPr>
        <b/>
        <sz val="10"/>
        <rFont val="Arial"/>
      </rPr>
      <t xml:space="preserve">TRANSLATION:</t>
    </r>
    <r>
      <rPr>
        <sz val="10"/>
        <rFont val="Arial"/>
      </rPr>
      <t xml:space="preserve"> Pride, and honor, and truthfulness, and chastity, and mercy, — he listed gloomily.</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</si>
  <si>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Ар, адалдық, шыншылдық, тәкаппарлық, мақсатшылдық, мейірімділік
</t>
    </r>
    <r>
      <rPr>
        <b/>
        <sz val="10"/>
        <rFont val="Arial"/>
      </rPr>
      <t xml:space="preserve">TRANS:</t>
    </r>
    <r>
      <rPr>
        <sz val="10"/>
        <rFont val="Arial"/>
      </rPr>
      <t xml:space="preserve"> Ar, adaldyq, şynşyldyq, täkapparlyq, maqsatşyldyq, meiırımdılık
</t>
    </r>
    <r>
      <rPr>
        <b/>
        <sz val="10"/>
        <rFont val="Arial"/>
      </rPr>
      <t xml:space="preserve">TRANSLATION:</t>
    </r>
    <r>
      <rPr>
        <sz val="10"/>
        <rFont val="Arial"/>
      </rPr>
      <t xml:space="preserve"> Conscience, honesty, truthfulness, dignity, purpose, mercy</t>
    </r>
  </si>
  <si>
    <t xml:space="preserve">"You can afford to be—but you won't. It's hard to salvage jettisoned cargo and, if it is retrieved, it's usually irreparably damaged. And I fear that when you can afford to fish up the honor and virtue and kindness you've thrown overboard, you'll find they have suffered a sea change and not, I fear, into something rich and strange..."</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</si>
  <si>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
    </r>
    <r>
      <rPr>
        <b/>
        <sz val="10"/>
        <rFont val="Arial"/>
      </rPr>
      <t xml:space="preserve">TRANS:</t>
    </r>
    <r>
      <rPr>
        <sz val="10"/>
        <rFont val="Arial"/>
      </rPr>
      <t xml:space="preserve"> I boyus', chto kogda vy sochtete vozmozhnym vtyanut' obratno v lodku chest', tselomudrie i miloserdie, kotorye vyshvyrnuli za bort, vy obnaruzhite, chto oni preterpeli v vode sushchestvennye izmeneniya, prichem otnyud' ne k luchshemu…
</t>
    </r>
    <r>
      <rPr>
        <b/>
        <sz val="10"/>
        <rFont val="Arial"/>
      </rPr>
      <t xml:space="preserve">TRANSLATION:</t>
    </r>
    <r>
      <rPr>
        <sz val="10"/>
        <rFont val="Arial"/>
      </rPr>
      <t xml:space="preserve"> And I fear that when you find it possible to pull back into the boat the honor, chastity, and mercy that you tossed overboard, you will discover that they have undergone substantial changes in the water, and not at all for the better...</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</si>
  <si>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Сіз ар-ұятыңызды,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b/>
        <sz val="10"/>
        <rFont val="Arial"/>
      </rPr>
      <t xml:space="preserve">TRANS:</t>
    </r>
    <r>
      <rPr>
        <sz val="10"/>
        <rFont val="Arial"/>
      </rPr>
      <t xml:space="preserve"> Sız ar-ūiatyñyzdy, meiırımdılık pen adaldyğyñyzdy qaitadan qajetsınıp qaiyqqa tartyp alğan kezde de, olardyñ būrynğy mänın joiyp, suda qalğan kezderınde müldem tanymastai özgergenın baiqaisyz, jäne jaqsy jağyna qarai özgermes...
</t>
    </r>
    <r>
      <rPr>
        <b/>
        <sz val="10"/>
        <rFont val="Arial"/>
      </rPr>
      <t xml:space="preserve">TRANSLATION:</t>
    </r>
    <r>
      <rPr>
        <sz val="10"/>
        <rFont val="Arial"/>
      </rPr>
      <t xml:space="preserve"> When you again come to need your conscience, your mercy, and your honesty and pull them back into the boat, you will discover that they have lost their original substance and changed beyond recognition while in the water — and not for the better...</t>
    </r>
  </si>
  <si>
    <t xml:space="preserve">Moral code</t>
  </si>
  <si>
    <t xml:space="preserve">"Ashley Wilkes has never taken a cent from me! I couldn't make him take a cent if he were starving! You don't understand him, how honorable, how proud he is! Of course, you can't understand him, being what you are—"</t>
  </si>
  <si>
    <r>
      <rPr>
        <b/>
        <sz val="10"/>
        <rFont val="Arial"/>
      </rPr>
      <t xml:space="preserve">TERM:</t>
    </r>
    <r>
      <rPr>
        <sz val="10"/>
        <rFont val="Arial"/>
      </rPr>
      <t xml:space="preserve"> blagorodnyy (благородный) — noble; of noble character [ORD]
</t>
    </r>
    <r>
      <rPr>
        <b/>
        <sz val="10"/>
        <rFont val="Arial"/>
      </rPr>
      <t xml:space="preserve">PASSAGE:</t>
    </r>
    <r>
      <rPr>
        <sz val="10"/>
        <rFont val="Arial"/>
      </rPr>
      <t xml:space="preserve"> Вам в жизни не понять, какой он благородный, какой гордый!
</t>
    </r>
    <r>
      <rPr>
        <b/>
        <sz val="10"/>
        <rFont val="Arial"/>
      </rPr>
      <t xml:space="preserve">TRANS:</t>
    </r>
    <r>
      <rPr>
        <sz val="10"/>
        <rFont val="Arial"/>
      </rPr>
      <t xml:space="preserve"> Vam v zhizni ne ponyat', kakoy on blagorodnyy, kakoy gordyy!
</t>
    </r>
    <r>
      <rPr>
        <b/>
        <sz val="10"/>
        <rFont val="Arial"/>
      </rPr>
      <t xml:space="preserve">TRANSLATION:</t>
    </r>
    <r>
      <rPr>
        <sz val="10"/>
        <rFont val="Arial"/>
      </rPr>
      <t xml:space="preserve"> You will never in your life understand how noble he is, how proud!</t>
    </r>
  </si>
  <si>
    <r>
      <rPr>
        <b/>
        <sz val="10"/>
        <rFont val="Arial"/>
      </rPr>
      <t xml:space="preserve">TERM:</t>
    </r>
    <r>
      <rPr>
        <sz val="10"/>
        <rFont val="Arial"/>
      </rPr>
      <t xml:space="preserve"> ASYL (АСЫЛ) — noble; precious; intrinsically valuable [KED, SZK]
</t>
    </r>
    <r>
      <rPr>
        <b/>
        <sz val="10"/>
        <rFont val="Arial"/>
      </rPr>
      <t xml:space="preserve">PASSAGE:</t>
    </r>
    <r>
      <rPr>
        <sz val="10"/>
        <rFont val="Arial"/>
      </rPr>
      <t xml:space="preserve"> Оның қандай жаны асыл, қандай ар-ұятты биік қоятын адам екенін мәңгі түсінбей өтесіз!
</t>
    </r>
    <r>
      <rPr>
        <b/>
        <sz val="10"/>
        <rFont val="Arial"/>
      </rPr>
      <t xml:space="preserve">TRANS:</t>
    </r>
    <r>
      <rPr>
        <sz val="10"/>
        <rFont val="Arial"/>
      </rPr>
      <t xml:space="preserve"> Onyñ qandai jany asyl, qandai ar-ūiatty biık qoiatyn adam ekenın mäñgı tüsınbei ötesız!
</t>
    </r>
    <r>
      <rPr>
        <b/>
        <sz val="10"/>
        <rFont val="Arial"/>
      </rPr>
      <t xml:space="preserve">TRANSLATION:</t>
    </r>
    <r>
      <rPr>
        <sz val="10"/>
        <rFont val="Arial"/>
      </rPr>
      <t xml:space="preserve"> You will never understand all your life what kind of soul he is — how nobly elevated, how high he holds his conscience!</t>
    </r>
  </si>
  <si>
    <t xml:space="preserve">Moral honor, code of behavior</t>
  </si>
  <si>
    <t xml:space="preserve">"If you are comparing him with yourself, you conceited thing, why— He's not like you, thank God! He wouldn't soil his hands as you do, making money with Carpetbaggers and Scallawags and Yankees. He's scrupulous and honorable!"</t>
  </si>
  <si>
    <r>
      <rPr>
        <b/>
        <sz val="10"/>
        <rFont val="Arial"/>
      </rPr>
      <t xml:space="preserve">TERM:</t>
    </r>
    <r>
      <rPr>
        <sz val="10"/>
        <rFont val="Arial"/>
      </rPr>
      <t xml:space="preserve"> uvazhayushchiy sebya (уважающий себя) — self-respecting (lit. respecting oneself) [ORD] (lemma: уважать)
</t>
    </r>
    <r>
      <rPr>
        <b/>
        <sz val="10"/>
        <rFont val="Arial"/>
      </rPr>
      <t xml:space="preserve">PASSAGE:</t>
    </r>
    <r>
      <rPr>
        <sz val="10"/>
        <rFont val="Arial"/>
      </rPr>
      <t xml:space="preserve"> Он человек, уважающий себя, совестливый!
</t>
    </r>
    <r>
      <rPr>
        <b/>
        <sz val="10"/>
        <rFont val="Arial"/>
      </rPr>
      <t xml:space="preserve">TRANS:</t>
    </r>
    <r>
      <rPr>
        <sz val="10"/>
        <rFont val="Arial"/>
      </rPr>
      <t xml:space="preserve"> On chelovek, uvazhayushchiy sebya, sovestlivyy!
</t>
    </r>
    <r>
      <rPr>
        <b/>
        <sz val="10"/>
        <rFont val="Arial"/>
      </rPr>
      <t xml:space="preserve">TRANSLATION:</t>
    </r>
    <r>
      <rPr>
        <sz val="10"/>
        <rFont val="Arial"/>
      </rPr>
      <t xml:space="preserve"> He is a man who respects himself, conscientious!</t>
    </r>
  </si>
  <si>
    <r>
      <rPr>
        <b/>
        <sz val="10"/>
        <rFont val="Arial"/>
      </rPr>
      <t xml:space="preserve">TERM:</t>
    </r>
    <r>
      <rPr>
        <sz val="10"/>
        <rFont val="Arial"/>
      </rPr>
      <t xml:space="preserve"> qūrmetti (ҚҰРМЕТTІ) = құрмет respected, honourable
</t>
    </r>
    <r>
      <rPr>
        <b/>
        <sz val="10"/>
        <rFont val="Arial"/>
      </rPr>
      <t xml:space="preserve">PASSAGE:</t>
    </r>
    <r>
      <rPr>
        <sz val="10"/>
        <rFont val="Arial"/>
      </rPr>
      <t xml:space="preserve"> Ол - өзін құрметтейтін, ұяты бар адам.
</t>
    </r>
    <r>
      <rPr>
        <b/>
        <sz val="10"/>
        <rFont val="Arial"/>
      </rPr>
      <t xml:space="preserve">TRANS:</t>
    </r>
    <r>
      <rPr>
        <sz val="10"/>
        <rFont val="Arial"/>
      </rPr>
      <t xml:space="preserve"> Ol - özın qūrmetteitın, ūiaty bar adam.
</t>
    </r>
    <r>
      <rPr>
        <b/>
        <sz val="10"/>
        <rFont val="Arial"/>
      </rPr>
      <t xml:space="preserve">TRANSLATION:</t>
    </r>
    <r>
      <rPr>
        <sz val="10"/>
        <rFont val="Arial"/>
      </rPr>
      <t xml:space="preserve"> He is a man who respects himself, who has conscience.</t>
    </r>
  </si>
  <si>
    <t xml:space="preserve">"But not too scrupulous and honorable to take aid and money from a woman."</t>
  </si>
  <si>
    <r>
      <rPr>
        <b/>
        <sz val="10"/>
        <rFont val="Arial"/>
      </rPr>
      <t xml:space="preserve">TERM:</t>
    </r>
    <r>
      <rPr>
        <sz val="10"/>
        <rFont val="Arial"/>
      </rPr>
      <t xml:space="preserve"> uvazhayushchiy sebya (уважающий себя) — self-respecting (lit. respecting oneself) [ORD] (lemma: уважать)
</t>
    </r>
    <r>
      <rPr>
        <b/>
        <sz val="10"/>
        <rFont val="Arial"/>
      </rPr>
      <t xml:space="preserve">PASSAGE:</t>
    </r>
    <r>
      <rPr>
        <sz val="10"/>
        <rFont val="Arial"/>
      </rPr>
      <t xml:space="preserve"> Но не настолько уважающий себя и не настолько совестливый, чтобы отказаться от помощи и денег женщины.
</t>
    </r>
    <r>
      <rPr>
        <b/>
        <sz val="10"/>
        <rFont val="Arial"/>
      </rPr>
      <t xml:space="preserve">TRANS:</t>
    </r>
    <r>
      <rPr>
        <sz val="10"/>
        <rFont val="Arial"/>
      </rPr>
      <t xml:space="preserve"> No ne nastol'ko uvazhayushchiy sebya i ne nastol'ko sovestlivyy, chtoby otkazat'sya ot pomoshchi i deneg zhenshchiny.
</t>
    </r>
    <r>
      <rPr>
        <b/>
        <sz val="10"/>
        <rFont val="Arial"/>
      </rPr>
      <t xml:space="preserve">TRANSLATION:</t>
    </r>
    <r>
      <rPr>
        <sz val="10"/>
        <rFont val="Arial"/>
      </rPr>
      <t xml:space="preserve"> But not so self-respecting and not so conscientious as to refuse a woman's help and money.</t>
    </r>
  </si>
  <si>
    <r>
      <rPr>
        <b/>
        <sz val="10"/>
        <rFont val="Arial"/>
      </rPr>
      <t xml:space="preserve">TERM:</t>
    </r>
    <r>
      <rPr>
        <sz val="10"/>
        <rFont val="Arial"/>
      </rPr>
      <t xml:space="preserve"> QŪRMETTI (ҚҰРМЕТTІ) = құрмет respected, honourable
</t>
    </r>
    <r>
      <rPr>
        <b/>
        <sz val="10"/>
        <rFont val="Arial"/>
      </rPr>
      <t xml:space="preserve">PASSAGE:</t>
    </r>
    <r>
      <rPr>
        <sz val="10"/>
        <rFont val="Arial"/>
      </rPr>
      <t xml:space="preserve"> Дегенмен әйелдің ақшасы мен көмегінен бас тартпайтынына қарағанда, соншалық құрметті, соншалық ұятты емес те сияқты ғой.
</t>
    </r>
    <r>
      <rPr>
        <b/>
        <sz val="10"/>
        <rFont val="Arial"/>
      </rPr>
      <t xml:space="preserve">TRANS:</t>
    </r>
    <r>
      <rPr>
        <sz val="10"/>
        <rFont val="Arial"/>
      </rPr>
      <t xml:space="preserve"> Degenmen äieldıñ aqşasy men kömegınen bas tartpaitynyna qarağanda, sonşalyq qūrmettı, sonşalyq ūiatty emes te siaqty ğoi.
</t>
    </r>
    <r>
      <rPr>
        <b/>
        <sz val="10"/>
        <rFont val="Arial"/>
      </rPr>
      <t xml:space="preserve">TRANSLATION:</t>
    </r>
    <r>
      <rPr>
        <sz val="10"/>
        <rFont val="Arial"/>
      </rPr>
      <t xml:space="preserve">  And yet, since he did not refuse the woman’s money or assistance, he did not seem quite so honorable—or so shameful after all.</t>
    </r>
  </si>
  <si>
    <t xml:space="preserve">Code of behavior, moral</t>
  </si>
  <si>
    <r>
      <rPr>
        <b/>
        <sz val="10"/>
        <rFont val="Arial"/>
      </rPr>
      <t xml:space="preserve">TERM:</t>
    </r>
    <r>
      <rPr>
        <sz val="10"/>
        <rFont val="Arial"/>
      </rPr>
      <t xml:space="preserve"> blagorodnyy (благородный) — noble; of noble character [ORD]
</t>
    </r>
    <r>
      <rPr>
        <b/>
        <sz val="10"/>
        <rFont val="Arial"/>
      </rPr>
      <t xml:space="preserve">PASSAGE:</t>
    </r>
    <r>
      <rPr>
        <sz val="10"/>
        <rFont val="Arial"/>
      </rPr>
      <t xml:space="preserve"> Эшли ведь такой благородный, такой правдивый, такой добрый, и он видит все так ясно, без прикрас.
</t>
    </r>
    <r>
      <rPr>
        <b/>
        <sz val="10"/>
        <rFont val="Arial"/>
      </rPr>
      <t xml:space="preserve">TRANS:</t>
    </r>
    <r>
      <rPr>
        <sz val="10"/>
        <rFont val="Arial"/>
      </rPr>
      <t xml:space="preserve"> Eshli ved' takoy blagorodnyy, takoy pravdivyy, takoy dobryy, i on vidit vse tak yasno, bez prikras.
</t>
    </r>
    <r>
      <rPr>
        <b/>
        <sz val="10"/>
        <rFont val="Arial"/>
      </rPr>
      <t xml:space="preserve">TRANSLATION:</t>
    </r>
    <r>
      <rPr>
        <sz val="10"/>
        <rFont val="Arial"/>
      </rPr>
      <t xml:space="preserve"> Ashley is so noble, so truthful, so kind, and he sees everything so clearly, without embellishment.</t>
    </r>
  </si>
  <si>
    <r>
      <rPr>
        <b/>
        <sz val="10"/>
        <rFont val="Arial"/>
      </rPr>
      <t xml:space="preserve">TERM:</t>
    </r>
    <r>
      <rPr>
        <sz val="10"/>
        <rFont val="Arial"/>
      </rPr>
      <t xml:space="preserve"> keñpeiıl (кеңпейіл) = ‘broad-souled’ (noble) 
</t>
    </r>
    <r>
      <rPr>
        <b/>
        <sz val="10"/>
        <rFont val="Arial"/>
      </rPr>
      <t xml:space="preserve">PASSAGE:</t>
    </r>
    <r>
      <rPr>
        <sz val="10"/>
        <rFont val="Arial"/>
      </rPr>
      <t xml:space="preserve"> Ол сондай кеңпейіл, сондай шыншыл, сондай қамқор, мейірімді, бәрін жақсы ашық көңілмен қабылдайды.
</t>
    </r>
    <r>
      <rPr>
        <b/>
        <sz val="10"/>
        <rFont val="Arial"/>
      </rPr>
      <t xml:space="preserve">TRANS:</t>
    </r>
    <r>
      <rPr>
        <sz val="10"/>
        <rFont val="Arial"/>
      </rPr>
      <t xml:space="preserve"> Ol sondai keñpeiıl, sondai şynşyl, sondai qamqor, meiırımdı, bärın jaqsy aşyq köñılmen qabyldaidy.
</t>
    </r>
    <r>
      <rPr>
        <b/>
        <sz val="10"/>
        <rFont val="Arial"/>
      </rPr>
      <t xml:space="preserve">TRANSLATION:</t>
    </r>
    <r>
      <rPr>
        <sz val="10"/>
        <rFont val="Arial"/>
      </rPr>
      <t xml:space="preserve"> He is so broad-souled, so truthful, so caring, so merciful — he accepts everything with an open and clear heart.</t>
    </r>
  </si>
  <si>
    <t xml:space="preserve">"Oh, for God's sake, hush!" interrupted Scarlett, annoyed as usual when he made her look like a conceited fool, and not caring to have Ashley and his honor become the subject of further conversation. "What was the other thing you wanted to tell me?"</t>
  </si>
  <si>
    <r>
      <rPr>
        <b/>
        <sz val="10"/>
        <rFont val="Arial"/>
      </rPr>
      <t xml:space="preserve">TERM:</t>
    </r>
    <r>
      <rPr>
        <sz val="10"/>
        <rFont val="Arial"/>
      </rPr>
      <t xml:space="preserve"> poryadochnost' (порядочность) — decency; respectability; integrity [ORD]
</t>
    </r>
    <r>
      <rPr>
        <b/>
        <sz val="10"/>
        <rFont val="Arial"/>
      </rPr>
      <t xml:space="preserve">PASSAGE:</t>
    </r>
    <r>
      <rPr>
        <sz val="10"/>
        <rFont val="Arial"/>
      </rPr>
      <t xml:space="preserve"> к тому же ей вовсе не хотелось обсуждать Эшли и его порядочность.
</t>
    </r>
    <r>
      <rPr>
        <b/>
        <sz val="10"/>
        <rFont val="Arial"/>
      </rPr>
      <t xml:space="preserve">TRANS:</t>
    </r>
    <r>
      <rPr>
        <sz val="10"/>
        <rFont val="Arial"/>
      </rPr>
      <t xml:space="preserve"> k tomu zhe ey vovse ne khotelos' obsuzhdat' Eshli i ego poryadochnost'.
</t>
    </r>
    <r>
      <rPr>
        <b/>
        <sz val="10"/>
        <rFont val="Arial"/>
      </rPr>
      <t xml:space="preserve">TRANSLATION:</t>
    </r>
    <r>
      <rPr>
        <sz val="10"/>
        <rFont val="Arial"/>
      </rPr>
      <t xml:space="preserve"> besides, she did not at all want to discuss Ashley and his decency.</t>
    </r>
  </si>
  <si>
    <r>
      <rPr>
        <b/>
        <sz val="10"/>
        <rFont val="Arial"/>
      </rPr>
      <t xml:space="preserve">TERM:</t>
    </r>
    <r>
      <rPr>
        <sz val="10"/>
        <rFont val="Arial"/>
      </rPr>
      <t xml:space="preserve"> ÄDEPTILIK (ӘДЕПТІЛІК) — politeness; decency; propriety [KED, SZK]
</t>
    </r>
    <r>
      <rPr>
        <b/>
        <sz val="10"/>
        <rFont val="Arial"/>
      </rPr>
      <t xml:space="preserve">PASSAGE:</t>
    </r>
    <r>
      <rPr>
        <sz val="10"/>
        <rFont val="Arial"/>
      </rPr>
      <t xml:space="preserve"> Бұрын да өзімшіл екенін бетіне басып, өкпелететін кездеріндей қиналып кетті де, Эшлидің әдептілігі туралы да сөз қозғатқысы келмеді.
</t>
    </r>
    <r>
      <rPr>
        <b/>
        <sz val="10"/>
        <rFont val="Arial"/>
      </rPr>
      <t xml:space="preserve">TRANS:</t>
    </r>
    <r>
      <rPr>
        <sz val="10"/>
        <rFont val="Arial"/>
      </rPr>
      <t xml:space="preserve"> Būryn da özımşıl ekenın betıne basyp, ökpeletetın kezderındei qinalyp kettı de, Eşlidıñ ädeptılıgı turaly da söz qozğatqysy kelmedı.
</t>
    </r>
    <r>
      <rPr>
        <b/>
        <sz val="10"/>
        <rFont val="Arial"/>
      </rPr>
      <t xml:space="preserve">TRANSLATION:</t>
    </r>
    <r>
      <rPr>
        <sz val="10"/>
        <rFont val="Arial"/>
      </rPr>
      <t xml:space="preserve"> As before when he had thrown her self-centeredness in her face, she felt distressed, and did not want to bring up Ashley's decency for discussion either.</t>
    </r>
  </si>
  <si>
    <t xml:space="preserve">honor cited ironically / sarcastically — Rhett's deflation of the concept</t>
  </si>
  <si>
    <t xml:space="preserve">"I still laugh—but I've reached the end of roaming, Scarlett. I'm forty-five—the age when a man begins to value some of the things he's thrown away so lightly in youth, the clannishness of families, honor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</si>
  <si>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
    </r>
    <r>
      <rPr>
        <b/>
        <sz val="10"/>
        <rFont val="Arial"/>
      </rPr>
      <t xml:space="preserve">TRANS:</t>
    </r>
    <r>
      <rPr>
        <sz val="10"/>
        <rFont val="Arial"/>
      </rPr>
      <t xml:space="preserve"> Mne sorok pyat' let, i v etom vozraste chelovek nachinaet tsenit' to, chto on tak legko otbrasyval v yunosti: svoy klan, svoyu sem'yu, svoyu chest' i bezopasnost', korni, ukhodyashchie gluboko…
</t>
    </r>
    <r>
      <rPr>
        <b/>
        <sz val="10"/>
        <rFont val="Arial"/>
      </rPr>
      <t xml:space="preserve">TRANSLATION:</t>
    </r>
    <r>
      <rPr>
        <sz val="10"/>
        <rFont val="Arial"/>
      </rPr>
      <t xml:space="preserve"> I am forty-five years old, and at this age a person begins to value what he so easily cast aside in his youth: his clan, his family, his honor and security, roots that go deep...</t>
    </r>
  </si>
  <si>
    <r>
      <rPr>
        <b/>
        <sz val="10"/>
        <rFont val="Arial"/>
      </rPr>
      <t xml:space="preserve">TERM:</t>
    </r>
    <r>
      <rPr>
        <sz val="10"/>
        <rFont val="Arial"/>
      </rPr>
      <t xml:space="preserve"> AR-NAMYS (АР-НАМЫС) — honour; observable behavioural code (compound) [KED, SZK]
</t>
    </r>
    <r>
      <rPr>
        <b/>
        <sz val="10"/>
        <rFont val="Arial"/>
      </rPr>
      <t xml:space="preserve">PASSAGE:</t>
    </r>
    <r>
      <rPr>
        <sz val="10"/>
        <rFont val="Arial"/>
      </rPr>
      <t xml:space="preserve"> Менің жасым қырық беске келіпті, бұл адамның жас кезінде қолын бір сілтеп, керек қылмай кеткен нәрселерін - отбасын, ар-намысын, қауіпсіздігін, түп-тамырын бағалайтын, қадірлейтін тұсы!
</t>
    </r>
    <r>
      <rPr>
        <b/>
        <sz val="10"/>
        <rFont val="Arial"/>
      </rPr>
      <t xml:space="preserve">TRANS:</t>
    </r>
    <r>
      <rPr>
        <sz val="10"/>
        <rFont val="Arial"/>
      </rPr>
      <t xml:space="preserve"> Menıñ jasym qyryq beske kelıptı, būl adamnyñ jas kezınde qolyn bır sıltep, kerek qylmai ketken närselerın - otbasyn, ar-namysyn, qauıpsızdıgın, tüp-tamyryn bağalaityn, qadırleitın tūsy!
</t>
    </r>
    <r>
      <rPr>
        <b/>
        <sz val="10"/>
        <rFont val="Arial"/>
      </rPr>
      <t xml:space="preserve">TRANSLATION:</t>
    </r>
    <r>
      <rPr>
        <sz val="10"/>
        <rFont val="Arial"/>
      </rPr>
      <t xml:space="preserve"> I am forty-five years old now — this is the age when a person begins to value and treasure the things he so easily cast aside in his youth: family, honor-pride, security, deep roots!</t>
    </r>
  </si>
  <si>
    <t xml:space="preserve">Moral guide</t>
  </si>
  <si>
    <t xml:space="preserve">"You made it with the money I lent you to give you your start. That's what you mean. My money is being used to support Ashley. You are a woman quite without honor and if you hadn't repaid my loan, I'd take great pleasure in calling it in now and selling you out at public auction if you couldn't pay."</t>
  </si>
  <si>
    <r>
      <rPr>
        <b/>
        <sz val="10"/>
        <rFont val="Arial"/>
      </rPr>
      <t xml:space="preserve">TERM:</t>
    </r>
    <r>
      <rPr>
        <sz val="10"/>
        <rFont val="Arial"/>
      </rPr>
      <t xml:space="preserve"> beschestnaya (бесчестная) — dishonourable (adj. fem.) [ORD] (lemma: бесчестный)
</t>
    </r>
    <r>
      <rPr>
        <b/>
        <sz val="10"/>
        <rFont val="Arial"/>
      </rPr>
      <t xml:space="preserve">PASSAGE:</t>
    </r>
    <r>
      <rPr>
        <sz val="10"/>
        <rFont val="Arial"/>
      </rPr>
      <t xml:space="preserv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
    </r>
    <r>
      <rPr>
        <b/>
        <sz val="10"/>
        <rFont val="Arial"/>
      </rPr>
      <t xml:space="preserve">TRANS:</t>
    </r>
    <r>
      <rPr>
        <sz val="10"/>
        <rFont val="Arial"/>
      </rPr>
      <t xml:space="preserve"> Vy beschestnaya zhenshchina, i esli by vy ne vernuli mne dolg, ya by s udovol'stviem vostreboval ego seychas, a ne zaplati vy mne — vse vashe dobro poshlo by s auktsiona.
</t>
    </r>
    <r>
      <rPr>
        <b/>
        <sz val="10"/>
        <rFont val="Arial"/>
      </rPr>
      <t xml:space="preserve">TRANSLATION:</t>
    </r>
    <r>
      <rPr>
        <sz val="10"/>
        <rFont val="Arial"/>
      </rPr>
      <t xml:space="preserve"> You are a dishonest woman, and if you had not returned me the debt, I would gladly have demanded it now, and had you not paid me — all your goods would have gone under the hammer.</t>
    </r>
  </si>
  <si>
    <r>
      <rPr>
        <b/>
        <sz val="10"/>
        <rFont val="Arial"/>
      </rPr>
      <t xml:space="preserve">TERM:</t>
    </r>
    <r>
      <rPr>
        <sz val="10"/>
        <rFont val="Arial"/>
      </rPr>
      <t xml:space="preserve"> ÄDILETSIZ (ӘДІЛЕТСІЗ) = unjust
</t>
    </r>
    <r>
      <rPr>
        <b/>
        <sz val="10"/>
        <rFont val="Arial"/>
      </rPr>
      <t xml:space="preserve">PASSAGE:</t>
    </r>
    <r>
      <rPr>
        <sz val="10"/>
        <rFont val="Arial"/>
      </rPr>
      <t xml:space="preserve"> Сіз әділетсіз әйел екенсіз, егер қарызды қайтармағаныңызда, мен үстемелеп төлеуге заң арқылы мәжбүрлей алар едім.
</t>
    </r>
    <r>
      <rPr>
        <b/>
        <sz val="10"/>
        <rFont val="Arial"/>
      </rPr>
      <t xml:space="preserve">TRANS:</t>
    </r>
    <r>
      <rPr>
        <sz val="10"/>
        <rFont val="Arial"/>
      </rPr>
      <t xml:space="preserve"> Sız ädıletsız äiel ekensız, eger qaryzdy qaitarmağanyñyzda, men üstemelep töleuge zañ arqyly mäjbürlei alar edım.
</t>
    </r>
    <r>
      <rPr>
        <b/>
        <sz val="10"/>
        <rFont val="Arial"/>
      </rPr>
      <t xml:space="preserve">TRANSLATION:</t>
    </r>
    <r>
      <rPr>
        <sz val="10"/>
        <rFont val="Arial"/>
      </rPr>
      <t xml:space="preserve"> You are an unjust woman; had you not returned the debt, I could have made you pay double through the law.</t>
    </r>
  </si>
  <si>
    <t xml:space="preserve">Honor — Reputation / standing</t>
  </si>
  <si>
    <t xml:space="preserve">social honor — reputation, community standing, publicly conferred dignity</t>
  </si>
  <si>
    <t xml:space="preserve">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honor, sacrifice, or high belief in human nature. He loved her! Why hadn't she realized that he loved her, for all his taunting remarks to the contrary? Melanie had seen it and with her last breath had said, "Be kind to him."</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</si>
  <si>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а не затуманенную всякими так называемыми высокими представлениями о чести, самопожертвовании или вере в человеческую натуру.
</t>
    </r>
    <r>
      <rPr>
        <b/>
        <sz val="10"/>
        <rFont val="Arial"/>
      </rPr>
      <t xml:space="preserve">TRANS:</t>
    </r>
    <r>
      <rPr>
        <sz val="10"/>
        <rFont val="Arial"/>
      </rPr>
      <t xml:space="preserve"> a ne zatumanennuyu vsyakimi tak nazyvaemymi vysokimi predstavleniyami o chesti, samopozhertvovanii ili vere v chelovecheskuyu naturu.
</t>
    </r>
    <r>
      <rPr>
        <b/>
        <sz val="10"/>
        <rFont val="Arial"/>
      </rPr>
      <t xml:space="preserve">TRANSLATION:</t>
    </r>
    <r>
      <rPr>
        <sz val="10"/>
        <rFont val="Arial"/>
      </rPr>
      <t xml:space="preserve"> and not [a vision] clouded by all sorts of so-called lofty notions of honor, self-sacrifice, or faith in human nature.</t>
    </r>
  </si>
  <si>
    <r>
      <rPr>
        <b/>
        <sz val="10"/>
        <rFont val="Arial"/>
      </rPr>
      <t xml:space="preserve">TERM:</t>
    </r>
    <r>
      <rPr>
        <sz val="10"/>
        <rFont val="Arial"/>
      </rPr>
      <t xml:space="preserve"> adal AR (адал АР) — honest ar; pure conscience [KED, SZK] (lemma: ар)
Abyroy (абырой) = dignity 
</t>
    </r>
    <r>
      <rPr>
        <b/>
        <sz val="10"/>
        <rFont val="Arial"/>
      </rPr>
      <t xml:space="preserve">PASSAGE:</t>
    </r>
    <r>
      <rPr>
        <sz val="10"/>
        <rFont val="Arial"/>
      </rPr>
      <t xml:space="preserve"> Өзі де бұл тақылеттес болғандықтан мұны толық түсінетін, ақиқатты сол күйімен қабылдайтын, биік мақсат, адал ар, абырой туралы жұмбақ түсініктермен ештеңені әсірелемейтін, адам келбетінің бар шынайылығын солай көре қоятын жан.
</t>
    </r>
    <r>
      <rPr>
        <b/>
        <sz val="10"/>
        <rFont val="Arial"/>
      </rPr>
      <t xml:space="preserve">TRANS:</t>
    </r>
    <r>
      <rPr>
        <sz val="10"/>
        <rFont val="Arial"/>
      </rPr>
      <t xml:space="preserve"> Özı de būl taqylettes bolğandyqtan mūny tolyq tüsınetın, aqiqatty sol küiımen qabyldaityn, biık maqsat, adal ar, abyroi turaly jūmbaq tüsınıktermen eşteñenı äsırelemeitın, adam kelbetınıñ bar şynaiylyğyn solai köre qoiatyn jan.
</t>
    </r>
    <r>
      <rPr>
        <b/>
        <sz val="10"/>
        <rFont val="Arial"/>
      </rPr>
      <t xml:space="preserve">TRANSLATION:</t>
    </r>
    <r>
      <rPr>
        <sz val="10"/>
        <rFont val="Arial"/>
      </rPr>
      <t xml:space="preserve"> He himself, being of this same kind, fully understood her, accepting the truth as it is — a soul who did not exaggerate anything with mysterious notions of lofty aim, true conscience, or dignity, but saw the whole reality of human appearance as it is.</t>
    </r>
  </si>
  <si>
    <t xml:space="preserve">Moral honor, Rhett’s irony with regard to Ashley</t>
  </si>
  <si>
    <t xml:space="preserve">"I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honorable nature will permit him. And that Mrs. Wilkes knows nothing and that, between the two of you, you've done her a pretty trick. I understand practically everything, except one thing that piques my curiosity. Did the honorable Ashley ever jeopardize his immortal soul by kissing you?"</t>
  </si>
  <si>
    <r>
      <rPr>
        <b/>
        <sz val="10"/>
        <rFont val="Arial"/>
      </rPr>
      <t xml:space="preserve">TERM:</t>
    </r>
    <r>
      <rPr>
        <sz val="10"/>
        <rFont val="Arial"/>
      </rPr>
      <t xml:space="preserve"> blagorodnaya vozvyshennaya natura (благородная возвышенная натура) — noble and elevated nature (descriptive phrase) [ORD] (lemma: благородный)
</t>
    </r>
    <r>
      <rPr>
        <b/>
        <sz val="10"/>
        <rFont val="Arial"/>
      </rPr>
      <t xml:space="preserve">PASSAGE:</t>
    </r>
    <r>
      <rPr>
        <sz val="10"/>
        <rFont val="Arial"/>
      </rPr>
      <t xml:space="preserve"> в той мере, в какой ему позволяет это его благородная возвышенная натура.
</t>
    </r>
    <r>
      <rPr>
        <b/>
        <sz val="10"/>
        <rFont val="Arial"/>
      </rPr>
      <t xml:space="preserve">TRANS:</t>
    </r>
    <r>
      <rPr>
        <sz val="10"/>
        <rFont val="Arial"/>
      </rPr>
      <t xml:space="preserve"> v toy mere, v kakoy emu pozvolyaet eto ego blagorodnaya vozvyshennaya natura.
</t>
    </r>
    <r>
      <rPr>
        <b/>
        <sz val="10"/>
        <rFont val="Arial"/>
      </rPr>
      <t xml:space="preserve">TRANSLATION:</t>
    </r>
    <r>
      <rPr>
        <sz val="10"/>
        <rFont val="Arial"/>
      </rPr>
      <t xml:space="preserve"> to the extent that his noble, lofty nature allows him to.</t>
    </r>
  </si>
  <si>
    <r>
      <rPr>
        <b/>
        <sz val="10"/>
        <rFont val="Arial"/>
      </rPr>
      <t xml:space="preserve">TERM:</t>
    </r>
    <r>
      <rPr>
        <sz val="10"/>
        <rFont val="Arial"/>
      </rPr>
      <t xml:space="preserve"> bekzat bolmysty asqaq tabiğaty (бекзат болмысты асқақ табиғаты) — elevated nature of his noble being (descriptive phrase) [KED, SZK] (lemma: бекзат)
</t>
    </r>
    <r>
      <rPr>
        <b/>
        <sz val="10"/>
        <rFont val="Arial"/>
      </rPr>
      <t xml:space="preserve">PASSAGE:</t>
    </r>
    <r>
      <rPr>
        <sz val="10"/>
        <rFont val="Arial"/>
      </rPr>
      <t xml:space="preserve"> оның бекзат болмысты асқақ табиғаты оған мүмкіндік беретіндігінен.
</t>
    </r>
    <r>
      <rPr>
        <b/>
        <sz val="10"/>
        <rFont val="Arial"/>
      </rPr>
      <t xml:space="preserve">TRANS:</t>
    </r>
    <r>
      <rPr>
        <sz val="10"/>
        <rFont val="Arial"/>
      </rPr>
      <t xml:space="preserve"> onyñ bekzat bolmysty asqaq tabiğaty oğan mümkındık beretındıgınen.
</t>
    </r>
    <r>
      <rPr>
        <b/>
        <sz val="10"/>
        <rFont val="Arial"/>
      </rPr>
      <t xml:space="preserve">TRANSLATION:</t>
    </r>
    <r>
      <rPr>
        <sz val="10"/>
        <rFont val="Arial"/>
      </rPr>
      <t xml:space="preserve"> because of what his aristocratic, exalted nature allows him.</t>
    </r>
  </si>
  <si>
    <t xml:space="preserve">Moral honor, not leaving his wife</t>
  </si>
  <si>
    <t xml:space="preserve">At the mention of Melanie, Scarlett began to breathe hard and could scarcely restrain herself from crying out the whole story, that only honor kept Ashley with Melanie. She opened her mouth to speak and then closed it.</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</si>
  <si>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что только соображения чести удерживают Эшли подле Мелани.
</t>
    </r>
    <r>
      <rPr>
        <b/>
        <sz val="10"/>
        <rFont val="Arial"/>
      </rPr>
      <t xml:space="preserve">TRANS:</t>
    </r>
    <r>
      <rPr>
        <sz val="10"/>
        <rFont val="Arial"/>
      </rPr>
      <t xml:space="preserve"> chto tol'ko soobrazheniya chesti uderzhivayut Eshli podle Melani.
</t>
    </r>
    <r>
      <rPr>
        <b/>
        <sz val="10"/>
        <rFont val="Arial"/>
      </rPr>
      <t xml:space="preserve">TRANSLATION:</t>
    </r>
    <r>
      <rPr>
        <sz val="10"/>
        <rFont val="Arial"/>
      </rPr>
      <t xml:space="preserve"> that only considerations of honor were keeping Ashley by Melanie's side.</t>
    </r>
  </si>
  <si>
    <r>
      <rPr>
        <b/>
        <sz val="10"/>
        <rFont val="Arial"/>
      </rPr>
      <t xml:space="preserve">TERM:</t>
    </r>
    <r>
      <rPr>
        <sz val="10"/>
        <rFont val="Arial"/>
      </rPr>
      <t xml:space="preserve"> ABYROİ (АБЫРОЙ) — dignity; prestige; public standing; reputation (Arabic-Persian loan) [KED, SZK]
</t>
    </r>
    <r>
      <rPr>
        <b/>
        <sz val="10"/>
        <rFont val="Arial"/>
      </rPr>
      <t xml:space="preserve">PASSAGE:</t>
    </r>
    <r>
      <rPr>
        <sz val="10"/>
        <rFont val="Arial"/>
      </rPr>
      <t xml:space="preserve"> Меланидің есімі аталғанда Скарлеттің көкірегіне ащы запыран жиналғандай, Реттке бар даусымен Меланидің абыройына дақ түсірмеу үшін Эшли соның қасында жүргенін айтып, айқайлағысы келіп тұрды да, аузын аша беріп, қайта жапты.
</t>
    </r>
    <r>
      <rPr>
        <b/>
        <sz val="10"/>
        <rFont val="Arial"/>
      </rPr>
      <t xml:space="preserve">TRANS:</t>
    </r>
    <r>
      <rPr>
        <sz val="10"/>
        <rFont val="Arial"/>
      </rPr>
      <t xml:space="preserve"> Melanidıñ esımı atalğanda Skarlettıñ kökıregıne aşşy zapyran jinalğandai, Rettke bar dausymen Melanidıñ abyroiyna daq tüsırmeu üşın Eşli sonyñ qasynda jürgenın aityp, aiqailağysy kelıp tūrdy da, auzyn aşa berıp, qaita japty.
</t>
    </r>
    <r>
      <rPr>
        <b/>
        <sz val="10"/>
        <rFont val="Arial"/>
      </rPr>
      <t xml:space="preserve">TRANSLATION:</t>
    </r>
    <r>
      <rPr>
        <sz val="10"/>
        <rFont val="Arial"/>
      </rPr>
      <t xml:space="preserve"> When Melanie's name was mentioned, bitter bile gathered in Scarlett's chest; she wanted to shout to Rhett at the top of her voice that Ashley remained beside Melanie so as not to stain her dignity, but she opened her mouth and shut it again.</t>
    </r>
  </si>
  <si>
    <t xml:space="preserve">Moral honor – uninteresting to Rhett, as self-claimed</t>
  </si>
  <si>
    <t xml:space="preserve">"Oh, I've never denied coveting you, if that's what you mean. But, thank God, I'm not bothered about matters of honor. What I want I take if I can get it, and so I wrestle neither with angels nor devils. What a merry hell you must have made for Ashley! Almost I can be sorry for him."</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</si>
  <si>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Но слава богу, меня не волнуют проблемы чести.
</t>
    </r>
    <r>
      <rPr>
        <b/>
        <sz val="10"/>
        <rFont val="Arial"/>
      </rPr>
      <t xml:space="preserve">TRANS:</t>
    </r>
    <r>
      <rPr>
        <sz val="10"/>
        <rFont val="Arial"/>
      </rPr>
      <t xml:space="preserve"> No slava bogu, menya ne volnuyut problemy chesti.
</t>
    </r>
    <r>
      <rPr>
        <b/>
        <sz val="10"/>
        <rFont val="Arial"/>
      </rPr>
      <t xml:space="preserve">TRANSLATION:</t>
    </r>
    <r>
      <rPr>
        <sz val="10"/>
        <rFont val="Arial"/>
      </rPr>
      <t xml:space="preserve"> But thank God, I am not troubled by problems of honor.</t>
    </r>
  </si>
  <si>
    <r>
      <rPr>
        <b/>
        <sz val="10"/>
        <rFont val="Arial"/>
      </rPr>
      <t xml:space="preserve">TERM:</t>
    </r>
    <r>
      <rPr>
        <sz val="10"/>
        <rFont val="Arial"/>
      </rPr>
      <t xml:space="preserve"> AR-ŪİAT(АР-ҰЯТ) — conscience-shame (compound): the active inner moral faculty [KED, SZK]
</t>
    </r>
    <r>
      <rPr>
        <b/>
        <sz val="10"/>
        <rFont val="Arial"/>
      </rPr>
      <t xml:space="preserve">PASSAGE:</t>
    </r>
    <r>
      <rPr>
        <sz val="10"/>
        <rFont val="Arial"/>
      </rPr>
      <t xml:space="preserve"> Бірақ, құдайға шүкір, мені ар-ұяттың мәселесі мазаламайды.
</t>
    </r>
    <r>
      <rPr>
        <b/>
        <sz val="10"/>
        <rFont val="Arial"/>
      </rPr>
      <t xml:space="preserve">TRANS:</t>
    </r>
    <r>
      <rPr>
        <sz val="10"/>
        <rFont val="Arial"/>
      </rPr>
      <t xml:space="preserve"> Bıraq, qūdaiğa şükır, menı ar-ūiattyñ mäselesı mazalamaidy.
</t>
    </r>
    <r>
      <rPr>
        <b/>
        <sz val="10"/>
        <rFont val="Arial"/>
      </rPr>
      <t xml:space="preserve">TRANSLATION:</t>
    </r>
    <r>
      <rPr>
        <sz val="10"/>
        <rFont val="Arial"/>
      </rPr>
      <t xml:space="preserve"> But, thank God, the question of conscience does not trouble me.</t>
    </r>
  </si>
  <si>
    <t xml:space="preserve">Moral honor</t>
  </si>
  <si>
    <t xml:space="preserve">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honor. Yet—was Rhett right? Should Ashley have known her mind?</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</si>
  <si>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Но он говорил только о чести.
</t>
    </r>
    <r>
      <rPr>
        <b/>
        <sz val="10"/>
        <rFont val="Arial"/>
      </rPr>
      <t xml:space="preserve">TRANS:</t>
    </r>
    <r>
      <rPr>
        <sz val="10"/>
        <rFont val="Arial"/>
      </rPr>
      <t xml:space="preserve"> No on govoril tol'ko o chesti.
</t>
    </r>
    <r>
      <rPr>
        <b/>
        <sz val="10"/>
        <rFont val="Arial"/>
      </rPr>
      <t xml:space="preserve">TRANSLATION:</t>
    </r>
    <r>
      <rPr>
        <sz val="10"/>
        <rFont val="Arial"/>
      </rPr>
      <t xml:space="preserve"> But he spoke only of honor.</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</si>
  <si>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Бірақ ол тек ар-ұят туралы ғана айтқан.
</t>
    </r>
    <r>
      <rPr>
        <b/>
        <sz val="10"/>
        <rFont val="Arial"/>
      </rPr>
      <t xml:space="preserve">TRANS:</t>
    </r>
    <r>
      <rPr>
        <sz val="10"/>
        <rFont val="Arial"/>
      </rPr>
      <t xml:space="preserve"> Bıraq ol tek ar-ūiat turaly ğana aitqan.
</t>
    </r>
    <r>
      <rPr>
        <b/>
        <sz val="10"/>
        <rFont val="Arial"/>
      </rPr>
      <t xml:space="preserve">TRANSLATION:</t>
    </r>
    <r>
      <rPr>
        <sz val="10"/>
        <rFont val="Arial"/>
      </rPr>
      <t xml:space="preserve"> But he spoke only of conscience.</t>
    </r>
  </si>
  <si>
    <t xml:space="preserve">Moral</t>
  </si>
  <si>
    <t xml:space="preserve">But, she promised herself, never, never would she again try to prod him into words of love, never again would she try to make him throw away that foolish honor he valued more than love. Somehow, she must delicately convey to him this new resolution of hers. Otherwise he might refuse, fearing another scene such as that last terrible one had been.</t>
  </si>
  <si>
    <r>
      <rPr>
        <b/>
        <sz val="10"/>
        <rFont val="Arial"/>
      </rPr>
      <t xml:space="preserve">TERM:</t>
    </r>
    <r>
      <rPr>
        <sz val="10"/>
        <rFont val="Arial"/>
      </rPr>
      <t xml:space="preserve"> chest'yu (честью) — honour (instr.); honourably [ORD] (lemma: честь)
</t>
    </r>
    <r>
      <rPr>
        <b/>
        <sz val="10"/>
        <rFont val="Arial"/>
      </rPr>
      <t xml:space="preserve">PASSAGE:</t>
    </r>
    <r>
      <rPr>
        <sz val="10"/>
        <rFont val="Arial"/>
      </rPr>
      <t xml:space="preserve"> никогда не будет вынуждать его поступиться этой дурацкой честью, которую он ставит выше любви.
</t>
    </r>
    <r>
      <rPr>
        <b/>
        <sz val="10"/>
        <rFont val="Arial"/>
      </rPr>
      <t xml:space="preserve">TRANS:</t>
    </r>
    <r>
      <rPr>
        <sz val="10"/>
        <rFont val="Arial"/>
      </rPr>
      <t xml:space="preserve"> nikogda ne budet vynuzhdat' ego postupit'sya etoy duratskoy chest'yu, kotoruyu on stavit vyshe lyubvi.
</t>
    </r>
    <r>
      <rPr>
        <b/>
        <sz val="10"/>
        <rFont val="Arial"/>
      </rPr>
      <t xml:space="preserve">TRANSLATION:</t>
    </r>
    <r>
      <rPr>
        <sz val="10"/>
        <rFont val="Arial"/>
      </rPr>
      <t xml:space="preserve"> will never force him to compromise that foolish honor that he places above love.</t>
    </r>
  </si>
  <si>
    <r>
      <rPr>
        <b/>
        <sz val="10"/>
        <rFont val="Arial"/>
      </rPr>
      <t xml:space="preserve">TERM:</t>
    </r>
    <r>
      <rPr>
        <sz val="10"/>
        <rFont val="Arial"/>
      </rPr>
      <t xml:space="preserve"> AR-OJDAN (АР-ОЖДАН) — conscience (compound from Arabic wijdān): the inalienable inner tribunal [KED, SZK]
</t>
    </r>
    <r>
      <rPr>
        <b/>
        <sz val="10"/>
        <rFont val="Arial"/>
      </rPr>
      <t xml:space="preserve">PASSAGE:</t>
    </r>
    <r>
      <rPr>
        <sz val="10"/>
        <rFont val="Arial"/>
      </rPr>
      <t xml:space="preserve"> Ол үшін тірлігінен биік қоятын ар-ожданына дақ түсірмеуге келіседі.
</t>
    </r>
    <r>
      <rPr>
        <b/>
        <sz val="10"/>
        <rFont val="Arial"/>
      </rPr>
      <t xml:space="preserve">TRANS:</t>
    </r>
    <r>
      <rPr>
        <sz val="10"/>
        <rFont val="Arial"/>
      </rPr>
      <t xml:space="preserve"> Ol üşın tırlıgınen biık qoiatyn ar-ojdanyna daq tüsırmeuge kelısedı.
</t>
    </r>
    <r>
      <rPr>
        <b/>
        <sz val="10"/>
        <rFont val="Arial"/>
      </rPr>
      <t xml:space="preserve">TRANSLATION:</t>
    </r>
    <r>
      <rPr>
        <sz val="10"/>
        <rFont val="Arial"/>
      </rPr>
      <t xml:space="preserve"> For his sake she agrees not to soil the conscience he places above his life.</t>
    </r>
  </si>
  <si>
    <t xml:space="preserve">"Oh, no! You are so fine, so honorable and he—" She broke off, confused.</t>
  </si>
  <si>
    <r>
      <rPr>
        <b/>
        <sz val="10"/>
        <rFont val="Arial"/>
      </rPr>
      <t xml:space="preserve">TERM:</t>
    </r>
    <r>
      <rPr>
        <sz val="10"/>
        <rFont val="Arial"/>
      </rPr>
      <t xml:space="preserve"> blagorodnyy (благородный) — noble; of noble character [ORD]
</t>
    </r>
    <r>
      <rPr>
        <b/>
        <sz val="10"/>
        <rFont val="Arial"/>
      </rPr>
      <t xml:space="preserve">PASSAGE:</t>
    </r>
    <r>
      <rPr>
        <sz val="10"/>
        <rFont val="Arial"/>
      </rPr>
      <t xml:space="preserve"> Вы — такой тонкий, такой благородный, а он…
</t>
    </r>
    <r>
      <rPr>
        <b/>
        <sz val="10"/>
        <rFont val="Arial"/>
      </rPr>
      <t xml:space="preserve">TRANS:</t>
    </r>
    <r>
      <rPr>
        <sz val="10"/>
        <rFont val="Arial"/>
      </rPr>
      <t xml:space="preserve"> Vy — takoy tonkiy, takoy blagorodnyy, a on…
</t>
    </r>
    <r>
      <rPr>
        <b/>
        <sz val="10"/>
        <rFont val="Arial"/>
      </rPr>
      <t xml:space="preserve">TRANSLATION:</t>
    </r>
    <r>
      <rPr>
        <sz val="10"/>
        <rFont val="Arial"/>
      </rPr>
      <t xml:space="preserve"> You — so refined, so noble, while he...</t>
    </r>
  </si>
  <si>
    <r>
      <rPr>
        <b/>
        <sz val="10"/>
        <rFont val="Arial"/>
      </rPr>
      <t xml:space="preserve">TERM:</t>
    </r>
    <r>
      <rPr>
        <sz val="10"/>
        <rFont val="Arial"/>
      </rPr>
      <t xml:space="preserve"> BEKZAT adam (БЕКЗАТ адам) — aristocrat; man of noble birth [KED, SZK] (lemma: бекзат)
</t>
    </r>
    <r>
      <rPr>
        <b/>
        <sz val="10"/>
        <rFont val="Arial"/>
      </rPr>
      <t xml:space="preserve">PASSAGE:</t>
    </r>
    <r>
      <rPr>
        <sz val="10"/>
        <rFont val="Arial"/>
      </rPr>
      <t xml:space="preserve"> Ой, жоқ, ұқсамайсыздар. Ол сондай нәзік сезімді, бекзат адам ғой, және...
</t>
    </r>
    <r>
      <rPr>
        <b/>
        <sz val="10"/>
        <rFont val="Arial"/>
      </rPr>
      <t xml:space="preserve">TRANS:</t>
    </r>
    <r>
      <rPr>
        <sz val="10"/>
        <rFont val="Arial"/>
      </rPr>
      <t xml:space="preserve"> Oi, joq, ūqsamaisyzdar. Ol sondai näzık sezımdı, bekzat adam ğoi, jäne...
</t>
    </r>
    <r>
      <rPr>
        <b/>
        <sz val="10"/>
        <rFont val="Arial"/>
      </rPr>
      <t xml:space="preserve">TRANSLATION:</t>
    </r>
    <r>
      <rPr>
        <sz val="10"/>
        <rFont val="Arial"/>
      </rPr>
      <t xml:space="preserve"> Oh, no, you are not alike. He is such a man of refined feeling, a noble man, and...</t>
    </r>
  </si>
  <si>
    <t xml:space="preserve">If I were dead, if Miss Melly were dead and you had your precious honorable lover, do you think you'd be happy with him?</t>
  </si>
  <si>
    <r>
      <rPr>
        <b/>
        <sz val="10"/>
        <rFont val="Arial"/>
      </rPr>
      <t xml:space="preserve">TERM:</t>
    </r>
    <r>
      <rPr>
        <sz val="10"/>
        <rFont val="Arial"/>
      </rPr>
      <t xml:space="preserve"> blagorodnogo (благородного) — noble (adj. masc. gen.) [ORD] (lemma: благородный)
</t>
    </r>
    <r>
      <rPr>
        <b/>
        <sz val="10"/>
        <rFont val="Arial"/>
      </rPr>
      <t xml:space="preserve">PASSAGE:</t>
    </r>
    <r>
      <rPr>
        <sz val="10"/>
        <rFont val="Arial"/>
      </rPr>
      <t xml:space="preserve"> Если б я умер и если бы мисс Мелли умерла и вы получили бы своего бесценного благородного возлюбленного, вы думаете, что были бы счастливы с ним?
</t>
    </r>
    <r>
      <rPr>
        <b/>
        <sz val="10"/>
        <rFont val="Arial"/>
      </rPr>
      <t xml:space="preserve">TRANS:</t>
    </r>
    <r>
      <rPr>
        <sz val="10"/>
        <rFont val="Arial"/>
      </rPr>
      <t xml:space="preserve"> Esli b ya umer i esli by miss Melli umerla i vy poluchili by svoego bestsennogo blagorodnogo vozlyublennogo, vy dumaete, chto byli by schastlivy s nim?
</t>
    </r>
    <r>
      <rPr>
        <b/>
        <sz val="10"/>
        <rFont val="Arial"/>
      </rPr>
      <t xml:space="preserve">TRANSLATION:</t>
    </r>
    <r>
      <rPr>
        <sz val="10"/>
        <rFont val="Arial"/>
      </rPr>
      <t xml:space="preserve"> If I died and if Miss Melly died, and you got your priceless noble beloved, do you think you would be happy with him?</t>
    </r>
  </si>
  <si>
    <t xml:space="preserve">"What you've gone through! Don't you think that I— Oh, Ashley, you should have known, years ago, that you loved her and not me! Why didn't you! Everything would have been so different, so— Oh, you should have realized and not kept me dangling with all your talk about honor and sacrifice! If you'd told me, years ago, I'd have— It would have killed me but I could have stood it somehow. But you wait till now, till Melly's dying, to find it out and now it's too late to do anything.</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</si>
  <si>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Все могло бы быть иначе, а теперь… ах, тебе бы следовало понять и не держать меня на привязи, рассуждая о чести и жертвах!
</t>
    </r>
    <r>
      <rPr>
        <b/>
        <sz val="10"/>
        <rFont val="Arial"/>
      </rPr>
      <t xml:space="preserve">TRANS:</t>
    </r>
    <r>
      <rPr>
        <sz val="10"/>
        <rFont val="Arial"/>
      </rPr>
      <t xml:space="preserve"> Vse moglo by byt' inache, a teper'… akh, tebe by sledovalo ponyat' i ne derzhat' menya na privyazi, rassuzhdaya o chesti i zhertvakh!
</t>
    </r>
    <r>
      <rPr>
        <b/>
        <sz val="10"/>
        <rFont val="Arial"/>
      </rPr>
      <t xml:space="preserve">TRANSLATION:</t>
    </r>
    <r>
      <rPr>
        <sz val="10"/>
        <rFont val="Arial"/>
      </rPr>
      <t xml:space="preserve"> Everything could have been different, and now... ah, you should have understood and not kept me on a leash, talking of honor and sacrifices!</t>
    </r>
  </si>
  <si>
    <r>
      <rPr>
        <b/>
        <sz val="10"/>
        <rFont val="Arial"/>
      </rPr>
      <t xml:space="preserve">TERM:</t>
    </r>
    <r>
      <rPr>
        <sz val="10"/>
        <rFont val="Arial"/>
      </rPr>
      <t xml:space="preserve"> AR-ŪİAT(АР-ҰЯТ) — conscience-shame (compound): the active inner moral faculty [KED, SZK]
</t>
    </r>
    <r>
      <rPr>
        <b/>
        <sz val="10"/>
        <rFont val="Arial"/>
      </rPr>
      <t xml:space="preserve">PASSAGE:</t>
    </r>
    <r>
      <rPr>
        <sz val="10"/>
        <rFont val="Arial"/>
      </rPr>
      <t xml:space="preserve"> Ой, құдайым-ай, мені де емексітпей, құрбандықтар мен ар-ұят туралы ой толғай бермей, алдымен өз сеніміңді анықтап алуың керек еді ғой!
</t>
    </r>
    <r>
      <rPr>
        <b/>
        <sz val="10"/>
        <rFont val="Arial"/>
      </rPr>
      <t xml:space="preserve">TRANS:</t>
    </r>
    <r>
      <rPr>
        <sz val="10"/>
        <rFont val="Arial"/>
      </rPr>
      <t xml:space="preserve"> Oi, qūdaiym-ai, menı de emeksıtpei, qūrbandyqtar men ar-ūiat turaly oi tolğai bermei, aldymen öz senımıñdı anyqtap aluyñ kerek edı ğoi!
</t>
    </r>
    <r>
      <rPr>
        <b/>
        <sz val="10"/>
        <rFont val="Arial"/>
      </rPr>
      <t xml:space="preserve">TRANSLATION:</t>
    </r>
    <r>
      <rPr>
        <sz val="10"/>
        <rFont val="Arial"/>
      </rPr>
      <t xml:space="preserve"> Oh, my God, you should have decided your own conviction first, and not gone on tantalizing me, holding forth about sacrifices and honor!</t>
    </r>
  </si>
  <si>
    <t xml:space="preserve">"What a fool I've been," she thought bitterly. "And now I've got to pay for it. What I've wished for so often has happened. I've wished Melly was dead so I could have him. And now she's dead and I've got him and I don't want him. His damned honor will make him ask me if I want to divorce Rhett and marry him. Marry him? I wouldn't have him on a silver platter!</t>
  </si>
  <si>
    <r>
      <rPr>
        <b/>
        <sz val="10"/>
        <rFont val="Arial"/>
      </rPr>
      <t xml:space="preserve">TERM:</t>
    </r>
    <r>
      <rPr>
        <sz val="10"/>
        <rFont val="Arial"/>
      </rPr>
      <t xml:space="preserve"> proklyatoe ponyatie o chesti (проклятое понятие о чести) — that cursed notion of honour [ORD] (lemma: понятие)
</t>
    </r>
    <r>
      <rPr>
        <b/>
        <sz val="10"/>
        <rFont val="Arial"/>
      </rPr>
      <t xml:space="preserve">PASSAGE:</t>
    </r>
    <r>
      <rPr>
        <sz val="10"/>
        <rFont val="Arial"/>
      </rPr>
      <t xml:space="preserve"> Его проклятое понятие о чести заставит его спросить меня, не соглашусь ли я развестись с Реттом и выйти за него замуж.
</t>
    </r>
    <r>
      <rPr>
        <b/>
        <sz val="10"/>
        <rFont val="Arial"/>
      </rPr>
      <t xml:space="preserve">TRANS:</t>
    </r>
    <r>
      <rPr>
        <sz val="10"/>
        <rFont val="Arial"/>
      </rPr>
      <t xml:space="preserve"> Ego proklyatoe ponyatie o chesti zastavit ego sprosit' menya, ne soglashus' li ya razvestis' s Rettom i vyyti za nego zamuzh.
</t>
    </r>
    <r>
      <rPr>
        <b/>
        <sz val="10"/>
        <rFont val="Arial"/>
      </rPr>
      <t xml:space="preserve">TRANSLATION:</t>
    </r>
    <r>
      <rPr>
        <sz val="10"/>
        <rFont val="Arial"/>
      </rPr>
      <t xml:space="preserve"> His cursed concept of honor will compel him to ask me whether I will agree to divorce Rhett and marry him.</t>
    </r>
  </si>
  <si>
    <t xml:space="preserve">"Ashley!"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honor and—"</t>
  </si>
  <si>
    <r>
      <rPr>
        <b/>
        <sz val="10"/>
        <rFont val="Arial"/>
      </rPr>
      <t xml:space="preserve">TERM:</t>
    </r>
    <r>
      <rPr>
        <sz val="10"/>
        <rFont val="Arial"/>
      </rPr>
      <t xml:space="preserve"> o pravde, i o chesti, (о правде, и о чести,) = about truth, about honor
</t>
    </r>
    <r>
      <rPr>
        <b/>
        <sz val="10"/>
        <rFont val="Arial"/>
      </rPr>
      <t xml:space="preserve">PASSAGE:</t>
    </r>
    <r>
      <rPr>
        <sz val="10"/>
        <rFont val="Arial"/>
      </rPr>
      <t xml:space="preserve"> А ведь он такое беспомощное, жалкое существо, несмотря на всю свою болтовню о правде, и о чести, и о…
</t>
    </r>
    <r>
      <rPr>
        <b/>
        <sz val="10"/>
        <rFont val="Arial"/>
      </rPr>
      <t xml:space="preserve">TRANS:</t>
    </r>
    <r>
      <rPr>
        <sz val="10"/>
        <rFont val="Arial"/>
      </rPr>
      <t xml:space="preserve"> A ved' on takoe bespomoshchnoe, zhalkoe sushchestvo, nesmotrya na vsyu svoyu boltovnyu o pravde, i o chesti, i o…
</t>
    </r>
    <r>
      <rPr>
        <b/>
        <sz val="10"/>
        <rFont val="Arial"/>
      </rPr>
      <t xml:space="preserve">TRANSLATION:</t>
    </r>
    <r>
      <rPr>
        <sz val="10"/>
        <rFont val="Arial"/>
      </rPr>
      <t xml:space="preserve"> And he is such a helpless, pitiful creature, despite all his prattle of truth, and of honor, and of...</t>
    </r>
  </si>
  <si>
    <r>
      <rPr>
        <b/>
        <sz val="10"/>
        <rFont val="Arial"/>
      </rPr>
      <t xml:space="preserve">TERM:</t>
    </r>
    <r>
      <rPr>
        <sz val="10"/>
        <rFont val="Arial"/>
      </rPr>
      <t xml:space="preserve"> AR-ŪİAT (АР-ҰЯТ) — conscience-shame (compound): the active inner moral faculty [KED, SZK]
</t>
    </r>
    <r>
      <rPr>
        <b/>
        <sz val="10"/>
        <rFont val="Arial"/>
      </rPr>
      <t xml:space="preserve">PASSAGE:</t>
    </r>
    <r>
      <rPr>
        <sz val="10"/>
        <rFont val="Arial"/>
      </rPr>
      <t xml:space="preserve"> Өзінің шындық, ар-ұят, намыс туралы әңгімелеріне қарамастан, ол сондай дәрменсіз, аянышты адам.
</t>
    </r>
    <r>
      <rPr>
        <b/>
        <sz val="10"/>
        <rFont val="Arial"/>
      </rPr>
      <t xml:space="preserve">TRANS:</t>
    </r>
    <r>
      <rPr>
        <sz val="10"/>
        <rFont val="Arial"/>
      </rPr>
      <t xml:space="preserve"> Özınıñ şyndyq, ar-ūiat, namys turaly äñgımelerıne qaramastan, ol sondai därmensız, aianyşty adam.
</t>
    </r>
    <r>
      <rPr>
        <b/>
        <sz val="10"/>
        <rFont val="Arial"/>
      </rPr>
      <t xml:space="preserve">TRANSLATION:</t>
    </r>
    <r>
      <rPr>
        <sz val="10"/>
        <rFont val="Arial"/>
      </rPr>
      <t xml:space="preserve"> Despite his talk of truth, conscience/honor, and honor, he is such a helpless, pitiful person.</t>
    </r>
  </si>
  <si>
    <t xml:space="preserve">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honor and virtue and love in the odd places he had been, and follow them with ribald stories of coldest cynicism.</t>
  </si>
  <si>
    <r>
      <rPr>
        <b/>
        <sz val="10"/>
        <rFont val="Arial"/>
      </rPr>
      <t xml:space="preserve">TERM:</t>
    </r>
    <r>
      <rPr>
        <sz val="10"/>
        <rFont val="Arial"/>
      </rPr>
      <t xml:space="preserve"> blagorodnykh (благородных) — noble (adj. pl. gen.) [ORD] (lemma: благородный)
</t>
    </r>
    <r>
      <rPr>
        <b/>
        <sz val="10"/>
        <rFont val="Arial"/>
      </rPr>
      <t xml:space="preserve">PASSAGE:</t>
    </r>
    <r>
      <rPr>
        <sz val="10"/>
        <rFont val="Arial"/>
      </rPr>
      <t xml:space="preserv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
    </r>
    <r>
      <rPr>
        <b/>
        <sz val="10"/>
        <rFont val="Arial"/>
      </rPr>
      <t xml:space="preserve">TRANS:</t>
    </r>
    <r>
      <rPr>
        <sz val="10"/>
        <rFont val="Arial"/>
      </rPr>
      <t xml:space="preserve"> On mog vrode by otkrovenno i s odobreniem rasskazyvat' o muzhestvennykh, blagorodnykh, dobrodetel'nykh, podskazannykh lyubov'yu postupkakh, koim on byl svidetelem v tekh strannykh mestakh, kuda ego zanosilo, i tut zhe s kholodnym tsinizmom dobavlyat' skabrezneyshie istorii.
</t>
    </r>
    <r>
      <rPr>
        <b/>
        <sz val="10"/>
        <rFont val="Arial"/>
      </rPr>
      <t xml:space="preserve">TRANSLATION:</t>
    </r>
    <r>
      <rPr>
        <sz val="10"/>
        <rFont val="Arial"/>
      </rPr>
      <t xml:space="preserve"> He could, as it were, frankly and with approval tell of brave, noble, virtuous, love-prompted deeds, of which he had been witness in those strange places where he had been carried, and at the same instant with cold cynicism add the most scabrous stories.</t>
    </r>
  </si>
  <si>
    <r>
      <rPr>
        <b/>
        <sz val="10"/>
        <rFont val="Arial"/>
      </rPr>
      <t xml:space="preserve">TERM:</t>
    </r>
    <r>
      <rPr>
        <sz val="10"/>
        <rFont val="Arial"/>
      </rPr>
      <t xml:space="preserve"> ADAMGERŞILIK (АДАМГЕРШІЛІК) — humanity; civility; humanness (the secularised humanist moral term) [KED, SZK]
</t>
    </r>
    <r>
      <rPr>
        <b/>
        <sz val="10"/>
        <rFont val="Arial"/>
      </rPr>
      <t xml:space="preserve">PASSAGE:</t>
    </r>
    <r>
      <rPr>
        <sz val="10"/>
        <rFont val="Arial"/>
      </rPr>
      <t xml:space="preserve"> Ер міңезді, кең пейіл,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
    </r>
    <r>
      <rPr>
        <b/>
        <sz val="10"/>
        <rFont val="Arial"/>
      </rPr>
      <t xml:space="preserve">TRANS:</t>
    </r>
    <r>
      <rPr>
        <sz val="10"/>
        <rFont val="Arial"/>
      </rPr>
      <t xml:space="preserve"> Er mıñezdı, keñ peiıl, meiırım şapağaty sebelegen, jürek eljıreter oqiğalardy aşyq-jarqyn äñgımelep, adamgerşılık qağidalaryn qoştai otyryp, aiaqastynan ädepsız, ersı, jağymsyz jaittarğa köşıp, tüsı de suyp sala beredı.
</t>
    </r>
    <r>
      <rPr>
        <b/>
        <sz val="10"/>
        <rFont val="Arial"/>
      </rPr>
      <t xml:space="preserve">TRANSLATION:</t>
    </r>
    <r>
      <rPr>
        <sz val="10"/>
        <rFont val="Arial"/>
      </rPr>
      <t xml:space="preserve"> He would tell openly and frankly of manly, broad-souled, mercy-strewn, heart-melting events, supporting the principles of humanity; and then suddenly switch to indecent, unseemly, unpleasant matters, his expression cooling.</t>
    </r>
  </si>
  <si>
    <t xml:space="preserve">The upshot of the matter was that every planter agreed to pay for equipping his own sons and a certain number of the others, but the manner of handling the arrangements was such that the less wealthy members of the outfit could accept horses and uniforms without offense to their honor.</t>
  </si>
  <si>
    <r>
      <rPr>
        <b/>
        <sz val="10"/>
        <rFont val="Arial"/>
      </rPr>
      <t xml:space="preserve">TERM:</t>
    </r>
    <r>
      <rPr>
        <sz val="10"/>
        <rFont val="Arial"/>
      </rPr>
      <t xml:space="preserve"> bez maleyshego ushchemleniya svoey gordosti. (без малейшего ущемления своей гордости.) = without harm to their pride
</t>
    </r>
    <r>
      <rPr>
        <b/>
        <sz val="10"/>
        <rFont val="Arial"/>
      </rPr>
      <t xml:space="preserve">PASSAGE:</t>
    </r>
    <r>
      <rPr>
        <sz val="10"/>
        <rFont val="Arial"/>
      </rPr>
      <t xml:space="preserve"> что менее имущие члены Эскадрона могли получить обмундирование и лошадь без малейшего ущемления своей гордости.
</t>
    </r>
    <r>
      <rPr>
        <b/>
        <sz val="10"/>
        <rFont val="Arial"/>
      </rPr>
      <t xml:space="preserve">TRANS:</t>
    </r>
    <r>
      <rPr>
        <sz val="10"/>
        <rFont val="Arial"/>
      </rPr>
      <t xml:space="preserve"> chto menee imushchie chleny Eskadrona mogli poluchit' obmundirovanie i loshad' bez maleyshego ushchemleniya svoey gordosti.
</t>
    </r>
    <r>
      <rPr>
        <b/>
        <sz val="10"/>
        <rFont val="Arial"/>
      </rPr>
      <t xml:space="preserve">TRANSLATION:</t>
    </r>
    <r>
      <rPr>
        <sz val="10"/>
        <rFont val="Arial"/>
      </rPr>
      <t xml:space="preserve"> so that less wealthy members of the Squadron could obtain equipment and a horse without the slightest infringement of their pride.</t>
    </r>
  </si>
  <si>
    <t xml:space="preserve">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honor upon the carpets of their fathers, found him a friend in need.</t>
  </si>
  <si>
    <t xml:space="preserve">She shrugged in irritation. Perhaps these people were right and she was wrong but, just the same, these proud fools weren't looking forward as she was doing, straining every nerve, risking even honor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</si>
  <si>
    <r>
      <rPr>
        <b/>
        <sz val="10"/>
        <rFont val="Arial"/>
      </rPr>
      <t xml:space="preserve">TERM:</t>
    </r>
    <r>
      <rPr>
        <sz val="10"/>
        <rFont val="Arial"/>
      </rPr>
      <t xml:space="preserve"> chest'yu (честью) — honour (instr.); honourably [ORD] (lemma: честь)
</t>
    </r>
    <r>
      <rPr>
        <b/>
        <sz val="10"/>
        <rFont val="Arial"/>
      </rPr>
      <t xml:space="preserve">PASSAGE:</t>
    </r>
    <r>
      <rPr>
        <sz val="10"/>
        <rFont val="Arial"/>
      </rPr>
      <t xml:space="preserve"> рискуя даже честью и добрым своим именем,
</t>
    </r>
    <r>
      <rPr>
        <b/>
        <sz val="10"/>
        <rFont val="Arial"/>
      </rPr>
      <t xml:space="preserve">TRANS:</t>
    </r>
    <r>
      <rPr>
        <sz val="10"/>
        <rFont val="Arial"/>
      </rPr>
      <t xml:space="preserve"> riskuya dazhe chest'yu i dobrym svoim imenem,
</t>
    </r>
    <r>
      <rPr>
        <b/>
        <sz val="10"/>
        <rFont val="Arial"/>
      </rPr>
      <t xml:space="preserve">TRANSLATION:</t>
    </r>
    <r>
      <rPr>
        <sz val="10"/>
        <rFont val="Arial"/>
      </rPr>
      <t xml:space="preserve"> risking even his honor and his good name,</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</si>
  <si>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ары мен адал атын бәйгеге тігіп, алдырғанының бәрін қайтаруға жанталасып бағуда.
</t>
    </r>
    <r>
      <rPr>
        <b/>
        <sz val="10"/>
        <rFont val="Arial"/>
      </rPr>
      <t xml:space="preserve">TRANS:</t>
    </r>
    <r>
      <rPr>
        <sz val="10"/>
        <rFont val="Arial"/>
      </rPr>
      <t xml:space="preserve"> Bälkım, olardıkı dūrys ta, özınıkı būrys şyğar, bıraq myna menmensıgenderdıñ bolaşaqqa tura qaraityn türlerı joq siaqty da, būl bar jüikesıne salmaq tüsıre, ary men adal atyn bäigege tıgıp, aldyrğanynyñ bärın qaitaruğa jantalasyp bağuda. 
</t>
    </r>
    <r>
      <rPr>
        <b/>
        <sz val="10"/>
        <rFont val="Arial"/>
      </rPr>
      <t xml:space="preserve">TRANSLATION:</t>
    </r>
    <r>
      <rPr>
        <sz val="10"/>
        <rFont val="Arial"/>
      </rPr>
      <t xml:space="preserve"> Perhaps they were right and he was wrong, but these arrogant ones do not appear to be facing the future squarely; this places a strain on all his nerves, and he is straining with his honor and good name on the line, struggling to recoup all that he had lost.</t>
    </r>
  </si>
  <si>
    <t xml:space="preserve">collective honor as community property — betrayal of group solidarity, loss of group honor</t>
  </si>
  <si>
    <t xml:space="preserve">To them she had done worse than murder her father. She had tried to betray him into disloyalty to the South. And to that grim and close-knit community it was as if she had tried to betray the honor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</si>
  <si>
    <r>
      <rPr>
        <b/>
        <sz val="10"/>
        <rFont val="Arial"/>
      </rPr>
      <t xml:space="preserve">TERM:</t>
    </r>
    <r>
      <rPr>
        <sz val="10"/>
        <rFont val="Arial"/>
      </rPr>
      <t xml:space="preserve"> KÜYE (КҮЙЕ) — soot; grime (used metaphorically: "stain") [KED, SZK]
</t>
    </r>
    <r>
      <rPr>
        <b/>
        <sz val="10"/>
        <rFont val="Arial"/>
      </rPr>
      <t xml:space="preserve">PASSAGE:</t>
    </r>
    <r>
      <rPr>
        <sz val="10"/>
        <rFont val="Arial"/>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b/>
        <sz val="10"/>
        <rFont val="Arial"/>
      </rPr>
      <t xml:space="preserve">TRANS:</t>
    </r>
    <r>
      <rPr>
        <sz val="10"/>
        <rFont val="Arial"/>
      </rPr>
      <t xml:space="preserve"> Konfederasiağa şyn berılgen, plantator otbasynda tuğan äiel qas dūşpanğa tek öz basyn ğana igen joq, küllı graftyqtardyñ betıne küie jaqty.
</t>
    </r>
    <r>
      <rPr>
        <b/>
        <sz val="10"/>
        <rFont val="Arial"/>
      </rPr>
      <t xml:space="preserve">TRANSLATION:</t>
    </r>
    <r>
      <rPr>
        <sz val="10"/>
        <rFont val="Arial"/>
      </rPr>
      <t xml:space="preserve"> A woman truly devoted to the Confederacy, born in a planter's family — she did not only bow her head to the arch-enemy, she put soot on the faces of all the counties.</t>
    </r>
  </si>
  <si>
    <t xml:space="preserve">social honor — reputation, community standing, behavior, publicly conferred dignity</t>
  </si>
  <si>
    <t xml:space="preserve">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</si>
  <si>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r>
      <rPr>
        <b/>
        <sz val="10"/>
        <rFont val="Arial"/>
      </rPr>
      <t xml:space="preserve">TERM:</t>
    </r>
    <r>
      <rPr>
        <sz val="10"/>
        <rFont val="Arial"/>
      </rPr>
      <t xml:space="preserve"> soobrazheniya chesti (соображения чести) — considerations of honour [ORD] (lemma: соображение)
</t>
    </r>
    <r>
      <rPr>
        <b/>
        <sz val="10"/>
        <rFont val="Arial"/>
      </rPr>
      <t xml:space="preserve">PASSAGE:</t>
    </r>
    <r>
      <rPr>
        <sz val="10"/>
        <rFont val="Arial"/>
      </rPr>
      <t xml:space="preserv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
    </r>
    <r>
      <rPr>
        <b/>
        <sz val="10"/>
        <rFont val="Arial"/>
      </rPr>
      <t xml:space="preserve">TRANS:</t>
    </r>
    <r>
      <rPr>
        <sz val="10"/>
        <rFont val="Arial"/>
      </rPr>
      <t xml:space="preserve"> Pravda, kogda ona razgovarivala s Eshli, voznikalo mnogo takogo, chego soobrazheniya chesti ne pozvolyali ey govorit', i eti nevyskazannye slova i mysli, estestvenno, vliyali na khod besedy.
</t>
    </r>
    <r>
      <rPr>
        <b/>
        <sz val="10"/>
        <rFont val="Arial"/>
      </rPr>
      <t xml:space="preserve">TRANSLATION:</t>
    </r>
    <r>
      <rPr>
        <sz val="10"/>
        <rFont val="Arial"/>
      </rPr>
      <t xml:space="preserve"> True, when she spoke with Ashley, much arose that considerations of honor did not allow her to say, and these unspoken words and thoughts, naturally, influenced the course of the conversation.</t>
    </r>
  </si>
  <si>
    <r>
      <rPr>
        <b/>
        <sz val="10"/>
        <rFont val="Arial"/>
      </rPr>
      <t xml:space="preserve">TERM:</t>
    </r>
    <r>
      <rPr>
        <sz val="10"/>
        <rFont val="Arial"/>
      </rPr>
      <t xml:space="preserve"> AR (АР) — honour; conscience; inalienable inner moral principle [KED, SZK]
</t>
    </r>
    <r>
      <rPr>
        <b/>
        <sz val="10"/>
        <rFont val="Arial"/>
      </rPr>
      <t xml:space="preserve">PASSAGE:</t>
    </r>
    <r>
      <rPr>
        <sz val="10"/>
        <rFont val="Arial"/>
      </rPr>
      <t xml:space="preserve"> Анығында, Эшлимен әңгімелескенде кейбір ары жібермейтін нәрселер, айтылмай қалған ойлар әңгіме өрбуіне тосқауыл болып, кеселін тигізетін.
</t>
    </r>
    <r>
      <rPr>
        <b/>
        <sz val="10"/>
        <rFont val="Arial"/>
      </rPr>
      <t xml:space="preserve">TRANS:</t>
    </r>
    <r>
      <rPr>
        <sz val="10"/>
        <rFont val="Arial"/>
      </rPr>
      <t xml:space="preserve"> Anyğynda, Eşlimen äñgımeleskende keibır ary jıbermeitın närseler, aitylmai qalğan oilar äñgıme örbuıne tosqauyl bolyp, keselın tigızetın.
</t>
    </r>
    <r>
      <rPr>
        <b/>
        <sz val="10"/>
        <rFont val="Arial"/>
      </rPr>
      <t xml:space="preserve">TRANSLATION:</t>
    </r>
    <r>
      <rPr>
        <sz val="10"/>
        <rFont val="Arial"/>
      </rPr>
      <t xml:space="preserve"> In truth, when she conversed with Ashley, things that her sense of honor would not let her speak — those unsaid thoughts — became obstacles to the development of conversation and disrupted it.</t>
    </r>
  </si>
  <si>
    <t xml:space="preserve">Ironic, quotative description by Rhett</t>
  </si>
  <si>
    <t xml:space="preserve">"Oh, yes, I know. Let's grant that he does the best he can but I don't imagine he's much help. You'll never make a farm hand out of a Wilkes—or anything else that's useful. The breed is purely ornamental. Now, quiet your ruffled feathers and overlook my boorish remarks about the proud and honorable Ashley. Strange how these illusions will persist even in women as hard headed as you are. How much money do you want and what do you want it for?"</t>
  </si>
  <si>
    <r>
      <rPr>
        <b/>
        <sz val="10"/>
        <rFont val="Arial"/>
      </rPr>
      <t xml:space="preserve">TERM:</t>
    </r>
    <r>
      <rPr>
        <sz val="10"/>
        <rFont val="Arial"/>
      </rPr>
      <t xml:space="preserve"> vysokochtimogo (высокочтимого) — highly respected; revered (adj. masc. gen., archaic-elevated) [ORD] (lemma: высокочтимый)
</t>
    </r>
    <r>
      <rPr>
        <b/>
        <sz val="10"/>
        <rFont val="Arial"/>
      </rPr>
      <t xml:space="preserve">PASSAGE:</t>
    </r>
    <r>
      <rPr>
        <sz val="10"/>
        <rFont val="Arial"/>
      </rPr>
      <t xml:space="preserve"> Ну, а теперь пригладьте свои взъерошенные перышки и забудьте о моих грубых высказываниях по адресу гордого и высокочтимого Эшли.
</t>
    </r>
    <r>
      <rPr>
        <b/>
        <sz val="10"/>
        <rFont val="Arial"/>
      </rPr>
      <t xml:space="preserve">TRANS:</t>
    </r>
    <r>
      <rPr>
        <sz val="10"/>
        <rFont val="Arial"/>
      </rPr>
      <t xml:space="preserve"> Nu, a teper' priglad'te svoi vz"eroshennye peryshki i zabud'te o moikh grubykh vyskazyvaniyakh po adresu gordogo i vysokochtimogo Eshli.
</t>
    </r>
    <r>
      <rPr>
        <b/>
        <sz val="10"/>
        <rFont val="Arial"/>
      </rPr>
      <t xml:space="preserve">TRANSLATION:</t>
    </r>
    <r>
      <rPr>
        <sz val="10"/>
        <rFont val="Arial"/>
      </rPr>
      <t xml:space="preserve"> Well, now smooth out your ruffled feathers and forget my crude remarks at the address of the proud and highly-revered Ashley.</t>
    </r>
  </si>
  <si>
    <r>
      <rPr>
        <b/>
        <sz val="10"/>
        <rFont val="Arial"/>
      </rPr>
      <t xml:space="preserve">TERM:</t>
    </r>
    <r>
      <rPr>
        <sz val="10"/>
        <rFont val="Arial"/>
      </rPr>
      <t xml:space="preserve"> QADIRLI (ҚАДІРЛІ) — respected; held in due regard [KED, SZK]
</t>
    </r>
    <r>
      <rPr>
        <b/>
        <sz val="10"/>
        <rFont val="Arial"/>
      </rPr>
      <t xml:space="preserve">PASSAGE:</t>
    </r>
    <r>
      <rPr>
        <sz val="10"/>
        <rFont val="Arial"/>
      </rPr>
      <t xml:space="preserve"> Ал енді өзіңіздің шашылып, үкі-түкі болған қауырсындарыңызды тегістеп жіберіңіз де, менің мақтаншақ та аса қадірлі Эшлиіңіздің ауласына атқан тасымды жинап ала қойыңыз да, ерсі сөздерімді ұмытып қалыңыз.
</t>
    </r>
    <r>
      <rPr>
        <b/>
        <sz val="10"/>
        <rFont val="Arial"/>
      </rPr>
      <t xml:space="preserve">TRANS:</t>
    </r>
    <r>
      <rPr>
        <sz val="10"/>
        <rFont val="Arial"/>
      </rPr>
      <t xml:space="preserve"> Al endı özıñızdıñ şaşylyp, ükı-tükı bolğan qauyrsyndaryñyzdy tegıstep jıberıñız de, menıñ maqtanşaq ta asa qadırlı Eşliıñızdıñ aulasyna atqan tasymdy jinap ala qoiyñyz da, ersı sözderımdı ūmytyp qalyñyz.
</t>
    </r>
    <r>
      <rPr>
        <b/>
        <sz val="10"/>
        <rFont val="Arial"/>
      </rPr>
      <t xml:space="preserve">TRANSLATION:</t>
    </r>
    <r>
      <rPr>
        <sz val="10"/>
        <rFont val="Arial"/>
      </rPr>
      <t xml:space="preserve"> And now smooth out your scattered, downy-fluffed feathers, gather up the stones I have thrown at the courtyard of your boastful and highly esteemed Ashley, and forget my unseemly words.</t>
    </r>
  </si>
  <si>
    <t xml:space="preserve">Would he hate her now, her darling honorable Ashley, because she had shamed him?</t>
  </si>
  <si>
    <r>
      <rPr>
        <b/>
        <sz val="10"/>
        <rFont val="Arial"/>
      </rPr>
      <t xml:space="preserve">TERM:</t>
    </r>
    <r>
      <rPr>
        <sz val="10"/>
        <rFont val="Arial"/>
      </rPr>
      <t xml:space="preserve"> blagorodnyy (благородный) — noble; of noble character [ORD]
</t>
    </r>
    <r>
      <rPr>
        <b/>
        <sz val="10"/>
        <rFont val="Arial"/>
      </rPr>
      <t xml:space="preserve">PASSAGE:</t>
    </r>
    <r>
      <rPr>
        <sz val="10"/>
        <rFont val="Arial"/>
      </rPr>
      <t xml:space="preserve"> Неужели он теперь возненавидит ее — он, ее дорогой благородный Эшли, — за то, что она опозорила его?
</t>
    </r>
    <r>
      <rPr>
        <b/>
        <sz val="10"/>
        <rFont val="Arial"/>
      </rPr>
      <t xml:space="preserve">TRANS:</t>
    </r>
    <r>
      <rPr>
        <sz val="10"/>
        <rFont val="Arial"/>
      </rPr>
      <t xml:space="preserve"> Neuzheli on teper' voznenavidit ee — on, ee dorogoy blagorodnyy Eshli, — za to, chto ona opozorila ego?
</t>
    </r>
    <r>
      <rPr>
        <b/>
        <sz val="10"/>
        <rFont val="Arial"/>
      </rPr>
      <t xml:space="preserve">TRANSLATION:</t>
    </r>
    <r>
      <rPr>
        <sz val="10"/>
        <rFont val="Arial"/>
      </rPr>
      <t xml:space="preserve"> Could it be that he will now hate her — he, her dear noble Ashley — because she has disgraced him?</t>
    </r>
  </si>
  <si>
    <r>
      <rPr>
        <b/>
        <sz val="10"/>
        <rFont val="Arial"/>
      </rPr>
      <t xml:space="preserve">TERM:</t>
    </r>
    <r>
      <rPr>
        <sz val="10"/>
        <rFont val="Arial"/>
      </rPr>
      <t xml:space="preserve"> ASYL (АСЫЛ) — noble; precious; intrinsically valuable [KED, SZK]
</t>
    </r>
    <r>
      <rPr>
        <b/>
        <sz val="10"/>
        <rFont val="Arial"/>
      </rPr>
      <t xml:space="preserve">PASSAGE:</t>
    </r>
    <r>
      <rPr>
        <sz val="10"/>
        <rFont val="Arial"/>
      </rPr>
      <t xml:space="preserve"> Мұның өзіне тигізген зиянынан кейін асыл текті Эшлиін көре алмас па екен, тіпті бұл туралы білгісі де келмей қалар ма екен, қайтер екен?
</t>
    </r>
    <r>
      <rPr>
        <b/>
        <sz val="10"/>
        <rFont val="Arial"/>
      </rPr>
      <t xml:space="preserve">TRANS:</t>
    </r>
    <r>
      <rPr>
        <sz val="10"/>
        <rFont val="Arial"/>
      </rPr>
      <t xml:space="preserve"> Mūnyñ özıne tigızgen zianynan keiın asyl tektı Eşliın köre almas pa eken, tıptı būl turaly bılgısı de kelmei qalar ma eken, qaiter eken?
</t>
    </r>
    <r>
      <rPr>
        <b/>
        <sz val="10"/>
        <rFont val="Arial"/>
      </rPr>
      <t xml:space="preserve">TRANSLATION:</t>
    </r>
    <r>
      <rPr>
        <sz val="10"/>
        <rFont val="Arial"/>
      </rPr>
      <t xml:space="preserve"> After the harm she has caused him, could it be that her noble-blooded Ashley would not be able to bear the sight of her, would no longer want to know about it, what would he do?</t>
    </r>
  </si>
  <si>
    <t xml:space="preserve">Then, as an afterthought, he added: "The honorable Ashley was over here last night. He wanted to know if I thought you would sell him your mill and the part interest you have in his."</t>
  </si>
  <si>
    <r>
      <rPr>
        <b/>
        <sz val="10"/>
        <rFont val="Arial"/>
      </rPr>
      <t xml:space="preserve">TERM:</t>
    </r>
    <r>
      <rPr>
        <sz val="10"/>
        <rFont val="Arial"/>
      </rPr>
      <t xml:space="preserve"> mnogouvazhaemyy (многоуважаемый) — much respected; honoured (epithet) [ORD]
</t>
    </r>
    <r>
      <rPr>
        <b/>
        <sz val="10"/>
        <rFont val="Arial"/>
      </rPr>
      <t xml:space="preserve">PASSAGE:</t>
    </r>
    <r>
      <rPr>
        <sz val="10"/>
        <rFont val="Arial"/>
      </rPr>
      <t xml:space="preserve"> Кстати, вчера вечером у нас тут был многоуважаемый Эшли.
</t>
    </r>
    <r>
      <rPr>
        <b/>
        <sz val="10"/>
        <rFont val="Arial"/>
      </rPr>
      <t xml:space="preserve">TRANS:</t>
    </r>
    <r>
      <rPr>
        <sz val="10"/>
        <rFont val="Arial"/>
      </rPr>
      <t xml:space="preserve"> Kstati, vchera vecherom u nas tut byl mnogouvazhaemyy Eshli.
</t>
    </r>
    <r>
      <rPr>
        <b/>
        <sz val="10"/>
        <rFont val="Arial"/>
      </rPr>
      <t xml:space="preserve">TRANSLATION:</t>
    </r>
    <r>
      <rPr>
        <sz val="10"/>
        <rFont val="Arial"/>
      </rPr>
      <t xml:space="preserve"> By the way, last evening the much-respected Ashley was here.</t>
    </r>
  </si>
  <si>
    <r>
      <rPr>
        <b/>
        <sz val="10"/>
        <rFont val="Arial"/>
      </rPr>
      <t xml:space="preserve">TERM:</t>
    </r>
    <r>
      <rPr>
        <sz val="10"/>
        <rFont val="Arial"/>
      </rPr>
      <t xml:space="preserve"> QŪRMETTI (ҚҰРМЕТTІ) = құрмет respected, honourable
</t>
    </r>
    <r>
      <rPr>
        <b/>
        <sz val="10"/>
        <rFont val="Arial"/>
      </rPr>
      <t xml:space="preserve">PASSAGE:</t>
    </r>
    <r>
      <rPr>
        <sz val="10"/>
        <rFont val="Arial"/>
      </rPr>
      <t xml:space="preserve"> Айтпақшы, кеше кешкісін бізге аса құрметті Эшли келіп кетті.
</t>
    </r>
    <r>
      <rPr>
        <b/>
        <sz val="10"/>
        <rFont val="Arial"/>
      </rPr>
      <t xml:space="preserve">TRANS:</t>
    </r>
    <r>
      <rPr>
        <sz val="10"/>
        <rFont val="Arial"/>
      </rPr>
      <t xml:space="preserve"> Aitpaqşy, keşe keşkısın bızge asa qūrmettı Eşli kelıp kettı.
</t>
    </r>
    <r>
      <rPr>
        <b/>
        <sz val="10"/>
        <rFont val="Arial"/>
      </rPr>
      <t xml:space="preserve">TRANSLATION:</t>
    </r>
    <r>
      <rPr>
        <sz val="10"/>
        <rFont val="Arial"/>
      </rPr>
      <t xml:space="preserve"> By the way, the highly esteemed Ashley came to us yesterday evening.</t>
    </r>
  </si>
  <si>
    <t xml:space="preserve">It had been her experience that the liar was the hottest to defend his veracity, the coward his courage, the ill-bred his gentlemanliness, and the cad his honor. But not Rhett. He admitted everything and laughed and dared her to say more.</t>
  </si>
  <si>
    <t xml:space="preserve">cad</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</si>
  <si>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
    </r>
    <r>
      <rPr>
        <b/>
        <sz val="10"/>
        <rFont val="Arial"/>
      </rPr>
      <t xml:space="preserve">TRANS:</t>
    </r>
    <r>
      <rPr>
        <sz val="10"/>
        <rFont val="Arial"/>
      </rPr>
      <t xml:space="preserve"> Ona privykla schitat', chto nikto s takim zharom ne dokazyvaet svoyu pravdivost', kak lzhets, svoyu khrabrost' — kak trus, svoyu uchtivost' — kak durno vospitannyy chelovek, svoyu nezapyatnannuyu chest' — kak podonok.
</t>
    </r>
    <r>
      <rPr>
        <b/>
        <sz val="10"/>
        <rFont val="Arial"/>
      </rPr>
      <t xml:space="preserve">TRANSLATION:</t>
    </r>
    <r>
      <rPr>
        <sz val="10"/>
        <rFont val="Arial"/>
      </rPr>
      <t xml:space="preserve"> She had grown used to thinking that no one defends his truthfulness as fervently as a liar, his bravery as a coward, his courtesy as an ill-bred man, his unblemished honor as a scoundrel.</t>
    </r>
  </si>
  <si>
    <r>
      <rPr>
        <b/>
        <sz val="10"/>
        <rFont val="Arial"/>
      </rPr>
      <t xml:space="preserve">TERM:</t>
    </r>
    <r>
      <rPr>
        <sz val="10"/>
        <rFont val="Arial"/>
      </rPr>
      <t xml:space="preserve"> abyroi (абырой) — dignity; prestige; public standing; reputation (Arabic-Persian loan) [KED, SZK]
</t>
    </r>
    <r>
      <rPr>
        <b/>
        <sz val="10"/>
        <rFont val="Arial"/>
      </rPr>
      <t xml:space="preserve">PASSAGE:</t>
    </r>
    <r>
      <rPr>
        <sz val="10"/>
        <rFont val="Arial"/>
      </rPr>
      <t xml:space="preserve"> Одан басқа ешбір адамның шыншылдығын өтірікші ретінде, батылдығын қорқақ сияқты, сыпайылығын тәрбиесіз адам сияқты, дақ түспеген абыройын азғын сияқты көрсетпейтіні анық.
</t>
    </r>
    <r>
      <rPr>
        <b/>
        <sz val="10"/>
        <rFont val="Arial"/>
      </rPr>
      <t xml:space="preserve">TRANS:</t>
    </r>
    <r>
      <rPr>
        <sz val="10"/>
        <rFont val="Arial"/>
      </rPr>
      <t xml:space="preserve"> Odan basqa eşbır adamnyñ şynşyldyğyn ötırıkşı retınde, batyldyğyn qorqaq siaqty, sypaiylyğyn tärbiesız adam siaqty, daq tüspegen abyroiyn azğyn siaqty körsetpeitını anyq.
</t>
    </r>
    <r>
      <rPr>
        <b/>
        <sz val="10"/>
        <rFont val="Arial"/>
      </rPr>
      <t xml:space="preserve">TRANSLATION:</t>
    </r>
    <r>
      <rPr>
        <sz val="10"/>
        <rFont val="Arial"/>
      </rPr>
      <t xml:space="preserve"> It is clear that no other person defends his truthfulness as a liar does, his courage as a coward does, his politeness as an ill-bred man does, his unstained honor/dignity as a depraved man does.</t>
    </r>
  </si>
  <si>
    <t xml:space="preserve">Honor — Tribute / glory</t>
  </si>
  <si>
    <t xml:space="preserve">The Troop bowed to real worth and moreover, because they liked him, they made him an officer. He bore the honor gravely and with no untoward conceit, as though it were only his due</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</si>
  <si>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Он принял оказанную ему честь с достоинством и без излишнего зазнайства — просто как положенное.
</t>
    </r>
    <r>
      <rPr>
        <b/>
        <sz val="10"/>
        <rFont val="Arial"/>
      </rPr>
      <t xml:space="preserve">TRANS:</t>
    </r>
    <r>
      <rPr>
        <sz val="10"/>
        <rFont val="Arial"/>
      </rPr>
      <t xml:space="preserve"> On prinyal okazannuyu emu chest' s dostoinstvom i bez izlishnego zaznaystva — prosto kak polozhennoe.
</t>
    </r>
    <r>
      <rPr>
        <b/>
        <sz val="10"/>
        <rFont val="Arial"/>
      </rPr>
      <t xml:space="preserve">TRANSLATION:</t>
    </r>
    <r>
      <rPr>
        <sz val="10"/>
        <rFont val="Arial"/>
      </rPr>
      <t xml:space="preserve"> He accepted the honor bestowed on him with dignity and without excessive vanity — simply as something due.</t>
    </r>
  </si>
  <si>
    <r>
      <rPr>
        <b/>
        <sz val="10"/>
        <rFont val="Arial"/>
      </rPr>
      <t xml:space="preserve">TERM:</t>
    </r>
    <r>
      <rPr>
        <sz val="10"/>
        <rFont val="Arial"/>
      </rPr>
      <t xml:space="preserve"> QŪRMET (ҚҰРМЕТ) — respect; honouring (the act of paying respect) [KED, SZK]
</t>
    </r>
    <r>
      <rPr>
        <b/>
        <sz val="10"/>
        <rFont val="Arial"/>
      </rPr>
      <t xml:space="preserve">PASSAGE:</t>
    </r>
    <r>
      <rPr>
        <sz val="10"/>
        <rFont val="Arial"/>
      </rPr>
      <t xml:space="preserve"> Ол өзіне берілген құрметті дандайсымай, абыроймен лайықты түрде қабылдады.
</t>
    </r>
    <r>
      <rPr>
        <b/>
        <sz val="10"/>
        <rFont val="Arial"/>
      </rPr>
      <t xml:space="preserve">TRANS:</t>
    </r>
    <r>
      <rPr>
        <sz val="10"/>
        <rFont val="Arial"/>
      </rPr>
      <t xml:space="preserve"> Ol özıne berılgen qūrmettı dandaisymai, abyroimen laiyqty türde qabyldady.
</t>
    </r>
    <r>
      <rPr>
        <b/>
        <sz val="10"/>
        <rFont val="Arial"/>
      </rPr>
      <t xml:space="preserve">TRANSLATION:</t>
    </r>
    <r>
      <rPr>
        <sz val="10"/>
        <rFont val="Arial"/>
      </rPr>
      <t xml:space="preserve"> He accepted the honor given to him with dignity and propriety, without showing off.</t>
    </r>
  </si>
  <si>
    <t xml:space="preserve">military / social honor as aspiration — glory, public recognition</t>
  </si>
  <si>
    <t xml:space="preserve">The unfortunate boy had not only been cheated of the love he thought he had won but also of his high hopes of honor and glory on the field of battle.</t>
  </si>
  <si>
    <t xml:space="preserve">But automatically, the words Ellen had taught her to say in such emergencies rose to her lips and casting down her eyes, from force of long habit, she murmured: "Mr. Hamilton, I am not unaware of the honor you have bestowed on me in wanting me to become your wife, but this is all so sudden that I do not know what to say."</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</si>
  <si>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Мистер Гамильтон, я, разумеется, высоко ценю честь, которую вы оказали мне, прося стать вашей женой,
</t>
    </r>
    <r>
      <rPr>
        <b/>
        <sz val="10"/>
        <rFont val="Arial"/>
      </rPr>
      <t xml:space="preserve">TRANS:</t>
    </r>
    <r>
      <rPr>
        <sz val="10"/>
        <rFont val="Arial"/>
      </rPr>
      <t xml:space="preserve"> Mister Gamil'ton, ya, razumeetsya, vysoko tsenyu chest', kotoruyu vy okazali mne, prosya stat' vashey zhenoy,
</t>
    </r>
    <r>
      <rPr>
        <b/>
        <sz val="10"/>
        <rFont val="Arial"/>
      </rPr>
      <t xml:space="preserve">TRANSLATION:</t>
    </r>
    <r>
      <rPr>
        <sz val="10"/>
        <rFont val="Arial"/>
      </rPr>
      <t xml:space="preserve"> Mr. Hamilton, I, of course, value highly the honor that you have shown me by asking me to be your wife,</t>
    </r>
  </si>
  <si>
    <r>
      <rPr>
        <b/>
        <sz val="10"/>
        <rFont val="Arial"/>
      </rPr>
      <t xml:space="preserve">TERM:</t>
    </r>
    <r>
      <rPr>
        <sz val="10"/>
        <rFont val="Arial"/>
      </rPr>
      <t xml:space="preserve"> QŪRMET (ҚҰРМЕТ) — respect; honouring (the act of paying respect) [KED, SZK]
</t>
    </r>
    <r>
      <rPr>
        <b/>
        <sz val="10"/>
        <rFont val="Arial"/>
      </rPr>
      <t xml:space="preserve">PASSAGE:</t>
    </r>
    <r>
      <rPr>
        <sz val="10"/>
        <rFont val="Arial"/>
      </rPr>
      <t xml:space="preserve"> Гамильтон мырза, сіздің әйелім деген өтінішіңізді, көрсеткен құрметіңізді бағалаймын, ...
</t>
    </r>
    <r>
      <rPr>
        <b/>
        <sz val="10"/>
        <rFont val="Arial"/>
      </rPr>
      <t xml:space="preserve">TRANS:</t>
    </r>
    <r>
      <rPr>
        <sz val="10"/>
        <rFont val="Arial"/>
      </rPr>
      <t xml:space="preserve"> Gamilton myrza, sızdıñ äielım degen ötınışıñızdı, körsetken qūrmetıñızdı bağalaimyn, ...
</t>
    </r>
    <r>
      <rPr>
        <b/>
        <sz val="10"/>
        <rFont val="Arial"/>
      </rPr>
      <t xml:space="preserve">TRANSLATION:</t>
    </r>
    <r>
      <rPr>
        <sz val="10"/>
        <rFont val="Arial"/>
      </rPr>
      <t xml:space="preserve"> Mr. Hamilton, I value your request that I be your wife and the honor you have shown me,...</t>
    </r>
  </si>
  <si>
    <t xml:space="preserve">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honor for them to be in the big fight that would lick the Yankees for good and all.</t>
  </si>
  <si>
    <r>
      <rPr>
        <b/>
        <sz val="10"/>
        <rFont val="Arial"/>
      </rPr>
      <t xml:space="preserve">TERM:</t>
    </r>
    <r>
      <rPr>
        <sz val="10"/>
        <rFont val="Arial"/>
      </rPr>
      <t xml:space="preserve"> chesti (чести) — honour (gen./dat./prep.) [ORD] (lemma: честь)
</t>
    </r>
    <r>
      <rPr>
        <b/>
        <sz val="10"/>
        <rFont val="Arial"/>
      </rPr>
      <t xml:space="preserve">PASSAGE:</t>
    </r>
    <r>
      <rPr>
        <sz val="10"/>
        <rFont val="Arial"/>
      </rPr>
      <t xml:space="preserve"> заявляли, что рады выпавшей на долю этих храбрецов чести участвовать в великой битве,
</t>
    </r>
    <r>
      <rPr>
        <b/>
        <sz val="10"/>
        <rFont val="Arial"/>
      </rPr>
      <t xml:space="preserve">TRANS:</t>
    </r>
    <r>
      <rPr>
        <sz val="10"/>
        <rFont val="Arial"/>
      </rPr>
      <t xml:space="preserve"> zayavlyali, chto rady vypavshey na dolyu etikh khrabretsov chesti uchastvovat' v velikoy bitve,
</t>
    </r>
    <r>
      <rPr>
        <b/>
        <sz val="10"/>
        <rFont val="Arial"/>
      </rPr>
      <t xml:space="preserve">TRANSLATION:</t>
    </r>
    <r>
      <rPr>
        <sz val="10"/>
        <rFont val="Arial"/>
      </rPr>
      <t xml:space="preserve"> declared that they were glad of the honor that had befallen these brave men of participating in the great battle,</t>
    </r>
  </si>
  <si>
    <r>
      <rPr>
        <b/>
        <sz val="10"/>
        <rFont val="Arial"/>
      </rPr>
      <t xml:space="preserve">TERM:</t>
    </r>
    <r>
      <rPr>
        <sz val="10"/>
        <rFont val="Arial"/>
      </rPr>
      <t xml:space="preserve"> QŪRMET (ҚҰРМЕТ) — respect; honouring (the act of paying respect) [KED, SZK]
</t>
    </r>
    <r>
      <rPr>
        <b/>
        <sz val="10"/>
        <rFont val="Arial"/>
      </rPr>
      <t xml:space="preserve">PASSAGE:</t>
    </r>
    <r>
      <rPr>
        <sz val="10"/>
        <rFont val="Arial"/>
      </rPr>
      <t xml:space="preserve"> ұлы шайқасқа қатысу құрметі бұйрығына қуанышты екенін мәлімдеді.
</t>
    </r>
    <r>
      <rPr>
        <b/>
        <sz val="10"/>
        <rFont val="Arial"/>
      </rPr>
      <t xml:space="preserve">TRANS:</t>
    </r>
    <r>
      <rPr>
        <sz val="10"/>
        <rFont val="Arial"/>
      </rPr>
      <t xml:space="preserve"> ūly şaiqasqa qatysu qūrmetı būiryğyna quanyşty ekenın mälımdedı.
</t>
    </r>
    <r>
      <rPr>
        <b/>
        <sz val="10"/>
        <rFont val="Arial"/>
      </rPr>
      <t xml:space="preserve">TRANSLATION:</t>
    </r>
    <r>
      <rPr>
        <sz val="10"/>
        <rFont val="Arial"/>
      </rPr>
      <t xml:space="preserve"> declared that they were rejoicing over the honor of being called to participate in the great battle.</t>
    </r>
  </si>
  <si>
    <t xml:space="preserve">honor cited ironically / sarcastically — Rhett's deflation of the concept – dubious honor</t>
  </si>
  <si>
    <t xml:space="preserve">They do me the dubious honor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honor of a Scallawag and a dozen fancy ladies, we may have a chance of getting the men off."</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</si>
  <si>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Они оказывают мне сомнительную честь, считая за своего, ибо знают мою… назовем это «непопулярность»… среди земляков.
</t>
    </r>
    <r>
      <rPr>
        <b/>
        <sz val="10"/>
        <rFont val="Arial"/>
      </rPr>
      <t xml:space="preserve">TRANS:</t>
    </r>
    <r>
      <rPr>
        <sz val="10"/>
        <rFont val="Arial"/>
      </rPr>
      <t xml:space="preserve"> Oni okazyvayut mne somnitel'nuyu chest', schitaya za svoego, ibo znayut moyu… nazovem eto «nepopulyarnost'»… sredi zemlyakov.
</t>
    </r>
    <r>
      <rPr>
        <b/>
        <sz val="10"/>
        <rFont val="Arial"/>
      </rPr>
      <t xml:space="preserve">TRANSLATION:</t>
    </r>
    <r>
      <rPr>
        <sz val="10"/>
        <rFont val="Arial"/>
      </rPr>
      <t xml:space="preserve"> They do me the doubtful honor of considering me one of their own, for they know my... let us call it "unpopularity"... among my fellow countrymen.</t>
    </r>
  </si>
  <si>
    <t xml:space="preserve">"Not for honor and glory, certainly. War is a dirty business and I do not like dirt.</t>
  </si>
  <si>
    <r>
      <rPr>
        <b/>
        <sz val="10"/>
        <rFont val="Arial"/>
      </rPr>
      <t xml:space="preserve">TERM:</t>
    </r>
    <r>
      <rPr>
        <sz val="10"/>
        <rFont val="Arial"/>
      </rPr>
      <t xml:space="preserve"> pochestey (почестей) — honours; tokens of esteem (gen. pl.) [ORD] (lemma: почести)
</t>
    </r>
    <r>
      <rPr>
        <b/>
        <sz val="10"/>
        <rFont val="Arial"/>
      </rPr>
      <t xml:space="preserve">PASSAGE:</t>
    </r>
    <r>
      <rPr>
        <sz val="10"/>
        <rFont val="Arial"/>
      </rPr>
      <t xml:space="preserve"> Не ради почестей и славы, разумеется.
</t>
    </r>
    <r>
      <rPr>
        <b/>
        <sz val="10"/>
        <rFont val="Arial"/>
      </rPr>
      <t xml:space="preserve">TRANS:</t>
    </r>
    <r>
      <rPr>
        <sz val="10"/>
        <rFont val="Arial"/>
      </rPr>
      <t xml:space="preserve"> Ne radi pochestey i slavy, razumeetsya.
</t>
    </r>
    <r>
      <rPr>
        <b/>
        <sz val="10"/>
        <rFont val="Arial"/>
      </rPr>
      <t xml:space="preserve">TRANSLATION:</t>
    </r>
    <r>
      <rPr>
        <sz val="10"/>
        <rFont val="Arial"/>
      </rPr>
      <t xml:space="preserve"> Not for the sake of honors and glory, of course.</t>
    </r>
  </si>
  <si>
    <r>
      <rPr>
        <b/>
        <sz val="10"/>
        <rFont val="Arial"/>
      </rPr>
      <t xml:space="preserve">TERM:</t>
    </r>
    <r>
      <rPr>
        <sz val="10"/>
        <rFont val="Arial"/>
      </rPr>
      <t xml:space="preserve"> ABYROİ (АБЫРОЙ) — dignity; prestige; public standing; reputation (Arabic-Persian loan) [KED, SZK]
</t>
    </r>
    <r>
      <rPr>
        <b/>
        <sz val="10"/>
        <rFont val="Arial"/>
      </rPr>
      <t xml:space="preserve">PASSAGE:</t>
    </r>
    <r>
      <rPr>
        <sz val="10"/>
        <rFont val="Arial"/>
      </rPr>
      <t xml:space="preserve"> Әрине, абырой мен даңқ үшін емес.
</t>
    </r>
    <r>
      <rPr>
        <b/>
        <sz val="10"/>
        <rFont val="Arial"/>
      </rPr>
      <t xml:space="preserve">TRANS:</t>
    </r>
    <r>
      <rPr>
        <sz val="10"/>
        <rFont val="Arial"/>
      </rPr>
      <t xml:space="preserve"> Ärine, abyroi men dañq üşın emes.
</t>
    </r>
    <r>
      <rPr>
        <b/>
        <sz val="10"/>
        <rFont val="Arial"/>
      </rPr>
      <t xml:space="preserve">TRANSLATION:</t>
    </r>
    <r>
      <rPr>
        <sz val="10"/>
        <rFont val="Arial"/>
      </rPr>
      <t xml:space="preserve"> Of course, not for the sake of dignity and glory.</t>
    </r>
  </si>
  <si>
    <t xml:space="preserve">Honor — Ironic / mocked</t>
  </si>
  <si>
    <t xml:space="preserve">"My dear, he doesn't even know you've got a mind. If it was your mind that attracted him, he would not need to struggle against you, as he must have done to keep this love so—shall we say 'holy'? He could rest easily for, after all, a man can admire a woman's mind and soul and still be an honorable gentleman and true to his wife. But it must be difficult for him to reconcile the honor of the Wilkeses with coveting your body as he does."</t>
  </si>
  <si>
    <r>
      <rPr>
        <b/>
        <sz val="10"/>
        <rFont val="Arial"/>
      </rPr>
      <t xml:space="preserve">TERM:</t>
    </r>
    <r>
      <rPr>
        <sz val="10"/>
        <rFont val="Arial"/>
      </rPr>
      <t xml:space="preserve"> chest' (честь) — honour; honor [ORD]
</t>
    </r>
    <r>
      <rPr>
        <b/>
        <sz val="10"/>
        <rFont val="Arial"/>
      </rPr>
      <t xml:space="preserve">PASSAGE:</t>
    </r>
    <r>
      <rPr>
        <sz val="10"/>
        <rFont val="Arial"/>
      </rPr>
      <t xml:space="preserve"> А ему, видимо, трудно примирить честь Уилксов с жаждой обладать вами, которая снедает его.
</t>
    </r>
    <r>
      <rPr>
        <b/>
        <sz val="10"/>
        <rFont val="Arial"/>
      </rPr>
      <t xml:space="preserve">TRANS:</t>
    </r>
    <r>
      <rPr>
        <sz val="10"/>
        <rFont val="Arial"/>
      </rPr>
      <t xml:space="preserve"> A emu, vidimo, trudno primirit' chest' Uilksov s zhazhdoy obladat' vami, kotoraya snedaet ego.
</t>
    </r>
    <r>
      <rPr>
        <b/>
        <sz val="10"/>
        <rFont val="Arial"/>
      </rPr>
      <t xml:space="preserve">TRANSLATION:</t>
    </r>
    <r>
      <rPr>
        <sz val="10"/>
        <rFont val="Arial"/>
      </rPr>
      <t xml:space="preserve"> And he, evidently, finds it hard to reconcile the Wilkes honor with the longing to possess you that consumes him.</t>
    </r>
  </si>
  <si>
    <r>
      <rPr>
        <b/>
        <sz val="10"/>
        <rFont val="Arial"/>
      </rPr>
      <t xml:space="preserve">TERM:</t>
    </r>
    <r>
      <rPr>
        <sz val="10"/>
        <rFont val="Arial"/>
      </rPr>
      <t xml:space="preserve"> qūrmetti (ҚҰРМЕТТI) = respected, honoured
 abyroi (АБЫРОЙ) = dignity; authority 
</t>
    </r>
    <r>
      <rPr>
        <b/>
        <sz val="10"/>
        <rFont val="Arial"/>
      </rPr>
      <t xml:space="preserve">PASSAGE:</t>
    </r>
    <r>
      <rPr>
        <sz val="10"/>
        <rFont val="Arial"/>
      </rPr>
      <t xml:space="preserve"> Еркек бәріне құрметті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абыройы таразыға қатар түскенде, өзін іштен мүжіп жейтін шығар.
</t>
    </r>
    <r>
      <rPr>
        <b/>
        <sz val="10"/>
        <rFont val="Arial"/>
      </rPr>
      <t xml:space="preserve">TRANS:</t>
    </r>
    <r>
      <rPr>
        <sz val="10"/>
        <rFont val="Arial"/>
      </rPr>
      <t xml:space="preserve"> Erkek bärıne qūrmettı qojaiyn bola tūryp, jūbaiyna da adal küiınde, süigen äielınıñ aqyly men jan düniesıne bas ie de alady, tynyş ömırın de süru alady. Sızdı iemdengısı kelgen yntyq sezımı men Uilksterdıñ abyroiy tarazyğa qatar tüskende, özın ışten müjıp jeitın şyğar.
</t>
    </r>
    <r>
      <rPr>
        <b/>
        <sz val="10"/>
        <rFont val="Arial"/>
      </rPr>
      <t xml:space="preserve">TRANSLATION:</t>
    </r>
    <r>
      <rPr>
        <sz val="10"/>
        <rFont val="Arial"/>
      </rPr>
      <t xml:space="preserve"> A man can be respected master of all and faithful husband, can be lord of the mind and soul of his beloved woman and live a peaceful life. When the longing-feeling that wants to possess you and the Wilkes' honor are placed on the scales together, he probably eats himself up inwardly.</t>
    </r>
  </si>
  <si>
    <t xml:space="preserve">"Yes, you! There you are, a constant temptation to him, but like most of his breed he prefers what passes in these parts as honor to any amount of love. And it looks to me as if the poor devil now had neither love nor honor to warm himself!"</t>
  </si>
  <si>
    <r>
      <rPr>
        <b/>
        <sz val="10"/>
        <rFont val="Arial"/>
      </rPr>
      <t xml:space="preserve">TERM:</t>
    </r>
    <r>
      <rPr>
        <sz val="10"/>
        <rFont val="Arial"/>
      </rPr>
      <t xml:space="preserve"> chest'yu (честью) — honour (instr.); honourably [ORD] (lemma: честь)
</t>
    </r>
    <r>
      <rPr>
        <b/>
        <sz val="10"/>
        <rFont val="Arial"/>
      </rPr>
      <t xml:space="preserve">PASSAGE:</t>
    </r>
    <r>
      <rPr>
        <sz val="10"/>
        <rFont val="Arial"/>
      </rPr>
      <t xml:space="preserve"> Но, как большинство людей его породы, он предпочитает самой большой любви то, что в этих краях именуют честью.
</t>
    </r>
    <r>
      <rPr>
        <b/>
        <sz val="10"/>
        <rFont val="Arial"/>
      </rPr>
      <t xml:space="preserve">TRANS:</t>
    </r>
    <r>
      <rPr>
        <sz val="10"/>
        <rFont val="Arial"/>
      </rPr>
      <t xml:space="preserve"> No, kak bol'shinstvo lyudey ego porody, on predpochitaet samoy bol'shoy lyubvi to, chto v etikh krayakh imenuyut chest'yu.
</t>
    </r>
    <r>
      <rPr>
        <b/>
        <sz val="10"/>
        <rFont val="Arial"/>
      </rPr>
      <t xml:space="preserve">TRANSLATION:</t>
    </r>
    <r>
      <rPr>
        <sz val="10"/>
        <rFont val="Arial"/>
      </rPr>
      <t xml:space="preserve"> But like most people of his breed, he prefers, to the greatest love, what in these parts they call honor.</t>
    </r>
  </si>
  <si>
    <r>
      <rPr>
        <b/>
        <sz val="10"/>
        <rFont val="Arial"/>
      </rPr>
      <t xml:space="preserve">TERM:</t>
    </r>
    <r>
      <rPr>
        <sz val="10"/>
        <rFont val="Arial"/>
      </rPr>
      <t xml:space="preserve"> ABYROİ (АБЫРОЙ) — dignity; prestige; public standing; reputation (Arabic-Persian loan) [KED, SZK]
</t>
    </r>
    <r>
      <rPr>
        <b/>
        <sz val="10"/>
        <rFont val="Arial"/>
      </rPr>
      <t xml:space="preserve">PASSAGE:</t>
    </r>
    <r>
      <rPr>
        <sz val="10"/>
        <rFont val="Arial"/>
      </rPr>
      <t xml:space="preserve"> Бұл өңірдегілер абыройға санайтын үлкен махаббат иесі болуды ол да қалайтын шығар, тегіндегі басқа адамдар секілді.
</t>
    </r>
    <r>
      <rPr>
        <b/>
        <sz val="10"/>
        <rFont val="Arial"/>
      </rPr>
      <t xml:space="preserve">TRANS:</t>
    </r>
    <r>
      <rPr>
        <sz val="10"/>
        <rFont val="Arial"/>
      </rPr>
      <t xml:space="preserve"> Būl öñırdegıler abyroiğa sanaityn ülken mahabbat iesı boludy ol da qalaityn şyğar, tegındegı basqa adamdar sekıldı.
</t>
    </r>
    <r>
      <rPr>
        <b/>
        <sz val="10"/>
        <rFont val="Arial"/>
      </rPr>
      <t xml:space="preserve">TRANSLATION:</t>
    </r>
    <r>
      <rPr>
        <sz val="10"/>
        <rFont val="Arial"/>
      </rPr>
      <t xml:space="preserve"> Perhaps he too desires to be the bearer of a great love that the people of this region count as honor, like the others of his sort.</t>
    </r>
  </si>
  <si>
    <t xml:space="preserve">"He's a gentleman," said Rhett, and Scarlett wondered how it was possible to convey such cynicism and contempt in that one honorable word.</t>
  </si>
  <si>
    <r>
      <rPr>
        <b/>
        <sz val="10"/>
        <rFont val="Arial"/>
      </rPr>
      <t xml:space="preserve">TERM:</t>
    </r>
    <r>
      <rPr>
        <sz val="10"/>
        <rFont val="Arial"/>
      </rPr>
      <t xml:space="preserve"> chtimoe (чтимое) — esteemed; revered [ORD] (lemma: чтимый)
</t>
    </r>
    <r>
      <rPr>
        <b/>
        <sz val="10"/>
        <rFont val="Arial"/>
      </rPr>
      <t xml:space="preserve">PASSAGE:</t>
    </r>
    <r>
      <rPr>
        <sz val="10"/>
        <rFont val="Arial"/>
      </rPr>
      <t xml:space="preserve"> и Скарлетт оторопела: как сумел он вложить столько циничного презрения в одно короткое, высоко всеми чтимое слово?
</t>
    </r>
    <r>
      <rPr>
        <b/>
        <sz val="10"/>
        <rFont val="Arial"/>
      </rPr>
      <t xml:space="preserve">TRANS:</t>
    </r>
    <r>
      <rPr>
        <sz val="10"/>
        <rFont val="Arial"/>
      </rPr>
      <t xml:space="preserve"> i Skarlett otoropela: kak sumel on vlozhit' stol'ko tsinichnogo prezreniya v odno korotkoe, vysoko vsemi chtimoe slovo?
</t>
    </r>
    <r>
      <rPr>
        <b/>
        <sz val="10"/>
        <rFont val="Arial"/>
      </rPr>
      <t xml:space="preserve">TRANSLATION:</t>
    </r>
    <r>
      <rPr>
        <sz val="10"/>
        <rFont val="Arial"/>
      </rPr>
      <t xml:space="preserve"> and Scarlett was taken aback: how had he managed to put so much cynical contempt into one short word that everyone holds in such high esteem?</t>
    </r>
  </si>
  <si>
    <r>
      <rPr>
        <b/>
        <sz val="10"/>
        <rFont val="Arial"/>
      </rPr>
      <t xml:space="preserve">TERM:</t>
    </r>
    <r>
      <rPr>
        <sz val="10"/>
        <rFont val="Arial"/>
      </rPr>
      <t xml:space="preserve"> ARDAQTAU (АРДАҚТАУ) — to honour; to pay due respect; to cherish (from ардақ "honour, esteem") [KED, SZK]
</t>
    </r>
    <r>
      <rPr>
        <b/>
        <sz val="10"/>
        <rFont val="Arial"/>
      </rPr>
      <t xml:space="preserve">PASSAGE:</t>
    </r>
    <r>
      <rPr>
        <sz val="10"/>
        <rFont val="Arial"/>
      </rPr>
      <t xml:space="preserve"> Скарлетт бұған аң-таң болды: ол қысқа ғана, барлығы соншалықты ардақтайтын осы бір сөзге соншалықты арсыз жеккөрушілікті қалай сыйғызып жіберді?
</t>
    </r>
    <r>
      <rPr>
        <b/>
        <sz val="10"/>
        <rFont val="Arial"/>
      </rPr>
      <t xml:space="preserve">TRANS:</t>
    </r>
    <r>
      <rPr>
        <sz val="10"/>
        <rFont val="Arial"/>
      </rPr>
      <t xml:space="preserve"> Skarlett būğan añ-tañ boldy: ol qysqa ğana, barlyğy sonşalyqty ardaqtaityn osy bır sözge sonşalyqty arsyz jekköruşılıktı qalai syiğyzyp jıberdı?
</t>
    </r>
    <r>
      <rPr>
        <b/>
        <sz val="10"/>
        <rFont val="Arial"/>
      </rPr>
      <t xml:space="preserve">TRANSLATION:</t>
    </r>
    <r>
      <rPr>
        <sz val="10"/>
        <rFont val="Arial"/>
      </rPr>
      <t xml:space="preserve"> Scarlett was astonished by this: how had he packed so much shameless contempt into this single short word that everyone holds in such high regard?</t>
    </r>
  </si>
  <si>
    <t xml:space="preserve">However, I admired him and tried to copy him far more than I ever did my father, for Father is an amiable gentleman full of honorable habits and pious saws—so you see how it goes.</t>
  </si>
  <si>
    <t xml:space="preserve">Rhett’s father</t>
  </si>
  <si>
    <r>
      <rPr>
        <b/>
        <sz val="10"/>
        <rFont val="Arial"/>
      </rPr>
      <t xml:space="preserve">TERM:</t>
    </r>
    <r>
      <rPr>
        <sz val="10"/>
        <rFont val="Arial"/>
      </rPr>
      <t xml:space="preserve"> pochtennyy (почтенный) — venerable; esteemed [ORD]
</t>
    </r>
    <r>
      <rPr>
        <b/>
        <sz val="10"/>
        <rFont val="Arial"/>
      </rPr>
      <t xml:space="preserve">PASSAGE:</t>
    </r>
    <r>
      <rPr>
        <sz val="10"/>
        <rFont val="Arial"/>
      </rPr>
      <t xml:space="preserv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
    </r>
    <r>
      <rPr>
        <b/>
        <sz val="10"/>
        <rFont val="Arial"/>
      </rPr>
      <t xml:space="preserve">TRANS:</t>
    </r>
    <r>
      <rPr>
        <sz val="10"/>
        <rFont val="Arial"/>
      </rPr>
      <t xml:space="preserve"> Tem ne menee ya vsegda voskhishchalsya im i staralsya podrazhat' emu kuda bol'she, chem ottsu, khotya otets u menya — ves'ma blagovospitannyy gospodin, chrezvychayno pochtennyy i religioznyy, tak chto vidite, kak ono byvaet.
</t>
    </r>
    <r>
      <rPr>
        <b/>
        <sz val="10"/>
        <rFont val="Arial"/>
      </rPr>
      <t xml:space="preserve">TRANSLATION:</t>
    </r>
    <r>
      <rPr>
        <sz val="10"/>
        <rFont val="Arial"/>
      </rPr>
      <t xml:space="preserve"> Nevertheless I always admired him and tried to imitate him much more than my father, although my father is a very well-bred gentleman, extremely respectable and religious, so you see how it goes.</t>
    </r>
  </si>
  <si>
    <t xml:space="preserve">honor cited ironically / sarcastically — Rhett's deflation of the concept of moral honor</t>
  </si>
  <si>
    <t xml:space="preserve">"Yes,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honorable man, like Mr. Ashley Wilkes, I have concealed it from you. You are, alas, Frank's wife and honor has forbidden my telling this to you. But even as Mr. Wilkes' honor cracks occasionally, so mine is cracking now and I reveal my secret passion and my—"</t>
  </si>
  <si>
    <r>
      <rPr>
        <b/>
        <sz val="10"/>
        <rFont val="Arial"/>
      </rPr>
      <t xml:space="preserve">TERM:</t>
    </r>
    <r>
      <rPr>
        <sz val="10"/>
        <rFont val="Arial"/>
      </rPr>
      <t xml:space="preserve"> poryadochnost' (порядочность) — decency; respectability; integrity [ORD]
</t>
    </r>
    <r>
      <rPr>
        <b/>
        <sz val="10"/>
        <rFont val="Arial"/>
      </rPr>
      <t xml:space="preserve">PASSAGE:</t>
    </r>
    <r>
      <rPr>
        <sz val="10"/>
        <rFont val="Arial"/>
      </rPr>
      <t xml:space="preserve"> К сожалению, вы — супруга Фрэнка, и порядочность запрещает мне говорить вам о своих чувствах.
</t>
    </r>
    <r>
      <rPr>
        <b/>
        <sz val="10"/>
        <rFont val="Arial"/>
      </rPr>
      <t xml:space="preserve">TRANS:</t>
    </r>
    <r>
      <rPr>
        <sz val="10"/>
        <rFont val="Arial"/>
      </rPr>
      <t xml:space="preserve"> K sozhaleniyu, vy — supruga Frenka, i poryadochnost' zapreshchaet mne govorit' vam o svoikh chuvstvakh.
</t>
    </r>
    <r>
      <rPr>
        <b/>
        <sz val="10"/>
        <rFont val="Arial"/>
      </rPr>
      <t xml:space="preserve">TRANSLATION:</t>
    </r>
    <r>
      <rPr>
        <sz val="10"/>
        <rFont val="Arial"/>
      </rPr>
      <t xml:space="preserve"> Unfortunately, you are Frank's wife, and decency forbids me to speak to you of my feelings.</t>
    </r>
  </si>
  <si>
    <r>
      <rPr>
        <b/>
        <sz val="10"/>
        <rFont val="Arial"/>
      </rPr>
      <t xml:space="preserve">TERM:</t>
    </r>
    <r>
      <rPr>
        <sz val="10"/>
        <rFont val="Arial"/>
      </rPr>
      <t xml:space="preserve"> ADAMGERŞILIK (АДАМГЕРШІЛІК) — humanity; civility; humanness (the secularised humanist moral term) [KED, SZK]
</t>
    </r>
    <r>
      <rPr>
        <b/>
        <sz val="10"/>
        <rFont val="Arial"/>
      </rPr>
      <t xml:space="preserve">PASSAGE:</t>
    </r>
    <r>
      <rPr>
        <sz val="10"/>
        <rFont val="Arial"/>
      </rPr>
      <t xml:space="preserve"> Өкініштісі, сіз енді Фрэнктің жұбайысыз, өз сезімдерім туралы баяндағаным да адамгершілікке жатпайды.
</t>
    </r>
    <r>
      <rPr>
        <b/>
        <sz val="10"/>
        <rFont val="Arial"/>
      </rPr>
      <t xml:space="preserve">TRANS:</t>
    </r>
    <r>
      <rPr>
        <sz val="10"/>
        <rFont val="Arial"/>
      </rPr>
      <t xml:space="preserve"> Ökınıştısı, sız endı Frenktıñ jūbaiysyz, öz sezımderım turaly baiandağanym da adamgerşılıkke jatpaidy.
</t>
    </r>
    <r>
      <rPr>
        <b/>
        <sz val="10"/>
        <rFont val="Arial"/>
      </rPr>
      <t xml:space="preserve">TRANSLATION:</t>
    </r>
    <r>
      <rPr>
        <sz val="10"/>
        <rFont val="Arial"/>
      </rPr>
      <t xml:space="preserve"> Unfortunately, you are now Frank's wife, and to speak of my own feelings goes against humanity/decency.</t>
    </r>
  </si>
  <si>
    <t xml:space="preserve">Honor — Absent / dishonor</t>
  </si>
  <si>
    <t xml:space="preserve">social honor — publicly conferred dignity</t>
  </si>
  <si>
    <t xml:space="preserve">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honorable for any of us to stay in college after the way the Chancellor talked to you and me.</t>
  </si>
  <si>
    <r>
      <rPr>
        <b/>
        <sz val="10"/>
        <rFont val="Arial"/>
      </rPr>
      <t xml:space="preserve">TERM:</t>
    </r>
    <r>
      <rPr>
        <sz val="10"/>
        <rFont val="Arial"/>
      </rPr>
      <t xml:space="preserve"> unizitel'no (унизительно) — humiliatingly; demeaningly (adv.) [ORD]
</t>
    </r>
    <r>
      <rPr>
        <b/>
        <sz val="10"/>
        <rFont val="Arial"/>
      </rPr>
      <t xml:space="preserve">PASSAGE:</t>
    </r>
    <r>
      <rPr>
        <sz val="10"/>
        <rFont val="Arial"/>
      </rPr>
      <t xml:space="preserv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
    </r>
    <r>
      <rPr>
        <b/>
        <sz val="10"/>
        <rFont val="Arial"/>
      </rPr>
      <t xml:space="preserve">TRANS:</t>
    </r>
    <r>
      <rPr>
        <sz val="10"/>
        <rFont val="Arial"/>
      </rPr>
      <t xml:space="preserve"> A chasam k desyati, i nikak ne ran'she, Boydu udastsya vtolkovat' ey, chto bylo by unizitel'no dlya lyubogo iz ee synovey ostavat'sya v uchebnom zavedenii, gde rektor pozvolil sebe razgovarivat' s nami v takom tone.
</t>
    </r>
    <r>
      <rPr>
        <b/>
        <sz val="10"/>
        <rFont val="Arial"/>
      </rPr>
      <t xml:space="preserve">TRANSLATION:</t>
    </r>
    <r>
      <rPr>
        <sz val="10"/>
        <rFont val="Arial"/>
      </rPr>
      <t xml:space="preserve"> And around ten o'clock — and no earlier — Boyd will manage to convince her that it would be humiliating for any of her sons to remain at an institution where the rector has allowed himself to speak with us in such a tone.</t>
    </r>
  </si>
  <si>
    <r>
      <rPr>
        <b/>
        <sz val="10"/>
        <rFont val="Arial"/>
      </rPr>
      <t xml:space="preserve">TERM:</t>
    </r>
    <r>
      <rPr>
        <sz val="10"/>
        <rFont val="Arial"/>
      </rPr>
      <t xml:space="preserve"> QORLYQ (ҚОРЛЫҚ) — humiliation; abasement; disgrace [KED, SZK]
MASQARA (МАСҚАРА) — disgrace; scandal; outrage (acute) [KED, SZK]
</t>
    </r>
    <r>
      <rPr>
        <b/>
        <sz val="10"/>
        <rFont val="Arial"/>
      </rPr>
      <t xml:space="preserve">PASSAGE:</t>
    </r>
    <r>
      <rPr>
        <sz val="10"/>
        <rFont val="Arial"/>
      </rPr>
      <t xml:space="preserve"> Ал сағат түнгі онға қарай (одан бұрын болуы мүмкін емес), ұлдарына ректордың өзі қырын қабақ танытқан оқу орнында қалуы Бойд үшін қорлық, масқара екенін түсіндірудің ыңғайы келеді.
</t>
    </r>
    <r>
      <rPr>
        <b/>
        <sz val="10"/>
        <rFont val="Arial"/>
      </rPr>
      <t xml:space="preserve">TRANS:</t>
    </r>
    <r>
      <rPr>
        <sz val="10"/>
        <rFont val="Arial"/>
      </rPr>
      <t xml:space="preserve"> Al sağat tüngı onğa qarai (odan būryn boluy mümkın emes), ūldaryna rektordyñ özı qyryn qabaq tanytqan oqu ornynda qaluy Boid üşın qorlyq, masqara ekenın tüsındırudıñ yñğaiy keledı.
</t>
    </r>
    <r>
      <rPr>
        <b/>
        <sz val="10"/>
        <rFont val="Arial"/>
      </rPr>
      <t xml:space="preserve">TRANSLATION:</t>
    </r>
    <r>
      <rPr>
        <sz val="10"/>
        <rFont val="Arial"/>
      </rPr>
      <t xml:space="preserve"> And by about ten in the evening (no sooner), the moment will come for Boyd to explain that it would be a humiliation, a disgrace for her sons to stay at an institution where the rector himself has shown them a stern face.</t>
    </r>
  </si>
  <si>
    <t xml:space="preserve">"Add conceit to dishonor," he said. "You'll never get over being the belle of the County, will you? You'll always think you're the cutest little trick in shoe leather and that every man you meet is expiring for love of you."</t>
  </si>
  <si>
    <r>
      <rPr>
        <b/>
        <sz val="10"/>
        <rFont val="Arial"/>
      </rPr>
      <t xml:space="preserve">TERM:</t>
    </r>
    <r>
      <rPr>
        <sz val="10"/>
        <rFont val="Arial"/>
      </rPr>
      <t xml:space="preserve"> beschestnaya (бесчестная) — dishonourable (adj. fem.) [ORD] (lemma: бесчестный)
</t>
    </r>
    <r>
      <rPr>
        <b/>
        <sz val="10"/>
        <rFont val="Arial"/>
      </rPr>
      <t xml:space="preserve">PASSAGE:</t>
    </r>
    <r>
      <rPr>
        <sz val="10"/>
        <rFont val="Arial"/>
      </rPr>
      <t xml:space="preserve"> Вы не только бесчестная, но еще и самонадеянная
</t>
    </r>
    <r>
      <rPr>
        <b/>
        <sz val="10"/>
        <rFont val="Arial"/>
      </rPr>
      <t xml:space="preserve">TRANS:</t>
    </r>
    <r>
      <rPr>
        <sz val="10"/>
        <rFont val="Arial"/>
      </rPr>
      <t xml:space="preserve"> Vy ne tol'ko beschestnaya, no eshche i samonadeyannaya
</t>
    </r>
    <r>
      <rPr>
        <b/>
        <sz val="10"/>
        <rFont val="Arial"/>
      </rPr>
      <t xml:space="preserve">TRANSLATION:</t>
    </r>
    <r>
      <rPr>
        <sz val="10"/>
        <rFont val="Arial"/>
      </rPr>
      <t xml:space="preserve"> You are not only dishonest, but also conceited</t>
    </r>
  </si>
  <si>
    <r>
      <rPr>
        <b/>
        <sz val="10"/>
        <rFont val="Arial"/>
      </rPr>
      <t xml:space="preserve">TERM:</t>
    </r>
    <r>
      <rPr>
        <sz val="10"/>
        <rFont val="Arial"/>
      </rPr>
      <t xml:space="preserve"> ÄDILETSIZDIK (ӘДІЛЕТСІЗДІК) = injustice, unfairness, dishonesty, dishonor
</t>
    </r>
    <r>
      <rPr>
        <b/>
        <sz val="10"/>
        <rFont val="Arial"/>
      </rPr>
      <t xml:space="preserve">PASSAGE:</t>
    </r>
    <r>
      <rPr>
        <sz val="10"/>
        <rFont val="Arial"/>
      </rPr>
      <t xml:space="preserve"> Сіз әділетсіздігіңізбен қоса, өзіңізді тым артық бағалап жібереді екенсіз
</t>
    </r>
    <r>
      <rPr>
        <b/>
        <sz val="10"/>
        <rFont val="Arial"/>
      </rPr>
      <t xml:space="preserve">TRANS:</t>
    </r>
    <r>
      <rPr>
        <sz val="10"/>
        <rFont val="Arial"/>
      </rPr>
      <t xml:space="preserve"> Sız ädıletsızdıgıñızben qosa, özıñızdı tym artyq bağalap jıberedı ekensız
</t>
    </r>
    <r>
      <rPr>
        <b/>
        <sz val="10"/>
        <rFont val="Arial"/>
      </rPr>
      <t xml:space="preserve">TRANSLATION:</t>
    </r>
    <r>
      <rPr>
        <sz val="10"/>
        <rFont val="Arial"/>
      </rPr>
      <t xml:space="preserve"> In addition to your unjustness, it turns out you also overrate yourself excessively</t>
    </r>
  </si>
  <si>
    <t xml:space="preserve">Moral honor; absence of moral honor</t>
  </si>
  <si>
    <t xml:space="preserve">I know you've been physically faithful to me. Was that what you were trying to say? Oh, I've known that all along. All these years. How do I know? Oh, well, I know Ashley Wilkes and his breed. I know he is honorable and a gentleman. And that, my dear, is more than I can say for you—or for me, for that matter. We are not gentlemen and we have no honor, have we? That's why we flourish like green bay trees."</t>
  </si>
  <si>
    <r>
      <rPr>
        <b/>
        <sz val="10"/>
        <rFont val="Arial"/>
      </rPr>
      <t xml:space="preserve">TERM:</t>
    </r>
    <r>
      <rPr>
        <sz val="10"/>
        <rFont val="Arial"/>
      </rPr>
      <t xml:space="preserve"> poryadochnyy i blagorodnyy (порядочный и благородный) — decent and noble [ORD] (lemma: порядочный)
</t>
    </r>
    <r>
      <rPr>
        <b/>
        <sz val="10"/>
        <rFont val="Arial"/>
      </rPr>
      <t xml:space="preserve">PASSAGE:</t>
    </r>
    <r>
      <rPr>
        <sz val="10"/>
        <rFont val="Arial"/>
      </rPr>
      <t xml:space="preserve"> blagorodstvo (благородство) = nobility Знаю, что он человек порядочный и благородный. Мы с вами благородством не отличаемся, и у нас нет понятия чести, верно?
</t>
    </r>
    <r>
      <rPr>
        <b/>
        <sz val="10"/>
        <rFont val="Arial"/>
      </rPr>
      <t xml:space="preserve">TRANS:</t>
    </r>
    <r>
      <rPr>
        <sz val="10"/>
        <rFont val="Arial"/>
      </rPr>
      <t xml:space="preserve"> blagorodstvo (blagorodstvo) = nobility Znayu, chto on chelovek poryadochnyy i blagorodnyy. My s vami blagorodstvom ne otlichaemsya, i u nas net ponyatiya chesti, verno?
</t>
    </r>
    <r>
      <rPr>
        <b/>
        <sz val="10"/>
        <rFont val="Arial"/>
      </rPr>
      <t xml:space="preserve">TRANSLATION:</t>
    </r>
    <r>
      <rPr>
        <sz val="10"/>
        <rFont val="Arial"/>
      </rPr>
      <t xml:space="preserve"> blagorodstvo = nobility. I know that he is decent and noble. You and I do not stand out for nobility, and we have no concept of honor, do we?</t>
    </r>
  </si>
  <si>
    <r>
      <rPr>
        <b/>
        <sz val="10"/>
        <rFont val="Arial"/>
      </rPr>
      <t xml:space="preserve">TERM:</t>
    </r>
    <r>
      <rPr>
        <sz val="10"/>
        <rFont val="Arial"/>
      </rPr>
      <t xml:space="preserve"> ADAL (АДАЛ) — honest; faithful; pure; lawful (Arabic ḥalāl) [KED, SZK]
asyl (АСЫЛ) = noble; precious
</t>
    </r>
    <r>
      <rPr>
        <b/>
        <sz val="10"/>
        <rFont val="Arial"/>
      </rPr>
      <t xml:space="preserve">PASSAGE:</t>
    </r>
    <r>
      <rPr>
        <sz val="10"/>
        <rFont val="Arial"/>
      </rPr>
      <t xml:space="preserve"> Оның адал һәм абзал жан екенін білемін. Біз асыл тегімізбен, абзал жүрегімізбен ерекшелене алмаймыз, бізде адалдық деген түсінік жоқ қой, солай ма?
</t>
    </r>
    <r>
      <rPr>
        <b/>
        <sz val="10"/>
        <rFont val="Arial"/>
      </rPr>
      <t xml:space="preserve">TRANS:</t>
    </r>
    <r>
      <rPr>
        <sz val="10"/>
        <rFont val="Arial"/>
      </rPr>
      <t xml:space="preserve">  Onyñ adal häm abzal jan ekenın bılemın. Bız asyl tegımızben, abzal jüregımızben erekşelene almaimyz, bızde adaldyq degen tüsınık joq qoi, solai ma?
</t>
    </r>
    <r>
      <rPr>
        <b/>
        <sz val="10"/>
        <rFont val="Arial"/>
      </rPr>
      <t xml:space="preserve">TRANSLATION:</t>
    </r>
    <r>
      <rPr>
        <sz val="10"/>
        <rFont val="Arial"/>
      </rPr>
      <t xml:space="preserve"> I know he is honest and noble. You and I cannot stand out by our noble origin, by a noble heart; we have no notion of honesty, isn't that so?</t>
    </r>
  </si>
  <si>
    <t xml:space="preserve">The words bubbled up faster than she could speak them. She could tell him. She could tell Rhett anything. He'd been so bad himself that he wouldn't sit in judgment on her. How wonderful to know someone who was bad and dishonorable and a cheat and a liar, when all the world was filled with people who would not lie to save their souls and who would rather starve than do a dishonorable deed!</t>
  </si>
  <si>
    <r>
      <rPr>
        <b/>
        <sz val="10"/>
        <rFont val="Arial"/>
      </rPr>
      <t xml:space="preserve">TERM:</t>
    </r>
    <r>
      <rPr>
        <sz val="10"/>
        <rFont val="Arial"/>
      </rPr>
      <t xml:space="preserve"> beschestnyy (бесчестный) — dishonourable; ignoble [ORD]
</t>
    </r>
    <r>
      <rPr>
        <b/>
        <sz val="10"/>
        <rFont val="Arial"/>
      </rPr>
      <t xml:space="preserve">PASSAGE:</t>
    </r>
    <r>
      <rPr>
        <sz val="10"/>
        <rFont val="Arial"/>
      </rPr>
      <t xml:space="preserve"> А до чего же приятно знать, что существует на свете человек плохой и бесчестный, обманщик и лгун,
</t>
    </r>
    <r>
      <rPr>
        <b/>
        <sz val="10"/>
        <rFont val="Arial"/>
      </rPr>
      <t xml:space="preserve">TRANS:</t>
    </r>
    <r>
      <rPr>
        <sz val="10"/>
        <rFont val="Arial"/>
      </rPr>
      <t xml:space="preserve"> A do chego zhe priyatno znat', chto sushchestvuet na svete chelovek plokhoy i beschestnyy, obmanshchik i lgun,
</t>
    </r>
    <r>
      <rPr>
        <b/>
        <sz val="10"/>
        <rFont val="Arial"/>
      </rPr>
      <t xml:space="preserve">TRANSLATION:</t>
    </r>
    <r>
      <rPr>
        <sz val="10"/>
        <rFont val="Arial"/>
      </rPr>
      <t xml:space="preserve"> And how pleasant it is to know that there exists in the world a person bad and dishonorable, a deceiver and liar,</t>
    </r>
  </si>
  <si>
    <r>
      <rPr>
        <b/>
        <sz val="10"/>
        <rFont val="Arial"/>
      </rPr>
      <t xml:space="preserve">TERM:</t>
    </r>
    <r>
      <rPr>
        <sz val="10"/>
        <rFont val="Arial"/>
      </rPr>
      <t xml:space="preserve"> ŪİATSYZ (ҰЯТСЫЗ) — shameless; without sense of shame [KED, SZK]
</t>
    </r>
    <r>
      <rPr>
        <b/>
        <sz val="10"/>
        <rFont val="Arial"/>
      </rPr>
      <t xml:space="preserve">PASSAGE:</t>
    </r>
    <r>
      <rPr>
        <sz val="10"/>
        <rFont val="Arial"/>
      </rPr>
      <t xml:space="preserve"> ұятсыз, өтірікші, арсыз осындай адамдар да болатынын білу қандай ғанибет.
</t>
    </r>
    <r>
      <rPr>
        <b/>
        <sz val="10"/>
        <rFont val="Arial"/>
      </rPr>
      <t xml:space="preserve">TRANS:</t>
    </r>
    <r>
      <rPr>
        <sz val="10"/>
        <rFont val="Arial"/>
      </rPr>
      <t xml:space="preserve"> ūiatsyz, ötırıkşı, arsyz osyndai adamdar da bolatynyn bılu qandai ğanibet.
</t>
    </r>
    <r>
      <rPr>
        <b/>
        <sz val="10"/>
        <rFont val="Arial"/>
      </rPr>
      <t xml:space="preserve">TRANSLATION:</t>
    </r>
    <r>
      <rPr>
        <sz val="10"/>
        <rFont val="Arial"/>
      </rPr>
      <t xml:space="preserve"> How pleasant it is to know that there exists in the world such people — shameless, lying, dishonorable.</t>
    </r>
  </si>
  <si>
    <t xml:space="preserve">She loved him, scamp, blackguard, without scruple or honor—at least, honor as Ashley saw it. "Damn Ashley's honor!" she thought. "Ashley's honor has always let me down. Yes, from the very beginning when he kept on coming to see me, even though he knew his family expected him to marry Melanie. Rhett has never let me down, even that dreadful night of Melly's reception when he ought to have wrung my neck. –</t>
  </si>
  <si>
    <t xml:space="preserve">Rhett-Ashley</t>
  </si>
  <si>
    <r>
      <rPr>
        <b/>
        <sz val="10"/>
        <rFont val="Arial"/>
      </rPr>
      <t xml:space="preserve">TERM:</t>
    </r>
    <r>
      <rPr>
        <sz val="10"/>
        <rFont val="Arial"/>
      </rPr>
      <t xml:space="preserve"> bez chesti i sovesti (без чести и совести) — without honour or conscience (set phrase) [ORD] (lemma: честь)
</t>
    </r>
    <r>
      <rPr>
        <b/>
        <sz val="10"/>
        <rFont val="Arial"/>
      </rPr>
      <t xml:space="preserve">PASSAGE:</t>
    </r>
    <r>
      <rPr>
        <sz val="10"/>
        <rFont val="Arial"/>
      </rPr>
      <t xml:space="preserve"> Она любила его — негодяя, мерзавца, человека без чести и совести, во всяком случае в том смысле, в каком Эшли понимал честь.
</t>
    </r>
    <r>
      <rPr>
        <b/>
        <sz val="10"/>
        <rFont val="Arial"/>
      </rPr>
      <t xml:space="preserve">TRANS:</t>
    </r>
    <r>
      <rPr>
        <sz val="10"/>
        <rFont val="Arial"/>
      </rPr>
      <t xml:space="preserve"> Ona lyubila ego — negodyaya, merzavtsa, cheloveka bez chesti i sovesti, vo vsyakom sluchae v tom smysle, v kakom Eshli ponimal chest'.
</t>
    </r>
    <r>
      <rPr>
        <b/>
        <sz val="10"/>
        <rFont val="Arial"/>
      </rPr>
      <t xml:space="preserve">TRANSLATION:</t>
    </r>
    <r>
      <rPr>
        <sz val="10"/>
        <rFont val="Arial"/>
      </rPr>
      <t xml:space="preserve"> She loved him — a scoundrel, a villain, a man without honor or conscience, at any rate in the sense in which Ashley understood honor.</t>
    </r>
  </si>
  <si>
    <r>
      <rPr>
        <b/>
        <sz val="10"/>
        <rFont val="Arial"/>
      </rPr>
      <t xml:space="preserve">TERM:</t>
    </r>
    <r>
      <rPr>
        <sz val="10"/>
        <rFont val="Arial"/>
      </rPr>
      <t xml:space="preserve"> AR (АР) — honour; conscience; inalienable inner moral principle [KED, SZK]
ADALDYQ (АДАЛДЫҚ)
ADAMŞYLYQ (АДАМШЫЛЫҚ)
ŪİAT (ҰЯТ)
</t>
    </r>
    <r>
      <rPr>
        <b/>
        <sz val="10"/>
        <rFont val="Arial"/>
      </rPr>
      <t xml:space="preserve">PASSAGE:</t>
    </r>
    <r>
      <rPr>
        <sz val="10"/>
        <rFont val="Arial"/>
      </rPr>
      <t xml:space="preserve"> Ол соны - оңбағанды, жексұрынды, ары мен ұяты жоқ адамды, өз пайымдауынша, Эшли қандай адам деп ойлауы мүмкін болса, сондай адамды сүйетін. "Барсыншы әрі сол Эшли, өзінің адалдығымен, адамшылық туралы түсініктерімен мені шатастырып бітті, сатып кетті.
</t>
    </r>
    <r>
      <rPr>
        <b/>
        <sz val="10"/>
        <rFont val="Arial"/>
      </rPr>
      <t xml:space="preserve">TRANS:</t>
    </r>
    <r>
      <rPr>
        <sz val="10"/>
        <rFont val="Arial"/>
      </rPr>
      <t xml:space="preserve"> Ol sony - oñbağandy, jeksūryndy, ary men ūiaty joq adamdy, öz paiymdauynşa, Eşli qandai adam dep oilauy mümkın bolsa, sondai adamdy süietın. "Barsynşy ärı sol Eşli, özınıñ adaldyğymen, adamşylyq turaly tüsınıkterımen menı şatastyryp bıttı, satyp kettı.
</t>
    </r>
    <r>
      <rPr>
        <b/>
        <sz val="10"/>
        <rFont val="Arial"/>
      </rPr>
      <t xml:space="preserve">TRANSLATION:</t>
    </r>
    <r>
      <rPr>
        <sz val="10"/>
        <rFont val="Arial"/>
      </rPr>
      <t xml:space="preserve"> She loved such a man—a scoundrel, a vile creature, a person without honor or shame—exactly the kind of man Ashley, in her judgment, might have thought him to be. “Let him go, and that Ashley too—he has completely confused me and betrayed me with his notions of honesty and humanity.”</t>
    </r>
  </si>
  <si>
    <t xml:space="preserve">Honor — Undifferentiated honor</t>
  </si>
  <si>
    <t xml:space="preserve">Undifferentiated honor</t>
  </si>
  <si>
    <t xml:space="preserve">If it killed him, he would never leave Melanie. If he burned for Scarlett until the end of his days, he would never take her and he would fight to keep her at a distance. She would never again get through that armor. The words, hospitality and loyalty and honor, meant more to him than she did.</t>
  </si>
  <si>
    <r>
      <rPr>
        <b/>
        <sz val="10"/>
        <rFont val="Arial"/>
      </rPr>
      <t xml:space="preserve">TERM:</t>
    </r>
    <r>
      <rPr>
        <sz val="10"/>
        <rFont val="Arial"/>
      </rPr>
      <t xml:space="preserve"> ABYROİ (АБЫРОЙ) — dignity; prestige; public standing; reputation (Arabic-Persian loan) [KED, SZK]
ar men iba (ар мен иба) = conscience and modesty 
</t>
    </r>
    <r>
      <rPr>
        <b/>
        <sz val="10"/>
        <rFont val="Arial"/>
      </rPr>
      <t xml:space="preserve">PASSAGE:</t>
    </r>
    <r>
      <rPr>
        <sz val="10"/>
        <rFont val="Arial"/>
      </rPr>
      <t xml:space="preserve"> "Қонақжайлылық", "абырой", "ар мен иба" дегендерді бұдан биік ұстайды.
</t>
    </r>
    <r>
      <rPr>
        <b/>
        <sz val="10"/>
        <rFont val="Arial"/>
      </rPr>
      <t xml:space="preserve">TRANS:</t>
    </r>
    <r>
      <rPr>
        <sz val="10"/>
        <rFont val="Arial"/>
      </rPr>
      <t xml:space="preserve"> "Qonaqjailylyq", "abyroi", "ar men iba" degenderdı būdan biık ūstaidy.
</t>
    </r>
    <r>
      <rPr>
        <b/>
        <sz val="10"/>
        <rFont val="Arial"/>
      </rPr>
      <t xml:space="preserve">TRANSLATION:</t>
    </r>
    <r>
      <rPr>
        <sz val="10"/>
        <rFont val="Arial"/>
      </rPr>
      <t xml:space="preserve"> He values "hospitality", "dignity", and "conscience and modesty" higher than this.</t>
    </r>
  </si>
  <si>
    <t xml:space="preserve">In accordance with honor</t>
  </si>
  <si>
    <t xml:space="preserve">"I bare my soul and you are suspicious! No, Scarlett, this is a bona fide honorable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</si>
  <si>
    <r>
      <rPr>
        <b/>
        <sz val="10"/>
        <rFont val="Arial"/>
      </rPr>
      <t xml:space="preserve">TERM:</t>
    </r>
    <r>
      <rPr>
        <sz val="10"/>
        <rFont val="Arial"/>
      </rPr>
      <t xml:space="preserve"> chestnoe predlozhenie. (честное предложение.) = honest declaration
</t>
    </r>
    <r>
      <rPr>
        <b/>
        <sz val="10"/>
        <rFont val="Arial"/>
      </rPr>
      <t xml:space="preserve">PASSAGE:</t>
    </r>
    <r>
      <rPr>
        <sz val="10"/>
        <rFont val="Arial"/>
      </rPr>
      <t xml:space="preserve"> Нет, Скарлетт, это bonа fide честное предложение.
</t>
    </r>
    <r>
      <rPr>
        <b/>
        <sz val="10"/>
        <rFont val="Arial"/>
      </rPr>
      <t xml:space="preserve">TRANS:</t>
    </r>
    <r>
      <rPr>
        <sz val="10"/>
        <rFont val="Arial"/>
      </rPr>
      <t xml:space="preserve"> Net, Skarlett, eto bona fide chestnoe predlozhenie.
</t>
    </r>
    <r>
      <rPr>
        <b/>
        <sz val="10"/>
        <rFont val="Arial"/>
      </rPr>
      <t xml:space="preserve">TRANSLATION:</t>
    </r>
    <r>
      <rPr>
        <sz val="10"/>
        <rFont val="Arial"/>
      </rPr>
      <t xml:space="preserve"> No, Scarlett, this is bona fide an honest proposal.</t>
    </r>
  </si>
  <si>
    <r>
      <rPr>
        <b/>
        <sz val="10"/>
        <rFont val="Arial"/>
      </rPr>
      <t xml:space="preserve">TERM:</t>
    </r>
    <r>
      <rPr>
        <sz val="10"/>
        <rFont val="Arial"/>
      </rPr>
      <t xml:space="preserve"> ADAL ŪİAT(АДАЛ ҰЯТ) — honest shame/conscience; pure inner uprightness [KED, SZK] (lemma: ұят)
</t>
    </r>
    <r>
      <rPr>
        <b/>
        <sz val="10"/>
        <rFont val="Arial"/>
      </rPr>
      <t xml:space="preserve">PASSAGE:</t>
    </r>
    <r>
      <rPr>
        <sz val="10"/>
        <rFont val="Arial"/>
      </rPr>
      <t xml:space="preserve"> Жоқ, Скарлетт, адал ұятымның шын ұсынысы.
</t>
    </r>
    <r>
      <rPr>
        <b/>
        <sz val="10"/>
        <rFont val="Arial"/>
      </rPr>
      <t xml:space="preserve">TRANS:</t>
    </r>
    <r>
      <rPr>
        <sz val="10"/>
        <rFont val="Arial"/>
      </rPr>
      <t xml:space="preserve"> Joq, Skarlett, adal ūiatymnyñ şyn ūsynysy.
</t>
    </r>
    <r>
      <rPr>
        <b/>
        <sz val="10"/>
        <rFont val="Arial"/>
      </rPr>
      <t xml:space="preserve">TRANSLATION:</t>
    </r>
    <r>
      <rPr>
        <sz val="10"/>
        <rFont val="Arial"/>
      </rPr>
      <t xml:space="preserve"> No, Scarlett, it is the sincere proposal of my honest conscience.</t>
    </r>
  </si>
  <si>
    <t xml:space="preserve">Gone with the Wind — moral-emotion corpus: counts</t>
  </si>
  <si>
    <t xml:space="preserve">Dual-character tokens (#23, #128, #229) are counted under each of their two characters; token totals count each token once via the Token column.</t>
  </si>
  <si>
    <t xml:space="preserve">Tokens by English word (domain)</t>
  </si>
  <si>
    <t xml:space="preserve">English word</t>
  </si>
  <si>
    <t xml:space="preserve">Tokens</t>
  </si>
  <si>
    <t xml:space="preserve">Shame</t>
  </si>
  <si>
    <t xml:space="preserve">Guilt</t>
  </si>
  <si>
    <t xml:space="preserve">Conscience</t>
  </si>
  <si>
    <t xml:space="preserve">Honor</t>
  </si>
  <si>
    <t xml:space="preserve">Total</t>
  </si>
  <si>
    <t xml:space="preserve">Tokens by English word × Part of novel (the arc)</t>
  </si>
  <si>
    <t xml:space="preserve">Tokens by character × English word  (dual tokens counted under each character)</t>
  </si>
  <si>
    <t xml:space="preserve">Principal characters — counts</t>
  </si>
  <si>
    <t xml:space="preserve">The four central characters. Dual-character tokens (#23, #128, #229) are counted under each of their two characters, so the four character rows sum to 190; the distinct-token count is 187.</t>
  </si>
  <si>
    <t xml:space="preserve">By English word (domain)</t>
  </si>
  <si>
    <t xml:space="preserve">Distinct tokens</t>
  </si>
  <si>
    <t xml:space="preserve">By Part of the novel (the arc)</t>
  </si>
  <si>
    <t xml:space="preserve">SHAME — 104 tokens</t>
  </si>
  <si>
    <t xml:space="preserve">Shame: subtype × part of novel (arc)</t>
  </si>
  <si>
    <t xml:space="preserve">Subtype</t>
  </si>
  <si>
    <t xml:space="preserve">Moral shame</t>
  </si>
  <si>
    <t xml:space="preserve">Social shame</t>
  </si>
  <si>
    <t xml:space="preserve">Illocutionary shame (shaming)</t>
  </si>
  <si>
    <t xml:space="preserve">Absent shame</t>
  </si>
  <si>
    <t xml:space="preserve">Performed / ironic shame</t>
  </si>
  <si>
    <t xml:space="preserve">Absent social shame</t>
  </si>
  <si>
    <t xml:space="preserve">Social shame (somatic expression)</t>
  </si>
  <si>
    <t xml:space="preserve">Social shame (about the body)</t>
  </si>
  <si>
    <t xml:space="preserve">Absent moral shame</t>
  </si>
  <si>
    <t xml:space="preserve">Absent social shame (about the body)</t>
  </si>
  <si>
    <t xml:space="preserve">Shame as verdict</t>
  </si>
  <si>
    <t xml:space="preserve">Shame: subtype × character   (dual tokens counted under each principal; Tokens = distinct count)</t>
  </si>
  <si>
    <t xml:space="preserve">Other</t>
  </si>
  <si>
    <t xml:space="preserve">GUILT — 31 tokens</t>
  </si>
  <si>
    <t xml:space="preserve">Guilt: subtype × part of novel (arc)</t>
  </si>
  <si>
    <t xml:space="preserve">Felt guilt</t>
  </si>
  <si>
    <t xml:space="preserve">Guilt as deed</t>
  </si>
  <si>
    <t xml:space="preserve">Felt guilt (guilty pleasure)</t>
  </si>
  <si>
    <t xml:space="preserve">Felt guilt (guilty conscience)</t>
  </si>
  <si>
    <t xml:space="preserve">Guilt as tormentor</t>
  </si>
  <si>
    <t xml:space="preserve">Guilt as weight</t>
  </si>
  <si>
    <t xml:space="preserve">Guilt: subtype × character   (dual tokens counted under each principal; Tokens = distinct count)</t>
  </si>
  <si>
    <t xml:space="preserve">CONSCIENCE — 39 tokens</t>
  </si>
  <si>
    <t xml:space="preserve">Conscience: subtype × part of novel (arc)</t>
  </si>
  <si>
    <t xml:space="preserve">Internal authority (advisor / opponent)</t>
  </si>
  <si>
    <t xml:space="preserve">Absent reaction</t>
  </si>
  <si>
    <t xml:space="preserve">Tormentor / punisher</t>
  </si>
  <si>
    <t xml:space="preserve">Weight</t>
  </si>
  <si>
    <t xml:space="preserve">Dormant / waking creature</t>
  </si>
  <si>
    <t xml:space="preserve">General faculty</t>
  </si>
  <si>
    <t xml:space="preserve">Object (stretchable)</t>
  </si>
  <si>
    <t xml:space="preserve">Resource</t>
  </si>
  <si>
    <t xml:space="preserve">Object (clean / unclean)</t>
  </si>
  <si>
    <t xml:space="preserve">Internal authority (judge)</t>
  </si>
  <si>
    <t xml:space="preserve">Conscience: subtype × character   (dual tokens counted under each principal; Tokens = distinct count)</t>
  </si>
  <si>
    <t xml:space="preserve">HONOR — 57 tokens</t>
  </si>
  <si>
    <t xml:space="preserve">Honor: subtype × part of novel (arc)</t>
  </si>
  <si>
    <t xml:space="preserve">Reputation / standing</t>
  </si>
  <si>
    <t xml:space="preserve">Tribute / glory</t>
  </si>
  <si>
    <t xml:space="preserve">Ironic / mocked</t>
  </si>
  <si>
    <t xml:space="preserve">Absent / dishonor</t>
  </si>
  <si>
    <t xml:space="preserve">Nobility of character</t>
  </si>
  <si>
    <t xml:space="preserve">Honor: subtype × character   (dual tokens counted under each principal; Tokens = distinct count)</t>
  </si>
  <si>
    <r>
      <rPr>
        <rFont val="Arial"/>
        <sz val="10"/>
        <b/>
      </rPr>
      <t>TERM:</t>
    </r>
    <r>
      <rPr>
        <rFont val="Arial"/>
        <sz val="10"/>
      </rPr>
      <t xml:space="preserve"> pristydit' (пристыдить) — to put to shame, to shame (someone) [ORD]
</t>
    </r>
    <r>
      <rPr>
        <rFont val="Arial"/>
        <sz val="10"/>
        <b/>
      </rPr>
      <t>PASSAGE:</t>
    </r>
    <r>
      <rPr>
        <rFont val="Arial"/>
        <sz val="10"/>
      </rPr>
      <t xml:space="preserve"> ибо одного укоряющего взгляда матери было достаточно, чтобы пристыдить ее до слез.
</t>
    </r>
    <r>
      <rPr>
        <rFont val="Arial"/>
        <sz val="10"/>
        <b/>
      </rPr>
      <t>TRANS:</t>
    </r>
    <r>
      <rPr>
        <rFont val="Arial"/>
        <sz val="10"/>
      </rPr>
      <t xml:space="preserve"> ibo odnogo ukoryayushchego vzglyada materi bylo dostatochno, chtoby pristydit' ee do slez.
</t>
    </r>
    <r>
      <rPr>
        <rFont val="Arial"/>
        <sz val="10"/>
        <b/>
      </rPr>
      <t>TRANSLATION:</t>
    </r>
    <r>
      <rPr>
        <rFont val="Arial"/>
        <sz val="10"/>
      </rPr>
      <t xml:space="preserve"> for a single reproachful glance from her mother was enough to shame her to tears.</t>
    </r>
  </si>
  <si>
    <r>
      <rPr>
        <rFont val="Arial"/>
        <sz val="10"/>
        <b/>
      </rPr>
      <t>TERM:</t>
    </r>
    <r>
      <rPr>
        <rFont val="Arial"/>
        <sz val="10"/>
      </rPr>
      <t xml:space="preserve"> ŪİALTU (ҰЯЛТУ) — to make (someone) feel ashamed; to disconcert; to embarrass (causative) [KED, SZK]
</t>
    </r>
    <r>
      <rPr>
        <rFont val="Arial"/>
        <sz val="10"/>
        <b/>
      </rPr>
      <t>PASSAGE:</t>
    </r>
    <r>
      <rPr>
        <rFont val="Arial"/>
        <sz val="10"/>
      </rPr>
      <t xml:space="preserve"> Өзін момын етіп көрсетудің жолын білді, анасының сөге қараған жалғыз көзқарасы оны ұялтып, жылатуға жеткілікті болатын
</t>
    </r>
    <r>
      <rPr>
        <rFont val="Arial"/>
        <sz val="10"/>
        <b/>
      </rPr>
      <t>TRANS:</t>
    </r>
    <r>
      <rPr>
        <rFont val="Arial"/>
        <sz val="10"/>
      </rPr>
      <t xml:space="preserve"> Özın momyn etıp körsetudıñ jolyn bıldı, anasynyñ söge qarağan jalğyz közqarasy ony ūialtyp, jylatuğa jetkılıktı bolatyn
</t>
    </r>
    <r>
      <rPr>
        <rFont val="Arial"/>
        <sz val="10"/>
        <b/>
      </rPr>
      <t>TRANSLATION:</t>
    </r>
    <r>
      <rPr>
        <rFont val="Arial"/>
        <sz val="10"/>
      </rPr>
      <t xml:space="preserve"> She knew how to put on an air of meekness; her mother's single reproachful glance was enough to shame her into tears.</t>
    </r>
  </si>
  <si>
    <r>
      <rPr>
        <rFont val="Arial"/>
        <sz val="10"/>
        <b/>
      </rPr>
      <t>TERM:</t>
    </r>
    <r>
      <rPr>
        <rFont val="Arial"/>
        <sz val="10"/>
      </rPr>
      <t xml:space="preserve"> ustydilas' (устыдилась) — felt ashamed (pf., past fem.) [ORD] (lemma: устыдиться)
</t>
    </r>
    <r>
      <rPr>
        <rFont val="Arial"/>
        <sz val="10"/>
        <b/>
      </rPr>
      <t>PASSAGE:</t>
    </r>
    <r>
      <rPr>
        <rFont val="Arial"/>
        <sz val="10"/>
      </rPr>
      <t xml:space="preserve"> Но она устыдилась такой мысли, почувствовав даже в этом какое-то неуважение к Эллин
</t>
    </r>
    <r>
      <rPr>
        <rFont val="Arial"/>
        <sz val="10"/>
        <b/>
      </rPr>
      <t>TRANS:</t>
    </r>
    <r>
      <rPr>
        <rFont val="Arial"/>
        <sz val="10"/>
      </rPr>
      <t xml:space="preserve"> No ona ustydilas' takoy mysli, pochuvstvovav dazhe v etom kakoe-to neuvazhenie k Ellin
</t>
    </r>
    <r>
      <rPr>
        <rFont val="Arial"/>
        <sz val="10"/>
        <b/>
      </rPr>
      <t>TRANSLATION:</t>
    </r>
    <r>
      <rPr>
        <rFont val="Arial"/>
        <sz val="10"/>
      </rPr>
      <t xml:space="preserve"> But she felt ashamed at such a thought, sensing in it a kind of disrespect toward Ellen</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</si>
  <si>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Әйтсе де мұндай ойдың өзі Эллинге деген құрметсіздік сияқты сезіліп, ұялып қалды.
</t>
    </r>
    <r>
      <rPr>
        <rFont val="Arial"/>
        <sz val="10"/>
        <b/>
      </rPr>
      <t>TRANS:</t>
    </r>
    <r>
      <rPr>
        <rFont val="Arial"/>
        <sz val="10"/>
      </rPr>
      <t xml:space="preserve"> Äitse de mūndai oidyñ özı Elinge degen qūrmetsızdık siaqty sezılıp, ūialyp qaldy.
</t>
    </r>
    <r>
      <rPr>
        <rFont val="Arial"/>
        <sz val="10"/>
        <b/>
      </rPr>
      <t>TRANSLATION:</t>
    </r>
    <r>
      <rPr>
        <rFont val="Arial"/>
        <sz val="10"/>
      </rPr>
      <t xml:space="preserve"> And yet such a thought itself felt like disrespect toward Ellen, and she felt ashamed.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</si>
  <si>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стыдно было возвратиться к тете Питти,
</t>
    </r>
    <r>
      <rPr>
        <rFont val="Arial"/>
        <sz val="10"/>
        <b/>
      </rPr>
      <t>TRANS:</t>
    </r>
    <r>
      <rPr>
        <rFont val="Arial"/>
        <sz val="10"/>
      </rPr>
      <t xml:space="preserve"> ey stydno bylo vozvratit'sya k tete Pitti,
</t>
    </r>
    <r>
      <rPr>
        <rFont val="Arial"/>
        <sz val="10"/>
        <b/>
      </rPr>
      <t>TRANSLATION:</t>
    </r>
    <r>
      <rPr>
        <rFont val="Arial"/>
        <sz val="10"/>
      </rPr>
      <t xml:space="preserve"> she was ashamed to return to Aunt Pitty,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</si>
  <si>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Бұрышқа жеткенде әрі қарай қалай жүрерін білмей тұрып қалды; Ол Питти тәтейге баруға ұялды
</t>
    </r>
    <r>
      <rPr>
        <rFont val="Arial"/>
        <sz val="10"/>
        <b/>
      </rPr>
      <t>TRANS:</t>
    </r>
    <r>
      <rPr>
        <rFont val="Arial"/>
        <sz val="10"/>
      </rPr>
      <t xml:space="preserve"> Būryşqa jetkende ärı qarai qalai jürerın bılmei tūryp qaldy; Ol Pitti täteige baruğa ūialdy
</t>
    </r>
    <r>
      <rPr>
        <rFont val="Arial"/>
        <sz val="10"/>
        <b/>
      </rPr>
      <t>TRANSLATION:</t>
    </r>
    <r>
      <rPr>
        <rFont val="Arial"/>
        <sz val="10"/>
      </rPr>
      <t xml:space="preserve"> When she reached the corner she stood still, not knowing what to do next; she was too ashamed to go to Aunt Pitty.</t>
    </r>
  </si>
  <si>
    <r>
      <rPr>
        <rFont val="Arial"/>
        <sz val="10"/>
        <b/>
      </rPr>
      <t>TERM:</t>
    </r>
    <r>
      <rPr>
        <rFont val="Arial"/>
        <sz val="10"/>
      </rPr>
      <t xml:space="preserve"> ustydyas' (устыдясь) — having felt ashamed (gerund) [ORD] (lemma: устыдиться)
</t>
    </r>
    <r>
      <rPr>
        <rFont val="Arial"/>
        <sz val="10"/>
        <b/>
      </rPr>
      <t>PASSAGE:</t>
    </r>
    <r>
      <rPr>
        <rFont val="Arial"/>
        <sz val="10"/>
      </rPr>
      <t xml:space="preserve"> и Скарлетт глубоко вздохнула, устыдясь своей внезапной вспышки
</t>
    </r>
    <r>
      <rPr>
        <rFont val="Arial"/>
        <sz val="10"/>
        <b/>
      </rPr>
      <t>TRANS:</t>
    </r>
    <r>
      <rPr>
        <rFont val="Arial"/>
        <sz val="10"/>
      </rPr>
      <t xml:space="preserve"> i Skarlett gluboko vzdokhnula, ustydyas' svoey vnezapnoy vspyshki
</t>
    </r>
    <r>
      <rPr>
        <rFont val="Arial"/>
        <sz val="10"/>
        <b/>
      </rPr>
      <t>TRANSLATION:</t>
    </r>
    <r>
      <rPr>
        <rFont val="Arial"/>
        <sz val="10"/>
      </rPr>
      <t xml:space="preserve"> and Scarlett took a deep breath, ashamed of her sudden outburst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</si>
  <si>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было стыдно, словно Мелани прочла трусливые мысли на ее лице.
</t>
    </r>
    <r>
      <rPr>
        <rFont val="Arial"/>
        <sz val="10"/>
        <b/>
      </rPr>
      <t>TRANS:</t>
    </r>
    <r>
      <rPr>
        <rFont val="Arial"/>
        <sz val="10"/>
      </rPr>
      <t xml:space="preserve"> ey bylo stydno, slovno Melani prochla truslivye mysli na ee litse.
</t>
    </r>
    <r>
      <rPr>
        <rFont val="Arial"/>
        <sz val="10"/>
        <b/>
      </rPr>
      <t>TRANSLATION:</t>
    </r>
    <r>
      <rPr>
        <rFont val="Arial"/>
        <sz val="10"/>
      </rPr>
      <t xml:space="preserve"> she felt ashamed, as if Melanie had read her cowardly thoughts on her face.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</si>
  <si>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Мелани тек Скарлеттің өзі ойлағанын дауыстап айтқан еді, бірақ Скарлетт, Мелани оның қорқынышын бетінен оқып қойғандай, ұялғаннан ашуланды.
</t>
    </r>
    <r>
      <rPr>
        <rFont val="Arial"/>
        <sz val="10"/>
        <b/>
      </rPr>
      <t>TRANS:</t>
    </r>
    <r>
      <rPr>
        <rFont val="Arial"/>
        <sz val="10"/>
      </rPr>
      <t xml:space="preserve"> Melani tek Skarlettıñ özı oilağanyn dauystap aitqan edı, bıraq Skarlett, Melani onyñ qorqynyşyn betınen oqyp qoiğandai, ūialğannan aşulandy.
</t>
    </r>
    <r>
      <rPr>
        <rFont val="Arial"/>
        <sz val="10"/>
        <b/>
      </rPr>
      <t>TRANSLATION:</t>
    </r>
    <r>
      <rPr>
        <rFont val="Arial"/>
        <sz val="10"/>
      </rPr>
      <t xml:space="preserve"> Melanie had only said aloud what Scarlett herself had been thinking, but Scarlett, as if Melanie had read her fear on her face, became angry from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</si>
  <si>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тут ей неожиданно стало стыдно.
</t>
    </r>
    <r>
      <rPr>
        <rFont val="Arial"/>
        <sz val="10"/>
        <b/>
      </rPr>
      <t>TRANS:</t>
    </r>
    <r>
      <rPr>
        <rFont val="Arial"/>
        <sz val="10"/>
      </rPr>
      <t xml:space="preserve"> I tut ey neozhidanno stalo stydno.
</t>
    </r>
    <r>
      <rPr>
        <rFont val="Arial"/>
        <sz val="10"/>
        <b/>
      </rPr>
      <t>TRANSLATION:</t>
    </r>
    <r>
      <rPr>
        <rFont val="Arial"/>
        <sz val="10"/>
      </rPr>
      <t xml:space="preserve"> And then suddenly she felt ashamed.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</si>
  <si>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Ах, наверное, ей было слишком стыдно.
</t>
    </r>
    <r>
      <rPr>
        <rFont val="Arial"/>
        <sz val="10"/>
        <b/>
      </rPr>
      <t>TRANS:</t>
    </r>
    <r>
      <rPr>
        <rFont val="Arial"/>
        <sz val="10"/>
      </rPr>
      <t xml:space="preserve"> Akh, navernoe, ey bylo slishkom stydno.
</t>
    </r>
    <r>
      <rPr>
        <rFont val="Arial"/>
        <sz val="10"/>
        <b/>
      </rPr>
      <t>TRANSLATION:</t>
    </r>
    <r>
      <rPr>
        <rFont val="Arial"/>
        <sz val="10"/>
      </rPr>
      <t xml:space="preserve"> Ah, she must have been too ashamed.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</si>
  <si>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Сірә, ұяты жібермеген шығар.
</t>
    </r>
    <r>
      <rPr>
        <rFont val="Arial"/>
        <sz val="10"/>
        <b/>
      </rPr>
      <t>TRANS:</t>
    </r>
    <r>
      <rPr>
        <rFont val="Arial"/>
        <sz val="10"/>
      </rPr>
      <t xml:space="preserve"> Sırä, ūiaty jıbermegen şyğar.
</t>
    </r>
    <r>
      <rPr>
        <rFont val="Arial"/>
        <sz val="10"/>
        <b/>
      </rPr>
      <t>TRANSLATION:</t>
    </r>
    <r>
      <rPr>
        <rFont val="Arial"/>
        <sz val="10"/>
      </rPr>
      <t xml:space="preserve"> Most likely shame did not let her [write].</t>
    </r>
  </si>
  <si>
    <r>
      <rPr>
        <rFont val="Arial"/>
        <sz val="10"/>
        <b/>
      </rPr>
      <t>TERM:</t>
    </r>
    <r>
      <rPr>
        <rFont val="Arial"/>
        <sz val="10"/>
      </rPr>
      <t xml:space="preserve"> pristyzhennoy (пристыженной) — shamed, abashed (past pass. participle) [ORD] (lemma: пристыженный)
</t>
    </r>
    <r>
      <rPr>
        <rFont val="Arial"/>
        <sz val="10"/>
        <b/>
      </rPr>
      <t>PASSAGE:</t>
    </r>
    <r>
      <rPr>
        <rFont val="Arial"/>
        <sz val="10"/>
      </rPr>
      <t xml:space="preserve"> Скарлетт была озадачена и чувствовала себя немного пристыженной
</t>
    </r>
    <r>
      <rPr>
        <rFont val="Arial"/>
        <sz val="10"/>
        <b/>
      </rPr>
      <t>TRANS:</t>
    </r>
    <r>
      <rPr>
        <rFont val="Arial"/>
        <sz val="10"/>
      </rPr>
      <t xml:space="preserve"> Skarlett byla ozadachena i chuvstvovala sebya nemnogo pristyzhennoy
</t>
    </r>
    <r>
      <rPr>
        <rFont val="Arial"/>
        <sz val="10"/>
        <b/>
      </rPr>
      <t>TRANSLATION:</t>
    </r>
    <r>
      <rPr>
        <rFont val="Arial"/>
        <sz val="10"/>
      </rPr>
      <t xml:space="preserve"> Scarlett was puzzled and felt herself a bit shamed</t>
    </r>
  </si>
  <si>
    <r>
      <rPr>
        <rFont val="Arial"/>
        <sz val="10"/>
        <b/>
      </rPr>
      <t>TERM:</t>
    </r>
    <r>
      <rPr>
        <rFont val="Arial"/>
        <sz val="10"/>
      </rPr>
      <t xml:space="preserve"> QOLAİSYZ (ҚОЛАЙСЫЗ) — inappropriate; inconvenient; awkward [KED, SZK]
</t>
    </r>
    <r>
      <rPr>
        <rFont val="Arial"/>
        <sz val="10"/>
        <b/>
      </rPr>
      <t>PASSAGE:</t>
    </r>
    <r>
      <rPr>
        <rFont val="Arial"/>
        <sz val="10"/>
      </rPr>
      <t xml:space="preserve"> Скарлеттің көңілі алаңдап, өзін қолайсыз сезініп тұр, әйтеуір, адамдар ылғи да бұған өзінің ойлары мен сезімдерін таңады да жүреді, мұның ортақтаспайтынымен шаруалары жоқ.
</t>
    </r>
    <r>
      <rPr>
        <rFont val="Arial"/>
        <sz val="10"/>
        <b/>
      </rPr>
      <t>TRANS:</t>
    </r>
    <r>
      <rPr>
        <rFont val="Arial"/>
        <sz val="10"/>
      </rPr>
      <t xml:space="preserve"> Skarlettıñ köñılı alañdap, özın qolaisyz sezınıp tūr, äiteuır, adamdar ylği da būğan özınıñ oilary men sezımderın tañady da jüredı, mūnyñ ortaqtaspaitynymen şarualary joq.
</t>
    </r>
    <r>
      <rPr>
        <rFont val="Arial"/>
        <sz val="10"/>
        <b/>
      </rPr>
      <t>TRANSLATION:</t>
    </r>
    <r>
      <rPr>
        <rFont val="Arial"/>
        <sz val="10"/>
      </rPr>
      <t xml:space="preserve"> Scarlett was confused and felt awkward — people always ascribe to her their own thoughts and feelings, with no regard for whether she shares them.</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</si>
  <si>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Вам было стыдно?
</t>
    </r>
    <r>
      <rPr>
        <rFont val="Arial"/>
        <sz val="10"/>
        <b/>
      </rPr>
      <t>TRANS:</t>
    </r>
    <r>
      <rPr>
        <rFont val="Arial"/>
        <sz val="10"/>
      </rPr>
      <t xml:space="preserve"> Vam bylo stydno?
</t>
    </r>
    <r>
      <rPr>
        <rFont val="Arial"/>
        <sz val="10"/>
        <b/>
      </rPr>
      <t>TRANSLATION:</t>
    </r>
    <r>
      <rPr>
        <rFont val="Arial"/>
        <sz val="10"/>
      </rPr>
      <t xml:space="preserve"> You were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</si>
  <si>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Ұялдым дейсіз бе?
</t>
    </r>
    <r>
      <rPr>
        <rFont val="Arial"/>
        <sz val="10"/>
        <b/>
      </rPr>
      <t>TRANS:</t>
    </r>
    <r>
      <rPr>
        <rFont val="Arial"/>
        <sz val="10"/>
      </rPr>
      <t xml:space="preserve"> Ūialdym deisız be?
</t>
    </r>
    <r>
      <rPr>
        <rFont val="Arial"/>
        <sz val="10"/>
        <b/>
      </rPr>
      <t>TRANSLATION:</t>
    </r>
    <r>
      <rPr>
        <rFont val="Arial"/>
        <sz val="10"/>
      </rPr>
      <t xml:space="preserve"> You say you were ashamed?</t>
    </r>
  </si>
  <si>
    <r>
      <rPr>
        <rFont val="Arial"/>
        <sz val="10"/>
        <b/>
      </rPr>
      <t>TERM:</t>
    </r>
    <r>
      <rPr>
        <rFont val="Arial"/>
        <sz val="10"/>
      </rPr>
      <t xml:space="preserve"> slezy styda (слезы стыда) — tears of shame [ORD] (lemma: слеза)
</t>
    </r>
    <r>
      <rPr>
        <rFont val="Arial"/>
        <sz val="10"/>
        <b/>
      </rPr>
      <t>PASSAGE:</t>
    </r>
    <r>
      <rPr>
        <rFont val="Arial"/>
        <sz val="10"/>
      </rPr>
      <t xml:space="preserve"> Раздражение, звучавшее в его голосе, говорило о незаживающей ране, которая болела, и от его слов слезы стыда выступили у нее на глазах.
</t>
    </r>
    <r>
      <rPr>
        <rFont val="Arial"/>
        <sz val="10"/>
        <b/>
      </rPr>
      <t>TRANS:</t>
    </r>
    <r>
      <rPr>
        <rFont val="Arial"/>
        <sz val="10"/>
      </rPr>
      <t xml:space="preserve"> Razdrazhenie, zvuchavshee v ego golose, govorilo o nezazhivayushchey rane, kotoraya bolela, i ot ego slov slezy styda vystupili u nee na glazakh.
</t>
    </r>
    <r>
      <rPr>
        <rFont val="Arial"/>
        <sz val="10"/>
        <b/>
      </rPr>
      <t>TRANSLATION:</t>
    </r>
    <r>
      <rPr>
        <rFont val="Arial"/>
        <sz val="10"/>
      </rPr>
      <t xml:space="preserve"> The irritation that sounded in his voice spoke of an unhealing wound that hurt, and at his words tears of shame welled up in her eyes.</t>
    </r>
  </si>
  <si>
    <r>
      <rPr>
        <rFont val="Arial"/>
        <sz val="10"/>
        <b/>
      </rPr>
      <t>TERM:</t>
    </r>
    <r>
      <rPr>
        <rFont val="Arial"/>
        <sz val="10"/>
      </rPr>
      <t xml:space="preserve"> styda (стыда) — shame (genitive) [ORD] (lemma: стыд)
</t>
    </r>
    <r>
      <rPr>
        <rFont val="Arial"/>
        <sz val="10"/>
        <b/>
      </rPr>
      <t>PASSAGE:</t>
    </r>
    <r>
      <rPr>
        <rFont val="Arial"/>
        <sz val="10"/>
      </rPr>
      <t xml:space="preserve"> Скарлетт — со смесью удивления и стыда.
</t>
    </r>
    <r>
      <rPr>
        <rFont val="Arial"/>
        <sz val="10"/>
        <b/>
      </rPr>
      <t>TRANS:</t>
    </r>
    <r>
      <rPr>
        <rFont val="Arial"/>
        <sz val="10"/>
      </rPr>
      <t xml:space="preserve"> Skarlett — so smes'yu udivleniya i styda.
</t>
    </r>
    <r>
      <rPr>
        <rFont val="Arial"/>
        <sz val="10"/>
        <b/>
      </rPr>
      <t>TRANSLATION:</t>
    </r>
    <r>
      <rPr>
        <rFont val="Arial"/>
        <sz val="10"/>
      </rPr>
      <t xml:space="preserve"> Scarlett — with a mix of surprise and shame.</t>
    </r>
  </si>
  <si>
    <r>
      <rPr>
        <rFont val="Arial"/>
        <sz val="10"/>
        <b/>
      </rPr>
      <t>TERM:</t>
    </r>
    <r>
      <rPr>
        <rFont val="Arial"/>
        <sz val="10"/>
      </rPr>
      <t xml:space="preserve"> ŪİAT(ҰЯТ) — shame; disgrace; sense of decency (also: that which is improper) [KED, SZK]
</t>
    </r>
    <r>
      <rPr>
        <rFont val="Arial"/>
        <sz val="10"/>
        <b/>
      </rPr>
      <t>PASSAGE:</t>
    </r>
    <r>
      <rPr>
        <rFont val="Arial"/>
        <sz val="10"/>
      </rPr>
      <t xml:space="preserve"> Эшли дағдарып, есін жия алмаса, Скарлетт ұяттан өртеніп әрі таңырқап тұр.
</t>
    </r>
    <r>
      <rPr>
        <rFont val="Arial"/>
        <sz val="10"/>
        <b/>
      </rPr>
      <t>TRANS:</t>
    </r>
    <r>
      <rPr>
        <rFont val="Arial"/>
        <sz val="10"/>
      </rPr>
      <t xml:space="preserve"> Eşli dağdaryp, esın jia almasa, Skarlett ūiattan örtenıp ärı tañyrqap tūr.
</t>
    </r>
    <r>
      <rPr>
        <rFont val="Arial"/>
        <sz val="10"/>
        <b/>
      </rPr>
      <t>TRANSLATION:</t>
    </r>
    <r>
      <rPr>
        <rFont val="Arial"/>
        <sz val="10"/>
      </rPr>
      <t xml:space="preserve"> While Ashley was confused and could not collect himself, Scarlett stood burning with shame and astonished.</t>
    </r>
  </si>
  <si>
    <r>
      <rPr>
        <rFont val="Arial"/>
        <sz val="10"/>
        <b/>
      </rPr>
      <t>TERM:</t>
    </r>
    <r>
      <rPr>
        <rFont val="Arial"/>
        <sz val="10"/>
      </rPr>
      <t xml:space="preserve"> styda (стыда) — shame (genitive) [ORD] (lemma: стыд)
</t>
    </r>
    <r>
      <rPr>
        <rFont val="Arial"/>
        <sz val="10"/>
        <b/>
      </rPr>
      <t>PASSAGE:</t>
    </r>
    <r>
      <rPr>
        <rFont val="Arial"/>
        <sz val="10"/>
      </rPr>
      <t xml:space="preserv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
    </r>
    <r>
      <rPr>
        <rFont val="Arial"/>
        <sz val="10"/>
        <b/>
      </rPr>
      <t>TRANS:</t>
    </r>
    <r>
      <rPr>
        <rFont val="Arial"/>
        <sz val="10"/>
      </rPr>
      <t xml:space="preserve"> I Skarlett, stolknuvshis' s etim umeniem Melani pripisyvat' lyudyam blagorodnye postupki tam, gde blagorodstvom i ne pakhlo, pochuvstvovala, po obyknoveniyu, priliv styda i razdrazheniya
</t>
    </r>
    <r>
      <rPr>
        <rFont val="Arial"/>
        <sz val="10"/>
        <b/>
      </rPr>
      <t>TRANSLATION:</t>
    </r>
    <r>
      <rPr>
        <rFont val="Arial"/>
        <sz val="10"/>
      </rPr>
      <t xml:space="preserve"> And Scarlett, faced with this skill of Melanie's for ascribing noble motives to people where no nobility was to be found, felt her customary surge of shame and irritation</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</si>
  <si>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ұяттан жерге кірердей болды.
</t>
    </r>
    <r>
      <rPr>
        <rFont val="Arial"/>
        <sz val="10"/>
        <b/>
      </rPr>
      <t>TRANS:</t>
    </r>
    <r>
      <rPr>
        <rFont val="Arial"/>
        <sz val="10"/>
      </rPr>
      <t xml:space="preserve"> Özınıñ körgen, mañdaiyna būiyrğan är jaqsylyğyn qaşan da bıreudıñ arqasynda boldy dep oilaityn Melanidıñ myna quanyşty küiı Skarlettıñ betınen otyn şyğaryp, ūiattan jerge kırerdei boldy.
</t>
    </r>
    <r>
      <rPr>
        <rFont val="Arial"/>
        <sz val="10"/>
        <b/>
      </rPr>
      <t>TRANSLATION:</t>
    </r>
    <r>
      <rPr>
        <rFont val="Arial"/>
        <sz val="10"/>
      </rPr>
      <t xml:space="preserve"> Melanie's joyous mood — always thinking that every good thing she had received in life had come because of someone else — made Scarlett's face burn and want to sink into the ground from shame.</t>
    </r>
  </si>
  <si>
    <r>
      <rPr>
        <rFont val="Arial"/>
        <sz val="10"/>
        <b/>
      </rPr>
      <t>TERM:</t>
    </r>
    <r>
      <rPr>
        <rFont val="Arial"/>
        <sz val="10"/>
      </rPr>
      <t xml:space="preserve"> stydom (стыдом) — shame (instrumental) [ORD] (lemma: стыд)
</t>
    </r>
    <r>
      <rPr>
        <rFont val="Arial"/>
        <sz val="10"/>
        <b/>
      </rPr>
      <t>PASSAGE:</t>
    </r>
    <r>
      <rPr>
        <rFont val="Arial"/>
        <sz val="10"/>
      </rPr>
      <t xml:space="preserv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
    </r>
    <r>
      <rPr>
        <rFont val="Arial"/>
        <sz val="10"/>
        <b/>
      </rPr>
      <t>TRANS:</t>
    </r>
    <r>
      <rPr>
        <rFont val="Arial"/>
        <sz val="10"/>
      </rPr>
      <t xml:space="preserve"> I Skarlett, so stydom glyadya v temnye, sverkayushchie lyubov'yu i vozmushcheniem glaza, pochuvstvovala, kak u nee zakholonulo serdtse, ibo ponyala, chto nikogda ne uznaet mira i pokoya, sleduyushchikh za priznaniem.
</t>
    </r>
    <r>
      <rPr>
        <rFont val="Arial"/>
        <sz val="10"/>
        <b/>
      </rPr>
      <t>TRANSLATION:</t>
    </r>
    <r>
      <rPr>
        <rFont val="Arial"/>
        <sz val="10"/>
      </rPr>
      <t xml:space="preserve"> And Scarlett, looking with shame into the dark eyes shining with love and indignation, felt her heart go cold, for she understood that she would never know the peace and quiet that follows confession.</t>
    </r>
  </si>
  <si>
    <r>
      <rPr>
        <rFont val="Arial"/>
        <sz val="10"/>
        <b/>
      </rPr>
      <t>TERM:</t>
    </r>
    <r>
      <rPr>
        <rFont val="Arial"/>
        <sz val="10"/>
      </rPr>
      <t xml:space="preserve"> styda (стыда) — shame (genitive) [ORD] (lemma: стыд)
</t>
    </r>
    <r>
      <rPr>
        <rFont val="Arial"/>
        <sz val="10"/>
        <b/>
      </rPr>
      <t>PASSAGE:</t>
    </r>
    <r>
      <rPr>
        <rFont val="Arial"/>
        <sz val="10"/>
      </rPr>
      <t xml:space="preserv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
    </r>
    <r>
      <rPr>
        <rFont val="Arial"/>
        <sz val="10"/>
        <b/>
      </rPr>
      <t>TRANS:</t>
    </r>
    <r>
      <rPr>
        <rFont val="Arial"/>
        <sz val="10"/>
      </rPr>
      <t xml:space="preserve"> Da, etot krest ona budet nesti do samoy smerti — budet molcha terpet' svoyu muku, nikomu ne skazhet o tom, kak bol'no kolet ee vlasyanitsa styda pri kazhdom nezhnom vzglyade i zheste Melani, budet vechno podavlyat' v sebe zhelanie kriknut': «Ne bud' takoy dobroy!
</t>
    </r>
    <r>
      <rPr>
        <rFont val="Arial"/>
        <sz val="10"/>
        <b/>
      </rPr>
      <t>TRANSLATION:</t>
    </r>
    <r>
      <rPr>
        <rFont val="Arial"/>
        <sz val="10"/>
      </rPr>
      <t xml:space="preserve"> Yes, she would bear this cross until her very death — she would silently endure her torment, would tell no one how painfully the hair shirt of shame pricked her at every tender glance and gesture of Melanie's, would forever suppress the desire to cry: "Don't be so kind!"</t>
    </r>
  </si>
  <si>
    <r>
      <rPr>
        <rFont val="Arial"/>
        <sz val="10"/>
        <b/>
      </rPr>
      <t>TERM:</t>
    </r>
    <r>
      <rPr>
        <rFont val="Arial"/>
        <sz val="10"/>
      </rPr>
      <t xml:space="preserve"> KÜNÄ (КҮНӘ) — sin (religious register; from Persian gunāh) [KED, SZK]
</t>
    </r>
    <r>
      <rPr>
        <rFont val="Arial"/>
        <sz val="10"/>
        <b/>
      </rPr>
      <t>PASSAGE:</t>
    </r>
    <r>
      <rPr>
        <rFont val="Arial"/>
        <sz val="10"/>
      </rPr>
      <t xml:space="preserve"> Иә, бұл күнәсін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rFont val="Arial"/>
        <sz val="10"/>
        <b/>
      </rPr>
      <t>TRANS:</t>
    </r>
    <r>
      <rPr>
        <rFont val="Arial"/>
        <sz val="10"/>
      </rPr>
      <t xml:space="preserve"> İä, būl künäsın mäñgı arqalaitynyn özı de bıledı, ünsız şydaidy, Melanidıñ meiırımı tögılgen ärbır közqarasyn körgen saiyn jüregı şanşyp, «Būlai eljıremeşı mağan! Men üşın eşkımmen kürespe de! Men oğan müldem laiyq emespın!» degısı keledı.
</t>
    </r>
    <r>
      <rPr>
        <rFont val="Arial"/>
        <sz val="10"/>
        <b/>
      </rPr>
      <t>TRANSLATION:</t>
    </r>
    <r>
      <rPr>
        <rFont val="Arial"/>
        <sz val="10"/>
      </rPr>
      <t xml:space="preserve"> Yes, she herself knows that she will carry this sin forever; she will endure in silence; every time she sees Melanie's glance brimming with kindness her heart pierces her, and she wants to say: "Don't feel such tenderness for me! Don't fight with anyone for my sake! I am not at all worthy of it!"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</si>
  <si>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
    </r>
    <r>
      <rPr>
        <rFont val="Arial"/>
        <sz val="10"/>
        <b/>
      </rPr>
      <t>TRANS:</t>
    </r>
    <r>
      <rPr>
        <rFont val="Arial"/>
        <sz val="10"/>
      </rPr>
      <t xml:space="preserve"> Seychas Skarlett uzhe ne bylo stydno, ona nichego ne chuvstvovala, krome dikikh ugryzeniy sovesti za to, chto stol'ko let prichinyala bol' etoy myagkoy, laskovoy zhenshchine.
</t>
    </r>
    <r>
      <rPr>
        <rFont val="Arial"/>
        <sz val="10"/>
        <b/>
      </rPr>
      <t>TRANSLATION:</t>
    </r>
    <r>
      <rPr>
        <rFont val="Arial"/>
        <sz val="10"/>
      </rPr>
      <t xml:space="preserve"> Now Scarlett was no longer ashamed; she felt nothing but wild pangs of conscience for having caused pain to this gentle, tender woman for so many years.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</si>
  <si>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Дәл қазір Скарлетт ешкімнен, ештеңеден де ұялған жоқ, осынау мейірімді де жұмсақ, жайсаң әйелге өмір бойы қиянат жасап келгеніне ғана қиналды.
</t>
    </r>
    <r>
      <rPr>
        <rFont val="Arial"/>
        <sz val="10"/>
        <b/>
      </rPr>
      <t>TRANS:</t>
    </r>
    <r>
      <rPr>
        <rFont val="Arial"/>
        <sz val="10"/>
      </rPr>
      <t xml:space="preserve"> Däl qazır Skarlett eşkımnen, eşteñeden de ūialğan joq, osynau meiırımdı de jūmsaq, jaisañ äielge ömır boiy qianat jasap kelgenıne ğana qinaldy.
</t>
    </r>
    <r>
      <rPr>
        <rFont val="Arial"/>
        <sz val="10"/>
        <b/>
      </rPr>
      <t>TRANSLATION:</t>
    </r>
    <r>
      <rPr>
        <rFont val="Arial"/>
        <sz val="10"/>
      </rPr>
      <t xml:space="preserve"> Right now Scarlett was not ashamed of anyone, of anything; she only suffered because she had wronged this kind, gentle, generous woman all her life.</t>
    </r>
  </si>
  <si>
    <r>
      <rPr>
        <rFont val="Arial"/>
        <sz val="10"/>
        <b/>
      </rPr>
      <t>TERM:</t>
    </r>
    <r>
      <rPr>
        <rFont val="Arial"/>
        <sz val="10"/>
      </rPr>
      <t xml:space="preserve"> styda (стыда) — shame (genitive) [ORD] (lemma: стыд)
</t>
    </r>
    <r>
      <rPr>
        <rFont val="Arial"/>
        <sz val="10"/>
        <b/>
      </rPr>
      <t>PASSAGE:</t>
    </r>
    <r>
      <rPr>
        <rFont val="Arial"/>
        <sz val="10"/>
      </rPr>
      <t xml:space="preserv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
    </r>
    <r>
      <rPr>
        <rFont val="Arial"/>
        <sz val="10"/>
        <b/>
      </rPr>
      <t>TRANS:</t>
    </r>
    <r>
      <rPr>
        <rFont val="Arial"/>
        <sz val="10"/>
      </rPr>
      <t xml:space="preserve"> Serdtse u nee chut' szhalos' ot styda pri vide etoy zakrytoy dveri — ona vspomnila mnogie vechera proshedshego leta, kogda Rett sidel tam odin i pil do odureniya, a potom Pork yavlyalsya i ukladyval ego v postel'.
</t>
    </r>
    <r>
      <rPr>
        <rFont val="Arial"/>
        <sz val="10"/>
        <b/>
      </rPr>
      <t>TRANSLATION:</t>
    </r>
    <r>
      <rPr>
        <rFont val="Arial"/>
        <sz val="10"/>
      </rPr>
      <t xml:space="preserve"> Her heart contracted with shame at the sight of this closed door — she remembered many evenings of the past summer when Rhett sat there alone drinking himself into oblivion, and then Pork would come and put him to bed.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</si>
  <si>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ұялғаннан жүрегі қысылып кетті.
</t>
    </r>
    <r>
      <rPr>
        <rFont val="Arial"/>
        <sz val="10"/>
        <b/>
      </rPr>
      <t>TRANS:</t>
    </r>
    <r>
      <rPr>
        <rFont val="Arial"/>
        <sz val="10"/>
      </rPr>
      <t xml:space="preserve"> Sol esıkke közı tüskende Rettıñ esınen tanğanşa ışetın kezderı, aqyrynda Porktıñ ony süirelep, tösegıne äzer jetkızetın sätterı köp bolğan ötken jazdyñ keşterı esıne tüsıp, ūialğannan jüregı qysylyp kettı.
</t>
    </r>
    <r>
      <rPr>
        <rFont val="Arial"/>
        <sz val="10"/>
        <b/>
      </rPr>
      <t>TRANSLATION:</t>
    </r>
    <r>
      <rPr>
        <rFont val="Arial"/>
        <sz val="10"/>
      </rPr>
      <t xml:space="preserve"> When her gaze fell on that door she remembered the evenings of the past summer when Rhett used to drink until he lost his senses, and finally Pork would drag him and barely manage to put him in bed — and her heart was clenched from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</si>
  <si>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Но что-то в его лице удержало ее, и внезапно ей стало стыдно говорить о любви в такую минуту — ведь Мелани еще не успела остыть.
</t>
    </r>
    <r>
      <rPr>
        <rFont val="Arial"/>
        <sz val="10"/>
        <b/>
      </rPr>
      <t>TRANS:</t>
    </r>
    <r>
      <rPr>
        <rFont val="Arial"/>
        <sz val="10"/>
      </rPr>
      <t xml:space="preserve"> No chto-to v ego litse uderzhalo ee, i vnezapno ey stalo stydno govorit' o lyubvi v takuyu minutu — ved' Melani eshche ne uspela ostyt'.
</t>
    </r>
    <r>
      <rPr>
        <rFont val="Arial"/>
        <sz val="10"/>
        <b/>
      </rPr>
      <t>TRANSLATION:</t>
    </r>
    <r>
      <rPr>
        <rFont val="Arial"/>
        <sz val="10"/>
      </rPr>
      <t xml:space="preserve"> But something in his face restrained her, and suddenly she felt ashamed to speak of love at such a moment — Melanie had not yet had time to grow cold.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</si>
  <si>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Бірақ оның жүзіндегі әлдене ниетін тежей берді, тіпті мынадай жағдайда сезім туралы айтудың өзі ұят сияқтанды, Меланидің денесі де суып үлгермеді ғой.
</t>
    </r>
    <r>
      <rPr>
        <rFont val="Arial"/>
        <sz val="10"/>
        <b/>
      </rPr>
      <t>TRANS:</t>
    </r>
    <r>
      <rPr>
        <rFont val="Arial"/>
        <sz val="10"/>
      </rPr>
      <t xml:space="preserve"> Bıraq onyñ jüzındegı äldene nietın tejei berdı, tıptı mynadai jağdaida sezım turaly aitudyñ özı ūiat siaqtandy, Melanidıñ denesı de suyp ülgermedı ğoi.
</t>
    </r>
    <r>
      <rPr>
        <rFont val="Arial"/>
        <sz val="10"/>
        <b/>
      </rPr>
      <t>TRANSLATION:</t>
    </r>
    <r>
      <rPr>
        <rFont val="Arial"/>
        <sz val="10"/>
      </rPr>
      <t xml:space="preserve"> But something on his face held back her intent; even speaking of feelings in such a situation felt like a shame, since Melanie's body had not even had time to cool.</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</si>
  <si>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Что ж, я рада слышать, что вам стыдно вспоминать, как вы поступили со мной.
</t>
    </r>
    <r>
      <rPr>
        <rFont val="Arial"/>
        <sz val="10"/>
        <b/>
      </rPr>
      <t>TRANS:</t>
    </r>
    <r>
      <rPr>
        <rFont val="Arial"/>
        <sz val="10"/>
      </rPr>
      <t xml:space="preserve"> Chto zh, ya rada slyshat', chto vam stydno vspominat', kak vy postupili so mnoy.
</t>
    </r>
    <r>
      <rPr>
        <rFont val="Arial"/>
        <sz val="10"/>
        <b/>
      </rPr>
      <t>TRANSLATION:</t>
    </r>
    <r>
      <rPr>
        <rFont val="Arial"/>
        <sz val="10"/>
      </rPr>
      <t xml:space="preserve"> Well, I am glad to hear that you are ashamed of remembering how you treated me.</t>
    </r>
  </si>
  <si>
    <r>
      <rPr>
        <rFont val="Arial"/>
        <sz val="10"/>
        <b/>
      </rPr>
      <t>TERM:</t>
    </r>
    <r>
      <rPr>
        <rFont val="Arial"/>
        <sz val="10"/>
      </rPr>
      <t xml:space="preserve"> ÖKINU (ӨКІНУ) — to regret; to repent [KED, SZK]
</t>
    </r>
    <r>
      <rPr>
        <rFont val="Arial"/>
        <sz val="10"/>
        <b/>
      </rPr>
      <t>PASSAGE:</t>
    </r>
    <r>
      <rPr>
        <rFont val="Arial"/>
        <sz val="10"/>
      </rPr>
      <t xml:space="preserve"> Жарайды, мені тастап кеткеніңіз үшін өкінгеніңізге де қуанамын.
</t>
    </r>
    <r>
      <rPr>
        <rFont val="Arial"/>
        <sz val="10"/>
        <b/>
      </rPr>
      <t>TRANS:</t>
    </r>
    <r>
      <rPr>
        <rFont val="Arial"/>
        <sz val="10"/>
      </rPr>
      <t xml:space="preserve"> Jaraidy, menı tastap ketkenıñız üşın ökıngenıñızge de quanamyn.
</t>
    </r>
    <r>
      <rPr>
        <rFont val="Arial"/>
        <sz val="10"/>
        <b/>
      </rPr>
      <t>TRANSLATION:</t>
    </r>
    <r>
      <rPr>
        <rFont val="Arial"/>
        <sz val="10"/>
      </rPr>
      <t xml:space="preserve"> Very well, I am also glad that you regret leaving me behind.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</si>
  <si>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
    </r>
    <r>
      <rPr>
        <rFont val="Arial"/>
        <sz val="10"/>
        <b/>
      </rPr>
      <t>TRANS:</t>
    </r>
    <r>
      <rPr>
        <rFont val="Arial"/>
        <sz val="10"/>
      </rPr>
      <t xml:space="preserve"> Ved' my troe… kak soldaty srazhalis' vmeste na protyazhenii stol'kikh let, tak chto mne dazhe stydno za tebya: nu, kak ty mogla podumat', chto dosuzhie spletni mogut vozvesti mezhdu nami stenu.
</t>
    </r>
    <r>
      <rPr>
        <rFont val="Arial"/>
        <sz val="10"/>
        <b/>
      </rPr>
      <t>TRANSLATION:</t>
    </r>
    <r>
      <rPr>
        <rFont val="Arial"/>
        <sz val="10"/>
      </rPr>
      <t xml:space="preserve"> For we three... like soldiers fought together for so many years, that I am even ashamed for you: how could you have thought that idle gossip could erect a wall between us.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</si>
  <si>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ұяламын, қайдағы біреулердің қаңқу өсектеріне бола ортамызда алауыздық болады деп, қалай ойлайсың, сірә?
</t>
    </r>
    <r>
      <rPr>
        <rFont val="Arial"/>
        <sz val="10"/>
        <b/>
      </rPr>
      <t>TRANS:</t>
    </r>
    <r>
      <rPr>
        <rFont val="Arial"/>
        <sz val="10"/>
      </rPr>
      <t xml:space="preserve"> Bız üşeumız… qanşama jyldar boiy qatar tüzep, ömırdegı tosqauyldarmen sarbazdarşa küresıp, berıspei kelemız, sondyqtan senıñ būl äreketıñ üşın ūialamyn, qaidağy bıreulerdıñ qañqu ösekterıne bola ortamyzda alauyzdyq bolady dep, qalai oilaisyñ, sırä?
</t>
    </r>
    <r>
      <rPr>
        <rFont val="Arial"/>
        <sz val="10"/>
        <b/>
      </rPr>
      <t>TRANSLATION:</t>
    </r>
    <r>
      <rPr>
        <rFont val="Arial"/>
        <sz val="10"/>
      </rPr>
      <t xml:space="preserve"> We three... for so many years standing in line, fighting like soldiers against life's obstacles without yielding — and so I am ashamed for you for this action of yours: how could you have thought that the cackling rumors of some people would create division among us?</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</si>
  <si>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Она поняла, что он любит ее и ее любовь дает ему радость и повергает его в безмерное отчаяние и стыд.
</t>
    </r>
    <r>
      <rPr>
        <rFont val="Arial"/>
        <sz val="10"/>
        <b/>
      </rPr>
      <t>TRANS:</t>
    </r>
    <r>
      <rPr>
        <rFont val="Arial"/>
        <sz val="10"/>
      </rPr>
      <t xml:space="preserve"> Ona ponyala, chto on lyubit ee i ee lyubov' daet emu radost' i povergaet ego v bezmernoe otchayanie i styd.
</t>
    </r>
    <r>
      <rPr>
        <rFont val="Arial"/>
        <sz val="10"/>
        <b/>
      </rPr>
      <t>TRANSLATION:</t>
    </r>
    <r>
      <rPr>
        <rFont val="Arial"/>
        <sz val="10"/>
      </rPr>
      <t xml:space="preserve"> She understood that he loves her, and that her love brings him joy and casts him into boundless despair and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</si>
  <si>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Ол оның өзін жақсы көретінін түсінді... мұның махаббаты оған қуаныш сыйлайтынын және оны үлкен үмітсіздік пен ұятқа душар ететінін де түсінді.
</t>
    </r>
    <r>
      <rPr>
        <rFont val="Arial"/>
        <sz val="10"/>
        <b/>
      </rPr>
      <t>TRANS:</t>
    </r>
    <r>
      <rPr>
        <rFont val="Arial"/>
        <sz val="10"/>
      </rPr>
      <t xml:space="preserve"> Ol onyñ özın jaqsy köretının tüsındı... mūnyñ mahabbaty oğan quanyş syilaitynyn jäne ony ülken ümıtsızdık pen ūiatqa duşar etetının de tüsındı.
</t>
    </r>
    <r>
      <rPr>
        <rFont val="Arial"/>
        <sz val="10"/>
        <b/>
      </rPr>
      <t>TRANSLATION:</t>
    </r>
    <r>
      <rPr>
        <rFont val="Arial"/>
        <sz val="10"/>
      </rPr>
      <t xml:space="preserve"> She understood that he loves her... she understood that her love gives him joy and brings him to great hopelessness and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</si>
  <si>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Вам было стыдно? Stydit’sja (стыдиться) = to be ashamed
</t>
    </r>
    <r>
      <rPr>
        <rFont val="Arial"/>
        <sz val="10"/>
        <b/>
      </rPr>
      <t>TRANS:</t>
    </r>
    <r>
      <rPr>
        <rFont val="Arial"/>
        <sz val="10"/>
      </rPr>
      <t xml:space="preserve"> Vam bylo stydno? Stydit’sja (stydit'sya) = to be ashamed
</t>
    </r>
    <r>
      <rPr>
        <rFont val="Arial"/>
        <sz val="10"/>
        <b/>
      </rPr>
      <t>TRANSLATION:</t>
    </r>
    <r>
      <rPr>
        <rFont val="Arial"/>
        <sz val="10"/>
      </rPr>
      <t xml:space="preserve"> You were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</si>
  <si>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Ұялдым дейсіз бе?
</t>
    </r>
    <r>
      <rPr>
        <rFont val="Arial"/>
        <sz val="10"/>
        <b/>
      </rPr>
      <t>TRANS:</t>
    </r>
    <r>
      <rPr>
        <rFont val="Arial"/>
        <sz val="10"/>
      </rPr>
      <t xml:space="preserve"> Ūialdym deisız be?
</t>
    </r>
    <r>
      <rPr>
        <rFont val="Arial"/>
        <sz val="10"/>
        <b/>
      </rPr>
      <t>TRANSLATION:</t>
    </r>
    <r>
      <rPr>
        <rFont val="Arial"/>
        <sz val="10"/>
      </rPr>
      <t xml:space="preserve"> You say you were ashamed?</t>
    </r>
  </si>
  <si>
    <r>
      <rPr>
        <rFont val="Arial"/>
        <sz val="10"/>
        <b/>
      </rPr>
      <t>TERM:</t>
    </r>
    <r>
      <rPr>
        <rFont val="Arial"/>
        <sz val="10"/>
      </rPr>
      <t xml:space="preserve"> stydilsya (стыдился) — felt ashamed (3sg masc. past, impf.) [ORD] (lemma: стыдиться)
</t>
    </r>
    <r>
      <rPr>
        <rFont val="Arial"/>
        <sz val="10"/>
        <b/>
      </rPr>
      <t>PASSAGE:</t>
    </r>
    <r>
      <rPr>
        <rFont val="Arial"/>
        <sz val="10"/>
      </rPr>
      <t xml:space="preserve"> К тому же он, казалось, стыдился того, что у него работают каторжники, и почти не общался со Скарлетт.
</t>
    </r>
    <r>
      <rPr>
        <rFont val="Arial"/>
        <sz val="10"/>
        <b/>
      </rPr>
      <t>TRANS:</t>
    </r>
    <r>
      <rPr>
        <rFont val="Arial"/>
        <sz val="10"/>
      </rPr>
      <t xml:space="preserve"> K tomu zhe on, kazalos', stydilsya togo, chto u nego rabotayut katorzhniki, i pochti ne obshchalsya so Skarlett.
</t>
    </r>
    <r>
      <rPr>
        <rFont val="Arial"/>
        <sz val="10"/>
        <b/>
      </rPr>
      <t>TRANSLATION:</t>
    </r>
    <r>
      <rPr>
        <rFont val="Arial"/>
        <sz val="10"/>
      </rPr>
      <t xml:space="preserve"> Moreover, he seemed to be ashamed that convicts were working for him, and he hardly communicated with Scarlett at all.</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</si>
  <si>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Сотталғандармен жұмыс істеп жүргеніне қысылатын да сияқты ма, Скарлеттпен де көп кездеспей жүр.
</t>
    </r>
    <r>
      <rPr>
        <rFont val="Arial"/>
        <sz val="10"/>
        <b/>
      </rPr>
      <t>TRANS:</t>
    </r>
    <r>
      <rPr>
        <rFont val="Arial"/>
        <sz val="10"/>
      </rPr>
      <t xml:space="preserve"> Sottalğandarmen jūmys ıstep jürgenıne qysylatyn da siaqty ma, Skarlettpen de köp kezdespei jür.
</t>
    </r>
    <r>
      <rPr>
        <rFont val="Arial"/>
        <sz val="10"/>
        <b/>
      </rPr>
      <t>TRANSLATION:</t>
    </r>
    <r>
      <rPr>
        <rFont val="Arial"/>
        <sz val="10"/>
      </rPr>
      <t xml:space="preserve"> It seems he is also embarrassed at working with convicts; he no longer often meets with Scarlett either.</t>
    </r>
  </si>
  <si>
    <r>
      <rPr>
        <rFont val="Arial"/>
        <sz val="10"/>
        <b/>
      </rPr>
      <t>TERM:</t>
    </r>
    <r>
      <rPr>
        <rFont val="Arial"/>
        <sz val="10"/>
      </rPr>
      <t xml:space="preserve"> pozor (позор) — disgrace; shame; ignominy [ORD]
</t>
    </r>
    <r>
      <rPr>
        <rFont val="Arial"/>
        <sz val="10"/>
        <b/>
      </rPr>
      <t>PASSAGE:</t>
    </r>
    <r>
      <rPr>
        <rFont val="Arial"/>
        <sz val="10"/>
      </rPr>
      <t xml:space="preserve"> Черное пятно позора и вины, лежавшее на ней, переползло и на него.
</t>
    </r>
    <r>
      <rPr>
        <rFont val="Arial"/>
        <sz val="10"/>
        <b/>
      </rPr>
      <t>TRANS:</t>
    </r>
    <r>
      <rPr>
        <rFont val="Arial"/>
        <sz val="10"/>
      </rPr>
      <t xml:space="preserve"> Černoe pjatno pozora i viny, ležavšee na nej, perepolzlo i na nego.
</t>
    </r>
    <r>
      <rPr>
        <rFont val="Arial"/>
        <sz val="10"/>
        <b/>
      </rPr>
      <t>TRANSLATION:</t>
    </r>
    <r>
      <rPr>
        <rFont val="Arial"/>
        <sz val="10"/>
      </rPr>
      <t xml:space="preserve"> The black stain of disgrace and guilt that lay upon her spread to him as well.</t>
    </r>
  </si>
  <si>
    <r>
      <rPr>
        <rFont val="Arial"/>
        <sz val="10"/>
        <b/>
      </rPr>
      <t>TERM:</t>
    </r>
    <r>
      <rPr>
        <rFont val="Arial"/>
        <sz val="10"/>
      </rPr>
      <t xml:space="preserve"> kınä men künä (кінә мен күнә) — guilt and sin (set phrase combining secular and religious registers) [KED, SZK] (lemma: кінә)
</t>
    </r>
    <r>
      <rPr>
        <rFont val="Arial"/>
        <sz val="10"/>
        <b/>
      </rPr>
      <t>PASSAGE:</t>
    </r>
    <r>
      <rPr>
        <rFont val="Arial"/>
        <sz val="10"/>
      </rPr>
      <t xml:space="preserve"> Осы уақытқа дейін өз арқасына басқан кінә мен күнәнің қап-қара нүктесі жылыстап, Эшлиге қарай ауып бара жатты.
</t>
    </r>
    <r>
      <rPr>
        <rFont val="Arial"/>
        <sz val="10"/>
        <b/>
      </rPr>
      <t>TRANS:</t>
    </r>
    <r>
      <rPr>
        <rFont val="Arial"/>
        <sz val="10"/>
      </rPr>
      <t xml:space="preserve"> Osy uaqytqa deiın öz arqasyna basqan kınä men künänıñ qap-qara nüktesı jylystap, Eşlige qarai auyp bara jatty.
</t>
    </r>
    <r>
      <rPr>
        <rFont val="Arial"/>
        <sz val="10"/>
        <b/>
      </rPr>
      <t>TRANSLATION:</t>
    </r>
    <r>
      <rPr>
        <rFont val="Arial"/>
        <sz val="10"/>
      </rPr>
      <t xml:space="preserve"> Up till now, the pitch-black mark of guilt and sin she had borne on her own back was sliding off and shifting toward Ashley.</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</si>
  <si>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Растерянность и стыд были в ее вытаращенных от страха глазах.
</t>
    </r>
    <r>
      <rPr>
        <rFont val="Arial"/>
        <sz val="10"/>
        <b/>
      </rPr>
      <t>TRANS:</t>
    </r>
    <r>
      <rPr>
        <rFont val="Arial"/>
        <sz val="10"/>
      </rPr>
      <t xml:space="preserve"> Rasteryannost' i styd byli v ee vytarashchennykh ot strakha glazakh.
</t>
    </r>
    <r>
      <rPr>
        <rFont val="Arial"/>
        <sz val="10"/>
        <b/>
      </rPr>
      <t>TRANSLATION:</t>
    </r>
    <r>
      <rPr>
        <rFont val="Arial"/>
        <sz val="10"/>
      </rPr>
      <t xml:space="preserve"> Bewilderment and shame were in her eyes bulging with terror.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</si>
  <si>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Оның жүзінен абыржу мен ұялғандықты анық бауқауға болатын еді.
</t>
    </r>
    <r>
      <rPr>
        <rFont val="Arial"/>
        <sz val="10"/>
        <b/>
      </rPr>
      <t>TRANS:</t>
    </r>
    <r>
      <rPr>
        <rFont val="Arial"/>
        <sz val="10"/>
      </rPr>
      <t xml:space="preserve"> Onyñ jüzınen abyrju men ūialğandyqty anyq bauqauğa bolatyn edı.
</t>
    </r>
    <r>
      <rPr>
        <rFont val="Arial"/>
        <sz val="10"/>
        <b/>
      </rPr>
      <t>TRANSLATION:</t>
    </r>
    <r>
      <rPr>
        <rFont val="Arial"/>
        <sz val="10"/>
      </rPr>
      <t xml:space="preserve"> Bewilderment and shame could be clearly seen on her face.</t>
    </r>
  </si>
  <si>
    <r>
      <rPr>
        <rFont val="Arial"/>
        <sz val="10"/>
        <b/>
      </rPr>
      <t>TERM:</t>
    </r>
    <r>
      <rPr>
        <rFont val="Arial"/>
        <sz val="10"/>
      </rPr>
      <t xml:space="preserve"> posramil by samogo sebya (посрамил бы самого себя) — would have brought shame on himself [ORD] (lemma: посрамить)
</t>
    </r>
    <r>
      <rPr>
        <rFont val="Arial"/>
        <sz val="10"/>
        <b/>
      </rPr>
      <t>PASSAGE:</t>
    </r>
    <r>
      <rPr>
        <rFont val="Arial"/>
        <sz val="10"/>
      </rPr>
      <t xml:space="preserve"> Порк посрамил бы самого себя, если бы потратил ее деньги
</t>
    </r>
    <r>
      <rPr>
        <rFont val="Arial"/>
        <sz val="10"/>
        <b/>
      </rPr>
      <t>TRANS:</t>
    </r>
    <r>
      <rPr>
        <rFont val="Arial"/>
        <sz val="10"/>
      </rPr>
      <t xml:space="preserve"> Pork posramil by samogo sebya, esli by potratil ee den'gi
</t>
    </r>
    <r>
      <rPr>
        <rFont val="Arial"/>
        <sz val="10"/>
        <b/>
      </rPr>
      <t>TRANSLATION:</t>
    </r>
    <r>
      <rPr>
        <rFont val="Arial"/>
        <sz val="10"/>
      </rPr>
      <t xml:space="preserve"> Pork would have shamed himself if he had spent her money</t>
    </r>
  </si>
  <si>
    <r>
      <rPr>
        <rFont val="Arial"/>
        <sz val="10"/>
        <b/>
      </rPr>
      <t>TERM:</t>
    </r>
    <r>
      <rPr>
        <rFont val="Arial"/>
        <sz val="10"/>
      </rPr>
      <t xml:space="preserve"> nikakikh ugryzeniy sovesti (никаких угрызений совести) — no pangs of conscience whatsoever [ORD] (lemma: угрызение)
</t>
    </r>
    <r>
      <rPr>
        <rFont val="Arial"/>
        <sz val="10"/>
        <b/>
      </rPr>
      <t>PASSAGE:</t>
    </r>
    <r>
      <rPr>
        <rFont val="Arial"/>
        <sz val="10"/>
      </rPr>
      <t xml:space="preserve"> Лицо Скарлетт выражало торжество — никаких угрызений совести она не испытывала, хотя и поступила с Джералдом отнюдь не как любящая, преданная дочь.
</t>
    </r>
    <r>
      <rPr>
        <rFont val="Arial"/>
        <sz val="10"/>
        <b/>
      </rPr>
      <t>TRANS:</t>
    </r>
    <r>
      <rPr>
        <rFont val="Arial"/>
        <sz val="10"/>
      </rPr>
      <t xml:space="preserve"> Litso Skarlett vyrazhalo torzhestvo — nikakikh ugryzeniy sovesti ona ne ispytyvala, khotya i postupila s Dzheraldom otnyud' ne kak lyubyashchaya, predannaya doch'.
</t>
    </r>
    <r>
      <rPr>
        <rFont val="Arial"/>
        <sz val="10"/>
        <b/>
      </rPr>
      <t>TRANSLATION:</t>
    </r>
    <r>
      <rPr>
        <rFont val="Arial"/>
        <sz val="10"/>
      </rPr>
      <t xml:space="preserve"> Scarlett's face wore a triumphant expression — she felt no pangs of conscience whatsoever, although she had not behaved like a loving, devoted daughter toward Gerald.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</si>
  <si>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Скарлеттің бет-әлпетінде жеңіске жеткен түр байқалады, ол Джералдқа әкесін жақсы көретін адал қызы емес, бөтен біреудей қулық жасағанына еш қымсынған жоқ.
</t>
    </r>
    <r>
      <rPr>
        <rFont val="Arial"/>
        <sz val="10"/>
        <b/>
      </rPr>
      <t>TRANS:</t>
    </r>
    <r>
      <rPr>
        <rFont val="Arial"/>
        <sz val="10"/>
      </rPr>
      <t xml:space="preserve"> Skarlettıñ bet-älpetınde jeñıske jetken tür baiqalady, ol Jeraldqa äkesın jaqsy köretın adal qyzy emes, böten bıreudei qulyq jasağanyna eş qymsynğan joq.
</t>
    </r>
    <r>
      <rPr>
        <rFont val="Arial"/>
        <sz val="10"/>
        <b/>
      </rPr>
      <t>TRANSLATION:</t>
    </r>
    <r>
      <rPr>
        <rFont val="Arial"/>
        <sz val="10"/>
      </rPr>
      <t xml:space="preserve"> Scarlett's face showed a victorious expression; she felt no embarrassment at all that she had played a trick on Gerald like a stranger rather than as a loving, faithful daughter.</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</si>
  <si>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Ее уже не мучил стыд, разочарование или горечь — лишь была какая-то слабость в коленях да огромная пустота в душе.
</t>
    </r>
    <r>
      <rPr>
        <rFont val="Arial"/>
        <sz val="10"/>
        <b/>
      </rPr>
      <t>TRANS:</t>
    </r>
    <r>
      <rPr>
        <rFont val="Arial"/>
        <sz val="10"/>
      </rPr>
      <t xml:space="preserve"> Ee uzhe ne muchil styd, razocharovanie ili gorech' — lish' byla kakaya-to slabost' v kolenyakh da ogromnaya pustota v dushe.
</t>
    </r>
    <r>
      <rPr>
        <rFont val="Arial"/>
        <sz val="10"/>
        <b/>
      </rPr>
      <t>TRANSLATION:</t>
    </r>
    <r>
      <rPr>
        <rFont val="Arial"/>
        <sz val="10"/>
      </rPr>
      <t xml:space="preserve"> She was no longer tormented by shame, disappointment, or bitterness — only a kind of weakness in her knees and a vast emptiness in her soul.</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</si>
  <si>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Қалған көңіл де, қысқан ұят та бір шетке ысырылып, жан дүниесі босап, буын-буынынан әл кетіпті.
</t>
    </r>
    <r>
      <rPr>
        <rFont val="Arial"/>
        <sz val="10"/>
        <b/>
      </rPr>
      <t>TRANS:</t>
    </r>
    <r>
      <rPr>
        <rFont val="Arial"/>
        <sz val="10"/>
      </rPr>
      <t xml:space="preserve"> Qalğan köñıl de, qysqan ūiat ta bır şetke ysyrylyp, jan düniesı bosap, buyn-buynynan äl ketıptı.
</t>
    </r>
    <r>
      <rPr>
        <rFont val="Arial"/>
        <sz val="10"/>
        <b/>
      </rPr>
      <t>TRANSLATION:</t>
    </r>
    <r>
      <rPr>
        <rFont val="Arial"/>
        <sz val="10"/>
      </rPr>
      <t xml:space="preserve"> Both her remaining feelings and her gripping shame had been pushed aside; her inner being was emptied, and the strength had left her every joint.</t>
    </r>
  </si>
  <si>
    <r>
      <rPr>
        <rFont val="Arial"/>
        <sz val="10"/>
        <b/>
      </rPr>
      <t>TERM:</t>
    </r>
    <r>
      <rPr>
        <rFont val="Arial"/>
        <sz val="10"/>
      </rPr>
      <t xml:space="preserve"> stesneniya (стеснения) — awkwardness; constraint (gen.) [ORD] (lemma: стеснение)
</t>
    </r>
    <r>
      <rPr>
        <rFont val="Arial"/>
        <sz val="10"/>
        <b/>
      </rPr>
      <t>PASSAGE:</t>
    </r>
    <r>
      <rPr>
        <rFont val="Arial"/>
        <sz val="10"/>
      </rPr>
      <t xml:space="preserve"> Скажи она их кому угодно, кроме Ретта, она бы без всякого стеснения взяла их назад.
</t>
    </r>
    <r>
      <rPr>
        <rFont val="Arial"/>
        <sz val="10"/>
        <b/>
      </rPr>
      <t>TRANS:</t>
    </r>
    <r>
      <rPr>
        <rFont val="Arial"/>
        <sz val="10"/>
      </rPr>
      <t xml:space="preserve"> Skazhi ona ikh komu ugodno, krome Retta, ona by bez vsyakogo stesneniya vzyala ikh nazad.
</t>
    </r>
    <r>
      <rPr>
        <rFont val="Arial"/>
        <sz val="10"/>
        <b/>
      </rPr>
      <t>TRANSLATION:</t>
    </r>
    <r>
      <rPr>
        <rFont val="Arial"/>
        <sz val="10"/>
      </rPr>
      <t xml:space="preserve"> Had she said it to anyone but Rhett, she would have taken it back without any embarrassment.</t>
    </r>
  </si>
  <si>
    <r>
      <rPr>
        <rFont val="Arial"/>
        <sz val="10"/>
        <b/>
      </rPr>
      <t>TERM:</t>
    </r>
    <r>
      <rPr>
        <rFont val="Arial"/>
        <sz val="10"/>
      </rPr>
      <t xml:space="preserve"> stydit'sya (стыдиться) — to feel ashamed (imperfective); pf. постыдиться/устыдиться [ORD]
</t>
    </r>
    <r>
      <rPr>
        <rFont val="Arial"/>
        <sz val="10"/>
        <b/>
      </rPr>
      <t>PASSAGE:</t>
    </r>
    <r>
      <rPr>
        <rFont val="Arial"/>
        <sz val="10"/>
      </rPr>
      <t xml:space="preserve"> ей не приходится стыдиться
</t>
    </r>
    <r>
      <rPr>
        <rFont val="Arial"/>
        <sz val="10"/>
        <b/>
      </rPr>
      <t>TRANS:</t>
    </r>
    <r>
      <rPr>
        <rFont val="Arial"/>
        <sz val="10"/>
      </rPr>
      <t xml:space="preserve"> ey ne prikhoditsya stydit'sya
</t>
    </r>
    <r>
      <rPr>
        <rFont val="Arial"/>
        <sz val="10"/>
        <b/>
      </rPr>
      <t>TRANSLATION:</t>
    </r>
    <r>
      <rPr>
        <rFont val="Arial"/>
        <sz val="10"/>
      </rPr>
      <t xml:space="preserve"> she did not have to feel ashamed</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</si>
  <si>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Түптеп келгенде тіпті таңертеңнен мойнын, иығын, қолын жаңалаштау аса орынды болмаса да, сол үшін қысылуына тура келмейді.
</t>
    </r>
    <r>
      <rPr>
        <rFont val="Arial"/>
        <sz val="10"/>
        <b/>
      </rPr>
      <t>TRANS:</t>
    </r>
    <r>
      <rPr>
        <rFont val="Arial"/>
        <sz val="10"/>
      </rPr>
      <t xml:space="preserve"> Tüptep kelgende tıptı tañerteñnen moinyn, iyğyn, qolyn jañalaştau asa oryndy bolmasa da, sol üşın qysyluyna tura kelmeidı.
</t>
    </r>
    <r>
      <rPr>
        <rFont val="Arial"/>
        <sz val="10"/>
        <b/>
      </rPr>
      <t>TRANSLATION:</t>
    </r>
    <r>
      <rPr>
        <rFont val="Arial"/>
        <sz val="10"/>
      </rPr>
      <t xml:space="preserve"> After all, even though baring her neck, shoulders, and arms in the morning was not entirely proper, she did not have to feel embarrassed about it.</t>
    </r>
  </si>
  <si>
    <r>
      <rPr>
        <rFont val="Arial"/>
        <sz val="10"/>
        <b/>
      </rPr>
      <t>TERM:</t>
    </r>
    <r>
      <rPr>
        <rFont val="Arial"/>
        <sz val="10"/>
      </rPr>
      <t xml:space="preserve"> iz"yana (изъяна) — defect; flaw (gen.) [ORD] (lemma: изъян)
</t>
    </r>
    <r>
      <rPr>
        <rFont val="Arial"/>
        <sz val="10"/>
        <b/>
      </rPr>
      <t>PASSAGE:</t>
    </r>
    <r>
      <rPr>
        <rFont val="Arial"/>
        <sz val="10"/>
      </rPr>
      <t xml:space="preserve"> не обнаружила в своей фигуре ни малейшего изъяна.
</t>
    </r>
    <r>
      <rPr>
        <rFont val="Arial"/>
        <sz val="10"/>
        <b/>
      </rPr>
      <t>TRANS:</t>
    </r>
    <r>
      <rPr>
        <rFont val="Arial"/>
        <sz val="10"/>
      </rPr>
      <t xml:space="preserve"> ne obnaruzhila v svoey figure ni maleyshego iz"yana.
</t>
    </r>
    <r>
      <rPr>
        <rFont val="Arial"/>
        <sz val="10"/>
        <b/>
      </rPr>
      <t>TRANSLATION:</t>
    </r>
    <r>
      <rPr>
        <rFont val="Arial"/>
        <sz val="10"/>
      </rPr>
      <t xml:space="preserve"> she found not the slightest flaw in her figure.</t>
    </r>
  </si>
  <si>
    <r>
      <rPr>
        <rFont val="Arial"/>
        <sz val="10"/>
        <b/>
      </rPr>
      <t>TERM:</t>
    </r>
    <r>
      <rPr>
        <rFont val="Arial"/>
        <sz val="10"/>
      </rPr>
      <t xml:space="preserve"> KEMŞILIK (КЕМШІЛІК) — defect; failing; shortcoming [KED, SZK]
</t>
    </r>
    <r>
      <rPr>
        <rFont val="Arial"/>
        <sz val="10"/>
        <b/>
      </rPr>
      <t>PASSAGE:</t>
    </r>
    <r>
      <rPr>
        <rFont val="Arial"/>
        <sz val="10"/>
      </rPr>
      <t xml:space="preserve"> Айна алдында тұрып, ол өзін жанынан көру үшін белін майыстырып қарап, сымбатынан еш кемшілік таппады.  comment: 'shame' is not directly translated. 
</t>
    </r>
    <r>
      <rPr>
        <rFont val="Arial"/>
        <sz val="10"/>
        <b/>
      </rPr>
      <t>TRANS:</t>
    </r>
    <r>
      <rPr>
        <rFont val="Arial"/>
        <sz val="10"/>
      </rPr>
      <t xml:space="preserve"> Aina aldynda tūryp, ol özın janynan köru üşın belın maiystyryp qarap, symbatynan eş kemşılık tappady.  comment: 'shame' is not directly translated. 
</t>
    </r>
    <r>
      <rPr>
        <rFont val="Arial"/>
        <sz val="10"/>
        <b/>
      </rPr>
      <t>TRANSLATION:</t>
    </r>
    <r>
      <rPr>
        <rFont val="Arial"/>
        <sz val="10"/>
      </rPr>
      <t xml:space="preserve"> Standing before the mirror and turning sideways to view her profile, she found no flaw in her elegance.</t>
    </r>
  </si>
  <si>
    <r>
      <rPr>
        <rFont val="Arial"/>
        <sz val="10"/>
        <b/>
      </rPr>
      <t>TERM:</t>
    </r>
    <r>
      <rPr>
        <rFont val="Arial"/>
        <sz val="10"/>
      </rPr>
      <t xml:space="preserve"> sgorat' so styda (сгорать со стыда) — to burn up with shame (idiom) [ORD] (lemma: сгорать)
</t>
    </r>
    <r>
      <rPr>
        <rFont val="Arial"/>
        <sz val="10"/>
        <b/>
      </rPr>
      <t>PASSAGE:</t>
    </r>
    <r>
      <rPr>
        <rFont val="Arial"/>
        <sz val="10"/>
      </rPr>
      <t xml:space="preserve"> Пусть бы он никогда-никогда не узнал об этом — все лучше, чем так сгорать со стыда
</t>
    </r>
    <r>
      <rPr>
        <rFont val="Arial"/>
        <sz val="10"/>
        <b/>
      </rPr>
      <t>TRANS:</t>
    </r>
    <r>
      <rPr>
        <rFont val="Arial"/>
        <sz val="10"/>
      </rPr>
      <t xml:space="preserve"> Pust' by on nikogda-nikogda ne uznal ob etom — vse luchshe, chem tak sgorat' so styda
</t>
    </r>
    <r>
      <rPr>
        <rFont val="Arial"/>
        <sz val="10"/>
        <b/>
      </rPr>
      <t>TRANSLATION:</t>
    </r>
    <r>
      <rPr>
        <rFont val="Arial"/>
        <sz val="10"/>
      </rPr>
      <t xml:space="preserve"> Let him never, never know about it — anything would be better than burning up with shame so</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</si>
  <si>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Ах, ол неге Эллин мен Үлкен шешейдің нұсқауын тыңдамады! Эшли мұның сезімінен күдіктенбеуі керек еді! Бұлай ұяттан өртенгенше, оның бұл туралы ешқашан, еш уақытта білмегені жақсы еді!
</t>
    </r>
    <r>
      <rPr>
        <rFont val="Arial"/>
        <sz val="10"/>
        <b/>
      </rPr>
      <t>TRANS:</t>
    </r>
    <r>
      <rPr>
        <rFont val="Arial"/>
        <sz val="10"/>
      </rPr>
      <t xml:space="preserve"> Ah, ol nege Elin men Ülken şeşeidıñ nūsqauyn tyñdamady! Eşli mūnyñ sezımınen küdıktenbeuı kerek edı! Būlai ūiattan örtengenşe, onyñ būl turaly eşqaşan, eş uaqytta bılmegenı jaqsy edı!
</t>
    </r>
    <r>
      <rPr>
        <rFont val="Arial"/>
        <sz val="10"/>
        <b/>
      </rPr>
      <t>TRANSLATION:</t>
    </r>
    <r>
      <rPr>
        <rFont val="Arial"/>
        <sz val="10"/>
      </rPr>
      <t xml:space="preserve"> Ah, why had she not heeded Ellen's and Mammy's instructions! Ashley should not have suspected her feelings! Better that he should never, ever know about this than to burn up like this with shame!</t>
    </r>
  </si>
  <si>
    <r>
      <rPr>
        <rFont val="Arial"/>
        <sz val="10"/>
        <b/>
      </rPr>
      <t>TERM:</t>
    </r>
    <r>
      <rPr>
        <rFont val="Arial"/>
        <sz val="10"/>
      </rPr>
      <t xml:space="preserve"> Zardevshis' ot smushcheniya, (Зардевшись от смущения,) = flushing; having blushed
</t>
    </r>
    <r>
      <rPr>
        <rFont val="Arial"/>
        <sz val="10"/>
        <b/>
      </rPr>
      <t>PASSAGE:</t>
    </r>
    <r>
      <rPr>
        <rFont val="Arial"/>
        <sz val="10"/>
      </rPr>
      <t xml:space="preserve"> Зардевшись от смущения, она с мольбой подняла на него глаза
</t>
    </r>
    <r>
      <rPr>
        <rFont val="Arial"/>
        <sz val="10"/>
        <b/>
      </rPr>
      <t>TRANS:</t>
    </r>
    <r>
      <rPr>
        <rFont val="Arial"/>
        <sz val="10"/>
      </rPr>
      <t xml:space="preserve"> Zardevshis' ot smushcheniya, ona s mol'boy podnyala na nego glaza
</t>
    </r>
    <r>
      <rPr>
        <rFont val="Arial"/>
        <sz val="10"/>
        <b/>
      </rPr>
      <t>TRANSLATION:</t>
    </r>
    <r>
      <rPr>
        <rFont val="Arial"/>
        <sz val="10"/>
      </rPr>
      <t xml:space="preserve"> Burning crimson with embarrassment, she raised her eyes pleadingly to him</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</si>
  <si>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Ұяла қысылған Скарлетт оған басын көтеріп қарады, ...
</t>
    </r>
    <r>
      <rPr>
        <rFont val="Arial"/>
        <sz val="10"/>
        <b/>
      </rPr>
      <t>TRANS:</t>
    </r>
    <r>
      <rPr>
        <rFont val="Arial"/>
        <sz val="10"/>
      </rPr>
      <t xml:space="preserve"> Ūiala qysylğan Skarlett oğan basyn köterıp qarady, ...
</t>
    </r>
    <r>
      <rPr>
        <rFont val="Arial"/>
        <sz val="10"/>
        <b/>
      </rPr>
      <t>TRANSLATION:</t>
    </r>
    <r>
      <rPr>
        <rFont val="Arial"/>
        <sz val="10"/>
      </rPr>
      <t xml:space="preserve"> Scarlett, flushed with embarrassment, raised her head and looked at him,...</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</si>
  <si>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Скарлетт не раз испытывала втайне стыд, что Эшли не пишет Мелани таких писем, которые интересно было бы почитать в швейном кружке вслух.
</t>
    </r>
    <r>
      <rPr>
        <rFont val="Arial"/>
        <sz val="10"/>
        <b/>
      </rPr>
      <t>TRANS:</t>
    </r>
    <r>
      <rPr>
        <rFont val="Arial"/>
        <sz val="10"/>
      </rPr>
      <t xml:space="preserve"> Skarlett ne raz ispytyvala vtayne styd, chto Eshli ne pishet Melani takikh pisem, kotorye interesno bylo by pochitat' v shveynom kruzhke vslukh.
</t>
    </r>
    <r>
      <rPr>
        <rFont val="Arial"/>
        <sz val="10"/>
        <b/>
      </rPr>
      <t>TRANSLATION:</t>
    </r>
    <r>
      <rPr>
        <rFont val="Arial"/>
        <sz val="10"/>
      </rPr>
      <t xml:space="preserve"> Scarlett had more than once felt secret shame that Ashley did not write Melanie letters of the kind that would be interesting to read aloud in the sewing circle.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</si>
  <si>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 ал Скарлетт Эшлидің Меланиге мұндай хаттарды жазбағанына бірнеше рет ішінен ұялған, ...
</t>
    </r>
    <r>
      <rPr>
        <rFont val="Arial"/>
        <sz val="10"/>
        <b/>
      </rPr>
      <t>TRANS:</t>
    </r>
    <r>
      <rPr>
        <rFont val="Arial"/>
        <sz val="10"/>
      </rPr>
      <t xml:space="preserve"> ... al Skarlett Eşlidıñ Melanige mūndai hattardy jazbağanyna bırneşe ret ışınen ūialğan, ...
</t>
    </r>
    <r>
      <rPr>
        <rFont val="Arial"/>
        <sz val="10"/>
        <b/>
      </rPr>
      <t>TRANSLATION:</t>
    </r>
    <r>
      <rPr>
        <rFont val="Arial"/>
        <sz val="10"/>
      </rPr>
      <t xml:space="preserve"> ...and Scarlett had felt ashamed inwardly several times that Ashley did not write Melanie such letters,...</t>
    </r>
  </si>
  <si>
    <r>
      <rPr>
        <rFont val="Arial"/>
        <sz val="10"/>
        <b/>
      </rPr>
      <t>TERM:</t>
    </r>
    <r>
      <rPr>
        <rFont val="Arial"/>
        <sz val="10"/>
      </rPr>
      <t xml:space="preserve"> sgoraya ot styda. (сгорая от стыда.) = burning with shame
</t>
    </r>
    <r>
      <rPr>
        <rFont val="Arial"/>
        <sz val="10"/>
        <b/>
      </rPr>
      <t>PASSAGE:</t>
    </r>
    <r>
      <rPr>
        <rFont val="Arial"/>
        <sz val="10"/>
      </rPr>
      <t xml:space="preserve"> Скарлетт вскочила с кресла, сгорая от стыда.
</t>
    </r>
    <r>
      <rPr>
        <rFont val="Arial"/>
        <sz val="10"/>
        <b/>
      </rPr>
      <t>TRANS:</t>
    </r>
    <r>
      <rPr>
        <rFont val="Arial"/>
        <sz val="10"/>
      </rPr>
      <t xml:space="preserve"> Skarlett vskochila s kresla, sgoraya ot styda.
</t>
    </r>
    <r>
      <rPr>
        <rFont val="Arial"/>
        <sz val="10"/>
        <b/>
      </rPr>
      <t>TRANSLATION:</t>
    </r>
    <r>
      <rPr>
        <rFont val="Arial"/>
        <sz val="10"/>
      </rPr>
      <t xml:space="preserve"> Scarlett leapt up from the chair, burning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</si>
  <si>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Скарлетт ұяттан өртеніп креслодан атып тұрды.
</t>
    </r>
    <r>
      <rPr>
        <rFont val="Arial"/>
        <sz val="10"/>
        <b/>
      </rPr>
      <t>TRANS:</t>
    </r>
    <r>
      <rPr>
        <rFont val="Arial"/>
        <sz val="10"/>
      </rPr>
      <t xml:space="preserve"> Skarlett ūiattan örtenıp kreslodan atyp tūrdy.
</t>
    </r>
    <r>
      <rPr>
        <rFont val="Arial"/>
        <sz val="10"/>
        <b/>
      </rPr>
      <t>TRANSLATION:</t>
    </r>
    <r>
      <rPr>
        <rFont val="Arial"/>
        <sz val="10"/>
      </rPr>
      <t xml:space="preserve"> Scarlett, burning up with shame, sprang up from the armchair.</t>
    </r>
  </si>
  <si>
    <r>
      <rPr>
        <rFont val="Arial"/>
        <sz val="10"/>
        <b/>
      </rPr>
      <t>TERM:</t>
    </r>
    <r>
      <rPr>
        <rFont val="Arial"/>
        <sz val="10"/>
      </rPr>
      <t xml:space="preserve"> unizhenii (унижении) — humiliation (prep.) [ORD] (lemma: унижение)
</t>
    </r>
    <r>
      <rPr>
        <rFont val="Arial"/>
        <sz val="10"/>
        <b/>
      </rPr>
      <t>PASSAGE:</t>
    </r>
    <r>
      <rPr>
        <rFont val="Arial"/>
        <sz val="10"/>
      </rPr>
      <t xml:space="preserve"> Завтра она снова будет думать о поведении Ретта, о своем унижении и снова будет кипеть от гнева.
</t>
    </r>
    <r>
      <rPr>
        <rFont val="Arial"/>
        <sz val="10"/>
        <b/>
      </rPr>
      <t>TRANS:</t>
    </r>
    <r>
      <rPr>
        <rFont val="Arial"/>
        <sz val="10"/>
      </rPr>
      <t xml:space="preserve"> Zavtra ona snova budet dumat' o povedenii Retta, o svoem unizhenii i snova budet kipet' ot gneva.
</t>
    </r>
    <r>
      <rPr>
        <rFont val="Arial"/>
        <sz val="10"/>
        <b/>
      </rPr>
      <t>TRANSLATION:</t>
    </r>
    <r>
      <rPr>
        <rFont val="Arial"/>
        <sz val="10"/>
      </rPr>
      <t xml:space="preserve"> Tomorrow she would once again be thinking of Rhett's behavior, of her humiliation, and would once again be seething with anger.</t>
    </r>
  </si>
  <si>
    <r>
      <rPr>
        <rFont val="Arial"/>
        <sz val="10"/>
        <b/>
      </rPr>
      <t>TERM:</t>
    </r>
    <r>
      <rPr>
        <rFont val="Arial"/>
        <sz val="10"/>
      </rPr>
      <t xml:space="preserve"> QYSAS (ҚЫСАС) — malice; revenge; spite [KED, SZK]
</t>
    </r>
    <r>
      <rPr>
        <rFont val="Arial"/>
        <sz val="10"/>
        <b/>
      </rPr>
      <t>PASSAGE:</t>
    </r>
    <r>
      <rPr>
        <rFont val="Arial"/>
        <sz val="10"/>
      </rPr>
      <t xml:space="preserve"> Ертең Реттің қылығын қайтадан еске түсіріп, өзіне жасаған қысастығына күйініп, тағы да ашудан қызынатын шығар.
</t>
    </r>
    <r>
      <rPr>
        <rFont val="Arial"/>
        <sz val="10"/>
        <b/>
      </rPr>
      <t>TRANS:</t>
    </r>
    <r>
      <rPr>
        <rFont val="Arial"/>
        <sz val="10"/>
      </rPr>
      <t xml:space="preserve"> Erteñ Rettıñ qylyğyn qaitadan eske tüsırıp, özıne jasağan qysastyğyna küiınıp, tağy da aşudan qyzynatyn şyğar.
</t>
    </r>
    <r>
      <rPr>
        <rFont val="Arial"/>
        <sz val="10"/>
        <b/>
      </rPr>
      <t>TRANSLATION:</t>
    </r>
    <r>
      <rPr>
        <rFont val="Arial"/>
        <sz val="10"/>
      </rPr>
      <t xml:space="preserve"> Tomorrow she would probably again recall Rhett's behavior, again be wounded by the wrong he had done her, and again burn with anger.</t>
    </r>
  </si>
  <si>
    <r>
      <rPr>
        <rFont val="Arial"/>
        <sz val="10"/>
        <b/>
      </rPr>
      <t>TERM:</t>
    </r>
    <r>
      <rPr>
        <rFont val="Arial"/>
        <sz val="10"/>
      </rPr>
      <t xml:space="preserve"> postydnogo (постыдного) — shameful; ignominious (adj., gen.) [ORD] (lemma: постыдный)
</t>
    </r>
    <r>
      <rPr>
        <rFont val="Arial"/>
        <sz val="10"/>
        <b/>
      </rPr>
      <t>PASSAGE:</t>
    </r>
    <r>
      <rPr>
        <rFont val="Arial"/>
        <sz val="10"/>
      </rPr>
      <t xml:space="preserve"> Даже очутись Эллин на самом дне нищеты, она бы не увидела в этом ничего постыдного.
</t>
    </r>
    <r>
      <rPr>
        <rFont val="Arial"/>
        <sz val="10"/>
        <b/>
      </rPr>
      <t>TRANS:</t>
    </r>
    <r>
      <rPr>
        <rFont val="Arial"/>
        <sz val="10"/>
      </rPr>
      <t xml:space="preserve"> Dazhe ochutis' Ellin na samom dne nishchety, ona by ne uvidela v etom nichego postydnogo.
</t>
    </r>
    <r>
      <rPr>
        <rFont val="Arial"/>
        <sz val="10"/>
        <b/>
      </rPr>
      <t>TRANSLATION:</t>
    </r>
    <r>
      <rPr>
        <rFont val="Arial"/>
        <sz val="10"/>
      </rPr>
      <t xml:space="preserve"> Even if Ellen had found herself at the very bottom of poverty, she would not have seen anything shameful in this.</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</si>
  <si>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Жарлылықтың жұтқыншығында жатып, есін жиғанға да Эллин одан ұялып, қысыла қоймаған еді.
</t>
    </r>
    <r>
      <rPr>
        <rFont val="Arial"/>
        <sz val="10"/>
        <b/>
      </rPr>
      <t>TRANS:</t>
    </r>
    <r>
      <rPr>
        <rFont val="Arial"/>
        <sz val="10"/>
      </rPr>
      <t xml:space="preserve"> Jarlylyqtyñ jūtqynşyğynda jatyp, esın jiğanğa da Elin odan ūialyp, qysyla qoimağan edı.
</t>
    </r>
    <r>
      <rPr>
        <rFont val="Arial"/>
        <sz val="10"/>
        <b/>
      </rPr>
      <t>TRANSLATION:</t>
    </r>
    <r>
      <rPr>
        <rFont val="Arial"/>
        <sz val="10"/>
      </rPr>
      <t xml:space="preserve"> Even if Ellen had been lying in the throat of destitution and come to her senses there, she would not have been ashamed of it nor felt embarrassed.</t>
    </r>
  </si>
  <si>
    <r>
      <rPr>
        <rFont val="Arial"/>
        <sz val="10"/>
        <b/>
      </rPr>
      <t>TERM:</t>
    </r>
    <r>
      <rPr>
        <rFont val="Arial"/>
        <sz val="10"/>
      </rPr>
      <t xml:space="preserve"> styda (стыда) — shame (genitive) [ORD] (lemma: стыд)
</t>
    </r>
    <r>
      <rPr>
        <rFont val="Arial"/>
        <sz val="10"/>
        <b/>
      </rPr>
      <t>PASSAGE:</t>
    </r>
    <r>
      <rPr>
        <rFont val="Arial"/>
        <sz val="10"/>
      </rPr>
      <t xml:space="preserve"> Она вспомнила, как он унизил ее, и вспыхнула от стыда.
</t>
    </r>
    <r>
      <rPr>
        <rFont val="Arial"/>
        <sz val="10"/>
        <b/>
      </rPr>
      <t>TRANS:</t>
    </r>
    <r>
      <rPr>
        <rFont val="Arial"/>
        <sz val="10"/>
      </rPr>
      <t xml:space="preserve"> Ona vspomnila, kak on unizil ee, i vspykhnula ot styda.
</t>
    </r>
    <r>
      <rPr>
        <rFont val="Arial"/>
        <sz val="10"/>
        <b/>
      </rPr>
      <t>TRANSLATION:</t>
    </r>
    <r>
      <rPr>
        <rFont val="Arial"/>
        <sz val="10"/>
      </rPr>
      <t xml:space="preserve"> She remembered how he had humiliated her, and she flushed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</si>
  <si>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Есіне өзін қалай қорлап, мазақ еткені түсті де, ұяттан өртеніп кете жаздады.
</t>
    </r>
    <r>
      <rPr>
        <rFont val="Arial"/>
        <sz val="10"/>
        <b/>
      </rPr>
      <t>TRANS:</t>
    </r>
    <r>
      <rPr>
        <rFont val="Arial"/>
        <sz val="10"/>
      </rPr>
      <t xml:space="preserve"> Esıne özın qalai qorlap, mazaq etkenı tüstı de, ūiattan örtenıp kete jazdady.
</t>
    </r>
    <r>
      <rPr>
        <rFont val="Arial"/>
        <sz val="10"/>
        <b/>
      </rPr>
      <t>TRANSLATION:</t>
    </r>
    <r>
      <rPr>
        <rFont val="Arial"/>
        <sz val="10"/>
      </rPr>
      <t xml:space="preserve"> She remembered how he had insulted and mocked her, and almost burst into flame with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</si>
  <si>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Ей вдруг стало стыдно — и не столько того, что она дала ему повод поглумиться над ней, сколько своего раздавшегося тела.
</t>
    </r>
    <r>
      <rPr>
        <rFont val="Arial"/>
        <sz val="10"/>
        <b/>
      </rPr>
      <t>TRANS:</t>
    </r>
    <r>
      <rPr>
        <rFont val="Arial"/>
        <sz val="10"/>
      </rPr>
      <t xml:space="preserve"> Ey vdrug stalo stydno — i ne stol'ko togo, chto ona dala emu povod poglumit'sya nad ney, skol'ko svoego razdavshegosya tela.
</t>
    </r>
    <r>
      <rPr>
        <rFont val="Arial"/>
        <sz val="10"/>
        <b/>
      </rPr>
      <t>TRANSLATION:</t>
    </r>
    <r>
      <rPr>
        <rFont val="Arial"/>
        <sz val="10"/>
      </rPr>
      <t xml:space="preserve"> She suddenly felt ashamed — and not so much that she had given him an occasion to mock her, as of her swollen body.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</si>
  <si>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Өзінің мазақ болуына соқтырған әлгі сөзінен де гөрі, жайылып кеткен денесінен, ыңғайсыз пішінінен де өлердей ұялып кетті.
</t>
    </r>
    <r>
      <rPr>
        <rFont val="Arial"/>
        <sz val="10"/>
        <b/>
      </rPr>
      <t>TRANS:</t>
    </r>
    <r>
      <rPr>
        <rFont val="Arial"/>
        <sz val="10"/>
      </rPr>
      <t xml:space="preserve"> Özınıñ mazaq boluyna soqtyrğan älgı sözınen de görı, jaiylyp ketken denesınen, yñğaisyz pışınınen de ölerdei ūialyp kettı.
</t>
    </r>
    <r>
      <rPr>
        <rFont val="Arial"/>
        <sz val="10"/>
        <b/>
      </rPr>
      <t>TRANSLATION:</t>
    </r>
    <r>
      <rPr>
        <rFont val="Arial"/>
        <sz val="10"/>
      </rPr>
      <t xml:space="preserve"> More than the words that had brought mockery on her, she became mortally embarrassed by her spread-out body and awkward shape.</t>
    </r>
  </si>
  <si>
    <r>
      <rPr>
        <rFont val="Arial"/>
        <sz val="10"/>
        <b/>
      </rPr>
      <t>TERM:</t>
    </r>
    <r>
      <rPr>
        <rFont val="Arial"/>
        <sz val="10"/>
      </rPr>
      <t xml:space="preserve"> obidy (обиды) — offence; hurt (gen.) [ORD] (lemma: обида)
</t>
    </r>
    <r>
      <rPr>
        <rFont val="Arial"/>
        <sz val="10"/>
        <b/>
      </rPr>
      <t>PASSAGE:</t>
    </r>
    <r>
      <rPr>
        <rFont val="Arial"/>
        <sz val="10"/>
      </rPr>
      <t xml:space="preserve"> Когда приступ рвоты прошел, Скарлетт закрыла лицо руками и заплакала от обиды.
</t>
    </r>
    <r>
      <rPr>
        <rFont val="Arial"/>
        <sz val="10"/>
        <b/>
      </rPr>
      <t>TRANS:</t>
    </r>
    <r>
      <rPr>
        <rFont val="Arial"/>
        <sz val="10"/>
      </rPr>
      <t xml:space="preserve"> Kogda pristup rvoty proshel, Skarlett zakryla litso rukami i zaplakala ot obidy.
</t>
    </r>
    <r>
      <rPr>
        <rFont val="Arial"/>
        <sz val="10"/>
        <b/>
      </rPr>
      <t>TRANSLATION:</t>
    </r>
    <r>
      <rPr>
        <rFont val="Arial"/>
        <sz val="10"/>
      </rPr>
      <t xml:space="preserve"> When the bout of nausea passed, Scarlett covered her face with her hands and wept from offense.</t>
    </r>
  </si>
  <si>
    <r>
      <rPr>
        <rFont val="Arial"/>
        <sz val="10"/>
        <b/>
      </rPr>
      <t>TERM:</t>
    </r>
    <r>
      <rPr>
        <rFont val="Arial"/>
        <sz val="10"/>
      </rPr>
      <t xml:space="preserve"> ÖKINIŞ (ӨКІНІШ) — regret; repentance [KED, SZK]
</t>
    </r>
    <r>
      <rPr>
        <rFont val="Arial"/>
        <sz val="10"/>
        <b/>
      </rPr>
      <t>PASSAGE:</t>
    </r>
    <r>
      <rPr>
        <rFont val="Arial"/>
        <sz val="10"/>
      </rPr>
      <t xml:space="preserve"> Жүрегінің айнығаны басылып, құсып болған соң Скарлетт бетін қолымен басып алып, өкініштен жылап жіберді.
</t>
    </r>
    <r>
      <rPr>
        <rFont val="Arial"/>
        <sz val="10"/>
        <b/>
      </rPr>
      <t>TRANS:</t>
    </r>
    <r>
      <rPr>
        <rFont val="Arial"/>
        <sz val="10"/>
      </rPr>
      <t xml:space="preserve"> Jüregınıñ ainyğany basylyp, qūsyp bolğan soñ Skarlett betın qolymen basyp alyp, ökınışten jylap jıberdı.
</t>
    </r>
    <r>
      <rPr>
        <rFont val="Arial"/>
        <sz val="10"/>
        <b/>
      </rPr>
      <t>TRANSLATION:</t>
    </r>
    <r>
      <rPr>
        <rFont val="Arial"/>
        <sz val="10"/>
      </rPr>
      <t xml:space="preserve"> When her queasiness passed and she had finished retching, Scarlett covered her face with her hands and wept from regret.</t>
    </r>
  </si>
  <si>
    <r>
      <rPr>
        <rFont val="Arial"/>
        <sz val="10"/>
        <b/>
      </rPr>
      <t>TERM:</t>
    </r>
    <r>
      <rPr>
        <rFont val="Arial"/>
        <sz val="10"/>
      </rPr>
      <t xml:space="preserve"> styda (стыда) — shame (genitive) [ORD] (lemma: стыд)
</t>
    </r>
    <r>
      <rPr>
        <rFont val="Arial"/>
        <sz val="10"/>
        <b/>
      </rPr>
      <t>PASSAGE:</t>
    </r>
    <r>
      <rPr>
        <rFont val="Arial"/>
        <sz val="10"/>
      </rPr>
      <t xml:space="preserve"> А вы, видно, самая настоящая дурочка, раз плачете от стыда.
</t>
    </r>
    <r>
      <rPr>
        <rFont val="Arial"/>
        <sz val="10"/>
        <b/>
      </rPr>
      <t>TRANS:</t>
    </r>
    <r>
      <rPr>
        <rFont val="Arial"/>
        <sz val="10"/>
      </rPr>
      <t xml:space="preserve"> A vy, vidno, samaya nastoyashchaya durochka, raz plachete ot styda.
</t>
    </r>
    <r>
      <rPr>
        <rFont val="Arial"/>
        <sz val="10"/>
        <b/>
      </rPr>
      <t>TRANSLATION:</t>
    </r>
    <r>
      <rPr>
        <rFont val="Arial"/>
        <sz val="10"/>
      </rPr>
      <t xml:space="preserve"> And you, evidently, are a real fool, since you are crying from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</si>
  <si>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білмей жүрсем, ұялғаннан жылайтын сіз шынында нағыз ақымақтың өзі екенсіз ғой.
</t>
    </r>
    <r>
      <rPr>
        <rFont val="Arial"/>
        <sz val="10"/>
        <b/>
      </rPr>
      <t>TRANS:</t>
    </r>
    <r>
      <rPr>
        <rFont val="Arial"/>
        <sz val="10"/>
      </rPr>
      <t xml:space="preserve"> Men bılmei jürsem, ūialğannan jylaityn sız şynynda nağyz aqymaqtyñ özı ekensız ğoi.
</t>
    </r>
    <r>
      <rPr>
        <rFont val="Arial"/>
        <sz val="10"/>
        <b/>
      </rPr>
      <t>TRANSLATION:</t>
    </r>
    <r>
      <rPr>
        <rFont val="Arial"/>
        <sz val="10"/>
      </rPr>
      <t xml:space="preserve"> I had not realized — you who weep from shame are truly the very picture of a fool.</t>
    </r>
  </si>
  <si>
    <r>
      <rPr>
        <rFont val="Arial"/>
        <sz val="10"/>
        <b/>
      </rPr>
      <t>TERM:</t>
    </r>
    <r>
      <rPr>
        <rFont val="Arial"/>
        <sz val="10"/>
      </rPr>
      <t xml:space="preserve"> smutilas' (смутилась) — became flustered; got embarrassed (pf. past fem.) [ORD] (lemma: смутиться)
</t>
    </r>
    <r>
      <rPr>
        <rFont val="Arial"/>
        <sz val="10"/>
        <b/>
      </rPr>
      <t>PASSAGE:</t>
    </r>
    <r>
      <rPr>
        <rFont val="Arial"/>
        <sz val="10"/>
      </rPr>
      <t xml:space="preserve"> Вздрогнув от этого неожиданного перехода к ее особе, Скарлетт смутилась и покраснела, ибо взоры всех обратились к ней.
</t>
    </r>
    <r>
      <rPr>
        <rFont val="Arial"/>
        <sz val="10"/>
        <b/>
      </rPr>
      <t>TRANS:</t>
    </r>
    <r>
      <rPr>
        <rFont val="Arial"/>
        <sz val="10"/>
      </rPr>
      <t xml:space="preserve"> Vzdrognuv ot etogo neozhidannogo perekhoda k ee osobe, Skarlett smutilas' i pokrasnela, ibo vzory vsekh obratilis' k ney.
</t>
    </r>
    <r>
      <rPr>
        <rFont val="Arial"/>
        <sz val="10"/>
        <b/>
      </rPr>
      <t>TRANSLATION:</t>
    </r>
    <r>
      <rPr>
        <rFont val="Arial"/>
        <sz val="10"/>
      </rPr>
      <t xml:space="preserve"> Startled at this unexpected shift to her own person, Scarlett became flustered and blushed, for everyone's eyes turned to her.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</si>
  <si>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Тосыннан өз атына бағыттала айтылған шешімнен селк етіп, Скарлетт ұялғаннан қып-қызыл боп кетті.
</t>
    </r>
    <r>
      <rPr>
        <rFont val="Arial"/>
        <sz val="10"/>
        <b/>
      </rPr>
      <t>TRANS:</t>
    </r>
    <r>
      <rPr>
        <rFont val="Arial"/>
        <sz val="10"/>
      </rPr>
      <t xml:space="preserve"> Tosynnan öz atyna bağyttala aitylğan şeşımnen selk etıp, Skarlett ūialğannan qyp-qyzyl bop kettı.
</t>
    </r>
    <r>
      <rPr>
        <rFont val="Arial"/>
        <sz val="10"/>
        <b/>
      </rPr>
      <t>TRANSLATION:</t>
    </r>
    <r>
      <rPr>
        <rFont val="Arial"/>
        <sz val="10"/>
      </rPr>
      <t xml:space="preserve"> Startled at this unexpected turn directed at her, Scarlett went bright red with embarrassment.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</si>
  <si>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мне было так стыдно показываться вам…
</t>
    </r>
    <r>
      <rPr>
        <rFont val="Arial"/>
        <sz val="10"/>
        <b/>
      </rPr>
      <t>TRANS:</t>
    </r>
    <r>
      <rPr>
        <rFont val="Arial"/>
        <sz val="10"/>
      </rPr>
      <t xml:space="preserve"> A mne bylo tak stydno pokazyvat'sya vam…
</t>
    </r>
    <r>
      <rPr>
        <rFont val="Arial"/>
        <sz val="10"/>
        <b/>
      </rPr>
      <t>TRANSLATION:</t>
    </r>
    <r>
      <rPr>
        <rFont val="Arial"/>
        <sz val="10"/>
      </rPr>
      <t xml:space="preserve"> And I was so ashamed to show myself to you...</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</si>
  <si>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болсам, сізге көрінуге де ұялып жүр едім...
</t>
    </r>
    <r>
      <rPr>
        <rFont val="Arial"/>
        <sz val="10"/>
        <b/>
      </rPr>
      <t>TRANS:</t>
    </r>
    <r>
      <rPr>
        <rFont val="Arial"/>
        <sz val="10"/>
      </rPr>
      <t xml:space="preserve"> Men bolsam, sızge körınuge de ūialyp jür edım...
</t>
    </r>
    <r>
      <rPr>
        <rFont val="Arial"/>
        <sz val="10"/>
        <b/>
      </rPr>
      <t>TRANSLATION:</t>
    </r>
    <r>
      <rPr>
        <rFont val="Arial"/>
        <sz val="10"/>
      </rPr>
      <t xml:space="preserve"> As for me, I was even ashamed to be seen by you...</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</si>
  <si>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возник и тот страшный день, когда она пришла к нему в тюрьму, и ей стало стыдно от этих воспоминаний.
</t>
    </r>
    <r>
      <rPr>
        <rFont val="Arial"/>
        <sz val="10"/>
        <b/>
      </rPr>
      <t>TRANS:</t>
    </r>
    <r>
      <rPr>
        <rFont val="Arial"/>
        <sz val="10"/>
      </rPr>
      <t xml:space="preserve"> voznik i tot strashnyy den', kogda ona prishla k nemu v tyur'mu, i ey stalo stydno ot etikh vospominaniy.
</t>
    </r>
    <r>
      <rPr>
        <rFont val="Arial"/>
        <sz val="10"/>
        <b/>
      </rPr>
      <t>TRANSLATION:</t>
    </r>
    <r>
      <rPr>
        <rFont val="Arial"/>
        <sz val="10"/>
      </rPr>
      <t xml:space="preserve"> that terrible day when she came to him in prison also came back, and she felt ashamed at these memories.</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</si>
  <si>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Бұған нақсүйері болуды ұсынып, емеурін танытқан кезі, содан кейін де өз аяғымен түрмеге іздеп барғандағы ұятқа қалғаны есіне түсіп, қатты қысылып кетті.
</t>
    </r>
    <r>
      <rPr>
        <rFont val="Arial"/>
        <sz val="10"/>
        <b/>
      </rPr>
      <t>TRANS:</t>
    </r>
    <r>
      <rPr>
        <rFont val="Arial"/>
        <sz val="10"/>
      </rPr>
      <t xml:space="preserve"> Būğan naqsüierı boludy ūsynyp, emeurın tanytqan kezı, sodan keiın de öz aiağymen türmege ızdep barğandağy ūiatqa qalğany esıne tüsıp, qatty qysylyp kettı.
</t>
    </r>
    <r>
      <rPr>
        <rFont val="Arial"/>
        <sz val="10"/>
        <b/>
      </rPr>
      <t>TRANSLATION:</t>
    </r>
    <r>
      <rPr>
        <rFont val="Arial"/>
        <sz val="10"/>
      </rPr>
      <t xml:space="preserve"> She remembered offering herself to him as his mistress, and then later going to him in prison on her own feet and bringing disgrace upon herself; she became deeply embarrassed.</t>
    </r>
  </si>
  <si>
    <r>
      <rPr>
        <rFont val="Arial"/>
        <sz val="10"/>
        <b/>
      </rPr>
      <t>TERM:</t>
    </r>
    <r>
      <rPr>
        <rFont val="Arial"/>
        <sz val="10"/>
      </rPr>
      <t xml:space="preserve"> stydom (стыдом) — shame (instrumental) [ORD] (lemma: стыд)
</t>
    </r>
    <r>
      <rPr>
        <rFont val="Arial"/>
        <sz val="10"/>
        <b/>
      </rPr>
      <t>PASSAGE:</t>
    </r>
    <r>
      <rPr>
        <rFont val="Arial"/>
        <sz val="10"/>
      </rPr>
      <t xml:space="preserve"> Скарлетт помчалась домой, подгоняемая стыдом и страхом,
</t>
    </r>
    <r>
      <rPr>
        <rFont val="Arial"/>
        <sz val="10"/>
        <b/>
      </rPr>
      <t>TRANS:</t>
    </r>
    <r>
      <rPr>
        <rFont val="Arial"/>
        <sz val="10"/>
      </rPr>
      <t xml:space="preserve"> Skarlett pomchalas' domoy, podgonyaemaya stydom i strakhom,
</t>
    </r>
    <r>
      <rPr>
        <rFont val="Arial"/>
        <sz val="10"/>
        <b/>
      </rPr>
      <t>TRANSLATION:</t>
    </r>
    <r>
      <rPr>
        <rFont val="Arial"/>
        <sz val="10"/>
      </rPr>
      <t xml:space="preserve"> Scarlett rushed home, driven by shame and fear,</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</si>
  <si>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Қорқыныш пен ұят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rFont val="Arial"/>
        <sz val="10"/>
        <b/>
      </rPr>
      <t>TRANS:</t>
    </r>
    <r>
      <rPr>
        <rFont val="Arial"/>
        <sz val="10"/>
      </rPr>
      <t xml:space="preserve"> Qorqynyş pen ūiat qamalap, soñynan quyp kele jatqandai, üiıne qarai yşqynyp keledı, köz aldynda saqaly sala qūlaş, Köne Ösiet ışındegı kek aluşy perışte sekıldı Archidıñ beinesı bırge ūşyp keledı.
</t>
    </r>
    <r>
      <rPr>
        <rFont val="Arial"/>
        <sz val="10"/>
        <b/>
      </rPr>
      <t>TRANSLATION:</t>
    </r>
    <r>
      <rPr>
        <rFont val="Arial"/>
        <sz val="10"/>
      </rPr>
      <t xml:space="preserve"> Driven on by fear and shame as if pursuing her, she rushed home, with the image of Archie — bearded down to his waist, like an avenging angel from the Old Testament — flying along beside her in her mind.</t>
    </r>
  </si>
  <si>
    <r>
      <rPr>
        <rFont val="Arial"/>
        <sz val="10"/>
        <b/>
      </rPr>
      <t>TERM:</t>
    </r>
    <r>
      <rPr>
        <rFont val="Arial"/>
        <sz val="10"/>
      </rPr>
      <t xml:space="preserve"> nedoumevayushche i smushchenno (недоумевающе и смущенно) — in bewilderment and embarrassment [ORD] (lemma: смущенно)
</t>
    </r>
    <r>
      <rPr>
        <rFont val="Arial"/>
        <sz val="10"/>
        <b/>
      </rPr>
      <t>PASSAGE:</t>
    </r>
    <r>
      <rPr>
        <rFont val="Arial"/>
        <sz val="10"/>
      </rPr>
      <t xml:space="preserve"> Чарльз как-то странно посмотрел на нее — недоумевающе и смущенно
</t>
    </r>
    <r>
      <rPr>
        <rFont val="Arial"/>
        <sz val="10"/>
        <b/>
      </rPr>
      <t>TRANS:</t>
    </r>
    <r>
      <rPr>
        <rFont val="Arial"/>
        <sz val="10"/>
      </rPr>
      <t xml:space="preserve"> Charl'z kak-to stranno posmotrel na nee — nedoumevayushche i smushchenno
</t>
    </r>
    <r>
      <rPr>
        <rFont val="Arial"/>
        <sz val="10"/>
        <b/>
      </rPr>
      <t>TRANSLATION:</t>
    </r>
    <r>
      <rPr>
        <rFont val="Arial"/>
        <sz val="10"/>
      </rPr>
      <t xml:space="preserve"> Charles looked at her in a strange way — bewildered and embarrassed.</t>
    </r>
  </si>
  <si>
    <r>
      <rPr>
        <rFont val="Arial"/>
        <sz val="10"/>
        <b/>
      </rPr>
      <t>TERM:</t>
    </r>
    <r>
      <rPr>
        <rFont val="Arial"/>
        <sz val="10"/>
      </rPr>
      <t xml:space="preserve"> ne byla smushchena (не была смущена) — was not embarrassed (passive past fem. neg.) [ORD] (lemma: смутить)
</t>
    </r>
    <r>
      <rPr>
        <rFont val="Arial"/>
        <sz val="10"/>
        <b/>
      </rPr>
      <t>PASSAGE:</t>
    </r>
    <r>
      <rPr>
        <rFont val="Arial"/>
        <sz val="10"/>
      </rPr>
      <t xml:space="preserve"> Ужас ее был тем более неописуем, что Мейбелл ничуть не была смущена.
</t>
    </r>
    <r>
      <rPr>
        <rFont val="Arial"/>
        <sz val="10"/>
        <b/>
      </rPr>
      <t>TRANS:</t>
    </r>
    <r>
      <rPr>
        <rFont val="Arial"/>
        <sz val="10"/>
      </rPr>
      <t xml:space="preserve"> Uzhas ee byl tem bolee neopisuem, chto Meybell nichut' ne byla smushchena.
</t>
    </r>
    <r>
      <rPr>
        <rFont val="Arial"/>
        <sz val="10"/>
        <b/>
      </rPr>
      <t>TRANSLATION:</t>
    </r>
    <r>
      <rPr>
        <rFont val="Arial"/>
        <sz val="10"/>
      </rPr>
      <t xml:space="preserve"> Her horror was the more indescribable because Maybelle was not at all flustered.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</si>
  <si>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Осы қылығы үшін Мэйбеллдің ешқандай қымсынбағанын көргенде тіпті айран-асыр болды.
</t>
    </r>
    <r>
      <rPr>
        <rFont val="Arial"/>
        <sz val="10"/>
        <b/>
      </rPr>
      <t>TRANS:</t>
    </r>
    <r>
      <rPr>
        <rFont val="Arial"/>
        <sz val="10"/>
      </rPr>
      <t xml:space="preserve"> Osy qylyğy üşın Meibelldıñ eşqandai qymsynbağanyn körgende tıptı airan-asyr boldy.
</t>
    </r>
    <r>
      <rPr>
        <rFont val="Arial"/>
        <sz val="10"/>
        <b/>
      </rPr>
      <t>TRANSLATION:</t>
    </r>
    <r>
      <rPr>
        <rFont val="Arial"/>
        <sz val="10"/>
      </rPr>
      <t xml:space="preserve"> When she saw that Maybelle was not at all embarrassed about this conduct of hers, she was utterly astounded.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</si>
  <si>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Я не хочу, чтобы ему было стыдно перед другими маленькими зверюгами.
</t>
    </r>
    <r>
      <rPr>
        <rFont val="Arial"/>
        <sz val="10"/>
        <b/>
      </rPr>
      <t>TRANS:</t>
    </r>
    <r>
      <rPr>
        <rFont val="Arial"/>
        <sz val="10"/>
      </rPr>
      <t xml:space="preserve"> Ya ne khochu, chtoby emu bylo stydno pered drugimi malen'kimi zveryugami.
</t>
    </r>
    <r>
      <rPr>
        <rFont val="Arial"/>
        <sz val="10"/>
        <b/>
      </rPr>
      <t>TRANSLATION:</t>
    </r>
    <r>
      <rPr>
        <rFont val="Arial"/>
        <sz val="10"/>
      </rPr>
      <t xml:space="preserve"> I do not want him to be ashamed before other little brutes.</t>
    </r>
  </si>
  <si>
    <r>
      <rPr>
        <rFont val="Arial"/>
        <sz val="10"/>
        <b/>
      </rPr>
      <t>TERM:</t>
    </r>
    <r>
      <rPr>
        <rFont val="Arial"/>
        <sz val="10"/>
      </rPr>
      <t xml:space="preserve"> NAZAR (НАЗАР) — attention; notice; gaze [KED, SZK]
</t>
    </r>
    <r>
      <rPr>
        <rFont val="Arial"/>
        <sz val="10"/>
        <b/>
      </rPr>
      <t>PASSAGE:</t>
    </r>
    <r>
      <rPr>
        <rFont val="Arial"/>
        <sz val="10"/>
      </rPr>
      <t xml:space="preserve"> Өзге балалардың алдында назары төмен, көңілі пәс болғанын қаламаймын.
</t>
    </r>
    <r>
      <rPr>
        <rFont val="Arial"/>
        <sz val="10"/>
        <b/>
      </rPr>
      <t>TRANS:</t>
    </r>
    <r>
      <rPr>
        <rFont val="Arial"/>
        <sz val="10"/>
      </rPr>
      <t xml:space="preserve"> Özge balalardyñ aldynda nazary tömen, köñılı päs bolğanyn qalamaimyn.
</t>
    </r>
    <r>
      <rPr>
        <rFont val="Arial"/>
        <sz val="10"/>
        <b/>
      </rPr>
      <t>TRANSLATION:</t>
    </r>
    <r>
      <rPr>
        <rFont val="Arial"/>
        <sz val="10"/>
      </rPr>
      <t xml:space="preserve"> I do not want him to be downcast and dispirited before the other children.</t>
    </r>
  </si>
  <si>
    <r>
      <rPr>
        <rFont val="Arial"/>
        <sz val="10"/>
        <b/>
      </rPr>
      <t>TERM:</t>
    </r>
    <r>
      <rPr>
        <rFont val="Arial"/>
        <sz val="10"/>
      </rPr>
      <t xml:space="preserve"> stydilas' (стыдилась) — felt ashamed (3sg fem. past, impf.) [ORD] (lemma: стыдиться)
</t>
    </r>
    <r>
      <rPr>
        <rFont val="Arial"/>
        <sz val="10"/>
        <b/>
      </rPr>
      <t>PASSAGE:</t>
    </r>
    <r>
      <rPr>
        <rFont val="Arial"/>
        <sz val="10"/>
      </rPr>
      <t xml:space="preserve"> Вы думаете, я допущу, чтобы моя Бонни стыдилась своего отца?
</t>
    </r>
    <r>
      <rPr>
        <rFont val="Arial"/>
        <sz val="10"/>
        <b/>
      </rPr>
      <t>TRANS:</t>
    </r>
    <r>
      <rPr>
        <rFont val="Arial"/>
        <sz val="10"/>
      </rPr>
      <t xml:space="preserve"> Vy dumaete, ya dopushchu, chtoby moya Bonni stydilas' svoego ottsa?
</t>
    </r>
    <r>
      <rPr>
        <rFont val="Arial"/>
        <sz val="10"/>
        <b/>
      </rPr>
      <t>TRANSLATION:</t>
    </r>
    <r>
      <rPr>
        <rFont val="Arial"/>
        <sz val="10"/>
      </rPr>
      <t xml:space="preserve"> Do you think I will allow my Bonnie to be ashamed of her father?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</si>
  <si>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Боннидің өз әкесі үшін ұялғанын қалайды ғой деймісің мені?
</t>
    </r>
    <r>
      <rPr>
        <rFont val="Arial"/>
        <sz val="10"/>
        <b/>
      </rPr>
      <t>TRANS:</t>
    </r>
    <r>
      <rPr>
        <rFont val="Arial"/>
        <sz val="10"/>
      </rPr>
      <t xml:space="preserve"> Bonnidıñ öz äkesı üşın ūialğanyn qalaidy ğoi deimısıñ menı?
</t>
    </r>
    <r>
      <rPr>
        <rFont val="Arial"/>
        <sz val="10"/>
        <b/>
      </rPr>
      <t>TRANSLATION:</t>
    </r>
    <r>
      <rPr>
        <rFont val="Arial"/>
        <sz val="10"/>
      </rPr>
      <t xml:space="preserve"> Do you think I would want Bonnie to be ashamed of her own father?</t>
    </r>
  </si>
  <si>
    <r>
      <rPr>
        <rFont val="Arial"/>
        <sz val="10"/>
        <b/>
      </rPr>
      <t>TERM:</t>
    </r>
    <r>
      <rPr>
        <rFont val="Arial"/>
        <sz val="10"/>
      </rPr>
      <t xml:space="preserve"> smushchennyy (смущенный) — embarrassed; flustered (adj./past pass. part.) [ORD]
</t>
    </r>
    <r>
      <rPr>
        <rFont val="Arial"/>
        <sz val="10"/>
        <b/>
      </rPr>
      <t>PASSAGE:</t>
    </r>
    <r>
      <rPr>
        <rFont val="Arial"/>
        <sz val="10"/>
      </rPr>
      <t xml:space="preserve"> Почему не везете их домой?», он ни слова не ответил, но вид у него был смущенный.
</t>
    </r>
    <r>
      <rPr>
        <rFont val="Arial"/>
        <sz val="10"/>
        <b/>
      </rPr>
      <t>TRANS:</t>
    </r>
    <r>
      <rPr>
        <rFont val="Arial"/>
        <sz val="10"/>
      </rPr>
      <t xml:space="preserve"> Pochemu ne vezete ikh domoy?», on ni slova ne otvetil, no vid u nego byl smushchennyy.
</t>
    </r>
    <r>
      <rPr>
        <rFont val="Arial"/>
        <sz val="10"/>
        <b/>
      </rPr>
      <t>TRANSLATION:</t>
    </r>
    <r>
      <rPr>
        <rFont val="Arial"/>
        <sz val="10"/>
      </rPr>
      <t xml:space="preserve"> "Why don't you take them home?" — he didn't say a word in reply, but he had an embarrassed look.</t>
    </r>
  </si>
  <si>
    <r>
      <rPr>
        <rFont val="Arial"/>
        <sz val="10"/>
        <b/>
      </rPr>
      <t>TERM:</t>
    </r>
    <r>
      <rPr>
        <rFont val="Arial"/>
        <sz val="10"/>
      </rPr>
      <t xml:space="preserve"> TÜR (ТҮР) — appearance; look; form [KED, SZK]
</t>
    </r>
    <r>
      <rPr>
        <rFont val="Arial"/>
        <sz val="10"/>
        <b/>
      </rPr>
      <t>PASSAGE:</t>
    </r>
    <r>
      <rPr>
        <rFont val="Arial"/>
        <sz val="10"/>
      </rPr>
      <t xml:space="preserve"> жұмған аузын ашпады, бірақ түрі түтігіп кеткен.
</t>
    </r>
    <r>
      <rPr>
        <rFont val="Arial"/>
        <sz val="10"/>
        <b/>
      </rPr>
      <t>TRANS:</t>
    </r>
    <r>
      <rPr>
        <rFont val="Arial"/>
        <sz val="10"/>
      </rPr>
      <t xml:space="preserve"> jūmğan auzyn aşpady, bıraq türı tütıgıp ketken.
</t>
    </r>
    <r>
      <rPr>
        <rFont val="Arial"/>
        <sz val="10"/>
        <b/>
      </rPr>
      <t>TRANSLATION:</t>
    </r>
    <r>
      <rPr>
        <rFont val="Arial"/>
        <sz val="10"/>
      </rPr>
      <t xml:space="preserve"> he did not open his closed mouth, but his look had darkened.</t>
    </r>
  </si>
  <si>
    <r>
      <rPr>
        <rFont val="Arial"/>
        <sz val="10"/>
        <b/>
      </rPr>
      <t>TERM:</t>
    </r>
    <r>
      <rPr>
        <rFont val="Arial"/>
        <sz val="10"/>
      </rPr>
      <t xml:space="preserve"> muki (муки) — torments; agonies (pl.) [ORD] (lemma: мука)
</t>
    </r>
    <r>
      <rPr>
        <rFont val="Arial"/>
        <sz val="10"/>
        <b/>
      </rPr>
      <t>PASSAGE:</t>
    </r>
    <r>
      <rPr>
        <rFont val="Arial"/>
        <sz val="10"/>
      </rPr>
      <t xml:space="preserv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
    </r>
    <r>
      <rPr>
        <rFont val="Arial"/>
        <sz val="10"/>
        <b/>
      </rPr>
      <t>TRANS:</t>
    </r>
    <r>
      <rPr>
        <rFont val="Arial"/>
        <sz val="10"/>
      </rPr>
      <t xml:space="preserve"> «Kakoe schast'e, chto ya ne nadelena takoy nepomernoy stydlivost'yu», — podumala Skarlett, obertyvaya rvanym pen'yuarom izurodovannuyu golovu soldata i ne stol'ko vidya, skol'ko chuvstvuya, kakie muki ispytyvaet ot svoey nagoty Melani.
</t>
    </r>
    <r>
      <rPr>
        <rFont val="Arial"/>
        <sz val="10"/>
        <b/>
      </rPr>
      <t>TRANSLATION:</t>
    </r>
    <r>
      <rPr>
        <rFont val="Arial"/>
        <sz val="10"/>
      </rPr>
      <t xml:space="preserve"> "What luck that I am not endowed with such excessive modesty," thought Scarlett, wrapping the soldier's mutilated head in her torn dressing-gown and not so much seeing as feeling what torments Melanie was undergoing because of her nakedness.</t>
    </r>
  </si>
  <si>
    <r>
      <rPr>
        <rFont val="Arial"/>
        <sz val="10"/>
        <b/>
      </rPr>
      <t>TERM:</t>
    </r>
    <r>
      <rPr>
        <rFont val="Arial"/>
        <sz val="10"/>
      </rPr>
      <t xml:space="preserve"> AZAPTY (АЗАПТЫ) — tormented; painful [KED, SZK]
</t>
    </r>
    <r>
      <rPr>
        <rFont val="Arial"/>
        <sz val="10"/>
        <b/>
      </rPr>
      <t>PASSAGE:</t>
    </r>
    <r>
      <rPr>
        <rFont val="Arial"/>
        <sz val="10"/>
      </rPr>
      <t xml:space="preserve"> "Маған мұндай шамадан тыс ұялшақтық берілмегені қандай бақыт, - деп ойлады Скарлетт, Меланидің жалаңаштығынан қандай азапты сезінгеніне қарап
</t>
    </r>
    <r>
      <rPr>
        <rFont val="Arial"/>
        <sz val="10"/>
        <b/>
      </rPr>
      <t>TRANS:</t>
    </r>
    <r>
      <rPr>
        <rFont val="Arial"/>
        <sz val="10"/>
      </rPr>
      <t xml:space="preserve"> "Mağan mūndai şamadan tys ūialşaqtyq berılmegenı qandai baqyt, - dep oilady Skarlett, Melanidıñ jalañaştyğynan qandai azapty sezıngenıne qarap
</t>
    </r>
    <r>
      <rPr>
        <rFont val="Arial"/>
        <sz val="10"/>
        <b/>
      </rPr>
      <t>TRANSLATION:</t>
    </r>
    <r>
      <rPr>
        <rFont val="Arial"/>
        <sz val="10"/>
      </rPr>
      <t xml:space="preserve"> "What good fortune that I have not been given such excessive shyness," thought Scarlett, looking at what torments Melanie was suffering because of her nakedness</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</si>
  <si>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мне было так стыдно показываться вам…
</t>
    </r>
    <r>
      <rPr>
        <rFont val="Arial"/>
        <sz val="10"/>
        <b/>
      </rPr>
      <t>TRANS:</t>
    </r>
    <r>
      <rPr>
        <rFont val="Arial"/>
        <sz val="10"/>
      </rPr>
      <t xml:space="preserve"> A mne bylo tak stydno pokazyvat'sya vam…
</t>
    </r>
    <r>
      <rPr>
        <rFont val="Arial"/>
        <sz val="10"/>
        <b/>
      </rPr>
      <t>TRANSLATION:</t>
    </r>
    <r>
      <rPr>
        <rFont val="Arial"/>
        <sz val="10"/>
      </rPr>
      <t xml:space="preserve"> And I was so ashamed to show myself to you...</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</si>
  <si>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болсам, сізге көрінуге де ұялып жүр едім...
</t>
    </r>
    <r>
      <rPr>
        <rFont val="Arial"/>
        <sz val="10"/>
        <b/>
      </rPr>
      <t>TRANS:</t>
    </r>
    <r>
      <rPr>
        <rFont val="Arial"/>
        <sz val="10"/>
      </rPr>
      <t xml:space="preserve"> Men bolsam, sızge körınuge de ūialyp jür edım...
</t>
    </r>
    <r>
      <rPr>
        <rFont val="Arial"/>
        <sz val="10"/>
        <b/>
      </rPr>
      <t>TRANSLATION:</t>
    </r>
    <r>
      <rPr>
        <rFont val="Arial"/>
        <sz val="10"/>
      </rPr>
      <t xml:space="preserve"> As for me, I had been ashamed to be seen by you...</t>
    </r>
  </si>
  <si>
    <r>
      <rPr>
        <rFont val="Arial"/>
        <sz val="10"/>
        <b/>
      </rPr>
      <t>TERM:</t>
    </r>
    <r>
      <rPr>
        <rFont val="Arial"/>
        <sz val="10"/>
      </rPr>
      <t xml:space="preserve"> styda (стыда) — shame (genitive) [ORD] (lemma: стыд)
</t>
    </r>
    <r>
      <rPr>
        <rFont val="Arial"/>
        <sz val="10"/>
        <b/>
      </rPr>
      <t>PASSAGE:</t>
    </r>
    <r>
      <rPr>
        <rFont val="Arial"/>
        <sz val="10"/>
      </rPr>
      <t xml:space="preserve"> О, Эшли просто умрет со стыда и возненавидит меня за то, что я навлекла на него такое
</t>
    </r>
    <r>
      <rPr>
        <rFont val="Arial"/>
        <sz val="10"/>
        <b/>
      </rPr>
      <t>TRANS:</t>
    </r>
    <r>
      <rPr>
        <rFont val="Arial"/>
        <sz val="10"/>
      </rPr>
      <t xml:space="preserve"> O, Eshli prosto umret so styda i voznenavidit menya za to, chto ya navlekla na nego takoe
</t>
    </r>
    <r>
      <rPr>
        <rFont val="Arial"/>
        <sz val="10"/>
        <b/>
      </rPr>
      <t>TRANSLATION:</t>
    </r>
    <r>
      <rPr>
        <rFont val="Arial"/>
        <sz val="10"/>
      </rPr>
      <t xml:space="preserve"> Oh, Ashley would simply die of shame and would hate me for having brought such a thing upon him</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</si>
  <si>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Эшли осы жағдайға тап келтіргені үшін мұны өлердей жек көріп және өзі ұяттан өліп те кетуі мүмкін-ау.
</t>
    </r>
    <r>
      <rPr>
        <rFont val="Arial"/>
        <sz val="10"/>
        <b/>
      </rPr>
      <t>TRANS:</t>
    </r>
    <r>
      <rPr>
        <rFont val="Arial"/>
        <sz val="10"/>
      </rPr>
      <t xml:space="preserve"> Eşli osy jağdaiğa tap keltırgenı üşın mūny ölerdei jek körıp jäne özı ūiattan ölıp te ketuı mümkın-au.
</t>
    </r>
    <r>
      <rPr>
        <rFont val="Arial"/>
        <sz val="10"/>
        <b/>
      </rPr>
      <t>TRANSLATION:</t>
    </r>
    <r>
      <rPr>
        <rFont val="Arial"/>
        <sz val="10"/>
      </rPr>
      <t xml:space="preserve"> Ashley might hate this woman to death and might himself die of shame for having put him in this situation.</t>
    </r>
  </si>
  <si>
    <r>
      <rPr>
        <rFont val="Arial"/>
        <sz val="10"/>
        <b/>
      </rPr>
      <t>TERM:</t>
    </r>
    <r>
      <rPr>
        <rFont val="Arial"/>
        <sz val="10"/>
      </rPr>
      <t xml:space="preserve"> pozor (позор) — disgrace; shame; ignominy [ORD]
</t>
    </r>
    <r>
      <rPr>
        <rFont val="Arial"/>
        <sz val="10"/>
        <b/>
      </rPr>
      <t>PASSAGE:</t>
    </r>
    <r>
      <rPr>
        <rFont val="Arial"/>
        <sz val="10"/>
      </rPr>
      <t xml:space="preserv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
    </r>
    <r>
      <rPr>
        <rFont val="Arial"/>
        <sz val="10"/>
        <b/>
      </rPr>
      <t>TRANS:</t>
    </r>
    <r>
      <rPr>
        <rFont val="Arial"/>
        <sz val="10"/>
      </rPr>
      <t xml:space="preserve"> Zavtra ee uzhe ne budet presledovat' litso Eshli, vospominanie ob ego slomlennoy gordosti i pozore — pozore, kotoryy navlekla na nego ona, togda kak on byl ni v chem ne povinen.
</t>
    </r>
    <r>
      <rPr>
        <rFont val="Arial"/>
        <sz val="10"/>
        <b/>
      </rPr>
      <t>TRANSLATION:</t>
    </r>
    <r>
      <rPr>
        <rFont val="Arial"/>
        <sz val="10"/>
      </rPr>
      <t xml:space="preserve"> Tomorrow she would no longer be haunted by Ashley's face, the memory of his broken pride and his disgrace — disgrace which she had brought upon him, while he was guilty of nothing.</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</si>
  <si>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Оның Ричмонд пен Уилмингтондағы қызметі туралы қауесет Атландаға жетіп, бір кезде оны қонаққа шақырған барлық адамдарды ұятқа қалдырды.
</t>
    </r>
    <r>
      <rPr>
        <rFont val="Arial"/>
        <sz val="10"/>
        <b/>
      </rPr>
      <t>TRANS:</t>
    </r>
    <r>
      <rPr>
        <rFont val="Arial"/>
        <sz val="10"/>
      </rPr>
      <t xml:space="preserve"> Onyñ Richmond pen Uilmingtondağy qyzmetı turaly qaueset Atlandağa jetıp, bır kezde ony qonaqqa şaqyrğan barlyq adamdardy ūiatqa qaldyrdy.
</t>
    </r>
    <r>
      <rPr>
        <rFont val="Arial"/>
        <sz val="10"/>
        <b/>
      </rPr>
      <t>TRANSLATION:</t>
    </r>
    <r>
      <rPr>
        <rFont val="Arial"/>
        <sz val="10"/>
      </rPr>
      <t xml:space="preserve"> The talk about his service in Richmond and Wilmington reached Atlanta, and put to shame all those who had once invited him as a guest.</t>
    </r>
  </si>
  <si>
    <r>
      <rPr>
        <rFont val="Arial"/>
        <sz val="10"/>
        <b/>
      </rPr>
      <t>TERM:</t>
    </r>
    <r>
      <rPr>
        <rFont val="Arial"/>
        <sz val="10"/>
      </rPr>
      <t xml:space="preserve"> stydit'sya (стыдиться) — to feel ashamed (imperfective); pf. постыдиться/устыдиться [ORD]
</t>
    </r>
    <r>
      <rPr>
        <rFont val="Arial"/>
        <sz val="10"/>
        <b/>
      </rPr>
      <t>PASSAGE:</t>
    </r>
    <r>
      <rPr>
        <rFont val="Arial"/>
        <sz val="10"/>
      </rPr>
      <t xml:space="preserve"> вам нечего этого стыдиться.
</t>
    </r>
    <r>
      <rPr>
        <rFont val="Arial"/>
        <sz val="10"/>
        <b/>
      </rPr>
      <t>TRANS:</t>
    </r>
    <r>
      <rPr>
        <rFont val="Arial"/>
        <sz val="10"/>
      </rPr>
      <t xml:space="preserve"> vam nechego etogo stydit'sya.
</t>
    </r>
    <r>
      <rPr>
        <rFont val="Arial"/>
        <sz val="10"/>
        <b/>
      </rPr>
      <t>TRANSLATION:</t>
    </r>
    <r>
      <rPr>
        <rFont val="Arial"/>
        <sz val="10"/>
      </rPr>
      <t xml:space="preserve"> you have nothing to be ashamed of for that.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</si>
  <si>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сізге ол үшін ұялудың қажеті жоқ.
</t>
    </r>
    <r>
      <rPr>
        <rFont val="Arial"/>
        <sz val="10"/>
        <b/>
      </rPr>
      <t>TRANS:</t>
    </r>
    <r>
      <rPr>
        <rFont val="Arial"/>
        <sz val="10"/>
      </rPr>
      <t xml:space="preserve"> sızge ol üşın ūialudyñ qajetı joq.
</t>
    </r>
    <r>
      <rPr>
        <rFont val="Arial"/>
        <sz val="10"/>
        <b/>
      </rPr>
      <t>TRANSLATION:</t>
    </r>
    <r>
      <rPr>
        <rFont val="Arial"/>
        <sz val="10"/>
      </rPr>
      <t xml:space="preserve"> you have no need to feel ashamed for that.</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</si>
  <si>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Ему было до того стыдно — он не мог людям в глаза смотреть.
</t>
    </r>
    <r>
      <rPr>
        <rFont val="Arial"/>
        <sz val="10"/>
        <b/>
      </rPr>
      <t>TRANS:</t>
    </r>
    <r>
      <rPr>
        <rFont val="Arial"/>
        <sz val="10"/>
      </rPr>
      <t xml:space="preserve"> Emu bylo do togo stydno — on ne mog lyudyam v glaza smotret'.
</t>
    </r>
    <r>
      <rPr>
        <rFont val="Arial"/>
        <sz val="10"/>
        <b/>
      </rPr>
      <t>TRANSLATION:</t>
    </r>
    <r>
      <rPr>
        <rFont val="Arial"/>
        <sz val="10"/>
      </rPr>
      <t xml:space="preserve"> He was so ashamed — he could not look people in the eyes.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</si>
  <si>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Ол қатты ұялғаннан адамдардың бетіне тіке қарай алмай жүрді.
</t>
    </r>
    <r>
      <rPr>
        <rFont val="Arial"/>
        <sz val="10"/>
        <b/>
      </rPr>
      <t>TRANS:</t>
    </r>
    <r>
      <rPr>
        <rFont val="Arial"/>
        <sz val="10"/>
      </rPr>
      <t xml:space="preserve"> Ol qatty ūialğannan adamdardyñ betıne tıke qarai almai jürdı.
</t>
    </r>
    <r>
      <rPr>
        <rFont val="Arial"/>
        <sz val="10"/>
        <b/>
      </rPr>
      <t>TRANSLATION:</t>
    </r>
    <r>
      <rPr>
        <rFont val="Arial"/>
        <sz val="10"/>
      </rPr>
      <t xml:space="preserve"> He was so embarrassed that he could not look people directly in the face.</t>
    </r>
  </si>
  <si>
    <r>
      <rPr>
        <rFont val="Arial"/>
        <sz val="10"/>
        <b/>
      </rPr>
      <t>TERM:</t>
    </r>
    <r>
      <rPr>
        <rFont val="Arial"/>
        <sz val="10"/>
      </rPr>
      <t xml:space="preserve"> ustydit'sya (устыдиться) — to feel ashamed (perfective) [ORD]
</t>
    </r>
    <r>
      <rPr>
        <rFont val="Arial"/>
        <sz val="10"/>
        <b/>
      </rPr>
      <t>PASSAGE:</t>
    </r>
    <r>
      <rPr>
        <rFont val="Arial"/>
        <sz val="10"/>
      </rPr>
      <t xml:space="preserv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
    </r>
    <r>
      <rPr>
        <rFont val="Arial"/>
        <sz val="10"/>
        <b/>
      </rPr>
      <t>TRANS:</t>
    </r>
    <r>
      <rPr>
        <rFont val="Arial"/>
        <sz val="10"/>
      </rPr>
      <t xml:space="preserve"> No vmesto togo chtoby ustydit'sya stol' unizitel'nogo zanyatiya o kotorom bylo skazano vo vseuslyshanie, Rene raskhokhotalsya s dovol'nym vidom i khlopnul Kh'yu po spinу
</t>
    </r>
    <r>
      <rPr>
        <rFont val="Arial"/>
        <sz val="10"/>
        <b/>
      </rPr>
      <t>TRANSLATION:</t>
    </r>
    <r>
      <rPr>
        <rFont val="Arial"/>
        <sz val="10"/>
      </rPr>
      <t xml:space="preserve"> But instead of being ashamed of such a degrading occupation that had been mentioned for everyone to hear, Rene burst into laughter with a satisfied air and slapped Hugh on the back</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</si>
  <si>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Бірақ жұрттың бәрі естісе де янкилерге нан тасығанынан қысыла қоятын, өз ісін қорлық көріп тұрған Рене жоқ, өз-өзіне риза кейіпте қарқылдай күліп, Хьюдің арқасынан қағып қойды.
</t>
    </r>
    <r>
      <rPr>
        <rFont val="Arial"/>
        <sz val="10"/>
        <b/>
      </rPr>
      <t>TRANS:</t>
    </r>
    <r>
      <rPr>
        <rFont val="Arial"/>
        <sz val="10"/>
      </rPr>
      <t xml:space="preserve"> Bıraq jūrttyñ bärı estıse de iankilerge nan tasyğanynan qysyla qoiatyn, öz ısın qorlyq körıp tūrğan Rene joq, öz-özıne riza keiıpte qarqyldai külıp, Hüdıñ arqasynan qağyp qoidy.
</t>
    </r>
    <r>
      <rPr>
        <rFont val="Arial"/>
        <sz val="10"/>
        <b/>
      </rPr>
      <t>TRANSLATION:</t>
    </r>
    <r>
      <rPr>
        <rFont val="Arial"/>
        <sz val="10"/>
      </rPr>
      <t xml:space="preserve"> But Rene, who would have been embarrassed if everyone heard he was carting bread to the Yankees and considered his work degrading — there was no such Rene; with a self-satisfied air he laughed loudly and slapped Hugh on the back.</t>
    </r>
  </si>
  <si>
    <r>
      <rPr>
        <rFont val="Arial"/>
        <sz val="10"/>
        <b/>
      </rPr>
      <t>TERM:</t>
    </r>
    <r>
      <rPr>
        <rFont val="Arial"/>
        <sz val="10"/>
      </rPr>
      <t xml:space="preserve"> ustydit'sya (устыдиться) — to feel ashamed (perfective) [ORD]
</t>
    </r>
    <r>
      <rPr>
        <rFont val="Arial"/>
        <sz val="10"/>
        <b/>
      </rPr>
      <t>PASSAGE:</t>
    </r>
    <r>
      <rPr>
        <rFont val="Arial"/>
        <sz val="10"/>
      </rPr>
      <t xml:space="preserve"> А ведь должна была бы устыдиться, должна была бы бежать даже воспоминаний о жаркой, кружащей голову тьме!
</t>
    </r>
    <r>
      <rPr>
        <rFont val="Arial"/>
        <sz val="10"/>
        <b/>
      </rPr>
      <t>TRANS:</t>
    </r>
    <r>
      <rPr>
        <rFont val="Arial"/>
        <sz val="10"/>
      </rPr>
      <t xml:space="preserve"> A ved' dolzhna byla by ustydit'sya, dolzhna byla by bezhat' dazhe vospominaniy o zharkoy, kruzhashchey golovu t'me!
</t>
    </r>
    <r>
      <rPr>
        <rFont val="Arial"/>
        <sz val="10"/>
        <b/>
      </rPr>
      <t>TRANSLATION:</t>
    </r>
    <r>
      <rPr>
        <rFont val="Arial"/>
        <sz val="10"/>
      </rPr>
      <t xml:space="preserve"> And yet she should have been ashamed, should have fled even from the memories of that hot, head-spinning darkness!</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</si>
  <si>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Содан енді өзі ұялса керек еді ғой, лапылдай жанған отқа оранып, басы айналған түннің есіне түскен елесінен де қашуы керек емес пе?
</t>
    </r>
    <r>
      <rPr>
        <rFont val="Arial"/>
        <sz val="10"/>
        <b/>
      </rPr>
      <t>TRANS:</t>
    </r>
    <r>
      <rPr>
        <rFont val="Arial"/>
        <sz val="10"/>
      </rPr>
      <t xml:space="preserve"> Sodan endı özı ūialsa kerek edı ğoi, lapyldai janğan otqa oranyp, basy ainalğan tünnıñ esıne tüsken elesınen de qaşuy kerek emes pe?
</t>
    </r>
    <r>
      <rPr>
        <rFont val="Arial"/>
        <sz val="10"/>
        <b/>
      </rPr>
      <t>TRANSLATION:</t>
    </r>
    <r>
      <rPr>
        <rFont val="Arial"/>
        <sz val="10"/>
      </rPr>
      <t xml:space="preserve"> Should she not now be ashamed, should she not flee even from the appearing memory of that night, wrapped in flaming fire, that made her head spin?</t>
    </r>
  </si>
  <si>
    <r>
      <rPr>
        <rFont val="Arial"/>
        <sz val="10"/>
        <b/>
      </rPr>
      <t>TERM:</t>
    </r>
    <r>
      <rPr>
        <rFont val="Arial"/>
        <sz val="10"/>
      </rPr>
      <t xml:space="preserve"> postydnogo (постыдного) — shameful; ignominious (adj., gen.) [ORD] (lemma: постыдный)
</t>
    </r>
    <r>
      <rPr>
        <rFont val="Arial"/>
        <sz val="10"/>
        <b/>
      </rPr>
      <t>PASSAGE:</t>
    </r>
    <r>
      <rPr>
        <rFont val="Arial"/>
        <sz val="10"/>
      </rPr>
      <t xml:space="preserve"> Ничего нет постыдного в том, чтобы оставаться незамужней.
</t>
    </r>
    <r>
      <rPr>
        <rFont val="Arial"/>
        <sz val="10"/>
        <b/>
      </rPr>
      <t>TRANS:</t>
    </r>
    <r>
      <rPr>
        <rFont val="Arial"/>
        <sz val="10"/>
      </rPr>
      <t xml:space="preserve"> Nichego net postydnogo v tom, chtoby ostavat'sya nezamuzhney.
</t>
    </r>
    <r>
      <rPr>
        <rFont val="Arial"/>
        <sz val="10"/>
        <b/>
      </rPr>
      <t>TRANSLATION:</t>
    </r>
    <r>
      <rPr>
        <rFont val="Arial"/>
        <sz val="10"/>
      </rPr>
      <t xml:space="preserve"> There is nothing shameful about remaining unmarried.</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</si>
  <si>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Күйеуге шықпағанда тұрған ұят ештеңе жоқ.
</t>
    </r>
    <r>
      <rPr>
        <rFont val="Arial"/>
        <sz val="10"/>
        <b/>
      </rPr>
      <t>TRANS:</t>
    </r>
    <r>
      <rPr>
        <rFont val="Arial"/>
        <sz val="10"/>
      </rPr>
      <t xml:space="preserve"> Küieuge şyqpağanda tūrğan ūiat eşteñe joq.
</t>
    </r>
    <r>
      <rPr>
        <rFont val="Arial"/>
        <sz val="10"/>
        <b/>
      </rPr>
      <t>TRANSLATION:</t>
    </r>
    <r>
      <rPr>
        <rFont val="Arial"/>
        <sz val="10"/>
      </rPr>
      <t xml:space="preserve"> There is no shame in not having married.</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</si>
  <si>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
    </r>
    <r>
      <rPr>
        <rFont val="Arial"/>
        <sz val="10"/>
        <b/>
      </rPr>
      <t>TRANS:</t>
    </r>
    <r>
      <rPr>
        <rFont val="Arial"/>
        <sz val="10"/>
      </rPr>
      <t xml:space="preserve"> Poroy, glyadya, kak gosti sidyat na trave i popivayut chay — edinstvennyy napitok, kotoryy Uilksy v sostoyanii byli predlozhit', — Skarlett porazhalas', kak eto Melli ne styditsya vystavlyat' napokaz svoyu bednost'.
</t>
    </r>
    <r>
      <rPr>
        <rFont val="Arial"/>
        <sz val="10"/>
        <b/>
      </rPr>
      <t>TRANSLATION:</t>
    </r>
    <r>
      <rPr>
        <rFont val="Arial"/>
        <sz val="10"/>
      </rPr>
      <t xml:space="preserve"> At times, looking at the guests sitting on the grass and sipping tea — the only beverage the Wilkeses were able to offer — Scarlett was amazed that Melly was not ashamed of putting her poverty on display.</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</si>
  <si>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rFont val="Arial"/>
        <sz val="10"/>
        <b/>
      </rPr>
      <t>TRANS:</t>
    </r>
    <r>
      <rPr>
        <rFont val="Arial"/>
        <sz val="10"/>
      </rPr>
      <t xml:space="preserve"> Keide qonaqtardyñ şöp üstınde üi iesınıñ şamasy jetetın jalğyz susynyn - şaiyn ışıp otyrğandaryn körgende Skarlett Melanidıñ öz kedeilıgınen ūialmai, elge jaiyp körsetetınıne tañyrqaityn.
</t>
    </r>
    <r>
      <rPr>
        <rFont val="Arial"/>
        <sz val="10"/>
        <b/>
      </rPr>
      <t>TRANSLATION:</t>
    </r>
    <r>
      <rPr>
        <rFont val="Arial"/>
        <sz val="10"/>
      </rPr>
      <t xml:space="preserve"> Sometimes, when she saw the guests sitting on the grass drinking the only refreshment the host could afford — tea — Scarlett would be amazed that Melanie was not ashamed of her poverty and openly showed it to all.</t>
    </r>
  </si>
  <si>
    <r>
      <rPr>
        <rFont val="Arial"/>
        <sz val="10"/>
        <b/>
      </rPr>
      <t>TERM:</t>
    </r>
    <r>
      <rPr>
        <rFont val="Arial"/>
        <sz val="10"/>
      </rPr>
      <t xml:space="preserve"> besstydstva (бесстыдства) — shamelessness; impudence (gen.) [ORD] (lemma: бесстыдство)
</t>
    </r>
    <r>
      <rPr>
        <rFont val="Arial"/>
        <sz val="10"/>
        <b/>
      </rPr>
      <t>PASSAGE:</t>
    </r>
    <r>
      <rPr>
        <rFont val="Arial"/>
        <sz val="10"/>
      </rPr>
      <t xml:space="preserve"> и перед лицом такого бесстыдства она не переставала с изумлением вопрошать: куда идет мир?
</t>
    </r>
    <r>
      <rPr>
        <rFont val="Arial"/>
        <sz val="10"/>
        <b/>
      </rPr>
      <t>TRANS:</t>
    </r>
    <r>
      <rPr>
        <rFont val="Arial"/>
        <sz val="10"/>
      </rPr>
      <t xml:space="preserve"> i pered litsom takogo besstydstva ona ne perestavala s izumleniem voproshat': kuda idet mir?
</t>
    </r>
    <r>
      <rPr>
        <rFont val="Arial"/>
        <sz val="10"/>
        <b/>
      </rPr>
      <t>TRANSLATION:</t>
    </r>
    <r>
      <rPr>
        <rFont val="Arial"/>
        <sz val="10"/>
      </rPr>
      <t xml:space="preserve"> and faced with such shamelessness she did not cease asking in astonishment: where is the world heading?</t>
    </r>
  </si>
  <si>
    <r>
      <rPr>
        <rFont val="Arial"/>
        <sz val="10"/>
        <b/>
      </rPr>
      <t>TERM:</t>
    </r>
    <r>
      <rPr>
        <rFont val="Arial"/>
        <sz val="10"/>
      </rPr>
      <t xml:space="preserve"> ŪİATSYZDYQ (ҰЯТСЫЗДЫҚ) — shamelessness; impudence [KED, SZK]
</t>
    </r>
    <r>
      <rPr>
        <rFont val="Arial"/>
        <sz val="10"/>
        <b/>
      </rPr>
      <t>PASSAGE:</t>
    </r>
    <r>
      <rPr>
        <rFont val="Arial"/>
        <sz val="10"/>
      </rPr>
      <t xml:space="preserve"> ол мұндай ұятсыздыққа "бұл дүние не болып жатыр?" деп таңғалуын қоймады.
</t>
    </r>
    <r>
      <rPr>
        <rFont val="Arial"/>
        <sz val="10"/>
        <b/>
      </rPr>
      <t>TRANS:</t>
    </r>
    <r>
      <rPr>
        <rFont val="Arial"/>
        <sz val="10"/>
      </rPr>
      <t xml:space="preserve"> ol mūndai ūiatsyzdyqqa "būl dünie ne bolyp jatyr?" dep tañğaluyn qoimady.
</t>
    </r>
    <r>
      <rPr>
        <rFont val="Arial"/>
        <sz val="10"/>
        <b/>
      </rPr>
      <t>TRANSLATION:</t>
    </r>
    <r>
      <rPr>
        <rFont val="Arial"/>
        <sz val="10"/>
      </rPr>
      <t xml:space="preserve"> she did not stop being astonished at this shamelessness, asking, "What is happening to this world?"</t>
    </r>
  </si>
  <si>
    <r>
      <rPr>
        <rFont val="Arial"/>
        <sz val="10"/>
        <b/>
      </rPr>
      <t>TERM:</t>
    </r>
    <r>
      <rPr>
        <rFont val="Arial"/>
        <sz val="10"/>
      </rPr>
      <t xml:space="preserve"> ni maleyshego styda (ни малейшего стыда) — not the slightest shame [ORD] (lemma: стыд)
</t>
    </r>
    <r>
      <rPr>
        <rFont val="Arial"/>
        <sz val="10"/>
        <b/>
      </rPr>
      <t>PASSAGE:</t>
    </r>
    <r>
      <rPr>
        <rFont val="Arial"/>
        <sz val="10"/>
      </rPr>
      <t xml:space="preserve"> А Скарлетт и не испытывала ни малейшего стыда
</t>
    </r>
    <r>
      <rPr>
        <rFont val="Arial"/>
        <sz val="10"/>
        <b/>
      </rPr>
      <t>TRANS:</t>
    </r>
    <r>
      <rPr>
        <rFont val="Arial"/>
        <sz val="10"/>
      </rPr>
      <t xml:space="preserve"> A Skarlett i ne ispytyvala ni maleyshego styda
</t>
    </r>
    <r>
      <rPr>
        <rFont val="Arial"/>
        <sz val="10"/>
        <b/>
      </rPr>
      <t>TRANSLATION:</t>
    </r>
    <r>
      <rPr>
        <rFont val="Arial"/>
        <sz val="10"/>
      </rPr>
      <t xml:space="preserve"> And Scarlett did not feel the slightest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</si>
  <si>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Ал Скарлетт ешқандай да ұялған жоқ еді
</t>
    </r>
    <r>
      <rPr>
        <rFont val="Arial"/>
        <sz val="10"/>
        <b/>
      </rPr>
      <t>TRANS:</t>
    </r>
    <r>
      <rPr>
        <rFont val="Arial"/>
        <sz val="10"/>
      </rPr>
      <t xml:space="preserve"> Al Skarlett eşqandai da ūialğan joq edı
</t>
    </r>
    <r>
      <rPr>
        <rFont val="Arial"/>
        <sz val="10"/>
        <b/>
      </rPr>
      <t>TRANSLATION:</t>
    </r>
    <r>
      <rPr>
        <rFont val="Arial"/>
        <sz val="10"/>
      </rPr>
      <t xml:space="preserve"> And Scarlett was not in the least ashamed</t>
    </r>
  </si>
  <si>
    <r>
      <rPr>
        <rFont val="Arial"/>
        <sz val="10"/>
        <b/>
      </rPr>
      <t>TERM:</t>
    </r>
    <r>
      <rPr>
        <rFont val="Arial"/>
        <sz val="10"/>
      </rPr>
      <t xml:space="preserve"> styd (стыд) — shame; the feeling of having transgressed a moral or social norm [ORD]
</t>
    </r>
    <r>
      <rPr>
        <rFont val="Arial"/>
        <sz val="10"/>
        <b/>
      </rPr>
      <t>PASSAGE:</t>
    </r>
    <r>
      <rPr>
        <rFont val="Arial"/>
        <sz val="10"/>
      </rPr>
      <t xml:space="preserve"> Да я свой стыд давно похоронил!
</t>
    </r>
    <r>
      <rPr>
        <rFont val="Arial"/>
        <sz val="10"/>
        <b/>
      </rPr>
      <t>TRANS:</t>
    </r>
    <r>
      <rPr>
        <rFont val="Arial"/>
        <sz val="10"/>
      </rPr>
      <t xml:space="preserve"> Da ya svoy styd davno pokhoronil!
</t>
    </r>
    <r>
      <rPr>
        <rFont val="Arial"/>
        <sz val="10"/>
        <b/>
      </rPr>
      <t>TRANSLATION:</t>
    </r>
    <r>
      <rPr>
        <rFont val="Arial"/>
        <sz val="10"/>
      </rPr>
      <t xml:space="preserve"> Oh, I have buried my shame long ago!</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</si>
  <si>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Маған ба? Ой, саспа, мен ұятымды баяғыда жерлеп тастаған адаммын.
</t>
    </r>
    <r>
      <rPr>
        <rFont val="Arial"/>
        <sz val="10"/>
        <b/>
      </rPr>
      <t>TRANS:</t>
    </r>
    <r>
      <rPr>
        <rFont val="Arial"/>
        <sz val="10"/>
      </rPr>
      <t xml:space="preserve"> Mağan ba? Oi, saspa, men ūiatymdy baiağyda jerlep tastağan adammyn.
</t>
    </r>
    <r>
      <rPr>
        <rFont val="Arial"/>
        <sz val="10"/>
        <b/>
      </rPr>
      <t>TRANSLATION:</t>
    </r>
    <r>
      <rPr>
        <rFont val="Arial"/>
        <sz val="10"/>
      </rPr>
      <t xml:space="preserve"> Me? Oh, don't worry, I am a man who buried my shame long ago.</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</si>
  <si>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Мне стыдно, что ты плачешь.
</t>
    </r>
    <r>
      <rPr>
        <rFont val="Arial"/>
        <sz val="10"/>
        <b/>
      </rPr>
      <t>TRANS:</t>
    </r>
    <r>
      <rPr>
        <rFont val="Arial"/>
        <sz val="10"/>
      </rPr>
      <t xml:space="preserve"> Mne stydno, chto ty plachesh'.
</t>
    </r>
    <r>
      <rPr>
        <rFont val="Arial"/>
        <sz val="10"/>
        <b/>
      </rPr>
      <t>TRANSLATION:</t>
    </r>
    <r>
      <rPr>
        <rFont val="Arial"/>
        <sz val="10"/>
      </rPr>
      <t xml:space="preserve"> I am ashamed that you are crying.</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</si>
  <si>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Сенің көз жасың үшін мен қатты қысылып отырмын.
</t>
    </r>
    <r>
      <rPr>
        <rFont val="Arial"/>
        <sz val="10"/>
        <b/>
      </rPr>
      <t>TRANS:</t>
    </r>
    <r>
      <rPr>
        <rFont val="Arial"/>
        <sz val="10"/>
      </rPr>
      <t xml:space="preserve"> Senıñ köz jasyñ üşın men qatty qysylyp otyrmyn.
</t>
    </r>
    <r>
      <rPr>
        <rFont val="Arial"/>
        <sz val="10"/>
        <b/>
      </rPr>
      <t>TRANSLATION:</t>
    </r>
    <r>
      <rPr>
        <rFont val="Arial"/>
        <sz val="10"/>
      </rPr>
      <t xml:space="preserve"> I am very embarrassed for your tears.</t>
    </r>
  </si>
  <si>
    <r>
      <rPr>
        <rFont val="Arial"/>
        <sz val="10"/>
        <b/>
      </rPr>
      <t>TERM:</t>
    </r>
    <r>
      <rPr>
        <rFont val="Arial"/>
        <sz val="10"/>
      </rPr>
      <t xml:space="preserve"> Postydilsya (Постыдился) — felt ashamed (pf.); refrained out of shame [ORD] (lemma: постыдиться)
</t>
    </r>
    <r>
      <rPr>
        <rFont val="Arial"/>
        <sz val="10"/>
        <b/>
      </rPr>
      <t>PASSAGE:</t>
    </r>
    <r>
      <rPr>
        <rFont val="Arial"/>
        <sz val="10"/>
      </rPr>
      <t xml:space="preserve"> Постыдился бы даже показываться на ней: ведь могут подумать, будто у него нет своей лошади.
</t>
    </r>
    <r>
      <rPr>
        <rFont val="Arial"/>
        <sz val="10"/>
        <b/>
      </rPr>
      <t>TRANS:</t>
    </r>
    <r>
      <rPr>
        <rFont val="Arial"/>
        <sz val="10"/>
      </rPr>
      <t xml:space="preserve"> Postydilsya by dazhe pokazyvat'sya na ney: ved' mogut podumat', budto u nego net svoey loshadi.
</t>
    </r>
    <r>
      <rPr>
        <rFont val="Arial"/>
        <sz val="10"/>
        <b/>
      </rPr>
      <t>TRANSLATION:</t>
    </r>
    <r>
      <rPr>
        <rFont val="Arial"/>
        <sz val="10"/>
      </rPr>
      <t xml:space="preserve"> He would be ashamed even to show himself on her, for people might think he had no horse of his own.</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</si>
  <si>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Бұған көрінуге де ұялмайды өзі.
</t>
    </r>
    <r>
      <rPr>
        <rFont val="Arial"/>
        <sz val="10"/>
        <b/>
      </rPr>
      <t>TRANS:</t>
    </r>
    <r>
      <rPr>
        <rFont val="Arial"/>
        <sz val="10"/>
      </rPr>
      <t xml:space="preserve"> Būğan körınuge de ūialmaidy özı.
</t>
    </r>
    <r>
      <rPr>
        <rFont val="Arial"/>
        <sz val="10"/>
        <b/>
      </rPr>
      <t>TRANSLATION:</t>
    </r>
    <r>
      <rPr>
        <rFont val="Arial"/>
        <sz val="10"/>
      </rPr>
      <t xml:space="preserve"> He himself would not even be ashamed to be seen on her.</t>
    </r>
  </si>
  <si>
    <r>
      <rPr>
        <rFont val="Arial"/>
        <sz val="10"/>
        <b/>
      </rPr>
      <t>TERM:</t>
    </r>
    <r>
      <rPr>
        <rFont val="Arial"/>
        <sz val="10"/>
      </rPr>
      <t xml:space="preserve"> opozorili (опозорили) — they disgraced (pf. past pl.) [ORD] (lemma: опозорить)
</t>
    </r>
    <r>
      <rPr>
        <rFont val="Arial"/>
        <sz val="10"/>
        <b/>
      </rPr>
      <t>PASSAGE:</t>
    </r>
    <r>
      <rPr>
        <rFont val="Arial"/>
        <sz val="10"/>
      </rPr>
      <t xml:space="preserv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
    </r>
    <r>
      <rPr>
        <rFont val="Arial"/>
        <sz val="10"/>
        <b/>
      </rPr>
      <t>TRANS:</t>
    </r>
    <r>
      <rPr>
        <rFont val="Arial"/>
        <sz val="10"/>
      </rPr>
      <t xml:space="preserve"> A vy… vy… vy vse sdelali, chtoby uronit' prestizh prilichnykh lyudey: stali rabotat' i opozorili khoroshego muzha, davaya povod yanki i vsemu sbrodu smeyat'sya nad nami i delat' raznye oskorbitel'nye zamechaniya naschet togo, chto nikakie my, deskat', ne aristokraty.
</t>
    </r>
    <r>
      <rPr>
        <rFont val="Arial"/>
        <sz val="10"/>
        <b/>
      </rPr>
      <t>TRANSLATION:</t>
    </r>
    <r>
      <rPr>
        <rFont val="Arial"/>
        <sz val="10"/>
      </rPr>
      <t xml:space="preserve"> And you... you... you have done everything to undermine the prestige of decent people: you took to working and disgraced a good husband, giving the Yankees and all the rabble cause to laugh at us and to make all sorts of insulting remarks about how we are no aristocrats at all.</t>
    </r>
  </si>
  <si>
    <r>
      <rPr>
        <rFont val="Arial"/>
        <sz val="10"/>
        <b/>
      </rPr>
      <t>TERM:</t>
    </r>
    <r>
      <rPr>
        <rFont val="Arial"/>
        <sz val="10"/>
      </rPr>
      <t xml:space="preserve"> KÜLKI (КҮЛКІ) — laughter; mockery; object of mockery [KED, SZK]
</t>
    </r>
    <r>
      <rPr>
        <rFont val="Arial"/>
        <sz val="10"/>
        <b/>
      </rPr>
      <t>PASSAGE:</t>
    </r>
    <r>
      <rPr>
        <rFont val="Arial"/>
        <sz val="10"/>
      </rPr>
      <t xml:space="preserve"> Ал сіз... сіз... Зиялы адамдардың мәртебесін түсіру үшін бәрін жасадыңыз: жұмыс істедіңіз, тым жақсы күйеуіңізді ел алдында күлкіге қалдырдыңыз
</t>
    </r>
    <r>
      <rPr>
        <rFont val="Arial"/>
        <sz val="10"/>
        <b/>
      </rPr>
      <t>TRANS:</t>
    </r>
    <r>
      <rPr>
        <rFont val="Arial"/>
        <sz val="10"/>
      </rPr>
      <t xml:space="preserve"> Al sız... sız... Zialy adamdardyñ märtebesın tüsıru üşın bärın jasadyñyz: jūmys ıstedıñız, tym jaqsy küieuıñızdı el aldynda külkıge qaldyrdyñyz
</t>
    </r>
    <r>
      <rPr>
        <rFont val="Arial"/>
        <sz val="10"/>
        <b/>
      </rPr>
      <t>TRANSLATION:</t>
    </r>
    <r>
      <rPr>
        <rFont val="Arial"/>
        <sz val="10"/>
      </rPr>
      <t xml:space="preserve"> And you... you... you did everything to bring down the standing of respectable people: you went to work, you put your too-good husband to shame before everyone</t>
    </r>
  </si>
  <si>
    <r>
      <rPr>
        <rFont val="Arial"/>
        <sz val="10"/>
        <b/>
      </rPr>
      <t>TERM:</t>
    </r>
    <r>
      <rPr>
        <rFont val="Arial"/>
        <sz val="10"/>
      </rPr>
      <t xml:space="preserve"> opozorennaya (опозоренная) — disgraced (past pass. part. fem.) [ORD] (lemma: опозоренный)
</t>
    </r>
    <r>
      <rPr>
        <rFont val="Arial"/>
        <sz val="10"/>
        <b/>
      </rPr>
      <t>PASSAGE:</t>
    </r>
    <r>
      <rPr>
        <rFont val="Arial"/>
        <sz val="10"/>
      </rPr>
      <t xml:space="preserve"> Она просто не в силах предстать перед ним сегодня — опозоренная, испуганная, трясущаяся.
</t>
    </r>
    <r>
      <rPr>
        <rFont val="Arial"/>
        <sz val="10"/>
        <b/>
      </rPr>
      <t>TRANS:</t>
    </r>
    <r>
      <rPr>
        <rFont val="Arial"/>
        <sz val="10"/>
      </rPr>
      <t xml:space="preserve"> Ona prosto ne v silakh predstat' pered nim segodnya — opozorennaya, ispugannaya, tryasushchayasya.
</t>
    </r>
    <r>
      <rPr>
        <rFont val="Arial"/>
        <sz val="10"/>
        <b/>
      </rPr>
      <t>TRANSLATION:</t>
    </r>
    <r>
      <rPr>
        <rFont val="Arial"/>
        <sz val="10"/>
      </rPr>
      <t xml:space="preserve"> She simply did not have the strength to appear before him today — disgraced, frightened, trembling.</t>
    </r>
  </si>
  <si>
    <r>
      <rPr>
        <rFont val="Arial"/>
        <sz val="10"/>
        <b/>
      </rPr>
      <t>TERM:</t>
    </r>
    <r>
      <rPr>
        <rFont val="Arial"/>
        <sz val="10"/>
      </rPr>
      <t xml:space="preserve"> DÄRMENSIZ (ДӘРМЕНСІЗ) — helpless; powerless [KED, SZK]
</t>
    </r>
    <r>
      <rPr>
        <rFont val="Arial"/>
        <sz val="10"/>
        <b/>
      </rPr>
      <t>PASSAGE:</t>
    </r>
    <r>
      <rPr>
        <rFont val="Arial"/>
        <sz val="10"/>
      </rPr>
      <t xml:space="preserve"> Тап бүгін бойын үрей билеген, қалтырап-дірілдеген, дәрменсіз күйінде оның алдында тұрар халі де жоқ.
</t>
    </r>
    <r>
      <rPr>
        <rFont val="Arial"/>
        <sz val="10"/>
        <b/>
      </rPr>
      <t>TRANS:</t>
    </r>
    <r>
      <rPr>
        <rFont val="Arial"/>
        <sz val="10"/>
      </rPr>
      <t xml:space="preserve"> Tap bügın boiyn ürei bilegen, qaltyrap-dırıldegen, därmensız küiınde onyñ aldynda tūrar halı de joq.
</t>
    </r>
    <r>
      <rPr>
        <rFont val="Arial"/>
        <sz val="10"/>
        <b/>
      </rPr>
      <t>TRANSLATION:</t>
    </r>
    <r>
      <rPr>
        <rFont val="Arial"/>
        <sz val="10"/>
      </rPr>
      <t xml:space="preserve"> Today, with terror gripping her body, trembling and shaking, helpless, she had no condition to stand before him.</t>
    </r>
  </si>
  <si>
    <r>
      <rPr>
        <rFont val="Arial"/>
        <sz val="10"/>
        <b/>
      </rPr>
      <t>TERM:</t>
    </r>
    <r>
      <rPr>
        <rFont val="Arial"/>
        <sz val="10"/>
      </rPr>
      <t xml:space="preserve"> pozoru (позору) — disgrace (dat.) [ORD] (lemma: позор)
</t>
    </r>
    <r>
      <rPr>
        <rFont val="Arial"/>
        <sz val="10"/>
        <b/>
      </rPr>
      <t>PASSAGE:</t>
    </r>
    <r>
      <rPr>
        <rFont val="Arial"/>
        <sz val="10"/>
      </rPr>
      <t xml:space="preserve"> Ретт покинул город час тому назад с Бонни и Присси, и к позору и злости Скарлетт прибавилось отчаяние.
</t>
    </r>
    <r>
      <rPr>
        <rFont val="Arial"/>
        <sz val="10"/>
        <b/>
      </rPr>
      <t>TRANS:</t>
    </r>
    <r>
      <rPr>
        <rFont val="Arial"/>
        <sz val="10"/>
      </rPr>
      <t xml:space="preserve"> Rett pokinul gorod chas tomu nazad s Bonni i Prissi, i k pozoru i zlosti Skarlett pribavilos' otchayanie.
</t>
    </r>
    <r>
      <rPr>
        <rFont val="Arial"/>
        <sz val="10"/>
        <b/>
      </rPr>
      <t>TRANSLATION:</t>
    </r>
    <r>
      <rPr>
        <rFont val="Arial"/>
        <sz val="10"/>
      </rPr>
      <t xml:space="preserve"> Rhett had left the city an hour ago with Bonnie and Prissy, and to Scarlett's disgrace and anger was added despair.</t>
    </r>
  </si>
  <si>
    <r>
      <rPr>
        <rFont val="Arial"/>
        <sz val="10"/>
        <b/>
      </rPr>
      <t>TERM:</t>
    </r>
    <r>
      <rPr>
        <rFont val="Arial"/>
        <sz val="10"/>
      </rPr>
      <t xml:space="preserve"> MASQARA (МАСҚАРА) — disgrace; scandal; outrage (acute) [KED, SZK]
</t>
    </r>
    <r>
      <rPr>
        <rFont val="Arial"/>
        <sz val="10"/>
        <b/>
      </rPr>
      <t>PASSAGE:</t>
    </r>
    <r>
      <rPr>
        <rFont val="Arial"/>
        <sz val="10"/>
      </rPr>
      <t xml:space="preserve"> Ретт осыдан бір сағат бұрын өзімен бірге Бонни мен Приссиді алып, қаладан кетіп қалған еді, сондықтан да Скарлеттің іштей өртенген масқара өкінішіне енді тағы ашу-ызасы мен шарасыздығы қосылды.
</t>
    </r>
    <r>
      <rPr>
        <rFont val="Arial"/>
        <sz val="10"/>
        <b/>
      </rPr>
      <t>TRANS:</t>
    </r>
    <r>
      <rPr>
        <rFont val="Arial"/>
        <sz val="10"/>
      </rPr>
      <t xml:space="preserve"> Rett osydan bır sağat būryn özımen bırge Bonni men Prissidı alyp, qaladan ketıp qalğan edı, sondyqtan da Skarlettıñ ıştei örtengen masqara ökınışıne endı tağy aşu-yzasy men şarasyzdyğy qosyldy.
</t>
    </r>
    <r>
      <rPr>
        <rFont val="Arial"/>
        <sz val="10"/>
        <b/>
      </rPr>
      <t>TRANSLATION:</t>
    </r>
    <r>
      <rPr>
        <rFont val="Arial"/>
        <sz val="10"/>
      </rPr>
      <t xml:space="preserve"> Rhett had taken Bonnie and Prissy with him and left the city an hour ago, so to Scarlett's inwardly burning shameful regret were now added anger and helplessness.</t>
    </r>
  </si>
  <si>
    <r>
      <rPr>
        <rFont val="Arial"/>
        <sz val="10"/>
        <b/>
      </rPr>
      <t>TERM:</t>
    </r>
    <r>
      <rPr>
        <rFont val="Arial"/>
        <sz val="10"/>
      </rPr>
      <t xml:space="preserve"> stydit' (стыдить) — to shame (someone) (imperfective) [ORD]
</t>
    </r>
    <r>
      <rPr>
        <rFont val="Arial"/>
        <sz val="10"/>
        <b/>
      </rPr>
      <t>PASSAGE:</t>
    </r>
    <r>
      <rPr>
        <rFont val="Arial"/>
        <sz val="10"/>
      </rPr>
      <t xml:space="preserv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
    </r>
    <r>
      <rPr>
        <rFont val="Arial"/>
        <sz val="10"/>
        <b/>
      </rPr>
      <t>TRANS:</t>
    </r>
    <r>
      <rPr>
        <rFont val="Arial"/>
        <sz val="10"/>
      </rPr>
      <t xml:space="preserve"> No ona uzhe ne mogla obvinyat' Retta, ne mogla ustraivat' emu burnye stseny, trebovat' vernosti ili stydit' ego — kak ne mogla zastavit' sebya prosit' u nego proshcheniya za to, chto obvinila ego v smerti Bonni.
</t>
    </r>
    <r>
      <rPr>
        <rFont val="Arial"/>
        <sz val="10"/>
        <b/>
      </rPr>
      <t>TRANSLATION:</t>
    </r>
    <r>
      <rPr>
        <rFont val="Arial"/>
        <sz val="10"/>
      </rPr>
      <t xml:space="preserve"> But she could no longer accuse Rhett, could no longer make stormy scenes, demand fidelity or shame him — just as she could not bring herself to ask his forgiveness for accusing him of Bonnie's death.</t>
    </r>
  </si>
  <si>
    <r>
      <rPr>
        <rFont val="Arial"/>
        <sz val="10"/>
        <b/>
      </rPr>
      <t>TERM:</t>
    </r>
    <r>
      <rPr>
        <rFont val="Arial"/>
        <sz val="10"/>
      </rPr>
      <t xml:space="preserve"> SALMAQ (САЛМАҚ) — weight; burden [KED, SZK]
</t>
    </r>
    <r>
      <rPr>
        <rFont val="Arial"/>
        <sz val="10"/>
        <b/>
      </rPr>
      <t>PASSAGE:</t>
    </r>
    <r>
      <rPr>
        <rFont val="Arial"/>
        <sz val="10"/>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салмақ сала алмайды.
</t>
    </r>
    <r>
      <rPr>
        <rFont val="Arial"/>
        <sz val="10"/>
        <b/>
      </rPr>
      <t>TRANS:</t>
    </r>
    <r>
      <rPr>
        <rFont val="Arial"/>
        <sz val="10"/>
      </rPr>
      <t xml:space="preserve"> Bıraq özı endı Rettı kınälai da almaidy, qyzğanyştyñ qyzyl itın abalatyp, jer teuıp tūryp, talap ta qoia almaidy, adaldyqty mındettep, ūiatyna da salmaq sala almaidy.
</t>
    </r>
    <r>
      <rPr>
        <rFont val="Arial"/>
        <sz val="10"/>
        <b/>
      </rPr>
      <t>TRANSLATION:</t>
    </r>
    <r>
      <rPr>
        <rFont val="Arial"/>
        <sz val="10"/>
      </rPr>
      <t xml:space="preserve"> But she could no longer even blame Rhett, could no longer set loose the red dog of jealousy, stamp her foot and make demands, oblige him to faithfulness and lay the burden on his conscience.</t>
    </r>
  </si>
  <si>
    <r>
      <rPr>
        <rFont val="Arial"/>
        <sz val="10"/>
        <b/>
      </rPr>
      <t>TERM:</t>
    </r>
    <r>
      <rPr>
        <rFont val="Arial"/>
        <sz val="10"/>
      </rPr>
      <t xml:space="preserve"> pozore (позоре) — disgrace (prep.) [ORD] (lemma: позор)
</t>
    </r>
    <r>
      <rPr>
        <rFont val="Arial"/>
        <sz val="10"/>
        <b/>
      </rPr>
      <t>PASSAGE:</t>
    </r>
    <r>
      <rPr>
        <rFont val="Arial"/>
        <sz val="10"/>
      </rPr>
      <t xml:space="preserve"> — Им уже, без сомнения, известно — как, впрочем, и всем остальным — о нашем позоре.
</t>
    </r>
    <r>
      <rPr>
        <rFont val="Arial"/>
        <sz val="10"/>
        <b/>
      </rPr>
      <t>TRANS:</t>
    </r>
    <r>
      <rPr>
        <rFont val="Arial"/>
        <sz val="10"/>
      </rPr>
      <t xml:space="preserve"> — Im uzhe, bez somneniya, izvestno — kak, vprochem, i vsem ostal'nym — o nashem pozore.
</t>
    </r>
    <r>
      <rPr>
        <rFont val="Arial"/>
        <sz val="10"/>
        <b/>
      </rPr>
      <t>TRANSLATION:</t>
    </r>
    <r>
      <rPr>
        <rFont val="Arial"/>
        <sz val="10"/>
      </rPr>
      <t xml:space="preserve"> They no doubt already know — as do all the rest — of our disgrace.</t>
    </r>
  </si>
  <si>
    <r>
      <rPr>
        <rFont val="Arial"/>
        <sz val="10"/>
        <b/>
      </rPr>
      <t>TERM:</t>
    </r>
    <r>
      <rPr>
        <rFont val="Arial"/>
        <sz val="10"/>
      </rPr>
      <t xml:space="preserve"> MASQARA (МАСҚАРА) — disgrace; scandal; outrage (acute) [KED, SZK]
</t>
    </r>
    <r>
      <rPr>
        <rFont val="Arial"/>
        <sz val="10"/>
        <b/>
      </rPr>
      <t>PASSAGE:</t>
    </r>
    <r>
      <rPr>
        <rFont val="Arial"/>
        <sz val="10"/>
      </rPr>
      <t xml:space="preserve"> Басқалар сияқты олар да біздің масқарамыз туралы білетіні сөзсіз.
</t>
    </r>
    <r>
      <rPr>
        <rFont val="Arial"/>
        <sz val="10"/>
        <b/>
      </rPr>
      <t>TRANS:</t>
    </r>
    <r>
      <rPr>
        <rFont val="Arial"/>
        <sz val="10"/>
      </rPr>
      <t xml:space="preserve"> Basqalar siyaqty olar da bizdiñ masqaramyz turaly biletini sözsiz.
</t>
    </r>
    <r>
      <rPr>
        <rFont val="Arial"/>
        <sz val="10"/>
        <b/>
      </rPr>
      <t>TRANSLATION:</t>
    </r>
    <r>
      <rPr>
        <rFont val="Arial"/>
        <sz val="10"/>
      </rPr>
      <t xml:space="preserve"> No doubt they, like the others, also know about our disgrace.</t>
    </r>
  </si>
  <si>
    <r>
      <rPr>
        <rFont val="Arial"/>
        <sz val="10"/>
        <b/>
      </rPr>
      <t>TERM:</t>
    </r>
    <r>
      <rPr>
        <rFont val="Arial"/>
        <sz val="10"/>
      </rPr>
      <t xml:space="preserve"> sgorat' so styda! (сгорать со стыда!) = burn with shame
</t>
    </r>
    <r>
      <rPr>
        <rFont val="Arial"/>
        <sz val="10"/>
        <b/>
      </rPr>
      <t>PASSAGE:</t>
    </r>
    <r>
      <rPr>
        <rFont val="Arial"/>
        <sz val="10"/>
      </rPr>
      <t xml:space="preserve"> Разумеется, вы должны сгорать со стыда!
</t>
    </r>
    <r>
      <rPr>
        <rFont val="Arial"/>
        <sz val="10"/>
        <b/>
      </rPr>
      <t>TRANS:</t>
    </r>
    <r>
      <rPr>
        <rFont val="Arial"/>
        <sz val="10"/>
      </rPr>
      <t xml:space="preserve"> Razumeetsya, vy dolzhny sgorat' so styda!
</t>
    </r>
    <r>
      <rPr>
        <rFont val="Arial"/>
        <sz val="10"/>
        <b/>
      </rPr>
      <t>TRANSLATION:</t>
    </r>
    <r>
      <rPr>
        <rFont val="Arial"/>
        <sz val="10"/>
      </rPr>
      <t xml:space="preserve"> Of course, you must be burning up with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</si>
  <si>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Әрине, ұяттан бетіңіздің оты шығып, күйіп қалуыңыз керек!
</t>
    </r>
    <r>
      <rPr>
        <rFont val="Arial"/>
        <sz val="10"/>
        <b/>
      </rPr>
      <t>TRANS:</t>
    </r>
    <r>
      <rPr>
        <rFont val="Arial"/>
        <sz val="10"/>
      </rPr>
      <t xml:space="preserve"> Ärine, ūiattan betıñızdıñ oty şyğyp, küiıp qaluyñyz kerek!
</t>
    </r>
    <r>
      <rPr>
        <rFont val="Arial"/>
        <sz val="10"/>
        <b/>
      </rPr>
      <t>TRANSLATION:</t>
    </r>
    <r>
      <rPr>
        <rFont val="Arial"/>
        <sz val="10"/>
      </rPr>
      <t xml:space="preserve"> Of course, the fire of shame should come out of your face and scorch you!</t>
    </r>
  </si>
  <si>
    <r>
      <rPr>
        <rFont val="Arial"/>
        <sz val="10"/>
        <b/>
      </rPr>
      <t>TERM:</t>
    </r>
    <r>
      <rPr>
        <rFont val="Arial"/>
        <sz val="10"/>
      </rPr>
      <t xml:space="preserve"> Postydilis' (Постыдились) — should have been ashamed (pl., reproachful) [ORD] (lemma: постыдиться)
</t>
    </r>
    <r>
      <rPr>
        <rFont val="Arial"/>
        <sz val="10"/>
        <b/>
      </rPr>
      <t>PASSAGE:</t>
    </r>
    <r>
      <rPr>
        <rFont val="Arial"/>
        <sz val="10"/>
      </rPr>
      <t xml:space="preserve"> Постыдились бы сравнивать такого благородного человека, как Эшли, с этим подонком, капитаном Батлером!
</t>
    </r>
    <r>
      <rPr>
        <rFont val="Arial"/>
        <sz val="10"/>
        <b/>
      </rPr>
      <t>TRANS:</t>
    </r>
    <r>
      <rPr>
        <rFont val="Arial"/>
        <sz val="10"/>
      </rPr>
      <t xml:space="preserve"> Postydilis' by sravnivat' takogo blagorodnogo cheloveka, kak Eshli, s etim podonkom, kapitanom Batlerom!
</t>
    </r>
    <r>
      <rPr>
        <rFont val="Arial"/>
        <sz val="10"/>
        <b/>
      </rPr>
      <t>TRANSLATION:</t>
    </r>
    <r>
      <rPr>
        <rFont val="Arial"/>
        <sz val="10"/>
      </rPr>
      <t xml:space="preserve"> You ought to be ashamed of yourselves for comparing such a noble man as Ashley with that scoundrel, Captain Butler!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</si>
  <si>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Сіз Эшли сияқты асыл адамды сол арсыз Батлер капитанмен салыстыруға ұялсаңызшы!
</t>
    </r>
    <r>
      <rPr>
        <rFont val="Arial"/>
        <sz val="10"/>
        <b/>
      </rPr>
      <t>TRANS:</t>
    </r>
    <r>
      <rPr>
        <rFont val="Arial"/>
        <sz val="10"/>
      </rPr>
      <t xml:space="preserve"> Sız Eşli siaqty asyl adamdy sol arsyz Batler kapitanmen salystyruğa ūialsañyzşy!
</t>
    </r>
    <r>
      <rPr>
        <rFont val="Arial"/>
        <sz val="10"/>
        <b/>
      </rPr>
      <t>TRANSLATION:</t>
    </r>
    <r>
      <rPr>
        <rFont val="Arial"/>
        <sz val="10"/>
      </rPr>
      <t xml:space="preserve"> You should be ashamed of comparing such a noble man as Ashley with that shameless Captain Butler!</t>
    </r>
  </si>
  <si>
    <r>
      <rPr>
        <rFont val="Arial"/>
        <sz val="10"/>
        <b/>
      </rPr>
      <t>TERM:</t>
    </r>
    <r>
      <rPr>
        <rFont val="Arial"/>
        <sz val="10"/>
      </rPr>
      <t xml:space="preserve"> ŪİALU (ҰЯЛУ) — to feel ashamed; to feel shy or embarrassed [KED, SZK]
</t>
    </r>
    <r>
      <rPr>
        <rFont val="Arial"/>
        <sz val="10"/>
        <b/>
      </rPr>
      <t>PASSAGE:</t>
    </r>
    <r>
      <rPr>
        <rFont val="Arial"/>
        <sz val="10"/>
      </rPr>
      <t xml:space="preserve"> Ұялсаң нетті!
</t>
    </r>
    <r>
      <rPr>
        <rFont val="Arial"/>
        <sz val="10"/>
        <b/>
      </rPr>
      <t>TRANS:</t>
    </r>
    <r>
      <rPr>
        <rFont val="Arial"/>
        <sz val="10"/>
      </rPr>
      <t xml:space="preserve"> Ūialsañ nettı!
</t>
    </r>
    <r>
      <rPr>
        <rFont val="Arial"/>
        <sz val="10"/>
        <b/>
      </rPr>
      <t>TRANSLATION:</t>
    </r>
    <r>
      <rPr>
        <rFont val="Arial"/>
        <sz val="10"/>
      </rPr>
      <t xml:space="preserve"> You should be asham</t>
    </r>
  </si>
  <si>
    <r>
      <rPr>
        <rFont val="Arial"/>
        <sz val="10"/>
        <b/>
      </rPr>
      <t>TERM:</t>
    </r>
    <r>
      <rPr>
        <rFont val="Arial"/>
        <sz val="10"/>
      </rPr>
      <t xml:space="preserve"> ne sovestno (не совестно) — it is not conscience-troubling; (one) feels no qualms [ORD] (lemma: совестно)
</t>
    </r>
    <r>
      <rPr>
        <rFont val="Arial"/>
        <sz val="10"/>
        <b/>
      </rPr>
      <t>PASSAGE:</t>
    </r>
    <r>
      <rPr>
        <rFont val="Arial"/>
        <sz val="10"/>
      </rPr>
      <t xml:space="preserve"> Как же вам, молодые барышни, не совестно доводить мисс Питти до состояния
</t>
    </r>
    <r>
      <rPr>
        <rFont val="Arial"/>
        <sz val="10"/>
        <b/>
      </rPr>
      <t>TRANS:</t>
    </r>
    <r>
      <rPr>
        <rFont val="Arial"/>
        <sz val="10"/>
      </rPr>
      <t xml:space="preserve"> Kak zhe vam, molodye baryshni, ne sovestno dovodit' miss Pitti do sostoyaniya
</t>
    </r>
    <r>
      <rPr>
        <rFont val="Arial"/>
        <sz val="10"/>
        <b/>
      </rPr>
      <t>TRANSLATION:</t>
    </r>
    <r>
      <rPr>
        <rFont val="Arial"/>
        <sz val="10"/>
      </rPr>
      <t xml:space="preserve"> How can you, young ladies, not be ashamed of bringing Miss Pitty to such a state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</si>
  <si>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Питти бикешті осындай күйге жеткізуге қалайша ұялмайсыңдар, жас ханымдар, ...
</t>
    </r>
    <r>
      <rPr>
        <rFont val="Arial"/>
        <sz val="10"/>
        <b/>
      </rPr>
      <t>TRANS:</t>
    </r>
    <r>
      <rPr>
        <rFont val="Arial"/>
        <sz val="10"/>
      </rPr>
      <t xml:space="preserve"> Pitti bikeştı osyndai küige jetkızuge qalaişa ūialmaisyñdar, jas hanymdar, ...
</t>
    </r>
    <r>
      <rPr>
        <rFont val="Arial"/>
        <sz val="10"/>
        <b/>
      </rPr>
      <t>TRANSLATION:</t>
    </r>
    <r>
      <rPr>
        <rFont val="Arial"/>
        <sz val="10"/>
      </rPr>
      <t xml:space="preserve"> How can you not be ashamed, young ladies, of bringing Miss Pitty to such a condition,...</t>
    </r>
  </si>
  <si>
    <r>
      <rPr>
        <rFont val="Arial"/>
        <sz val="10"/>
        <b/>
      </rPr>
      <t>TERM:</t>
    </r>
    <r>
      <rPr>
        <rFont val="Arial"/>
        <sz val="10"/>
      </rPr>
      <t xml:space="preserve"> ne sovestno (не совестно) — it is not conscience-troubling; (one) feels no qualms [ORD] (lemma: совестно)
</t>
    </r>
    <r>
      <rPr>
        <rFont val="Arial"/>
        <sz val="10"/>
        <b/>
      </rPr>
      <t>PASSAGE:</t>
    </r>
    <r>
      <rPr>
        <rFont val="Arial"/>
        <sz val="10"/>
      </rPr>
      <t xml:space="preserve"> Как же вам, молодые барышни, не совестно доводить мисс Питти до состояния
</t>
    </r>
    <r>
      <rPr>
        <rFont val="Arial"/>
        <sz val="10"/>
        <b/>
      </rPr>
      <t>TRANS:</t>
    </r>
    <r>
      <rPr>
        <rFont val="Arial"/>
        <sz val="10"/>
      </rPr>
      <t xml:space="preserve"> Kak zhe vam, molodye baryshni, ne sovestno dovodit' miss Pitti do sostoyaniya
</t>
    </r>
    <r>
      <rPr>
        <rFont val="Arial"/>
        <sz val="10"/>
        <b/>
      </rPr>
      <t>TRANSLATION:</t>
    </r>
    <r>
      <rPr>
        <rFont val="Arial"/>
        <sz val="10"/>
      </rPr>
      <t xml:space="preserve"> How can you, young ladies, not be ashamed of bringing Miss Pitty to such a state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</si>
  <si>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Питти бикешті осындай күйге жеткізуге қалайша ұялмайсыңдар, жас ханымдар, ...
</t>
    </r>
    <r>
      <rPr>
        <rFont val="Arial"/>
        <sz val="10"/>
        <b/>
      </rPr>
      <t>TRANS:</t>
    </r>
    <r>
      <rPr>
        <rFont val="Arial"/>
        <sz val="10"/>
      </rPr>
      <t xml:space="preserve"> Pitti bikeştı osyndai küige jetkızuge qalaişa ūialmaisyñdar, jas hanymdar, ...
</t>
    </r>
    <r>
      <rPr>
        <rFont val="Arial"/>
        <sz val="10"/>
        <b/>
      </rPr>
      <t>TRANSLATION:</t>
    </r>
    <r>
      <rPr>
        <rFont val="Arial"/>
        <sz val="10"/>
      </rPr>
      <t xml:space="preserve"> How can you not be ashamed, young ladies, of bringing Miss Pitty to such a condition,...</t>
    </r>
  </si>
  <si>
    <r>
      <rPr>
        <rFont val="Arial"/>
        <sz val="10"/>
        <b/>
      </rPr>
      <t>TERM:</t>
    </r>
    <r>
      <rPr>
        <rFont val="Arial"/>
        <sz val="10"/>
      </rPr>
      <t xml:space="preserve"> styda (стыда) — shame (genitive) [ORD] (lemma: стыд)
</t>
    </r>
    <r>
      <rPr>
        <rFont val="Arial"/>
        <sz val="10"/>
        <b/>
      </rPr>
      <t>PASSAGE:</t>
    </r>
    <r>
      <rPr>
        <rFont val="Arial"/>
        <sz val="10"/>
      </rPr>
      <t xml:space="preserv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
    </r>
    <r>
      <rPr>
        <rFont val="Arial"/>
        <sz val="10"/>
        <b/>
      </rPr>
      <t>TRANS:</t>
    </r>
    <r>
      <rPr>
        <rFont val="Arial"/>
        <sz val="10"/>
      </rPr>
      <t xml:space="preserve"> Ne mozhet ona dol'she tak zhit', ne znaya, chto on teper' k ney ispytyvaet, ne znaya, sgorela li ego lyubov' ot styda posle togo strashnogo vechera, kogda Melani ustroila priem.
</t>
    </r>
    <r>
      <rPr>
        <rFont val="Arial"/>
        <sz val="10"/>
        <b/>
      </rPr>
      <t>TRANSLATION:</t>
    </r>
    <r>
      <rPr>
        <rFont val="Arial"/>
        <sz val="10"/>
      </rPr>
      <t xml:space="preserve"> She could not go on living like this, not knowing what he now feels toward her, not knowing whether his love had burned out from shame after that terrible evening when Melanie hosted the reception.</t>
    </r>
  </si>
  <si>
    <r>
      <rPr>
        <rFont val="Arial"/>
        <sz val="10"/>
        <b/>
      </rPr>
      <t>TERM:</t>
    </r>
    <r>
      <rPr>
        <rFont val="Arial"/>
        <sz val="10"/>
      </rPr>
      <t xml:space="preserve"> styda (стыда) — shame (genitive) [ORD] (lemma: стыд)
</t>
    </r>
    <r>
      <rPr>
        <rFont val="Arial"/>
        <sz val="10"/>
        <b/>
      </rPr>
      <t>PASSAGE:</t>
    </r>
    <r>
      <rPr>
        <rFont val="Arial"/>
        <sz val="10"/>
      </rPr>
      <t xml:space="preserve"> Да ваша семья умрет со стыда.
</t>
    </r>
    <r>
      <rPr>
        <rFont val="Arial"/>
        <sz val="10"/>
        <b/>
      </rPr>
      <t>TRANS:</t>
    </r>
    <r>
      <rPr>
        <rFont val="Arial"/>
        <sz val="10"/>
      </rPr>
      <t xml:space="preserve"> Da vasha sem'ya umret so styda.
</t>
    </r>
    <r>
      <rPr>
        <rFont val="Arial"/>
        <sz val="10"/>
        <b/>
      </rPr>
      <t>TRANSLATION:</t>
    </r>
    <r>
      <rPr>
        <rFont val="Arial"/>
        <sz val="10"/>
      </rPr>
      <t xml:space="preserve"> Why, your family will die of shame.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</si>
  <si>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Ұяттан отбасыңыз елдің бетіне қарай алмай қалады.
</t>
    </r>
    <r>
      <rPr>
        <rFont val="Arial"/>
        <sz val="10"/>
        <b/>
      </rPr>
      <t>TRANS:</t>
    </r>
    <r>
      <rPr>
        <rFont val="Arial"/>
        <sz val="10"/>
      </rPr>
      <t xml:space="preserve"> Ūiattan otbasyñyz eldıñ betıne qarai almai qalady.
</t>
    </r>
    <r>
      <rPr>
        <rFont val="Arial"/>
        <sz val="10"/>
        <b/>
      </rPr>
      <t>TRANSLATION:</t>
    </r>
    <r>
      <rPr>
        <rFont val="Arial"/>
        <sz val="10"/>
      </rPr>
      <t xml:space="preserve"> From shame, your family will not be able to look people in the face.</t>
    </r>
  </si>
  <si>
    <r>
      <rPr>
        <rFont val="Arial"/>
        <sz val="10"/>
        <b/>
      </rPr>
      <t>TERM:</t>
    </r>
    <r>
      <rPr>
        <rFont val="Arial"/>
        <sz val="10"/>
      </rPr>
      <t xml:space="preserve"> styda (стыда) — shame (genitive) [ORD] (lemma: стыд)
</t>
    </r>
    <r>
      <rPr>
        <rFont val="Arial"/>
        <sz val="10"/>
        <b/>
      </rPr>
      <t>PASSAGE:</t>
    </r>
    <r>
      <rPr>
        <rFont val="Arial"/>
        <sz val="10"/>
      </rPr>
      <t xml:space="preserve"> Да я со стыда умру, как люди узнают, что это для моей деточки!
</t>
    </r>
    <r>
      <rPr>
        <rFont val="Arial"/>
        <sz val="10"/>
        <b/>
      </rPr>
      <t>TRANS:</t>
    </r>
    <r>
      <rPr>
        <rFont val="Arial"/>
        <sz val="10"/>
      </rPr>
      <t xml:space="preserve"> Da ya so styda umru, kak lyudi uznayut, chto eto dlya moey detochki!
</t>
    </r>
    <r>
      <rPr>
        <rFont val="Arial"/>
        <sz val="10"/>
        <b/>
      </rPr>
      <t>TRANSLATION:</t>
    </r>
    <r>
      <rPr>
        <rFont val="Arial"/>
        <sz val="10"/>
      </rPr>
      <t xml:space="preserve"> Why, I will die of shame when people learn that this is for my little baby!</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</si>
  <si>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Балама бояу алып жүргенімді ел білсе, ұяттан өлмеймін бе!
</t>
    </r>
    <r>
      <rPr>
        <rFont val="Arial"/>
        <sz val="10"/>
        <b/>
      </rPr>
      <t>TRANS:</t>
    </r>
    <r>
      <rPr>
        <rFont val="Arial"/>
        <sz val="10"/>
      </rPr>
      <t xml:space="preserve"> Balama boiau alyp jürgenımdı el bılse, ūiattan ölmeimın be!
</t>
    </r>
    <r>
      <rPr>
        <rFont val="Arial"/>
        <sz val="10"/>
        <b/>
      </rPr>
      <t>TRANSLATION:</t>
    </r>
    <r>
      <rPr>
        <rFont val="Arial"/>
        <sz val="10"/>
      </rPr>
      <t xml:space="preserve"> If people find out that I am carrying paint for my child, won't I die of shame!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</si>
  <si>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Я почему-то считаю, что вам стыдно этим заниматься.
</t>
    </r>
    <r>
      <rPr>
        <rFont val="Arial"/>
        <sz val="10"/>
        <b/>
      </rPr>
      <t>TRANS:</t>
    </r>
    <r>
      <rPr>
        <rFont val="Arial"/>
        <sz val="10"/>
      </rPr>
      <t xml:space="preserve"> Ya pochemu-to schitayu, chto vam stydno etim zanimat'sya.
</t>
    </r>
    <r>
      <rPr>
        <rFont val="Arial"/>
        <sz val="10"/>
        <b/>
      </rPr>
      <t>TRANSLATION:</t>
    </r>
    <r>
      <rPr>
        <rFont val="Arial"/>
        <sz val="10"/>
      </rPr>
      <t xml:space="preserve"> I somehow think that you are ashamed to do this.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</si>
  <si>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Сізге нанмен айналысу ұяттау ғой деп ойлаймын.
</t>
    </r>
    <r>
      <rPr>
        <rFont val="Arial"/>
        <sz val="10"/>
        <b/>
      </rPr>
      <t>TRANS:</t>
    </r>
    <r>
      <rPr>
        <rFont val="Arial"/>
        <sz val="10"/>
      </rPr>
      <t xml:space="preserve"> Sızge nanmen ainalysu ūiattau ğoi dep oilaimyn.
</t>
    </r>
    <r>
      <rPr>
        <rFont val="Arial"/>
        <sz val="10"/>
        <b/>
      </rPr>
      <t>TRANSLATION:</t>
    </r>
    <r>
      <rPr>
        <rFont val="Arial"/>
        <sz val="10"/>
      </rPr>
      <t xml:space="preserve"> I think it is rather shameful for you to be busy with bread.</t>
    </r>
  </si>
  <si>
    <r>
      <rPr>
        <rFont val="Arial"/>
        <sz val="10"/>
        <b/>
      </rPr>
      <t>TERM:</t>
    </r>
    <r>
      <rPr>
        <rFont val="Arial"/>
        <sz val="10"/>
      </rPr>
      <t xml:space="preserve"> pozor (позор) — disgrace; shame; ignominy [ORD]
</t>
    </r>
    <r>
      <rPr>
        <rFont val="Arial"/>
        <sz val="10"/>
        <b/>
      </rPr>
      <t>PASSAGE:</t>
    </r>
    <r>
      <rPr>
        <rFont val="Arial"/>
        <sz val="10"/>
      </rPr>
      <t xml:space="preserve"> навлекла позор на каждую семью в графстве.
</t>
    </r>
    <r>
      <rPr>
        <rFont val="Arial"/>
        <sz val="10"/>
        <b/>
      </rPr>
      <t>TRANS:</t>
    </r>
    <r>
      <rPr>
        <rFont val="Arial"/>
        <sz val="10"/>
      </rPr>
      <t xml:space="preserve"> navlekla pozor na kazhduyu sem'yu v grafstve.
</t>
    </r>
    <r>
      <rPr>
        <rFont val="Arial"/>
        <sz val="10"/>
        <b/>
      </rPr>
      <t>TRANSLATION:</t>
    </r>
    <r>
      <rPr>
        <rFont val="Arial"/>
        <sz val="10"/>
      </rPr>
      <t xml:space="preserve"> brought disgrace upon every family in the county.</t>
    </r>
  </si>
  <si>
    <r>
      <rPr>
        <rFont val="Arial"/>
        <sz val="10"/>
        <b/>
      </rPr>
      <t>TERM:</t>
    </r>
    <r>
      <rPr>
        <rFont val="Arial"/>
        <sz val="10"/>
      </rPr>
      <t xml:space="preserve"> KÜİE (КҮЙЕ) — soot; grime (used metaphorically: "stain") [KED, SZK]
</t>
    </r>
    <r>
      <rPr>
        <rFont val="Arial"/>
        <sz val="10"/>
        <b/>
      </rPr>
      <t>PASSAGE:</t>
    </r>
    <r>
      <rPr>
        <rFont val="Arial"/>
        <sz val="10"/>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rFont val="Arial"/>
        <sz val="10"/>
        <b/>
      </rPr>
      <t>TRANS:</t>
    </r>
    <r>
      <rPr>
        <rFont val="Arial"/>
        <sz val="10"/>
      </rPr>
      <t xml:space="preserve"> onfederasiağa şyn berılgen, plantator otbasynda tuğan äiel qas dūşpanğa tek öz basyn ğana igen joq, küllı graftyqtardyñ betıne küie jaqty.
</t>
    </r>
    <r>
      <rPr>
        <rFont val="Arial"/>
        <sz val="10"/>
        <b/>
      </rPr>
      <t>TRANSLATION:</t>
    </r>
    <r>
      <rPr>
        <rFont val="Arial"/>
        <sz val="10"/>
      </rPr>
      <t xml:space="preserve"> A woman who was truly devoted to the Confederacy and born into a planter's family — she did not only bow her head to her arch-enemy, she daubed soot on the faces of all the counties.</t>
    </r>
  </si>
  <si>
    <r>
      <rPr>
        <rFont val="Arial"/>
        <sz val="10"/>
        <b/>
      </rPr>
      <t>TERM:</t>
    </r>
    <r>
      <rPr>
        <rFont val="Arial"/>
        <sz val="10"/>
      </rPr>
      <t xml:space="preserve"> pozore (позоре) — disgrace (prep.) [ORD] (lemma: позор)
</t>
    </r>
    <r>
      <rPr>
        <rFont val="Arial"/>
        <sz val="10"/>
        <b/>
      </rPr>
      <t>PASSAGE:</t>
    </r>
    <r>
      <rPr>
        <rFont val="Arial"/>
        <sz val="10"/>
      </rPr>
      <t xml:space="preserve"> Сьюлин вся в мыслях о своем позоре, а Кэррин — о боге, и это их поддерживает.
</t>
    </r>
    <r>
      <rPr>
        <rFont val="Arial"/>
        <sz val="10"/>
        <b/>
      </rPr>
      <t>TRANS:</t>
    </r>
    <r>
      <rPr>
        <rFont val="Arial"/>
        <sz val="10"/>
      </rPr>
      <t xml:space="preserve"> S'yulin vsya v myslyakh o svoem pozore, a Kerrin — o boge, i eto ikh podderzhivaet.
</t>
    </r>
    <r>
      <rPr>
        <rFont val="Arial"/>
        <sz val="10"/>
        <b/>
      </rPr>
      <t>TRANSLATION:</t>
    </r>
    <r>
      <rPr>
        <rFont val="Arial"/>
        <sz val="10"/>
      </rPr>
      <t xml:space="preserve"> Suellen is wholly absorbed in thoughts of her disgrace, and Carreen in [thoughts of] God, and that supports them.</t>
    </r>
  </si>
  <si>
    <r>
      <rPr>
        <rFont val="Arial"/>
        <sz val="10"/>
        <b/>
      </rPr>
      <t>TERM:</t>
    </r>
    <r>
      <rPr>
        <rFont val="Arial"/>
        <sz val="10"/>
      </rPr>
      <t xml:space="preserve"> MASQARA (МАСҚАРА) — disgrace; scandal; outrage (acute) [KED, SZK]
</t>
    </r>
    <r>
      <rPr>
        <rFont val="Arial"/>
        <sz val="10"/>
        <b/>
      </rPr>
      <t>PASSAGE:</t>
    </r>
    <r>
      <rPr>
        <rFont val="Arial"/>
        <sz val="10"/>
      </rPr>
      <t xml:space="preserve"> Сьюлин өзінің масқара қылығын еске алса, Кэррин құдайын ойлайды, екеуінің де бас сүйерлері бар.
</t>
    </r>
    <r>
      <rPr>
        <rFont val="Arial"/>
        <sz val="10"/>
        <b/>
      </rPr>
      <t>TRANS:</t>
    </r>
    <r>
      <rPr>
        <rFont val="Arial"/>
        <sz val="10"/>
      </rPr>
      <t xml:space="preserve"> S'iulin özınıñ masqara qylyğyn eske alsa, Kerrin qūdaiyn oilaidy, ekeuınıñ de bas süierlerı bar.
</t>
    </r>
    <r>
      <rPr>
        <rFont val="Arial"/>
        <sz val="10"/>
        <b/>
      </rPr>
      <t>TRANSLATION:</t>
    </r>
    <r>
      <rPr>
        <rFont val="Arial"/>
        <sz val="10"/>
      </rPr>
      <t xml:space="preserve"> If Suellen recalls her own shameful conduct, Carreen thinks of her God; both have something to lean on.</t>
    </r>
  </si>
  <si>
    <r>
      <rPr>
        <rFont val="Arial"/>
        <sz val="10"/>
        <b/>
      </rPr>
      <t>TERM:</t>
    </r>
    <r>
      <rPr>
        <rFont val="Arial"/>
        <sz val="10"/>
      </rPr>
      <t xml:space="preserve"> bez zazreniya sovesti (без зазрения совести) — without a qualm of conscience (set phrase) [ORD] (lemma: зазрение)
</t>
    </r>
    <r>
      <rPr>
        <rFont val="Arial"/>
        <sz val="10"/>
        <b/>
      </rPr>
      <t>PASSAGE:</t>
    </r>
    <r>
      <rPr>
        <rFont val="Arial"/>
        <sz val="10"/>
      </rPr>
      <t xml:space="preserve"> Она могла без зазрения совести, даже с гордостью, рассказывать ему, как ободрала кого-нибудь точно липку, и он лишь аплодировал ей.
</t>
    </r>
    <r>
      <rPr>
        <rFont val="Arial"/>
        <sz val="10"/>
        <b/>
      </rPr>
      <t>TRANS:</t>
    </r>
    <r>
      <rPr>
        <rFont val="Arial"/>
        <sz val="10"/>
      </rPr>
      <t xml:space="preserve"> Ona mogla bez zazreniya sovesti, dazhe s gordost'yu, rasskazyvat' emu, kak obodrala kogo-nibud' tochno lipku, i on lish' aplodiroval ey.
</t>
    </r>
    <r>
      <rPr>
        <rFont val="Arial"/>
        <sz val="10"/>
        <b/>
      </rPr>
      <t>TRANSLATION:</t>
    </r>
    <r>
      <rPr>
        <rFont val="Arial"/>
        <sz val="10"/>
      </rPr>
      <t xml:space="preserve"> She could, without any pang of conscience, even with pride, tell him how she had fleeced someone like a sticky-leaf, and he would only applaud her.</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</si>
  <si>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Скарлетт еш қысылмастан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rFont val="Arial"/>
        <sz val="10"/>
        <b/>
      </rPr>
      <t>TRANS:</t>
    </r>
    <r>
      <rPr>
        <rFont val="Arial"/>
        <sz val="10"/>
      </rPr>
      <t xml:space="preserve"> Skarlett eş qysylmastan kımnıñ qaltasyn qalai qaqqanyn, qai qyspaqtan qalai sytylyp şyqqanyn ūialmai, qaita tanau jelbezegı dırıldep otyryp, maqtanyşpen aitatyn, sol kezde alaqanyn alaqanyna ūryp, madaqtaityn adamy da sol bolatyn.
</t>
    </r>
    <r>
      <rPr>
        <rFont val="Arial"/>
        <sz val="10"/>
        <b/>
      </rPr>
      <t>TRANSLATION:</t>
    </r>
    <r>
      <rPr>
        <rFont val="Arial"/>
        <sz val="10"/>
      </rPr>
      <t xml:space="preserve"> Scarlett would, without the slightest embarrassment — indeed with her nostrils trembling with pride — tell him how she had picked someone's pocket or wriggled out of some squeeze, and he was the very man who would clap his palms in praise.</t>
    </r>
  </si>
  <si>
    <r>
      <rPr>
        <rFont val="Arial"/>
        <sz val="10"/>
        <b/>
      </rPr>
      <t>TERM:</t>
    </r>
    <r>
      <rPr>
        <rFont val="Arial"/>
        <sz val="10"/>
      </rPr>
      <t xml:space="preserve"> Smutit' (Смутить) — to disconcert; to embarrass (perfective) [ORD]
</t>
    </r>
    <r>
      <rPr>
        <rFont val="Arial"/>
        <sz val="10"/>
        <b/>
      </rPr>
      <t>PASSAGE:</t>
    </r>
    <r>
      <rPr>
        <rFont val="Arial"/>
        <sz val="10"/>
      </rPr>
      <t xml:space="preserve"> Смутить его было невозможно.
</t>
    </r>
    <r>
      <rPr>
        <rFont val="Arial"/>
        <sz val="10"/>
        <b/>
      </rPr>
      <t>TRANS:</t>
    </r>
    <r>
      <rPr>
        <rFont val="Arial"/>
        <sz val="10"/>
      </rPr>
      <t xml:space="preserve"> Smutit' ego bylo nevozmozhno.
</t>
    </r>
    <r>
      <rPr>
        <rFont val="Arial"/>
        <sz val="10"/>
        <b/>
      </rPr>
      <t>TRANSLATION:</t>
    </r>
    <r>
      <rPr>
        <rFont val="Arial"/>
        <sz val="10"/>
      </rPr>
      <t xml:space="preserve"> It was impossible to disconcert him.</t>
    </r>
  </si>
  <si>
    <r>
      <rPr>
        <rFont val="Arial"/>
        <sz val="10"/>
        <b/>
      </rPr>
      <t>TERM:</t>
    </r>
    <r>
      <rPr>
        <rFont val="Arial"/>
        <sz val="10"/>
      </rPr>
      <t xml:space="preserve"> ŪİALTU (ҰЯЛТУ) — to make (someone) feel ashamed; to disconcert; to embarrass (causative) [KED, SZK]
</t>
    </r>
    <r>
      <rPr>
        <rFont val="Arial"/>
        <sz val="10"/>
        <b/>
      </rPr>
      <t>PASSAGE:</t>
    </r>
    <r>
      <rPr>
        <rFont val="Arial"/>
        <sz val="10"/>
      </rPr>
      <t xml:space="preserve"> Оны ұялту мүмкін емес еді.
</t>
    </r>
    <r>
      <rPr>
        <rFont val="Arial"/>
        <sz val="10"/>
        <b/>
      </rPr>
      <t>TRANS:</t>
    </r>
    <r>
      <rPr>
        <rFont val="Arial"/>
        <sz val="10"/>
      </rPr>
      <t xml:space="preserve"> Ony ūialtu mümkın emes edı.
</t>
    </r>
    <r>
      <rPr>
        <rFont val="Arial"/>
        <sz val="10"/>
        <b/>
      </rPr>
      <t>TRANSLATION:</t>
    </r>
    <r>
      <rPr>
        <rFont val="Arial"/>
        <sz val="10"/>
      </rPr>
      <t xml:space="preserve"> It was impossible to make him feel ashamed.</t>
    </r>
  </si>
  <si>
    <r>
      <rPr>
        <rFont val="Arial"/>
        <sz val="10"/>
        <b/>
      </rPr>
      <t>TERM:</t>
    </r>
    <r>
      <rPr>
        <rFont val="Arial"/>
        <sz val="10"/>
      </rPr>
      <t xml:space="preserve"> pristyzhen (пристыжен) — shamed; abashed (short form pass.) [ORD] (lemma: пристыдить)
</t>
    </r>
    <r>
      <rPr>
        <rFont val="Arial"/>
        <sz val="10"/>
        <b/>
      </rPr>
      <t>PASSAGE:</t>
    </r>
    <r>
      <rPr>
        <rFont val="Arial"/>
        <sz val="10"/>
      </rPr>
      <t xml:space="preserve"> Он явно не был пристыжен
</t>
    </r>
    <r>
      <rPr>
        <rFont val="Arial"/>
        <sz val="10"/>
        <b/>
      </rPr>
      <t>TRANS:</t>
    </r>
    <r>
      <rPr>
        <rFont val="Arial"/>
        <sz val="10"/>
      </rPr>
      <t xml:space="preserve"> On yavno ne byl pristyzhen
</t>
    </r>
    <r>
      <rPr>
        <rFont val="Arial"/>
        <sz val="10"/>
        <b/>
      </rPr>
      <t>TRANSLATION:</t>
    </r>
    <r>
      <rPr>
        <rFont val="Arial"/>
        <sz val="10"/>
      </rPr>
      <t xml:space="preserve"> He clearly was not put to shame.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</si>
  <si>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Оның ұялмағаны анық
</t>
    </r>
    <r>
      <rPr>
        <rFont val="Arial"/>
        <sz val="10"/>
        <b/>
      </rPr>
      <t>TRANS:</t>
    </r>
    <r>
      <rPr>
        <rFont val="Arial"/>
        <sz val="10"/>
      </rPr>
      <t xml:space="preserve"> Onyñ ūialmağany anyq
</t>
    </r>
    <r>
      <rPr>
        <rFont val="Arial"/>
        <sz val="10"/>
        <b/>
      </rPr>
      <t>TRANSLATION:</t>
    </r>
    <r>
      <rPr>
        <rFont val="Arial"/>
        <sz val="10"/>
      </rPr>
      <t xml:space="preserve"> It was clear he was not embarrassed.</t>
    </r>
  </si>
  <si>
    <r>
      <rPr>
        <rFont val="Arial"/>
        <sz val="10"/>
        <b/>
      </rPr>
      <t>TERM:</t>
    </r>
    <r>
      <rPr>
        <rFont val="Arial"/>
        <sz val="10"/>
      </rPr>
      <t xml:space="preserve"> ne oszhudat' (не осжудать) — not to condemn (typo for не осуждать in source) [ORD] (lemma: осуждать)
</t>
    </r>
    <r>
      <rPr>
        <rFont val="Arial"/>
        <sz val="10"/>
        <b/>
      </rPr>
      <t>PASSAGE:</t>
    </r>
    <r>
      <rPr>
        <rFont val="Arial"/>
        <sz val="10"/>
      </rPr>
      <t xml:space="preserve"> но нисколько не осуждающая ее или себя.
</t>
    </r>
    <r>
      <rPr>
        <rFont val="Arial"/>
        <sz val="10"/>
        <b/>
      </rPr>
      <t>TRANS:</t>
    </r>
    <r>
      <rPr>
        <rFont val="Arial"/>
        <sz val="10"/>
      </rPr>
      <t xml:space="preserve"> no niskol'ko ne osuzhdayushchaya ee ili sebya.
</t>
    </r>
    <r>
      <rPr>
        <rFont val="Arial"/>
        <sz val="10"/>
        <b/>
      </rPr>
      <t>TRANSLATION:</t>
    </r>
    <r>
      <rPr>
        <rFont val="Arial"/>
        <sz val="10"/>
      </rPr>
      <t xml:space="preserve"> but [a smile] not at all condemning her or himself.</t>
    </r>
  </si>
  <si>
    <r>
      <rPr>
        <rFont val="Arial"/>
        <sz val="10"/>
        <b/>
      </rPr>
      <t>TERM:</t>
    </r>
    <r>
      <rPr>
        <rFont val="Arial"/>
        <sz val="10"/>
      </rPr>
      <t xml:space="preserve"> KİNÄLAU (КІНӘЛАУ) — to blame; to find guilty [KED, SZK]
</t>
    </r>
    <r>
      <rPr>
        <rFont val="Arial"/>
        <sz val="10"/>
        <b/>
      </rPr>
      <t>PASSAGE:</t>
    </r>
    <r>
      <rPr>
        <rFont val="Arial"/>
        <sz val="10"/>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кінәламайтындай.
</t>
    </r>
    <r>
      <rPr>
        <rFont val="Arial"/>
        <sz val="10"/>
        <b/>
      </rPr>
      <t>TRANS:</t>
    </r>
    <r>
      <rPr>
        <rFont val="Arial"/>
        <sz val="10"/>
      </rPr>
      <t xml:space="preserve"> - Mümkın tatulasarmyz? - Joğarydan tömen, būğan jadyrai qarap tūrğan onyñ külkısı sondai şuaqty sonşalyqty keñdık pen azdağan dörekılıktı paş etıp tūrdy, özın de, mūny da eşteñege kınälamaityndai.
</t>
    </r>
    <r>
      <rPr>
        <rFont val="Arial"/>
        <sz val="10"/>
        <b/>
      </rPr>
      <t>TRANSLATION:</t>
    </r>
    <r>
      <rPr>
        <rFont val="Arial"/>
        <sz val="10"/>
      </rPr>
      <t xml:space="preserve"> "Perhaps we will be reconciled?" — the smile he gave her, looking down at her with such warmth, such breadth and a slight roughness, as if blaming neither himself nor her in the slightest.</t>
    </r>
  </si>
  <si>
    <r>
      <rPr>
        <rFont val="Arial"/>
        <sz val="10"/>
        <b/>
      </rPr>
      <t>TERM:</t>
    </r>
    <r>
      <rPr>
        <rFont val="Arial"/>
        <sz val="10"/>
      </rPr>
      <t xml:space="preserve"> besstydstva (бесстыдства) — shamelessness; impudence (gen.) [ORD] (lemma: бесстыдство)
</t>
    </r>
    <r>
      <rPr>
        <rFont val="Arial"/>
        <sz val="10"/>
        <b/>
      </rPr>
      <t>PASSAGE:</t>
    </r>
    <r>
      <rPr>
        <rFont val="Arial"/>
        <sz val="10"/>
      </rPr>
      <t xml:space="preserve"> Его наглости нет предела, а от его бесстыдства — ведь он же самый настоящий спекулянт! — я весь киплю.
</t>
    </r>
    <r>
      <rPr>
        <rFont val="Arial"/>
        <sz val="10"/>
        <b/>
      </rPr>
      <t>TRANS:</t>
    </r>
    <r>
      <rPr>
        <rFont val="Arial"/>
        <sz val="10"/>
      </rPr>
      <t xml:space="preserve"> Ego naglosti net predela, a ot ego besstydstva — ved' on zhe samyy nastoyashchiy spekulyant! — ya ves' kiplyu.
</t>
    </r>
    <r>
      <rPr>
        <rFont val="Arial"/>
        <sz val="10"/>
        <b/>
      </rPr>
      <t>TRANSLATION:</t>
    </r>
    <r>
      <rPr>
        <rFont val="Arial"/>
        <sz val="10"/>
      </rPr>
      <t xml:space="preserve"> His insolence has no limit, and from his shamelessness — for he is the most outright speculator! — I am all boiling.</t>
    </r>
  </si>
  <si>
    <r>
      <rPr>
        <rFont val="Arial"/>
        <sz val="10"/>
        <b/>
      </rPr>
      <t>TERM:</t>
    </r>
    <r>
      <rPr>
        <rFont val="Arial"/>
        <sz val="10"/>
      </rPr>
      <t xml:space="preserve"> ŪİATSYZDYQ (ҰЯТСЫЗДЫҚ) — shamelessness; impudence [KED, SZK]
</t>
    </r>
    <r>
      <rPr>
        <rFont val="Arial"/>
        <sz val="10"/>
        <b/>
      </rPr>
      <t>PASSAGE:</t>
    </r>
    <r>
      <rPr>
        <rFont val="Arial"/>
        <sz val="10"/>
      </rPr>
      <t xml:space="preserve"> Оның арсыздығының шегі жоқ, ал ұятсыздығы сол, ол нағыз саудагер емес пе? Ойлаған сайын күйініп кетемін.
</t>
    </r>
    <r>
      <rPr>
        <rFont val="Arial"/>
        <sz val="10"/>
        <b/>
      </rPr>
      <t>TRANS:</t>
    </r>
    <r>
      <rPr>
        <rFont val="Arial"/>
        <sz val="10"/>
      </rPr>
      <t xml:space="preserve"> Onyñ arsyzdyğynyñ şegı joq, al ūiatsyzdyğy sol, ol nağyz saudager emes pe? Oilağan saiyn küiınıp ketemın.
</t>
    </r>
    <r>
      <rPr>
        <rFont val="Arial"/>
        <sz val="10"/>
        <b/>
      </rPr>
      <t>TRANSLATION:</t>
    </r>
    <r>
      <rPr>
        <rFont val="Arial"/>
        <sz val="10"/>
      </rPr>
      <t xml:space="preserve"> His insolence has no limit, and his shamelessness lies in this — is he not a real merchant? Every time I think of it I am incensed.</t>
    </r>
  </si>
  <si>
    <r>
      <rPr>
        <rFont val="Arial"/>
        <sz val="10"/>
        <b/>
      </rPr>
      <t>TERM:</t>
    </r>
    <r>
      <rPr>
        <rFont val="Arial"/>
        <sz val="10"/>
      </rPr>
      <t xml:space="preserve"> Ne stesnyayas' (Не стесняясь) — without being embarrassed (gerund neg.) [ORD] (lemma: стесняться)
</t>
    </r>
    <r>
      <rPr>
        <rFont val="Arial"/>
        <sz val="10"/>
        <b/>
      </rPr>
      <t>PASSAGE:</t>
    </r>
    <r>
      <rPr>
        <rFont val="Arial"/>
        <sz val="10"/>
      </rPr>
      <t xml:space="preserve"> Не стесняясь того, какими путями он сам пришел к богатству, он делал вид,
</t>
    </r>
    <r>
      <rPr>
        <rFont val="Arial"/>
        <sz val="10"/>
        <b/>
      </rPr>
      <t>TRANS:</t>
    </r>
    <r>
      <rPr>
        <rFont val="Arial"/>
        <sz val="10"/>
      </rPr>
      <t xml:space="preserve"> Ne stesnyayas' togo, kakimi putyami on sam prishel k bogatstvu, on delal vid,
</t>
    </r>
    <r>
      <rPr>
        <rFont val="Arial"/>
        <sz val="10"/>
        <b/>
      </rPr>
      <t>TRANSLATION:</t>
    </r>
    <r>
      <rPr>
        <rFont val="Arial"/>
        <sz val="10"/>
      </rPr>
      <t xml:space="preserve"> Not embarrassed by the ways he himself had come to his wealth, he made out as though...</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</si>
  <si>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Өзінің бұл байлыққа қол жеткізу жолын жасырмайтын да ұялмайтын болған соң,
</t>
    </r>
    <r>
      <rPr>
        <rFont val="Arial"/>
        <sz val="10"/>
        <b/>
      </rPr>
      <t>TRANS:</t>
    </r>
    <r>
      <rPr>
        <rFont val="Arial"/>
        <sz val="10"/>
      </rPr>
      <t xml:space="preserve">  Özınıñ būl bailyqqa qol jetkızu jolyn jasyrmaityn da ūialmaityn bolğan soñ,
</t>
    </r>
    <r>
      <rPr>
        <rFont val="Arial"/>
        <sz val="10"/>
        <b/>
      </rPr>
      <t>TRANSLATION:</t>
    </r>
    <r>
      <rPr>
        <rFont val="Arial"/>
        <sz val="10"/>
      </rPr>
      <t xml:space="preserve"> Since he neither hid nor was ashamed of the path by which he had come to this wealth,...</t>
    </r>
  </si>
  <si>
    <r>
      <rPr>
        <rFont val="Arial"/>
        <sz val="10"/>
        <b/>
      </rPr>
      <t>TERM:</t>
    </r>
    <r>
      <rPr>
        <rFont val="Arial"/>
        <sz val="10"/>
      </rPr>
      <t xml:space="preserve"> besstydno (бесстыдно) — shamelessly (adv.) [ORD]
</t>
    </r>
    <r>
      <rPr>
        <rFont val="Arial"/>
        <sz val="10"/>
        <b/>
      </rPr>
      <t>PASSAGE:</t>
    </r>
    <r>
      <rPr>
        <rFont val="Arial"/>
        <sz val="10"/>
      </rPr>
      <t xml:space="preserve"> Ну, кто бы мог подумать, что из всех людей именно он будет столь открыто, столь бесстыдно гордиться своим отцовством?
</t>
    </r>
    <r>
      <rPr>
        <rFont val="Arial"/>
        <sz val="10"/>
        <b/>
      </rPr>
      <t>TRANS:</t>
    </r>
    <r>
      <rPr>
        <rFont val="Arial"/>
        <sz val="10"/>
      </rPr>
      <t xml:space="preserve"> Nu, kto by mog podumat', chto iz vsekh lyudey imenno on budet stol' otkryto, stol' besstydno gordit'sya svoim ottsovstvom?
</t>
    </r>
    <r>
      <rPr>
        <rFont val="Arial"/>
        <sz val="10"/>
        <b/>
      </rPr>
      <t>TRANSLATION:</t>
    </r>
    <r>
      <rPr>
        <rFont val="Arial"/>
        <sz val="10"/>
      </rPr>
      <t xml:space="preserve"> Now, who would have thought that of all people, it would be precisely he who would be so openly, so shamelessly proud of his fatherhood?</t>
    </r>
  </si>
  <si>
    <r>
      <rPr>
        <rFont val="Arial"/>
        <sz val="10"/>
        <b/>
      </rPr>
      <t>TERM:</t>
    </r>
    <r>
      <rPr>
        <rFont val="Arial"/>
        <sz val="10"/>
      </rPr>
      <t xml:space="preserve"> QYMSYNU (ҚЫМСЫНУ) — to feel awkward; to feel embarrassed [KED, SZK]
</t>
    </r>
    <r>
      <rPr>
        <rFont val="Arial"/>
        <sz val="10"/>
        <b/>
      </rPr>
      <t>PASSAGE:</t>
    </r>
    <r>
      <rPr>
        <rFont val="Arial"/>
        <sz val="10"/>
      </rPr>
      <t xml:space="preserve"> Мына дүниедегі қаптаған адамдардың ішінен тап осы еркек өзін осыншама дардай етіп, елдің құлағын да әбден сарсытып, ашықтан-ашық, еш қымсынбастан әке болғанына жатпай-тұрмай мақтанады деп кім ойлаған?
</t>
    </r>
    <r>
      <rPr>
        <rFont val="Arial"/>
        <sz val="10"/>
        <b/>
      </rPr>
      <t>TRANS:</t>
    </r>
    <r>
      <rPr>
        <rFont val="Arial"/>
        <sz val="10"/>
      </rPr>
      <t xml:space="preserve"> Myna düniedegı qaptağan adamdardyñ ışınen tap osy erkek özın osynşama dardai etıp, eldıñ qūlağyn da äbden sarsytyp, aşyqtan-aşyq, eş qymsynbastan äke bolğanyna jatpai-tūrmai maqtanady dep kım oilağan?
</t>
    </r>
    <r>
      <rPr>
        <rFont val="Arial"/>
        <sz val="10"/>
        <b/>
      </rPr>
      <t>TRANSLATION:</t>
    </r>
    <r>
      <rPr>
        <rFont val="Arial"/>
        <sz val="10"/>
      </rPr>
      <t xml:space="preserve"> Of all the men in this world, who would have thought that this very man — making such a grand show of himself, wearing out everyone's ears — would, openly and without the slightest embarrassment, boast indefatigably of his fatherhood?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</si>
  <si>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мне не было бы стыдно, так как мы с тобой заключили сделку — сделку, которой я верен и которую ты сейчас нарушаешь.
</t>
    </r>
    <r>
      <rPr>
        <rFont val="Arial"/>
        <sz val="10"/>
        <b/>
      </rPr>
      <t>TRANS:</t>
    </r>
    <r>
      <rPr>
        <rFont val="Arial"/>
        <sz val="10"/>
      </rPr>
      <t xml:space="preserve"> I mne ne bylo by stydno, tak kak my s toboy zaklyuchili sdelku — sdelku, kotoroy ya veren i kotoruyu ty seychas narushaesh'.
</t>
    </r>
    <r>
      <rPr>
        <rFont val="Arial"/>
        <sz val="10"/>
        <b/>
      </rPr>
      <t>TRANSLATION:</t>
    </r>
    <r>
      <rPr>
        <rFont val="Arial"/>
        <sz val="10"/>
      </rPr>
      <t xml:space="preserve"> And I would not be ashamed, since you and I made a bargain — a bargain to which I have been faithful and which you are now breaking.</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</si>
  <si>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Екеуміз жасасқан келісімге мен қиянат қылмай, осы уақытқа дейін адал боп келгендіктен, ештеңеден ұялар жайым жоқ, бәрін бұзған өзіңнен көрмесең.
</t>
    </r>
    <r>
      <rPr>
        <rFont val="Arial"/>
        <sz val="10"/>
        <b/>
      </rPr>
      <t>TRANS:</t>
    </r>
    <r>
      <rPr>
        <rFont val="Arial"/>
        <sz val="10"/>
      </rPr>
      <t xml:space="preserve"> Ekeumız jasasqan kelısımge men qianat qylmai, osy uaqytqa deiın adal bop kelgendıkten, eşteñeden ūialar jaiym joq, bärın būzğan özıñnen körmeseñ.
</t>
    </r>
    <r>
      <rPr>
        <rFont val="Arial"/>
        <sz val="10"/>
        <b/>
      </rPr>
      <t>TRANSLATION:</t>
    </r>
    <r>
      <rPr>
        <rFont val="Arial"/>
        <sz val="10"/>
      </rPr>
      <t xml:space="preserve"> Since I have been faithful all this while to the agreement we two made — not betraying it — I have nothing to be ashamed of: for breaking it all you have only yourself to look to.</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</si>
  <si>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Стыдится?! Ерунда!
</t>
    </r>
    <r>
      <rPr>
        <rFont val="Arial"/>
        <sz val="10"/>
        <b/>
      </rPr>
      <t>TRANS:</t>
    </r>
    <r>
      <rPr>
        <rFont val="Arial"/>
        <sz val="10"/>
      </rPr>
      <t xml:space="preserve"> Styditsya?! Erunda!
</t>
    </r>
    <r>
      <rPr>
        <rFont val="Arial"/>
        <sz val="10"/>
        <b/>
      </rPr>
      <t>TRANSLATION:</t>
    </r>
    <r>
      <rPr>
        <rFont val="Arial"/>
        <sz val="10"/>
      </rPr>
      <t xml:space="preserve"> Ashamed?! Nonsense!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</si>
  <si>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Ұялады деймісіз? Қайдан?
</t>
    </r>
    <r>
      <rPr>
        <rFont val="Arial"/>
        <sz val="10"/>
        <b/>
      </rPr>
      <t>TRANS:</t>
    </r>
    <r>
      <rPr>
        <rFont val="Arial"/>
        <sz val="10"/>
      </rPr>
      <t xml:space="preserve"> Ūialady deimısız? Qaidan?
</t>
    </r>
    <r>
      <rPr>
        <rFont val="Arial"/>
        <sz val="10"/>
        <b/>
      </rPr>
      <t>TRANSLATION:</t>
    </r>
    <r>
      <rPr>
        <rFont val="Arial"/>
        <sz val="10"/>
      </rPr>
      <t xml:space="preserve"> You say he is ashamed? From where?</t>
    </r>
  </si>
  <si>
    <r>
      <rPr>
        <rFont val="Arial"/>
        <sz val="10"/>
        <b/>
      </rPr>
      <t>TERM:</t>
    </r>
    <r>
      <rPr>
        <rFont val="Arial"/>
        <sz val="10"/>
      </rPr>
      <t xml:space="preserve"> ne styzhus' (не стыжусь) — I am not ashamed (1sg neg.) [ORD] (lemma: стыдиться)
</t>
    </r>
    <r>
      <rPr>
        <rFont val="Arial"/>
        <sz val="10"/>
        <b/>
      </rPr>
      <t>PASSAGE:</t>
    </r>
    <r>
      <rPr>
        <rFont val="Arial"/>
        <sz val="10"/>
      </rPr>
      <t xml:space="preserve"> И я нисколько не стыжусь того, что он так думает.
</t>
    </r>
    <r>
      <rPr>
        <rFont val="Arial"/>
        <sz val="10"/>
        <b/>
      </rPr>
      <t>TRANS:</t>
    </r>
    <r>
      <rPr>
        <rFont val="Arial"/>
        <sz val="10"/>
      </rPr>
      <t xml:space="preserve"> I ya niskol'ko ne styzhus' togo, chto on tak dumaet.
</t>
    </r>
    <r>
      <rPr>
        <rFont val="Arial"/>
        <sz val="10"/>
        <b/>
      </rPr>
      <t>TRANSLATION:</t>
    </r>
    <r>
      <rPr>
        <rFont val="Arial"/>
        <sz val="10"/>
      </rPr>
      <t xml:space="preserve"> And I am not in the least ashamed that he thinks so.</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</si>
  <si>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Ал мен оның солай ойлайтыны үшін еш ұялмаймын.
</t>
    </r>
    <r>
      <rPr>
        <rFont val="Arial"/>
        <sz val="10"/>
        <b/>
      </rPr>
      <t>TRANS:</t>
    </r>
    <r>
      <rPr>
        <rFont val="Arial"/>
        <sz val="10"/>
      </rPr>
      <t xml:space="preserve"> Al men onyñ solai oilaityny üşın eş ūialmaimyn.
</t>
    </r>
    <r>
      <rPr>
        <rFont val="Arial"/>
        <sz val="10"/>
        <b/>
      </rPr>
      <t>TRANSLATION:</t>
    </r>
    <r>
      <rPr>
        <rFont val="Arial"/>
        <sz val="10"/>
      </rPr>
      <t xml:space="preserve"> And I am not at all ashamed that he thinks so.</t>
    </r>
  </si>
  <si>
    <r>
      <rPr>
        <rFont val="Arial"/>
        <sz val="10"/>
        <b/>
      </rPr>
      <t>TERM:</t>
    </r>
    <r>
      <rPr>
        <rFont val="Arial"/>
        <sz val="10"/>
      </rPr>
      <t xml:space="preserve"> ne stydyas' (не стыдясь) — without being ashamed (gerund) [ORD] (lemma: стыдиться)
</t>
    </r>
    <r>
      <rPr>
        <rFont val="Arial"/>
        <sz val="10"/>
        <b/>
      </rPr>
      <t>PASSAGE:</t>
    </r>
    <r>
      <rPr>
        <rFont val="Arial"/>
        <sz val="10"/>
      </rPr>
      <t xml:space="preserve"> делать все то, что Мелани, не стыдясь, проделывала при всех.
</t>
    </r>
    <r>
      <rPr>
        <rFont val="Arial"/>
        <sz val="10"/>
        <b/>
      </rPr>
      <t>TRANS:</t>
    </r>
    <r>
      <rPr>
        <rFont val="Arial"/>
        <sz val="10"/>
      </rPr>
      <t xml:space="preserve"> delat' vse to, chto Melani, ne stydyas', prodelyvala pri vsekh.
</t>
    </r>
    <r>
      <rPr>
        <rFont val="Arial"/>
        <sz val="10"/>
        <b/>
      </rPr>
      <t>TRANSLATION:</t>
    </r>
    <r>
      <rPr>
        <rFont val="Arial"/>
        <sz val="10"/>
      </rPr>
      <t xml:space="preserve"> do everything that Melanie did in front of everyone without being ashamed.</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</si>
  <si>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Мелани сияқты ешкімнен қысылмай, бәрінің көзінше жасар еді.
</t>
    </r>
    <r>
      <rPr>
        <rFont val="Arial"/>
        <sz val="10"/>
        <b/>
      </rPr>
      <t>TRANS:</t>
    </r>
    <r>
      <rPr>
        <rFont val="Arial"/>
        <sz val="10"/>
      </rPr>
      <t xml:space="preserve"> Melani siaqty eşkımnen qysylmai, bärınıñ közınşe jasar edı.
</t>
    </r>
    <r>
      <rPr>
        <rFont val="Arial"/>
        <sz val="10"/>
        <b/>
      </rPr>
      <t>TRANSLATION:</t>
    </r>
    <r>
      <rPr>
        <rFont val="Arial"/>
        <sz val="10"/>
      </rPr>
      <t xml:space="preserve"> She would do, like Melanie, in front of everyone's eyes, without being embarrassed by anyone.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</si>
  <si>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А возможно… возможно, потому, что мне стыдно.
</t>
    </r>
    <r>
      <rPr>
        <rFont val="Arial"/>
        <sz val="10"/>
        <b/>
      </rPr>
      <t>TRANS:</t>
    </r>
    <r>
      <rPr>
        <rFont val="Arial"/>
        <sz val="10"/>
      </rPr>
      <t xml:space="preserve"> A vozmozhno… vozmozhno, potomu, chto mne stydno.
</t>
    </r>
    <r>
      <rPr>
        <rFont val="Arial"/>
        <sz val="10"/>
        <b/>
      </rPr>
      <t>TRANSLATION:</t>
    </r>
    <r>
      <rPr>
        <rFont val="Arial"/>
        <sz val="10"/>
      </rPr>
      <t xml:space="preserve"> And perhaps... perhaps because I am ashamed.</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</si>
  <si>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Мүмкін... ұялғанымнан шығар
</t>
    </r>
    <r>
      <rPr>
        <rFont val="Arial"/>
        <sz val="10"/>
        <b/>
      </rPr>
      <t>TRANS:</t>
    </r>
    <r>
      <rPr>
        <rFont val="Arial"/>
        <sz val="10"/>
      </rPr>
      <t xml:space="preserve"> Mümkın... ūialğanymnan şyğar
</t>
    </r>
    <r>
      <rPr>
        <rFont val="Arial"/>
        <sz val="10"/>
        <b/>
      </rPr>
      <t>TRANSLATION:</t>
    </r>
    <r>
      <rPr>
        <rFont val="Arial"/>
        <sz val="10"/>
      </rPr>
      <t xml:space="preserve"> Perhaps... it must be because I am ashamed.</t>
    </r>
  </si>
  <si>
    <r>
      <rPr>
        <rFont val="Arial"/>
        <sz val="10"/>
        <b/>
      </rPr>
      <t>TERM:</t>
    </r>
    <r>
      <rPr>
        <rFont val="Arial"/>
        <sz val="10"/>
      </rPr>
      <t xml:space="preserve"> sgorat' so styda! (сгорать со стыда!) = burn with shame
</t>
    </r>
    <r>
      <rPr>
        <rFont val="Arial"/>
        <sz val="10"/>
        <b/>
      </rPr>
      <t>PASSAGE:</t>
    </r>
    <r>
      <rPr>
        <rFont val="Arial"/>
        <sz val="10"/>
      </rPr>
      <t xml:space="preserve"> Я от стыда сгораю, думая об этом.
</t>
    </r>
    <r>
      <rPr>
        <rFont val="Arial"/>
        <sz val="10"/>
        <b/>
      </rPr>
      <t>TRANS:</t>
    </r>
    <r>
      <rPr>
        <rFont val="Arial"/>
        <sz val="10"/>
      </rPr>
      <t xml:space="preserve"> Ya ot styda sgorayu, dumaya ob etom.
</t>
    </r>
    <r>
      <rPr>
        <rFont val="Arial"/>
        <sz val="10"/>
        <b/>
      </rPr>
      <t>TRANSLATION:</t>
    </r>
    <r>
      <rPr>
        <rFont val="Arial"/>
        <sz val="10"/>
      </rPr>
      <t xml:space="preserve"> I burn with shame whenever I think about it.</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</si>
  <si>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Соны ойласам, ұяттан өліп кете жаздаймын.
</t>
    </r>
    <r>
      <rPr>
        <rFont val="Arial"/>
        <sz val="10"/>
        <b/>
      </rPr>
      <t>TRANS:</t>
    </r>
    <r>
      <rPr>
        <rFont val="Arial"/>
        <sz val="10"/>
      </rPr>
      <t xml:space="preserve"> Sony oilasam, ūiattan ölıp kete jazdaimyn.
</t>
    </r>
    <r>
      <rPr>
        <rFont val="Arial"/>
        <sz val="10"/>
        <b/>
      </rPr>
      <t>TRANSLATION:</t>
    </r>
    <r>
      <rPr>
        <rFont val="Arial"/>
        <sz val="10"/>
      </rPr>
      <t xml:space="preserve"> When I think of it, I almost die of shame.</t>
    </r>
  </si>
  <si>
    <r>
      <rPr>
        <rFont val="Arial"/>
        <sz val="10"/>
        <b/>
      </rPr>
      <t>TERM:</t>
    </r>
    <r>
      <rPr>
        <rFont val="Arial"/>
        <sz val="10"/>
      </rPr>
      <t xml:space="preserve"> pozore (позоре) — disgrace (prep.) [ORD] (lemma: позор)
</t>
    </r>
    <r>
      <rPr>
        <rFont val="Arial"/>
        <sz val="10"/>
        <b/>
      </rPr>
      <t>PASSAGE:</t>
    </r>
    <r>
      <rPr>
        <rFont val="Arial"/>
        <sz val="10"/>
      </rPr>
      <t xml:space="preserve"> ибо Ретт с наигранным ужасом умолял ее никому не говорить об этом его «позоре».
</t>
    </r>
    <r>
      <rPr>
        <rFont val="Arial"/>
        <sz val="10"/>
        <b/>
      </rPr>
      <t>TRANS:</t>
    </r>
    <r>
      <rPr>
        <rFont val="Arial"/>
        <sz val="10"/>
      </rPr>
      <t xml:space="preserve"> ibo Rett s naigrannym uzhasom umolyal ee nikomu ne govorit' ob etom ego «pozore».
</t>
    </r>
    <r>
      <rPr>
        <rFont val="Arial"/>
        <sz val="10"/>
        <b/>
      </rPr>
      <t>TRANSLATION:</t>
    </r>
    <r>
      <rPr>
        <rFont val="Arial"/>
        <sz val="10"/>
      </rPr>
      <t xml:space="preserve"> for Rhett with feigned horror had implored her not to tell anyone about this "disgrace" of his.</t>
    </r>
  </si>
  <si>
    <r>
      <rPr>
        <rFont val="Arial"/>
        <sz val="10"/>
        <b/>
      </rPr>
      <t>TERM:</t>
    </r>
    <r>
      <rPr>
        <rFont val="Arial"/>
        <sz val="10"/>
      </rPr>
      <t xml:space="preserve"> ŪİATTY (ҰЯТТЫ) — shameful; indecent (adj.) [KED, SZK]
</t>
    </r>
    <r>
      <rPr>
        <rFont val="Arial"/>
        <sz val="10"/>
        <b/>
      </rPr>
      <t>PASSAGE:</t>
    </r>
    <r>
      <rPr>
        <rFont val="Arial"/>
        <sz val="10"/>
      </rPr>
      <t xml:space="preserve"> Реттің сегіз ай бойы конфедераттармен бірге болғанын жалғыз Скарлетт қана білетін, өйткені ол "ұятты іс" туралы ешкімге тіс жармауын жалған қорқақтың кейпіне еніп тұрып сұраған-ды.
</t>
    </r>
    <r>
      <rPr>
        <rFont val="Arial"/>
        <sz val="10"/>
        <b/>
      </rPr>
      <t>TRANS:</t>
    </r>
    <r>
      <rPr>
        <rFont val="Arial"/>
        <sz val="10"/>
      </rPr>
      <t xml:space="preserve"> Rettıñ segız ai boiy konfederattarmen bırge bolğanyn jalğyz Skarlett qana bıletın, öitkenı ol "ūiatty ıs" turaly eşkımge tıs jarmauyn jalğan qorqaqtyñ keipıne enıp tūryp sūrağan-dy.
</t>
    </r>
    <r>
      <rPr>
        <rFont val="Arial"/>
        <sz val="10"/>
        <b/>
      </rPr>
      <t>TRANSLATION:</t>
    </r>
    <r>
      <rPr>
        <rFont val="Arial"/>
        <sz val="10"/>
      </rPr>
      <t xml:space="preserve"> Only Scarlett knew that Rhett had been with the Confederates for eight months, because he had asked her, donning the mask of feigned cowardice, not to breathe a word about that "shameful business".</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</si>
  <si>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Стыдно признаться, но они смотрят на меня, как на своего, и открыто говорят при мне обо всем.
</t>
    </r>
    <r>
      <rPr>
        <rFont val="Arial"/>
        <sz val="10"/>
        <b/>
      </rPr>
      <t>TRANS:</t>
    </r>
    <r>
      <rPr>
        <rFont val="Arial"/>
        <sz val="10"/>
      </rPr>
      <t xml:space="preserve"> Stydno priznat'sya, no oni smotryat na menya, kak na svoego, i otkryto govoryat pri mne obo vsem.
</t>
    </r>
    <r>
      <rPr>
        <rFont val="Arial"/>
        <sz val="10"/>
        <b/>
      </rPr>
      <t>TRANSLATION:</t>
    </r>
    <r>
      <rPr>
        <rFont val="Arial"/>
        <sz val="10"/>
      </rPr>
      <t xml:space="preserve"> It's shameful to admit, but they look at me as one of their own and openly talk about everything in my presence.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</si>
  <si>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Мұны айтуым ұят шығар, бірақ ол байғұстар мені өз адамдарындай көріп, мен бар жерде барлығын ашық жоспарлай береді.
</t>
    </r>
    <r>
      <rPr>
        <rFont val="Arial"/>
        <sz val="10"/>
        <b/>
      </rPr>
      <t>TRANS:</t>
    </r>
    <r>
      <rPr>
        <rFont val="Arial"/>
        <sz val="10"/>
      </rPr>
      <t xml:space="preserve"> Mūny aituym ūiat şyğar, bıraq ol baiğūstar menı öz adamdaryndai körıp, men bar jerde barlyğyn aşyq josparlai beredı.
</t>
    </r>
    <r>
      <rPr>
        <rFont val="Arial"/>
        <sz val="10"/>
        <b/>
      </rPr>
      <t>TRANSLATION:</t>
    </r>
    <r>
      <rPr>
        <rFont val="Arial"/>
        <sz val="10"/>
      </rPr>
      <t xml:space="preserve"> Saying this may be shameful, but those poor souls regard me as one of their own people and openly plan everything when I am there.</t>
    </r>
  </si>
  <si>
    <r>
      <rPr>
        <rFont val="Arial"/>
        <sz val="10"/>
        <b/>
      </rPr>
      <t>TERM:</t>
    </r>
    <r>
      <rPr>
        <rFont val="Arial"/>
        <sz val="10"/>
      </rPr>
      <t xml:space="preserve"> stydites' (стыдитесь) — feel ashamed (imperative pl./formal sg.) [ORD] (lemma: стыдиться)
</t>
    </r>
    <r>
      <rPr>
        <rFont val="Arial"/>
        <sz val="10"/>
        <b/>
      </rPr>
      <t>PASSAGE:</t>
    </r>
    <r>
      <rPr>
        <rFont val="Arial"/>
        <sz val="10"/>
      </rPr>
      <t xml:space="preserve"> А я-то полагала, что вы стыдитесь своего участия в войне,
</t>
    </r>
    <r>
      <rPr>
        <rFont val="Arial"/>
        <sz val="10"/>
        <b/>
      </rPr>
      <t>TRANS:</t>
    </r>
    <r>
      <rPr>
        <rFont val="Arial"/>
        <sz val="10"/>
      </rPr>
      <t xml:space="preserve"> A ya-to polagala, chto vy stydites' svoego uchastiya v voyne,
</t>
    </r>
    <r>
      <rPr>
        <rFont val="Arial"/>
        <sz val="10"/>
        <b/>
      </rPr>
      <t>TRANSLATION:</t>
    </r>
    <r>
      <rPr>
        <rFont val="Arial"/>
        <sz val="10"/>
      </rPr>
      <t xml:space="preserve"> And I had assumed you were ashamed of your participation in the war,</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</si>
  <si>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Мен сізді соғысқа қатысқаныңызға ұялып жүр екен десем.
</t>
    </r>
    <r>
      <rPr>
        <rFont val="Arial"/>
        <sz val="10"/>
        <b/>
      </rPr>
      <t>TRANS:</t>
    </r>
    <r>
      <rPr>
        <rFont val="Arial"/>
        <sz val="10"/>
      </rPr>
      <t xml:space="preserve"> Men sızdı soğysqa qatysqanyñyzğa ūialyp jür eken desem.
</t>
    </r>
    <r>
      <rPr>
        <rFont val="Arial"/>
        <sz val="10"/>
        <b/>
      </rPr>
      <t>TRANSLATION:</t>
    </r>
    <r>
      <rPr>
        <rFont val="Arial"/>
        <sz val="10"/>
      </rPr>
      <t xml:space="preserve"> Whereas I had thought you were ashamed of having taken part in the war.</t>
    </r>
  </si>
  <si>
    <r>
      <rPr>
        <rFont val="Arial"/>
        <sz val="10"/>
        <b/>
      </rPr>
      <t>TERM:</t>
    </r>
    <r>
      <rPr>
        <rFont val="Arial"/>
        <sz val="10"/>
      </rPr>
      <t xml:space="preserve"> stesnyaetes' (стесняетесь) — (you) are shy; feel awkward (2pl.) [ORD] (lemma: стесняться)
</t>
    </r>
    <r>
      <rPr>
        <rFont val="Arial"/>
        <sz val="10"/>
        <b/>
      </rPr>
      <t>PASSAGE:</t>
    </r>
    <r>
      <rPr>
        <rFont val="Arial"/>
        <sz val="10"/>
      </rPr>
      <t xml:space="preserve"> Можно подумать, что вы стесняетесь этого
</t>
    </r>
    <r>
      <rPr>
        <rFont val="Arial"/>
        <sz val="10"/>
        <b/>
      </rPr>
      <t>TRANS:</t>
    </r>
    <r>
      <rPr>
        <rFont val="Arial"/>
        <sz val="10"/>
      </rPr>
      <t xml:space="preserve"> Mozhno podumat', chto vy stesnyaetes' etogo
</t>
    </r>
    <r>
      <rPr>
        <rFont val="Arial"/>
        <sz val="10"/>
        <b/>
      </rPr>
      <t>TRANSLATION:</t>
    </r>
    <r>
      <rPr>
        <rFont val="Arial"/>
        <sz val="10"/>
      </rPr>
      <t xml:space="preserve"> One might think you were embarrassed by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</si>
  <si>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Тіпті сізді сол қызметі үшін ұялады деуге де болатындай.
</t>
    </r>
    <r>
      <rPr>
        <rFont val="Arial"/>
        <sz val="10"/>
        <b/>
      </rPr>
      <t>TRANS:</t>
    </r>
    <r>
      <rPr>
        <rFont val="Arial"/>
        <sz val="10"/>
      </rPr>
      <t xml:space="preserve"> Tıptı sızdı sol qyzmetı üşın ūialady deuge de bolatyndai.
</t>
    </r>
    <r>
      <rPr>
        <rFont val="Arial"/>
        <sz val="10"/>
        <b/>
      </rPr>
      <t>TRANSLATION:</t>
    </r>
    <r>
      <rPr>
        <rFont val="Arial"/>
        <sz val="10"/>
      </rPr>
      <t xml:space="preserve"> One could even say you were ashamed of that service.</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</si>
  <si>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Как-то стыдно мне было говорить об этом в свете… в свете некоторых моих тогдашних поступков.
</t>
    </r>
    <r>
      <rPr>
        <rFont val="Arial"/>
        <sz val="10"/>
        <b/>
      </rPr>
      <t>TRANS:</t>
    </r>
    <r>
      <rPr>
        <rFont val="Arial"/>
        <sz val="10"/>
      </rPr>
      <t xml:space="preserve"> Kak-to stydno mne bylo govorit' ob etom v svete… v svete nekotorykh moikh togdashnikh postupkov.
</t>
    </r>
    <r>
      <rPr>
        <rFont val="Arial"/>
        <sz val="10"/>
        <b/>
      </rPr>
      <t>TRANSLATION:</t>
    </r>
    <r>
      <rPr>
        <rFont val="Arial"/>
        <sz val="10"/>
      </rPr>
      <t xml:space="preserve"> It was somehow shameful for me to talk about it in the light of... in the light of certain of my actions back then.</t>
    </r>
  </si>
  <si>
    <r>
      <rPr>
        <rFont val="Arial"/>
        <sz val="10"/>
        <b/>
      </rPr>
      <t>TERM:</t>
    </r>
    <r>
      <rPr>
        <rFont val="Arial"/>
        <sz val="10"/>
      </rPr>
      <t xml:space="preserve"> yñğaisyz (ыңғайсыз) — awkward; uncomfortable [KED, SZK]
</t>
    </r>
    <r>
      <rPr>
        <rFont val="Arial"/>
        <sz val="10"/>
        <b/>
      </rPr>
      <t>PASSAGE:</t>
    </r>
    <r>
      <rPr>
        <rFont val="Arial"/>
        <sz val="10"/>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ыңғайсыз секілді.
</t>
    </r>
    <r>
      <rPr>
        <rFont val="Arial"/>
        <sz val="10"/>
        <b/>
      </rPr>
      <t>TRANS:</t>
    </r>
    <r>
      <rPr>
        <rFont val="Arial"/>
        <sz val="10"/>
      </rPr>
      <t xml:space="preserve"> Onyñ adam maqtanarlyq eşteñesı joq sekıldı ğoi. Onyñ üstıne köpşılık ortada özımnıñ älgındei... qylyqtarymnan keiın bırdeñe dep maqtanudyñ özı yñğaisyz sekıldı.
</t>
    </r>
    <r>
      <rPr>
        <rFont val="Arial"/>
        <sz val="10"/>
        <b/>
      </rPr>
      <t>TRANSLATION:</t>
    </r>
    <r>
      <rPr>
        <rFont val="Arial"/>
        <sz val="10"/>
      </rPr>
      <t xml:space="preserve"> There seems to be nothing in it for one to boast of. Besides, in public, after my own such... behavior, even saying anything boastful seems awkward.</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</si>
  <si>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И даю слово, Долли, он сказал, что ему стыдно, со слезами на глазах!
</t>
    </r>
    <r>
      <rPr>
        <rFont val="Arial"/>
        <sz val="10"/>
        <b/>
      </rPr>
      <t>TRANS:</t>
    </r>
    <r>
      <rPr>
        <rFont val="Arial"/>
        <sz val="10"/>
      </rPr>
      <t xml:space="preserve"> I dayu slovo, Dolli, on skazal, chto emu stydno, so slezami na glazakh!
</t>
    </r>
    <r>
      <rPr>
        <rFont val="Arial"/>
        <sz val="10"/>
        <b/>
      </rPr>
      <t>TRANSLATION:</t>
    </r>
    <r>
      <rPr>
        <rFont val="Arial"/>
        <sz val="10"/>
      </rPr>
      <t xml:space="preserve"> And I give you my word, Dolly, he said he was ashamed, with tears in his eyes!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</si>
  <si>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Шынымен де оның ұяты бар екен, Долли, көзіне жас алып тұрды.
</t>
    </r>
    <r>
      <rPr>
        <rFont val="Arial"/>
        <sz val="10"/>
        <b/>
      </rPr>
      <t>TRANS:</t>
    </r>
    <r>
      <rPr>
        <rFont val="Arial"/>
        <sz val="10"/>
      </rPr>
      <t xml:space="preserve"> Şynymen de onyñ ūiaty bar eken, Dolli, közıne jas alyp tūrdy.
</t>
    </r>
    <r>
      <rPr>
        <rFont val="Arial"/>
        <sz val="10"/>
        <b/>
      </rPr>
      <t>TRANSLATION:</t>
    </r>
    <r>
      <rPr>
        <rFont val="Arial"/>
        <sz val="10"/>
      </rPr>
      <t xml:space="preserve"> He really did have shame, Dolly — he had tears in his eyes.</t>
    </r>
  </si>
  <si>
    <r>
      <rPr>
        <rFont val="Arial"/>
        <sz val="10"/>
        <b/>
      </rPr>
      <t>TERM:</t>
    </r>
    <r>
      <rPr>
        <rFont val="Arial"/>
        <sz val="10"/>
      </rPr>
      <t xml:space="preserve"> styditsya (стыдится) — feels ashamed (3sg) [ORD] (lemma: стыдиться)
</t>
    </r>
    <r>
      <rPr>
        <rFont val="Arial"/>
        <sz val="10"/>
        <b/>
      </rPr>
      <t>PASSAGE:</t>
    </r>
    <r>
      <rPr>
        <rFont val="Arial"/>
        <sz val="10"/>
      </rPr>
      <t xml:space="preserve"> Знаете, Долли, мне в самом деле кажется, что он… ну, словом, что он стыдится Скарлетт, но, будучи джентльменом, не показывает этого.
</t>
    </r>
    <r>
      <rPr>
        <rFont val="Arial"/>
        <sz val="10"/>
        <b/>
      </rPr>
      <t>TRANS:</t>
    </r>
    <r>
      <rPr>
        <rFont val="Arial"/>
        <sz val="10"/>
      </rPr>
      <t xml:space="preserve"> Znaete, Dolli, mne v samom dele kazhetsya, chto on… nu, slovom, chto on styditsya Skarlett, no, buduchi dzhentl'menom, ne pokazyvaet etogo.
</t>
    </r>
    <r>
      <rPr>
        <rFont val="Arial"/>
        <sz val="10"/>
        <b/>
      </rPr>
      <t>TRANSLATION:</t>
    </r>
    <r>
      <rPr>
        <rFont val="Arial"/>
        <sz val="10"/>
      </rPr>
      <t xml:space="preserve"> You know, Dolly, it really seems to me that he... well, that he is ashamed of Scarlett, but being a gentleman, he does not show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</si>
  <si>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Байқайсыз ба, Долли, сірә, ол Скарлетт үшін ұялатын тәрізді ме, қалай? Тек онысын байқатпайтын сияқты. Қанша дегенмен мырза емес пе?
</t>
    </r>
    <r>
      <rPr>
        <rFont val="Arial"/>
        <sz val="10"/>
        <b/>
      </rPr>
      <t>TRANS:</t>
    </r>
    <r>
      <rPr>
        <rFont val="Arial"/>
        <sz val="10"/>
      </rPr>
      <t xml:space="preserve"> Baiqaisyz ba, Dolli, sırä, ol Skarlett üşın ūialatyn tärızdı me, qalai? Tek onysyn baiqatpaityn siaqty. Qanşa degenmen myrza emes pe?
</t>
    </r>
    <r>
      <rPr>
        <rFont val="Arial"/>
        <sz val="10"/>
        <b/>
      </rPr>
      <t>TRANSLATION:</t>
    </r>
    <r>
      <rPr>
        <rFont val="Arial"/>
        <sz val="10"/>
      </rPr>
      <t xml:space="preserve"> Don't you notice, Dolly — it seems perhaps he is ashamed for Scarlett's sake, no? But he doesn't let it show. After all, isn't he a gentleman?</t>
    </r>
  </si>
  <si>
    <r>
      <rPr>
        <rFont val="Arial"/>
        <sz val="10"/>
        <b/>
      </rPr>
      <t>TERM:</t>
    </r>
    <r>
      <rPr>
        <rFont val="Arial"/>
        <sz val="10"/>
      </rPr>
      <t xml:space="preserve"> chuvstva viny (чувства вины) — feeling of guilt (gen.) [ORD] (lemma: вина)
</t>
    </r>
    <r>
      <rPr>
        <rFont val="Arial"/>
        <sz val="10"/>
        <b/>
      </rPr>
      <t>PASSAGE:</t>
    </r>
    <r>
      <rPr>
        <rFont val="Arial"/>
        <sz val="10"/>
      </rPr>
      <t xml:space="preserve"> Но Стюарт не мог избавиться от чувства вины и испытывал поэтому неловкость.
</t>
    </r>
    <r>
      <rPr>
        <rFont val="Arial"/>
        <sz val="10"/>
        <b/>
      </rPr>
      <t>TRANS:</t>
    </r>
    <r>
      <rPr>
        <rFont val="Arial"/>
        <sz val="10"/>
      </rPr>
      <t xml:space="preserve"> No Styuart ne mog izbavit'sya ot chuvstva viny i ispytyval poetomu nelovkost'.
</t>
    </r>
    <r>
      <rPr>
        <rFont val="Arial"/>
        <sz val="10"/>
        <b/>
      </rPr>
      <t>TRANSLATION:</t>
    </r>
    <r>
      <rPr>
        <rFont val="Arial"/>
        <sz val="10"/>
      </rPr>
      <t xml:space="preserve"> But Stuart could not rid himself of the feeling of guilt and as a result felt awkward.</t>
    </r>
  </si>
  <si>
    <r>
      <rPr>
        <rFont val="Arial"/>
        <sz val="10"/>
        <b/>
      </rPr>
      <t>TERM:</t>
    </r>
    <r>
      <rPr>
        <rFont val="Arial"/>
        <sz val="10"/>
      </rPr>
      <t xml:space="preserve"> KİNÄLY (КІНӘЛЫ) — guilty; at fault [KED, SZK] (lemma: кінәлі)
</t>
    </r>
    <r>
      <rPr>
        <rFont val="Arial"/>
        <sz val="10"/>
        <b/>
      </rPr>
      <t>PASSAGE:</t>
    </r>
    <r>
      <rPr>
        <rFont val="Arial"/>
        <sz val="10"/>
      </rPr>
      <t xml:space="preserve"> Бірақ Стюарт оның алдында өзін кінәлі сезінгендіктен ыңғайсыздықтан арыла алмады.
</t>
    </r>
    <r>
      <rPr>
        <rFont val="Arial"/>
        <sz val="10"/>
        <b/>
      </rPr>
      <t>TRANS:</t>
    </r>
    <r>
      <rPr>
        <rFont val="Arial"/>
        <sz val="10"/>
      </rPr>
      <t xml:space="preserve"> Biraq Styuart onyñ aldynda özin kinäli sezingendikten yñğaysyzdyqtan aryla almady.
</t>
    </r>
    <r>
      <rPr>
        <rFont val="Arial"/>
        <sz val="10"/>
        <b/>
      </rPr>
      <t>TRANSLATION:</t>
    </r>
    <r>
      <rPr>
        <rFont val="Arial"/>
        <sz val="10"/>
      </rPr>
      <t xml:space="preserve"> But Stuart could not rid himself of the awkwardness of feeling guilty before her.</t>
    </r>
  </si>
  <si>
    <r>
      <rPr>
        <rFont val="Arial"/>
        <sz val="10"/>
        <b/>
      </rPr>
      <t>TERM:</t>
    </r>
    <r>
      <rPr>
        <rFont val="Arial"/>
        <sz val="10"/>
      </rPr>
      <t xml:space="preserve"> Ø — omission; English guilt is not lexicalized in the Kazakh translation
</t>
    </r>
    <r>
      <rPr>
        <rFont val="Arial"/>
        <sz val="10"/>
        <b/>
      </rPr>
      <t>PASSAGE:</t>
    </r>
    <r>
      <rPr>
        <rFont val="Arial"/>
        <sz val="10"/>
      </rPr>
      <t xml:space="preserve"> 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
    </r>
    <r>
      <rPr>
        <rFont val="Arial"/>
        <sz val="10"/>
        <b/>
      </rPr>
      <t>TRANS:</t>
    </r>
    <r>
      <rPr>
        <rFont val="Arial"/>
        <sz val="10"/>
      </rPr>
      <t xml:space="preserve"> Skarlett äkesınen qoryqpaityn. Ol özınen keiıngı sıñlılerıne qarağanda äkesıne jaqyn boldy, ony qūrdasyndai köretın, öitkenı Gerald jas bala sekıldı äielıne körsetpei şalğynda tıkesınen şauyp ötudı ūnatatyn, Skarlett te sondai tosın qylyqtar men batyldyqtardy öte jaqsy köredı, sonymen bırge onyñ Ülken şeşeige qarsy adal odaqtasy bolatyn.
</t>
    </r>
    <r>
      <rPr>
        <rFont val="Arial"/>
        <sz val="10"/>
        <b/>
      </rPr>
      <t>TRANSLATION:</t>
    </r>
    <r>
      <rPr>
        <rFont val="Arial"/>
        <sz val="10"/>
      </rPr>
      <t xml:space="preserve"> Scarlett was not afraid of her father. She was closer to him than her younger sisters were and regarded him as a peer, because Gerald, like a young boy, enjoyed galloping straight across the meadow without his wife seeing him. Scarlett loved such unexpected acts and displays of boldness, and he was also her loyal ally against Mammy.
</t>
    </r>
    <r>
      <rPr>
        <rFont val="Arial"/>
        <sz val="10"/>
        <b/>
      </rPr>
      <t>COMMENT:</t>
    </r>
    <r>
      <rPr>
        <rFont val="Arial"/>
        <sz val="10"/>
      </rPr>
      <t xml:space="preserve"> The source-text reference to guilt is omitted; no Kazakh moral-emotion term corresponds to it.</t>
    </r>
  </si>
  <si>
    <r>
      <rPr>
        <rFont val="Arial"/>
        <sz val="10"/>
        <b/>
      </rPr>
      <t>TERM:</t>
    </r>
    <r>
      <rPr>
        <rFont val="Arial"/>
        <sz val="10"/>
      </rPr>
      <t xml:space="preserve"> smushchenno (смущенно) — in embarrassment; awkwardly (adv.) [ORD]
</t>
    </r>
    <r>
      <rPr>
        <rFont val="Arial"/>
        <sz val="10"/>
        <b/>
      </rPr>
      <t>PASSAGE:</t>
    </r>
    <r>
      <rPr>
        <rFont val="Arial"/>
        <sz val="10"/>
      </rPr>
      <t xml:space="preserv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
    </r>
    <r>
      <rPr>
        <rFont val="Arial"/>
        <sz val="10"/>
        <b/>
      </rPr>
      <t>TRANS:</t>
    </r>
    <r>
      <rPr>
        <rFont val="Arial"/>
        <sz val="10"/>
      </rPr>
      <t xml:space="preserve"> — Khm, da, da, — smushchenno probormotal Dzherald, do soznaniya kotorogo vdrug doshlo, chto etot chrezvychayno interesnyy i vpolne, na ego vzglyad, prilichnyy razgovor, veroyatno, pokazalsya by sovsem neumestnym ego zhene
</t>
    </r>
    <r>
      <rPr>
        <rFont val="Arial"/>
        <sz val="10"/>
        <b/>
      </rPr>
      <t>TRANSLATION:</t>
    </r>
    <r>
      <rPr>
        <rFont val="Arial"/>
        <sz val="10"/>
      </rPr>
      <t xml:space="preserve"> "Hm, yes, yes," Gerald muttered in embarrassment, suddenly realizing that this conversation, extremely interesting and, in his view, perfectly proper, would probably appear utterly inappropriate to his wife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</si>
  <si>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 Джералд ұялғаннан күбірлеп, ол кенет өзінің ойынша өте қызықты әрі әжептәуір әңгіме әйеліме мүлдем орынсыз болып көрінер еді деп ойлады.
</t>
    </r>
    <r>
      <rPr>
        <rFont val="Arial"/>
        <sz val="10"/>
        <b/>
      </rPr>
      <t>TRANS:</t>
    </r>
    <r>
      <rPr>
        <rFont val="Arial"/>
        <sz val="10"/>
      </rPr>
      <t xml:space="preserve"> ... Jerald ūialğannan kübırlep, ol kenet özınıñ oiynşa öte qyzyqty ärı äjeptäuır äñgıme äielıme müldem orynsyz bolyp körıner edı dep oilady.
</t>
    </r>
    <r>
      <rPr>
        <rFont val="Arial"/>
        <sz val="10"/>
        <b/>
      </rPr>
      <t>TRANSLATION:</t>
    </r>
    <r>
      <rPr>
        <rFont val="Arial"/>
        <sz val="10"/>
      </rPr>
      <t xml:space="preserve"> ... Gerald murmured in embarrassment, suddenly thinking that the conversation he found very interesting and respectable would seem entirely improper to his wife.</t>
    </r>
  </si>
  <si>
    <r>
      <rPr>
        <rFont val="Arial"/>
        <sz val="10"/>
        <b/>
      </rPr>
      <t>TERM:</t>
    </r>
    <r>
      <rPr>
        <rFont val="Arial"/>
        <sz val="10"/>
      </rPr>
      <t xml:space="preserve"> ne bez nekotorykh ugryzeniy sovesti (не без некоторых угрызений совести) — not without some pangs of conscience [ORD] (lemma: угрызение)
</t>
    </r>
    <r>
      <rPr>
        <rFont val="Arial"/>
        <sz val="10"/>
        <b/>
      </rPr>
      <t>PASSAGE:</t>
    </r>
    <r>
      <rPr>
        <rFont val="Arial"/>
        <sz val="10"/>
      </rPr>
      <t xml:space="preserv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
    </r>
    <r>
      <rPr>
        <rFont val="Arial"/>
        <sz val="10"/>
        <b/>
      </rPr>
      <t>TRANS:</t>
    </r>
    <r>
      <rPr>
        <rFont val="Arial"/>
        <sz val="10"/>
      </rPr>
      <t xml:space="preserve"> Poka kolyaska, podnimaya krasnuyu pyl', katilas' po doroge k Dvenadtsati Dubam, Skarlett, ne bez nekotorykh ugryzeniy sovesti, radovalas' tomu, chto ni Ellin, ni Mamushka ne budut prisutstvovat' na barbekyu.
</t>
    </r>
    <r>
      <rPr>
        <rFont val="Arial"/>
        <sz val="10"/>
        <b/>
      </rPr>
      <t>TRANSLATION:</t>
    </r>
    <r>
      <rPr>
        <rFont val="Arial"/>
        <sz val="10"/>
      </rPr>
      <t xml:space="preserve"> As the carriage rolled along the road to Twelve Oaks raising red dust, Scarlett, not without some pangs of conscience, was glad that neither Ellen nor Mammy would be present at the barbecue.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</si>
  <si>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Скарлетт аздап ары мазаласа да, барбекюде Эллиннің де, Үлкен шешейдің де болмайтынына қуанды.
</t>
    </r>
    <r>
      <rPr>
        <rFont val="Arial"/>
        <sz val="10"/>
        <b/>
      </rPr>
      <t>TRANS:</t>
    </r>
    <r>
      <rPr>
        <rFont val="Arial"/>
        <sz val="10"/>
      </rPr>
      <t xml:space="preserve"> Skarlett azdap ary mazalasa da, barbeküde Elinnıñ de, Ülken şeşeidıñ de bolmaitynyna quandy
</t>
    </r>
    <r>
      <rPr>
        <rFont val="Arial"/>
        <sz val="10"/>
        <b/>
      </rPr>
      <t>TRANSLATION:</t>
    </r>
    <r>
      <rPr>
        <rFont val="Arial"/>
        <sz val="10"/>
      </rPr>
      <t xml:space="preserve"> Although Scarlett's conscience troubled her a little, she rejoiced that neither Ellen nor Mammy would be at the barbecue.</t>
    </r>
  </si>
  <si>
    <r>
      <rPr>
        <rFont val="Arial"/>
        <sz val="10"/>
        <b/>
      </rPr>
      <t>TERM:</t>
    </r>
    <r>
      <rPr>
        <rFont val="Arial"/>
        <sz val="10"/>
      </rPr>
      <t xml:space="preserve"> raskayanie (раскаяние) — repentance; remorse [ORD]
</t>
    </r>
    <r>
      <rPr>
        <rFont val="Arial"/>
        <sz val="10"/>
        <b/>
      </rPr>
      <t>PASSAGE:</t>
    </r>
    <r>
      <rPr>
        <rFont val="Arial"/>
        <sz val="10"/>
      </rPr>
      <t xml:space="preserve"> Скарлетт похолодела и в душе у нее пробудилось раскаяние.
</t>
    </r>
    <r>
      <rPr>
        <rFont val="Arial"/>
        <sz val="10"/>
        <b/>
      </rPr>
      <t>TRANS:</t>
    </r>
    <r>
      <rPr>
        <rFont val="Arial"/>
        <sz val="10"/>
      </rPr>
      <t xml:space="preserve"> Skarlett pokholodela i v dushe u nee probudilos' raskayanie.
</t>
    </r>
    <r>
      <rPr>
        <rFont val="Arial"/>
        <sz val="10"/>
        <b/>
      </rPr>
      <t>TRANSLATION:</t>
    </r>
    <r>
      <rPr>
        <rFont val="Arial"/>
        <sz val="10"/>
      </rPr>
      <t xml:space="preserve"> Scarlett went cold and remorse awakened in her soul.</t>
    </r>
  </si>
  <si>
    <r>
      <rPr>
        <rFont val="Arial"/>
        <sz val="10"/>
        <b/>
      </rPr>
      <t>TERM:</t>
    </r>
    <r>
      <rPr>
        <rFont val="Arial"/>
        <sz val="10"/>
      </rPr>
      <t xml:space="preserve"> ÖKİNİSH (ӨКІНІШ) — regret; repentance [KED, SZK]
</t>
    </r>
    <r>
      <rPr>
        <rFont val="Arial"/>
        <sz val="10"/>
        <b/>
      </rPr>
      <t>PASSAGE:</t>
    </r>
    <r>
      <rPr>
        <rFont val="Arial"/>
        <sz val="10"/>
      </rPr>
      <t xml:space="preserve"> Скарлетт суып сала берді де, оның жан дүниесінде өкініш пайда болды.
</t>
    </r>
    <r>
      <rPr>
        <rFont val="Arial"/>
        <sz val="10"/>
        <b/>
      </rPr>
      <t>TRANS:</t>
    </r>
    <r>
      <rPr>
        <rFont val="Arial"/>
        <sz val="10"/>
      </rPr>
      <t xml:space="preserve"> Skarlett suyp sala berdı de, onyñ jan düniesınde ökınış paida boldy.
</t>
    </r>
    <r>
      <rPr>
        <rFont val="Arial"/>
        <sz val="10"/>
        <b/>
      </rPr>
      <t>TRANSLATION:</t>
    </r>
    <r>
      <rPr>
        <rFont val="Arial"/>
        <sz val="10"/>
      </rPr>
      <t xml:space="preserve"> Scarlett grew cold, and remorse arose in her inner being.</t>
    </r>
  </si>
  <si>
    <r>
      <rPr>
        <rFont val="Arial"/>
        <sz val="10"/>
        <b/>
      </rPr>
      <t>TERM:</t>
    </r>
    <r>
      <rPr>
        <rFont val="Arial"/>
        <sz val="10"/>
      </rPr>
      <t xml:space="preserve"> provinivshiysya (провинившийся) — the one at fault; one who has done wrong (active part.) [ORD] (lemma: провиниться)
</t>
    </r>
    <r>
      <rPr>
        <rFont val="Arial"/>
        <sz val="10"/>
        <b/>
      </rPr>
      <t>PASSAGE:</t>
    </r>
    <r>
      <rPr>
        <rFont val="Arial"/>
        <sz val="10"/>
      </rPr>
      <t xml:space="preserve"> Она чувствовала себя словно провинившийся ребенок — совсем как в десять лет, когда как-то раз за столом запустила в Сьюлин печеньем.
</t>
    </r>
    <r>
      <rPr>
        <rFont val="Arial"/>
        <sz val="10"/>
        <b/>
      </rPr>
      <t>TRANS:</t>
    </r>
    <r>
      <rPr>
        <rFont val="Arial"/>
        <sz val="10"/>
      </rPr>
      <t xml:space="preserve"> Ona chuvstvovala sebya slovno provinivshiysya rebenok — sovsem kak v desyat' let, kogda kak-to raz za stolom zapustila v S'yulin pechen'em.
</t>
    </r>
    <r>
      <rPr>
        <rFont val="Arial"/>
        <sz val="10"/>
        <b/>
      </rPr>
      <t>TRANSLATION:</t>
    </r>
    <r>
      <rPr>
        <rFont val="Arial"/>
        <sz val="10"/>
      </rPr>
      <t xml:space="preserve"> She felt as though she were a guilty child — exactly as at age ten, when she once threw a cookie at Suellen at the table.</t>
    </r>
  </si>
  <si>
    <r>
      <rPr>
        <rFont val="Arial"/>
        <sz val="10"/>
        <b/>
      </rPr>
      <t>TERM:</t>
    </r>
    <r>
      <rPr>
        <rFont val="Arial"/>
        <sz val="10"/>
      </rPr>
      <t xml:space="preserve"> JAZYQTY (ЖАЗЫҚТЫ) — at fault; guilty [KED, SZK]
</t>
    </r>
    <r>
      <rPr>
        <rFont val="Arial"/>
        <sz val="10"/>
        <b/>
      </rPr>
      <t>PASSAGE:</t>
    </r>
    <r>
      <rPr>
        <rFont val="Arial"/>
        <sz val="10"/>
      </rPr>
      <t xml:space="preserve"> Сьюлинге тоқаш лақтырған кездегі жазықты болған он жасар жасөспірім кезіндегідей сезінді.
</t>
    </r>
    <r>
      <rPr>
        <rFont val="Arial"/>
        <sz val="10"/>
        <b/>
      </rPr>
      <t>TRANS:</t>
    </r>
    <r>
      <rPr>
        <rFont val="Arial"/>
        <sz val="10"/>
      </rPr>
      <t xml:space="preserve"> S'iulinge toqaş laqtyrğan kezdegı jazyqty bolğan on jasar jasöspırım kezındegıdei sezındı.
</t>
    </r>
    <r>
      <rPr>
        <rFont val="Arial"/>
        <sz val="10"/>
        <b/>
      </rPr>
      <t>TRANSLATION:</t>
    </r>
    <r>
      <rPr>
        <rFont val="Arial"/>
        <sz val="10"/>
      </rPr>
      <t xml:space="preserve"> She felt as if she were a ten-year-old who had thrown a roll at Suellen — like a guilty youngster.</t>
    </r>
  </si>
  <si>
    <r>
      <rPr>
        <rFont val="Arial"/>
        <sz val="10"/>
        <b/>
      </rPr>
      <t>TERM:</t>
    </r>
    <r>
      <rPr>
        <rFont val="Arial"/>
        <sz val="10"/>
      </rPr>
      <t xml:space="preserve"> sovest' (совесть) — conscience; the inner moral faculty [ORD]
</t>
    </r>
    <r>
      <rPr>
        <rFont val="Arial"/>
        <sz val="10"/>
        <b/>
      </rPr>
      <t>PASSAGE:</t>
    </r>
    <r>
      <rPr>
        <rFont val="Arial"/>
        <sz val="10"/>
      </rPr>
      <t xml:space="preserve"> в испуге подумала Скарлетт, так как, совесть ее, разумеется, была нечиста.
</t>
    </r>
    <r>
      <rPr>
        <rFont val="Arial"/>
        <sz val="10"/>
        <b/>
      </rPr>
      <t>TRANS:</t>
    </r>
    <r>
      <rPr>
        <rFont val="Arial"/>
        <sz val="10"/>
      </rPr>
      <t xml:space="preserve"> v ispuge podumala Skarlett, tak kak, sovest' ee, razumeetsya, byla nechista.
</t>
    </r>
    <r>
      <rPr>
        <rFont val="Arial"/>
        <sz val="10"/>
        <b/>
      </rPr>
      <t>TRANSLATION:</t>
    </r>
    <r>
      <rPr>
        <rFont val="Arial"/>
        <sz val="10"/>
      </rPr>
      <t xml:space="preserve"> Scarlett thought in fright, since her conscience was, of course, not clean.</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</si>
  <si>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 осылай ойлаған Скарлетт шошып кетті, өйткені оның ар-ұжданы, әрине, таза емес еді.
</t>
    </r>
    <r>
      <rPr>
        <rFont val="Arial"/>
        <sz val="10"/>
        <b/>
      </rPr>
      <t>TRANS:</t>
    </r>
    <r>
      <rPr>
        <rFont val="Arial"/>
        <sz val="10"/>
      </rPr>
      <t xml:space="preserve"> ... osylai oilağan Skarlett şoşyp kettı, öitkenı onyñ ar-ūjdany, ärine, taza emes edı.
</t>
    </r>
    <r>
      <rPr>
        <rFont val="Arial"/>
        <sz val="10"/>
        <b/>
      </rPr>
      <t>TRANSLATION:</t>
    </r>
    <r>
      <rPr>
        <rFont val="Arial"/>
        <sz val="10"/>
      </rPr>
      <t xml:space="preserve"> ... thinking thus, Scarlett took fright, for her ar-ujdan [conscience] was, of course, not clean.</t>
    </r>
  </si>
  <si>
    <r>
      <rPr>
        <rFont val="Arial"/>
        <sz val="10"/>
        <b/>
      </rPr>
      <t>TERM:</t>
    </r>
    <r>
      <rPr>
        <rFont val="Arial"/>
        <sz val="10"/>
      </rPr>
      <t xml:space="preserve"> ugryzeniya sovesti. (угрызения совести.) = pangs of conscience
</t>
    </r>
    <r>
      <rPr>
        <rFont val="Arial"/>
        <sz val="10"/>
        <b/>
      </rPr>
      <t>PASSAGE:</t>
    </r>
    <r>
      <rPr>
        <rFont val="Arial"/>
        <sz val="10"/>
      </rPr>
      <t xml:space="preserve"> — Я всегда, всегда буду вашей маленькой дочуркой, — говорила Скарлетт и прятала лицо на груди Эллин, чувствуя внезапно вспыхнувшие угрызения совести.
</t>
    </r>
    <r>
      <rPr>
        <rFont val="Arial"/>
        <sz val="10"/>
        <b/>
      </rPr>
      <t>TRANS:</t>
    </r>
    <r>
      <rPr>
        <rFont val="Arial"/>
        <sz val="10"/>
      </rPr>
      <t xml:space="preserve"> — Ya vsegda, vsegda budu vashey malen'koy dochurkoy, — govorila Skarlett i pryatala litso na grudi Ellin, chuvstvuya vnezapno vspykhnuvshie ugryzeniya sovesti.
</t>
    </r>
    <r>
      <rPr>
        <rFont val="Arial"/>
        <sz val="10"/>
        <b/>
      </rPr>
      <t>TRANSLATION:</t>
    </r>
    <r>
      <rPr>
        <rFont val="Arial"/>
        <sz val="10"/>
      </rPr>
      <t xml:space="preserve"> "I will always, always be your little daughter," said Scarlett, hiding her face on Ellen's breast, feeling suddenly flaring pangs of conscience.</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</si>
  <si>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 Мен әрқашан сенің кішкентай қызың боламын, - деді Скарлетт өзінің ұжданы алдында қысылған жүзін Эллиннің кеудесіне жасырып.
</t>
    </r>
    <r>
      <rPr>
        <rFont val="Arial"/>
        <sz val="10"/>
        <b/>
      </rPr>
      <t>TRANS:</t>
    </r>
    <r>
      <rPr>
        <rFont val="Arial"/>
        <sz val="10"/>
      </rPr>
      <t xml:space="preserve"> Men ärqaşan senıñ kışkentai qyzyñ bolamyn, - dedı Skarlett özınıñ ūjdany aldynda qysylğan jüzın Elinnıñ keudesıne jasyryp.
</t>
    </r>
    <r>
      <rPr>
        <rFont val="Arial"/>
        <sz val="10"/>
        <b/>
      </rPr>
      <t>TRANSLATION:</t>
    </r>
    <r>
      <rPr>
        <rFont val="Arial"/>
        <sz val="10"/>
      </rPr>
      <t xml:space="preserve"> "I will always be your little girl," said Scarlett, hiding her face — embarrassed before her own conscience [ūjdan] — on Ellen's breast.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</si>
  <si>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rFont val="Arial"/>
        <sz val="10"/>
        <b/>
      </rPr>
      <t>TRANS:</t>
    </r>
    <r>
      <rPr>
        <rFont val="Arial"/>
        <sz val="10"/>
      </rPr>
      <t xml:space="preserve"> Skarlett, ispytyvaya legkiy ukol sovesti, staralas' vspomnit', chto zhe bylo takogo v pis'makh Eshli, chto zastavilo Melani sdelat' podobnoe zayavlenie, no soderzhanie pisem pochti mgnovenno uletuchivalos' u nee iz golovy, kak tol'ko ona konchala chitat'.
</t>
    </r>
    <r>
      <rPr>
        <rFont val="Arial"/>
        <sz val="10"/>
        <b/>
      </rPr>
      <t>TRANSLATION:</t>
    </r>
    <r>
      <rPr>
        <rFont val="Arial"/>
        <sz val="10"/>
      </rPr>
      <t xml:space="preserve"> Scarlett, feeling a slight prick of conscience, tried to recall what was in Ashley's letters that would make Melanie make such a statement, but the contents of the letters almost instantly evaporated from her head as soon as she finished reading.</t>
    </r>
  </si>
  <si>
    <r>
      <rPr>
        <rFont val="Arial"/>
        <sz val="10"/>
        <b/>
      </rPr>
      <t>TERM:</t>
    </r>
    <r>
      <rPr>
        <rFont val="Arial"/>
        <sz val="10"/>
      </rPr>
      <t xml:space="preserve"> ūial- (ұял-) — be ashamed (verbal stem) [KED, SZK] (lemma: ұялу)
</t>
    </r>
    <r>
      <rPr>
        <rFont val="Arial"/>
        <sz val="10"/>
        <b/>
      </rPr>
      <t>PASSAGE:</t>
    </r>
    <r>
      <rPr>
        <rFont val="Arial"/>
        <sz val="10"/>
      </rPr>
      <t xml:space="preserve"> Скарлетт аздап ұялыс сезініп, Эшлидің хаттарындағы Меланиді осындай мәлімдеме жасауға итермелеген жолдарды еске түсіруге тырысты, ...
</t>
    </r>
    <r>
      <rPr>
        <rFont val="Arial"/>
        <sz val="10"/>
        <b/>
      </rPr>
      <t>TRANS:</t>
    </r>
    <r>
      <rPr>
        <rFont val="Arial"/>
        <sz val="10"/>
      </rPr>
      <t xml:space="preserve"> Skarlett azdap ūialys sezınıp, Eşlidıñ hattaryndağy Melanidı osyndai mälımdeme jasauğa itermelegen joldardy eske tüsıruge tyrysty, ....
</t>
    </r>
    <r>
      <rPr>
        <rFont val="Arial"/>
        <sz val="10"/>
        <b/>
      </rPr>
      <t>TRANSLATION:</t>
    </r>
    <r>
      <rPr>
        <rFont val="Arial"/>
        <sz val="10"/>
      </rPr>
      <t xml:space="preserve"> Feeling a slight twinge of shame, Scarlett tried to recall the lines in Ashley's letters that had pushed Melanie to make such a statement,...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</si>
  <si>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 Завидуешь мне? — воскликнула Скарлетт, чувствуя легкий укол совести.
</t>
    </r>
    <r>
      <rPr>
        <rFont val="Arial"/>
        <sz val="10"/>
        <b/>
      </rPr>
      <t>TRANS:</t>
    </r>
    <r>
      <rPr>
        <rFont val="Arial"/>
        <sz val="10"/>
      </rPr>
      <t xml:space="preserve"> — Zaviduesh' mne? — voskliknula Skarlett, chuvstvuya legkiy ukol sovesti.
</t>
    </r>
    <r>
      <rPr>
        <rFont val="Arial"/>
        <sz val="10"/>
        <b/>
      </rPr>
      <t>TRANSLATION:</t>
    </r>
    <r>
      <rPr>
        <rFont val="Arial"/>
        <sz val="10"/>
      </rPr>
      <t xml:space="preserve"> "You're jealous of me?" exclaimed Scarlett, feeling a slight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</si>
  <si>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 Сен менен қызғанасың ба? - деп айқайлады Скарлетт ар-ұжданы ептеп мазалап.
</t>
    </r>
    <r>
      <rPr>
        <rFont val="Arial"/>
        <sz val="10"/>
        <b/>
      </rPr>
      <t>TRANS:</t>
    </r>
    <r>
      <rPr>
        <rFont val="Arial"/>
        <sz val="10"/>
      </rPr>
      <t xml:space="preserve"> - Sen menen qyzğanasyñ ba? - dep aiqailady Skarlett ar-ūjdany eptep mazalap.
</t>
    </r>
    <r>
      <rPr>
        <rFont val="Arial"/>
        <sz val="10"/>
        <b/>
      </rPr>
      <t>TRANSLATION:</t>
    </r>
    <r>
      <rPr>
        <rFont val="Arial"/>
        <sz val="10"/>
      </rPr>
      <t xml:space="preserve"> "Are you jealous of me?" — Scarlett cried out, her ar-ujdan [conscience] slightly troubling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</si>
  <si>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Казалось, Мамушка без труда читала в ее мыслях, и Скарлетт невольно опустила глаза, впервые почувствовав укол совести из-за своей затеи.
</t>
    </r>
    <r>
      <rPr>
        <rFont val="Arial"/>
        <sz val="10"/>
        <b/>
      </rPr>
      <t>TRANS:</t>
    </r>
    <r>
      <rPr>
        <rFont val="Arial"/>
        <sz val="10"/>
      </rPr>
      <t xml:space="preserve"> Kazalos', Mamushka bez truda chitala v ee myslyakh, i Skarlett nevol'no opustila glaza, vpervye pochuvstvovav ukol sovesti iz-za svoey zatei.
</t>
    </r>
    <r>
      <rPr>
        <rFont val="Arial"/>
        <sz val="10"/>
        <b/>
      </rPr>
      <t>TRANSLATION:</t>
    </r>
    <r>
      <rPr>
        <rFont val="Arial"/>
        <sz val="10"/>
      </rPr>
      <t xml:space="preserve"> It seemed that Mammy could read her thoughts without difficulty, and Scarlett involuntarily lowered her eyes, for the first time feeling a prick of conscience because of her scheme.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</si>
  <si>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Скарлетт ұяттың салмағынан ауыр тартқандай болған кірпіктерін төмен түсіре қойды.
</t>
    </r>
    <r>
      <rPr>
        <rFont val="Arial"/>
        <sz val="10"/>
        <b/>
      </rPr>
      <t>TRANS:</t>
    </r>
    <r>
      <rPr>
        <rFont val="Arial"/>
        <sz val="10"/>
      </rPr>
      <t xml:space="preserve"> Skarlett ūiattyñ salmağynan auyr tartqandai bolğan kırpıkterın tömen tüsıre qoidy.
</t>
    </r>
    <r>
      <rPr>
        <rFont val="Arial"/>
        <sz val="10"/>
        <b/>
      </rPr>
      <t>TRANSLATION:</t>
    </r>
    <r>
      <rPr>
        <rFont val="Arial"/>
        <sz val="10"/>
      </rPr>
      <t xml:space="preserve"> Scarlett, as though her eyelids had grown heavy from the weight of shame, lowered them.</t>
    </r>
  </si>
  <si>
    <r>
      <rPr>
        <rFont val="Arial"/>
        <sz val="10"/>
        <b/>
      </rPr>
      <t>TERM:</t>
    </r>
    <r>
      <rPr>
        <rFont val="Arial"/>
        <sz val="10"/>
      </rPr>
      <t xml:space="preserve"> stydno (стыдно) — it is shameful; (one) feels ashamed (impersonal predicate) [ORD]
</t>
    </r>
    <r>
      <rPr>
        <rFont val="Arial"/>
        <sz val="10"/>
        <b/>
      </rPr>
      <t>PASSAGE:</t>
    </r>
    <r>
      <rPr>
        <rFont val="Arial"/>
        <sz val="10"/>
      </rPr>
      <t xml:space="preserve"> Когда Скарлетт впервые решилась на такую ложь, ей потом стало стыдно и очень не по себе —
</t>
    </r>
    <r>
      <rPr>
        <rFont val="Arial"/>
        <sz val="10"/>
        <b/>
      </rPr>
      <t>TRANS:</t>
    </r>
    <r>
      <rPr>
        <rFont val="Arial"/>
        <sz val="10"/>
      </rPr>
      <t xml:space="preserve"> Kogda Skarlett vpervye reshilas' na takuyu lozh', ey potom stalo stydno i ochen' ne po sebe —
</t>
    </r>
    <r>
      <rPr>
        <rFont val="Arial"/>
        <sz val="10"/>
        <b/>
      </rPr>
      <t>TRANSLATION:</t>
    </r>
    <r>
      <rPr>
        <rFont val="Arial"/>
        <sz val="10"/>
      </rPr>
      <t xml:space="preserve"> When Scarlett had first decided on such a lie, she afterward felt ashamed and very ill at ease —</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</si>
  <si>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Осы өтірік айтуға ең алғаш бел байлағанында, әрине, қысылған еді.
</t>
    </r>
    <r>
      <rPr>
        <rFont val="Arial"/>
        <sz val="10"/>
        <b/>
      </rPr>
      <t>TRANS:</t>
    </r>
    <r>
      <rPr>
        <rFont val="Arial"/>
        <sz val="10"/>
      </rPr>
      <t xml:space="preserve"> Osy ötırık aituğa eñ alğaş bel bailağanynda, ärine, qysylğan edı.
</t>
    </r>
    <r>
      <rPr>
        <rFont val="Arial"/>
        <sz val="10"/>
        <b/>
      </rPr>
      <t>TRANSLATION:</t>
    </r>
    <r>
      <rPr>
        <rFont val="Arial"/>
        <sz val="10"/>
      </rPr>
      <t xml:space="preserve"> When she first resolved to tell this lie, of course, she had been embarrassed.</t>
    </r>
  </si>
  <si>
    <r>
      <rPr>
        <rFont val="Arial"/>
        <sz val="10"/>
        <b/>
      </rPr>
      <t>TERM:</t>
    </r>
    <r>
      <rPr>
        <rFont val="Arial"/>
        <sz val="10"/>
      </rPr>
      <t xml:space="preserve"> KİNÄLY (КІНӘЛЫ) — guilty; at fault [KED, SZK] (lemma: кінәлі)
</t>
    </r>
    <r>
      <rPr>
        <rFont val="Arial"/>
        <sz val="10"/>
        <b/>
      </rPr>
      <t>PASSAGE:</t>
    </r>
    <r>
      <rPr>
        <rFont val="Arial"/>
        <sz val="10"/>
      </rPr>
      <t xml:space="preserve"> Ашығын айтқанда, оның күреңіткен жүзін көргенде сасқалақтап, өзін кінәлі сезінгендіктен де бүгежектей бастады.
</t>
    </r>
    <r>
      <rPr>
        <rFont val="Arial"/>
        <sz val="10"/>
        <b/>
      </rPr>
      <t>TRANS:</t>
    </r>
    <r>
      <rPr>
        <rFont val="Arial"/>
        <sz val="10"/>
      </rPr>
      <t xml:space="preserve"> Aşyğyn aitqanda, onyñ küreñıtken jüzın körgende sasqalaqtap, özın kınälı sezıngendıkten de bügejektei bastady.
</t>
    </r>
    <r>
      <rPr>
        <rFont val="Arial"/>
        <sz val="10"/>
        <b/>
      </rPr>
      <t>TRANSLATION:</t>
    </r>
    <r>
      <rPr>
        <rFont val="Arial"/>
        <sz val="10"/>
      </rPr>
      <t xml:space="preserve"> To tell the truth, when she saw his darkened face, she became flustered and, feeling guilty, began to cower.</t>
    </r>
  </si>
  <si>
    <r>
      <rPr>
        <rFont val="Arial"/>
        <sz val="10"/>
        <b/>
      </rPr>
      <t>TERM:</t>
    </r>
    <r>
      <rPr>
        <rFont val="Arial"/>
        <sz val="10"/>
      </rPr>
      <t xml:space="preserve"> greshnaya dusha (грешная душа) — a sinful soul [ORD] (lemma: грешный)
</t>
    </r>
    <r>
      <rPr>
        <rFont val="Arial"/>
        <sz val="10"/>
        <b/>
      </rPr>
      <t>PASSAGE:</t>
    </r>
    <r>
      <rPr>
        <rFont val="Arial"/>
        <sz val="10"/>
      </rPr>
      <t xml:space="preserve"> Хотя ей стало бы намного легче, если бы она могла уткнуться головой ему в плечо, расплакаться и облегчить свою грешную душу!
</t>
    </r>
    <r>
      <rPr>
        <rFont val="Arial"/>
        <sz val="10"/>
        <b/>
      </rPr>
      <t>TRANS:</t>
    </r>
    <r>
      <rPr>
        <rFont val="Arial"/>
        <sz val="10"/>
      </rPr>
      <t xml:space="preserve"> Khotya ey stalo by namnogo legche, esli by ona mogla utknut'sya golovoy emu v plecho, rasplakat'sya i oblegchit' svoyu greshnuyu dushu!
</t>
    </r>
    <r>
      <rPr>
        <rFont val="Arial"/>
        <sz val="10"/>
        <b/>
      </rPr>
      <t>TRANSLATION:</t>
    </r>
    <r>
      <rPr>
        <rFont val="Arial"/>
        <sz val="10"/>
      </rPr>
      <t xml:space="preserve"> Although she would feel much better if she could bury her head in his shoulder, weep, and unburden her sinful soul!</t>
    </r>
  </si>
  <si>
    <r>
      <rPr>
        <rFont val="Arial"/>
        <sz val="10"/>
        <b/>
      </rPr>
      <t>TERM:</t>
    </r>
    <r>
      <rPr>
        <rFont val="Arial"/>
        <sz val="10"/>
      </rPr>
      <t xml:space="preserve"> kökiregindegi zapyranyn (көкірегіндегі запыранын) — the bile in his/her chest (set image: deep bitterness/grief) [KED, SZK] (lemma: запыран)
</t>
    </r>
    <r>
      <rPr>
        <rFont val="Arial"/>
        <sz val="10"/>
        <b/>
      </rPr>
      <t>PASSAGE:</t>
    </r>
    <r>
      <rPr>
        <rFont val="Arial"/>
        <sz val="10"/>
      </rPr>
      <t xml:space="preserve"> Әйтсе де соның иығына басын сүйеп қойып, егіліп жыласа, бар ақиқатты, басынан кешкендерін ақтарып, көкірегіндегі запыранын төгіп, мың батпан қасіретінен айрылса, жеңілдеп те қалар еді-ау
</t>
    </r>
    <r>
      <rPr>
        <rFont val="Arial"/>
        <sz val="10"/>
        <b/>
      </rPr>
      <t>TRANS:</t>
    </r>
    <r>
      <rPr>
        <rFont val="Arial"/>
        <sz val="10"/>
      </rPr>
      <t xml:space="preserve"> Äitse de sonyñ iyğyna basyn süiep qoiyp, egılıp jylasa, bar aqiqatty, basynan keşkenderın aqtaryp, kökıregındegı zapyranyn tögıp, myñ batpan qasıretınen airylsa, jeñıldep te qalar edı-au
</t>
    </r>
    <r>
      <rPr>
        <rFont val="Arial"/>
        <sz val="10"/>
        <b/>
      </rPr>
      <t>TRANSLATION:</t>
    </r>
    <r>
      <rPr>
        <rFont val="Arial"/>
        <sz val="10"/>
      </rPr>
      <t xml:space="preserve"> And yet if she could lean her head on his shoulder and weep her heart out, pour out the whole truth, all she had been through, vent the bitterness from her chest, and rid herself of a thousand-pud weight of grief, she might feel relief.</t>
    </r>
  </si>
  <si>
    <r>
      <rPr>
        <rFont val="Arial"/>
        <sz val="10"/>
        <b/>
      </rPr>
      <t>TERM:</t>
    </r>
    <r>
      <rPr>
        <rFont val="Arial"/>
        <sz val="10"/>
      </rPr>
      <t xml:space="preserve"> chuvstvo viny (чувство вины) — feeling of guilt [ORD] (lemma: вина)
</t>
    </r>
    <r>
      <rPr>
        <rFont val="Arial"/>
        <sz val="10"/>
        <b/>
      </rPr>
      <t>PASSAGE:</t>
    </r>
    <r>
      <rPr>
        <rFont val="Arial"/>
        <sz val="10"/>
      </rPr>
      <t xml:space="preserve"> — О! — выдохнула Скарлетт: чувство вины боролось в ней с чувством радости оттого, что Эшли неравнодушен к ней, что она ему по-прежнему мила.
</t>
    </r>
    <r>
      <rPr>
        <rFont val="Arial"/>
        <sz val="10"/>
        <b/>
      </rPr>
      <t>TRANS:</t>
    </r>
    <r>
      <rPr>
        <rFont val="Arial"/>
        <sz val="10"/>
      </rPr>
      <t xml:space="preserve"> — O! — vydokhnula Skarlett: chuvstvo viny borolos' v ney s chuvstvom radosti ottogo, chto Eshli neravnodushen k ney, chto ona emu po-prezhnemu mila.
</t>
    </r>
    <r>
      <rPr>
        <rFont val="Arial"/>
        <sz val="10"/>
        <b/>
      </rPr>
      <t>TRANSLATION:</t>
    </r>
    <r>
      <rPr>
        <rFont val="Arial"/>
        <sz val="10"/>
      </rPr>
      <t xml:space="preserve"> "Oh!" Scarlett exhaled: a feeling of guilt struggled within her with the joy that Ashley was not indifferent to her, that she was still dear to him.</t>
    </r>
  </si>
  <si>
    <r>
      <rPr>
        <rFont val="Arial"/>
        <sz val="10"/>
        <b/>
      </rPr>
      <t>TERM:</t>
    </r>
    <r>
      <rPr>
        <rFont val="Arial"/>
        <sz val="10"/>
      </rPr>
      <t xml:space="preserve"> KİNÄLAU (КІНӘЛАУ) — to blame; to find guilty [KED, SZK]
</t>
    </r>
    <r>
      <rPr>
        <rFont val="Arial"/>
        <sz val="10"/>
        <b/>
      </rPr>
      <t>PASSAGE:</t>
    </r>
    <r>
      <rPr>
        <rFont val="Arial"/>
        <sz val="10"/>
      </rPr>
      <t xml:space="preserve"> Эшлидің өзіне бейжай қарамайтынына көзі жеткеннен көңілі сергексіп, өзін іштей кінәлау сезімін қуанышы жеңе бастағандай.
</t>
    </r>
    <r>
      <rPr>
        <rFont val="Arial"/>
        <sz val="10"/>
        <b/>
      </rPr>
      <t>TRANS:</t>
    </r>
    <r>
      <rPr>
        <rFont val="Arial"/>
        <sz val="10"/>
      </rPr>
      <t xml:space="preserve"> Eşlidıñ özıne beijai qaramaitynyna közı jetkennen köñılı sergeksıp, özın ıştei kınälau sezımın quanyşy jeñe bastağandai.
</t>
    </r>
    <r>
      <rPr>
        <rFont val="Arial"/>
        <sz val="10"/>
        <b/>
      </rPr>
      <t>TRANSLATION:</t>
    </r>
    <r>
      <rPr>
        <rFont val="Arial"/>
        <sz val="10"/>
      </rPr>
      <t xml:space="preserve"> When she became convinced that Ashley was not indifferent toward her, her spirits revived, and joy began to overcome the feeling of guilt within her.</t>
    </r>
  </si>
  <si>
    <r>
      <rPr>
        <rFont val="Arial"/>
        <sz val="10"/>
        <b/>
      </rPr>
      <t>TERM:</t>
    </r>
    <r>
      <rPr>
        <rFont val="Arial"/>
        <sz val="10"/>
      </rPr>
      <t xml:space="preserve"> viny (вины) — guilt; fault (gen.) [ORD] (lemma: вина)
</t>
    </r>
    <r>
      <rPr>
        <rFont val="Arial"/>
        <sz val="10"/>
        <b/>
      </rPr>
      <t>PASSAGE:</t>
    </r>
    <r>
      <rPr>
        <rFont val="Arial"/>
        <sz val="10"/>
      </rPr>
      <t xml:space="preserve"> Слишком она была испугана и подавлена сознанием вины за прошлое, чтобы пытаться это понять.
</t>
    </r>
    <r>
      <rPr>
        <rFont val="Arial"/>
        <sz val="10"/>
        <b/>
      </rPr>
      <t>TRANS:</t>
    </r>
    <r>
      <rPr>
        <rFont val="Arial"/>
        <sz val="10"/>
      </rPr>
      <t xml:space="preserve"> Slishkom ona byla ispugana i podavlena soznaniem viny za proshloe, chtoby pytat'sya eto ponyat'.
</t>
    </r>
    <r>
      <rPr>
        <rFont val="Arial"/>
        <sz val="10"/>
        <b/>
      </rPr>
      <t>TRANSLATION:</t>
    </r>
    <r>
      <rPr>
        <rFont val="Arial"/>
        <sz val="10"/>
      </rPr>
      <t xml:space="preserve"> She was too frightened and overwhelmed by the consciousness of guilt for the past to try to understand it.</t>
    </r>
  </si>
  <si>
    <r>
      <rPr>
        <rFont val="Arial"/>
        <sz val="10"/>
        <b/>
      </rPr>
      <t>TERM:</t>
    </r>
    <r>
      <rPr>
        <rFont val="Arial"/>
        <sz val="10"/>
      </rPr>
      <t xml:space="preserve"> nechistoy sovesti (нечистой совести) — an unclean conscience (gen.) [ORD] (lemma: совесть)
</t>
    </r>
    <r>
      <rPr>
        <rFont val="Arial"/>
        <sz val="10"/>
        <b/>
      </rPr>
      <t>PASSAGE:</t>
    </r>
    <r>
      <rPr>
        <rFont val="Arial"/>
        <sz val="10"/>
      </rPr>
      <t xml:space="preserve"> Или, быть может, так ей казалось из-за нечистой совести?
</t>
    </r>
    <r>
      <rPr>
        <rFont val="Arial"/>
        <sz val="10"/>
        <b/>
      </rPr>
      <t>TRANS:</t>
    </r>
    <r>
      <rPr>
        <rFont val="Arial"/>
        <sz val="10"/>
      </rPr>
      <t xml:space="preserve"> Ili, byt' mozhet, tak ey kazalos' iz-za nechistoy sovesti?
</t>
    </r>
    <r>
      <rPr>
        <rFont val="Arial"/>
        <sz val="10"/>
        <b/>
      </rPr>
      <t>TRANSLATION:</t>
    </r>
    <r>
      <rPr>
        <rFont val="Arial"/>
        <sz val="10"/>
      </rPr>
      <t xml:space="preserve"> Or perhaps it seemed so to her because of her unclean conscience?</t>
    </r>
  </si>
  <si>
    <r>
      <rPr>
        <rFont val="Arial"/>
        <sz val="10"/>
        <b/>
      </rPr>
      <t>TERM:</t>
    </r>
    <r>
      <rPr>
        <rFont val="Arial"/>
        <sz val="10"/>
      </rPr>
      <t xml:space="preserve"> vinovataya (виноватая) — guilty; at fault (fem.) [ORD] (lemma: виноватый)
</t>
    </r>
    <r>
      <rPr>
        <rFont val="Arial"/>
        <sz val="10"/>
        <b/>
      </rPr>
      <t>PASSAGE:</t>
    </r>
    <r>
      <rPr>
        <rFont val="Arial"/>
        <sz val="10"/>
      </rPr>
      <t xml:space="preserve"> А сейчас, когда Мелани стала ее защищать, тогда как сама она, Скарлетт, чувствовала себя глубоко виноватой, — этого она и вовсе не в состоянии была вынести.
</t>
    </r>
    <r>
      <rPr>
        <rFont val="Arial"/>
        <sz val="10"/>
        <b/>
      </rPr>
      <t>TRANS:</t>
    </r>
    <r>
      <rPr>
        <rFont val="Arial"/>
        <sz val="10"/>
      </rPr>
      <t xml:space="preserve"> A seychas, kogda Melani stala ee zashchishchat', togda kak sama ona, Skarlett, chuvstvovala sebya gluboko vinovatoy, — etogo ona i vovse ne v sostoyanii byla vynesti.
</t>
    </r>
    <r>
      <rPr>
        <rFont val="Arial"/>
        <sz val="10"/>
        <b/>
      </rPr>
      <t>TRANSLATION:</t>
    </r>
    <r>
      <rPr>
        <rFont val="Arial"/>
        <sz val="10"/>
      </rPr>
      <t xml:space="preserve"> And now, when Melanie began to defend her, while she herself, Scarlett, felt deeply guilty — this she was simply unable to bear.</t>
    </r>
  </si>
  <si>
    <r>
      <rPr>
        <rFont val="Arial"/>
        <sz val="10"/>
        <b/>
      </rPr>
      <t>TERM:</t>
    </r>
    <r>
      <rPr>
        <rFont val="Arial"/>
        <sz val="10"/>
      </rPr>
      <t xml:space="preserve"> künä (күнә) — sin (religious register; from Persian gunāh) [KED, SZK]
</t>
    </r>
    <r>
      <rPr>
        <rFont val="Arial"/>
        <sz val="10"/>
        <b/>
      </rPr>
      <t>PASSAGE:</t>
    </r>
    <r>
      <rPr>
        <rFont val="Arial"/>
        <sz val="10"/>
      </rPr>
      <t xml:space="preserve"> Өзінің соншалық күнәға батқан қазіргі жағдайында Меланидің өлердей сеніп, шыр-пыр боп, қорғаштағаны жанына тіпті қатты батып тұр
</t>
    </r>
    <r>
      <rPr>
        <rFont val="Arial"/>
        <sz val="10"/>
        <b/>
      </rPr>
      <t>TRANS:</t>
    </r>
    <r>
      <rPr>
        <rFont val="Arial"/>
        <sz val="10"/>
      </rPr>
      <t xml:space="preserve"> Özınıñ sonşalyq künäğa batqan qazırgı jağdaiynda Melanidıñ ölerdei senıp, şyr-pyr bop, qorğaştağany janyna tıptı qatty batyp tūr
</t>
    </r>
    <r>
      <rPr>
        <rFont val="Arial"/>
        <sz val="10"/>
        <b/>
      </rPr>
      <t>TRANSLATION:</t>
    </r>
    <r>
      <rPr>
        <rFont val="Arial"/>
        <sz val="10"/>
      </rPr>
      <t xml:space="preserve"> In her present situation, having sinned so deeply, Melanie's believing in her to the death and bustling about to protect her sat very heavily on her soul.</t>
    </r>
  </si>
  <si>
    <r>
      <rPr>
        <rFont val="Arial"/>
        <sz val="10"/>
        <b/>
      </rPr>
      <t>TERM:</t>
    </r>
    <r>
      <rPr>
        <rFont val="Arial"/>
        <sz val="10"/>
      </rPr>
      <t xml:space="preserve"> pozora (позора) — disgrace (gen.) [ORD] (lemma: позор)
</t>
    </r>
    <r>
      <rPr>
        <rFont val="Arial"/>
        <sz val="10"/>
        <b/>
      </rPr>
      <t>PASSAGE:</t>
    </r>
    <r>
      <rPr>
        <rFont val="Arial"/>
        <sz val="10"/>
      </rPr>
      <t xml:space="preserve"> Черное пятно позора и вины, лежавшее на ней, переползло и на него.
</t>
    </r>
    <r>
      <rPr>
        <rFont val="Arial"/>
        <sz val="10"/>
        <b/>
      </rPr>
      <t>TRANS:</t>
    </r>
    <r>
      <rPr>
        <rFont val="Arial"/>
        <sz val="10"/>
      </rPr>
      <t xml:space="preserve"> Chernoe pyatno pozora i viny, lezhavshee na ney, perepolzlo i na nego.
</t>
    </r>
    <r>
      <rPr>
        <rFont val="Arial"/>
        <sz val="10"/>
        <b/>
      </rPr>
      <t>TRANSLATION:</t>
    </r>
    <r>
      <rPr>
        <rFont val="Arial"/>
        <sz val="10"/>
      </rPr>
      <t xml:space="preserve"> The black stain of disgrace and guilt that lay upon her crept onto him as well.</t>
    </r>
  </si>
  <si>
    <r>
      <rPr>
        <rFont val="Arial"/>
        <sz val="10"/>
        <b/>
      </rPr>
      <t>TERM:</t>
    </r>
    <r>
      <rPr>
        <rFont val="Arial"/>
        <sz val="10"/>
      </rPr>
      <t xml:space="preserve"> kınä men künä (кінә мен күнә) — guilt and sin (set phrase combining secular and religious registers) [KED, SZK] (lemma: кінә)
</t>
    </r>
    <r>
      <rPr>
        <rFont val="Arial"/>
        <sz val="10"/>
        <b/>
      </rPr>
      <t>PASSAGE:</t>
    </r>
    <r>
      <rPr>
        <rFont val="Arial"/>
        <sz val="10"/>
      </rPr>
      <t xml:space="preserve"> Осы уақытқа дейін өз арқасына басқан кінә мен күнәнің қап-қара нүктесі жылыстап, Эшлиге қарай ауып бара жатты.
</t>
    </r>
    <r>
      <rPr>
        <rFont val="Arial"/>
        <sz val="10"/>
        <b/>
      </rPr>
      <t>TRANS:</t>
    </r>
    <r>
      <rPr>
        <rFont val="Arial"/>
        <sz val="10"/>
      </rPr>
      <t xml:space="preserve"> Osy uaqytqa deiın öz arqasyna basqan kınä men künänıñ qap-qara nüktesı jylystap, Eşlige qarai auyp bara jatty.
</t>
    </r>
    <r>
      <rPr>
        <rFont val="Arial"/>
        <sz val="10"/>
        <b/>
      </rPr>
      <t>TRANSLATION:</t>
    </r>
    <r>
      <rPr>
        <rFont val="Arial"/>
        <sz val="10"/>
      </rPr>
      <t xml:space="preserve"> The pitch-black mark of guilt and sin that she had borne on her own back was sliding off and shifting toward Ashley.</t>
    </r>
  </si>
  <si>
    <r>
      <rPr>
        <rFont val="Arial"/>
        <sz val="10"/>
        <b/>
      </rPr>
      <t>TERM:</t>
    </r>
    <r>
      <rPr>
        <rFont val="Arial"/>
        <sz val="10"/>
      </rPr>
      <t xml:space="preserve"> KİNÄLY (КІНӘЛЫ) — guilty; at fault [KED, SZK] (lemma: кінәлі)
</t>
    </r>
    <r>
      <rPr>
        <rFont val="Arial"/>
        <sz val="10"/>
        <b/>
      </rPr>
      <t>PASSAGE:</t>
    </r>
    <r>
      <rPr>
        <rFont val="Arial"/>
        <sz val="10"/>
      </rPr>
      <t xml:space="preserve"> Бері таман жақындап, қасына келген қарияның жанарынан қасірет көрген Скарлеттің жүрегі зырқ ете қалып кінәлі балаша төмен қарай берді.
</t>
    </r>
    <r>
      <rPr>
        <rFont val="Arial"/>
        <sz val="10"/>
        <b/>
      </rPr>
      <t>TRANS:</t>
    </r>
    <r>
      <rPr>
        <rFont val="Arial"/>
        <sz val="10"/>
      </rPr>
      <t xml:space="preserve"> Berı taman jaqyndap, qasyna kelgen qarianyñ janarynan qasıret körgen Skarlettıñ jüregı zyrq ete qalyp kınälı balaşa tömen qarai berdı.
</t>
    </r>
    <r>
      <rPr>
        <rFont val="Arial"/>
        <sz val="10"/>
        <b/>
      </rPr>
      <t>TRANSLATION:</t>
    </r>
    <r>
      <rPr>
        <rFont val="Arial"/>
        <sz val="10"/>
      </rPr>
      <t xml:space="preserve"> When the old man came nearer and approached, seeing the suffering in his gaze Scarlett's heart pounded and she lowered her eyes like a guilty child.</t>
    </r>
  </si>
  <si>
    <r>
      <rPr>
        <rFont val="Arial"/>
        <sz val="10"/>
        <b/>
      </rPr>
      <t>TERM:</t>
    </r>
    <r>
      <rPr>
        <rFont val="Arial"/>
        <sz val="10"/>
      </rPr>
      <t xml:space="preserve"> vinovato (виновато) — guiltily (adv.) [ORD]
</t>
    </r>
    <r>
      <rPr>
        <rFont val="Arial"/>
        <sz val="10"/>
        <b/>
      </rPr>
      <t>PASSAGE:</t>
    </r>
    <r>
      <rPr>
        <rFont val="Arial"/>
        <sz val="10"/>
      </rPr>
      <t xml:space="preserve"> «Ах, какая же я скверная, — виновато подумала Мелани.
</t>
    </r>
    <r>
      <rPr>
        <rFont val="Arial"/>
        <sz val="10"/>
        <b/>
      </rPr>
      <t>TRANS:</t>
    </r>
    <r>
      <rPr>
        <rFont val="Arial"/>
        <sz val="10"/>
      </rPr>
      <t xml:space="preserve"> «Akh, kakaya zhe ya skvernaya, — vinovato podumala Melani.
</t>
    </r>
    <r>
      <rPr>
        <rFont val="Arial"/>
        <sz val="10"/>
        <b/>
      </rPr>
      <t>TRANSLATION:</t>
    </r>
    <r>
      <rPr>
        <rFont val="Arial"/>
        <sz val="10"/>
      </rPr>
      <t xml:space="preserve"> "Oh, what an awful person I am," Melanie thought guiltily.</t>
    </r>
  </si>
  <si>
    <r>
      <rPr>
        <rFont val="Arial"/>
        <sz val="10"/>
        <b/>
      </rPr>
      <t>TERM:</t>
    </r>
    <r>
      <rPr>
        <rFont val="Arial"/>
        <sz val="10"/>
      </rPr>
      <t xml:space="preserve"> QYSYLU (ҚЫСЫЛУ) — to feel embarrassed; to feel constrained; to be in difficulty [KED, SZK]
</t>
    </r>
    <r>
      <rPr>
        <rFont val="Arial"/>
        <sz val="10"/>
        <b/>
      </rPr>
      <t>PASSAGE:</t>
    </r>
    <r>
      <rPr>
        <rFont val="Arial"/>
        <sz val="10"/>
      </rPr>
      <t xml:space="preserve"> О, тәңірім, мен неткен қызғаншақ едім, - деп ойлады тағы өз ішкі тұжырымдарынан қысылып кеткен Мелани.
</t>
    </r>
    <r>
      <rPr>
        <rFont val="Arial"/>
        <sz val="10"/>
        <b/>
      </rPr>
      <t>TRANS:</t>
    </r>
    <r>
      <rPr>
        <rFont val="Arial"/>
        <sz val="10"/>
      </rPr>
      <t xml:space="preserve"> O, täñırım, men netken qyzğanşaq edım, - dep oilady tağy öz ışkı tūjyrymdarynan qysylyp ketken Melani.
</t>
    </r>
    <r>
      <rPr>
        <rFont val="Arial"/>
        <sz val="10"/>
        <b/>
      </rPr>
      <t>TRANSLATION:</t>
    </r>
    <r>
      <rPr>
        <rFont val="Arial"/>
        <sz val="10"/>
      </rPr>
      <t xml:space="preserve"> "O God, how envious I have been!" — thought Melanie, again embarrassed at her own inner conclusions.</t>
    </r>
  </si>
  <si>
    <r>
      <rPr>
        <rFont val="Arial"/>
        <sz val="10"/>
        <b/>
      </rPr>
      <t>TERM:</t>
    </r>
    <r>
      <rPr>
        <rFont val="Arial"/>
        <sz val="10"/>
      </rPr>
      <t xml:space="preserve"> chuvstva viny (чувства вины) — feeling of guilt (gen.) [ORD] (lemma: вина)
</t>
    </r>
    <r>
      <rPr>
        <rFont val="Arial"/>
        <sz val="10"/>
        <b/>
      </rPr>
      <t>PASSAGE:</t>
    </r>
    <r>
      <rPr>
        <rFont val="Arial"/>
        <sz val="10"/>
      </rPr>
      <t xml:space="preserve"> Они с превеликим аппетитом, но и не без чувства вины прикончили этого петуха, ибо все отлично понимали: петуха Порк украл, так же как горох и кукурузу.
</t>
    </r>
    <r>
      <rPr>
        <rFont val="Arial"/>
        <sz val="10"/>
        <b/>
      </rPr>
      <t>TRANS:</t>
    </r>
    <r>
      <rPr>
        <rFont val="Arial"/>
        <sz val="10"/>
      </rPr>
      <t xml:space="preserve"> Oni s prevelikim appetitom, no i ne bez chuvstva viny prikonchili etogo petukha, ibo vse otlichno ponimali: petukha Pork ukral, tak zhe kak gorokh i kukuruzu.
</t>
    </r>
    <r>
      <rPr>
        <rFont val="Arial"/>
        <sz val="10"/>
        <b/>
      </rPr>
      <t>TRANSLATION:</t>
    </r>
    <r>
      <rPr>
        <rFont val="Arial"/>
        <sz val="10"/>
      </rPr>
      <t xml:space="preserve"> They polished off this rooster with great appetite, but not without a feeling of guilt, for everyone understood perfectly well: Pork had stolen the rooster, just as he had the peas and corn.</t>
    </r>
  </si>
  <si>
    <r>
      <rPr>
        <rFont val="Arial"/>
        <sz val="10"/>
        <b/>
      </rPr>
      <t>TERM:</t>
    </r>
    <r>
      <rPr>
        <rFont val="Arial"/>
        <sz val="10"/>
      </rPr>
      <t xml:space="preserve"> AİYPTY (АЙЫПТЫ) — guilty [KED, SZK]
</t>
    </r>
    <r>
      <rPr>
        <rFont val="Arial"/>
        <sz val="10"/>
        <b/>
      </rPr>
      <t>PASSAGE:</t>
    </r>
    <r>
      <rPr>
        <rFont val="Arial"/>
        <sz val="10"/>
      </rPr>
      <t xml:space="preserve"> Олар бұл әтешті тамаша тәбетпен жеп алды, бірақ оған қоса әлденеге айыпты сезім де болды, өйткені Порктің бұршақ пен жүгеріні ұрлап әкелгені сияқты әтешті де үптеп кеткенін бәрінің іштері сезді.
</t>
    </r>
    <r>
      <rPr>
        <rFont val="Arial"/>
        <sz val="10"/>
        <b/>
      </rPr>
      <t>TRANS:</t>
    </r>
    <r>
      <rPr>
        <rFont val="Arial"/>
        <sz val="10"/>
      </rPr>
      <t xml:space="preserve"> Olar būl äteştı tamaşa täbetpen jep aldy, bıraq oğan qosa äldenege aiypty sezım de boldy, öitkenı Porktıñ būrşaq pen jügerını ūrlap äkelgenı siaqty äteştı de üptep ketkenın bärınıñ ışterı sezdı.
</t>
    </r>
    <r>
      <rPr>
        <rFont val="Arial"/>
        <sz val="10"/>
        <b/>
      </rPr>
      <t>TRANSLATION:</t>
    </r>
    <r>
      <rPr>
        <rFont val="Arial"/>
        <sz val="10"/>
      </rPr>
      <t xml:space="preserve"> They ate this rooster with wonderful appetite, but along with that there was also a feeling of guilt, for everyone inwardly sensed that, just as Pork had stolen the peas and corn, he had taken this rooster too.</t>
    </r>
  </si>
  <si>
    <r>
      <rPr>
        <rFont val="Arial"/>
        <sz val="10"/>
        <b/>
      </rPr>
      <t>TERM:</t>
    </r>
    <r>
      <rPr>
        <rFont val="Arial"/>
        <sz val="10"/>
      </rPr>
      <t xml:space="preserve"> provinivshimisya (провинившимися) — those at fault; the guilty ones (instr. pl.) [ORD] (lemma: провиниться)
</t>
    </r>
    <r>
      <rPr>
        <rFont val="Arial"/>
        <sz val="10"/>
        <b/>
      </rPr>
      <t>PASSAGE:</t>
    </r>
    <r>
      <rPr>
        <rFont val="Arial"/>
        <sz val="10"/>
      </rPr>
      <t xml:space="preserv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
    </r>
    <r>
      <rPr>
        <rFont val="Arial"/>
        <sz val="10"/>
        <b/>
      </rPr>
      <t>TRANS:</t>
    </r>
    <r>
      <rPr>
        <rFont val="Arial"/>
        <sz val="10"/>
      </rPr>
      <t xml:space="preserve"> Ona derzhitsya, khrani ee gospod', — otvechal dyadyushka Piter, brosaya takoy surovyy vzglyad snachala na Melani, zatem na Skarlett, chto oni srazu pochuvstvovali sebya provinivshimisya, khotya eshche ne otdavali sebe otcheta — v chem.
</t>
    </r>
    <r>
      <rPr>
        <rFont val="Arial"/>
        <sz val="10"/>
        <b/>
      </rPr>
      <t>TRANSLATION:</t>
    </r>
    <r>
      <rPr>
        <rFont val="Arial"/>
        <sz val="10"/>
      </rPr>
      <t xml:space="preserve"> She is bearing up, God preserve her, — answered Uncle Peter, casting such a stern look first at Melanie and then at Scarlett that they immediately felt guilty, although they could not yet account to themselves of what.</t>
    </r>
  </si>
  <si>
    <r>
      <rPr>
        <rFont val="Arial"/>
        <sz val="10"/>
        <b/>
      </rPr>
      <t>TERM:</t>
    </r>
    <r>
      <rPr>
        <rFont val="Arial"/>
        <sz val="10"/>
      </rPr>
      <t xml:space="preserve"> KİNÄLY (КІНӘЛЫ) — guilty; at fault [KED, SZK] (lemma: кінәлі)
</t>
    </r>
    <r>
      <rPr>
        <rFont val="Arial"/>
        <sz val="10"/>
        <b/>
      </rPr>
      <t>PASSAGE:</t>
    </r>
    <r>
      <rPr>
        <rFont val="Arial"/>
        <sz val="10"/>
      </rPr>
      <t xml:space="preserve"> осы сәтте олар не үшін екеніне есеп беріп жатпаса да, өздерін кінәлі сезінді.
</t>
    </r>
    <r>
      <rPr>
        <rFont val="Arial"/>
        <sz val="10"/>
        <b/>
      </rPr>
      <t>TRANS:</t>
    </r>
    <r>
      <rPr>
        <rFont val="Arial"/>
        <sz val="10"/>
      </rPr>
      <t xml:space="preserve"> osy sätte olar ne üşın ekenıne esep berıp jatpasa da, özderın kınälı sezındı.
</t>
    </r>
    <r>
      <rPr>
        <rFont val="Arial"/>
        <sz val="10"/>
        <b/>
      </rPr>
      <t>TRANSLATION:</t>
    </r>
    <r>
      <rPr>
        <rFont val="Arial"/>
        <sz val="10"/>
      </rPr>
      <t xml:space="preserve"> at that moment, although they were not yet giving themselves an account of why, they felt guilty.</t>
    </r>
  </si>
  <si>
    <r>
      <rPr>
        <rFont val="Arial"/>
        <sz val="10"/>
        <b/>
      </rPr>
      <t>TERM:</t>
    </r>
    <r>
      <rPr>
        <rFont val="Arial"/>
        <sz val="10"/>
      </rPr>
      <t xml:space="preserve"> stesnyaetes' (стесняетесь) — (you) are shy; feel awkward (2pl.) [ORD] (lemma: стесняться)
</t>
    </r>
    <r>
      <rPr>
        <rFont val="Arial"/>
        <sz val="10"/>
        <b/>
      </rPr>
      <t>PASSAGE:</t>
    </r>
    <r>
      <rPr>
        <rFont val="Arial"/>
        <sz val="10"/>
      </rPr>
      <t xml:space="preserve"> Можно подумать, что вы стесняетесь этого
</t>
    </r>
    <r>
      <rPr>
        <rFont val="Arial"/>
        <sz val="10"/>
        <b/>
      </rPr>
      <t>TRANS:</t>
    </r>
    <r>
      <rPr>
        <rFont val="Arial"/>
        <sz val="10"/>
      </rPr>
      <t xml:space="preserve"> Mozhno podumat', chto vy stesnyaetes' etogo
</t>
    </r>
    <r>
      <rPr>
        <rFont val="Arial"/>
        <sz val="10"/>
        <b/>
      </rPr>
      <t>TRANSLATION:</t>
    </r>
    <r>
      <rPr>
        <rFont val="Arial"/>
        <sz val="10"/>
      </rPr>
      <t xml:space="preserve"> One might think that you are embarrassed by it</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</si>
  <si>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Тіпті сізді сол қызметі үшін ұялады деуге де болатындай.
</t>
    </r>
    <r>
      <rPr>
        <rFont val="Arial"/>
        <sz val="10"/>
        <b/>
      </rPr>
      <t>TRANS:</t>
    </r>
    <r>
      <rPr>
        <rFont val="Arial"/>
        <sz val="10"/>
      </rPr>
      <t xml:space="preserve"> Tıptı sızdı sol qyzmetı üşın ūialady deuge de bolatyndai.
</t>
    </r>
    <r>
      <rPr>
        <rFont val="Arial"/>
        <sz val="10"/>
        <b/>
      </rPr>
      <t>TRANSLATION:</t>
    </r>
    <r>
      <rPr>
        <rFont val="Arial"/>
        <sz val="10"/>
      </rPr>
      <t xml:space="preserve"> One could even say you are ashamed of that service.</t>
    </r>
  </si>
  <si>
    <r>
      <rPr>
        <rFont val="Arial"/>
        <sz val="10"/>
        <b/>
      </rPr>
      <t>TERM:</t>
    </r>
    <r>
      <rPr>
        <rFont val="Arial"/>
        <sz val="10"/>
      </rPr>
      <t xml:space="preserve"> sovest' (совесть) — conscience; the inner moral faculty [ORD]
</t>
    </r>
    <r>
      <rPr>
        <rFont val="Arial"/>
        <sz val="10"/>
        <b/>
      </rPr>
      <t>PASSAGE:</t>
    </r>
    <r>
      <rPr>
        <rFont val="Arial"/>
        <sz val="10"/>
      </rPr>
      <t xml:space="preserve"> Или, быть может, так ей казалось из-за нечистой совести?
</t>
    </r>
    <r>
      <rPr>
        <rFont val="Arial"/>
        <sz val="10"/>
        <b/>
      </rPr>
      <t>TRANS:</t>
    </r>
    <r>
      <rPr>
        <rFont val="Arial"/>
        <sz val="10"/>
      </rPr>
      <t xml:space="preserve"> Ili, byt' mozhet, tak ey kazalos' iz-za nechistoy sovesti?
</t>
    </r>
    <r>
      <rPr>
        <rFont val="Arial"/>
        <sz val="10"/>
        <b/>
      </rPr>
      <t>TRANSLATION:</t>
    </r>
    <r>
      <rPr>
        <rFont val="Arial"/>
        <sz val="10"/>
      </rPr>
      <t xml:space="preserve"> Or perhaps it seemed so to her because of her unclean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</si>
  <si>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Әлде өзінің ұяты таза болмаған соң да солай көрінді ме екен?
</t>
    </r>
    <r>
      <rPr>
        <rFont val="Arial"/>
        <sz val="10"/>
        <b/>
      </rPr>
      <t>TRANS:</t>
    </r>
    <r>
      <rPr>
        <rFont val="Arial"/>
        <sz val="10"/>
      </rPr>
      <t xml:space="preserve"> Älde özınıñ ūiaty taza bolmağan soñ da solai körındı me eken?
</t>
    </r>
    <r>
      <rPr>
        <rFont val="Arial"/>
        <sz val="10"/>
        <b/>
      </rPr>
      <t>TRANSLATION:</t>
    </r>
    <r>
      <rPr>
        <rFont val="Arial"/>
        <sz val="10"/>
      </rPr>
      <t xml:space="preserve"> Or did it seem so to her because her own shame was not clean?</t>
    </r>
  </si>
  <si>
    <r>
      <rPr>
        <rFont val="Arial"/>
        <sz val="10"/>
        <b/>
      </rPr>
      <t>TERM:</t>
    </r>
    <r>
      <rPr>
        <rFont val="Arial"/>
        <sz val="10"/>
      </rPr>
      <t xml:space="preserve"> vinovaty (виноваты) — (we/they are) at fault (pl.) [ORD] (lemma: виноватый)
</t>
    </r>
    <r>
      <rPr>
        <rFont val="Arial"/>
        <sz val="10"/>
        <b/>
      </rPr>
      <t>PASSAGE:</t>
    </r>
    <r>
      <rPr>
        <rFont val="Arial"/>
        <sz val="10"/>
      </rPr>
      <t xml:space="preserve"> ох, если бы нас застигли в любое другое время, когда мы были в самом деле виноваты, это не было бы так обидно!
</t>
    </r>
    <r>
      <rPr>
        <rFont val="Arial"/>
        <sz val="10"/>
        <b/>
      </rPr>
      <t>TRANS:</t>
    </r>
    <r>
      <rPr>
        <rFont val="Arial"/>
        <sz val="10"/>
      </rPr>
      <t xml:space="preserve"> okh, esli by nas zastigli v lyuboe drugoe vremya, kogda my byli v samom dele vinovaty, eto ne bylo by tak obidno!
</t>
    </r>
    <r>
      <rPr>
        <rFont val="Arial"/>
        <sz val="10"/>
        <b/>
      </rPr>
      <t>TRANSLATION:</t>
    </r>
    <r>
      <rPr>
        <rFont val="Arial"/>
        <sz val="10"/>
      </rPr>
      <t xml:space="preserve"> oh, if we had been caught at any other time, when we really were guilty, it would not have been so distressing!</t>
    </r>
  </si>
  <si>
    <r>
      <rPr>
        <rFont val="Arial"/>
        <sz val="10"/>
        <b/>
      </rPr>
      <t>TERM:</t>
    </r>
    <r>
      <rPr>
        <rFont val="Arial"/>
        <sz val="10"/>
      </rPr>
      <t xml:space="preserve"> KİNÄLY (КІНӘЛЫ) — guilty; at fault [KED, SZK] (lemma: кінәлі)
</t>
    </r>
    <r>
      <rPr>
        <rFont val="Arial"/>
        <sz val="10"/>
        <b/>
      </rPr>
      <t>PASSAGE:</t>
    </r>
    <r>
      <rPr>
        <rFont val="Arial"/>
        <sz val="10"/>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кінәлі кезімізде көргендерінде бұлай өкінішті болмас еді ғой.
</t>
    </r>
    <r>
      <rPr>
        <rFont val="Arial"/>
        <sz val="10"/>
        <b/>
      </rPr>
      <t>TRANS:</t>
    </r>
    <r>
      <rPr>
        <rFont val="Arial"/>
        <sz val="10"/>
      </rPr>
      <t xml:space="preserve"> Äskerde jürgende jaña jylğa kelıp-keterınde betınen süigenımdı körgende ğoi... Tarada menımen bırge qaşuğa azğyryp tūrğanymda... oi, qūdaiym-ai, şynymen kınälı kezımızde körgenderınde būlai ökınıştı bolmas edı ğoi.
</t>
    </r>
    <r>
      <rPr>
        <rFont val="Arial"/>
        <sz val="10"/>
        <b/>
      </rPr>
      <t>TRANSLATION:</t>
    </r>
    <r>
      <rPr>
        <rFont val="Arial"/>
        <sz val="10"/>
      </rPr>
      <t xml:space="preserve"> When I kissed his face on his return for New Year while he was on military leave... When in Tara he was tempting me to run away with him... oh, my God, if we had been caught when we really were guilty, it would not have been so distressing.</t>
    </r>
  </si>
  <si>
    <r>
      <rPr>
        <rFont val="Arial"/>
        <sz val="10"/>
        <b/>
      </rPr>
      <t>TERM:</t>
    </r>
    <r>
      <rPr>
        <rFont val="Arial"/>
        <sz val="10"/>
      </rPr>
      <t xml:space="preserve"> vina (вина) — guilt; fault; blame [ORD]
</t>
    </r>
    <r>
      <rPr>
        <rFont val="Arial"/>
        <sz val="10"/>
        <b/>
      </rPr>
      <t>PASSAGE:</t>
    </r>
    <r>
      <rPr>
        <rFont val="Arial"/>
        <sz val="10"/>
      </rPr>
      <t xml:space="preserve"> По обыкновению, всю вину свалят на женщину, а по поводу мужчины лишь пожмут плечами.
</t>
    </r>
    <r>
      <rPr>
        <rFont val="Arial"/>
        <sz val="10"/>
        <b/>
      </rPr>
      <t>TRANS:</t>
    </r>
    <r>
      <rPr>
        <rFont val="Arial"/>
        <sz val="10"/>
      </rPr>
      <t xml:space="preserve"> Po obyknoveniyu, vsyu vinu svalyat na zhenshchinu, a po povodu muzhchiny lish' pozhmut plechami.
</t>
    </r>
    <r>
      <rPr>
        <rFont val="Arial"/>
        <sz val="10"/>
        <b/>
      </rPr>
      <t>TRANSLATION:</t>
    </r>
    <r>
      <rPr>
        <rFont val="Arial"/>
        <sz val="10"/>
      </rPr>
      <t xml:space="preserve"> As usual, all the blame will be heaped on the woman, while regarding the man they will only shrug.</t>
    </r>
  </si>
  <si>
    <r>
      <rPr>
        <rFont val="Arial"/>
        <sz val="10"/>
        <b/>
      </rPr>
      <t>TERM:</t>
    </r>
    <r>
      <rPr>
        <rFont val="Arial"/>
        <sz val="10"/>
      </rPr>
      <t xml:space="preserve"> KİNÄ (КІНӘ) — guilt; fault; blame (secular) [KED, SZK]
</t>
    </r>
    <r>
      <rPr>
        <rFont val="Arial"/>
        <sz val="10"/>
        <b/>
      </rPr>
      <t>PASSAGE:</t>
    </r>
    <r>
      <rPr>
        <rFont val="Arial"/>
        <sz val="10"/>
      </rPr>
      <t xml:space="preserve"> Әдеттегіше, бар кінәні әйелге аударады да, еркек туралы айтылғанда тек иықтарын қиқаң еткізер де қояр.
</t>
    </r>
    <r>
      <rPr>
        <rFont val="Arial"/>
        <sz val="10"/>
        <b/>
      </rPr>
      <t>TRANS:</t>
    </r>
    <r>
      <rPr>
        <rFont val="Arial"/>
        <sz val="10"/>
      </rPr>
      <t xml:space="preserve"> Ädettegışe, bar kınänı äielge audarady da, erkek turaly aitylğanda tek iyqtaryn qiqañ etkızer de qoiar.
</t>
    </r>
    <r>
      <rPr>
        <rFont val="Arial"/>
        <sz val="10"/>
        <b/>
      </rPr>
      <t>TRANSLATION:</t>
    </r>
    <r>
      <rPr>
        <rFont val="Arial"/>
        <sz val="10"/>
      </rPr>
      <t xml:space="preserve"> As usual, all the blame is shifted onto the woman, while regarding the man they will only shrug their shoulders.</t>
    </r>
  </si>
  <si>
    <r>
      <rPr>
        <rFont val="Arial"/>
        <sz val="10"/>
        <b/>
      </rPr>
      <t>TERM:</t>
    </r>
    <r>
      <rPr>
        <rFont val="Arial"/>
        <sz val="10"/>
      </rPr>
      <t xml:space="preserve"> sogreshivshuyu (согрешившую) — the one who sinned (active part. fem. acc.) [ORD] (lemma: согрешить)
</t>
    </r>
    <r>
      <rPr>
        <rFont val="Arial"/>
        <sz val="10"/>
        <b/>
      </rPr>
      <t>PASSAGE:</t>
    </r>
    <r>
      <rPr>
        <rFont val="Arial"/>
        <sz val="10"/>
      </rPr>
      <t xml:space="preserve"> Неужели такая женщина, как Мелани, исповедующая столь высокие принципы, станет защищать женщину согрешившую,
</t>
    </r>
    <r>
      <rPr>
        <rFont val="Arial"/>
        <sz val="10"/>
        <b/>
      </rPr>
      <t>TRANS:</t>
    </r>
    <r>
      <rPr>
        <rFont val="Arial"/>
        <sz val="10"/>
      </rPr>
      <t xml:space="preserve"> Neuzheli takaya zhenshchina, kak Melani, ispoveduyushchaya stol' vysokie printsipy, stanet zashchishchat' zhenshchinu sogreshivshuyu,
</t>
    </r>
    <r>
      <rPr>
        <rFont val="Arial"/>
        <sz val="10"/>
        <b/>
      </rPr>
      <t>TRANSLATION:</t>
    </r>
    <r>
      <rPr>
        <rFont val="Arial"/>
        <sz val="10"/>
      </rPr>
      <t xml:space="preserve"> Could it be that a woman like Melanie, who professes such high principles, would defend a sinful woman,</t>
    </r>
  </si>
  <si>
    <r>
      <rPr>
        <rFont val="Arial"/>
        <sz val="10"/>
        <b/>
      </rPr>
      <t>TERM:</t>
    </r>
    <r>
      <rPr>
        <rFont val="Arial"/>
        <sz val="10"/>
      </rPr>
      <t xml:space="preserve"> künähar (күнәһар) — sinful [KED, SZK]
</t>
    </r>
    <r>
      <rPr>
        <rFont val="Arial"/>
        <sz val="10"/>
        <b/>
      </rPr>
      <t>PASSAGE:</t>
    </r>
    <r>
      <rPr>
        <rFont val="Arial"/>
        <sz val="10"/>
      </rPr>
      <t xml:space="preserve"> Таным-түсінігі тым жоғары, адалдықты биік бағалайтын Мелани секілді әйел қалайша Скарлеттей күнәһар әйелді қолдап, қорғаштайды,
</t>
    </r>
    <r>
      <rPr>
        <rFont val="Arial"/>
        <sz val="10"/>
        <b/>
      </rPr>
      <t>TRANS:</t>
    </r>
    <r>
      <rPr>
        <rFont val="Arial"/>
        <sz val="10"/>
      </rPr>
      <t xml:space="preserve"> Tanym-tüsınıgı tym joğary, adaldyqty biık bağalaityn Melani sekıldı äiel qalaişa Skarlettei künähar äieldı qoldap, qorğaştaidy,
</t>
    </r>
    <r>
      <rPr>
        <rFont val="Arial"/>
        <sz val="10"/>
        <b/>
      </rPr>
      <t>TRANSLATION:</t>
    </r>
    <r>
      <rPr>
        <rFont val="Arial"/>
        <sz val="10"/>
      </rPr>
      <t xml:space="preserve"> How is it that a woman like Melanie, of such lofty understanding, who values integrity highly, would support and protect such a sinful woman as Scarlett,</t>
    </r>
  </si>
  <si>
    <r>
      <rPr>
        <rFont val="Arial"/>
        <sz val="10"/>
        <b/>
      </rPr>
      <t>TERM:</t>
    </r>
    <r>
      <rPr>
        <rFont val="Arial"/>
        <sz val="10"/>
      </rPr>
      <t xml:space="preserve"> povinna (повинна) — (she is) guilty; at fault (short form fem.) [ORD] (lemma: повинный)
</t>
    </r>
    <r>
      <rPr>
        <rFont val="Arial"/>
        <sz val="10"/>
        <b/>
      </rPr>
      <t>PASSAGE:</t>
    </r>
    <r>
      <rPr>
        <rFont val="Arial"/>
        <sz val="10"/>
      </rPr>
      <t xml:space="preserve"> Но, спрашивали сторонники Индии, если Скарлетт ни в чем не повинна, где же тогда капитан Батлер?
</t>
    </r>
    <r>
      <rPr>
        <rFont val="Arial"/>
        <sz val="10"/>
        <b/>
      </rPr>
      <t>TRANS:</t>
    </r>
    <r>
      <rPr>
        <rFont val="Arial"/>
        <sz val="10"/>
      </rPr>
      <t xml:space="preserve"> No, sprashivali storonniki Indii, esli Skarlett ni v chem ne povinna, gde zhe togda kapitan Batler?
</t>
    </r>
    <r>
      <rPr>
        <rFont val="Arial"/>
        <sz val="10"/>
        <b/>
      </rPr>
      <t>TRANSLATION:</t>
    </r>
    <r>
      <rPr>
        <rFont val="Arial"/>
        <sz val="10"/>
      </rPr>
      <t xml:space="preserve"> But, asked India's supporters, if Scarlett is guilty of nothing, then where is Captain Butler?</t>
    </r>
  </si>
  <si>
    <r>
      <rPr>
        <rFont val="Arial"/>
        <sz val="10"/>
        <b/>
      </rPr>
      <t>TERM:</t>
    </r>
    <r>
      <rPr>
        <rFont val="Arial"/>
        <sz val="10"/>
      </rPr>
      <t xml:space="preserve"> BEİKÜNÄ (БЕЙКҮНӘ) — innocent; without sin (Persian bey- privative) [KED, SZK]
</t>
    </r>
    <r>
      <rPr>
        <rFont val="Arial"/>
        <sz val="10"/>
        <b/>
      </rPr>
      <t>PASSAGE:</t>
    </r>
    <r>
      <rPr>
        <rFont val="Arial"/>
        <sz val="10"/>
      </rPr>
      <t xml:space="preserve"> Бірақ Индияны жақтаушылардың көкейіне Скарлетт бейкүнә періште болса, неше күннен бері қарасы көрінбей, Батлер капитан қайда кетіп қалған деген сұрақ тұрды. 
</t>
    </r>
    <r>
      <rPr>
        <rFont val="Arial"/>
        <sz val="10"/>
        <b/>
      </rPr>
      <t>TRANS:</t>
    </r>
    <r>
      <rPr>
        <rFont val="Arial"/>
        <sz val="10"/>
      </rPr>
      <t xml:space="preserve"> Bıraq İndiany jaqtauşylardyñ kökeiıne Skarlett beikünä perışte bolsa, neşe künnen berı qarasy körınbei, Batler kapitan qaida ketıp qalğan degen sūraq tūrdy. 
</t>
    </r>
    <r>
      <rPr>
        <rFont val="Arial"/>
        <sz val="10"/>
        <b/>
      </rPr>
      <t>TRANSLATION:</t>
    </r>
    <r>
      <rPr>
        <rFont val="Arial"/>
        <sz val="10"/>
      </rPr>
      <t xml:space="preserve"> But India's supporters were left with the question: if Scarlett is an innocent angel, why has Captain Butler been nowhere in sight for so many days, where has he gone?</t>
    </r>
  </si>
  <si>
    <r>
      <rPr>
        <rFont val="Arial"/>
        <sz val="10"/>
        <b/>
      </rPr>
      <t>TERM:</t>
    </r>
    <r>
      <rPr>
        <rFont val="Arial"/>
        <sz val="10"/>
      </rPr>
      <t xml:space="preserve"> nashkodivshego (нашкодившего) — the naughty/mischievous one (active part. masc. gen.) [ORD] (lemma: нашкодить)
</t>
    </r>
    <r>
      <rPr>
        <rFont val="Arial"/>
        <sz val="10"/>
        <b/>
      </rPr>
      <t>PASSAGE:</t>
    </r>
    <r>
      <rPr>
        <rFont val="Arial"/>
        <sz val="10"/>
      </rPr>
      <t xml:space="preserv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
    </r>
    <r>
      <rPr>
        <rFont val="Arial"/>
        <sz val="10"/>
        <b/>
      </rPr>
      <t>TRANS:</t>
    </r>
    <r>
      <rPr>
        <rFont val="Arial"/>
        <sz val="10"/>
      </rPr>
      <t xml:space="preserve"> Skarlett pospeshila k dveri, raspakhnula ee, i Melani, perepugannaya, s pylayushchimi shchekami, vbezhala v komnatu, glyadya na Skarlett molyashchimi glazami nashkodivshego rebenka.
</t>
    </r>
    <r>
      <rPr>
        <rFont val="Arial"/>
        <sz val="10"/>
        <b/>
      </rPr>
      <t>TRANSLATION:</t>
    </r>
    <r>
      <rPr>
        <rFont val="Arial"/>
        <sz val="10"/>
      </rPr>
      <t xml:space="preserve"> Scarlett hurried to the door, flung it open, and Melanie, frightened, with burning cheeks, ran into the room, looking at Scarlett with the imploring eyes of a mischief-doing child.</t>
    </r>
  </si>
  <si>
    <r>
      <rPr>
        <rFont val="Arial"/>
        <sz val="10"/>
        <b/>
      </rPr>
      <t>TERM:</t>
    </r>
    <r>
      <rPr>
        <rFont val="Arial"/>
        <sz val="10"/>
      </rPr>
      <t xml:space="preserve"> būzyq (бұзық) — naughty; mischievous; (of child) ill-behaved [KED, SZK]
</t>
    </r>
    <r>
      <rPr>
        <rFont val="Arial"/>
        <sz val="10"/>
        <b/>
      </rPr>
      <t>PASSAGE:</t>
    </r>
    <r>
      <rPr>
        <rFont val="Arial"/>
        <sz val="10"/>
      </rPr>
      <t xml:space="preserve">бұзық баланың бірдеңе бүлдіргендегі жалынышты көзімен Скарлеттке қарады.
</t>
    </r>
    <r>
      <rPr>
        <rFont val="Arial"/>
        <sz val="10"/>
        <b/>
      </rPr>
      <t>TRANS:</t>
    </r>
    <r>
      <rPr>
        <rFont val="Arial"/>
        <sz val="10"/>
      </rPr>
      <t xml:space="preserve">būzyq balanyñ bırdeñe büldırgendegı jalynyşty közımen Skarlettke qarady.
</t>
    </r>
    <r>
      <rPr>
        <rFont val="Arial"/>
        <sz val="10"/>
        <b/>
      </rPr>
      <t>TRANSLATION:</t>
    </r>
    <r>
      <rPr>
        <rFont val="Arial"/>
        <sz val="10"/>
      </rPr>
      <t xml:space="preserve"> she looked at Scarlett with the imploring eyes of a naughty child who had broken something.</t>
    </r>
  </si>
  <si>
    <r>
      <rPr>
        <rFont val="Arial"/>
        <sz val="10"/>
        <b/>
      </rPr>
      <t>TERM:</t>
    </r>
    <r>
      <rPr>
        <rFont val="Arial"/>
        <sz val="10"/>
      </rPr>
      <t xml:space="preserve"> sovest' (совесть) — conscience; the inner moral faculty [ORD]
</t>
    </r>
    <r>
      <rPr>
        <rFont val="Arial"/>
        <sz val="10"/>
        <b/>
      </rPr>
      <t>PASSAGE:</t>
    </r>
    <r>
      <rPr>
        <rFont val="Arial"/>
        <sz val="10"/>
      </rPr>
      <t xml:space="preserve"> К такому шагу Скарлетт побуждала совесть, которая хоть и долго молчала, но все еще способна была поднять голос, — совесть истинно верующей католички.
</t>
    </r>
    <r>
      <rPr>
        <rFont val="Arial"/>
        <sz val="10"/>
        <b/>
      </rPr>
      <t>TRANS:</t>
    </r>
    <r>
      <rPr>
        <rFont val="Arial"/>
        <sz val="10"/>
      </rPr>
      <t xml:space="preserve"> K takomu shagu Skarlett pobuzhdala sovest', kotoraya khot' i dolgo molchala, no vse eshche sposobna byla podnyat' golos, — sovest' istinno veruyushchey katolichki.
</t>
    </r>
    <r>
      <rPr>
        <rFont val="Arial"/>
        <sz val="10"/>
        <b/>
      </rPr>
      <t>TRANSLATION:</t>
    </r>
    <r>
      <rPr>
        <rFont val="Arial"/>
        <sz val="10"/>
      </rPr>
      <t xml:space="preserve"> Scarlett was urged to such a step by a conscience that, although it had been silent for a long time, was still capable of raising its voice — the conscience of a true believing Catholic.</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</si>
  <si>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rFont val="Arial"/>
        <sz val="10"/>
        <b/>
      </rPr>
      <t>TRANS:</t>
    </r>
    <r>
      <rPr>
        <rFont val="Arial"/>
        <sz val="10"/>
      </rPr>
      <t xml:space="preserve"> Baiağydan berı būğyp jatqanymen, aqyry özınıñ bar ekenın, bas köteretın uaqyty kelgenın bıldergen ar-ūiaty Skarlettı osy qadamğa jeteleitın. Jüregınıñ tükpırınde şynaiy katoliktık senımı:
</t>
    </r>
    <r>
      <rPr>
        <rFont val="Arial"/>
        <sz val="10"/>
        <b/>
      </rPr>
      <t>TRANSLATION:</t>
    </r>
    <r>
      <rPr>
        <rFont val="Arial"/>
        <sz val="10"/>
      </rPr>
      <t xml:space="preserve"> Although it had been hiding for a long time, her conscience — finally signaling its existence and that the time to raise its head had come — was leading Scarlett to this step. In the depths of her heart, her sincere Catholic faith:</t>
    </r>
  </si>
  <si>
    <r>
      <rPr>
        <rFont val="Arial"/>
        <sz val="10"/>
        <b/>
      </rPr>
      <t>TERM:</t>
    </r>
    <r>
      <rPr>
        <rFont val="Arial"/>
        <sz val="10"/>
      </rPr>
      <t xml:space="preserve"> sovest' (совесть) — conscience; the inner moral faculty [ORD]
</t>
    </r>
    <r>
      <rPr>
        <rFont val="Arial"/>
        <sz val="10"/>
        <b/>
      </rPr>
      <t>PASSAGE:</t>
    </r>
    <r>
      <rPr>
        <rFont val="Arial"/>
        <sz val="10"/>
      </rPr>
      <t xml:space="preserv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
    </r>
    <r>
      <rPr>
        <rFont val="Arial"/>
        <sz val="10"/>
        <b/>
      </rPr>
      <t>TRANS:</t>
    </r>
    <r>
      <rPr>
        <rFont val="Arial"/>
        <sz val="10"/>
      </rPr>
      <t xml:space="preserve"> Tot fakt, chto soderzhimoe bumazhnika yavlyalos' sobstvennost'yu firmy brat'ev O'Khara, ne slishkom obremenyal sovest' Dzheralda, i kayat'sya v svoem grekhe zavtra pered utrenney messoy on ne sobiralsya.
</t>
    </r>
    <r>
      <rPr>
        <rFont val="Arial"/>
        <sz val="10"/>
        <b/>
      </rPr>
      <t>TRANSLATION:</t>
    </r>
    <r>
      <rPr>
        <rFont val="Arial"/>
        <sz val="10"/>
      </rPr>
      <t xml:space="preserve"> The fact that the contents of the wallet were the property of the firm of the O'Hara brothers did not weigh too heavily on Gerald's conscience, and he was not planning to repent of his sin tomorrow before morning Mass.</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</si>
  <si>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 Джералдтың ар-ұятын мазаламады
</t>
    </r>
    <r>
      <rPr>
        <rFont val="Arial"/>
        <sz val="10"/>
        <b/>
      </rPr>
      <t>TRANS:</t>
    </r>
    <r>
      <rPr>
        <rFont val="Arial"/>
        <sz val="10"/>
      </rPr>
      <t xml:space="preserve"> ... Jeraldtyñ ar-ūiatyn mazalamady
</t>
    </r>
    <r>
      <rPr>
        <rFont val="Arial"/>
        <sz val="10"/>
        <b/>
      </rPr>
      <t>TRANSLATION:</t>
    </r>
    <r>
      <rPr>
        <rFont val="Arial"/>
        <sz val="10"/>
      </rPr>
      <t xml:space="preserve"> ... did not trouble Gerald's conscience.</t>
    </r>
  </si>
  <si>
    <r>
      <rPr>
        <rFont val="Arial"/>
        <sz val="10"/>
        <b/>
      </rPr>
      <t>TERM:</t>
    </r>
    <r>
      <rPr>
        <rFont val="Arial"/>
        <sz val="10"/>
      </rPr>
      <t xml:space="preserve"> sovest'yu (совестью) — conscience (instrumental) [ORD] (lemma: совесть)
</t>
    </r>
    <r>
      <rPr>
        <rFont val="Arial"/>
        <sz val="10"/>
        <b/>
      </rPr>
      <t>PASSAGE:</t>
    </r>
    <r>
      <rPr>
        <rFont val="Arial"/>
        <sz val="10"/>
      </rPr>
      <t xml:space="preserve"> «Но ведь это же в самом деле так, — вступила она в спор с собственной совестью.
</t>
    </r>
    <r>
      <rPr>
        <rFont val="Arial"/>
        <sz val="10"/>
        <b/>
      </rPr>
      <t>TRANS:</t>
    </r>
    <r>
      <rPr>
        <rFont val="Arial"/>
        <sz val="10"/>
      </rPr>
      <t xml:space="preserve"> «No ved' eto zhe v samom dele tak, — vstupila ona v spor s sobstvennoy sovest'yu.
</t>
    </r>
    <r>
      <rPr>
        <rFont val="Arial"/>
        <sz val="10"/>
        <b/>
      </rPr>
      <t>TRANSLATION:</t>
    </r>
    <r>
      <rPr>
        <rFont val="Arial"/>
        <sz val="10"/>
      </rPr>
      <t xml:space="preserve"> "But it really is so," she entered into argument with her own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</si>
  <si>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"Бірақ бұл шынымен де солай", - деді ол өз ар-ұжданымен дауласып.
</t>
    </r>
    <r>
      <rPr>
        <rFont val="Arial"/>
        <sz val="10"/>
        <b/>
      </rPr>
      <t>TRANS:</t>
    </r>
    <r>
      <rPr>
        <rFont val="Arial"/>
        <sz val="10"/>
      </rPr>
      <t xml:space="preserve"> "Bıraq būl şynymen de solai", - dedı ol öz ar-ūjdanymen daulasyp.
</t>
    </r>
    <r>
      <rPr>
        <rFont val="Arial"/>
        <sz val="10"/>
        <b/>
      </rPr>
      <t>TRANSLATION:</t>
    </r>
    <r>
      <rPr>
        <rFont val="Arial"/>
        <sz val="10"/>
      </rPr>
      <t xml:space="preserve"> "But this really is so," — she said, arguing with her own conscience.</t>
    </r>
  </si>
  <si>
    <r>
      <rPr>
        <rFont val="Arial"/>
        <sz val="10"/>
        <b/>
      </rPr>
      <t>TERM:</t>
    </r>
    <r>
      <rPr>
        <rFont val="Arial"/>
        <sz val="10"/>
      </rPr>
      <t xml:space="preserve"> sovest' (совесть) — conscience; the inner moral faculty [ORD]
</t>
    </r>
    <r>
      <rPr>
        <rFont val="Arial"/>
        <sz val="10"/>
        <b/>
      </rPr>
      <t>PASSAGE:</t>
    </r>
    <r>
      <rPr>
        <rFont val="Arial"/>
        <sz val="10"/>
      </rPr>
      <t xml:space="preserve"> Она ехала по тропе, выходившей на Декейтерскую дорогу, а в душе у нее совесть боролась с жаждой наживы.
</t>
    </r>
    <r>
      <rPr>
        <rFont val="Arial"/>
        <sz val="10"/>
        <b/>
      </rPr>
      <t>TRANS:</t>
    </r>
    <r>
      <rPr>
        <rFont val="Arial"/>
        <sz val="10"/>
      </rPr>
      <t xml:space="preserve"> Ona ekhala po trope, vykhodivshey na Dekeyterskuyu dorogu, a v dushe u nee sovest' borolas' s zhazhdoy nazhivy.
</t>
    </r>
    <r>
      <rPr>
        <rFont val="Arial"/>
        <sz val="10"/>
        <b/>
      </rPr>
      <t>TRANSLATION:</t>
    </r>
    <r>
      <rPr>
        <rFont val="Arial"/>
        <sz val="10"/>
      </rPr>
      <t xml:space="preserve"> She was riding along the path that led out to the Decatur road, and in her soul her conscience was struggling with greed.</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</si>
  <si>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Ол Декейтер жолына шығатын соқпаққа түсіп алып, жүріп келеді, көкірегіндегі табысқа құмарлық мен ар-ұяты өзара алысуда.
</t>
    </r>
    <r>
      <rPr>
        <rFont val="Arial"/>
        <sz val="10"/>
        <b/>
      </rPr>
      <t>TRANS:</t>
    </r>
    <r>
      <rPr>
        <rFont val="Arial"/>
        <sz val="10"/>
      </rPr>
      <t xml:space="preserve"> Ol Dekeiter jolyna şyğatyn soqpaqqa tüsıp alyp, jürıp keledı, kökıregındegı tabysqa qūmarlyq men ar-ūiaty özara alysuda..
</t>
    </r>
    <r>
      <rPr>
        <rFont val="Arial"/>
        <sz val="10"/>
        <b/>
      </rPr>
      <t>TRANSLATION:</t>
    </r>
    <r>
      <rPr>
        <rFont val="Arial"/>
        <sz val="10"/>
      </rPr>
      <t xml:space="preserve"> Heading down the path that comes out onto the Decatur road, she rides along; her thirst for profit and her conscience are wrestling with each other inside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</si>
  <si>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На мгновение Скарлетт подумала было попросить Питтипэт подняться к ней — может, в ее присутствии умолкнет голос совести, — но не решилась.
</t>
    </r>
    <r>
      <rPr>
        <rFont val="Arial"/>
        <sz val="10"/>
        <b/>
      </rPr>
      <t>TRANS:</t>
    </r>
    <r>
      <rPr>
        <rFont val="Arial"/>
        <sz val="10"/>
      </rPr>
      <t xml:space="preserve"> Na mgnovenie Skarlett podumala bylo poprosit' Pittipet podnyat'sya k ney — mozhet, v ee prisutstvii umolknet golos sovesti, — no ne reshilas'.
</t>
    </r>
    <r>
      <rPr>
        <rFont val="Arial"/>
        <sz val="10"/>
        <b/>
      </rPr>
      <t>TRANSLATION:</t>
    </r>
    <r>
      <rPr>
        <rFont val="Arial"/>
        <sz val="10"/>
      </rPr>
      <t xml:space="preserve"> For a moment Scarlett thought to ask Pittypat to come up to her — perhaps in her presence the voice of conscience would fall silent — but she did not dare.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</si>
  <si>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 сәтке Питтипэт тәтесін шақырғысы келіп те ойланды, ол мұның көңілін аулап, ойын бөлсе, ұятпен бетпе-бет жалғыз қалудан құтылар ма еді, дегенмен бата алмады.
</t>
    </r>
    <r>
      <rPr>
        <rFont val="Arial"/>
        <sz val="10"/>
        <b/>
      </rPr>
      <t>TRANS:</t>
    </r>
    <r>
      <rPr>
        <rFont val="Arial"/>
        <sz val="10"/>
      </rPr>
      <t xml:space="preserve"> Bır sätke Pittipet tätesın şaqyrğysy kelıp te oilandy, ol mūnyñ köñılın aulap, oiyn bölse, ūiatpen betpe-bet jalğyz qaludan qūtylar ma edı, degenmen bata almady.
</t>
    </r>
    <r>
      <rPr>
        <rFont val="Arial"/>
        <sz val="10"/>
        <b/>
      </rPr>
      <t>TRANSLATION:</t>
    </r>
    <r>
      <rPr>
        <rFont val="Arial"/>
        <sz val="10"/>
      </rPr>
      <t xml:space="preserve"> For a moment she even thought to call Aunt Pittypat — if she could distract her thoughts and entertain her, perhaps she could escape being left alone face-to-face with shame — but she did not dare.</t>
    </r>
  </si>
  <si>
    <r>
      <rPr>
        <rFont val="Arial"/>
        <sz val="10"/>
        <b/>
      </rPr>
      <t>TERM:</t>
    </r>
    <r>
      <rPr>
        <rFont val="Arial"/>
        <sz val="10"/>
      </rPr>
      <t xml:space="preserve"> sovest' (совесть) — conscience; the inner moral faculty [ORD]
</t>
    </r>
    <r>
      <rPr>
        <rFont val="Arial"/>
        <sz val="10"/>
        <b/>
      </rPr>
      <t>PASSAGE:</t>
    </r>
    <r>
      <rPr>
        <rFont val="Arial"/>
        <sz val="10"/>
      </rPr>
      <t xml:space="preserve"> Ваша… м-м… совесть очень вас мучила, когда вы соглашались… скажем, так — расстаться с этим сокровищем, которое вам дороже жизни, за триста долларов?
</t>
    </r>
    <r>
      <rPr>
        <rFont val="Arial"/>
        <sz val="10"/>
        <b/>
      </rPr>
      <t>TRANS:</t>
    </r>
    <r>
      <rPr>
        <rFont val="Arial"/>
        <sz val="10"/>
      </rPr>
      <t xml:space="preserve"> Vasha… m-m… sovest' ochen' vas muchila, kogda vy soglashalis'… skazhem, tak — rasstat'sya s etim sokrovishchem, kotoroe vam dorozhe zhizni, za trista dollarov?
</t>
    </r>
    <r>
      <rPr>
        <rFont val="Arial"/>
        <sz val="10"/>
        <b/>
      </rPr>
      <t>TRANSLATION:</t>
    </r>
    <r>
      <rPr>
        <rFont val="Arial"/>
        <sz val="10"/>
      </rPr>
      <t xml:space="preserve"> Did your... mm... conscience torment you greatly when you agreed... shall we say — to part with this treasure that is dearer to you than life, for three hundred dollars?</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</si>
  <si>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Сіз үш жүз долларға бағалаған әшекейіңізбен қоштасарыңызда да ұятыңыз сізді қинады ма екен.
</t>
    </r>
    <r>
      <rPr>
        <rFont val="Arial"/>
        <sz val="10"/>
        <b/>
      </rPr>
      <t>TRANS:</t>
    </r>
    <r>
      <rPr>
        <rFont val="Arial"/>
        <sz val="10"/>
      </rPr>
      <t xml:space="preserve">Sız üş jüz dollarğa bağalağan äşekeiıñızben qoştasaryñyzda da ūiatyñyz sızdı qinady ma eken.
</t>
    </r>
    <r>
      <rPr>
        <rFont val="Arial"/>
        <sz val="10"/>
        <b/>
      </rPr>
      <t>TRANSLATION:</t>
    </r>
    <r>
      <rPr>
        <rFont val="Arial"/>
        <sz val="10"/>
      </rPr>
      <t xml:space="preserve"> When you bid farewell to your jewel that you priced at three hundred dollars, did your shame trouble you?</t>
    </r>
  </si>
  <si>
    <r>
      <rPr>
        <rFont val="Arial"/>
        <sz val="10"/>
        <b/>
      </rPr>
      <t>TERM:</t>
    </r>
    <r>
      <rPr>
        <rFont val="Arial"/>
        <sz val="10"/>
      </rPr>
      <t xml:space="preserve"> sovest' (совесть) — conscience; the inner moral faculty [ORD]
</t>
    </r>
    <r>
      <rPr>
        <rFont val="Arial"/>
        <sz val="10"/>
        <b/>
      </rPr>
      <t>PASSAGE:</t>
    </r>
    <r>
      <rPr>
        <rFont val="Arial"/>
        <sz val="10"/>
      </rPr>
      <t xml:space="preserve"> Никогда не смогу, даже если совесть убьет меня».
</t>
    </r>
    <r>
      <rPr>
        <rFont val="Arial"/>
        <sz val="10"/>
        <b/>
      </rPr>
      <t>TRANS:</t>
    </r>
    <r>
      <rPr>
        <rFont val="Arial"/>
        <sz val="10"/>
      </rPr>
      <t xml:space="preserve"> Nikogda ne smogu, dazhe esli sovest' ub'et menya».
</t>
    </r>
    <r>
      <rPr>
        <rFont val="Arial"/>
        <sz val="10"/>
        <b/>
      </rPr>
      <t>TRANSLATION:</t>
    </r>
    <r>
      <rPr>
        <rFont val="Arial"/>
        <sz val="10"/>
      </rPr>
      <t xml:space="preserve"> Never, even if my conscience kills me.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</si>
  <si>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"Мұны айта алмайды екенмін, ар-ұятым тұншықтырып өлтірсе де айта алмаймын" деп тұнжырай ойлады Скарлетт.
</t>
    </r>
    <r>
      <rPr>
        <rFont val="Arial"/>
        <sz val="10"/>
        <b/>
      </rPr>
      <t>TRANS:</t>
    </r>
    <r>
      <rPr>
        <rFont val="Arial"/>
        <sz val="10"/>
      </rPr>
      <t xml:space="preserve"> "Mūny aita almaidy ekenmın, ar-ūiatym tūnşyqtyryp öltırse de aita almaimyn" dep tūnjyrai oilady Skarlett.
</t>
    </r>
    <r>
      <rPr>
        <rFont val="Arial"/>
        <sz val="10"/>
        <b/>
      </rPr>
      <t>TRANSLATION:</t>
    </r>
    <r>
      <rPr>
        <rFont val="Arial"/>
        <sz val="10"/>
      </rPr>
      <t xml:space="preserve"> "I cannot say it; even if my conscience should choke and kill me, I cannot say it," thought Scarlett gloomily.</t>
    </r>
  </si>
  <si>
    <r>
      <rPr>
        <rFont val="Arial"/>
        <sz val="10"/>
        <b/>
      </rPr>
      <t>TERM:</t>
    </r>
    <r>
      <rPr>
        <rFont val="Arial"/>
        <sz val="10"/>
      </rPr>
      <t xml:space="preserve"> somneniya (сомнения) — doubt; doubts [ORD] (lemma: сомнение)
</t>
    </r>
    <r>
      <rPr>
        <rFont val="Arial"/>
        <sz val="10"/>
        <b/>
      </rPr>
      <t>PASSAGE:</t>
    </r>
    <r>
      <rPr>
        <rFont val="Arial"/>
        <sz val="10"/>
      </rPr>
      <t xml:space="preserv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
    </r>
    <r>
      <rPr>
        <rFont val="Arial"/>
        <sz val="10"/>
        <b/>
      </rPr>
      <t>TRANS:</t>
    </r>
    <r>
      <rPr>
        <rFont val="Arial"/>
        <sz val="10"/>
      </rPr>
      <t xml:space="preserve"> Kogda dyadyushka Piter svernul emu sheyu, delikatnuyu dushu tetushki Pittipet vnezapno odoleli somneniya: dopustimo li nasladit'sya etoy ptitsey v krugu sem'i, v to vremya kak mnogie iz druzey nedelyami ne mogut otvedat' kurinogo myasa, i ona reshila priglasit' gostey.
</t>
    </r>
    <r>
      <rPr>
        <rFont val="Arial"/>
        <sz val="10"/>
        <b/>
      </rPr>
      <t>TRANSLATION:</t>
    </r>
    <r>
      <rPr>
        <rFont val="Arial"/>
        <sz val="10"/>
      </rPr>
      <t xml:space="preserve"> When Uncle Peter wrung its neck, Aunt Pittypat's delicate soul was suddenly seized by doubts: was it permissible to enjoy this bird in the family circle while many of her friends could not have a taste of chicken meat for weeks, and she decided to invite guests.</t>
    </r>
  </si>
  <si>
    <r>
      <rPr>
        <rFont val="Arial"/>
        <sz val="10"/>
        <b/>
      </rPr>
      <t>TERM:</t>
    </r>
    <r>
      <rPr>
        <rFont val="Arial"/>
        <sz val="10"/>
      </rPr>
      <t xml:space="preserve"> KÜMÄN (КҮМƏН) = doubt; uncertainty
</t>
    </r>
    <r>
      <rPr>
        <rFont val="Arial"/>
        <sz val="10"/>
        <b/>
      </rPr>
      <t>PASSAGE:</t>
    </r>
    <r>
      <rPr>
        <rFont val="Arial"/>
        <sz val="10"/>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күмән пайда болды.
</t>
    </r>
    <r>
      <rPr>
        <rFont val="Arial"/>
        <sz val="10"/>
        <b/>
      </rPr>
      <t>TRANS:</t>
    </r>
    <r>
      <rPr>
        <rFont val="Arial"/>
        <sz val="10"/>
      </rPr>
      <t xml:space="preserve"> Pittipet täteidıñ näzık janynda: "onyñ köptegen dostary bırneşe apta boiy tauyqtyñ dämın tata almai otyrğanda, būl qūsty otbasymen bırge jep rahattanuğa bola ma, älde qonaq şaqyruğa şeşım qabyldauy dūrys pa?" degen kümän paida boldy.
</t>
    </r>
    <r>
      <rPr>
        <rFont val="Arial"/>
        <sz val="10"/>
        <b/>
      </rPr>
      <t>TRANSLATION:</t>
    </r>
    <r>
      <rPr>
        <rFont val="Arial"/>
        <sz val="10"/>
      </rPr>
      <t xml:space="preserve"> In Aunt Pittypat's sensitive soul there arose the doubt: "While many of his friends have not been able to taste chicken for weeks, is it appropriate to enjoy eating this bird with the family — or would it be right to decide on inviting guests?"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</si>
  <si>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Что-то насчет своей совести.
</t>
    </r>
    <r>
      <rPr>
        <rFont val="Arial"/>
        <sz val="10"/>
        <b/>
      </rPr>
      <t>TRANS:</t>
    </r>
    <r>
      <rPr>
        <rFont val="Arial"/>
        <sz val="10"/>
      </rPr>
      <t xml:space="preserve"> Chto-to naschet svoey sovesti.
</t>
    </r>
    <r>
      <rPr>
        <rFont val="Arial"/>
        <sz val="10"/>
        <b/>
      </rPr>
      <t>TRANSLATION:</t>
    </r>
    <r>
      <rPr>
        <rFont val="Arial"/>
        <sz val="10"/>
      </rPr>
      <t xml:space="preserve"> Something about his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</si>
  <si>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Өз ұяты туралы ма, бірдеңе.
</t>
    </r>
    <r>
      <rPr>
        <rFont val="Arial"/>
        <sz val="10"/>
        <b/>
      </rPr>
      <t>TRANS:</t>
    </r>
    <r>
      <rPr>
        <rFont val="Arial"/>
        <sz val="10"/>
      </rPr>
      <t xml:space="preserve"> Öz ūiaty turaly ma, bırdeñe.
</t>
    </r>
    <r>
      <rPr>
        <rFont val="Arial"/>
        <sz val="10"/>
        <b/>
      </rPr>
      <t>TRANSLATION:</t>
    </r>
    <r>
      <rPr>
        <rFont val="Arial"/>
        <sz val="10"/>
      </rPr>
      <t xml:space="preserve"> Something about their own shame [conscience], or something like that.</t>
    </r>
  </si>
  <si>
    <r>
      <rPr>
        <rFont val="Arial"/>
        <sz val="10"/>
        <b/>
      </rPr>
      <t>TERM:</t>
    </r>
    <r>
      <rPr>
        <rFont val="Arial"/>
        <sz val="10"/>
      </rPr>
      <t xml:space="preserve"> soznanie (сознание) — consciousness; awareness (here: moral awareness) [ORD]
</t>
    </r>
    <r>
      <rPr>
        <rFont val="Arial"/>
        <sz val="10"/>
        <b/>
      </rPr>
      <t>PASSAGE:</t>
    </r>
    <r>
      <rPr>
        <rFont val="Arial"/>
        <sz val="10"/>
      </rPr>
      <t xml:space="preserve"> не затуманенные слишком развитым сознанием
</t>
    </r>
    <r>
      <rPr>
        <rFont val="Arial"/>
        <sz val="10"/>
        <b/>
      </rPr>
      <t>TRANS:</t>
    </r>
    <r>
      <rPr>
        <rFont val="Arial"/>
        <sz val="10"/>
      </rPr>
      <t xml:space="preserve"> ne zatumanennye slishkom razvitym soznaniem
</t>
    </r>
    <r>
      <rPr>
        <rFont val="Arial"/>
        <sz val="10"/>
        <b/>
      </rPr>
      <t>TRANSLATION:</t>
    </r>
    <r>
      <rPr>
        <rFont val="Arial"/>
        <sz val="10"/>
      </rPr>
      <t xml:space="preserve"> not clouded by an overdeveloped consciousness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</si>
  <si>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rFont val="Arial"/>
        <sz val="10"/>
        <b/>
      </rPr>
      <t>TRANS:</t>
    </r>
    <r>
      <rPr>
        <rFont val="Arial"/>
        <sz val="10"/>
      </rPr>
      <t xml:space="preserve"> Skarlett, ispytyvaya legkiy ukol sovesti, staralas' vspomnit', chto zhe bylo takogo v pis'makh Eshli, chto zastavilo Melani sdelat' podobnoe zayavlenie, no soderzhanie pisem pochti mgnovenno uletuchivalos' u nee iz golovy, kak tol'ko ona konchala chitat'.
</t>
    </r>
    <r>
      <rPr>
        <rFont val="Arial"/>
        <sz val="10"/>
        <b/>
      </rPr>
      <t>TRANSLATION:</t>
    </r>
    <r>
      <rPr>
        <rFont val="Arial"/>
        <sz val="10"/>
      </rPr>
      <t xml:space="preserve"> Scarlett, feeling a slight prick of conscience, tried to recall what was in Ashley's letters that would make Melanie make such a statement, but the contents of the letters almost instantly evaporated from her head as soon as she finished reading.</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</si>
  <si>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Скарлетт аздап ұялыс сезініп, Эшлидің хаттарындағы Меланиді осындай мәлімдеме жасауға итермелеген жолдарды еске түсіруге тырысты, ...
</t>
    </r>
    <r>
      <rPr>
        <rFont val="Arial"/>
        <sz val="10"/>
        <b/>
      </rPr>
      <t>TRANS:</t>
    </r>
    <r>
      <rPr>
        <rFont val="Arial"/>
        <sz val="10"/>
      </rPr>
      <t xml:space="preserve"> Skarlett azdap ūialys sezınıp, Eşlidıñ hattaryndağy Melanidı osyndai mälımdeme jasauğa itermelegen joldardy eske tüsıruge tyrysty, ...
</t>
    </r>
    <r>
      <rPr>
        <rFont val="Arial"/>
        <sz val="10"/>
        <b/>
      </rPr>
      <t>TRANSLATION:</t>
    </r>
    <r>
      <rPr>
        <rFont val="Arial"/>
        <sz val="10"/>
      </rPr>
      <t xml:space="preserve"> Feeling a slight twinge of shame, Scarlett tried to recall the lines in Ashley's letters that had pushed Melanie to make such a statement,...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</si>
  <si>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Но помимо потрясения от потери мужа, она испытывала еще страх, и раскаяние, и муки внезапно проснувшейся совести.
</t>
    </r>
    <r>
      <rPr>
        <rFont val="Arial"/>
        <sz val="10"/>
        <b/>
      </rPr>
      <t>TRANS:</t>
    </r>
    <r>
      <rPr>
        <rFont val="Arial"/>
        <sz val="10"/>
      </rPr>
      <t xml:space="preserve"> No pomimo potryaseniya ot poteri muzha, ona ispytyvala eshche strakh, i raskayanie, i muki vnezapno prosnuvsheysya sovesti.
</t>
    </r>
    <r>
      <rPr>
        <rFont val="Arial"/>
        <sz val="10"/>
        <b/>
      </rPr>
      <t>TRANSLATION:</t>
    </r>
    <r>
      <rPr>
        <rFont val="Arial"/>
        <sz val="10"/>
      </rPr>
      <t xml:space="preserve"> But besides the shock of losing her husband, she also felt fear, and remorse, and the pangs of suddenly awakened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</si>
  <si>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Бірақ күйеуінен айырылған қасіреті өз алдында, бойын билеген қорқыныш пен жанын жеген өкініш, бір бүйірден бас көтере қалған ұят қоса қысып барады.
</t>
    </r>
    <r>
      <rPr>
        <rFont val="Arial"/>
        <sz val="10"/>
        <b/>
      </rPr>
      <t>TRANS:</t>
    </r>
    <r>
      <rPr>
        <rFont val="Arial"/>
        <sz val="10"/>
      </rPr>
      <t xml:space="preserve"> Bıraq küieuınen aiyrylğan qasıretı öz aldynda, boiyn bilegen qorqynyş pen janyn jegen ökınış, bır büiırden bas kötere qalğan ūiat qosa qysyp barady.
</t>
    </r>
    <r>
      <rPr>
        <rFont val="Arial"/>
        <sz val="10"/>
        <b/>
      </rPr>
      <t>TRANSLATION:</t>
    </r>
    <r>
      <rPr>
        <rFont val="Arial"/>
        <sz val="10"/>
      </rPr>
      <t xml:space="preserve"> But the grief of losing her husband had its own place; the fear that filled her body, the regret that ate at her soul, and the shame that suddenly raised its head from one side, were all squeezing her along with it.</t>
    </r>
  </si>
  <si>
    <r>
      <rPr>
        <rFont val="Arial"/>
        <sz val="10"/>
        <b/>
      </rPr>
      <t>TERM:</t>
    </r>
    <r>
      <rPr>
        <rFont val="Arial"/>
        <sz val="10"/>
      </rPr>
      <t xml:space="preserve"> sovest' (совесть) — conscience; the inner moral faculty [ORD]
</t>
    </r>
    <r>
      <rPr>
        <rFont val="Arial"/>
        <sz val="10"/>
        <b/>
      </rPr>
      <t>PASSAGE:</t>
    </r>
    <r>
      <rPr>
        <rFont val="Arial"/>
        <sz val="10"/>
      </rPr>
      <t xml:space="preserve"> Вы удивляете меня, Скарлетт, — зачем вам понадобилось сейчас, когда вы уже взрослая, будить в себе совесть.
</t>
    </r>
    <r>
      <rPr>
        <rFont val="Arial"/>
        <sz val="10"/>
        <b/>
      </rPr>
      <t>TRANS:</t>
    </r>
    <r>
      <rPr>
        <rFont val="Arial"/>
        <sz val="10"/>
      </rPr>
      <t xml:space="preserve"> Vy udivlyaete menya, Skarlett, — zachem vam ponadobilos' seychas, kogda vy uzhe vzroslaya, budit' v sebe sovest'.
</t>
    </r>
    <r>
      <rPr>
        <rFont val="Arial"/>
        <sz val="10"/>
        <b/>
      </rPr>
      <t>TRANSLATION:</t>
    </r>
    <r>
      <rPr>
        <rFont val="Arial"/>
        <sz val="10"/>
      </rPr>
      <t xml:space="preserve"> You amaze me, Scarlett — why do you need now, when you are already grown up, to awaken a conscience in yourself?</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</si>
  <si>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Әбден есейген шағыңызда ұятыңызды неге оятып отырсыз?
</t>
    </r>
    <r>
      <rPr>
        <rFont val="Arial"/>
        <sz val="10"/>
        <b/>
      </rPr>
      <t>TRANS:</t>
    </r>
    <r>
      <rPr>
        <rFont val="Arial"/>
        <sz val="10"/>
      </rPr>
      <t xml:space="preserve"> Äbden eseigen şağyñyzda ūiatyñyzdy nege oiatyp otyrsyz?
</t>
    </r>
    <r>
      <rPr>
        <rFont val="Arial"/>
        <sz val="10"/>
        <b/>
      </rPr>
      <t>TRANSLATION:</t>
    </r>
    <r>
      <rPr>
        <rFont val="Arial"/>
        <sz val="10"/>
      </rPr>
      <t xml:space="preserve"> In your fully matured age, why are you waking up your shame?</t>
    </r>
  </si>
  <si>
    <r>
      <rPr>
        <rFont val="Arial"/>
        <sz val="10"/>
        <b/>
      </rPr>
      <t>TERM:</t>
    </r>
    <r>
      <rPr>
        <rFont val="Arial"/>
        <sz val="10"/>
      </rPr>
      <t xml:space="preserve"> sovest' (совесть) — conscience; the inner moral faculty [ORD]
</t>
    </r>
    <r>
      <rPr>
        <rFont val="Arial"/>
        <sz val="10"/>
        <b/>
      </rPr>
      <t>PASSAGE:</t>
    </r>
    <r>
      <rPr>
        <rFont val="Arial"/>
        <sz val="10"/>
      </rPr>
      <t xml:space="preserve"> К такому шагу Скарлетт побуждала совесть, которая хоть и долго молчала, но все еще способна была поднять голос, — совесть истинно верующей католички.
</t>
    </r>
    <r>
      <rPr>
        <rFont val="Arial"/>
        <sz val="10"/>
        <b/>
      </rPr>
      <t>TRANS:</t>
    </r>
    <r>
      <rPr>
        <rFont val="Arial"/>
        <sz val="10"/>
      </rPr>
      <t xml:space="preserve"> K takomu shagu Skarlett pobuzhdala sovest', kotoraya khot' i dolgo molchala, no vse eshche sposobna byla podnyat' golos, — sovest' istinno veruyushchey katolichki.
</t>
    </r>
    <r>
      <rPr>
        <rFont val="Arial"/>
        <sz val="10"/>
        <b/>
      </rPr>
      <t>TRANSLATION:</t>
    </r>
    <r>
      <rPr>
        <rFont val="Arial"/>
        <sz val="10"/>
      </rPr>
      <t xml:space="preserve"> Scarlett was urged to such a step by a conscience that, although it had been silent for a long time, was still capable of raising its voice — the conscience of a true believing Catholic.</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</si>
  <si>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
    </r>
    <r>
      <rPr>
        <rFont val="Arial"/>
        <sz val="10"/>
        <b/>
      </rPr>
      <t>TRANS:</t>
    </r>
    <r>
      <rPr>
        <rFont val="Arial"/>
        <sz val="10"/>
      </rPr>
      <t xml:space="preserve"> Baiağydan berı būğyp jatqanymen, aqyry özınıñ bar ekenın, bas köteretın uaqyty kelgenın bıldergen ar-ūiaty Skarlettı osy qadamğa jeteleitın. Jüregınıñ tükpırınde şynaiy katoliktık senımı:
</t>
    </r>
    <r>
      <rPr>
        <rFont val="Arial"/>
        <sz val="10"/>
        <b/>
      </rPr>
      <t>TRANSLATION:</t>
    </r>
    <r>
      <rPr>
        <rFont val="Arial"/>
        <sz val="10"/>
      </rPr>
      <t xml:space="preserve"> Although it had been hiding for a long time, conscience — finally signaling its existence and that the time to raise its head had come — was leading Scarlett to this step. In the depths of her heart, her sincere Catholic faith:</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</si>
  <si>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
    </r>
    <r>
      <rPr>
        <rFont val="Arial"/>
        <sz val="10"/>
        <b/>
      </rPr>
      <t>TRANS:</t>
    </r>
    <r>
      <rPr>
        <rFont val="Arial"/>
        <sz val="10"/>
      </rPr>
      <t xml:space="preserve">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
    </r>
    <r>
      <rPr>
        <rFont val="Arial"/>
        <sz val="10"/>
        <b/>
      </rPr>
      <t>TRANSLATION:</t>
    </r>
    <r>
      <rPr>
        <rFont val="Arial"/>
        <sz val="10"/>
      </rPr>
      <t xml:space="preserve"> But I find you immensely attractive — I like the elasticity of your conscience and your moral rules, I like the egotism that you very rarely take the trouble to conceal, I like your firm grip on life, inherited, I fear, from some not-too-distant Irish peasant ancestor.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</si>
  <si>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сіз маған шексіз ұнайсыз---сіздің ар-ұятыңыз бен адамгершілік ережелеріңіздің икемділігі ұнайды.
</t>
    </r>
    <r>
      <rPr>
        <rFont val="Arial"/>
        <sz val="10"/>
        <b/>
      </rPr>
      <t>TRANS:</t>
    </r>
    <r>
      <rPr>
        <rFont val="Arial"/>
        <sz val="10"/>
      </rPr>
      <t xml:space="preserve"> Bıraq sız mağan şeksız ūnaisyz---sızdıñ ar-ūiatyñyz ben adamgerşılık erejelerıñızdıñ ikemdılıgı ūnaidy.
</t>
    </r>
    <r>
      <rPr>
        <rFont val="Arial"/>
        <sz val="10"/>
        <b/>
      </rPr>
      <t>TRANSLATION:</t>
    </r>
    <r>
      <rPr>
        <rFont val="Arial"/>
        <sz val="10"/>
      </rPr>
      <t xml:space="preserve"> But you appeal to me without measure — I like the elasticity of your conscience and your principles of humanity.</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</si>
  <si>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Хочу дать вам возможность побыть наедине с остатками вашей совести.
</t>
    </r>
    <r>
      <rPr>
        <rFont val="Arial"/>
        <sz val="10"/>
        <b/>
      </rPr>
      <t>TRANS:</t>
    </r>
    <r>
      <rPr>
        <rFont val="Arial"/>
        <sz val="10"/>
      </rPr>
      <t xml:space="preserve"> Khochu dat' vam vozmozhnost' pobyt' naedine s ostatkami vashey sovesti.
</t>
    </r>
    <r>
      <rPr>
        <rFont val="Arial"/>
        <sz val="10"/>
        <b/>
      </rPr>
      <t>TRANSLATION:</t>
    </r>
    <r>
      <rPr>
        <rFont val="Arial"/>
        <sz val="10"/>
      </rPr>
      <t xml:space="preserve"> I want to give you the chance to be alone with what remains of your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</si>
  <si>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Ұятыңыздан қалғандығымен бірге оңаша болуыңызға мүмкіндік берейін.
</t>
    </r>
    <r>
      <rPr>
        <rFont val="Arial"/>
        <sz val="10"/>
        <b/>
      </rPr>
      <t>TRANS:</t>
    </r>
    <r>
      <rPr>
        <rFont val="Arial"/>
        <sz val="10"/>
      </rPr>
      <t xml:space="preserve"> Ūiatyñyzdan qalğandyğymen bırge oñaşa boluyñyzğa mümkındık bereiın.
</t>
    </r>
    <r>
      <rPr>
        <rFont val="Arial"/>
        <sz val="10"/>
        <b/>
      </rPr>
      <t>TRANSLATION:</t>
    </r>
    <r>
      <rPr>
        <rFont val="Arial"/>
        <sz val="10"/>
      </rPr>
      <t xml:space="preserve"> I will give you the chance to be alone with what is left of your shame.</t>
    </r>
  </si>
  <si>
    <r>
      <rPr>
        <rFont val="Arial"/>
        <sz val="10"/>
        <b/>
      </rPr>
      <t>TERM:</t>
    </r>
    <r>
      <rPr>
        <rFont val="Arial"/>
        <sz val="10"/>
      </rPr>
      <t xml:space="preserve"> sovest' (совесть) — conscience; the inner moral faculty [ORD]
</t>
    </r>
    <r>
      <rPr>
        <rFont val="Arial"/>
        <sz val="10"/>
        <b/>
      </rPr>
      <t>PASSAGE:</t>
    </r>
    <r>
      <rPr>
        <rFont val="Arial"/>
        <sz val="10"/>
      </rPr>
      <t xml:space="preserv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
    </r>
    <r>
      <rPr>
        <rFont val="Arial"/>
        <sz val="10"/>
        <b/>
      </rPr>
      <t>TRANS:</t>
    </r>
    <r>
      <rPr>
        <rFont val="Arial"/>
        <sz val="10"/>
      </rPr>
      <t xml:space="preserve">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
    </r>
    <r>
      <rPr>
        <rFont val="Arial"/>
        <sz val="10"/>
        <b/>
      </rPr>
      <t>TRANSLATION:</t>
    </r>
    <r>
      <rPr>
        <rFont val="Arial"/>
        <sz val="10"/>
      </rPr>
      <t xml:space="preserve">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</si>
  <si>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Скарлетт Эллин үйреткендей, өз ішіне терең бойлап ар-ұжданын жауапқа тартып, ...
</t>
    </r>
    <r>
      <rPr>
        <rFont val="Arial"/>
        <sz val="10"/>
        <b/>
      </rPr>
      <t>TRANS:</t>
    </r>
    <r>
      <rPr>
        <rFont val="Arial"/>
        <sz val="10"/>
      </rPr>
      <t xml:space="preserve"> Skarlett Elin üiretkendei, öz ışıne tereñ boilap ar-ūjdanyn jauapqa tartyp, ...
</t>
    </r>
    <r>
      <rPr>
        <rFont val="Arial"/>
        <sz val="10"/>
        <b/>
      </rPr>
      <t>TRANSLATION:</t>
    </r>
    <r>
      <rPr>
        <rFont val="Arial"/>
        <sz val="10"/>
      </rPr>
      <t xml:space="preserve"> Scarlett, as Ellen had taught her, plunging deep into herself, putting her conscience to question,...</t>
    </r>
  </si>
  <si>
    <r>
      <rPr>
        <rFont val="Arial"/>
        <sz val="10"/>
        <b/>
      </rPr>
      <t>TERM:</t>
    </r>
    <r>
      <rPr>
        <rFont val="Arial"/>
        <sz val="10"/>
      </rPr>
      <t xml:space="preserve"> sovest' (совесть) — conscience; the inner moral faculty [ORD]
</t>
    </r>
    <r>
      <rPr>
        <rFont val="Arial"/>
        <sz val="10"/>
        <b/>
      </rPr>
      <t>PASSAGE:</t>
    </r>
    <r>
      <rPr>
        <rFont val="Arial"/>
        <sz val="10"/>
      </rPr>
      <t xml:space="preserve"> Никогда не смогу, даже если совесть убьет меня».
</t>
    </r>
    <r>
      <rPr>
        <rFont val="Arial"/>
        <sz val="10"/>
        <b/>
      </rPr>
      <t>TRANS:</t>
    </r>
    <r>
      <rPr>
        <rFont val="Arial"/>
        <sz val="10"/>
      </rPr>
      <t xml:space="preserve"> Nikogda ne smogu, dazhe esli sovest' ub'et menya».
</t>
    </r>
    <r>
      <rPr>
        <rFont val="Arial"/>
        <sz val="10"/>
        <b/>
      </rPr>
      <t>TRANSLATION:</t>
    </r>
    <r>
      <rPr>
        <rFont val="Arial"/>
        <sz val="10"/>
      </rPr>
      <t xml:space="preserve"> Never, even if my conscience kills me.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</si>
  <si>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"Мұны айта алмайды екенмін, ар-ұятым тұншықтырып өлтірсе де айта алмаймын" деп тұнжырай ойлады Скарлетт.
</t>
    </r>
    <r>
      <rPr>
        <rFont val="Arial"/>
        <sz val="10"/>
        <b/>
      </rPr>
      <t>TRANS:</t>
    </r>
    <r>
      <rPr>
        <rFont val="Arial"/>
        <sz val="10"/>
      </rPr>
      <t xml:space="preserve"> "Mūny aita almaidy ekenmın, ar-ūiatym tūnşyqtyryp öltırse de aita almaimyn" dep tūnjyrai oilady Skarlett.
</t>
    </r>
    <r>
      <rPr>
        <rFont val="Arial"/>
        <sz val="10"/>
        <b/>
      </rPr>
      <t>TRANSLATION:</t>
    </r>
    <r>
      <rPr>
        <rFont val="Arial"/>
        <sz val="10"/>
      </rPr>
      <t xml:space="preserve"> "I cannot say it, even if my conscience should choke and kill me, I cannot say it," thought Scarlett gloomily.</t>
    </r>
  </si>
  <si>
    <r>
      <rPr>
        <rFont val="Arial"/>
        <sz val="10"/>
        <b/>
      </rPr>
      <t>TERM:</t>
    </r>
    <r>
      <rPr>
        <rFont val="Arial"/>
        <sz val="10"/>
      </rPr>
      <t xml:space="preserve"> sovest' (совесть) — conscience; the inner moral faculty [ORD]
</t>
    </r>
    <r>
      <rPr>
        <rFont val="Arial"/>
        <sz val="10"/>
        <b/>
      </rPr>
      <t>PASSAGE:</t>
    </r>
    <r>
      <rPr>
        <rFont val="Arial"/>
        <sz val="10"/>
      </rPr>
      <t xml:space="preserv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
    </r>
    <r>
      <rPr>
        <rFont val="Arial"/>
        <sz val="10"/>
        <b/>
      </rPr>
      <t>TRANS:</t>
    </r>
    <r>
      <rPr>
        <rFont val="Arial"/>
        <sz val="10"/>
      </rPr>
      <t xml:space="preserve"> Kogda ona vpervye nachala ukradkoy chitat' eti pis'ma, ee poryadkom muchila sovest' i okhvatyval takoy strakh byt' poymannoy na meste prestupleniya, chto ona edva reshalas' vskryt' drozhashchimi pal'tsami konvert.
</t>
    </r>
    <r>
      <rPr>
        <rFont val="Arial"/>
        <sz val="10"/>
        <b/>
      </rPr>
      <t>TRANSLATION:</t>
    </r>
    <r>
      <rPr>
        <rFont val="Arial"/>
        <sz val="10"/>
      </rPr>
      <t xml:space="preserve"> When she first began secretly to read these letters, her conscience tormented her terribly and such a fear of being caught in the act gripped her that she barely dared open the envelope with trembling fingers.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</si>
  <si>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бастапқыда ар-ұжданы қинап, өзін қылмыс үстінде ұстап алатындай қорқыныш билеп, саусағы дірілдеп конвертті әрең ашып, хаттарды оқи бастады.
</t>
    </r>
    <r>
      <rPr>
        <rFont val="Arial"/>
        <sz val="10"/>
        <b/>
      </rPr>
      <t>TRANS:</t>
    </r>
    <r>
      <rPr>
        <rFont val="Arial"/>
        <sz val="10"/>
      </rPr>
      <t xml:space="preserve"> Ol bastapqyda ar-ūjdany qinap, özın qylmys üstınde ūstap alatyndai qorqynyş bilep, sausağy dırıldep konverttı äreñ aşyp, hattardy oqi bastady.
</t>
    </r>
    <r>
      <rPr>
        <rFont val="Arial"/>
        <sz val="10"/>
        <b/>
      </rPr>
      <t>TRANSLATION:</t>
    </r>
    <r>
      <rPr>
        <rFont val="Arial"/>
        <sz val="10"/>
      </rPr>
      <t xml:space="preserve"> At first her conscience tormented her, fear gripped her as if she might be caught in the crime, and her fingers trembled as she barely managed to open the envelope and begin reading the letters.</t>
    </r>
  </si>
  <si>
    <r>
      <rPr>
        <rFont val="Arial"/>
        <sz val="10"/>
        <b/>
      </rPr>
      <t>TERM:</t>
    </r>
    <r>
      <rPr>
        <rFont val="Arial"/>
        <sz val="10"/>
      </rPr>
      <t xml:space="preserve"> sovest' (совесть) — conscience; the inner moral faculty [ORD]
</t>
    </r>
    <r>
      <rPr>
        <rFont val="Arial"/>
        <sz val="10"/>
        <b/>
      </rPr>
      <t>PASSAGE:</t>
    </r>
    <r>
      <rPr>
        <rFont val="Arial"/>
        <sz val="10"/>
      </rPr>
      <t xml:space="preserv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
    </r>
    <r>
      <rPr>
        <rFont val="Arial"/>
        <sz val="10"/>
        <b/>
      </rPr>
      <t>TRANS:</t>
    </r>
    <r>
      <rPr>
        <rFont val="Arial"/>
        <sz val="10"/>
      </rPr>
      <t xml:space="preserve"> Kogda ona vpervye nachala ukradkoy chitat' eti pis'ma, ee poryadkom muchila sovest' i okhvatyval takoy strakh byt' poymannoy na meste prestupleniya, chto ona edva reshalas' vskryt' drozhashchimi pal'tsami konvert.
</t>
    </r>
    <r>
      <rPr>
        <rFont val="Arial"/>
        <sz val="10"/>
        <b/>
      </rPr>
      <t>TRANSLATION:</t>
    </r>
    <r>
      <rPr>
        <rFont val="Arial"/>
        <sz val="10"/>
      </rPr>
      <t xml:space="preserve"> When she first began secretly to read these letters, her conscience tormented her terribly and such a fear of being caught in the act gripped her that she barely dared open the envelope with trembling fingers.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</si>
  <si>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бастапқыда ар-ұжданы қинап, өзін қылмыс үстінде ұстап алатындай қорқыныш билеп, саусағы дірілдеп конвертті әрең ашып, хаттарды оқи бастады.
</t>
    </r>
    <r>
      <rPr>
        <rFont val="Arial"/>
        <sz val="10"/>
        <b/>
      </rPr>
      <t>TRANS:</t>
    </r>
    <r>
      <rPr>
        <rFont val="Arial"/>
        <sz val="10"/>
      </rPr>
      <t xml:space="preserve"> Ol bastapqyda ar-ūjdany qinap, özın qylmys üstınde ūstap alatyndai qorqynyş bilep, sausağy dırıldep konverttı äreñ aşyp, hattardy oqi bastady.
</t>
    </r>
    <r>
      <rPr>
        <rFont val="Arial"/>
        <sz val="10"/>
        <b/>
      </rPr>
      <t>TRANSLATION:</t>
    </r>
    <r>
      <rPr>
        <rFont val="Arial"/>
        <sz val="10"/>
      </rPr>
      <t xml:space="preserve"> At first her conscience tormented her, fear gripped her as if she might be caught in the crime, and her fingers trembled as she barely managed to open the envelope and begin reading the letters.</t>
    </r>
  </si>
  <si>
    <r>
      <rPr>
        <rFont val="Arial"/>
        <sz val="10"/>
        <b/>
      </rPr>
      <t>TERM:</t>
    </r>
    <r>
      <rPr>
        <rFont val="Arial"/>
        <sz val="10"/>
      </rPr>
      <t xml:space="preserve"> ugryzeniya sovesti: (угрызения совести:) = pangs of conscience
</t>
    </r>
    <r>
      <rPr>
        <rFont val="Arial"/>
        <sz val="10"/>
        <b/>
      </rPr>
      <t>PASSAGE:</t>
    </r>
    <r>
      <rPr>
        <rFont val="Arial"/>
        <sz val="10"/>
      </rPr>
      <t xml:space="preserve"> Читая эти строки, Скарлетт почувствовала угрызения совести: ведь она уже который месяц не посещала храма.
</t>
    </r>
    <r>
      <rPr>
        <rFont val="Arial"/>
        <sz val="10"/>
        <b/>
      </rPr>
      <t>TRANS:</t>
    </r>
    <r>
      <rPr>
        <rFont val="Arial"/>
        <sz val="10"/>
      </rPr>
      <t xml:space="preserve"> Chitaya eti stroki, Skarlett pochuvstvovala ugryzeniya sovesti: ved' ona uzhe kotoryy mesyats ne poseshchala khrama.
</t>
    </r>
    <r>
      <rPr>
        <rFont val="Arial"/>
        <sz val="10"/>
        <b/>
      </rPr>
      <t>TRANSLATION:</t>
    </r>
    <r>
      <rPr>
        <rFont val="Arial"/>
        <sz val="10"/>
      </rPr>
      <t xml:space="preserve"> Reading these lines, Scarlett felt pangs of conscience: for she had not visited the temple for several months now.</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</si>
  <si>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Бұл жолдарды оқи отырып, Скарлетт ұялып кетті: өйткені ол бірнеше ай бойы ғибадатханаға бармаған болатын.
</t>
    </r>
    <r>
      <rPr>
        <rFont val="Arial"/>
        <sz val="10"/>
        <b/>
      </rPr>
      <t>TRANS:</t>
    </r>
    <r>
      <rPr>
        <rFont val="Arial"/>
        <sz val="10"/>
      </rPr>
      <t xml:space="preserve"> Būl joldardy oqi otyryp, Skarlett ūialyp kettı: öitkenı ol bırneşe ai boiy ğibadathanağa barmağan bolatyn.
</t>
    </r>
    <r>
      <rPr>
        <rFont val="Arial"/>
        <sz val="10"/>
        <b/>
      </rPr>
      <t>TRANSLATION:</t>
    </r>
    <r>
      <rPr>
        <rFont val="Arial"/>
        <sz val="10"/>
      </rPr>
      <t xml:space="preserve"> Reading these lines, Scarlett became ashamed: for she had not gone to the place of worship for several months.</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</si>
  <si>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Когда я сложу голову на алтарь отечества, вам, боюсь, придется испытать легкий укол совести.
</t>
    </r>
    <r>
      <rPr>
        <rFont val="Arial"/>
        <sz val="10"/>
        <b/>
      </rPr>
      <t>TRANS:</t>
    </r>
    <r>
      <rPr>
        <rFont val="Arial"/>
        <sz val="10"/>
      </rPr>
      <t xml:space="preserve"> Kogda ya slozhu golovu na altar' otechestva, vam, boyus', pridetsya ispytat' legkiy ukol sovesti.
</t>
    </r>
    <r>
      <rPr>
        <rFont val="Arial"/>
        <sz val="10"/>
        <b/>
      </rPr>
      <t>TRANSLATION:</t>
    </r>
    <r>
      <rPr>
        <rFont val="Arial"/>
        <sz val="10"/>
      </rPr>
      <t xml:space="preserve"> When I lay my head on the altar of the fatherland, you, I fear, will have to feel a slight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</si>
  <si>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Менің басым туған ел үшін құрбан болған кезде, сізді аздап болса да ар-ұжданыңыз мазалайтын шығар деп қорқамын.
</t>
    </r>
    <r>
      <rPr>
        <rFont val="Arial"/>
        <sz val="10"/>
        <b/>
      </rPr>
      <t>TRANS:</t>
    </r>
    <r>
      <rPr>
        <rFont val="Arial"/>
        <sz val="10"/>
      </rPr>
      <t xml:space="preserve"> Menıñ basym tuğan el üşın qūrban bolğan kezde, sızdı azdap bolsa da ar-ūjdanyñyz mazalaityn şyğar dep qorqamyn.
</t>
    </r>
    <r>
      <rPr>
        <rFont val="Arial"/>
        <sz val="10"/>
        <b/>
      </rPr>
      <t>TRANSLATION:</t>
    </r>
    <r>
      <rPr>
        <rFont val="Arial"/>
        <sz val="10"/>
      </rPr>
      <t xml:space="preserve"> When my head is sacrificed for the native land, I fear your conscience may trouble you a little.</t>
    </r>
  </si>
  <si>
    <r>
      <rPr>
        <rFont val="Arial"/>
        <sz val="10"/>
        <b/>
      </rPr>
      <t>TERM:</t>
    </r>
    <r>
      <rPr>
        <rFont val="Arial"/>
        <sz val="10"/>
      </rPr>
      <t xml:space="preserve"> Sovest' (Совесть) — conscience; the inner moral faculty [ORD]
</t>
    </r>
    <r>
      <rPr>
        <rFont val="Arial"/>
        <sz val="10"/>
        <b/>
      </rPr>
      <t>PASSAGE:</t>
    </r>
    <r>
      <rPr>
        <rFont val="Arial"/>
        <sz val="10"/>
      </rPr>
      <t xml:space="preserve"> Совесть заговорила в ней.
</t>
    </r>
    <r>
      <rPr>
        <rFont val="Arial"/>
        <sz val="10"/>
        <b/>
      </rPr>
      <t>TRANS:</t>
    </r>
    <r>
      <rPr>
        <rFont val="Arial"/>
        <sz val="10"/>
      </rPr>
      <t xml:space="preserve"> Sovest' zagovorila v ney.
</t>
    </r>
    <r>
      <rPr>
        <rFont val="Arial"/>
        <sz val="10"/>
        <b/>
      </rPr>
      <t>TRANSLATION:</t>
    </r>
    <r>
      <rPr>
        <rFont val="Arial"/>
        <sz val="10"/>
      </rPr>
      <t xml:space="preserve"> Conscience spoke up in her.</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</si>
  <si>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Ұяты өзімен тілдескендей.
</t>
    </r>
    <r>
      <rPr>
        <rFont val="Arial"/>
        <sz val="10"/>
        <b/>
      </rPr>
      <t>TRANS:</t>
    </r>
    <r>
      <rPr>
        <rFont val="Arial"/>
        <sz val="10"/>
      </rPr>
      <t xml:space="preserve"> Ūiaty özımen tıldeskendei.
</t>
    </r>
    <r>
      <rPr>
        <rFont val="Arial"/>
        <sz val="10"/>
        <b/>
      </rPr>
      <t>TRANSLATION:</t>
    </r>
    <r>
      <rPr>
        <rFont val="Arial"/>
        <sz val="10"/>
      </rPr>
      <t xml:space="preserve"> It was as if her shame began to converse with 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</si>
  <si>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Слов Индии Скарлетт не слышала, но то, что она прочла в устремленном на Стюарта взгляде, заставило ее испытать нечто похожее на укол совести.
</t>
    </r>
    <r>
      <rPr>
        <rFont val="Arial"/>
        <sz val="10"/>
        <b/>
      </rPr>
      <t>TRANS:</t>
    </r>
    <r>
      <rPr>
        <rFont val="Arial"/>
        <sz val="10"/>
      </rPr>
      <t xml:space="preserve"> Slov Indii Skarlett ne slyshala, no to, chto ona prochla v ustremlennom na Styuarta vzglyade, zastavilo ee ispytat' nechto pokhozhee na ukol sovesti.
</t>
    </r>
    <r>
      <rPr>
        <rFont val="Arial"/>
        <sz val="10"/>
        <b/>
      </rPr>
      <t>TRANSLATION:</t>
    </r>
    <r>
      <rPr>
        <rFont val="Arial"/>
        <sz val="10"/>
      </rPr>
      <t xml:space="preserve"> Scarlett did not hear India's words, but what she read in the look fixed on Stuart made her experience something like a prick of conscience.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</si>
  <si>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Скарлетт Индияның не айтқанын естімеді, бірақ оның Стюартқа қадалған көзінен оқыған жазулар мұның ар-ожданына ине сұғып алғандай әсер етті.
</t>
    </r>
    <r>
      <rPr>
        <rFont val="Arial"/>
        <sz val="10"/>
        <b/>
      </rPr>
      <t>TRANS:</t>
    </r>
    <r>
      <rPr>
        <rFont val="Arial"/>
        <sz val="10"/>
      </rPr>
      <t xml:space="preserve"> Skarlett İndianyñ ne aitqanyn estımedı, bıraq onyñ Stüartqa qadalğan közınen oqyğan jazular mūnyñ ar-ojdanyna ine sūğyp alğandai äser ettı.
</t>
    </r>
    <r>
      <rPr>
        <rFont val="Arial"/>
        <sz val="10"/>
        <b/>
      </rPr>
      <t>TRANSLATION:</t>
    </r>
    <r>
      <rPr>
        <rFont val="Arial"/>
        <sz val="10"/>
      </rPr>
      <t xml:space="preserve"> Scarlett did not hear what India said, but the writing she read in her gaze fixed on Stuart had the effect of pricking her conscience with a needle.</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</si>
  <si>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
    </r>
    <r>
      <rPr>
        <rFont val="Arial"/>
        <sz val="10"/>
        <b/>
      </rPr>
      <t>TRANS:</t>
    </r>
    <r>
      <rPr>
        <rFont val="Arial"/>
        <sz val="10"/>
      </rPr>
      <t xml:space="preserve"> Mysl' o tom, chto ona lyubit chuzhogo muzha i tol'ko chto taykom prochla ego pis'ma, adresovannye zhene, ne potrevozhila ee sovesti i ne omrachila radosti, kotoruyu davalo ey soznanie svoey molodosti, ocharovaniya i okrepshaya uverennost' v lyubvi Eshli.
</t>
    </r>
    <r>
      <rPr>
        <rFont val="Arial"/>
        <sz val="10"/>
        <b/>
      </rPr>
      <t>TRANSLATION:</t>
    </r>
    <r>
      <rPr>
        <rFont val="Arial"/>
        <sz val="10"/>
      </rPr>
      <t xml:space="preserve"> The thought that she loved another woman's husband and had just secretly read his letters addressed to his wife did not trouble her conscience, nor did it dim the joy that the awareness of her youth, charm, and strengthened conviction in Ashley's love brought her.</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</si>
  <si>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Өзінің басқа біреудің күйеуін жақсы көріп, жаңа ғана оның әйеліне жазған хаттарын жасырын оқығаны туралы ой оның арын мазаламады және оның жастық санасы, сүйкімділігі мен Эшлидің махаббатына деген сенімін нығайтқан қуаныш өшірмеді.
</t>
    </r>
    <r>
      <rPr>
        <rFont val="Arial"/>
        <sz val="10"/>
        <b/>
      </rPr>
      <t>TRANS:</t>
    </r>
    <r>
      <rPr>
        <rFont val="Arial"/>
        <sz val="10"/>
      </rPr>
      <t xml:space="preserve"> Özınıñ basqa bıreudıñ küieuın jaqsy körıp, jaña ğana onyñ äielıne jazğan hattaryn jasyryn oqyğany turaly oi onyñ aryn mazalamady jäne onyñ jastyq sanasy, süikımdılıgı men Eşlidıñ mahabbatyna degen senımın nyğaitqan quanyş öşırmedı.
</t>
    </r>
    <r>
      <rPr>
        <rFont val="Arial"/>
        <sz val="10"/>
        <b/>
      </rPr>
      <t>TRANSLATION:</t>
    </r>
    <r>
      <rPr>
        <rFont val="Arial"/>
        <sz val="10"/>
      </rPr>
      <t xml:space="preserve"> The thought that she loved someone else's husband and had just secretly read the letters he had written to his wife did not trouble her conscience/honor, nor did it extinguish the joy that her young consciousness, charm, and strengthened belief in Ashley's love had given her.</t>
    </r>
  </si>
  <si>
    <r>
      <rPr>
        <rFont val="Arial"/>
        <sz val="10"/>
        <b/>
      </rPr>
      <t>TERM:</t>
    </r>
    <r>
      <rPr>
        <rFont val="Arial"/>
        <sz val="10"/>
      </rPr>
      <t xml:space="preserve"> KİNÄLY (КІНӘЛЫ) — guilty; at fault [KED, SZK] (lemma: кінәлі)
</t>
    </r>
    <r>
      <rPr>
        <rFont val="Arial"/>
        <sz val="10"/>
        <b/>
      </rPr>
      <t>PASSAGE:</t>
    </r>
    <r>
      <rPr>
        <rFont val="Arial"/>
        <sz val="10"/>
      </rPr>
      <t xml:space="preserve"> Ашығын айтқанда, оның күреңіткен жүзін көргенде сасқалақтап, өзін кінәлі сезінгендіктен де бүгежектей бастады.
</t>
    </r>
    <r>
      <rPr>
        <rFont val="Arial"/>
        <sz val="10"/>
        <b/>
      </rPr>
      <t>TRANS:</t>
    </r>
    <r>
      <rPr>
        <rFont val="Arial"/>
        <sz val="10"/>
      </rPr>
      <t xml:space="preserve"> Aşyğyn aitqanda, onyñ küreñıtken jüzın körgende sasqalaqtap, özın kınälı sezıngendıkten de bügejektei bastady.
</t>
    </r>
    <r>
      <rPr>
        <rFont val="Arial"/>
        <sz val="10"/>
        <b/>
      </rPr>
      <t>TRANSLATION:</t>
    </r>
    <r>
      <rPr>
        <rFont val="Arial"/>
        <sz val="10"/>
      </rPr>
      <t xml:space="preserve"> To tell the truth, when she saw his darkened face, she became flustered and, feeling guilty, began to cower.</t>
    </r>
  </si>
  <si>
    <r>
      <rPr>
        <rFont val="Arial"/>
        <sz val="10"/>
        <b/>
      </rPr>
      <t>TERM:</t>
    </r>
    <r>
      <rPr>
        <rFont val="Arial"/>
        <sz val="10"/>
      </rPr>
      <t xml:space="preserve">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rFont val="Arial"/>
        <sz val="10"/>
        <b/>
      </rPr>
      <t>PASSAGE:</t>
    </r>
    <r>
      <rPr>
        <rFont val="Arial"/>
        <sz val="10"/>
      </rPr>
      <t xml:space="preserv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rFont val="Arial"/>
        <sz val="10"/>
        <b/>
      </rPr>
      <t>TRANS:</t>
    </r>
    <r>
      <rPr>
        <rFont val="Arial"/>
        <sz val="10"/>
      </rPr>
      <t xml:space="preserve"> No na sovesti yeye lezhal i drugoy grekh — lezhal dazhe boleye tyazhkim i strashnym gruzom, chem yego smert'; i etot grekh nikogda ne trevozhil yeye, poka ona ne uvidela litso Frenka v grobu.
</t>
    </r>
    <r>
      <rPr>
        <rFont val="Arial"/>
        <sz val="10"/>
        <b/>
      </rPr>
      <t>TRANSLATION:</t>
    </r>
    <r>
      <rPr>
        <rFont val="Arial"/>
        <sz val="10"/>
      </rPr>
      <t xml:space="preserve"> But upon her conscience there lay also another sin — lay even as a heavier and more terrible burden than his death; and this sin had never troubled her until she saw Frank's face in the coffin.</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</si>
  <si>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Бірақ оның арына салмақ түсірген бұдан да ауыр қылмысы бар, ауырлығы сондай, күйеуінің өлімінен де сорақы..
</t>
    </r>
    <r>
      <rPr>
        <rFont val="Arial"/>
        <sz val="10"/>
        <b/>
      </rPr>
      <t>TRANS:</t>
    </r>
    <r>
      <rPr>
        <rFont val="Arial"/>
        <sz val="10"/>
      </rPr>
      <t xml:space="preserve"> Bıraq onyñ aryna salmaq tüsırgen būdan da auyr qylmysy bar, auyrlyğy sondai, küieuınıñ ölımınen de soraqy..
</t>
    </r>
    <r>
      <rPr>
        <rFont val="Arial"/>
        <sz val="10"/>
        <b/>
      </rPr>
      <t>TRANSLATION:</t>
    </r>
    <r>
      <rPr>
        <rFont val="Arial"/>
        <sz val="10"/>
      </rPr>
      <t xml:space="preserve"> But upon her conscience there lay an even heavier crime than this; so heavy, more dreadful even than her husband's death...</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</si>
  <si>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Мисс Мелли умрет легко, а вы не облегчите своей совести, если скажете ей про Эшли.
</t>
    </r>
    <r>
      <rPr>
        <rFont val="Arial"/>
        <sz val="10"/>
        <b/>
      </rPr>
      <t>TRANS:</t>
    </r>
    <r>
      <rPr>
        <rFont val="Arial"/>
        <sz val="10"/>
      </rPr>
      <t xml:space="preserve"> Miss Melli umret legko, a vy ne oblegchite svoey sovesti, esli skazhete ey pro Eshli.
</t>
    </r>
    <r>
      <rPr>
        <rFont val="Arial"/>
        <sz val="10"/>
        <b/>
      </rPr>
      <t>TRANSLATION:</t>
    </r>
    <r>
      <rPr>
        <rFont val="Arial"/>
        <sz val="10"/>
      </rPr>
      <t xml:space="preserve"> Miss Melly will die easily, and you will not lighten your conscience if you tell her about Ashley.</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</si>
  <si>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Эшли туралы айтқаннан өз ұятыңыздың жүгін бәрібір жеңілдетпейсіз, Мелли ханым қиналмай кетсін.
</t>
    </r>
    <r>
      <rPr>
        <rFont val="Arial"/>
        <sz val="10"/>
        <b/>
      </rPr>
      <t>TRANS:</t>
    </r>
    <r>
      <rPr>
        <rFont val="Arial"/>
        <sz val="10"/>
      </rPr>
      <t xml:space="preserve"> Eşli turaly aitqannan öz ūiatyñyzdyñ jügın bärıbır jeñıldetpeisız, Melli hanym qinalmai ketsın.
</t>
    </r>
    <r>
      <rPr>
        <rFont val="Arial"/>
        <sz val="10"/>
        <b/>
      </rPr>
      <t>TRANSLATION:</t>
    </r>
    <r>
      <rPr>
        <rFont val="Arial"/>
        <sz val="10"/>
      </rPr>
      <t xml:space="preserve"> You will not lighten the burden on your own shame by telling about Ashley; let Mrs Melly go without suffering.</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</si>
  <si>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А то это лежит у меня на совести.
</t>
    </r>
    <r>
      <rPr>
        <rFont val="Arial"/>
        <sz val="10"/>
        <b/>
      </rPr>
      <t>TRANS:</t>
    </r>
    <r>
      <rPr>
        <rFont val="Arial"/>
        <sz val="10"/>
      </rPr>
      <t xml:space="preserve"> A to eto lezhit u menya na sovesti.
</t>
    </r>
    <r>
      <rPr>
        <rFont val="Arial"/>
        <sz val="10"/>
        <b/>
      </rPr>
      <t>TRANSLATION:</t>
    </r>
    <r>
      <rPr>
        <rFont val="Arial"/>
        <sz val="10"/>
      </rPr>
      <t xml:space="preserve"> Otherwise this lies on my conscience.</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</si>
  <si>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Әйтпесе ұятыма салмақ болып жүр еді.
</t>
    </r>
    <r>
      <rPr>
        <rFont val="Arial"/>
        <sz val="10"/>
        <b/>
      </rPr>
      <t>TRANS:</t>
    </r>
    <r>
      <rPr>
        <rFont val="Arial"/>
        <sz val="10"/>
      </rPr>
      <t xml:space="preserve"> Äitpese ūiatyma salmaq bolyp jür edı.
</t>
    </r>
    <r>
      <rPr>
        <rFont val="Arial"/>
        <sz val="10"/>
        <b/>
      </rPr>
      <t>TRANSLATION:</t>
    </r>
    <r>
      <rPr>
        <rFont val="Arial"/>
        <sz val="10"/>
      </rPr>
      <t xml:space="preserve"> Otherwise this is becoming a weight on my conscience.</t>
    </r>
  </si>
  <si>
    <r>
      <rPr>
        <rFont val="Arial"/>
        <sz val="10"/>
        <b/>
      </rPr>
      <t>TERM:</t>
    </r>
    <r>
      <rPr>
        <rFont val="Arial"/>
        <sz val="10"/>
      </rPr>
      <t xml:space="preserve"> ugryzeniy (угрызений) — pangs (gen. pl.) [ORD] (lemma: угрызение)
</t>
    </r>
    <r>
      <rPr>
        <rFont val="Arial"/>
        <sz val="10"/>
        <b/>
      </rPr>
      <t>PASSAGE:</t>
    </r>
    <r>
      <rPr>
        <rFont val="Arial"/>
        <sz val="10"/>
      </rPr>
      <t xml:space="preserve"> Наблюдая за этим, Скарлетт не испытывала угрызений совести — только чувство огромного облегчения оттого, что ей удалось сбежать.
</t>
    </r>
    <r>
      <rPr>
        <rFont val="Arial"/>
        <sz val="10"/>
        <b/>
      </rPr>
      <t>TRANS:</t>
    </r>
    <r>
      <rPr>
        <rFont val="Arial"/>
        <sz val="10"/>
      </rPr>
      <t xml:space="preserve"> Nablyudaya za etim, Skarlett ne ispytyvala ugryzeniy sovesti — tol'ko chuvstvo ogromnogo oblegcheniya ottogo, chto ey udalos' sbezhat'.
</t>
    </r>
    <r>
      <rPr>
        <rFont val="Arial"/>
        <sz val="10"/>
        <b/>
      </rPr>
      <t>TRANSLATION:</t>
    </r>
    <r>
      <rPr>
        <rFont val="Arial"/>
        <sz val="10"/>
      </rPr>
      <t xml:space="preserve"> Watching this, Scarlett felt no pangs of conscience — only a sense of immense relief that she had managed to escape.</t>
    </r>
  </si>
  <si>
    <r>
      <rPr>
        <rFont val="Arial"/>
        <sz val="10"/>
        <b/>
      </rPr>
      <t>TERM:</t>
    </r>
    <r>
      <rPr>
        <rFont val="Arial"/>
        <sz val="10"/>
      </rPr>
      <t xml:space="preserve"> ŪİALU (ҰЯЛУ) — to feel ashamed; to feel shy; to be embarrassed [KED, SZK]
</t>
    </r>
    <r>
      <rPr>
        <rFont val="Arial"/>
        <sz val="10"/>
        <b/>
      </rPr>
      <t>PASSAGE:</t>
    </r>
    <r>
      <rPr>
        <rFont val="Arial"/>
        <sz val="10"/>
      </rPr>
      <t xml:space="preserve"> Мұны көрген Скарлетт түк те ұялған жоқ
</t>
    </r>
    <r>
      <rPr>
        <rFont val="Arial"/>
        <sz val="10"/>
        <b/>
      </rPr>
      <t>TRANS:</t>
    </r>
    <r>
      <rPr>
        <rFont val="Arial"/>
        <sz val="10"/>
      </rPr>
      <t xml:space="preserve"> Mūny körgen Skarlett tük te ūialğan joq
</t>
    </r>
    <r>
      <rPr>
        <rFont val="Arial"/>
        <sz val="10"/>
        <b/>
      </rPr>
      <t>TRANSLATION:</t>
    </r>
    <r>
      <rPr>
        <rFont val="Arial"/>
        <sz val="10"/>
      </rPr>
      <t xml:space="preserve"> Seeing this, Scarlett felt no shame at all</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</si>
  <si>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То, что Фрэнк — жених Сьюлин, не вызвало у Скарлетт ни малейшего укора совести.
</t>
    </r>
    <r>
      <rPr>
        <rFont val="Arial"/>
        <sz val="10"/>
        <b/>
      </rPr>
      <t>TRANS:</t>
    </r>
    <r>
      <rPr>
        <rFont val="Arial"/>
        <sz val="10"/>
      </rPr>
      <t xml:space="preserve"> To, chto Frenk — zhenikh S'yulin, ne vyzvalo u Skarlett ni maleyshego ukora sovesti.
</t>
    </r>
    <r>
      <rPr>
        <rFont val="Arial"/>
        <sz val="10"/>
        <b/>
      </rPr>
      <t>TRANSLATION:</t>
    </r>
    <r>
      <rPr>
        <rFont val="Arial"/>
        <sz val="10"/>
      </rPr>
      <t xml:space="preserve"> The fact that Frank was Suellen's fiancé did not arouse the slightest reproach of conscience in Scarlett.</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</si>
  <si>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Фрэнк Сьюлиннің күйеу жігіті екені Скарлеттің титімдей де ұятын шақырмады.
</t>
    </r>
    <r>
      <rPr>
        <rFont val="Arial"/>
        <sz val="10"/>
        <b/>
      </rPr>
      <t>TRANS:</t>
    </r>
    <r>
      <rPr>
        <rFont val="Arial"/>
        <sz val="10"/>
      </rPr>
      <t xml:space="preserve"> Frenk Sülinnıñ küieu jıgıtı ekenı Skarlettıñ titımdei de ūiatyn şaqyrmady.
</t>
    </r>
    <r>
      <rPr>
        <rFont val="Arial"/>
        <sz val="10"/>
        <b/>
      </rPr>
      <t>TRANSLATION:</t>
    </r>
    <r>
      <rPr>
        <rFont val="Arial"/>
        <sz val="10"/>
      </rPr>
      <t xml:space="preserve"> That Frank was Suellen's betrothed did not call up the tiniest bit of shame in Scarlett.</t>
    </r>
  </si>
  <si>
    <r>
      <rPr>
        <rFont val="Arial"/>
        <sz val="10"/>
        <b/>
      </rPr>
      <t>TERM:</t>
    </r>
    <r>
      <rPr>
        <rFont val="Arial"/>
        <sz val="10"/>
      </rPr>
      <t xml:space="preserve"> sovest' muchit ne bol'she (совесть мучит не больше) — conscience torments no more [ORD] (lemma: совесть)
</t>
    </r>
    <r>
      <rPr>
        <rFont val="Arial"/>
        <sz val="10"/>
        <b/>
      </rPr>
      <t>PASSAGE:</t>
    </r>
    <r>
      <rPr>
        <rFont val="Arial"/>
        <sz val="10"/>
      </rPr>
      <t xml:space="preserve"> torments her not more) Совесть ведь мучит ее не больше, чем если бы она раздавила таракана.
</t>
    </r>
    <r>
      <rPr>
        <rFont val="Arial"/>
        <sz val="10"/>
        <b/>
      </rPr>
      <t>TRANS:</t>
    </r>
    <r>
      <rPr>
        <rFont val="Arial"/>
        <sz val="10"/>
      </rPr>
      <t xml:space="preserve"> torments her not more) Sovest' ved' muchit ee ne bol'she, chem esli by ona razdavila tarakana.
</t>
    </r>
    <r>
      <rPr>
        <rFont val="Arial"/>
        <sz val="10"/>
        <b/>
      </rPr>
      <t>TRANSLATION:</t>
    </r>
    <r>
      <rPr>
        <rFont val="Arial"/>
        <sz val="10"/>
      </rPr>
      <t xml:space="preserve"> (torments her not more) Her conscience torments her no more than if she had crushed a cockroach.</t>
    </r>
  </si>
  <si>
    <r>
      <rPr>
        <rFont val="Arial"/>
        <sz val="10"/>
        <b/>
      </rPr>
      <t>TERM:</t>
    </r>
    <r>
      <rPr>
        <rFont val="Arial"/>
        <sz val="10"/>
      </rPr>
      <t xml:space="preserve"> ŪİAT (ҰЯТ) — shame; disgrace; sense of decency (also: that which is improper) [KED, SZK]
</t>
    </r>
    <r>
      <rPr>
        <rFont val="Arial"/>
        <sz val="10"/>
        <b/>
      </rPr>
      <t>PASSAGE:</t>
    </r>
    <r>
      <rPr>
        <rFont val="Arial"/>
        <sz val="10"/>
      </rPr>
      <t xml:space="preserve"> Аяғымен байқаусызда жердегі қоңызды басып кету емес қой ол, әрине, ұяты өзін де үнемі қинап жүретін
</t>
    </r>
    <r>
      <rPr>
        <rFont val="Arial"/>
        <sz val="10"/>
        <b/>
      </rPr>
      <t>TRANS:</t>
    </r>
    <r>
      <rPr>
        <rFont val="Arial"/>
        <sz val="10"/>
      </rPr>
      <t xml:space="preserve"> Aiağymen baiqausyzda jerdegı qoñyzdy basyp ketu emes qoi ol, ärine, ūiaty özın de ünemı qinap jüretın
</t>
    </r>
    <r>
      <rPr>
        <rFont val="Arial"/>
        <sz val="10"/>
        <b/>
      </rPr>
      <t>TRANSLATION:</t>
    </r>
    <r>
      <rPr>
        <rFont val="Arial"/>
        <sz val="10"/>
      </rPr>
      <t xml:space="preserve"> Of course, it was not as though she had accidentally stepped on a beetle on the ground — her shame would not constantly torment her either</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</si>
  <si>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Я бы не хотела жить с таким пятном на совести.
</t>
    </r>
    <r>
      <rPr>
        <rFont val="Arial"/>
        <sz val="10"/>
        <b/>
      </rPr>
      <t>TRANS:</t>
    </r>
    <r>
      <rPr>
        <rFont val="Arial"/>
        <sz val="10"/>
      </rPr>
      <t xml:space="preserve"> Ya by ne khotela zhit' s takim pyatnom na sovesti.
</t>
    </r>
    <r>
      <rPr>
        <rFont val="Arial"/>
        <sz val="10"/>
        <b/>
      </rPr>
      <t>TRANSLATION:</t>
    </r>
    <r>
      <rPr>
        <rFont val="Arial"/>
        <sz val="10"/>
      </rPr>
      <t xml:space="preserve"> I would not want to live with such a stain on my conscience.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</si>
  <si>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Арыма дақ түсіретін қылмыспен мен еркін өмір сүріп жүре алмас едім.
</t>
    </r>
    <r>
      <rPr>
        <rFont val="Arial"/>
        <sz val="10"/>
        <b/>
      </rPr>
      <t>TRANS:</t>
    </r>
    <r>
      <rPr>
        <rFont val="Arial"/>
        <sz val="10"/>
      </rPr>
      <t xml:space="preserve"> Aryma daq tüsıretın qylmyspen men erkın ömır sürıp jüre almas edım.
</t>
    </r>
    <r>
      <rPr>
        <rFont val="Arial"/>
        <sz val="10"/>
        <b/>
      </rPr>
      <t>TRANSLATION:</t>
    </r>
    <r>
      <rPr>
        <rFont val="Arial"/>
        <sz val="10"/>
      </rPr>
      <t xml:space="preserve"> I could not live freely with a crime that would put a stain on my conscience.</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</si>
  <si>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А кроме того, ложь, которую она сказала Фрэнку, никогда не отягощала ее совести.
</t>
    </r>
    <r>
      <rPr>
        <rFont val="Arial"/>
        <sz val="10"/>
        <b/>
      </rPr>
      <t>TRANS:</t>
    </r>
    <r>
      <rPr>
        <rFont val="Arial"/>
        <sz val="10"/>
      </rPr>
      <t xml:space="preserve"> A krome togo, lozh', kotoruyu ona skazala Frenku, nikogda ne otyagoshchala ee sovesti.
</t>
    </r>
    <r>
      <rPr>
        <rFont val="Arial"/>
        <sz val="10"/>
        <b/>
      </rPr>
      <t>TRANSLATION:</t>
    </r>
    <r>
      <rPr>
        <rFont val="Arial"/>
        <sz val="10"/>
      </rPr>
      <t xml:space="preserve"> Besides, the lie she had told Frank had never weighed on her conscience.</t>
    </r>
  </si>
  <si>
    <r>
      <rPr>
        <rFont val="Arial"/>
        <sz val="10"/>
        <b/>
      </rPr>
      <t>TERM:</t>
    </r>
    <r>
      <rPr>
        <rFont val="Arial"/>
        <sz val="10"/>
      </rPr>
      <t xml:space="preserve"> JÜREK (ЖҮРЕК) — heart (literal and figurative) [KED, SZK]
</t>
    </r>
    <r>
      <rPr>
        <rFont val="Arial"/>
        <sz val="10"/>
        <b/>
      </rPr>
      <t>PASSAGE:</t>
    </r>
    <r>
      <rPr>
        <rFont val="Arial"/>
        <sz val="10"/>
      </rPr>
      <t xml:space="preserve"> Фрэнкке айтқан өтірігі өз жүрегіне ешқашан салмақ салып көрмеген еді.
</t>
    </r>
    <r>
      <rPr>
        <rFont val="Arial"/>
        <sz val="10"/>
        <b/>
      </rPr>
      <t>TRANS:</t>
    </r>
    <r>
      <rPr>
        <rFont val="Arial"/>
        <sz val="10"/>
      </rPr>
      <t xml:space="preserve"> Frenkke aitqan ötırıgı öz jüregıne eşqaşan salmaq salyp körmegen edı.
</t>
    </r>
    <r>
      <rPr>
        <rFont val="Arial"/>
        <sz val="10"/>
        <b/>
      </rPr>
      <t>TRANSLATION:</t>
    </r>
    <r>
      <rPr>
        <rFont val="Arial"/>
        <sz val="10"/>
      </rPr>
      <t xml:space="preserve"> The lie she had told Frank had never weighed on her heart.</t>
    </r>
  </si>
  <si>
    <r>
      <rPr>
        <rFont val="Arial"/>
        <sz val="10"/>
        <b/>
      </rPr>
      <t>TERM:</t>
    </r>
    <r>
      <rPr>
        <rFont val="Arial"/>
        <sz val="10"/>
      </rPr>
      <t xml:space="preserve"> sovest' (совесть) — conscience; the inner moral faculty [ORD]
</t>
    </r>
    <r>
      <rPr>
        <rFont val="Arial"/>
        <sz val="10"/>
        <b/>
      </rPr>
      <t>PASSAGE:</t>
    </r>
    <r>
      <rPr>
        <rFont val="Arial"/>
        <sz val="10"/>
      </rPr>
      <t xml:space="preserv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
    </r>
    <r>
      <rPr>
        <rFont val="Arial"/>
        <sz val="10"/>
        <b/>
      </rPr>
      <t>TRANS:</t>
    </r>
    <r>
      <rPr>
        <rFont val="Arial"/>
        <sz val="10"/>
      </rPr>
      <t xml:space="preserve"> No ona uzhe ne raz narushala printsipy Ellin posle togo dalekogo dnya, kogda, stoya v gostinoy Tary, reshila stat' lyubovnitsey Retta, i nel'zya skazat', chtoby teper' ee chasto muchila iz-za etogo sovest'.
</t>
    </r>
    <r>
      <rPr>
        <rFont val="Arial"/>
        <sz val="10"/>
        <b/>
      </rPr>
      <t>TRANSLATION:</t>
    </r>
    <r>
      <rPr>
        <rFont val="Arial"/>
        <sz val="10"/>
      </rPr>
      <t xml:space="preserve"> But she had already broken Ellen's principles more than once since that distant day when, standing in the parlor at Tara, she decided to become Rhett's mistress, and one cannot say that her conscience tormented her much over it any more.</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</si>
  <si>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ар-ұяты ертеректегідей аса көп жанын да қинай бермейді.
</t>
    </r>
    <r>
      <rPr>
        <rFont val="Arial"/>
        <sz val="10"/>
        <b/>
      </rPr>
      <t>TRANS:</t>
    </r>
    <r>
      <rPr>
        <rFont val="Arial"/>
        <sz val="10"/>
      </rPr>
      <t xml:space="preserve"> Bıraq özı de sol Elinnıñ ūstanymdaryn Taradağy qonaq bölmede tūryp, Rettıñ naqsüierı boluğa şeşım şyğarğan sätten bastap, bälen ret būzğan-dy, sodan ba, būl künderı ar-ūiaty erterektegıdei asa köp janyn da qinai bermeidı.
</t>
    </r>
    <r>
      <rPr>
        <rFont val="Arial"/>
        <sz val="10"/>
        <b/>
      </rPr>
      <t>TRANSLATION:</t>
    </r>
    <r>
      <rPr>
        <rFont val="Arial"/>
        <sz val="10"/>
      </rPr>
      <t xml:space="preserve"> But she herself had broken those principles of Ellen's many times since the moment when, standing in the Tara parlor, she resolved to become Rhett's mistress; perhaps because of this, in those days her conscience no longer tormented her soul as much as before.</t>
    </r>
  </si>
  <si>
    <r>
      <rPr>
        <rFont val="Arial"/>
        <sz val="10"/>
        <b/>
      </rPr>
      <t>TERM:</t>
    </r>
    <r>
      <rPr>
        <rFont val="Arial"/>
        <sz val="10"/>
      </rPr>
      <t xml:space="preserve"> sovest' (совесть) — conscience; the inner moral faculty [ORD]
</t>
    </r>
    <r>
      <rPr>
        <rFont val="Arial"/>
        <sz val="10"/>
        <b/>
      </rPr>
      <t>PASSAGE:</t>
    </r>
    <r>
      <rPr>
        <rFont val="Arial"/>
        <sz val="10"/>
      </rPr>
      <t xml:space="preserve"> К великому сожалению, я вынужден признать: совесть не мучила меня при мысли, что я вас бросил.
</t>
    </r>
    <r>
      <rPr>
        <rFont val="Arial"/>
        <sz val="10"/>
        <b/>
      </rPr>
      <t>TRANS:</t>
    </r>
    <r>
      <rPr>
        <rFont val="Arial"/>
        <sz val="10"/>
      </rPr>
      <t xml:space="preserve"> K velikomu sozhaleniyu, ya vynuzhden priznat': sovest' ne muchila menya pri mysli, chto ya vas brosil.
</t>
    </r>
    <r>
      <rPr>
        <rFont val="Arial"/>
        <sz val="10"/>
        <b/>
      </rPr>
      <t>TRANSLATION:</t>
    </r>
    <r>
      <rPr>
        <rFont val="Arial"/>
        <sz val="10"/>
      </rPr>
      <t xml:space="preserve"> To my great regret, I am forced to admit: my conscience did not torment me at the thought that I had abandoned you.</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</si>
  <si>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Өз арыңыз, ұятыңыз туралы ұмытыңыз, Скарлетт.
</t>
    </r>
    <r>
      <rPr>
        <rFont val="Arial"/>
        <sz val="10"/>
        <b/>
      </rPr>
      <t>TRANS:</t>
    </r>
    <r>
      <rPr>
        <rFont val="Arial"/>
        <sz val="10"/>
      </rPr>
      <t xml:space="preserve"> Öz aryñyz, ūiatyñyz turaly ūmytyñyz, Skarlett.
</t>
    </r>
    <r>
      <rPr>
        <rFont val="Arial"/>
        <sz val="10"/>
        <b/>
      </rPr>
      <t>TRANSLATION:</t>
    </r>
    <r>
      <rPr>
        <rFont val="Arial"/>
        <sz val="10"/>
      </rPr>
      <t xml:space="preserve"> Forget about your ar [conscience] and your shame, Scarlett.</t>
    </r>
  </si>
  <si>
    <r>
      <rPr>
        <rFont val="Arial"/>
        <sz val="10"/>
        <b/>
      </rPr>
      <t>TERM:</t>
    </r>
    <r>
      <rPr>
        <rFont val="Arial"/>
        <sz val="10"/>
      </rPr>
      <t xml:space="preserve"> sovesti (совести) — conscience (gen./dat./prep.) [ORD] (lemma: совесть)
</t>
    </r>
    <r>
      <rPr>
        <rFont val="Arial"/>
        <sz val="10"/>
        <b/>
      </rPr>
      <t>PASSAGE:</t>
    </r>
    <r>
      <rPr>
        <rFont val="Arial"/>
        <sz val="10"/>
      </rPr>
      <t xml:space="preserve"> Забудьте о своей совести, Скарлетт.
</t>
    </r>
    <r>
      <rPr>
        <rFont val="Arial"/>
        <sz val="10"/>
        <b/>
      </rPr>
      <t>TRANS:</t>
    </r>
    <r>
      <rPr>
        <rFont val="Arial"/>
        <sz val="10"/>
      </rPr>
      <t xml:space="preserve"> Zabud'te o svoey sovesti, Skarlett.
</t>
    </r>
    <r>
      <rPr>
        <rFont val="Arial"/>
        <sz val="10"/>
        <b/>
      </rPr>
      <t>TRANSLATION:</t>
    </r>
    <r>
      <rPr>
        <rFont val="Arial"/>
        <sz val="10"/>
      </rPr>
      <t xml:space="preserve"> Forget about your conscience, Scarlett.</t>
    </r>
  </si>
  <si>
    <r>
      <rPr>
        <rFont val="Arial"/>
        <sz val="10"/>
        <b/>
      </rPr>
      <t>TERM:</t>
    </r>
    <r>
      <rPr>
        <rFont val="Arial"/>
        <sz val="10"/>
      </rPr>
      <t xml:space="preserve"> AR (АР) — self-respect; conscience; shame; honor; ŪIAT (ҰЯТ) — conscience; shame; disgrace; sense of shame [KED, SZK]
</t>
    </r>
    <r>
      <rPr>
        <rFont val="Arial"/>
        <sz val="10"/>
        <b/>
      </rPr>
      <t>PASSAGE:</t>
    </r>
    <r>
      <rPr>
        <rFont val="Arial"/>
        <sz val="10"/>
      </rPr>
      <t xml:space="preserve"> Өз арыңыз, ұятыңыз туралы ұмытыңыз, Скарлетт.
</t>
    </r>
    <r>
      <rPr>
        <rFont val="Arial"/>
        <sz val="10"/>
        <b/>
      </rPr>
      <t>TRANS:</t>
    </r>
    <r>
      <rPr>
        <rFont val="Arial"/>
        <sz val="10"/>
      </rPr>
      <t xml:space="preserve"> Öz ar-yñyz, ūiat-yñyz turaly ūmyt-yñyz, Skarlett.
</t>
    </r>
    <r>
      <rPr>
        <rFont val="Arial"/>
        <sz val="10"/>
        <b/>
      </rPr>
      <t>GLOSS:</t>
    </r>
    <r>
      <rPr>
        <rFont val="Arial"/>
        <sz val="10"/>
      </rPr>
      <t xml:space="preserve"> REFL honor/conscience-POSS.2SG.POL shame-POSS.2SG.POL about forget-IMP.2SG.POL Scarlett
</t>
    </r>
    <r>
      <rPr>
        <rFont val="Arial"/>
        <sz val="10"/>
        <b/>
      </rPr>
      <t>TRANSLATION:</t>
    </r>
    <r>
      <rPr>
        <rFont val="Arial"/>
        <sz val="10"/>
      </rPr>
      <t xml:space="preserve"> Forget about your conscience and shame, Scarlett.</t>
    </r>
  </si>
  <si>
    <r>
      <rPr>
        <rFont val="Arial"/>
        <sz val="10"/>
        <b/>
      </rPr>
      <t>TERM:</t>
    </r>
    <r>
      <rPr>
        <rFont val="Arial"/>
        <sz val="10"/>
      </rPr>
      <t xml:space="preserve"> chesti (чести) — honour (gen./dat./prep.) [ORD] (lemma: честь)
</t>
    </r>
    <r>
      <rPr>
        <rFont val="Arial"/>
        <sz val="10"/>
        <b/>
      </rPr>
      <t>PASSAGE:</t>
    </r>
    <r>
      <rPr>
        <rFont val="Arial"/>
        <sz val="10"/>
      </rPr>
      <t xml:space="preserve"> Ничто, — ровным голосом повторил он, — ничто, кроме чести.
</t>
    </r>
    <r>
      <rPr>
        <rFont val="Arial"/>
        <sz val="10"/>
        <b/>
      </rPr>
      <t>TRANS:</t>
    </r>
    <r>
      <rPr>
        <rFont val="Arial"/>
        <sz val="10"/>
      </rPr>
      <t xml:space="preserve"> Nichto, — rovnym golosom povtoril on, — nichto, krome chesti.
</t>
    </r>
    <r>
      <rPr>
        <rFont val="Arial"/>
        <sz val="10"/>
        <b/>
      </rPr>
      <t>TRANSLATION:</t>
    </r>
    <r>
      <rPr>
        <rFont val="Arial"/>
        <sz val="10"/>
      </rPr>
      <t xml:space="preserve"> Nothing, — he repeated in an even voice, — nothing except honor.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</si>
  <si>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Ештеңе жоқ, - деп қайталады ол да,  - ар-ұяттан басқа ештеңе жоқ.
</t>
    </r>
    <r>
      <rPr>
        <rFont val="Arial"/>
        <sz val="10"/>
        <b/>
      </rPr>
      <t>TRANS:</t>
    </r>
    <r>
      <rPr>
        <rFont val="Arial"/>
        <sz val="10"/>
      </rPr>
      <t xml:space="preserve"> Eşteñe joq, - dep qaitalady ol da,  - ar-ūiattan basqa eşteñe joq.
</t>
    </r>
    <r>
      <rPr>
        <rFont val="Arial"/>
        <sz val="10"/>
        <b/>
      </rPr>
      <t>TRANSLATION:</t>
    </r>
    <r>
      <rPr>
        <rFont val="Arial"/>
        <sz val="10"/>
      </rPr>
      <t xml:space="preserve"> There is nothing, — he repeated, — nothing other than conscience/honor.</t>
    </r>
  </si>
  <si>
    <r>
      <rPr>
        <rFont val="Arial"/>
        <sz val="10"/>
        <b/>
      </rPr>
      <t>TERM:</t>
    </r>
    <r>
      <rPr>
        <rFont val="Arial"/>
        <sz val="10"/>
      </rPr>
      <t xml:space="preserve"> chesti (чести) — honour (gen./dat./prep.) [ORD] (lemma: честь)
</t>
    </r>
    <r>
      <rPr>
        <rFont val="Arial"/>
        <sz val="10"/>
        <b/>
      </rPr>
      <t>PASSAGE:</t>
    </r>
    <r>
      <rPr>
        <rFont val="Arial"/>
        <sz val="10"/>
      </rPr>
      <t xml:space="preserv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
    </r>
    <r>
      <rPr>
        <rFont val="Arial"/>
        <sz val="10"/>
        <b/>
      </rPr>
      <t>TRANS:</t>
    </r>
    <r>
      <rPr>
        <rFont val="Arial"/>
        <sz val="10"/>
      </rPr>
      <t xml:space="preserve"> Soznanie togo, chto Eshli, svyazannyy soobrazheniyami chesti, lyubit ee na rasstoyanii za to prekrasnoe, chto gluboko skryto v ney i chto odin, tol'ko on vidit, — eto soznanie kak raz i pozvolyalo ey zhit'.
</t>
    </r>
    <r>
      <rPr>
        <rFont val="Arial"/>
        <sz val="10"/>
        <b/>
      </rPr>
      <t>TRANSLATION:</t>
    </r>
    <r>
      <rPr>
        <rFont val="Arial"/>
        <sz val="10"/>
      </rPr>
      <t xml:space="preserve"> The awareness that Ashley, bound by considerations of honor, loves her from a distance for the beautiful that is deeply hidden in her, which only he sees — this awareness was precisely what allowed her to live.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</si>
  <si>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Ар-ождан 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
</t>
    </r>
    <r>
      <rPr>
        <rFont val="Arial"/>
        <sz val="10"/>
        <b/>
      </rPr>
      <t>TRANS:</t>
    </r>
    <r>
      <rPr>
        <rFont val="Arial"/>
        <sz val="10"/>
      </rPr>
      <t xml:space="preserve"> Ar-ojdan tazalyğyn bärınen biık qoiğandyqtan da Eşli päk sezımın lastamas üşın boiyn aulaq sala ūstap, mūnyñ tereñge jasyrylğan asyp qasietterıne bola jaqsy köredı.
</t>
    </r>
    <r>
      <rPr>
        <rFont val="Arial"/>
        <sz val="10"/>
        <b/>
      </rPr>
      <t>TRANSLATION:</t>
    </r>
    <r>
      <rPr>
        <rFont val="Arial"/>
        <sz val="10"/>
      </rPr>
      <t xml:space="preserve"> Because he placed the purity of his conscience above all, Ashley keeps himself at a distance so as not to soil his pure feeling; he loves her for the noble qualities hidden deep within her.</t>
    </r>
  </si>
  <si>
    <r>
      <rPr>
        <rFont val="Arial"/>
        <sz val="10"/>
        <b/>
      </rPr>
      <t>TERM:</t>
    </r>
    <r>
      <rPr>
        <rFont val="Arial"/>
        <sz val="10"/>
      </rPr>
      <t xml:space="preserve"> chest' (честь) — honour; honor [ORD]
</t>
    </r>
    <r>
      <rPr>
        <rFont val="Arial"/>
        <sz val="10"/>
        <b/>
      </rPr>
      <t>PASSAGE:</t>
    </r>
    <r>
      <rPr>
        <rFont val="Arial"/>
        <sz val="10"/>
      </rPr>
      <t xml:space="preserve"> Зная, что Эшли ставит честь выше жизни, Скарлетт понимала, что он, должно быть, кипит от ярости.
</t>
    </r>
    <r>
      <rPr>
        <rFont val="Arial"/>
        <sz val="10"/>
        <b/>
      </rPr>
      <t>TRANS:</t>
    </r>
    <r>
      <rPr>
        <rFont val="Arial"/>
        <sz val="10"/>
      </rPr>
      <t xml:space="preserve"> Znaya, chto Eshli stavit chest' vyshe zhizni, Skarlett ponimala, chto on, dolzhno byt', kipit ot yarosti.
</t>
    </r>
    <r>
      <rPr>
        <rFont val="Arial"/>
        <sz val="10"/>
        <b/>
      </rPr>
      <t>TRANSLATION:</t>
    </r>
    <r>
      <rPr>
        <rFont val="Arial"/>
        <sz val="10"/>
      </rPr>
      <t xml:space="preserve"> Knowing that Ashley placed honor above life, Scarlett understood that he must be seething with rage.</t>
    </r>
  </si>
  <si>
    <r>
      <rPr>
        <rFont val="Arial"/>
        <sz val="10"/>
        <b/>
      </rPr>
      <t>TERM:</t>
    </r>
    <r>
      <rPr>
        <rFont val="Arial"/>
        <sz val="10"/>
      </rPr>
      <t xml:space="preserve"> AR-NAMYS (АР-НАМЫС) — honour; observable behavioural code (compound) [KED, SZK]
</t>
    </r>
    <r>
      <rPr>
        <rFont val="Arial"/>
        <sz val="10"/>
        <b/>
      </rPr>
      <t>PASSAGE:</t>
    </r>
    <r>
      <rPr>
        <rFont val="Arial"/>
        <sz val="10"/>
      </rPr>
      <t xml:space="preserve"> Эшлидің ар-намысын өмірінен де жоғары қоятынын білген Скарлетт оның ыза мен өкініштен жарылардай боп жүргенін топшылайды.
</t>
    </r>
    <r>
      <rPr>
        <rFont val="Arial"/>
        <sz val="10"/>
        <b/>
      </rPr>
      <t>TRANS:</t>
    </r>
    <r>
      <rPr>
        <rFont val="Arial"/>
        <sz val="10"/>
      </rPr>
      <t xml:space="preserve"> Eşlidıñ ar-namysyn ömırınen de joğary qoiatynyn bılgen Skarlett onyñ yza men ökınışten jarylardai bop jürgenın topşylaidy.
</t>
    </r>
    <r>
      <rPr>
        <rFont val="Arial"/>
        <sz val="10"/>
        <b/>
      </rPr>
      <t>TRANSLATION:</t>
    </r>
    <r>
      <rPr>
        <rFont val="Arial"/>
        <sz val="10"/>
      </rPr>
      <t xml:space="preserve"> Knowing that Ashley places his honor-pride above his very life, Scarlett guesses that he is on the verge of bursting from anger and regret.</t>
    </r>
  </si>
  <si>
    <r>
      <rPr>
        <rFont val="Arial"/>
        <sz val="10"/>
        <b/>
      </rPr>
      <t>TERM:</t>
    </r>
    <r>
      <rPr>
        <rFont val="Arial"/>
        <sz val="10"/>
      </rPr>
      <t xml:space="preserve"> blagorodstvo (благородство) — nobility; nobleness of character [ORD]
</t>
    </r>
    <r>
      <rPr>
        <rFont val="Arial"/>
        <sz val="10"/>
        <b/>
      </rPr>
      <t>PASSAGE:</t>
    </r>
    <r>
      <rPr>
        <rFont val="Arial"/>
        <sz val="10"/>
      </rPr>
      <t xml:space="preserv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
    </r>
    <r>
      <rPr>
        <rFont val="Arial"/>
        <sz val="10"/>
        <b/>
      </rPr>
      <t>TRANS:</t>
    </r>
    <r>
      <rPr>
        <rFont val="Arial"/>
        <sz val="10"/>
      </rPr>
      <t xml:space="preserve"> otsutstvie blagorodstva (otsutstvie blagorodstva) = nobleness, absence of nobleness Slishkom mnogo v ney blagorodstva, chtoby ona mogla poverit' v otsutstvie blagorodstva u tekh, kogo lyubit.
</t>
    </r>
    <r>
      <rPr>
        <rFont val="Arial"/>
        <sz val="10"/>
        <b/>
      </rPr>
      <t>TRANSLATION:</t>
    </r>
    <r>
      <rPr>
        <rFont val="Arial"/>
        <sz val="10"/>
      </rPr>
      <t xml:space="preserve"> absence of nobility = There is too much nobility in her for her to be able to believe in the absence of nobility in those whom she loves.</t>
    </r>
  </si>
  <si>
    <r>
      <rPr>
        <rFont val="Arial"/>
        <sz val="10"/>
        <b/>
      </rPr>
      <t>TERM:</t>
    </r>
    <r>
      <rPr>
        <rFont val="Arial"/>
        <sz val="10"/>
      </rPr>
      <t xml:space="preserve"> Janınıñ asıldığı, päktigi (Жанының асылдығы, пәктігі) = the nobility and purity of her soul
</t>
    </r>
    <r>
      <rPr>
        <rFont val="Arial"/>
        <sz val="10"/>
        <b/>
      </rPr>
      <t>PASSAGE:</t>
    </r>
    <r>
      <rPr>
        <rFont val="Arial"/>
        <sz val="10"/>
      </rPr>
      <t xml:space="preserve"> Жанының асылдығы, пәктігі сондай өзі аса қатты жақсы көретін адамының сатқын болуы мүмкін екеніне сене алмайды.
</t>
    </r>
    <r>
      <rPr>
        <rFont val="Arial"/>
        <sz val="10"/>
        <b/>
      </rPr>
      <t>TRANS:</t>
    </r>
    <r>
      <rPr>
        <rFont val="Arial"/>
        <sz val="10"/>
      </rPr>
      <t xml:space="preserve"> Janynyñ asyldyğy, päktıgı sondai özı asa qatty jaqsy köretın adamynyñ satqyn boluy mümkın ekenıne sene almaidy.
</t>
    </r>
    <r>
      <rPr>
        <rFont val="Arial"/>
        <sz val="10"/>
        <b/>
      </rPr>
      <t>TRANSLATION:</t>
    </r>
    <r>
      <rPr>
        <rFont val="Arial"/>
        <sz val="10"/>
      </rPr>
      <t xml:space="preserve"> The nobility, the purity of her soul is such that she cannot believe that the person she loves so very much could be a traitor.</t>
    </r>
  </si>
  <si>
    <r>
      <rPr>
        <rFont val="Arial"/>
        <sz val="10"/>
        <b/>
      </rPr>
      <t>TERM:</t>
    </r>
    <r>
      <rPr>
        <rFont val="Arial"/>
        <sz val="10"/>
      </rPr>
      <t xml:space="preserve"> beschestnyy (бесчестный) — dishonourable; ignoble [ORD]
</t>
    </r>
    <r>
      <rPr>
        <rFont val="Arial"/>
        <sz val="10"/>
        <b/>
      </rPr>
      <t>PASSAGE:</t>
    </r>
    <r>
      <rPr>
        <rFont val="Arial"/>
        <sz val="10"/>
      </rPr>
      <t xml:space="preserv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
    </r>
    <r>
      <rPr>
        <rFont val="Arial"/>
        <sz val="10"/>
        <b/>
      </rPr>
      <t>TRANS:</t>
    </r>
    <r>
      <rPr>
        <rFont val="Arial"/>
        <sz val="10"/>
      </rPr>
      <t xml:space="preserve"> Vy by ne dopustili, chtoby ya sovershil beschestnyy postupok, a sami prodalis' cheloveku, kotorogo ne lyubili, i teper' nosite pod serdtsem ego rebenka, i vse radi togo, chtoby ya i moya sem'ya ne umerli s golodu.
</t>
    </r>
    <r>
      <rPr>
        <rFont val="Arial"/>
        <sz val="10"/>
        <b/>
      </rPr>
      <t>TRANSLATION:</t>
    </r>
    <r>
      <rPr>
        <rFont val="Arial"/>
        <sz val="10"/>
      </rPr>
      <t xml:space="preserve"> You would never have allowed me to commit a dishonorable deed, and yet you sold yourself to a man you did not love, and now bear his child beneath your heart, all so that I and my family would not die of starvation.</t>
    </r>
  </si>
  <si>
    <r>
      <rPr>
        <rFont val="Arial"/>
        <sz val="10"/>
        <b/>
      </rPr>
      <t>TERM:</t>
    </r>
    <r>
      <rPr>
        <rFont val="Arial"/>
        <sz val="10"/>
      </rPr>
      <t xml:space="preserve"> ARSYZDYQ (АРСЫЗДЫҚ) - shamelessness
</t>
    </r>
    <r>
      <rPr>
        <rFont val="Arial"/>
        <sz val="10"/>
        <b/>
      </rPr>
      <t>PASSAGE:</t>
    </r>
    <r>
      <rPr>
        <rFont val="Arial"/>
        <sz val="10"/>
      </rPr>
      <t xml:space="preserve"> Мені арсыздыққа қайтсеңіз де жібермес едіңіз, бірақ өзіңізді еш сүймейтін адамға сатып жібердіңіз де, жүрегіңіздің астында соның баласын сақтап жүрсіз.
</t>
    </r>
    <r>
      <rPr>
        <rFont val="Arial"/>
        <sz val="10"/>
        <b/>
      </rPr>
      <t>TRANS:</t>
    </r>
    <r>
      <rPr>
        <rFont val="Arial"/>
        <sz val="10"/>
      </rPr>
      <t xml:space="preserve"> Menı arsyzdyqqa qaitseñız de jıbermes edıñız, bıraq özıñızdı eş süimeitın adamğa satyp jıberdıñız de, jüregıñızdıñ astynda sonyñ balasyn saqtap jürsız.
</t>
    </r>
    <r>
      <rPr>
        <rFont val="Arial"/>
        <sz val="10"/>
        <b/>
      </rPr>
      <t>TRANSLATION:</t>
    </r>
    <r>
      <rPr>
        <rFont val="Arial"/>
        <sz val="10"/>
      </rPr>
      <t xml:space="preserve"> You, no matter what, would not have let me act shamelessly, but you yourself sold yourself off to a man you did not love at all, and now you carry his child beneath your heart.</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</si>
  <si>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По мало-помалу от частых повторений этой проделки ее не слишком остро развитое чувство порядочности и вовсе притупилось, да и страх сам собой исчез.
</t>
    </r>
    <r>
      <rPr>
        <rFont val="Arial"/>
        <sz val="10"/>
        <b/>
      </rPr>
      <t>TRANS:</t>
    </r>
    <r>
      <rPr>
        <rFont val="Arial"/>
        <sz val="10"/>
      </rPr>
      <t xml:space="preserve"> Po malo-pomalu ot chastykh povtoreniy etoy prodelki ee ne slishkom ostro razvitoe chuvstvo poryadochnosti i vovse pritupilos', da i strakh sam soboy ischez.
</t>
    </r>
    <r>
      <rPr>
        <rFont val="Arial"/>
        <sz val="10"/>
        <b/>
      </rPr>
      <t>TRANSLATION:</t>
    </r>
    <r>
      <rPr>
        <rFont val="Arial"/>
        <sz val="10"/>
      </rPr>
      <t xml:space="preserve"> But little by little, with frequent repetitions of this trick, her not very sharply developed sense of decency was completely dulled, and the fear itself disappeared.</t>
    </r>
  </si>
  <si>
    <r>
      <rPr>
        <rFont val="Arial"/>
        <sz val="10"/>
        <b/>
      </rPr>
      <t>TERM:</t>
    </r>
    <r>
      <rPr>
        <rFont val="Arial"/>
        <sz val="10"/>
      </rPr>
      <t xml:space="preserve">AR-ŪİAT(АР-ҰЯТ) — conscience-shame (compound): the active inner moral faculty [KED, SZK]
</t>
    </r>
    <r>
      <rPr>
        <rFont val="Arial"/>
        <sz val="10"/>
        <b/>
      </rPr>
      <t>PASSAGE:</t>
    </r>
    <r>
      <rPr>
        <rFont val="Arial"/>
        <sz val="10"/>
      </rPr>
      <t xml:space="preserve"> оның ар-ұят, әдептілік сезімі мүлдем өшіп, қорқынышы өзіненөзі жоғалып кетті
</t>
    </r>
    <r>
      <rPr>
        <rFont val="Arial"/>
        <sz val="10"/>
        <b/>
      </rPr>
      <t>TRANS:</t>
    </r>
    <r>
      <rPr>
        <rFont val="Arial"/>
        <sz val="10"/>
      </rPr>
      <t xml:space="preserve"> onyñ ar-ūiat, ädeptılık sezımı müldem öşıp, qorqynyşy özınenözı joğalyp kettı
</t>
    </r>
    <r>
      <rPr>
        <rFont val="Arial"/>
        <sz val="10"/>
        <b/>
      </rPr>
      <t>TRANSLATION:</t>
    </r>
    <r>
      <rPr>
        <rFont val="Arial"/>
        <sz val="10"/>
      </rPr>
      <t xml:space="preserve"> her sense of conscience-shame and propriety was extinguished entirely, and her fear too vanished of itself.</t>
    </r>
  </si>
  <si>
    <r>
      <rPr>
        <rFont val="Arial"/>
        <sz val="10"/>
        <b/>
      </rPr>
      <t>TERM:</t>
    </r>
    <r>
      <rPr>
        <rFont val="Arial"/>
        <sz val="10"/>
      </rPr>
      <t xml:space="preserve"> , chestnoy, pravdivoy (, честной, правдивой) = honest
</t>
    </r>
    <r>
      <rPr>
        <rFont val="Arial"/>
        <sz val="10"/>
        <b/>
      </rPr>
      <t>PASSAGE:</t>
    </r>
    <r>
      <rPr>
        <rFont val="Arial"/>
        <sz val="10"/>
      </rPr>
      <t xml:space="preserve"> уча ее быть доброй, мягкой, уступчивой, честной, правдивой и скромной,
</t>
    </r>
    <r>
      <rPr>
        <rFont val="Arial"/>
        <sz val="10"/>
        <b/>
      </rPr>
      <t>TRANS:</t>
    </r>
    <r>
      <rPr>
        <rFont val="Arial"/>
        <sz val="10"/>
      </rPr>
      <t xml:space="preserve"> ucha ee byt' dobroy, myagkoy, ustupchivoy, chestnoy, pravdivoy i skromnoy,
</t>
    </r>
    <r>
      <rPr>
        <rFont val="Arial"/>
        <sz val="10"/>
        <b/>
      </rPr>
      <t>TRANSLATION:</t>
    </r>
    <r>
      <rPr>
        <rFont val="Arial"/>
        <sz val="10"/>
      </rPr>
      <t xml:space="preserve"> teaching her to be kind, gentle, yielding, honest, truthful, and modest,</t>
    </r>
  </si>
  <si>
    <r>
      <rPr>
        <rFont val="Arial"/>
        <sz val="10"/>
        <b/>
      </rPr>
      <t>TERM:</t>
    </r>
    <r>
      <rPr>
        <rFont val="Arial"/>
        <sz val="10"/>
      </rPr>
      <t xml:space="preserve"> şynşyl, adal, adal (шыншыл, адал) = honest, loyal
</t>
    </r>
    <r>
      <rPr>
        <rFont val="Arial"/>
        <sz val="10"/>
        <b/>
      </rPr>
      <t>PASSAGE:</t>
    </r>
    <r>
      <rPr>
        <rFont val="Arial"/>
        <sz val="10"/>
      </rPr>
      <t xml:space="preserve"> Скарлетт Эллиннің мұны мейірімді, жұмсақ, мойынсұнғыш, шыншыл, адал және қарапайым болуға үйрете отырып, өзінің өлшенген өмірі сияқты алдағы өмірден бейбіт, өзгеріссіз жылдар тізбегін ғана көргенін түсінбеді.
</t>
    </r>
    <r>
      <rPr>
        <rFont val="Arial"/>
        <sz val="10"/>
        <b/>
      </rPr>
      <t>TRANS:</t>
    </r>
    <r>
      <rPr>
        <rFont val="Arial"/>
        <sz val="10"/>
      </rPr>
      <t xml:space="preserve"> Skarlett Elinnıñ mūny meiırımdı, jūmsaq, moiynsūnğyş, şynşyl, adal jäne qarapaiym boluğa üirete otyryp, özınıñ ölşengen ömırı siaqty aldağy ömırden beibıt, özgerıssız jyldar tızbegın ğana körgenın tüsınbedı.
</t>
    </r>
    <r>
      <rPr>
        <rFont val="Arial"/>
        <sz val="10"/>
        <b/>
      </rPr>
      <t>TRANSLATION:</t>
    </r>
    <r>
      <rPr>
        <rFont val="Arial"/>
        <sz val="10"/>
      </rPr>
      <t xml:space="preserve"> Scarlett, while Ellen was teaching her to be kind, gentle, submissive, truthful, honest, and modest, did not understand that, like Ellen's measured life, [Ellen] was seeing only a row of peaceful and unchanging years stretching ahead.</t>
    </r>
  </si>
  <si>
    <r>
      <rPr>
        <rFont val="Arial"/>
        <sz val="10"/>
        <b/>
      </rPr>
      <t>TERM:</t>
    </r>
    <r>
      <rPr>
        <rFont val="Arial"/>
        <sz val="10"/>
      </rPr>
      <t xml:space="preserve"> chesti (чести) — honour (gen./dat./prep.) [ORD] (lemma: честь)
</t>
    </r>
    <r>
      <rPr>
        <rFont val="Arial"/>
        <sz val="10"/>
        <b/>
      </rPr>
      <t>PASSAGE:</t>
    </r>
    <r>
      <rPr>
        <rFont val="Arial"/>
        <sz val="10"/>
      </rPr>
      <t xml:space="preserv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
    </r>
    <r>
      <rPr>
        <rFont val="Arial"/>
        <sz val="10"/>
        <b/>
      </rPr>
      <t>TRANS:</t>
    </r>
    <r>
      <rPr>
        <rFont val="Arial"/>
        <sz val="10"/>
      </rPr>
      <t xml:space="preserve"> Ona byla by potryasena, ona by usham svoim ne poverila i tak i skazala by Skarlett — myagko, no slova ee zhgli by kalenym zhelezom, — skazala by o chesti, i o chestnosti, i o pravde, i o dolge pered blizhnimi.
</t>
    </r>
    <r>
      <rPr>
        <rFont val="Arial"/>
        <sz val="10"/>
        <b/>
      </rPr>
      <t>TRANSLATION:</t>
    </r>
    <r>
      <rPr>
        <rFont val="Arial"/>
        <sz val="10"/>
      </rPr>
      <t xml:space="preserve"> She would be shocked, she would not believe her ears and would say so to Scarlett — gently, but her words would burn like a red-hot iron — would speak of honor, and of honesty, and of truth, and of duty toward one's neighbors.</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</si>
  <si>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ар-ождан туралы, адалдық, шындық, туыс-бауыр алдындағы міндеті туралы айтар еді.
</t>
    </r>
    <r>
      <rPr>
        <rFont val="Arial"/>
        <sz val="10"/>
        <b/>
      </rPr>
      <t>TRANS:</t>
    </r>
    <r>
      <rPr>
        <rFont val="Arial"/>
        <sz val="10"/>
      </rPr>
      <t xml:space="preserve"> Aldymen öz qūlağyna özı senbei, közı şarasynan şyğa tañdanar edı de, sonşalyq bäseñ, bıraq namysyña tigende temırmen etıñdı tılıp tüskendei ünmen "Skarlett" der edı de, ar-ojdan turaly, adaldyq, şyndyq, tuys-bauyr aldyndağy mındetı turaly aitar edı.
</t>
    </r>
    <r>
      <rPr>
        <rFont val="Arial"/>
        <sz val="10"/>
        <b/>
      </rPr>
      <t>TRANSLATION:</t>
    </r>
    <r>
      <rPr>
        <rFont val="Arial"/>
        <sz val="10"/>
      </rPr>
      <t xml:space="preserve"> At first she would hardly believe her own ears and would stare in astonishment with her eyes wide, then say “Scarlett” in a voice so soft yet so cutting it was as if it sliced through your flesh with iron, and then she would speak of conscience, loyalty, truth, and one’s duty to family.</t>
    </r>
  </si>
  <si>
    <r>
      <rPr>
        <rFont val="Arial"/>
        <sz val="10"/>
        <b/>
      </rPr>
      <t>TERM:</t>
    </r>
    <r>
      <rPr>
        <rFont val="Arial"/>
        <sz val="10"/>
      </rPr>
      <t xml:space="preserve"> chestnyy (честный) — honest; honourable [ORD]
</t>
    </r>
    <r>
      <rPr>
        <rFont val="Arial"/>
        <sz val="10"/>
        <b/>
      </rPr>
      <t>PASSAGE:</t>
    </r>
    <r>
      <rPr>
        <rFont val="Arial"/>
        <sz val="10"/>
      </rPr>
      <t xml:space="preserve"> Зная вас, мне, конечно, не следовало ожидать, что вы будете правдивы, порядочны и честны со мной.
</t>
    </r>
    <r>
      <rPr>
        <rFont val="Arial"/>
        <sz val="10"/>
        <b/>
      </rPr>
      <t>TRANS:</t>
    </r>
    <r>
      <rPr>
        <rFont val="Arial"/>
        <sz val="10"/>
      </rPr>
      <t xml:space="preserve"> Znaya vas, mne, konechno, ne sledovalo ozhidat', chto vy budete pravdivy, poryadochny i chestny so mnoy.
</t>
    </r>
    <r>
      <rPr>
        <rFont val="Arial"/>
        <sz val="10"/>
        <b/>
      </rPr>
      <t>TRANSLATION:</t>
    </r>
    <r>
      <rPr>
        <rFont val="Arial"/>
        <sz val="10"/>
      </rPr>
      <t xml:space="preserve"> Knowing you, of course, I should not have expected you to be truthful, decent, and honest with me.</t>
    </r>
  </si>
  <si>
    <r>
      <rPr>
        <rFont val="Arial"/>
        <sz val="10"/>
        <b/>
      </rPr>
      <t>TERM:</t>
    </r>
    <r>
      <rPr>
        <rFont val="Arial"/>
        <sz val="10"/>
      </rPr>
      <t xml:space="preserve"> ADAL (АДАЛ) — honest; faithful; pure; lawful (Arabic ḥalāl) [KED, SZK]
</t>
    </r>
    <r>
      <rPr>
        <rFont val="Arial"/>
        <sz val="10"/>
        <b/>
      </rPr>
      <t>PASSAGE:</t>
    </r>
    <r>
      <rPr>
        <rFont val="Arial"/>
        <sz val="10"/>
      </rPr>
      <t xml:space="preserve"> Сізді бұрыннан танып, біле тұра, менімен барынша адал, бүкпесіз ашық болады деп илануымның өзі қателік екенін білемін.
</t>
    </r>
    <r>
      <rPr>
        <rFont val="Arial"/>
        <sz val="10"/>
        <b/>
      </rPr>
      <t>TRANS:</t>
    </r>
    <r>
      <rPr>
        <rFont val="Arial"/>
        <sz val="10"/>
      </rPr>
      <t xml:space="preserve"> Sızdı būrynnan tanyp, bıle tūra, menımen barynşa adal, bükpesız aşyq bolady dep ilanuymnyñ özı qatelık ekenın bılemın.
</t>
    </r>
    <r>
      <rPr>
        <rFont val="Arial"/>
        <sz val="10"/>
        <b/>
      </rPr>
      <t>TRANSLATION:</t>
    </r>
    <r>
      <rPr>
        <rFont val="Arial"/>
        <sz val="10"/>
      </rPr>
      <t xml:space="preserve"> Knowing you of old, I myself know it was a mistake to believe you would be utterly honest with me, open without concealment.</t>
    </r>
  </si>
  <si>
    <r>
      <rPr>
        <rFont val="Arial"/>
        <sz val="10"/>
        <b/>
      </rPr>
      <t>TERM:</t>
    </r>
    <r>
      <rPr>
        <rFont val="Arial"/>
        <sz val="10"/>
      </rPr>
      <t xml:space="preserve"> chest' (честь) — honour; honor [ORD]
</t>
    </r>
    <r>
      <rPr>
        <rFont val="Arial"/>
        <sz val="10"/>
        <b/>
      </rPr>
      <t>PASSAGE:</t>
    </r>
    <r>
      <rPr>
        <rFont val="Arial"/>
        <sz val="10"/>
      </rPr>
      <t xml:space="preserve"> Гордость, и честь, и правдивость, и целомудрие, и милосердие, — хмуро перечислил он.
</t>
    </r>
    <r>
      <rPr>
        <rFont val="Arial"/>
        <sz val="10"/>
        <b/>
      </rPr>
      <t>TRANS:</t>
    </r>
    <r>
      <rPr>
        <rFont val="Arial"/>
        <sz val="10"/>
      </rPr>
      <t xml:space="preserve"> Gordost', i chest', i pravdivost', i tselomudrie, i miloserdie, — khmuro perechislil on.
</t>
    </r>
    <r>
      <rPr>
        <rFont val="Arial"/>
        <sz val="10"/>
        <b/>
      </rPr>
      <t>TRANSLATION:</t>
    </r>
    <r>
      <rPr>
        <rFont val="Arial"/>
        <sz val="10"/>
      </rPr>
      <t xml:space="preserve"> Pride, and honor, and truthfulness, and chastity, and mercy, — he listed gloomily.</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</si>
  <si>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Ар, адалдық, шыншылдық, тәкаппарлық, мақсатшылдық, мейірімділік
</t>
    </r>
    <r>
      <rPr>
        <rFont val="Arial"/>
        <sz val="10"/>
        <b/>
      </rPr>
      <t>TRANS:</t>
    </r>
    <r>
      <rPr>
        <rFont val="Arial"/>
        <sz val="10"/>
      </rPr>
      <t xml:space="preserve"> Ar, adaldyq, şynşyldyq, täkapparlyq, maqsatşyldyq, meiırımdılık
</t>
    </r>
    <r>
      <rPr>
        <rFont val="Arial"/>
        <sz val="10"/>
        <b/>
      </rPr>
      <t>TRANSLATION:</t>
    </r>
    <r>
      <rPr>
        <rFont val="Arial"/>
        <sz val="10"/>
      </rPr>
      <t xml:space="preserve"> Conscience, honesty, truthfulness, dignity, purpose, mercy</t>
    </r>
  </si>
  <si>
    <r>
      <rPr>
        <rFont val="Arial"/>
        <sz val="10"/>
        <b/>
      </rPr>
      <t>TERM:</t>
    </r>
    <r>
      <rPr>
        <rFont val="Arial"/>
        <sz val="10"/>
      </rPr>
      <t xml:space="preserve"> chest' (честь) — honour; honor [ORD]
</t>
    </r>
    <r>
      <rPr>
        <rFont val="Arial"/>
        <sz val="10"/>
        <b/>
      </rPr>
      <t>PASSAGE:</t>
    </r>
    <r>
      <rPr>
        <rFont val="Arial"/>
        <sz val="10"/>
      </rPr>
      <t xml:space="preserv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
    </r>
    <r>
      <rPr>
        <rFont val="Arial"/>
        <sz val="10"/>
        <b/>
      </rPr>
      <t>TRANS:</t>
    </r>
    <r>
      <rPr>
        <rFont val="Arial"/>
        <sz val="10"/>
      </rPr>
      <t xml:space="preserve"> I boyus', chto kogda vy sochtete vozmozhnym vtyanut' obratno v lodku chest', tselomudrie i miloserdie, kotorye vyshvyrnuli za bort, vy obnaruzhite, chto oni preterpeli v vode sushchestvennye izmeneniya, prichem otnyud' ne k luchshemu…
</t>
    </r>
    <r>
      <rPr>
        <rFont val="Arial"/>
        <sz val="10"/>
        <b/>
      </rPr>
      <t>TRANSLATION:</t>
    </r>
    <r>
      <rPr>
        <rFont val="Arial"/>
        <sz val="10"/>
      </rPr>
      <t xml:space="preserve"> And I fear that when you find it possible to pull back into the boat the honor, chastity, and mercy that you tossed overboard, you will discover that they have undergone substantial changes in the water, and not at all for the better...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</si>
  <si>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Сіз ар-ұятыңызды,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rFont val="Arial"/>
        <sz val="10"/>
        <b/>
      </rPr>
      <t>TRANS:</t>
    </r>
    <r>
      <rPr>
        <rFont val="Arial"/>
        <sz val="10"/>
      </rPr>
      <t xml:space="preserve"> Sız ar-ūiatyñyzdy, meiırımdılık pen adaldyğyñyzdy qaitadan qajetsınıp qaiyqqa tartyp alğan kezde de, olardyñ būrynğy mänın joiyp, suda qalğan kezderınde müldem tanymastai özgergenın baiqaisyz, jäne jaqsy jağyna qarai özgermes...
</t>
    </r>
    <r>
      <rPr>
        <rFont val="Arial"/>
        <sz val="10"/>
        <b/>
      </rPr>
      <t>TRANSLATION:</t>
    </r>
    <r>
      <rPr>
        <rFont val="Arial"/>
        <sz val="10"/>
      </rPr>
      <t xml:space="preserve"> When you again come to need your conscience, your mercy, and your honesty and pull them back into the boat, you will discover that they have lost their original substance and changed beyond recognition while in the water — and not for the better...</t>
    </r>
  </si>
  <si>
    <r>
      <rPr>
        <rFont val="Arial"/>
        <sz val="10"/>
        <b/>
      </rPr>
      <t>TERM:</t>
    </r>
    <r>
      <rPr>
        <rFont val="Arial"/>
        <sz val="10"/>
      </rPr>
      <t xml:space="preserve"> blagorodnyy (благородный) — noble; of noble character [ORD]
</t>
    </r>
    <r>
      <rPr>
        <rFont val="Arial"/>
        <sz val="10"/>
        <b/>
      </rPr>
      <t>PASSAGE:</t>
    </r>
    <r>
      <rPr>
        <rFont val="Arial"/>
        <sz val="10"/>
      </rPr>
      <t xml:space="preserve"> Вам в жизни не понять, какой он благородный, какой гордый!
</t>
    </r>
    <r>
      <rPr>
        <rFont val="Arial"/>
        <sz val="10"/>
        <b/>
      </rPr>
      <t>TRANS:</t>
    </r>
    <r>
      <rPr>
        <rFont val="Arial"/>
        <sz val="10"/>
      </rPr>
      <t xml:space="preserve"> Vam v zhizni ne ponyat', kakoy on blagorodnyy, kakoy gordyy!
</t>
    </r>
    <r>
      <rPr>
        <rFont val="Arial"/>
        <sz val="10"/>
        <b/>
      </rPr>
      <t>TRANSLATION:</t>
    </r>
    <r>
      <rPr>
        <rFont val="Arial"/>
        <sz val="10"/>
      </rPr>
      <t xml:space="preserve"> You will never in your life understand how noble he is, how proud!</t>
    </r>
  </si>
  <si>
    <r>
      <rPr>
        <rFont val="Arial"/>
        <sz val="10"/>
        <b/>
      </rPr>
      <t>TERM:</t>
    </r>
    <r>
      <rPr>
        <rFont val="Arial"/>
        <sz val="10"/>
      </rPr>
      <t xml:space="preserve"> ASYL (АСЫЛ) — noble; precious; intrinsically valuable [KED, SZK]
</t>
    </r>
    <r>
      <rPr>
        <rFont val="Arial"/>
        <sz val="10"/>
        <b/>
      </rPr>
      <t>PASSAGE:</t>
    </r>
    <r>
      <rPr>
        <rFont val="Arial"/>
        <sz val="10"/>
      </rPr>
      <t xml:space="preserve"> Оның қандай жаны асыл, қандай ар-ұятты биік қоятын адам екенін мәңгі түсінбей өтесіз!
</t>
    </r>
    <r>
      <rPr>
        <rFont val="Arial"/>
        <sz val="10"/>
        <b/>
      </rPr>
      <t>TRANS:</t>
    </r>
    <r>
      <rPr>
        <rFont val="Arial"/>
        <sz val="10"/>
      </rPr>
      <t xml:space="preserve"> Onyñ qandai jany asyl, qandai ar-ūiatty biık qoiatyn adam ekenın mäñgı tüsınbei ötesız!
</t>
    </r>
    <r>
      <rPr>
        <rFont val="Arial"/>
        <sz val="10"/>
        <b/>
      </rPr>
      <t>TRANSLATION:</t>
    </r>
    <r>
      <rPr>
        <rFont val="Arial"/>
        <sz val="10"/>
      </rPr>
      <t xml:space="preserve"> You will never understand all your life what kind of soul he is — how nobly elevated, how high he holds his conscience!</t>
    </r>
  </si>
  <si>
    <r>
      <rPr>
        <rFont val="Arial"/>
        <sz val="10"/>
        <b/>
      </rPr>
      <t>TERM:</t>
    </r>
    <r>
      <rPr>
        <rFont val="Arial"/>
        <sz val="10"/>
      </rPr>
      <t xml:space="preserve"> uvazhayushchiy sebya (уважающий себя) — self-respecting (lit. respecting oneself) [ORD] (lemma: уважать)
</t>
    </r>
    <r>
      <rPr>
        <rFont val="Arial"/>
        <sz val="10"/>
        <b/>
      </rPr>
      <t>PASSAGE:</t>
    </r>
    <r>
      <rPr>
        <rFont val="Arial"/>
        <sz val="10"/>
      </rPr>
      <t xml:space="preserve"> Он человек, уважающий себя, совестливый!
</t>
    </r>
    <r>
      <rPr>
        <rFont val="Arial"/>
        <sz val="10"/>
        <b/>
      </rPr>
      <t>TRANS:</t>
    </r>
    <r>
      <rPr>
        <rFont val="Arial"/>
        <sz val="10"/>
      </rPr>
      <t xml:space="preserve"> On chelovek, uvazhayushchiy sebya, sovestlivyy!
</t>
    </r>
    <r>
      <rPr>
        <rFont val="Arial"/>
        <sz val="10"/>
        <b/>
      </rPr>
      <t>TRANSLATION:</t>
    </r>
    <r>
      <rPr>
        <rFont val="Arial"/>
        <sz val="10"/>
      </rPr>
      <t xml:space="preserve"> He is a man who respects himself, conscientious!</t>
    </r>
  </si>
  <si>
    <r>
      <rPr>
        <rFont val="Arial"/>
        <sz val="10"/>
        <b/>
      </rPr>
      <t>TERM:</t>
    </r>
    <r>
      <rPr>
        <rFont val="Arial"/>
        <sz val="10"/>
      </rPr>
      <t xml:space="preserve"> qūrmetti (ҚҰРМЕТTІ) = құрмет respected, honourable
</t>
    </r>
    <r>
      <rPr>
        <rFont val="Arial"/>
        <sz val="10"/>
        <b/>
      </rPr>
      <t>PASSAGE:</t>
    </r>
    <r>
      <rPr>
        <rFont val="Arial"/>
        <sz val="10"/>
      </rPr>
      <t xml:space="preserve"> Ол - өзін құрметтейтін, ұяты бар адам.
</t>
    </r>
    <r>
      <rPr>
        <rFont val="Arial"/>
        <sz val="10"/>
        <b/>
      </rPr>
      <t>TRANS:</t>
    </r>
    <r>
      <rPr>
        <rFont val="Arial"/>
        <sz val="10"/>
      </rPr>
      <t xml:space="preserve"> Ol - özın qūrmetteitın, ūiaty bar adam.
</t>
    </r>
    <r>
      <rPr>
        <rFont val="Arial"/>
        <sz val="10"/>
        <b/>
      </rPr>
      <t>TRANSLATION:</t>
    </r>
    <r>
      <rPr>
        <rFont val="Arial"/>
        <sz val="10"/>
      </rPr>
      <t xml:space="preserve"> He is a man who respects himself, who has conscience.</t>
    </r>
  </si>
  <si>
    <r>
      <rPr>
        <rFont val="Arial"/>
        <sz val="10"/>
        <b/>
      </rPr>
      <t>TERM:</t>
    </r>
    <r>
      <rPr>
        <rFont val="Arial"/>
        <sz val="10"/>
      </rPr>
      <t xml:space="preserve"> uvazhayushchiy sebya (уважающий себя) — self-respecting (lit. respecting oneself) [ORD] (lemma: уважать)
</t>
    </r>
    <r>
      <rPr>
        <rFont val="Arial"/>
        <sz val="10"/>
        <b/>
      </rPr>
      <t>PASSAGE:</t>
    </r>
    <r>
      <rPr>
        <rFont val="Arial"/>
        <sz val="10"/>
      </rPr>
      <t xml:space="preserve"> Но не настолько уважающий себя и не настолько совестливый, чтобы отказаться от помощи и денег женщины.
</t>
    </r>
    <r>
      <rPr>
        <rFont val="Arial"/>
        <sz val="10"/>
        <b/>
      </rPr>
      <t>TRANS:</t>
    </r>
    <r>
      <rPr>
        <rFont val="Arial"/>
        <sz val="10"/>
      </rPr>
      <t xml:space="preserve"> No ne nastol'ko uvazhayushchiy sebya i ne nastol'ko sovestlivyy, chtoby otkazat'sya ot pomoshchi i deneg zhenshchiny.
</t>
    </r>
    <r>
      <rPr>
        <rFont val="Arial"/>
        <sz val="10"/>
        <b/>
      </rPr>
      <t>TRANSLATION:</t>
    </r>
    <r>
      <rPr>
        <rFont val="Arial"/>
        <sz val="10"/>
      </rPr>
      <t xml:space="preserve"> But not so self-respecting and not so conscientious as to refuse a woman's help and money.</t>
    </r>
  </si>
  <si>
    <r>
      <rPr>
        <rFont val="Arial"/>
        <sz val="10"/>
        <b/>
      </rPr>
      <t>TERM:</t>
    </r>
    <r>
      <rPr>
        <rFont val="Arial"/>
        <sz val="10"/>
      </rPr>
      <t xml:space="preserve"> QŪRMETTI (ҚҰРМЕТTІ) = құрмет respected, honourable
</t>
    </r>
    <r>
      <rPr>
        <rFont val="Arial"/>
        <sz val="10"/>
        <b/>
      </rPr>
      <t>PASSAGE:</t>
    </r>
    <r>
      <rPr>
        <rFont val="Arial"/>
        <sz val="10"/>
      </rPr>
      <t xml:space="preserve"> Дегенмен әйелдің ақшасы мен көмегінен бас тартпайтынына қарағанда, соншалық құрметті, соншалық ұятты емес те сияқты ғой.
</t>
    </r>
    <r>
      <rPr>
        <rFont val="Arial"/>
        <sz val="10"/>
        <b/>
      </rPr>
      <t>TRANS:</t>
    </r>
    <r>
      <rPr>
        <rFont val="Arial"/>
        <sz val="10"/>
      </rPr>
      <t xml:space="preserve"> Degenmen äieldıñ aqşasy men kömegınen bas tartpaitynyna qarağanda, sonşalyq qūrmettı, sonşalyq ūiatty emes te siaqty ğoi.
</t>
    </r>
    <r>
      <rPr>
        <rFont val="Arial"/>
        <sz val="10"/>
        <b/>
      </rPr>
      <t>TRANSLATION:</t>
    </r>
    <r>
      <rPr>
        <rFont val="Arial"/>
        <sz val="10"/>
      </rPr>
      <t xml:space="preserve">  And yet, since he did not refuse the woman’s money or assistance, he did not seem quite so honorable—or so shameful after all.</t>
    </r>
  </si>
  <si>
    <r>
      <rPr>
        <rFont val="Arial"/>
        <sz val="10"/>
        <b/>
      </rPr>
      <t>TERM:</t>
    </r>
    <r>
      <rPr>
        <rFont val="Arial"/>
        <sz val="10"/>
      </rPr>
      <t xml:space="preserve"> blagorodnyy (благородный) — noble; of noble character [ORD]
</t>
    </r>
    <r>
      <rPr>
        <rFont val="Arial"/>
        <sz val="10"/>
        <b/>
      </rPr>
      <t>PASSAGE:</t>
    </r>
    <r>
      <rPr>
        <rFont val="Arial"/>
        <sz val="10"/>
      </rPr>
      <t xml:space="preserve"> Эшли ведь такой благородный, такой правдивый, такой добрый, и он видит все так ясно, без прикрас.
</t>
    </r>
    <r>
      <rPr>
        <rFont val="Arial"/>
        <sz val="10"/>
        <b/>
      </rPr>
      <t>TRANS:</t>
    </r>
    <r>
      <rPr>
        <rFont val="Arial"/>
        <sz val="10"/>
      </rPr>
      <t xml:space="preserve"> Eshli ved' takoy blagorodnyy, takoy pravdivyy, takoy dobryy, i on vidit vse tak yasno, bez prikras.
</t>
    </r>
    <r>
      <rPr>
        <rFont val="Arial"/>
        <sz val="10"/>
        <b/>
      </rPr>
      <t>TRANSLATION:</t>
    </r>
    <r>
      <rPr>
        <rFont val="Arial"/>
        <sz val="10"/>
      </rPr>
      <t xml:space="preserve"> Ashley is so noble, so truthful, so kind, and he sees everything so clearly, without embellishment.</t>
    </r>
  </si>
  <si>
    <r>
      <rPr>
        <rFont val="Arial"/>
        <sz val="10"/>
        <b/>
      </rPr>
      <t>TERM:</t>
    </r>
    <r>
      <rPr>
        <rFont val="Arial"/>
        <sz val="10"/>
      </rPr>
      <t xml:space="preserve"> keñpeiıl (кеңпейіл) = ‘broad-souled’ (noble) 
</t>
    </r>
    <r>
      <rPr>
        <rFont val="Arial"/>
        <sz val="10"/>
        <b/>
      </rPr>
      <t>PASSAGE:</t>
    </r>
    <r>
      <rPr>
        <rFont val="Arial"/>
        <sz val="10"/>
      </rPr>
      <t xml:space="preserve"> Ол сондай кеңпейіл, сондай шыншыл, сондай қамқор, мейірімді, бәрін жақсы ашық көңілмен қабылдайды.
</t>
    </r>
    <r>
      <rPr>
        <rFont val="Arial"/>
        <sz val="10"/>
        <b/>
      </rPr>
      <t>TRANS:</t>
    </r>
    <r>
      <rPr>
        <rFont val="Arial"/>
        <sz val="10"/>
      </rPr>
      <t xml:space="preserve"> Ol sondai keñpeiıl, sondai şynşyl, sondai qamqor, meiırımdı, bärın jaqsy aşyq köñılmen qabyldaidy.
</t>
    </r>
    <r>
      <rPr>
        <rFont val="Arial"/>
        <sz val="10"/>
        <b/>
      </rPr>
      <t>TRANSLATION:</t>
    </r>
    <r>
      <rPr>
        <rFont val="Arial"/>
        <sz val="10"/>
      </rPr>
      <t xml:space="preserve"> He is so broad-souled, so truthful, so caring, so merciful — he accepts everything with an open and clear heart.</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</si>
  <si>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к тому же ей вовсе не хотелось обсуждать Эшли и его порядочность.
</t>
    </r>
    <r>
      <rPr>
        <rFont val="Arial"/>
        <sz val="10"/>
        <b/>
      </rPr>
      <t>TRANS:</t>
    </r>
    <r>
      <rPr>
        <rFont val="Arial"/>
        <sz val="10"/>
      </rPr>
      <t xml:space="preserve"> k tomu zhe ey vovse ne khotelos' obsuzhdat' Eshli i ego poryadochnost'.
</t>
    </r>
    <r>
      <rPr>
        <rFont val="Arial"/>
        <sz val="10"/>
        <b/>
      </rPr>
      <t>TRANSLATION:</t>
    </r>
    <r>
      <rPr>
        <rFont val="Arial"/>
        <sz val="10"/>
      </rPr>
      <t xml:space="preserve"> besides, she did not at all want to discuss Ashley and his decency.</t>
    </r>
  </si>
  <si>
    <r>
      <rPr>
        <rFont val="Arial"/>
        <sz val="10"/>
        <b/>
      </rPr>
      <t>TERM:</t>
    </r>
    <r>
      <rPr>
        <rFont val="Arial"/>
        <sz val="10"/>
      </rPr>
      <t xml:space="preserve"> ÄDEPTILIK (ӘДЕПТІЛІК) — politeness; decency; propriety [KED, SZK]
</t>
    </r>
    <r>
      <rPr>
        <rFont val="Arial"/>
        <sz val="10"/>
        <b/>
      </rPr>
      <t>PASSAGE:</t>
    </r>
    <r>
      <rPr>
        <rFont val="Arial"/>
        <sz val="10"/>
      </rPr>
      <t xml:space="preserve"> Бұрын да өзімшіл екенін бетіне басып, өкпелететін кездеріндей қиналып кетті де, Эшлидің әдептілігі туралы да сөз қозғатқысы келмеді.
</t>
    </r>
    <r>
      <rPr>
        <rFont val="Arial"/>
        <sz val="10"/>
        <b/>
      </rPr>
      <t>TRANS:</t>
    </r>
    <r>
      <rPr>
        <rFont val="Arial"/>
        <sz val="10"/>
      </rPr>
      <t xml:space="preserve"> Būryn da özımşıl ekenın betıne basyp, ökpeletetın kezderındei qinalyp kettı de, Eşlidıñ ädeptılıgı turaly da söz qozğatqysy kelmedı.
</t>
    </r>
    <r>
      <rPr>
        <rFont val="Arial"/>
        <sz val="10"/>
        <b/>
      </rPr>
      <t>TRANSLATION:</t>
    </r>
    <r>
      <rPr>
        <rFont val="Arial"/>
        <sz val="10"/>
      </rPr>
      <t xml:space="preserve"> As before when he had thrown her self-centeredness in her face, she felt distressed, and did not want to bring up Ashley's decency for discussion either.</t>
    </r>
  </si>
  <si>
    <r>
      <rPr>
        <rFont val="Arial"/>
        <sz val="10"/>
        <b/>
      </rPr>
      <t>TERM:</t>
    </r>
    <r>
      <rPr>
        <rFont val="Arial"/>
        <sz val="10"/>
      </rPr>
      <t xml:space="preserve"> chest' (честь) — honour; honor [ORD]
</t>
    </r>
    <r>
      <rPr>
        <rFont val="Arial"/>
        <sz val="10"/>
        <b/>
      </rPr>
      <t>PASSAGE:</t>
    </r>
    <r>
      <rPr>
        <rFont val="Arial"/>
        <sz val="10"/>
      </rPr>
      <t xml:space="preserv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
    </r>
    <r>
      <rPr>
        <rFont val="Arial"/>
        <sz val="10"/>
        <b/>
      </rPr>
      <t>TRANS:</t>
    </r>
    <r>
      <rPr>
        <rFont val="Arial"/>
        <sz val="10"/>
      </rPr>
      <t xml:space="preserve"> Mne sorok pyat' let, i v etom vozraste chelovek nachinaet tsenit' to, chto on tak legko otbrasyval v yunosti: svoy klan, svoyu sem'yu, svoyu chest' i bezopasnost', korni, ukhodyashchie gluboko…
</t>
    </r>
    <r>
      <rPr>
        <rFont val="Arial"/>
        <sz val="10"/>
        <b/>
      </rPr>
      <t>TRANSLATION:</t>
    </r>
    <r>
      <rPr>
        <rFont val="Arial"/>
        <sz val="10"/>
      </rPr>
      <t xml:space="preserve"> I am forty-five years old, and at this age a person begins to value what he so easily cast aside in his youth: his clan, his family, his honor and security, roots that go deep...</t>
    </r>
  </si>
  <si>
    <r>
      <rPr>
        <rFont val="Arial"/>
        <sz val="10"/>
        <b/>
      </rPr>
      <t>TERM:</t>
    </r>
    <r>
      <rPr>
        <rFont val="Arial"/>
        <sz val="10"/>
      </rPr>
      <t xml:space="preserve"> AR-NAMYS (АР-НАМЫС) — honour; observable behavioural code (compound) [KED, SZK]
</t>
    </r>
    <r>
      <rPr>
        <rFont val="Arial"/>
        <sz val="10"/>
        <b/>
      </rPr>
      <t>PASSAGE:</t>
    </r>
    <r>
      <rPr>
        <rFont val="Arial"/>
        <sz val="10"/>
      </rPr>
      <t xml:space="preserve"> Менің жасым қырық беске келіпті, бұл адамның жас кезінде қолын бір сілтеп, керек қылмай кеткен нәрселерін - отбасын, ар-намысын, қауіпсіздігін, түп-тамырын бағалайтын, қадірлейтін тұсы!
</t>
    </r>
    <r>
      <rPr>
        <rFont val="Arial"/>
        <sz val="10"/>
        <b/>
      </rPr>
      <t>TRANS:</t>
    </r>
    <r>
      <rPr>
        <rFont val="Arial"/>
        <sz val="10"/>
      </rPr>
      <t xml:space="preserve"> Menıñ jasym qyryq beske kelıptı, būl adamnyñ jas kezınde qolyn bır sıltep, kerek qylmai ketken närselerın - otbasyn, ar-namysyn, qauıpsızdıgın, tüp-tamyryn bağalaityn, qadırleitın tūsy!
</t>
    </r>
    <r>
      <rPr>
        <rFont val="Arial"/>
        <sz val="10"/>
        <b/>
      </rPr>
      <t>TRANSLATION:</t>
    </r>
    <r>
      <rPr>
        <rFont val="Arial"/>
        <sz val="10"/>
      </rPr>
      <t xml:space="preserve"> I am forty-five years old now — this is the age when a person begins to value and treasure the things he so easily cast aside in his youth: family, honor-pride, security, deep roots!</t>
    </r>
  </si>
  <si>
    <r>
      <rPr>
        <rFont val="Arial"/>
        <sz val="10"/>
        <b/>
      </rPr>
      <t>TERM:</t>
    </r>
    <r>
      <rPr>
        <rFont val="Arial"/>
        <sz val="10"/>
      </rPr>
      <t xml:space="preserve"> beschestnaya (бесчестная) — dishonourable (adj. fem.) [ORD] (lemma: бесчестный)
</t>
    </r>
    <r>
      <rPr>
        <rFont val="Arial"/>
        <sz val="10"/>
        <b/>
      </rPr>
      <t>PASSAGE:</t>
    </r>
    <r>
      <rPr>
        <rFont val="Arial"/>
        <sz val="10"/>
      </rPr>
      <t xml:space="preserv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
    </r>
    <r>
      <rPr>
        <rFont val="Arial"/>
        <sz val="10"/>
        <b/>
      </rPr>
      <t>TRANS:</t>
    </r>
    <r>
      <rPr>
        <rFont val="Arial"/>
        <sz val="10"/>
      </rPr>
      <t xml:space="preserve"> Vy beschestnaya zhenshchina, i esli by vy ne vernuli mne dolg, ya by s udovol'stviem vostreboval ego seychas, a ne zaplati vy mne — vse vashe dobro poshlo by s auktsiona.
</t>
    </r>
    <r>
      <rPr>
        <rFont val="Arial"/>
        <sz val="10"/>
        <b/>
      </rPr>
      <t>TRANSLATION:</t>
    </r>
    <r>
      <rPr>
        <rFont val="Arial"/>
        <sz val="10"/>
      </rPr>
      <t xml:space="preserve"> You are a dishonest woman, and if you had not returned me the debt, I would gladly have demanded it now, and had you not paid me — all your goods would have gone under the hammer.</t>
    </r>
  </si>
  <si>
    <r>
      <rPr>
        <rFont val="Arial"/>
        <sz val="10"/>
        <b/>
      </rPr>
      <t>TERM:</t>
    </r>
    <r>
      <rPr>
        <rFont val="Arial"/>
        <sz val="10"/>
      </rPr>
      <t xml:space="preserve"> ÄDILETSIZ (ӘДІЛЕТСІЗ) = unjust
</t>
    </r>
    <r>
      <rPr>
        <rFont val="Arial"/>
        <sz val="10"/>
        <b/>
      </rPr>
      <t>PASSAGE:</t>
    </r>
    <r>
      <rPr>
        <rFont val="Arial"/>
        <sz val="10"/>
      </rPr>
      <t xml:space="preserve"> Сіз әділетсіз әйел екенсіз, егер қарызды қайтармағаныңызда, мен үстемелеп төлеуге заң арқылы мәжбүрлей алар едім.
</t>
    </r>
    <r>
      <rPr>
        <rFont val="Arial"/>
        <sz val="10"/>
        <b/>
      </rPr>
      <t>TRANS:</t>
    </r>
    <r>
      <rPr>
        <rFont val="Arial"/>
        <sz val="10"/>
      </rPr>
      <t xml:space="preserve"> Sız ädıletsız äiel ekensız, eger qaryzdy qaitarmağanyñyzda, men üstemelep töleuge zañ arqyly mäjbürlei alar edım.
</t>
    </r>
    <r>
      <rPr>
        <rFont val="Arial"/>
        <sz val="10"/>
        <b/>
      </rPr>
      <t>TRANSLATION:</t>
    </r>
    <r>
      <rPr>
        <rFont val="Arial"/>
        <sz val="10"/>
      </rPr>
      <t xml:space="preserve"> You are an unjust woman; had you not returned the debt, I could have made you pay double through the law.</t>
    </r>
  </si>
  <si>
    <r>
      <rPr>
        <rFont val="Arial"/>
        <sz val="10"/>
        <b/>
      </rPr>
      <t>TERM:</t>
    </r>
    <r>
      <rPr>
        <rFont val="Arial"/>
        <sz val="10"/>
      </rPr>
      <t xml:space="preserve"> chest' (честь) — honour; honor [ORD]
</t>
    </r>
    <r>
      <rPr>
        <rFont val="Arial"/>
        <sz val="10"/>
        <b/>
      </rPr>
      <t>PASSAGE:</t>
    </r>
    <r>
      <rPr>
        <rFont val="Arial"/>
        <sz val="10"/>
      </rPr>
      <t xml:space="preserve"> а не затуманенную всякими так называемыми высокими представлениями о чести, самопожертвовании или вере в человеческую натуру.
</t>
    </r>
    <r>
      <rPr>
        <rFont val="Arial"/>
        <sz val="10"/>
        <b/>
      </rPr>
      <t>TRANS:</t>
    </r>
    <r>
      <rPr>
        <rFont val="Arial"/>
        <sz val="10"/>
      </rPr>
      <t xml:space="preserve"> a ne zatumanennuyu vsyakimi tak nazyvaemymi vysokimi predstavleniyami o chesti, samopozhertvovanii ili vere v chelovecheskuyu naturu.
</t>
    </r>
    <r>
      <rPr>
        <rFont val="Arial"/>
        <sz val="10"/>
        <b/>
      </rPr>
      <t>TRANSLATION:</t>
    </r>
    <r>
      <rPr>
        <rFont val="Arial"/>
        <sz val="10"/>
      </rPr>
      <t xml:space="preserve"> and not [a vision] clouded by all sorts of so-called lofty notions of honor, self-sacrifice, or faith in human nature.</t>
    </r>
  </si>
  <si>
    <r>
      <rPr>
        <rFont val="Arial"/>
        <sz val="10"/>
        <b/>
      </rPr>
      <t>TERM:</t>
    </r>
    <r>
      <rPr>
        <rFont val="Arial"/>
        <sz val="10"/>
      </rPr>
      <t xml:space="preserve"> adal AR (адал АР) — honest ar; pure conscience [KED, SZK] (lemma: ар)
Abyroy (абырой) = dignity 
</t>
    </r>
    <r>
      <rPr>
        <rFont val="Arial"/>
        <sz val="10"/>
        <b/>
      </rPr>
      <t>PASSAGE:</t>
    </r>
    <r>
      <rPr>
        <rFont val="Arial"/>
        <sz val="10"/>
      </rPr>
      <t xml:space="preserve"> Өзі де бұл тақылеттес болғандықтан мұны толық түсінетін, ақиқатты сол күйімен қабылдайтын, биік мақсат, адал ар, абырой туралы жұмбақ түсініктермен ештеңені әсірелемейтін, адам келбетінің бар шынайылығын солай көре қоятын жан.
</t>
    </r>
    <r>
      <rPr>
        <rFont val="Arial"/>
        <sz val="10"/>
        <b/>
      </rPr>
      <t>TRANS:</t>
    </r>
    <r>
      <rPr>
        <rFont val="Arial"/>
        <sz val="10"/>
      </rPr>
      <t xml:space="preserve"> Özı de būl taqylettes bolğandyqtan mūny tolyq tüsınetın, aqiqatty sol küiımen qabyldaityn, biık maqsat, adal ar, abyroi turaly jūmbaq tüsınıktermen eşteñenı äsırelemeitın, adam kelbetınıñ bar şynaiylyğyn solai köre qoiatyn jan.
</t>
    </r>
    <r>
      <rPr>
        <rFont val="Arial"/>
        <sz val="10"/>
        <b/>
      </rPr>
      <t>TRANSLATION:</t>
    </r>
    <r>
      <rPr>
        <rFont val="Arial"/>
        <sz val="10"/>
      </rPr>
      <t xml:space="preserve"> He himself, being of this same kind, fully understood her, accepting the truth as it is — a soul who did not exaggerate anything with mysterious notions of lofty aim, true conscience, or dignity, but saw the whole reality of human appearance as it is.</t>
    </r>
  </si>
  <si>
    <r>
      <rPr>
        <rFont val="Arial"/>
        <sz val="10"/>
        <b/>
      </rPr>
      <t>TERM:</t>
    </r>
    <r>
      <rPr>
        <rFont val="Arial"/>
        <sz val="10"/>
      </rPr>
      <t xml:space="preserve"> blagorodnaya vozvyshennaya natura (благородная возвышенная натура) — noble and elevated nature (descriptive phrase) [ORD] (lemma: благородный)
</t>
    </r>
    <r>
      <rPr>
        <rFont val="Arial"/>
        <sz val="10"/>
        <b/>
      </rPr>
      <t>PASSAGE:</t>
    </r>
    <r>
      <rPr>
        <rFont val="Arial"/>
        <sz val="10"/>
      </rPr>
      <t xml:space="preserve"> в той мере, в какой ему позволяет это его благородная возвышенная натура.
</t>
    </r>
    <r>
      <rPr>
        <rFont val="Arial"/>
        <sz val="10"/>
        <b/>
      </rPr>
      <t>TRANS:</t>
    </r>
    <r>
      <rPr>
        <rFont val="Arial"/>
        <sz val="10"/>
      </rPr>
      <t xml:space="preserve"> v toy mere, v kakoy emu pozvolyaet eto ego blagorodnaya vozvyshennaya natura.
</t>
    </r>
    <r>
      <rPr>
        <rFont val="Arial"/>
        <sz val="10"/>
        <b/>
      </rPr>
      <t>TRANSLATION:</t>
    </r>
    <r>
      <rPr>
        <rFont val="Arial"/>
        <sz val="10"/>
      </rPr>
      <t xml:space="preserve"> to the extent that his noble, lofty nature allows him to.</t>
    </r>
  </si>
  <si>
    <r>
      <rPr>
        <rFont val="Arial"/>
        <sz val="10"/>
        <b/>
      </rPr>
      <t>TERM:</t>
    </r>
    <r>
      <rPr>
        <rFont val="Arial"/>
        <sz val="10"/>
      </rPr>
      <t xml:space="preserve"> bekzat bolmysty asqaq tabiğaty (бекзат болмысты асқақ табиғаты) — elevated nature of his noble being (descriptive phrase) [KED, SZK] (lemma: бекзат)
</t>
    </r>
    <r>
      <rPr>
        <rFont val="Arial"/>
        <sz val="10"/>
        <b/>
      </rPr>
      <t>PASSAGE:</t>
    </r>
    <r>
      <rPr>
        <rFont val="Arial"/>
        <sz val="10"/>
      </rPr>
      <t xml:space="preserve"> оның бекзат болмысты асқақ табиғаты оған мүмкіндік беретіндігінен.
</t>
    </r>
    <r>
      <rPr>
        <rFont val="Arial"/>
        <sz val="10"/>
        <b/>
      </rPr>
      <t>TRANS:</t>
    </r>
    <r>
      <rPr>
        <rFont val="Arial"/>
        <sz val="10"/>
      </rPr>
      <t xml:space="preserve"> onyñ bekzat bolmysty asqaq tabiğaty oğan mümkındık beretındıgınen.
</t>
    </r>
    <r>
      <rPr>
        <rFont val="Arial"/>
        <sz val="10"/>
        <b/>
      </rPr>
      <t>TRANSLATION:</t>
    </r>
    <r>
      <rPr>
        <rFont val="Arial"/>
        <sz val="10"/>
      </rPr>
      <t xml:space="preserve"> because of what his aristocratic, exalted nature allows him.</t>
    </r>
  </si>
  <si>
    <r>
      <rPr>
        <rFont val="Arial"/>
        <sz val="10"/>
        <b/>
      </rPr>
      <t>TERM:</t>
    </r>
    <r>
      <rPr>
        <rFont val="Arial"/>
        <sz val="10"/>
      </rPr>
      <t xml:space="preserve"> chesti (чести) — honour (gen./dat./prep.) [ORD] (lemma: честь)
</t>
    </r>
    <r>
      <rPr>
        <rFont val="Arial"/>
        <sz val="10"/>
        <b/>
      </rPr>
      <t>PASSAGE:</t>
    </r>
    <r>
      <rPr>
        <rFont val="Arial"/>
        <sz val="10"/>
      </rPr>
      <t xml:space="preserve"> что только соображения чести удерживают Эшли подле Мелани.
</t>
    </r>
    <r>
      <rPr>
        <rFont val="Arial"/>
        <sz val="10"/>
        <b/>
      </rPr>
      <t>TRANS:</t>
    </r>
    <r>
      <rPr>
        <rFont val="Arial"/>
        <sz val="10"/>
      </rPr>
      <t xml:space="preserve"> chto tol'ko soobrazheniya chesti uderzhivayut Eshli podle Melani.
</t>
    </r>
    <r>
      <rPr>
        <rFont val="Arial"/>
        <sz val="10"/>
        <b/>
      </rPr>
      <t>TRANSLATION:</t>
    </r>
    <r>
      <rPr>
        <rFont val="Arial"/>
        <sz val="10"/>
      </rPr>
      <t xml:space="preserve"> that only considerations of honor were keeping Ashley by Melanie's side.</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</si>
  <si>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Меланидің есімі аталғанда Скарлеттің көкірегіне ащы запыран жиналғандай, Реттке бар даусымен Меланидің абыройына дақ түсірмеу үшін Эшли соның қасында жүргенін айтып, айқайлағысы келіп тұрды да, аузын аша беріп, қайта жапты.
</t>
    </r>
    <r>
      <rPr>
        <rFont val="Arial"/>
        <sz val="10"/>
        <b/>
      </rPr>
      <t>TRANS:</t>
    </r>
    <r>
      <rPr>
        <rFont val="Arial"/>
        <sz val="10"/>
      </rPr>
      <t xml:space="preserve"> Melanidıñ esımı atalğanda Skarlettıñ kökıregıne aşşy zapyran jinalğandai, Rettke bar dausymen Melanidıñ abyroiyna daq tüsırmeu üşın Eşli sonyñ qasynda jürgenın aityp, aiqailağysy kelıp tūrdy da, auzyn aşa berıp, qaita japty.
</t>
    </r>
    <r>
      <rPr>
        <rFont val="Arial"/>
        <sz val="10"/>
        <b/>
      </rPr>
      <t>TRANSLATION:</t>
    </r>
    <r>
      <rPr>
        <rFont val="Arial"/>
        <sz val="10"/>
      </rPr>
      <t xml:space="preserve"> When Melanie's name was mentioned, bitter bile gathered in Scarlett's chest; she wanted to shout to Rhett at the top of her voice that Ashley remained beside Melanie so as not to stain her dignity, but she opened her mouth and shut it again.</t>
    </r>
  </si>
  <si>
    <r>
      <rPr>
        <rFont val="Arial"/>
        <sz val="10"/>
        <b/>
      </rPr>
      <t>TERM:</t>
    </r>
    <r>
      <rPr>
        <rFont val="Arial"/>
        <sz val="10"/>
      </rPr>
      <t xml:space="preserve"> chesti (чести) — honour (gen./dat./prep.) [ORD] (lemma: честь)
</t>
    </r>
    <r>
      <rPr>
        <rFont val="Arial"/>
        <sz val="10"/>
        <b/>
      </rPr>
      <t>PASSAGE:</t>
    </r>
    <r>
      <rPr>
        <rFont val="Arial"/>
        <sz val="10"/>
      </rPr>
      <t xml:space="preserve"> Но слава богу, меня не волнуют проблемы чести.
</t>
    </r>
    <r>
      <rPr>
        <rFont val="Arial"/>
        <sz val="10"/>
        <b/>
      </rPr>
      <t>TRANS:</t>
    </r>
    <r>
      <rPr>
        <rFont val="Arial"/>
        <sz val="10"/>
      </rPr>
      <t xml:space="preserve"> No slava bogu, menya ne volnuyut problemy chesti.
</t>
    </r>
    <r>
      <rPr>
        <rFont val="Arial"/>
        <sz val="10"/>
        <b/>
      </rPr>
      <t>TRANSLATION:</t>
    </r>
    <r>
      <rPr>
        <rFont val="Arial"/>
        <sz val="10"/>
      </rPr>
      <t xml:space="preserve"> But thank God, I am not troubled by problems of honor.</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</si>
  <si>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Бірақ, құдайға шүкір, мені ар-ұяттың мәселесі мазаламайды.
</t>
    </r>
    <r>
      <rPr>
        <rFont val="Arial"/>
        <sz val="10"/>
        <b/>
      </rPr>
      <t>TRANS:</t>
    </r>
    <r>
      <rPr>
        <rFont val="Arial"/>
        <sz val="10"/>
      </rPr>
      <t xml:space="preserve"> Bıraq, qūdaiğa şükır, menı ar-ūiattyñ mäselesı mazalamaidy.
</t>
    </r>
    <r>
      <rPr>
        <rFont val="Arial"/>
        <sz val="10"/>
        <b/>
      </rPr>
      <t>TRANSLATION:</t>
    </r>
    <r>
      <rPr>
        <rFont val="Arial"/>
        <sz val="10"/>
      </rPr>
      <t xml:space="preserve"> But, thank God, the question of conscience does not trouble me.</t>
    </r>
  </si>
  <si>
    <r>
      <rPr>
        <rFont val="Arial"/>
        <sz val="10"/>
        <b/>
      </rPr>
      <t>TERM:</t>
    </r>
    <r>
      <rPr>
        <rFont val="Arial"/>
        <sz val="10"/>
      </rPr>
      <t xml:space="preserve"> chesti (чести) — honour (gen./dat./prep.) [ORD] (lemma: честь)
</t>
    </r>
    <r>
      <rPr>
        <rFont val="Arial"/>
        <sz val="10"/>
        <b/>
      </rPr>
      <t>PASSAGE:</t>
    </r>
    <r>
      <rPr>
        <rFont val="Arial"/>
        <sz val="10"/>
      </rPr>
      <t xml:space="preserve"> Но он говорил только о чести.
</t>
    </r>
    <r>
      <rPr>
        <rFont val="Arial"/>
        <sz val="10"/>
        <b/>
      </rPr>
      <t>TRANS:</t>
    </r>
    <r>
      <rPr>
        <rFont val="Arial"/>
        <sz val="10"/>
      </rPr>
      <t xml:space="preserve"> No on govoril tol'ko o chesti.
</t>
    </r>
    <r>
      <rPr>
        <rFont val="Arial"/>
        <sz val="10"/>
        <b/>
      </rPr>
      <t>TRANSLATION:</t>
    </r>
    <r>
      <rPr>
        <rFont val="Arial"/>
        <sz val="10"/>
      </rPr>
      <t xml:space="preserve"> But he spoke only of honor.</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</si>
  <si>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Бірақ ол тек ар-ұят туралы ғана айтқан.
</t>
    </r>
    <r>
      <rPr>
        <rFont val="Arial"/>
        <sz val="10"/>
        <b/>
      </rPr>
      <t>TRANS:</t>
    </r>
    <r>
      <rPr>
        <rFont val="Arial"/>
        <sz val="10"/>
      </rPr>
      <t xml:space="preserve"> Bıraq ol tek ar-ūiat turaly ğana aitqan.
</t>
    </r>
    <r>
      <rPr>
        <rFont val="Arial"/>
        <sz val="10"/>
        <b/>
      </rPr>
      <t>TRANSLATION:</t>
    </r>
    <r>
      <rPr>
        <rFont val="Arial"/>
        <sz val="10"/>
      </rPr>
      <t xml:space="preserve"> But he spoke only of conscience.</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</si>
  <si>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никогда не будет вынуждать его поступиться этой дурацкой честью, которую он ставит выше любви.
</t>
    </r>
    <r>
      <rPr>
        <rFont val="Arial"/>
        <sz val="10"/>
        <b/>
      </rPr>
      <t>TRANS:</t>
    </r>
    <r>
      <rPr>
        <rFont val="Arial"/>
        <sz val="10"/>
      </rPr>
      <t xml:space="preserve"> nikogda ne budet vynuzhdat' ego postupit'sya etoy duratskoy chest'yu, kotoruyu on stavit vyshe lyubvi.
</t>
    </r>
    <r>
      <rPr>
        <rFont val="Arial"/>
        <sz val="10"/>
        <b/>
      </rPr>
      <t>TRANSLATION:</t>
    </r>
    <r>
      <rPr>
        <rFont val="Arial"/>
        <sz val="10"/>
      </rPr>
      <t xml:space="preserve"> will never force him to compromise that foolish honor that he places above love.</t>
    </r>
  </si>
  <si>
    <r>
      <rPr>
        <rFont val="Arial"/>
        <sz val="10"/>
        <b/>
      </rPr>
      <t>TERM:</t>
    </r>
    <r>
      <rPr>
        <rFont val="Arial"/>
        <sz val="10"/>
      </rPr>
      <t xml:space="preserve"> AR-OJDAN (АР-ОЖДАН) — conscience (compound from Arabic wijdān): the inalienable inner tribunal [KED, SZK]
</t>
    </r>
    <r>
      <rPr>
        <rFont val="Arial"/>
        <sz val="10"/>
        <b/>
      </rPr>
      <t>PASSAGE:</t>
    </r>
    <r>
      <rPr>
        <rFont val="Arial"/>
        <sz val="10"/>
      </rPr>
      <t xml:space="preserve"> Ол үшін тірлігінен биік қоятын ар-ожданына дақ түсірмеуге келіседі.
</t>
    </r>
    <r>
      <rPr>
        <rFont val="Arial"/>
        <sz val="10"/>
        <b/>
      </rPr>
      <t>TRANS:</t>
    </r>
    <r>
      <rPr>
        <rFont val="Arial"/>
        <sz val="10"/>
      </rPr>
      <t xml:space="preserve"> Ol üşın tırlıgınen biık qoiatyn ar-ojdanyna daq tüsırmeuge kelısedı.
</t>
    </r>
    <r>
      <rPr>
        <rFont val="Arial"/>
        <sz val="10"/>
        <b/>
      </rPr>
      <t>TRANSLATION:</t>
    </r>
    <r>
      <rPr>
        <rFont val="Arial"/>
        <sz val="10"/>
      </rPr>
      <t xml:space="preserve"> For his sake she agrees not to soil the conscience he places above his life.</t>
    </r>
  </si>
  <si>
    <r>
      <rPr>
        <rFont val="Arial"/>
        <sz val="10"/>
        <b/>
      </rPr>
      <t>TERM:</t>
    </r>
    <r>
      <rPr>
        <rFont val="Arial"/>
        <sz val="10"/>
      </rPr>
      <t xml:space="preserve"> blagorodnyy (благородный) — noble; of noble character [ORD]
</t>
    </r>
    <r>
      <rPr>
        <rFont val="Arial"/>
        <sz val="10"/>
        <b/>
      </rPr>
      <t>PASSAGE:</t>
    </r>
    <r>
      <rPr>
        <rFont val="Arial"/>
        <sz val="10"/>
      </rPr>
      <t xml:space="preserve"> Вы — такой тонкий, такой благородный, а он…
</t>
    </r>
    <r>
      <rPr>
        <rFont val="Arial"/>
        <sz val="10"/>
        <b/>
      </rPr>
      <t>TRANS:</t>
    </r>
    <r>
      <rPr>
        <rFont val="Arial"/>
        <sz val="10"/>
      </rPr>
      <t xml:space="preserve"> Vy — takoy tonkiy, takoy blagorodnyy, a on…
</t>
    </r>
    <r>
      <rPr>
        <rFont val="Arial"/>
        <sz val="10"/>
        <b/>
      </rPr>
      <t>TRANSLATION:</t>
    </r>
    <r>
      <rPr>
        <rFont val="Arial"/>
        <sz val="10"/>
      </rPr>
      <t xml:space="preserve"> You — so refined, so noble, while he...</t>
    </r>
  </si>
  <si>
    <r>
      <rPr>
        <rFont val="Arial"/>
        <sz val="10"/>
        <b/>
      </rPr>
      <t>TERM:</t>
    </r>
    <r>
      <rPr>
        <rFont val="Arial"/>
        <sz val="10"/>
      </rPr>
      <t xml:space="preserve"> BEKZAT adam (БЕКЗАТ адам) — aristocrat; man of noble birth [KED, SZK] (lemma: бекзат)
</t>
    </r>
    <r>
      <rPr>
        <rFont val="Arial"/>
        <sz val="10"/>
        <b/>
      </rPr>
      <t>PASSAGE:</t>
    </r>
    <r>
      <rPr>
        <rFont val="Arial"/>
        <sz val="10"/>
      </rPr>
      <t xml:space="preserve"> Ой, жоқ, ұқсамайсыздар. Ол сондай нәзік сезімді, бекзат адам ғой, және...
</t>
    </r>
    <r>
      <rPr>
        <rFont val="Arial"/>
        <sz val="10"/>
        <b/>
      </rPr>
      <t>TRANS:</t>
    </r>
    <r>
      <rPr>
        <rFont val="Arial"/>
        <sz val="10"/>
      </rPr>
      <t xml:space="preserve"> Oi, joq, ūqsamaisyzdar. Ol sondai näzık sezımdı, bekzat adam ğoi, jäne...
</t>
    </r>
    <r>
      <rPr>
        <rFont val="Arial"/>
        <sz val="10"/>
        <b/>
      </rPr>
      <t>TRANSLATION:</t>
    </r>
    <r>
      <rPr>
        <rFont val="Arial"/>
        <sz val="10"/>
      </rPr>
      <t xml:space="preserve"> Oh, no, you are not alike. He is such a man of refined feeling, a noble man, and...</t>
    </r>
  </si>
  <si>
    <r>
      <rPr>
        <rFont val="Arial"/>
        <sz val="10"/>
        <b/>
      </rPr>
      <t>TERM:</t>
    </r>
    <r>
      <rPr>
        <rFont val="Arial"/>
        <sz val="10"/>
      </rPr>
      <t xml:space="preserve"> blagorodnogo (благородного) — noble (adj. masc. gen.) [ORD] (lemma: благородный)
</t>
    </r>
    <r>
      <rPr>
        <rFont val="Arial"/>
        <sz val="10"/>
        <b/>
      </rPr>
      <t>PASSAGE:</t>
    </r>
    <r>
      <rPr>
        <rFont val="Arial"/>
        <sz val="10"/>
      </rPr>
      <t xml:space="preserve"> Если б я умер и если бы мисс Мелли умерла и вы получили бы своего бесценного благородного возлюбленного, вы думаете, что были бы счастливы с ним?
</t>
    </r>
    <r>
      <rPr>
        <rFont val="Arial"/>
        <sz val="10"/>
        <b/>
      </rPr>
      <t>TRANS:</t>
    </r>
    <r>
      <rPr>
        <rFont val="Arial"/>
        <sz val="10"/>
      </rPr>
      <t xml:space="preserve"> Esli b ya umer i esli by miss Melli umerla i vy poluchili by svoego bestsennogo blagorodnogo vozlyublennogo, vy dumaete, chto byli by schastlivy s nim?
</t>
    </r>
    <r>
      <rPr>
        <rFont val="Arial"/>
        <sz val="10"/>
        <b/>
      </rPr>
      <t>TRANSLATION:</t>
    </r>
    <r>
      <rPr>
        <rFont val="Arial"/>
        <sz val="10"/>
      </rPr>
      <t xml:space="preserve"> If I died and if Miss Melly died, and you got your priceless noble beloved, do you think you would be happy with him?</t>
    </r>
  </si>
  <si>
    <r>
      <rPr>
        <rFont val="Arial"/>
        <sz val="10"/>
        <b/>
      </rPr>
      <t>TERM:</t>
    </r>
    <r>
      <rPr>
        <rFont val="Arial"/>
        <sz val="10"/>
      </rPr>
      <t xml:space="preserve"> chesti (чести) — honour (gen./dat./prep.) [ORD] (lemma: честь)
</t>
    </r>
    <r>
      <rPr>
        <rFont val="Arial"/>
        <sz val="10"/>
        <b/>
      </rPr>
      <t>PASSAGE:</t>
    </r>
    <r>
      <rPr>
        <rFont val="Arial"/>
        <sz val="10"/>
      </rPr>
      <t xml:space="preserve"> Все могло бы быть иначе, а теперь… ах, тебе бы следовало понять и не держать меня на привязи, рассуждая о чести и жертвах!
</t>
    </r>
    <r>
      <rPr>
        <rFont val="Arial"/>
        <sz val="10"/>
        <b/>
      </rPr>
      <t>TRANS:</t>
    </r>
    <r>
      <rPr>
        <rFont val="Arial"/>
        <sz val="10"/>
      </rPr>
      <t xml:space="preserve"> Vse moglo by byt' inache, a teper'… akh, tebe by sledovalo ponyat' i ne derzhat' menya na privyazi, rassuzhdaya o chesti i zhertvakh!
</t>
    </r>
    <r>
      <rPr>
        <rFont val="Arial"/>
        <sz val="10"/>
        <b/>
      </rPr>
      <t>TRANSLATION:</t>
    </r>
    <r>
      <rPr>
        <rFont val="Arial"/>
        <sz val="10"/>
      </rPr>
      <t xml:space="preserve"> Everything could have been different, and now... ah, you should have understood and not kept me on a leash, talking of honor and sacrifices!</t>
    </r>
  </si>
  <si>
    <r>
      <rPr>
        <rFont val="Arial"/>
        <sz val="10"/>
        <b/>
      </rPr>
      <t>TERM:</t>
    </r>
    <r>
      <rPr>
        <rFont val="Arial"/>
        <sz val="10"/>
      </rPr>
      <t xml:space="preserve"> AR-ŪİAT(АР-ҰЯТ) — conscience-shame (compound): the active inner moral faculty [KED, SZK]
</t>
    </r>
    <r>
      <rPr>
        <rFont val="Arial"/>
        <sz val="10"/>
        <b/>
      </rPr>
      <t>PASSAGE:</t>
    </r>
    <r>
      <rPr>
        <rFont val="Arial"/>
        <sz val="10"/>
      </rPr>
      <t xml:space="preserve"> Ой, құдайым-ай, мені де емексітпей, құрбандықтар мен ар-ұят туралы ой толғай бермей, алдымен өз сеніміңді анықтап алуың керек еді ғой!
</t>
    </r>
    <r>
      <rPr>
        <rFont val="Arial"/>
        <sz val="10"/>
        <b/>
      </rPr>
      <t>TRANS:</t>
    </r>
    <r>
      <rPr>
        <rFont val="Arial"/>
        <sz val="10"/>
      </rPr>
      <t xml:space="preserve"> Oi, qūdaiym-ai, menı de emeksıtpei, qūrbandyqtar men ar-ūiat turaly oi tolğai bermei, aldymen öz senımıñdı anyqtap aluyñ kerek edı ğoi!
</t>
    </r>
    <r>
      <rPr>
        <rFont val="Arial"/>
        <sz val="10"/>
        <b/>
      </rPr>
      <t>TRANSLATION:</t>
    </r>
    <r>
      <rPr>
        <rFont val="Arial"/>
        <sz val="10"/>
      </rPr>
      <t xml:space="preserve"> Oh, my God, you should have decided your own conviction first, and not gone on tantalizing me, holding forth about sacrifices and honor!</t>
    </r>
  </si>
  <si>
    <r>
      <rPr>
        <rFont val="Arial"/>
        <sz val="10"/>
        <b/>
      </rPr>
      <t>TERM:</t>
    </r>
    <r>
      <rPr>
        <rFont val="Arial"/>
        <sz val="10"/>
      </rPr>
      <t xml:space="preserve"> proklyatoe ponyatie o chesti (проклятое понятие о чести) — that cursed notion of honour [ORD] (lemma: понятие)
</t>
    </r>
    <r>
      <rPr>
        <rFont val="Arial"/>
        <sz val="10"/>
        <b/>
      </rPr>
      <t>PASSAGE:</t>
    </r>
    <r>
      <rPr>
        <rFont val="Arial"/>
        <sz val="10"/>
      </rPr>
      <t xml:space="preserve"> Его проклятое понятие о чести заставит его спросить меня, не соглашусь ли я развестись с Реттом и выйти за него замуж.
</t>
    </r>
    <r>
      <rPr>
        <rFont val="Arial"/>
        <sz val="10"/>
        <b/>
      </rPr>
      <t>TRANS:</t>
    </r>
    <r>
      <rPr>
        <rFont val="Arial"/>
        <sz val="10"/>
      </rPr>
      <t xml:space="preserve"> Ego proklyatoe ponyatie o chesti zastavit ego sprosit' menya, ne soglashus' li ya razvestis' s Rettom i vyyti za nego zamuzh.
</t>
    </r>
    <r>
      <rPr>
        <rFont val="Arial"/>
        <sz val="10"/>
        <b/>
      </rPr>
      <t>TRANSLATION:</t>
    </r>
    <r>
      <rPr>
        <rFont val="Arial"/>
        <sz val="10"/>
      </rPr>
      <t xml:space="preserve"> His cursed concept of honor will compel him to ask me whether I will agree to divorce Rhett and marry him.</t>
    </r>
  </si>
  <si>
    <r>
      <rPr>
        <rFont val="Arial"/>
        <sz val="10"/>
        <b/>
      </rPr>
      <t>TERM:</t>
    </r>
    <r>
      <rPr>
        <rFont val="Arial"/>
        <sz val="10"/>
      </rPr>
      <t xml:space="preserve"> o pravde, i o chesti, (о правде, и о чести,) = about truth, about honor
</t>
    </r>
    <r>
      <rPr>
        <rFont val="Arial"/>
        <sz val="10"/>
        <b/>
      </rPr>
      <t>PASSAGE:</t>
    </r>
    <r>
      <rPr>
        <rFont val="Arial"/>
        <sz val="10"/>
      </rPr>
      <t xml:space="preserve"> А ведь он такое беспомощное, жалкое существо, несмотря на всю свою болтовню о правде, и о чести, и о…
</t>
    </r>
    <r>
      <rPr>
        <rFont val="Arial"/>
        <sz val="10"/>
        <b/>
      </rPr>
      <t>TRANS:</t>
    </r>
    <r>
      <rPr>
        <rFont val="Arial"/>
        <sz val="10"/>
      </rPr>
      <t xml:space="preserve"> A ved' on takoe bespomoshchnoe, zhalkoe sushchestvo, nesmotrya na vsyu svoyu boltovnyu o pravde, i o chesti, i o…
</t>
    </r>
    <r>
      <rPr>
        <rFont val="Arial"/>
        <sz val="10"/>
        <b/>
      </rPr>
      <t>TRANSLATION:</t>
    </r>
    <r>
      <rPr>
        <rFont val="Arial"/>
        <sz val="10"/>
      </rPr>
      <t xml:space="preserve"> And he is such a helpless, pitiful creature, despite all his prattle of truth, and of honor, and of...</t>
    </r>
  </si>
  <si>
    <r>
      <rPr>
        <rFont val="Arial"/>
        <sz val="10"/>
        <b/>
      </rPr>
      <t>TERM:</t>
    </r>
    <r>
      <rPr>
        <rFont val="Arial"/>
        <sz val="10"/>
      </rPr>
      <t xml:space="preserve"> AR-ŪİAT (АР-ҰЯТ) — conscience-shame (compound): the active inner moral faculty [KED, SZK]
</t>
    </r>
    <r>
      <rPr>
        <rFont val="Arial"/>
        <sz val="10"/>
        <b/>
      </rPr>
      <t>PASSAGE:</t>
    </r>
    <r>
      <rPr>
        <rFont val="Arial"/>
        <sz val="10"/>
      </rPr>
      <t xml:space="preserve"> Өзінің шындық, ар-ұят, намыс туралы әңгімелеріне қарамастан, ол сондай дәрменсіз, аянышты адам.
</t>
    </r>
    <r>
      <rPr>
        <rFont val="Arial"/>
        <sz val="10"/>
        <b/>
      </rPr>
      <t>TRANS:</t>
    </r>
    <r>
      <rPr>
        <rFont val="Arial"/>
        <sz val="10"/>
      </rPr>
      <t xml:space="preserve"> Özınıñ şyndyq, ar-ūiat, namys turaly äñgımelerıne qaramastan, ol sondai därmensız, aianyşty adam.
</t>
    </r>
    <r>
      <rPr>
        <rFont val="Arial"/>
        <sz val="10"/>
        <b/>
      </rPr>
      <t>TRANSLATION:</t>
    </r>
    <r>
      <rPr>
        <rFont val="Arial"/>
        <sz val="10"/>
      </rPr>
      <t xml:space="preserve"> Despite his talk of truth, conscience/honor, and honor, he is such a helpless, pitiful person.</t>
    </r>
  </si>
  <si>
    <r>
      <rPr>
        <rFont val="Arial"/>
        <sz val="10"/>
        <b/>
      </rPr>
      <t>TERM:</t>
    </r>
    <r>
      <rPr>
        <rFont val="Arial"/>
        <sz val="10"/>
      </rPr>
      <t xml:space="preserve"> blagorodnykh (благородных) — noble (adj. pl. gen.) [ORD] (lemma: благородный)
</t>
    </r>
    <r>
      <rPr>
        <rFont val="Arial"/>
        <sz val="10"/>
        <b/>
      </rPr>
      <t>PASSAGE:</t>
    </r>
    <r>
      <rPr>
        <rFont val="Arial"/>
        <sz val="10"/>
      </rPr>
      <t xml:space="preserv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
    </r>
    <r>
      <rPr>
        <rFont val="Arial"/>
        <sz val="10"/>
        <b/>
      </rPr>
      <t>TRANS:</t>
    </r>
    <r>
      <rPr>
        <rFont val="Arial"/>
        <sz val="10"/>
      </rPr>
      <t xml:space="preserve"> On mog vrode by otkrovenno i s odobreniem rasskazyvat' o muzhestvennykh, blagorodnykh, dobrodetel'nykh, podskazannykh lyubov'yu postupkakh, koim on byl svidetelem v tekh strannykh mestakh, kuda ego zanosilo, i tut zhe s kholodnym tsinizmom dobavlyat' skabrezneyshie istorii.
</t>
    </r>
    <r>
      <rPr>
        <rFont val="Arial"/>
        <sz val="10"/>
        <b/>
      </rPr>
      <t>TRANSLATION:</t>
    </r>
    <r>
      <rPr>
        <rFont val="Arial"/>
        <sz val="10"/>
      </rPr>
      <t xml:space="preserve"> He could, as it were, frankly and with approval tell of brave, noble, virtuous, love-prompted deeds, of which he had been witness in those strange places where he had been carried, and at the same instant with cold cynicism add the most scabrous stories.</t>
    </r>
  </si>
  <si>
    <r>
      <rPr>
        <rFont val="Arial"/>
        <sz val="10"/>
        <b/>
      </rPr>
      <t>TERM:</t>
    </r>
    <r>
      <rPr>
        <rFont val="Arial"/>
        <sz val="10"/>
      </rPr>
      <t xml:space="preserve"> ADAMGERŞILIK (АДАМГЕРШІЛІК) — humanity; civility; humanness (the secularised humanist moral term) [KED, SZK]
</t>
    </r>
    <r>
      <rPr>
        <rFont val="Arial"/>
        <sz val="10"/>
        <b/>
      </rPr>
      <t>PASSAGE:</t>
    </r>
    <r>
      <rPr>
        <rFont val="Arial"/>
        <sz val="10"/>
      </rPr>
      <t xml:space="preserve"> Ер міңезді, кең пейіл,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
    </r>
    <r>
      <rPr>
        <rFont val="Arial"/>
        <sz val="10"/>
        <b/>
      </rPr>
      <t>TRANS:</t>
    </r>
    <r>
      <rPr>
        <rFont val="Arial"/>
        <sz val="10"/>
      </rPr>
      <t xml:space="preserve"> Er mıñezdı, keñ peiıl, meiırım şapağaty sebelegen, jürek eljıreter oqiğalardy aşyq-jarqyn äñgımelep, adamgerşılık qağidalaryn qoştai otyryp, aiaqastynan ädepsız, ersı, jağymsyz jaittarğa köşıp, tüsı de suyp sala beredı.
</t>
    </r>
    <r>
      <rPr>
        <rFont val="Arial"/>
        <sz val="10"/>
        <b/>
      </rPr>
      <t>TRANSLATION:</t>
    </r>
    <r>
      <rPr>
        <rFont val="Arial"/>
        <sz val="10"/>
      </rPr>
      <t xml:space="preserve"> He would tell openly and frankly of manly, broad-souled, mercy-strewn, heart-melting events, supporting the principles of humanity; and then suddenly switch to indecent, unseemly, unpleasant matters, his expression cooling.</t>
    </r>
  </si>
  <si>
    <r>
      <rPr>
        <rFont val="Arial"/>
        <sz val="10"/>
        <b/>
      </rPr>
      <t>TERM:</t>
    </r>
    <r>
      <rPr>
        <rFont val="Arial"/>
        <sz val="10"/>
      </rPr>
      <t xml:space="preserve"> bez maleyshego ushchemleniya svoey gordosti. (без малейшего ущемления своей гордости.) = without harm to their pride
</t>
    </r>
    <r>
      <rPr>
        <rFont val="Arial"/>
        <sz val="10"/>
        <b/>
      </rPr>
      <t>PASSAGE:</t>
    </r>
    <r>
      <rPr>
        <rFont val="Arial"/>
        <sz val="10"/>
      </rPr>
      <t xml:space="preserve"> что менее имущие члены Эскадрона могли получить обмундирование и лошадь без малейшего ущемления своей гордости.
</t>
    </r>
    <r>
      <rPr>
        <rFont val="Arial"/>
        <sz val="10"/>
        <b/>
      </rPr>
      <t>TRANS:</t>
    </r>
    <r>
      <rPr>
        <rFont val="Arial"/>
        <sz val="10"/>
      </rPr>
      <t xml:space="preserve"> chto menee imushchie chleny Eskadrona mogli poluchit' obmundirovanie i loshad' bez maleyshego ushchemleniya svoey gordosti.
</t>
    </r>
    <r>
      <rPr>
        <rFont val="Arial"/>
        <sz val="10"/>
        <b/>
      </rPr>
      <t>TRANSLATION:</t>
    </r>
    <r>
      <rPr>
        <rFont val="Arial"/>
        <sz val="10"/>
      </rPr>
      <t xml:space="preserve"> so that less wealthy members of the Squadron could obtain equipment and a horse without the slightest infringement of their pride.</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</si>
  <si>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рискуя даже честью и добрым своим именем,
</t>
    </r>
    <r>
      <rPr>
        <rFont val="Arial"/>
        <sz val="10"/>
        <b/>
      </rPr>
      <t>TRANS:</t>
    </r>
    <r>
      <rPr>
        <rFont val="Arial"/>
        <sz val="10"/>
      </rPr>
      <t xml:space="preserve"> riskuya dazhe chest'yu i dobrym svoim imenem,
</t>
    </r>
    <r>
      <rPr>
        <rFont val="Arial"/>
        <sz val="10"/>
        <b/>
      </rPr>
      <t>TRANSLATION:</t>
    </r>
    <r>
      <rPr>
        <rFont val="Arial"/>
        <sz val="10"/>
      </rPr>
      <t xml:space="preserve"> risking even his honor and his good name,</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</si>
  <si>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ары мен адал атын бәйгеге тігіп, алдырғанының бәрін қайтаруға жанталасып бағуда.
</t>
    </r>
    <r>
      <rPr>
        <rFont val="Arial"/>
        <sz val="10"/>
        <b/>
      </rPr>
      <t>TRANS:</t>
    </r>
    <r>
      <rPr>
        <rFont val="Arial"/>
        <sz val="10"/>
      </rPr>
      <t xml:space="preserve"> Bälkım, olardıkı dūrys ta, özınıkı būrys şyğar, bıraq myna menmensıgenderdıñ bolaşaqqa tura qaraityn türlerı joq siaqty da, būl bar jüikesıne salmaq tüsıre, ary men adal atyn bäigege tıgıp, aldyrğanynyñ bärın qaitaruğa jantalasyp bağuda. 
</t>
    </r>
    <r>
      <rPr>
        <rFont val="Arial"/>
        <sz val="10"/>
        <b/>
      </rPr>
      <t>TRANSLATION:</t>
    </r>
    <r>
      <rPr>
        <rFont val="Arial"/>
        <sz val="10"/>
      </rPr>
      <t xml:space="preserve"> Perhaps they were right and he was wrong, but these arrogant ones do not appear to be facing the future squarely; this places a strain on all his nerves, and he is straining with his honor and good name on the line, struggling to recoup all that he had lost.</t>
    </r>
  </si>
  <si>
    <r>
      <rPr>
        <rFont val="Arial"/>
        <sz val="10"/>
        <b/>
      </rPr>
      <t>TERM:</t>
    </r>
    <r>
      <rPr>
        <rFont val="Arial"/>
        <sz val="10"/>
      </rPr>
      <t xml:space="preserve"> pozor (позор) — disgrace; shame; ignominy [ORD]
</t>
    </r>
    <r>
      <rPr>
        <rFont val="Arial"/>
        <sz val="10"/>
        <b/>
      </rPr>
      <t>PASSAGE:</t>
    </r>
    <r>
      <rPr>
        <rFont val="Arial"/>
        <sz val="10"/>
      </rPr>
      <t xml:space="preserve"> навлекла позор на каждую семью в графстве.
</t>
    </r>
    <r>
      <rPr>
        <rFont val="Arial"/>
        <sz val="10"/>
        <b/>
      </rPr>
      <t>TRANS:</t>
    </r>
    <r>
      <rPr>
        <rFont val="Arial"/>
        <sz val="10"/>
      </rPr>
      <t xml:space="preserve"> navlekla pozor na kazhduyu sem'yu v grafstve.
</t>
    </r>
    <r>
      <rPr>
        <rFont val="Arial"/>
        <sz val="10"/>
        <b/>
      </rPr>
      <t>TRANSLATION:</t>
    </r>
    <r>
      <rPr>
        <rFont val="Arial"/>
        <sz val="10"/>
      </rPr>
      <t xml:space="preserve"> brought disgrace upon every family in the county.</t>
    </r>
  </si>
  <si>
    <r>
      <rPr>
        <rFont val="Arial"/>
        <sz val="10"/>
        <b/>
      </rPr>
      <t>TERM:</t>
    </r>
    <r>
      <rPr>
        <rFont val="Arial"/>
        <sz val="10"/>
      </rPr>
      <t xml:space="preserve"> KÜYE (КҮЙЕ) — soot; grime (used metaphorically: "stain") [KED, SZK]
</t>
    </r>
    <r>
      <rPr>
        <rFont val="Arial"/>
        <sz val="10"/>
        <b/>
      </rPr>
      <t>PASSAGE:</t>
    </r>
    <r>
      <rPr>
        <rFont val="Arial"/>
        <sz val="10"/>
      </rPr>
      <t xml:space="preserve"> Конфедерацияға шын берілген, плантатор отбасында туған әйел қас дұшпанға тек өз басын ғана иген жоқ, күллі графтықтардың бетіне күйе жақты.
</t>
    </r>
    <r>
      <rPr>
        <rFont val="Arial"/>
        <sz val="10"/>
        <b/>
      </rPr>
      <t>TRANS:</t>
    </r>
    <r>
      <rPr>
        <rFont val="Arial"/>
        <sz val="10"/>
      </rPr>
      <t xml:space="preserve"> Konfederasiağa şyn berılgen, plantator otbasynda tuğan äiel qas dūşpanğa tek öz basyn ğana igen joq, küllı graftyqtardyñ betıne küie jaqty.
</t>
    </r>
    <r>
      <rPr>
        <rFont val="Arial"/>
        <sz val="10"/>
        <b/>
      </rPr>
      <t>TRANSLATION:</t>
    </r>
    <r>
      <rPr>
        <rFont val="Arial"/>
        <sz val="10"/>
      </rPr>
      <t xml:space="preserve"> A woman truly devoted to the Confederacy, born in a planter's family — she did not only bow her head to the arch-enemy, she put soot on the faces of all the counties.</t>
    </r>
  </si>
  <si>
    <r>
      <rPr>
        <rFont val="Arial"/>
        <sz val="10"/>
        <b/>
      </rPr>
      <t>TERM:</t>
    </r>
    <r>
      <rPr>
        <rFont val="Arial"/>
        <sz val="10"/>
      </rPr>
      <t xml:space="preserve"> soobrazheniya chesti (соображения чести) — considerations of honour [ORD] (lemma: соображение)
</t>
    </r>
    <r>
      <rPr>
        <rFont val="Arial"/>
        <sz val="10"/>
        <b/>
      </rPr>
      <t>PASSAGE:</t>
    </r>
    <r>
      <rPr>
        <rFont val="Arial"/>
        <sz val="10"/>
      </rPr>
      <t xml:space="preserv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
    </r>
    <r>
      <rPr>
        <rFont val="Arial"/>
        <sz val="10"/>
        <b/>
      </rPr>
      <t>TRANS:</t>
    </r>
    <r>
      <rPr>
        <rFont val="Arial"/>
        <sz val="10"/>
      </rPr>
      <t xml:space="preserve"> Pravda, kogda ona razgovarivala s Eshli, voznikalo mnogo takogo, chego soobrazheniya chesti ne pozvolyali ey govorit', i eti nevyskazannye slova i mysli, estestvenno, vliyali na khod besedy.
</t>
    </r>
    <r>
      <rPr>
        <rFont val="Arial"/>
        <sz val="10"/>
        <b/>
      </rPr>
      <t>TRANSLATION:</t>
    </r>
    <r>
      <rPr>
        <rFont val="Arial"/>
        <sz val="10"/>
      </rPr>
      <t xml:space="preserve"> True, when she spoke with Ashley, much arose that considerations of honor did not allow her to say, and these unspoken words and thoughts, naturally, influenced the course of the conversation.</t>
    </r>
  </si>
  <si>
    <r>
      <rPr>
        <rFont val="Arial"/>
        <sz val="10"/>
        <b/>
      </rPr>
      <t>TERM:</t>
    </r>
    <r>
      <rPr>
        <rFont val="Arial"/>
        <sz val="10"/>
      </rPr>
      <t xml:space="preserve"> AR (АР) — honour; conscience; inalienable inner moral principle [KED, SZK]
</t>
    </r>
    <r>
      <rPr>
        <rFont val="Arial"/>
        <sz val="10"/>
        <b/>
      </rPr>
      <t>PASSAGE:</t>
    </r>
    <r>
      <rPr>
        <rFont val="Arial"/>
        <sz val="10"/>
      </rPr>
      <t xml:space="preserve"> Анығында, Эшлимен әңгімелескенде кейбір ары жібермейтін нәрселер, айтылмай қалған ойлар әңгіме өрбуіне тосқауыл болып, кеселін тигізетін.
</t>
    </r>
    <r>
      <rPr>
        <rFont val="Arial"/>
        <sz val="10"/>
        <b/>
      </rPr>
      <t>TRANS:</t>
    </r>
    <r>
      <rPr>
        <rFont val="Arial"/>
        <sz val="10"/>
      </rPr>
      <t xml:space="preserve"> Anyğynda, Eşlimen äñgımeleskende keibır ary jıbermeitın närseler, aitylmai qalğan oilar äñgıme örbuıne tosqauyl bolyp, keselın tigızetın.
</t>
    </r>
    <r>
      <rPr>
        <rFont val="Arial"/>
        <sz val="10"/>
        <b/>
      </rPr>
      <t>TRANSLATION:</t>
    </r>
    <r>
      <rPr>
        <rFont val="Arial"/>
        <sz val="10"/>
      </rPr>
      <t xml:space="preserve"> In truth, when she conversed with Ashley, things that her sense of honor would not let her speak — those unsaid thoughts — became obstacles to the development of conversation and disrupted it.</t>
    </r>
  </si>
  <si>
    <r>
      <rPr>
        <rFont val="Arial"/>
        <sz val="10"/>
        <b/>
      </rPr>
      <t>TERM:</t>
    </r>
    <r>
      <rPr>
        <rFont val="Arial"/>
        <sz val="10"/>
      </rPr>
      <t xml:space="preserve"> vysokochtimogo (высокочтимого) — highly respected; revered (adj. masc. gen., archaic-elevated) [ORD] (lemma: высокочтимый)
</t>
    </r>
    <r>
      <rPr>
        <rFont val="Arial"/>
        <sz val="10"/>
        <b/>
      </rPr>
      <t>PASSAGE:</t>
    </r>
    <r>
      <rPr>
        <rFont val="Arial"/>
        <sz val="10"/>
      </rPr>
      <t xml:space="preserve"> Ну, а теперь пригладьте свои взъерошенные перышки и забудьте о моих грубых высказываниях по адресу гордого и высокочтимого Эшли.
</t>
    </r>
    <r>
      <rPr>
        <rFont val="Arial"/>
        <sz val="10"/>
        <b/>
      </rPr>
      <t>TRANS:</t>
    </r>
    <r>
      <rPr>
        <rFont val="Arial"/>
        <sz val="10"/>
      </rPr>
      <t xml:space="preserve"> Nu, a teper' priglad'te svoi vz"eroshennye peryshki i zabud'te o moikh grubykh vyskazyvaniyakh po adresu gordogo i vysokochtimogo Eshli.
</t>
    </r>
    <r>
      <rPr>
        <rFont val="Arial"/>
        <sz val="10"/>
        <b/>
      </rPr>
      <t>TRANSLATION:</t>
    </r>
    <r>
      <rPr>
        <rFont val="Arial"/>
        <sz val="10"/>
      </rPr>
      <t xml:space="preserve"> Well, now smooth out your ruffled feathers and forget my crude remarks at the address of the proud and highly-revered Ashley.</t>
    </r>
  </si>
  <si>
    <r>
      <rPr>
        <rFont val="Arial"/>
        <sz val="10"/>
        <b/>
      </rPr>
      <t>TERM:</t>
    </r>
    <r>
      <rPr>
        <rFont val="Arial"/>
        <sz val="10"/>
      </rPr>
      <t xml:space="preserve"> QADIRLI (ҚАДІРЛІ) — respected; held in due regard [KED, SZK]
</t>
    </r>
    <r>
      <rPr>
        <rFont val="Arial"/>
        <sz val="10"/>
        <b/>
      </rPr>
      <t>PASSAGE:</t>
    </r>
    <r>
      <rPr>
        <rFont val="Arial"/>
        <sz val="10"/>
      </rPr>
      <t xml:space="preserve"> Ал енді өзіңіздің шашылып, үкі-түкі болған қауырсындарыңызды тегістеп жіберіңіз де, менің мақтаншақ та аса қадірлі Эшлиіңіздің ауласына атқан тасымды жинап ала қойыңыз да, ерсі сөздерімді ұмытып қалыңыз.
</t>
    </r>
    <r>
      <rPr>
        <rFont val="Arial"/>
        <sz val="10"/>
        <b/>
      </rPr>
      <t>TRANS:</t>
    </r>
    <r>
      <rPr>
        <rFont val="Arial"/>
        <sz val="10"/>
      </rPr>
      <t xml:space="preserve"> Al endı özıñızdıñ şaşylyp, ükı-tükı bolğan qauyrsyndaryñyzdy tegıstep jıberıñız de, menıñ maqtanşaq ta asa qadırlı Eşliıñızdıñ aulasyna atqan tasymdy jinap ala qoiyñyz da, ersı sözderımdı ūmytyp qalyñyz.
</t>
    </r>
    <r>
      <rPr>
        <rFont val="Arial"/>
        <sz val="10"/>
        <b/>
      </rPr>
      <t>TRANSLATION:</t>
    </r>
    <r>
      <rPr>
        <rFont val="Arial"/>
        <sz val="10"/>
      </rPr>
      <t xml:space="preserve"> And now smooth out your scattered, downy-fluffed feathers, gather up the stones I have thrown at the courtyard of your boastful and highly esteemed Ashley, and forget my unseemly words.</t>
    </r>
  </si>
  <si>
    <r>
      <rPr>
        <rFont val="Arial"/>
        <sz val="10"/>
        <b/>
      </rPr>
      <t>TERM:</t>
    </r>
    <r>
      <rPr>
        <rFont val="Arial"/>
        <sz val="10"/>
      </rPr>
      <t xml:space="preserve"> blagorodnyy (благородный) — noble; of noble character [ORD]
</t>
    </r>
    <r>
      <rPr>
        <rFont val="Arial"/>
        <sz val="10"/>
        <b/>
      </rPr>
      <t>PASSAGE:</t>
    </r>
    <r>
      <rPr>
        <rFont val="Arial"/>
        <sz val="10"/>
      </rPr>
      <t xml:space="preserve"> Неужели он теперь возненавидит ее — он, ее дорогой благородный Эшли, — за то, что она опозорила его?
</t>
    </r>
    <r>
      <rPr>
        <rFont val="Arial"/>
        <sz val="10"/>
        <b/>
      </rPr>
      <t>TRANS:</t>
    </r>
    <r>
      <rPr>
        <rFont val="Arial"/>
        <sz val="10"/>
      </rPr>
      <t xml:space="preserve"> Neuzheli on teper' voznenavidit ee — on, ee dorogoy blagorodnyy Eshli, — za to, chto ona opozorila ego?
</t>
    </r>
    <r>
      <rPr>
        <rFont val="Arial"/>
        <sz val="10"/>
        <b/>
      </rPr>
      <t>TRANSLATION:</t>
    </r>
    <r>
      <rPr>
        <rFont val="Arial"/>
        <sz val="10"/>
      </rPr>
      <t xml:space="preserve"> Could it be that he will now hate her — he, her dear noble Ashley — because she has disgraced him?</t>
    </r>
  </si>
  <si>
    <r>
      <rPr>
        <rFont val="Arial"/>
        <sz val="10"/>
        <b/>
      </rPr>
      <t>TERM:</t>
    </r>
    <r>
      <rPr>
        <rFont val="Arial"/>
        <sz val="10"/>
      </rPr>
      <t xml:space="preserve"> ASYL (АСЫЛ) — noble; precious; intrinsically valuable [KED, SZK]
</t>
    </r>
    <r>
      <rPr>
        <rFont val="Arial"/>
        <sz val="10"/>
        <b/>
      </rPr>
      <t>PASSAGE:</t>
    </r>
    <r>
      <rPr>
        <rFont val="Arial"/>
        <sz val="10"/>
      </rPr>
      <t xml:space="preserve"> Мұның өзіне тигізген зиянынан кейін асыл текті Эшлиін көре алмас па екен, тіпті бұл туралы білгісі де келмей қалар ма екен, қайтер екен?
</t>
    </r>
    <r>
      <rPr>
        <rFont val="Arial"/>
        <sz val="10"/>
        <b/>
      </rPr>
      <t>TRANS:</t>
    </r>
    <r>
      <rPr>
        <rFont val="Arial"/>
        <sz val="10"/>
      </rPr>
      <t xml:space="preserve"> Mūnyñ özıne tigızgen zianynan keiın asyl tektı Eşliın köre almas pa eken, tıptı būl turaly bılgısı de kelmei qalar ma eken, qaiter eken?
</t>
    </r>
    <r>
      <rPr>
        <rFont val="Arial"/>
        <sz val="10"/>
        <b/>
      </rPr>
      <t>TRANSLATION:</t>
    </r>
    <r>
      <rPr>
        <rFont val="Arial"/>
        <sz val="10"/>
      </rPr>
      <t xml:space="preserve"> After the harm she has caused him, could it be that her noble-blooded Ashley would not be able to bear the sight of her, would no longer want to know about it, what would he do?</t>
    </r>
  </si>
  <si>
    <r>
      <rPr>
        <rFont val="Arial"/>
        <sz val="10"/>
        <b/>
      </rPr>
      <t>TERM:</t>
    </r>
    <r>
      <rPr>
        <rFont val="Arial"/>
        <sz val="10"/>
      </rPr>
      <t xml:space="preserve"> mnogouvazhaemyy (многоуважаемый) — much respected; honoured (epithet) [ORD]
</t>
    </r>
    <r>
      <rPr>
        <rFont val="Arial"/>
        <sz val="10"/>
        <b/>
      </rPr>
      <t>PASSAGE:</t>
    </r>
    <r>
      <rPr>
        <rFont val="Arial"/>
        <sz val="10"/>
      </rPr>
      <t xml:space="preserve"> Кстати, вчера вечером у нас тут был многоуважаемый Эшли.
</t>
    </r>
    <r>
      <rPr>
        <rFont val="Arial"/>
        <sz val="10"/>
        <b/>
      </rPr>
      <t>TRANS:</t>
    </r>
    <r>
      <rPr>
        <rFont val="Arial"/>
        <sz val="10"/>
      </rPr>
      <t xml:space="preserve"> Kstati, vchera vecherom u nas tut byl mnogouvazhaemyy Eshli.
</t>
    </r>
    <r>
      <rPr>
        <rFont val="Arial"/>
        <sz val="10"/>
        <b/>
      </rPr>
      <t>TRANSLATION:</t>
    </r>
    <r>
      <rPr>
        <rFont val="Arial"/>
        <sz val="10"/>
      </rPr>
      <t xml:space="preserve"> By the way, last evening the much-respected Ashley was here.</t>
    </r>
  </si>
  <si>
    <r>
      <rPr>
        <rFont val="Arial"/>
        <sz val="10"/>
        <b/>
      </rPr>
      <t>TERM:</t>
    </r>
    <r>
      <rPr>
        <rFont val="Arial"/>
        <sz val="10"/>
      </rPr>
      <t xml:space="preserve"> QŪRMETTI (ҚҰРМЕТTІ) = құрмет respected, honourable
</t>
    </r>
    <r>
      <rPr>
        <rFont val="Arial"/>
        <sz val="10"/>
        <b/>
      </rPr>
      <t>PASSAGE:</t>
    </r>
    <r>
      <rPr>
        <rFont val="Arial"/>
        <sz val="10"/>
      </rPr>
      <t xml:space="preserve"> Айтпақшы, кеше кешкісін бізге аса құрметті Эшли келіп кетті.
</t>
    </r>
    <r>
      <rPr>
        <rFont val="Arial"/>
        <sz val="10"/>
        <b/>
      </rPr>
      <t>TRANS:</t>
    </r>
    <r>
      <rPr>
        <rFont val="Arial"/>
        <sz val="10"/>
      </rPr>
      <t xml:space="preserve"> Aitpaqşy, keşe keşkısın bızge asa qūrmettı Eşli kelıp kettı.
</t>
    </r>
    <r>
      <rPr>
        <rFont val="Arial"/>
        <sz val="10"/>
        <b/>
      </rPr>
      <t>TRANSLATION:</t>
    </r>
    <r>
      <rPr>
        <rFont val="Arial"/>
        <sz val="10"/>
      </rPr>
      <t xml:space="preserve"> By the way, the highly esteemed Ashley came to us yesterday evening.</t>
    </r>
  </si>
  <si>
    <r>
      <rPr>
        <rFont val="Arial"/>
        <sz val="10"/>
        <b/>
      </rPr>
      <t>TERM:</t>
    </r>
    <r>
      <rPr>
        <rFont val="Arial"/>
        <sz val="10"/>
      </rPr>
      <t xml:space="preserve"> chest' (честь) — honour; honor [ORD]
</t>
    </r>
    <r>
      <rPr>
        <rFont val="Arial"/>
        <sz val="10"/>
        <b/>
      </rPr>
      <t>PASSAGE:</t>
    </r>
    <r>
      <rPr>
        <rFont val="Arial"/>
        <sz val="10"/>
      </rPr>
      <t xml:space="preserv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
    </r>
    <r>
      <rPr>
        <rFont val="Arial"/>
        <sz val="10"/>
        <b/>
      </rPr>
      <t>TRANS:</t>
    </r>
    <r>
      <rPr>
        <rFont val="Arial"/>
        <sz val="10"/>
      </rPr>
      <t xml:space="preserve"> Ona privykla schitat', chto nikto s takim zharom ne dokazyvaet svoyu pravdivost', kak lzhets, svoyu khrabrost' — kak trus, svoyu uchtivost' — kak durno vospitannyy chelovek, svoyu nezapyatnannuyu chest' — kak podonok.
</t>
    </r>
    <r>
      <rPr>
        <rFont val="Arial"/>
        <sz val="10"/>
        <b/>
      </rPr>
      <t>TRANSLATION:</t>
    </r>
    <r>
      <rPr>
        <rFont val="Arial"/>
        <sz val="10"/>
      </rPr>
      <t xml:space="preserve"> She had grown used to thinking that no one defends his truthfulness as fervently as a liar, his bravery as a coward, his courtesy as an ill-bred man, his unblemished honor as a scoundrel.</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</si>
  <si>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Одан басқа ешбір адамның шыншылдығын өтірікші ретінде, батылдығын қорқақ сияқты, сыпайылығын тәрбиесіз адам сияқты, дақ түспеген абыройын азғын сияқты көрсетпейтіні анық.
</t>
    </r>
    <r>
      <rPr>
        <rFont val="Arial"/>
        <sz val="10"/>
        <b/>
      </rPr>
      <t>TRANS:</t>
    </r>
    <r>
      <rPr>
        <rFont val="Arial"/>
        <sz val="10"/>
      </rPr>
      <t xml:space="preserve"> Odan basqa eşbır adamnyñ şynşyldyğyn ötırıkşı retınde, batyldyğyn qorqaq siaqty, sypaiylyğyn tärbiesız adam siaqty, daq tüspegen abyroiyn azğyn siaqty körsetpeitını anyq.
</t>
    </r>
    <r>
      <rPr>
        <rFont val="Arial"/>
        <sz val="10"/>
        <b/>
      </rPr>
      <t>TRANSLATION:</t>
    </r>
    <r>
      <rPr>
        <rFont val="Arial"/>
        <sz val="10"/>
      </rPr>
      <t xml:space="preserve"> It is clear that no other person defends his truthfulness as a liar does, his courage as a coward does, his politeness as an ill-bred man does, his unstained honor/dignity as a depraved man does.</t>
    </r>
  </si>
  <si>
    <r>
      <rPr>
        <rFont val="Arial"/>
        <sz val="10"/>
        <b/>
      </rPr>
      <t>TERM:</t>
    </r>
    <r>
      <rPr>
        <rFont val="Arial"/>
        <sz val="10"/>
      </rPr>
      <t xml:space="preserve"> chest' (честь) — honour; honor [ORD]
</t>
    </r>
    <r>
      <rPr>
        <rFont val="Arial"/>
        <sz val="10"/>
        <b/>
      </rPr>
      <t>PASSAGE:</t>
    </r>
    <r>
      <rPr>
        <rFont val="Arial"/>
        <sz val="10"/>
      </rPr>
      <t xml:space="preserve"> Он принял оказанную ему честь с достоинством и без излишнего зазнайства — просто как положенное.
</t>
    </r>
    <r>
      <rPr>
        <rFont val="Arial"/>
        <sz val="10"/>
        <b/>
      </rPr>
      <t>TRANS:</t>
    </r>
    <r>
      <rPr>
        <rFont val="Arial"/>
        <sz val="10"/>
      </rPr>
      <t xml:space="preserve"> On prinyal okazannuyu emu chest' s dostoinstvom i bez izlishnego zaznaystva — prosto kak polozhennoe.
</t>
    </r>
    <r>
      <rPr>
        <rFont val="Arial"/>
        <sz val="10"/>
        <b/>
      </rPr>
      <t>TRANSLATION:</t>
    </r>
    <r>
      <rPr>
        <rFont val="Arial"/>
        <sz val="10"/>
      </rPr>
      <t xml:space="preserve"> He accepted the honor bestowed on him with dignity and without excessive vanity — simply as something due.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</si>
  <si>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Ол өзіне берілген құрметті дандайсымай, абыроймен лайықты түрде қабылдады.
</t>
    </r>
    <r>
      <rPr>
        <rFont val="Arial"/>
        <sz val="10"/>
        <b/>
      </rPr>
      <t>TRANS:</t>
    </r>
    <r>
      <rPr>
        <rFont val="Arial"/>
        <sz val="10"/>
      </rPr>
      <t xml:space="preserve"> Ol özıne berılgen qūrmettı dandaisymai, abyroimen laiyqty türde qabyldady.
</t>
    </r>
    <r>
      <rPr>
        <rFont val="Arial"/>
        <sz val="10"/>
        <b/>
      </rPr>
      <t>TRANSLATION:</t>
    </r>
    <r>
      <rPr>
        <rFont val="Arial"/>
        <sz val="10"/>
      </rPr>
      <t xml:space="preserve"> He accepted the honor given to him with dignity and propriety, without showing off.</t>
    </r>
  </si>
  <si>
    <r>
      <rPr>
        <rFont val="Arial"/>
        <sz val="10"/>
        <b/>
      </rPr>
      <t>TERM:</t>
    </r>
    <r>
      <rPr>
        <rFont val="Arial"/>
        <sz val="10"/>
      </rPr>
      <t xml:space="preserve"> chest' (честь) — honour; honor [ORD]
</t>
    </r>
    <r>
      <rPr>
        <rFont val="Arial"/>
        <sz val="10"/>
        <b/>
      </rPr>
      <t>PASSAGE:</t>
    </r>
    <r>
      <rPr>
        <rFont val="Arial"/>
        <sz val="10"/>
      </rPr>
      <t xml:space="preserve"> Мистер Гамильтон, я, разумеется, высоко ценю честь, которую вы оказали мне, прося стать вашей женой,
</t>
    </r>
    <r>
      <rPr>
        <rFont val="Arial"/>
        <sz val="10"/>
        <b/>
      </rPr>
      <t>TRANS:</t>
    </r>
    <r>
      <rPr>
        <rFont val="Arial"/>
        <sz val="10"/>
      </rPr>
      <t xml:space="preserve"> Mister Gamil'ton, ya, razumeetsya, vysoko tsenyu chest', kotoruyu vy okazali mne, prosya stat' vashey zhenoy,
</t>
    </r>
    <r>
      <rPr>
        <rFont val="Arial"/>
        <sz val="10"/>
        <b/>
      </rPr>
      <t>TRANSLATION:</t>
    </r>
    <r>
      <rPr>
        <rFont val="Arial"/>
        <sz val="10"/>
      </rPr>
      <t xml:space="preserve"> Mr. Hamilton, I, of course, value highly the honor that you have shown me by asking me to be your wife,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</si>
  <si>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Гамильтон мырза, сіздің әйелім деген өтінішіңізді, көрсеткен құрметіңізді бағалаймын, ...
</t>
    </r>
    <r>
      <rPr>
        <rFont val="Arial"/>
        <sz val="10"/>
        <b/>
      </rPr>
      <t>TRANS:</t>
    </r>
    <r>
      <rPr>
        <rFont val="Arial"/>
        <sz val="10"/>
      </rPr>
      <t xml:space="preserve"> Gamilton myrza, sızdıñ äielım degen ötınışıñızdı, körsetken qūrmetıñızdı bağalaimyn, ...
</t>
    </r>
    <r>
      <rPr>
        <rFont val="Arial"/>
        <sz val="10"/>
        <b/>
      </rPr>
      <t>TRANSLATION:</t>
    </r>
    <r>
      <rPr>
        <rFont val="Arial"/>
        <sz val="10"/>
      </rPr>
      <t xml:space="preserve"> Mr. Hamilton, I value your request that I be your wife and the honor you have shown me,...</t>
    </r>
  </si>
  <si>
    <r>
      <rPr>
        <rFont val="Arial"/>
        <sz val="10"/>
        <b/>
      </rPr>
      <t>TERM:</t>
    </r>
    <r>
      <rPr>
        <rFont val="Arial"/>
        <sz val="10"/>
      </rPr>
      <t xml:space="preserve"> chesti (чести) — honour (gen./dat./prep.) [ORD] (lemma: честь)
</t>
    </r>
    <r>
      <rPr>
        <rFont val="Arial"/>
        <sz val="10"/>
        <b/>
      </rPr>
      <t>PASSAGE:</t>
    </r>
    <r>
      <rPr>
        <rFont val="Arial"/>
        <sz val="10"/>
      </rPr>
      <t xml:space="preserve"> заявляли, что рады выпавшей на долю этих храбрецов чести участвовать в великой битве,
</t>
    </r>
    <r>
      <rPr>
        <rFont val="Arial"/>
        <sz val="10"/>
        <b/>
      </rPr>
      <t>TRANS:</t>
    </r>
    <r>
      <rPr>
        <rFont val="Arial"/>
        <sz val="10"/>
      </rPr>
      <t xml:space="preserve"> zayavlyali, chto rady vypavshey na dolyu etikh khrabretsov chesti uchastvovat' v velikoy bitve,
</t>
    </r>
    <r>
      <rPr>
        <rFont val="Arial"/>
        <sz val="10"/>
        <b/>
      </rPr>
      <t>TRANSLATION:</t>
    </r>
    <r>
      <rPr>
        <rFont val="Arial"/>
        <sz val="10"/>
      </rPr>
      <t xml:space="preserve"> declared that they were glad of the honor that had befallen these brave men of participating in the great battle,</t>
    </r>
  </si>
  <si>
    <r>
      <rPr>
        <rFont val="Arial"/>
        <sz val="10"/>
        <b/>
      </rPr>
      <t>TERM:</t>
    </r>
    <r>
      <rPr>
        <rFont val="Arial"/>
        <sz val="10"/>
      </rPr>
      <t xml:space="preserve"> QŪRMET (ҚҰРМЕТ) — respect; honouring (the act of paying respect) [KED, SZK]
</t>
    </r>
    <r>
      <rPr>
        <rFont val="Arial"/>
        <sz val="10"/>
        <b/>
      </rPr>
      <t>PASSAGE:</t>
    </r>
    <r>
      <rPr>
        <rFont val="Arial"/>
        <sz val="10"/>
      </rPr>
      <t xml:space="preserve"> ұлы шайқасқа қатысу құрметі бұйрығына қуанышты екенін мәлімдеді.
</t>
    </r>
    <r>
      <rPr>
        <rFont val="Arial"/>
        <sz val="10"/>
        <b/>
      </rPr>
      <t>TRANS:</t>
    </r>
    <r>
      <rPr>
        <rFont val="Arial"/>
        <sz val="10"/>
      </rPr>
      <t xml:space="preserve"> ūly şaiqasqa qatysu qūrmetı būiryğyna quanyşty ekenın mälımdedı.
</t>
    </r>
    <r>
      <rPr>
        <rFont val="Arial"/>
        <sz val="10"/>
        <b/>
      </rPr>
      <t>TRANSLATION:</t>
    </r>
    <r>
      <rPr>
        <rFont val="Arial"/>
        <sz val="10"/>
      </rPr>
      <t xml:space="preserve"> declared that they were rejoicing over the honor of being called to participate in the great battle.</t>
    </r>
  </si>
  <si>
    <r>
      <rPr>
        <rFont val="Arial"/>
        <sz val="10"/>
        <b/>
      </rPr>
      <t>TERM:</t>
    </r>
    <r>
      <rPr>
        <rFont val="Arial"/>
        <sz val="10"/>
      </rPr>
      <t xml:space="preserve"> chest' (честь) — honour; honor [ORD]
</t>
    </r>
    <r>
      <rPr>
        <rFont val="Arial"/>
        <sz val="10"/>
        <b/>
      </rPr>
      <t>PASSAGE:</t>
    </r>
    <r>
      <rPr>
        <rFont val="Arial"/>
        <sz val="10"/>
      </rPr>
      <t xml:space="preserve"> Они оказывают мне сомнительную честь, считая за своего, ибо знают мою… назовем это «непопулярность»… среди земляков.
</t>
    </r>
    <r>
      <rPr>
        <rFont val="Arial"/>
        <sz val="10"/>
        <b/>
      </rPr>
      <t>TRANS:</t>
    </r>
    <r>
      <rPr>
        <rFont val="Arial"/>
        <sz val="10"/>
      </rPr>
      <t xml:space="preserve"> Oni okazyvayut mne somnitel'nuyu chest', schitaya za svoego, ibo znayut moyu… nazovem eto «nepopulyarnost'»… sredi zemlyakov.
</t>
    </r>
    <r>
      <rPr>
        <rFont val="Arial"/>
        <sz val="10"/>
        <b/>
      </rPr>
      <t>TRANSLATION:</t>
    </r>
    <r>
      <rPr>
        <rFont val="Arial"/>
        <sz val="10"/>
      </rPr>
      <t xml:space="preserve"> They do me the doubtful honor of considering me one of their own, for they know my... let us call it "unpopularity"... among my fellow countrymen.</t>
    </r>
  </si>
  <si>
    <r>
      <rPr>
        <rFont val="Arial"/>
        <sz val="10"/>
        <b/>
      </rPr>
      <t>TERM:</t>
    </r>
    <r>
      <rPr>
        <rFont val="Arial"/>
        <sz val="10"/>
      </rPr>
      <t xml:space="preserve"> pochestey (почестей) — honours; tokens of esteem (gen. pl.) [ORD] (lemma: почести)
</t>
    </r>
    <r>
      <rPr>
        <rFont val="Arial"/>
        <sz val="10"/>
        <b/>
      </rPr>
      <t>PASSAGE:</t>
    </r>
    <r>
      <rPr>
        <rFont val="Arial"/>
        <sz val="10"/>
      </rPr>
      <t xml:space="preserve"> Не ради почестей и славы, разумеется.
</t>
    </r>
    <r>
      <rPr>
        <rFont val="Arial"/>
        <sz val="10"/>
        <b/>
      </rPr>
      <t>TRANS:</t>
    </r>
    <r>
      <rPr>
        <rFont val="Arial"/>
        <sz val="10"/>
      </rPr>
      <t xml:space="preserve"> Ne radi pochestey i slavy, razumeetsya.
</t>
    </r>
    <r>
      <rPr>
        <rFont val="Arial"/>
        <sz val="10"/>
        <b/>
      </rPr>
      <t>TRANSLATION:</t>
    </r>
    <r>
      <rPr>
        <rFont val="Arial"/>
        <sz val="10"/>
      </rPr>
      <t xml:space="preserve"> Not for the sake of honors and glory, of course.</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</si>
  <si>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Әрине, абырой мен даңқ үшін емес.
</t>
    </r>
    <r>
      <rPr>
        <rFont val="Arial"/>
        <sz val="10"/>
        <b/>
      </rPr>
      <t>TRANS:</t>
    </r>
    <r>
      <rPr>
        <rFont val="Arial"/>
        <sz val="10"/>
      </rPr>
      <t xml:space="preserve"> Ärine, abyroi men dañq üşın emes.
</t>
    </r>
    <r>
      <rPr>
        <rFont val="Arial"/>
        <sz val="10"/>
        <b/>
      </rPr>
      <t>TRANSLATION:</t>
    </r>
    <r>
      <rPr>
        <rFont val="Arial"/>
        <sz val="10"/>
      </rPr>
      <t xml:space="preserve"> Of course, not for the sake of dignity and glory.</t>
    </r>
  </si>
  <si>
    <r>
      <rPr>
        <rFont val="Arial"/>
        <sz val="10"/>
        <b/>
      </rPr>
      <t>TERM:</t>
    </r>
    <r>
      <rPr>
        <rFont val="Arial"/>
        <sz val="10"/>
      </rPr>
      <t xml:space="preserve"> chest' (честь) — honour; honor [ORD]
</t>
    </r>
    <r>
      <rPr>
        <rFont val="Arial"/>
        <sz val="10"/>
        <b/>
      </rPr>
      <t>PASSAGE:</t>
    </r>
    <r>
      <rPr>
        <rFont val="Arial"/>
        <sz val="10"/>
      </rPr>
      <t xml:space="preserve"> А ему, видимо, трудно примирить честь Уилксов с жаждой обладать вами, которая снедает его.
</t>
    </r>
    <r>
      <rPr>
        <rFont val="Arial"/>
        <sz val="10"/>
        <b/>
      </rPr>
      <t>TRANS:</t>
    </r>
    <r>
      <rPr>
        <rFont val="Arial"/>
        <sz val="10"/>
      </rPr>
      <t xml:space="preserve"> A emu, vidimo, trudno primirit' chest' Uilksov s zhazhdoy obladat' vami, kotoraya snedaet ego.
</t>
    </r>
    <r>
      <rPr>
        <rFont val="Arial"/>
        <sz val="10"/>
        <b/>
      </rPr>
      <t>TRANSLATION:</t>
    </r>
    <r>
      <rPr>
        <rFont val="Arial"/>
        <sz val="10"/>
      </rPr>
      <t xml:space="preserve"> And he, evidently, finds it hard to reconcile the Wilkes honor with the longing to possess you that consumes him.</t>
    </r>
  </si>
  <si>
    <r>
      <rPr>
        <rFont val="Arial"/>
        <sz val="10"/>
        <b/>
      </rPr>
      <t>TERM:</t>
    </r>
    <r>
      <rPr>
        <rFont val="Arial"/>
        <sz val="10"/>
      </rPr>
      <t xml:space="preserve"> qūrmetti (ҚҰРМЕТТI) = respected, honoured
 abyroi (АБЫРОЙ) = dignity; authority 
</t>
    </r>
    <r>
      <rPr>
        <rFont val="Arial"/>
        <sz val="10"/>
        <b/>
      </rPr>
      <t>PASSAGE:</t>
    </r>
    <r>
      <rPr>
        <rFont val="Arial"/>
        <sz val="10"/>
      </rPr>
      <t xml:space="preserve"> Еркек бәріне құрметті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абыройы таразыға қатар түскенде, өзін іштен мүжіп жейтін шығар.
</t>
    </r>
    <r>
      <rPr>
        <rFont val="Arial"/>
        <sz val="10"/>
        <b/>
      </rPr>
      <t>TRANS:</t>
    </r>
    <r>
      <rPr>
        <rFont val="Arial"/>
        <sz val="10"/>
      </rPr>
      <t xml:space="preserve"> Erkek bärıne qūrmettı qojaiyn bola tūryp, jūbaiyna da adal küiınde, süigen äielınıñ aqyly men jan düniesıne bas ie de alady, tynyş ömırın de süru alady. Sızdı iemdengısı kelgen yntyq sezımı men Uilksterdıñ abyroiy tarazyğa qatar tüskende, özın ışten müjıp jeitın şyğar.
</t>
    </r>
    <r>
      <rPr>
        <rFont val="Arial"/>
        <sz val="10"/>
        <b/>
      </rPr>
      <t>TRANSLATION:</t>
    </r>
    <r>
      <rPr>
        <rFont val="Arial"/>
        <sz val="10"/>
      </rPr>
      <t xml:space="preserve"> A man can be respected master of all and faithful husband, can be lord of the mind and soul of his beloved woman and live a peaceful life. When the longing-feeling that wants to possess you and the Wilkes' honor are placed on the scales together, he probably eats himself up inwardly.</t>
    </r>
  </si>
  <si>
    <r>
      <rPr>
        <rFont val="Arial"/>
        <sz val="10"/>
        <b/>
      </rPr>
      <t>TERM:</t>
    </r>
    <r>
      <rPr>
        <rFont val="Arial"/>
        <sz val="10"/>
      </rPr>
      <t xml:space="preserve"> chest'yu (честью) — honour (instr.); honourably [ORD] (lemma: честь)
</t>
    </r>
    <r>
      <rPr>
        <rFont val="Arial"/>
        <sz val="10"/>
        <b/>
      </rPr>
      <t>PASSAGE:</t>
    </r>
    <r>
      <rPr>
        <rFont val="Arial"/>
        <sz val="10"/>
      </rPr>
      <t xml:space="preserve"> Но, как большинство людей его породы, он предпочитает самой большой любви то, что в этих краях именуют честью.
</t>
    </r>
    <r>
      <rPr>
        <rFont val="Arial"/>
        <sz val="10"/>
        <b/>
      </rPr>
      <t>TRANS:</t>
    </r>
    <r>
      <rPr>
        <rFont val="Arial"/>
        <sz val="10"/>
      </rPr>
      <t xml:space="preserve"> No, kak bol'shinstvo lyudey ego porody, on predpochitaet samoy bol'shoy lyubvi to, chto v etikh krayakh imenuyut chest'yu.
</t>
    </r>
    <r>
      <rPr>
        <rFont val="Arial"/>
        <sz val="10"/>
        <b/>
      </rPr>
      <t>TRANSLATION:</t>
    </r>
    <r>
      <rPr>
        <rFont val="Arial"/>
        <sz val="10"/>
      </rPr>
      <t xml:space="preserve"> But like most people of his breed, he prefers, to the greatest love, what in these parts they call honor.</t>
    </r>
  </si>
  <si>
    <r>
      <rPr>
        <rFont val="Arial"/>
        <sz val="10"/>
        <b/>
      </rPr>
      <t>TERM:</t>
    </r>
    <r>
      <rPr>
        <rFont val="Arial"/>
        <sz val="10"/>
      </rPr>
      <t xml:space="preserve"> ABYROİ (АБЫРОЙ) — dignity; prestige; public standing; reputation (Arabic-Persian loan) [KED, SZK]
</t>
    </r>
    <r>
      <rPr>
        <rFont val="Arial"/>
        <sz val="10"/>
        <b/>
      </rPr>
      <t>PASSAGE:</t>
    </r>
    <r>
      <rPr>
        <rFont val="Arial"/>
        <sz val="10"/>
      </rPr>
      <t xml:space="preserve"> Бұл өңірдегілер абыройға санайтын үлкен махаббат иесі болуды ол да қалайтын шығар, тегіндегі басқа адамдар секілді.
</t>
    </r>
    <r>
      <rPr>
        <rFont val="Arial"/>
        <sz val="10"/>
        <b/>
      </rPr>
      <t>TRANS:</t>
    </r>
    <r>
      <rPr>
        <rFont val="Arial"/>
        <sz val="10"/>
      </rPr>
      <t xml:space="preserve"> Būl öñırdegıler abyroiğa sanaityn ülken mahabbat iesı boludy ol da qalaityn şyğar, tegındegı basqa adamdar sekıldı.
</t>
    </r>
    <r>
      <rPr>
        <rFont val="Arial"/>
        <sz val="10"/>
        <b/>
      </rPr>
      <t>TRANSLATION:</t>
    </r>
    <r>
      <rPr>
        <rFont val="Arial"/>
        <sz val="10"/>
      </rPr>
      <t xml:space="preserve"> Perhaps he too desires to be the bearer of a great love that the people of this region count as honor, like the others of his sort.</t>
    </r>
  </si>
  <si>
    <r>
      <rPr>
        <rFont val="Arial"/>
        <sz val="10"/>
        <b/>
      </rPr>
      <t>TERM:</t>
    </r>
    <r>
      <rPr>
        <rFont val="Arial"/>
        <sz val="10"/>
      </rPr>
      <t xml:space="preserve"> chtimoe (чтимое) — esteemed; revered [ORD] (lemma: чтимый)
</t>
    </r>
    <r>
      <rPr>
        <rFont val="Arial"/>
        <sz val="10"/>
        <b/>
      </rPr>
      <t>PASSAGE:</t>
    </r>
    <r>
      <rPr>
        <rFont val="Arial"/>
        <sz val="10"/>
      </rPr>
      <t xml:space="preserve"> и Скарлетт оторопела: как сумел он вложить столько циничного презрения в одно короткое, высоко всеми чтимое слово?
</t>
    </r>
    <r>
      <rPr>
        <rFont val="Arial"/>
        <sz val="10"/>
        <b/>
      </rPr>
      <t>TRANS:</t>
    </r>
    <r>
      <rPr>
        <rFont val="Arial"/>
        <sz val="10"/>
      </rPr>
      <t xml:space="preserve"> i Skarlett otoropela: kak sumel on vlozhit' stol'ko tsinichnogo prezreniya v odno korotkoe, vysoko vsemi chtimoe slovo?
</t>
    </r>
    <r>
      <rPr>
        <rFont val="Arial"/>
        <sz val="10"/>
        <b/>
      </rPr>
      <t>TRANSLATION:</t>
    </r>
    <r>
      <rPr>
        <rFont val="Arial"/>
        <sz val="10"/>
      </rPr>
      <t xml:space="preserve"> and Scarlett was taken aback: how had he managed to put so much cynical contempt into one short word that everyone holds in such high esteem?</t>
    </r>
  </si>
  <si>
    <r>
      <rPr>
        <rFont val="Arial"/>
        <sz val="10"/>
        <b/>
      </rPr>
      <t>TERM:</t>
    </r>
    <r>
      <rPr>
        <rFont val="Arial"/>
        <sz val="10"/>
      </rPr>
      <t xml:space="preserve"> ARDAQTAU (АРДАҚТАУ) — to honour; to pay due respect; to cherish (from ардақ "honour, esteem") [KED, SZK]
</t>
    </r>
    <r>
      <rPr>
        <rFont val="Arial"/>
        <sz val="10"/>
        <b/>
      </rPr>
      <t>PASSAGE:</t>
    </r>
    <r>
      <rPr>
        <rFont val="Arial"/>
        <sz val="10"/>
      </rPr>
      <t xml:space="preserve"> Скарлетт бұған аң-таң болды: ол қысқа ғана, барлығы соншалықты ардақтайтын осы бір сөзге соншалықты арсыз жеккөрушілікті қалай сыйғызып жіберді?
</t>
    </r>
    <r>
      <rPr>
        <rFont val="Arial"/>
        <sz val="10"/>
        <b/>
      </rPr>
      <t>TRANS:</t>
    </r>
    <r>
      <rPr>
        <rFont val="Arial"/>
        <sz val="10"/>
      </rPr>
      <t xml:space="preserve"> Skarlett būğan añ-tañ boldy: ol qysqa ğana, barlyğy sonşalyqty ardaqtaityn osy bır sözge sonşalyqty arsyz jekköruşılıktı qalai syiğyzyp jıberdı?
</t>
    </r>
    <r>
      <rPr>
        <rFont val="Arial"/>
        <sz val="10"/>
        <b/>
      </rPr>
      <t>TRANSLATION:</t>
    </r>
    <r>
      <rPr>
        <rFont val="Arial"/>
        <sz val="10"/>
      </rPr>
      <t xml:space="preserve"> Scarlett was astonished by this: how had he packed so much shameless contempt into this single short word that everyone holds in such high regard?</t>
    </r>
  </si>
  <si>
    <r>
      <rPr>
        <rFont val="Arial"/>
        <sz val="10"/>
        <b/>
      </rPr>
      <t>TERM:</t>
    </r>
    <r>
      <rPr>
        <rFont val="Arial"/>
        <sz val="10"/>
      </rPr>
      <t xml:space="preserve"> pochtennyy (почтенный) — venerable; esteemed [ORD]
</t>
    </r>
    <r>
      <rPr>
        <rFont val="Arial"/>
        <sz val="10"/>
        <b/>
      </rPr>
      <t>PASSAGE:</t>
    </r>
    <r>
      <rPr>
        <rFont val="Arial"/>
        <sz val="10"/>
      </rPr>
      <t xml:space="preserv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
    </r>
    <r>
      <rPr>
        <rFont val="Arial"/>
        <sz val="10"/>
        <b/>
      </rPr>
      <t>TRANS:</t>
    </r>
    <r>
      <rPr>
        <rFont val="Arial"/>
        <sz val="10"/>
      </rPr>
      <t xml:space="preserve"> Tem ne menee ya vsegda voskhishchalsya im i staralsya podrazhat' emu kuda bol'she, chem ottsu, khotya otets u menya — ves'ma blagovospitannyy gospodin, chrezvychayno pochtennyy i religioznyy, tak chto vidite, kak ono byvaet.
</t>
    </r>
    <r>
      <rPr>
        <rFont val="Arial"/>
        <sz val="10"/>
        <b/>
      </rPr>
      <t>TRANSLATION:</t>
    </r>
    <r>
      <rPr>
        <rFont val="Arial"/>
        <sz val="10"/>
      </rPr>
      <t xml:space="preserve"> Nevertheless I always admired him and tried to imitate him much more than my father, although my father is a very well-bred gentleman, extremely respectable and religious, so you see how it goes.</t>
    </r>
  </si>
  <si>
    <r>
      <rPr>
        <rFont val="Arial"/>
        <sz val="10"/>
        <b/>
      </rPr>
      <t>TERM:</t>
    </r>
    <r>
      <rPr>
        <rFont val="Arial"/>
        <sz val="10"/>
      </rPr>
      <t xml:space="preserve"> poryadochnost' (порядочность) — decency; respectability; integrity [ORD]
</t>
    </r>
    <r>
      <rPr>
        <rFont val="Arial"/>
        <sz val="10"/>
        <b/>
      </rPr>
      <t>PASSAGE:</t>
    </r>
    <r>
      <rPr>
        <rFont val="Arial"/>
        <sz val="10"/>
      </rPr>
      <t xml:space="preserve"> К сожалению, вы — супруга Фрэнка, и порядочность запрещает мне говорить вам о своих чувствах.
</t>
    </r>
    <r>
      <rPr>
        <rFont val="Arial"/>
        <sz val="10"/>
        <b/>
      </rPr>
      <t>TRANS:</t>
    </r>
    <r>
      <rPr>
        <rFont val="Arial"/>
        <sz val="10"/>
      </rPr>
      <t xml:space="preserve"> K sozhaleniyu, vy — supruga Frenka, i poryadochnost' zapreshchaet mne govorit' vam o svoikh chuvstvakh.
</t>
    </r>
    <r>
      <rPr>
        <rFont val="Arial"/>
        <sz val="10"/>
        <b/>
      </rPr>
      <t>TRANSLATION:</t>
    </r>
    <r>
      <rPr>
        <rFont val="Arial"/>
        <sz val="10"/>
      </rPr>
      <t xml:space="preserve"> Unfortunately, you are Frank's wife, and decency forbids me to speak to you of my feelings.</t>
    </r>
  </si>
  <si>
    <r>
      <rPr>
        <rFont val="Arial"/>
        <sz val="10"/>
        <b/>
      </rPr>
      <t>TERM:</t>
    </r>
    <r>
      <rPr>
        <rFont val="Arial"/>
        <sz val="10"/>
      </rPr>
      <t xml:space="preserve"> ADAMGERŞILIK (АДАМГЕРШІЛІК) — humanity; civility; humanness (the secularised humanist moral term) [KED, SZK]
</t>
    </r>
    <r>
      <rPr>
        <rFont val="Arial"/>
        <sz val="10"/>
        <b/>
      </rPr>
      <t>PASSAGE:</t>
    </r>
    <r>
      <rPr>
        <rFont val="Arial"/>
        <sz val="10"/>
      </rPr>
      <t xml:space="preserve"> Өкініштісі, сіз енді Фрэнктің жұбайысыз, өз сезімдерім туралы баяндағаным да адамгершілікке жатпайды.
</t>
    </r>
    <r>
      <rPr>
        <rFont val="Arial"/>
        <sz val="10"/>
        <b/>
      </rPr>
      <t>TRANS:</t>
    </r>
    <r>
      <rPr>
        <rFont val="Arial"/>
        <sz val="10"/>
      </rPr>
      <t xml:space="preserve"> Ökınıştısı, sız endı Frenktıñ jūbaiysyz, öz sezımderım turaly baiandağanym da adamgerşılıkke jatpaidy.
</t>
    </r>
    <r>
      <rPr>
        <rFont val="Arial"/>
        <sz val="10"/>
        <b/>
      </rPr>
      <t>TRANSLATION:</t>
    </r>
    <r>
      <rPr>
        <rFont val="Arial"/>
        <sz val="10"/>
      </rPr>
      <t xml:space="preserve"> Unfortunately, you are now Frank's wife, and to speak of my own feelings goes against humanity/decency.</t>
    </r>
  </si>
  <si>
    <r>
      <rPr>
        <rFont val="Arial"/>
        <sz val="10"/>
        <b/>
      </rPr>
      <t>TERM:</t>
    </r>
    <r>
      <rPr>
        <rFont val="Arial"/>
        <sz val="10"/>
      </rPr>
      <t xml:space="preserve"> unizitel'no (унизительно) — humiliatingly; demeaningly (adv.) [ORD]
</t>
    </r>
    <r>
      <rPr>
        <rFont val="Arial"/>
        <sz val="10"/>
        <b/>
      </rPr>
      <t>PASSAGE:</t>
    </r>
    <r>
      <rPr>
        <rFont val="Arial"/>
        <sz val="10"/>
      </rPr>
      <t xml:space="preserv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
    </r>
    <r>
      <rPr>
        <rFont val="Arial"/>
        <sz val="10"/>
        <b/>
      </rPr>
      <t>TRANS:</t>
    </r>
    <r>
      <rPr>
        <rFont val="Arial"/>
        <sz val="10"/>
      </rPr>
      <t xml:space="preserve"> A chasam k desyati, i nikak ne ran'she, Boydu udastsya vtolkovat' ey, chto bylo by unizitel'no dlya lyubogo iz ee synovey ostavat'sya v uchebnom zavedenii, gde rektor pozvolil sebe razgovarivat' s nami v takom tone.
</t>
    </r>
    <r>
      <rPr>
        <rFont val="Arial"/>
        <sz val="10"/>
        <b/>
      </rPr>
      <t>TRANSLATION:</t>
    </r>
    <r>
      <rPr>
        <rFont val="Arial"/>
        <sz val="10"/>
      </rPr>
      <t xml:space="preserve"> And around ten o'clock — and no earlier — Boyd will manage to convince her that it would be humiliating for any of her sons to remain at an institution where the rector has allowed himself to speak with us in such a tone.</t>
    </r>
  </si>
  <si>
    <r>
      <rPr>
        <rFont val="Arial"/>
        <sz val="10"/>
        <b/>
      </rPr>
      <t>TERM:</t>
    </r>
    <r>
      <rPr>
        <rFont val="Arial"/>
        <sz val="10"/>
      </rPr>
      <t xml:space="preserve"> QORLYQ (ҚОРЛЫҚ) — humiliation; abasement; disgrace [KED, SZK]
MASQARA (МАСҚАРА) — disgrace; scandal; outrage (acute) [KED, SZK]
</t>
    </r>
    <r>
      <rPr>
        <rFont val="Arial"/>
        <sz val="10"/>
        <b/>
      </rPr>
      <t>PASSAGE:</t>
    </r>
    <r>
      <rPr>
        <rFont val="Arial"/>
        <sz val="10"/>
      </rPr>
      <t xml:space="preserve"> Ал сағат түнгі онға қарай (одан бұрын болуы мүмкін емес), ұлдарына ректордың өзі қырын қабақ танытқан оқу орнында қалуы Бойд үшін қорлық, масқара екенін түсіндірудің ыңғайы келеді.
</t>
    </r>
    <r>
      <rPr>
        <rFont val="Arial"/>
        <sz val="10"/>
        <b/>
      </rPr>
      <t>TRANS:</t>
    </r>
    <r>
      <rPr>
        <rFont val="Arial"/>
        <sz val="10"/>
      </rPr>
      <t xml:space="preserve"> Al sağat tüngı onğa qarai (odan būryn boluy mümkın emes), ūldaryna rektordyñ özı qyryn qabaq tanytqan oqu ornynda qaluy Boid üşın qorlyq, masqara ekenın tüsındırudıñ yñğaiy keledı.
</t>
    </r>
    <r>
      <rPr>
        <rFont val="Arial"/>
        <sz val="10"/>
        <b/>
      </rPr>
      <t>TRANSLATION:</t>
    </r>
    <r>
      <rPr>
        <rFont val="Arial"/>
        <sz val="10"/>
      </rPr>
      <t xml:space="preserve"> And by about ten in the evening (no sooner), the moment will come for Boyd to explain that it would be a humiliation, a disgrace for her sons to stay at an institution where the rector himself has shown them a stern face.</t>
    </r>
  </si>
  <si>
    <r>
      <rPr>
        <rFont val="Arial"/>
        <sz val="10"/>
        <b/>
      </rPr>
      <t>TERM:</t>
    </r>
    <r>
      <rPr>
        <rFont val="Arial"/>
        <sz val="10"/>
      </rPr>
      <t xml:space="preserve"> beschestnaya (бесчестная) — dishonourable (adj. fem.) [ORD] (lemma: бесчестный)
</t>
    </r>
    <r>
      <rPr>
        <rFont val="Arial"/>
        <sz val="10"/>
        <b/>
      </rPr>
      <t>PASSAGE:</t>
    </r>
    <r>
      <rPr>
        <rFont val="Arial"/>
        <sz val="10"/>
      </rPr>
      <t xml:space="preserve"> Вы не только бесчестная, но еще и самонадеянная
</t>
    </r>
    <r>
      <rPr>
        <rFont val="Arial"/>
        <sz val="10"/>
        <b/>
      </rPr>
      <t>TRANS:</t>
    </r>
    <r>
      <rPr>
        <rFont val="Arial"/>
        <sz val="10"/>
      </rPr>
      <t xml:space="preserve"> Vy ne tol'ko beschestnaya, no eshche i samonadeyannaya
</t>
    </r>
    <r>
      <rPr>
        <rFont val="Arial"/>
        <sz val="10"/>
        <b/>
      </rPr>
      <t>TRANSLATION:</t>
    </r>
    <r>
      <rPr>
        <rFont val="Arial"/>
        <sz val="10"/>
      </rPr>
      <t xml:space="preserve"> You are not only dishonest, but also conceited</t>
    </r>
  </si>
  <si>
    <r>
      <rPr>
        <rFont val="Arial"/>
        <sz val="10"/>
        <b/>
      </rPr>
      <t>TERM:</t>
    </r>
    <r>
      <rPr>
        <rFont val="Arial"/>
        <sz val="10"/>
      </rPr>
      <t xml:space="preserve"> ÄDILETSIZDIK (ӘДІЛЕТСІЗДІК) = injustice, unfairness, dishonesty, dishonor
</t>
    </r>
    <r>
      <rPr>
        <rFont val="Arial"/>
        <sz val="10"/>
        <b/>
      </rPr>
      <t>PASSAGE:</t>
    </r>
    <r>
      <rPr>
        <rFont val="Arial"/>
        <sz val="10"/>
      </rPr>
      <t xml:space="preserve"> Сіз әділетсіздігіңізбен қоса, өзіңізді тым артық бағалап жібереді екенсіз
</t>
    </r>
    <r>
      <rPr>
        <rFont val="Arial"/>
        <sz val="10"/>
        <b/>
      </rPr>
      <t>TRANS:</t>
    </r>
    <r>
      <rPr>
        <rFont val="Arial"/>
        <sz val="10"/>
      </rPr>
      <t xml:space="preserve"> Sız ädıletsızdıgıñızben qosa, özıñızdı tym artyq bağalap jıberedı ekensız
</t>
    </r>
    <r>
      <rPr>
        <rFont val="Arial"/>
        <sz val="10"/>
        <b/>
      </rPr>
      <t>TRANSLATION:</t>
    </r>
    <r>
      <rPr>
        <rFont val="Arial"/>
        <sz val="10"/>
      </rPr>
      <t xml:space="preserve"> In addition to your unjustness, it turns out you also overrate yourself excessively</t>
    </r>
  </si>
  <si>
    <r>
      <rPr>
        <rFont val="Arial"/>
        <sz val="10"/>
        <b/>
      </rPr>
      <t>TERM:</t>
    </r>
    <r>
      <rPr>
        <rFont val="Arial"/>
        <sz val="10"/>
      </rPr>
      <t xml:space="preserve"> poryadochnyy i blagorodnyy (порядочный и благородный) — decent and noble [ORD] (lemma: порядочный)
</t>
    </r>
    <r>
      <rPr>
        <rFont val="Arial"/>
        <sz val="10"/>
        <b/>
      </rPr>
      <t>PASSAGE:</t>
    </r>
    <r>
      <rPr>
        <rFont val="Arial"/>
        <sz val="10"/>
      </rPr>
      <t xml:space="preserve"> blagorodstvo (благородство) = nobility Знаю, что он человек порядочный и благородный. Мы с вами благородством не отличаемся, и у нас нет понятия чести, верно?
</t>
    </r>
    <r>
      <rPr>
        <rFont val="Arial"/>
        <sz val="10"/>
        <b/>
      </rPr>
      <t>TRANS:</t>
    </r>
    <r>
      <rPr>
        <rFont val="Arial"/>
        <sz val="10"/>
      </rPr>
      <t xml:space="preserve"> blagorodstvo (blagorodstvo) = nobility Znayu, chto on chelovek poryadochnyy i blagorodnyy. My s vami blagorodstvom ne otlichaemsya, i u nas net ponyatiya chesti, verno?
</t>
    </r>
    <r>
      <rPr>
        <rFont val="Arial"/>
        <sz val="10"/>
        <b/>
      </rPr>
      <t>TRANSLATION:</t>
    </r>
    <r>
      <rPr>
        <rFont val="Arial"/>
        <sz val="10"/>
      </rPr>
      <t xml:space="preserve"> blagorodstvo = nobility. I know that he is decent and noble. You and I do not stand out for nobility, and we have no concept of honor, do we?</t>
    </r>
  </si>
  <si>
    <r>
      <rPr>
        <rFont val="Arial"/>
        <sz val="10"/>
        <b/>
      </rPr>
      <t>TERM:</t>
    </r>
    <r>
      <rPr>
        <rFont val="Arial"/>
        <sz val="10"/>
      </rPr>
      <t xml:space="preserve"> ADAL (АДАЛ) — honest; faithful; pure; lawful (Arabic ḥalāl) [KED, SZK]
asyl (АСЫЛ) = noble; precious
</t>
    </r>
    <r>
      <rPr>
        <rFont val="Arial"/>
        <sz val="10"/>
        <b/>
      </rPr>
      <t>PASSAGE:</t>
    </r>
    <r>
      <rPr>
        <rFont val="Arial"/>
        <sz val="10"/>
      </rPr>
      <t xml:space="preserve"> Оның адал һәм абзал жан екенін білемін. Біз асыл тегімізбен, абзал жүрегімізбен ерекшелене алмаймыз, бізде адалдық деген түсінік жоқ қой, солай ма?
</t>
    </r>
    <r>
      <rPr>
        <rFont val="Arial"/>
        <sz val="10"/>
        <b/>
      </rPr>
      <t>TRANS:</t>
    </r>
    <r>
      <rPr>
        <rFont val="Arial"/>
        <sz val="10"/>
      </rPr>
      <t xml:space="preserve">  Onyñ adal häm abzal jan ekenın bılemın. Bız asyl tegımızben, abzal jüregımızben erekşelene almaimyz, bızde adaldyq degen tüsınık joq qoi, solai ma?
</t>
    </r>
    <r>
      <rPr>
        <rFont val="Arial"/>
        <sz val="10"/>
        <b/>
      </rPr>
      <t>TRANSLATION:</t>
    </r>
    <r>
      <rPr>
        <rFont val="Arial"/>
        <sz val="10"/>
      </rPr>
      <t xml:space="preserve"> I know he is honest and noble. You and I cannot stand out by our noble origin, by a noble heart; we have no notion of honesty, isn't that so?</t>
    </r>
  </si>
  <si>
    <r>
      <rPr>
        <rFont val="Arial"/>
        <sz val="10"/>
        <b/>
      </rPr>
      <t>TERM:</t>
    </r>
    <r>
      <rPr>
        <rFont val="Arial"/>
        <sz val="10"/>
      </rPr>
      <t xml:space="preserve"> beschestnyy (бесчестный) — dishonourable; ignoble [ORD]
</t>
    </r>
    <r>
      <rPr>
        <rFont val="Arial"/>
        <sz val="10"/>
        <b/>
      </rPr>
      <t>PASSAGE:</t>
    </r>
    <r>
      <rPr>
        <rFont val="Arial"/>
        <sz val="10"/>
      </rPr>
      <t xml:space="preserve"> А до чего же приятно знать, что существует на свете человек плохой и бесчестный, обманщик и лгун,
</t>
    </r>
    <r>
      <rPr>
        <rFont val="Arial"/>
        <sz val="10"/>
        <b/>
      </rPr>
      <t>TRANS:</t>
    </r>
    <r>
      <rPr>
        <rFont val="Arial"/>
        <sz val="10"/>
      </rPr>
      <t xml:space="preserve"> A do chego zhe priyatno znat', chto sushchestvuet na svete chelovek plokhoy i beschestnyy, obmanshchik i lgun,
</t>
    </r>
    <r>
      <rPr>
        <rFont val="Arial"/>
        <sz val="10"/>
        <b/>
      </rPr>
      <t>TRANSLATION:</t>
    </r>
    <r>
      <rPr>
        <rFont val="Arial"/>
        <sz val="10"/>
      </rPr>
      <t xml:space="preserve"> And how pleasant it is to know that there exists in the world a person bad and dishonorable, a deceiver and liar,</t>
    </r>
  </si>
  <si>
    <r>
      <rPr>
        <rFont val="Arial"/>
        <sz val="10"/>
        <b/>
      </rPr>
      <t>TERM:</t>
    </r>
    <r>
      <rPr>
        <rFont val="Arial"/>
        <sz val="10"/>
      </rPr>
      <t xml:space="preserve"> ŪİATSYZ (ҰЯТСЫЗ) — shameless; without sense of shame [KED, SZK]
</t>
    </r>
    <r>
      <rPr>
        <rFont val="Arial"/>
        <sz val="10"/>
        <b/>
      </rPr>
      <t>PASSAGE:</t>
    </r>
    <r>
      <rPr>
        <rFont val="Arial"/>
        <sz val="10"/>
      </rPr>
      <t xml:space="preserve"> ұятсыз, өтірікші, арсыз осындай адамдар да болатынын білу қандай ғанибет.
</t>
    </r>
    <r>
      <rPr>
        <rFont val="Arial"/>
        <sz val="10"/>
        <b/>
      </rPr>
      <t>TRANS:</t>
    </r>
    <r>
      <rPr>
        <rFont val="Arial"/>
        <sz val="10"/>
      </rPr>
      <t xml:space="preserve"> ūiatsyz, ötırıkşı, arsyz osyndai adamdar da bolatynyn bılu qandai ğanibet.
</t>
    </r>
    <r>
      <rPr>
        <rFont val="Arial"/>
        <sz val="10"/>
        <b/>
      </rPr>
      <t>TRANSLATION:</t>
    </r>
    <r>
      <rPr>
        <rFont val="Arial"/>
        <sz val="10"/>
      </rPr>
      <t xml:space="preserve"> How pleasant it is to know that there exists in the world such people — shameless, lying, dishonorable.</t>
    </r>
  </si>
  <si>
    <r>
      <rPr>
        <rFont val="Arial"/>
        <sz val="10"/>
        <b/>
      </rPr>
      <t>TERM:</t>
    </r>
    <r>
      <rPr>
        <rFont val="Arial"/>
        <sz val="10"/>
      </rPr>
      <t xml:space="preserve"> bez chesti i sovesti (без чести и совести) — without honour or conscience (set phrase) [ORD] (lemma: честь)
</t>
    </r>
    <r>
      <rPr>
        <rFont val="Arial"/>
        <sz val="10"/>
        <b/>
      </rPr>
      <t>PASSAGE:</t>
    </r>
    <r>
      <rPr>
        <rFont val="Arial"/>
        <sz val="10"/>
      </rPr>
      <t xml:space="preserve"> Она любила его — негодяя, мерзавца, человека без чести и совести, во всяком случае в том смысле, в каком Эшли понимал честь.
</t>
    </r>
    <r>
      <rPr>
        <rFont val="Arial"/>
        <sz val="10"/>
        <b/>
      </rPr>
      <t>TRANS:</t>
    </r>
    <r>
      <rPr>
        <rFont val="Arial"/>
        <sz val="10"/>
      </rPr>
      <t xml:space="preserve"> Ona lyubila ego — negodyaya, merzavtsa, cheloveka bez chesti i sovesti, vo vsyakom sluchae v tom smysle, v kakom Eshli ponimal chest'.
</t>
    </r>
    <r>
      <rPr>
        <rFont val="Arial"/>
        <sz val="10"/>
        <b/>
      </rPr>
      <t>TRANSLATION:</t>
    </r>
    <r>
      <rPr>
        <rFont val="Arial"/>
        <sz val="10"/>
      </rPr>
      <t xml:space="preserve"> She loved him — a scoundrel, a villain, a man without honor or conscience, at any rate in the sense in which Ashley understood honor.</t>
    </r>
  </si>
  <si>
    <r>
      <rPr>
        <rFont val="Arial"/>
        <sz val="10"/>
        <b/>
      </rPr>
      <t>TERM:</t>
    </r>
    <r>
      <rPr>
        <rFont val="Arial"/>
        <sz val="10"/>
      </rPr>
      <t xml:space="preserve"> AR (АР) — honour; conscience; inalienable inner moral principle [KED, SZK]
ADALDYQ (АДАЛДЫҚ)
ADAMŞYLYQ (АДАМШЫЛЫҚ)
ŪİAT (ҰЯТ)
</t>
    </r>
    <r>
      <rPr>
        <rFont val="Arial"/>
        <sz val="10"/>
        <b/>
      </rPr>
      <t>PASSAGE:</t>
    </r>
    <r>
      <rPr>
        <rFont val="Arial"/>
        <sz val="10"/>
      </rPr>
      <t xml:space="preserve"> Ол соны - оңбағанды, жексұрынды, ары мен ұяты жоқ адамды, өз пайымдауынша, Эшли қандай адам деп ойлауы мүмкін болса, сондай адамды сүйетін. "Барсыншы әрі сол Эшли, өзінің адалдығымен, адамшылық туралы түсініктерімен мені шатастырып бітті, сатып кетті.
</t>
    </r>
    <r>
      <rPr>
        <rFont val="Arial"/>
        <sz val="10"/>
        <b/>
      </rPr>
      <t>TRANS:</t>
    </r>
    <r>
      <rPr>
        <rFont val="Arial"/>
        <sz val="10"/>
      </rPr>
      <t xml:space="preserve"> Ol sony - oñbağandy, jeksūryndy, ary men ūiaty joq adamdy, öz paiymdauynşa, Eşli qandai adam dep oilauy mümkın bolsa, sondai adamdy süietın. "Barsynşy ärı sol Eşli, özınıñ adaldyğymen, adamşylyq turaly tüsınıkterımen menı şatastyryp bıttı, satyp kettı.
</t>
    </r>
    <r>
      <rPr>
        <rFont val="Arial"/>
        <sz val="10"/>
        <b/>
      </rPr>
      <t>TRANSLATION:</t>
    </r>
    <r>
      <rPr>
        <rFont val="Arial"/>
        <sz val="10"/>
      </rPr>
      <t xml:space="preserve"> She loved such a man—a scoundrel, a vile creature, a person without honor or shame—exactly the kind of man Ashley, in her judgment, might have thought him to be. “Let him go, and that Ashley too—he has completely confused me and betrayed me with his notions of honesty and humanity.”</t>
    </r>
  </si>
  <si>
    <r>
      <rPr>
        <rFont val="Arial"/>
        <sz val="10"/>
        <b/>
      </rPr>
      <t>TERM:</t>
    </r>
    <r>
      <rPr>
        <rFont val="Arial"/>
        <sz val="10"/>
      </rPr>
      <t xml:space="preserve"> ABYROİ (АБЫРОЙ) — dignity; prestige; public standing; reputation (Arabic-Persian loan) [KED, SZK]
ar men iba (ар мен иба) = conscience and modesty 
</t>
    </r>
    <r>
      <rPr>
        <rFont val="Arial"/>
        <sz val="10"/>
        <b/>
      </rPr>
      <t>PASSAGE:</t>
    </r>
    <r>
      <rPr>
        <rFont val="Arial"/>
        <sz val="10"/>
      </rPr>
      <t xml:space="preserve"> "Қонақжайлылық", "абырой", "ар мен иба" дегендерді бұдан биік ұстайды.
</t>
    </r>
    <r>
      <rPr>
        <rFont val="Arial"/>
        <sz val="10"/>
        <b/>
      </rPr>
      <t>TRANS:</t>
    </r>
    <r>
      <rPr>
        <rFont val="Arial"/>
        <sz val="10"/>
      </rPr>
      <t xml:space="preserve"> "Qonaqjailylyq", "abyroi", "ar men iba" degenderdı būdan biık ūstaidy.
</t>
    </r>
    <r>
      <rPr>
        <rFont val="Arial"/>
        <sz val="10"/>
        <b/>
      </rPr>
      <t>TRANSLATION:</t>
    </r>
    <r>
      <rPr>
        <rFont val="Arial"/>
        <sz val="10"/>
      </rPr>
      <t xml:space="preserve"> He values "hospitality", "dignity", and "conscience and modesty" higher than this.</t>
    </r>
  </si>
  <si>
    <r>
      <rPr>
        <rFont val="Arial"/>
        <sz val="10"/>
        <b/>
      </rPr>
      <t>TERM:</t>
    </r>
    <r>
      <rPr>
        <rFont val="Arial"/>
        <sz val="10"/>
      </rPr>
      <t xml:space="preserve"> chestnoe predlozhenie. (честное предложение.) = honest declaration
</t>
    </r>
    <r>
      <rPr>
        <rFont val="Arial"/>
        <sz val="10"/>
        <b/>
      </rPr>
      <t>PASSAGE:</t>
    </r>
    <r>
      <rPr>
        <rFont val="Arial"/>
        <sz val="10"/>
      </rPr>
      <t xml:space="preserve"> Нет, Скарлетт, это bonа fide честное предложение.
</t>
    </r>
    <r>
      <rPr>
        <rFont val="Arial"/>
        <sz val="10"/>
        <b/>
      </rPr>
      <t>TRANS:</t>
    </r>
    <r>
      <rPr>
        <rFont val="Arial"/>
        <sz val="10"/>
      </rPr>
      <t xml:space="preserve"> Net, Skarlett, eto bona fide chestnoe predlozhenie.
</t>
    </r>
    <r>
      <rPr>
        <rFont val="Arial"/>
        <sz val="10"/>
        <b/>
      </rPr>
      <t>TRANSLATION:</t>
    </r>
    <r>
      <rPr>
        <rFont val="Arial"/>
        <sz val="10"/>
      </rPr>
      <t xml:space="preserve"> No, Scarlett, this is bona fide an honest proposal.</t>
    </r>
  </si>
  <si>
    <r>
      <rPr>
        <rFont val="Arial"/>
        <sz val="10"/>
        <b/>
      </rPr>
      <t>TERM:</t>
    </r>
    <r>
      <rPr>
        <rFont val="Arial"/>
        <sz val="10"/>
      </rPr>
      <t xml:space="preserve"> ADAL ŪİAT(АДАЛ ҰЯТ) — honest shame/conscience; pure inner uprightness [KED, SZK] (lemma: ұят)
</t>
    </r>
    <r>
      <rPr>
        <rFont val="Arial"/>
        <sz val="10"/>
        <b/>
      </rPr>
      <t>PASSAGE:</t>
    </r>
    <r>
      <rPr>
        <rFont val="Arial"/>
        <sz val="10"/>
      </rPr>
      <t xml:space="preserve"> Жоқ, Скарлетт, адал ұятымның шын ұсынысы.
</t>
    </r>
    <r>
      <rPr>
        <rFont val="Arial"/>
        <sz val="10"/>
        <b/>
      </rPr>
      <t>TRANS:</t>
    </r>
    <r>
      <rPr>
        <rFont val="Arial"/>
        <sz val="10"/>
      </rPr>
      <t xml:space="preserve"> Joq, Skarlett, adal ūiatymnyñ şyn ūsynysy.
</t>
    </r>
    <r>
      <rPr>
        <rFont val="Arial"/>
        <sz val="10"/>
        <b/>
      </rPr>
      <t>TRANSLATION:</t>
    </r>
    <r>
      <rPr>
        <rFont val="Arial"/>
        <sz val="10"/>
      </rPr>
      <t xml:space="preserve"> No, Scarlett, it is the sincere proposal of my honest conscience.</t>
    </r>
  </si>
</sst>
</file>

<file path=xl/styles.xml><?xml version="1.0" encoding="utf-8"?>
<x:styleSheet xmlns:x="http://schemas.openxmlformats.org/spreadsheetml/2006/main">
  <x:numFmts count="1">
    <x:numFmt numFmtId="200" formatCode="0"/>
  </x:numFmts>
  <x:fonts count="19">
    <x:font>
      <x:sz val="11"/>
      <x:color theme="1"/>
      <x:name val="Calibri"/>
    </x:font>
    <x:font>
      <x:b/>
      <x:sz val="10"/>
      <x:color theme="1"/>
      <x:name val="Arial"/>
    </x:font>
    <x:font>
      <x:b/>
      <x:sz val="11"/>
      <x:color theme="1"/>
      <x:name val="Arial"/>
    </x:font>
    <x:font>
      <x:b/>
      <x:i/>
      <x:sz val="10"/>
      <x:color theme="1"/>
      <x:name val="Arial"/>
    </x:font>
    <x:font>
      <x:sz val="11"/>
      <x:color theme="1"/>
      <x:name val="Calibri"/>
    </x:font>
    <x:font>
      <x:sz val="10"/>
      <x:color theme="1"/>
      <x:name val="Arial"/>
    </x:font>
    <x:font>
      <x:sz val="11"/>
      <x:color theme="1"/>
      <x:name val="Arial"/>
    </x:font>
    <x:font>
      <x:b/>
      <x:sz val="13"/>
      <x:color theme="1"/>
      <x:name val="Arial"/>
    </x:font>
    <x:font>
      <x:i/>
      <x:sz val="9"/>
      <x:color rgb="FF666666"/>
      <x:name val="Arial"/>
    </x:font>
    <x:font>
      <x:b/>
      <x:sz val="11"/>
      <x:color rgb="FF305496"/>
      <x:name val="Arial"/>
    </x:font>
    <x:font>
      <x:b/>
      <x:sz val="11"/>
      <x:color rgb="FFFFFFFF"/>
      <x:name val="Arial"/>
    </x:font>
    <x:font>
      <x:b/>
      <x:sz val="11"/>
      <x:color theme="1"/>
      <x:name val="Arial"/>
    </x:font>
    <x:font>
      <x:sz val="11"/>
      <x:color theme="1"/>
      <x:name val="Arial"/>
    </x:font>
    <x:font>
      <x:b/>
      <x:sz val="11"/>
      <x:color theme="1"/>
      <x:name val="Arial"/>
    </x:font>
    <x:font>
      <x:sz val="11"/>
      <x:color theme="1"/>
      <x:name val="Arial"/>
    </x:font>
    <x:font>
      <x:sz val="10"/>
      <x:color theme="1"/>
      <x:name val="Arial"/>
    </x:font>
    <x:font>
      <x:sz val="10"/>
      <x:color theme="1"/>
      <x:name val="Arial"/>
    </x:font>
    <x:font>
      <x:sz val="11"/>
      <x:color theme="1"/>
      <x:name val="Arial"/>
    </x:font>
    <x:font>
      <x:sz val="11"/>
      <x:color theme="1"/>
      <x:name val="Arial"/>
    </x:font>
  </x:fonts>
  <x:fills count="8">
    <x:fill>
      <x:patternFill patternType="none"/>
    </x:fill>
    <x:fill>
      <x:patternFill patternType="gray125"/>
    </x:fill>
    <x:fill>
      <x:patternFill patternType="solid">
        <x:fgColor rgb="FFD9E1F2"/>
      </x:patternFill>
    </x:fill>
    <x:fill>
      <x:patternFill patternType="solid">
        <x:fgColor rgb="FFF2F2F2"/>
      </x:patternFill>
    </x:fill>
    <x:fill>
      <x:patternFill patternType="solid">
        <x:fgColor rgb="FF305496"/>
      </x:patternFill>
    </x:fill>
    <x:fill>
      <x:patternFill patternType="solid">
        <x:fgColor rgb="FFEDF1FA"/>
      </x:patternFill>
    </x:fill>
    <x:fill>
      <x:patternFill patternType="solid">
        <x:fgColor rgb="FF305496"/>
      </x:patternFill>
    </x:fill>
    <x:fill>
      <x:patternFill patternType="solid">
        <x:fgColor rgb="FF305496"/>
      </x:patternFill>
    </x:fill>
  </x:fills>
  <x:borders count="4">
    <x:border/>
    <x:border>
      <x:left style="thin">
        <x:color rgb="FF000000"/>
      </x:left>
      <x:right style="thin">
        <x:color rgb="FF000000"/>
      </x:right>
      <x:top style="thin">
        <x:color rgb="FF000000"/>
      </x:top>
      <x:bottom style="thin">
        <x:color rgb="FF000000"/>
      </x:bottom>
    </x:border>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66">
    <x:xf numFmtId="0" fontId="0" fillId="0" borderId="0" xfId="0" applyFont="1" applyAlignment="1"/>
    <x:xf numFmtId="0" fontId="1" fillId="2" borderId="1" xfId="0" applyFont="1" applyFill="1" applyBorder="1" applyAlignment="1">
      <x:alignment horizontal="center" wrapText="1"/>
    </x:xf>
    <x:xf numFmtId="0" fontId="2" fillId="2" borderId="1" xfId="0" applyFont="1" applyFill="1" applyBorder="1" applyAlignment="1">
      <x:alignment horizontal="center" wrapText="1"/>
    </x:xf>
    <x:xf numFmtId="0" fontId="3" fillId="3" borderId="2" xfId="0" applyFont="1" applyFill="1" applyBorder="1"/>
    <x:xf numFmtId="0" fontId="4" fillId="3" borderId="1" xfId="0" applyFont="1" applyFill="1" applyBorder="1"/>
    <x:xf numFmtId="0" fontId="4" fillId="3" borderId="1" xfId="0" applyFont="1" applyFill="1" applyBorder="1" applyAlignment="1"/>
    <x:xf numFmtId="0" fontId="5" fillId="0" borderId="1" xfId="0" applyFont="1" applyBorder="1"/>
    <x:xf numFmtId="0" fontId="5" fillId="0" borderId="1" xfId="0" applyFont="1" applyBorder="1" applyAlignment="1">
      <x:alignment wrapText="1"/>
    </x:xf>
    <x:xf numFmtId="0" fontId="6" fillId="0" borderId="1" xfId="0" applyFont="1" applyBorder="1" applyAlignment="1">
      <x:alignment wrapText="1"/>
    </x:xf>
    <x:xf numFmtId="0" fontId="4" fillId="0" borderId="0" xfId="0" applyFont="1" applyAlignment="1"/>
    <x:xf numFmtId="0" fontId="4" fillId="0" borderId="0" xfId="0" applyFont="1"/>
    <x:xf numFmtId="0" fontId="7" fillId="0" borderId="0" xfId="0" applyFont="1"/>
    <x:xf numFmtId="0" fontId="8" fillId="0" borderId="0" xfId="0" applyFont="1"/>
    <x:xf numFmtId="0" fontId="9" fillId="0" borderId="0" xfId="0" applyFont="1"/>
    <x:xf numFmtId="0" fontId="10" fillId="4" borderId="3" xfId="0" applyFont="1" applyFill="1" applyBorder="1" applyAlignment="1">
      <x:alignment horizontal="center"/>
    </x:xf>
    <x:xf numFmtId="0" fontId="11" fillId="0" borderId="3" xfId="0" applyFont="1" applyBorder="1"/>
    <x:xf numFmtId="0" fontId="12" fillId="0" borderId="3" xfId="0" applyFont="1" applyBorder="1" applyAlignment="1">
      <x:alignment horizontal="center"/>
    </x:xf>
    <x:xf numFmtId="0" fontId="11" fillId="2" borderId="3" xfId="0" applyFont="1" applyFill="1" applyBorder="1"/>
    <x:xf numFmtId="0" fontId="11" fillId="2" borderId="3" xfId="0" applyFont="1" applyFill="1" applyBorder="1" applyAlignment="1">
      <x:alignment horizontal="center"/>
    </x:xf>
    <x:xf numFmtId="0" fontId="12" fillId="0" borderId="3" xfId="0" applyFont="1" applyBorder="1" applyAlignment="1">
      <x:alignment horizontal="left" vertical="center" wrapText="1"/>
    </x:xf>
    <x:xf numFmtId="0" fontId="11" fillId="0" borderId="3" xfId="0" applyFont="1" applyBorder="1" applyAlignment="1">
      <x:alignment horizontal="left" vertical="center"/>
    </x:xf>
    <x:xf numFmtId="0" fontId="11" fillId="2" borderId="3" xfId="0" applyFont="1" applyFill="1" applyBorder="1" applyAlignment="1">
      <x:alignment horizontal="left" vertical="center"/>
    </x:xf>
    <x:xf numFmtId="0" fontId="11" fillId="0" borderId="3" xfId="0" applyFont="1" applyBorder="1" applyAlignment="1">
      <x:alignment horizontal="left" vertical="center" wrapText="1"/>
    </x:xf>
    <x:xf numFmtId="0" fontId="11" fillId="0" borderId="3" xfId="0" applyFont="1" applyBorder="1" applyAlignment="1">
      <x:alignment horizontal="center"/>
    </x:xf>
    <x:xf numFmtId="0" fontId="12" fillId="5" borderId="3" xfId="0" applyFont="1" applyFill="1" applyBorder="1" applyAlignment="1">
      <x:alignment horizontal="left" vertical="center" wrapText="1"/>
    </x:xf>
    <x:xf numFmtId="0" fontId="11" fillId="5" borderId="3" xfId="0" applyFont="1" applyFill="1" applyBorder="1" applyAlignment="1">
      <x:alignment horizontal="center"/>
    </x:xf>
    <x:xf numFmtId="0" fontId="12" fillId="0" borderId="3" xfId="0" applyFont="1" applyBorder="1" applyAlignment="1">
      <x:alignment horizontal="left" vertical="center" wrapText="1"/>
    </x:xf>
    <x:xf numFmtId="0" fontId="12" fillId="5" borderId="3" xfId="0" applyFont="1" applyFill="1" applyBorder="1" applyAlignment="1">
      <x:alignment horizontal="left" vertical="center" wrapText="1"/>
    </x:xf>
    <x:xf numFmtId="0" fontId="6" fillId="0" borderId="0" xfId="0" applyFont="1" applyAlignment="1"/>
    <x:xf numFmtId="0" fontId="6" fillId="0" borderId="0" xfId="0" applyFont="1" applyAlignment="1"/>
    <x:xf numFmtId="0" fontId="8" fillId="0" borderId="0" xfId="0" applyFont="1"/>
    <x:xf numFmtId="0" fontId="0" fillId="0" borderId="0" xfId="0" applyFont="1" applyAlignment="1"/>
    <x:xf numFmtId="0" fontId="14" fillId="0" borderId="1" xfId="0" applyFont="1" applyBorder="1" applyAlignment="1">
      <x:alignment wrapText="1"/>
    </x:xf>
    <x:xf numFmtId="0" fontId="15" fillId="0" borderId="1" xfId="0" applyFont="1" applyBorder="1" applyAlignment="1">
      <x:alignment wrapText="1"/>
    </x:xf>
    <x:xf numFmtId="0" fontId="2" fillId="0" borderId="1" xfId="0" applyFont="1" applyBorder="1" applyAlignment="1">
      <x:alignment wrapText="1"/>
    </x:xf>
    <x:xf numFmtId="0" fontId="4" fillId="0" borderId="0" xfId="0" applyFont="1" applyAlignment="1">
      <x:alignment wrapText="1"/>
    </x:xf>
    <x:xf numFmtId="0" fontId="16" fillId="0" borderId="1" xfId="0" applyNumberFormat="1" applyFont="1" applyFill="1" applyBorder="1" applyAlignment="1">
      <x:alignment wrapText="1"/>
    </x:xf>
    <x:xf numFmtId="0" fontId="16" fillId="3" borderId="1" xfId="0" applyNumberFormat="1" applyFont="1" applyFill="1" applyBorder="1"/>
    <x:xf numFmtId="0" fontId="16" fillId="0" borderId="0" xfId="0" applyNumberFormat="1" applyFont="1" applyFill="1" applyBorder="1" applyAlignment="1">
      <x:alignment wrapText="1"/>
    </x:xf>
    <x:xf numFmtId="0" fontId="16" fillId="3" borderId="1" xfId="0" applyNumberFormat="1" applyFont="1" applyFill="1" applyBorder="1" applyAlignment="1">
      <x:alignment wrapText="1"/>
    </x:xf>
    <x:xf numFmtId="0" fontId="16" fillId="0" borderId="1" xfId="0" applyNumberFormat="1" applyFont="1" applyFill="1" applyBorder="1" applyAlignment="1">
      <x:alignment vertical="top" wrapText="1"/>
    </x:xf>
    <x:xf numFmtId="0" fontId="16" fillId="3" borderId="1" xfId="0" applyNumberFormat="1" applyFont="1" applyFill="1" applyBorder="1" applyAlignment="1">
      <x:alignment vertical="top" wrapText="1"/>
    </x:xf>
    <x:xf numFmtId="0" fontId="16" fillId="0" borderId="0" xfId="0" applyNumberFormat="1" applyFont="1" applyFill="1" applyBorder="1" applyAlignment="1">
      <x:alignment vertical="top" wrapText="1"/>
    </x:xf>
    <x:xf numFmtId="0" fontId="7" fillId="0" borderId="0" xfId="0" applyNumberFormat="1" applyFont="1" applyFill="1" applyBorder="1"/>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horizontal="center"/>
    </x:xf>
    <x:xf numFmtId="0" fontId="10" fillId="6" borderId="0" xfId="0" applyNumberFormat="1" applyFont="1" applyFill="1" applyBorder="1" applyAlignment="1">
      <x:alignment horizontal="center" vertical="center"/>
    </x:xf>
    <x:xf numFmtId="0" fontId="10" fillId="6" borderId="3" xfId="0" applyNumberFormat="1" applyFont="1" applyFill="1" applyBorder="1" applyAlignment="1">
      <x:alignment horizontal="center" vertical="center"/>
    </x:xf>
    <x:xf numFmtId="0" fontId="17" fillId="0" borderId="0" xfId="0" applyNumberFormat="1" applyFont="1" applyFill="1" applyBorder="1"/>
    <x:xf numFmtId="0" fontId="17" fillId="0" borderId="0" xfId="0" applyNumberFormat="1" applyFont="1" applyFill="1" applyBorder="1" applyAlignment="1">
      <x:alignment wrapText="1"/>
    </x:xf>
    <x:xf numFmtId="0" fontId="17" fillId="0" borderId="0"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3"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horizontal="center"/>
    </x:xf>
    <x:xf numFmtId="0" fontId="10" fillId="7" borderId="0" xfId="0" applyNumberFormat="1" applyFont="1" applyFill="1" applyBorder="1" applyAlignment="1">
      <x:alignment horizontal="center" vertical="center"/>
    </x:xf>
    <x:xf numFmtId="0" fontId="10" fillId="7" borderId="3" xfId="0" applyNumberFormat="1" applyFont="1" applyFill="1" applyBorder="1" applyAlignment="1">
      <x:alignment horizontal="center" vertical="center"/>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18" fillId="0" borderId="3" xfId="0" applyNumberFormat="1" applyFont="1" applyFill="1" applyBorder="1" applyAlignment="1">
      <x:alignment vertical="top" wrapText="1"/>
    </x:xf>
  </x:cellXfs>
  <x:cellStyles count="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ce15ae6a4987480a" /><Relationship Type="http://schemas.openxmlformats.org/officeDocument/2006/relationships/theme" Target="/xl/theme/theme1.xml" Id="R6f1d248a113a4198" /><Relationship Type="http://schemas.openxmlformats.org/officeDocument/2006/relationships/sharedStrings" Target="/xl/sharedStrings.xml" Id="Rb19f79fc03254e19" /><Relationship Type="http://schemas.openxmlformats.org/officeDocument/2006/relationships/worksheet" Target="/xl/worksheets/sheet1.xml" Id="R6ecf32df7f954e34" /><Relationship Type="http://schemas.openxmlformats.org/officeDocument/2006/relationships/worksheet" Target="/xl/worksheets/sheet2.xml" Id="R373a01c99a7640d8" /><Relationship Type="http://schemas.openxmlformats.org/officeDocument/2006/relationships/worksheet" Target="/xl/worksheets/sheet3.xml" Id="R6204c74c6e1a406f" /><Relationship Type="http://schemas.openxmlformats.org/officeDocument/2006/relationships/worksheet" Target="/xl/worksheets/sheet4.xml" Id="R53cedeaeff6c48db" /><Relationship Type="http://schemas.openxmlformats.org/officeDocument/2006/relationships/worksheet" Target="/xl/worksheets/sheet5.xml" Id="R866d4dda790a4284" /><Relationship Type="http://schemas.openxmlformats.org/officeDocument/2006/relationships/worksheet" Target="/xl/worksheets/sheet6.xml" Id="Rc32c9d0678d940f1" /><Relationship Type="http://schemas.openxmlformats.org/officeDocument/2006/relationships/worksheet" Target="/xl/worksheets/sheet7.xml" Id="R7d34921d50ab4ba8" /><Relationship Type="http://schemas.openxmlformats.org/officeDocument/2006/relationships/worksheet" Target="/xl/worksheets/sheet8.xml" Id="Rc98ac390684a440f" /><Relationship Type="http://schemas.openxmlformats.org/officeDocument/2006/relationships/worksheet" Target="/xl/worksheets/sheet9.xml" Id="R74ddc5bfb3c8478f" /><Relationship Type="http://schemas.openxmlformats.org/officeDocument/2006/relationships/worksheet" Target="/xl/worksheets/sheet10.xml" Id="Rde8cccbe0b2c49c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FormatPr defaultColWidth="14.453125" defaultRowHeight="15"/>
  <cols>
    <col min="1" max="1" width="5" customWidth="1"/>
    <col min="2" max="2" width="30" customWidth="1"/>
    <col min="3" max="3" width="8" customWidth="1"/>
    <col min="4" max="4" width="30" customWidth="1"/>
    <col min="5" max="5" width="50" customWidth="1"/>
    <col min="6" max="6" width="18" customWidth="1"/>
    <col min="7" max="7" width="25" customWidth="1"/>
    <col min="8" max="8" width="50" customWidth="1"/>
    <col min="9" max="9" width="58.08984375" customWidth="1"/>
    <col min="10" max="25" width="8.54296875" customWidth="1"/>
  </cols>
  <sheetData>
    <row r="1" ht="14.25" customHeight="1">
      <c r="A1" s="1" t="s">
        <v>0</v>
      </c>
      <c r="B1" s="1" t="s">
        <v>1</v>
      </c>
      <c r="C1" s="1" t="s">
        <v>2</v>
      </c>
      <c r="D1" s="1" t="s">
        <v>3</v>
      </c>
      <c r="E1" s="1" t="s">
        <v>4</v>
      </c>
      <c r="F1" s="1" t="s">
        <v>5</v>
      </c>
      <c r="G1" s="1" t="s">
        <v>6</v>
      </c>
      <c r="H1" s="1" t="s">
        <v>7</v>
      </c>
      <c r="I1" s="2" t="s">
        <v>8</v>
      </c>
    </row>
    <row r="2" ht="14.25" customHeight="1">
      <c r="A2" s="3" t="s">
        <v>9</v>
      </c>
      <c r="B2" s="4"/>
      <c r="C2" s="4"/>
      <c r="D2" s="4"/>
      <c r="E2" s="4"/>
      <c r="F2" s="4"/>
      <c r="G2" s="4"/>
      <c r="H2" s="4"/>
      <c r="I2" s="5"/>
    </row>
    <row r="3" ht="150.75" customHeight="1">
      <c r="A3" s="6">
        <v>1</v>
      </c>
      <c r="B3" s="7" t="s">
        <v>10</v>
      </c>
      <c r="C3" s="6" t="s">
        <v>11</v>
      </c>
      <c r="D3" s="7" t="s">
        <v>12</v>
      </c>
      <c r="E3" s="7" t="s">
        <v>13</v>
      </c>
      <c r="F3" s="6" t="s">
        <v>14</v>
      </c>
      <c r="G3" s="7" t="s">
        <v>15</v>
      </c>
      <c r="H3" s="40" t="s">
        <v>960</v>
      </c>
      <c r="I3" s="40" t="s">
        <v>961</v>
      </c>
    </row>
    <row r="4" ht="113.25" customHeight="1">
      <c r="A4" s="6">
        <v>2</v>
      </c>
      <c r="B4" s="7" t="s">
        <v>10</v>
      </c>
      <c r="C4" s="6" t="s">
        <v>11</v>
      </c>
      <c r="D4" s="7" t="s">
        <v>18</v>
      </c>
      <c r="E4" s="7" t="s">
        <v>19</v>
      </c>
      <c r="F4" s="6" t="s">
        <v>14</v>
      </c>
      <c r="G4" s="7" t="s">
        <v>15</v>
      </c>
      <c r="H4" s="40" t="s">
        <v>962</v>
      </c>
      <c r="I4" s="40" t="s">
        <v>963</v>
      </c>
    </row>
    <row r="5" ht="113.25" customHeight="1">
      <c r="A5" s="6">
        <v>3</v>
      </c>
      <c r="B5" s="7" t="s">
        <v>10</v>
      </c>
      <c r="C5" s="6" t="s">
        <v>22</v>
      </c>
      <c r="D5" s="7" t="s">
        <v>23</v>
      </c>
      <c r="E5" s="7" t="s">
        <v>24</v>
      </c>
      <c r="F5" s="6" t="s">
        <v>14</v>
      </c>
      <c r="G5" s="7" t="s">
        <v>15</v>
      </c>
      <c r="H5" s="40" t="s">
        <v>964</v>
      </c>
      <c r="I5" s="40" t="s">
        <v>965</v>
      </c>
    </row>
    <row r="6" ht="100.5" customHeight="1">
      <c r="A6" s="6">
        <v>4</v>
      </c>
      <c r="B6" s="7" t="s">
        <v>10</v>
      </c>
      <c r="C6" s="6" t="s">
        <v>22</v>
      </c>
      <c r="D6" s="7" t="s">
        <v>27</v>
      </c>
      <c r="E6" s="7" t="s">
        <v>28</v>
      </c>
      <c r="F6" s="6" t="s">
        <v>14</v>
      </c>
      <c r="G6" s="7" t="s">
        <v>15</v>
      </c>
      <c r="H6" s="40" t="s">
        <v>966</v>
      </c>
      <c r="I6" s="40" t="str">
        <v>TERM: ūialyp (ұялып) — feeling ashamed; embarrassed [KED, SZK] (lemma: ūialu / ұялу — to feel ashamed; to feel shy; to be embarrassed)
PASSAGE: Скарлетт өзінің кенеттен тұтанып кеткеніне ұялып, терең күрсінді.
TRANS: Skarlett özınıñ kenetten tūtanyp ketkenıne ūialyp, tereñ kürsındı.
TRANSLATION: Scarlett, ashamed of her sudden outburst, sighed deeply.</v>
      </c>
    </row>
    <row r="7" ht="150.75" customHeight="1">
      <c r="A7" s="6">
        <v>5</v>
      </c>
      <c r="B7" s="7" t="s">
        <v>10</v>
      </c>
      <c r="C7" s="6" t="s">
        <v>22</v>
      </c>
      <c r="D7" s="7" t="s">
        <v>30</v>
      </c>
      <c r="E7" s="7" t="s">
        <v>31</v>
      </c>
      <c r="F7" s="6" t="s">
        <v>14</v>
      </c>
      <c r="G7" s="7" t="s">
        <v>15</v>
      </c>
      <c r="H7" s="40" t="s">
        <v>967</v>
      </c>
      <c r="I7" s="40" t="s">
        <v>968</v>
      </c>
    </row>
    <row r="8" ht="225.75" customHeight="1">
      <c r="A8" s="6">
        <v>6</v>
      </c>
      <c r="B8" s="7" t="s">
        <v>10</v>
      </c>
      <c r="C8" s="6" t="s">
        <v>22</v>
      </c>
      <c r="D8" s="7" t="s">
        <v>34</v>
      </c>
      <c r="E8" s="7" t="s">
        <v>35</v>
      </c>
      <c r="F8" s="6" t="s">
        <v>14</v>
      </c>
      <c r="G8" s="7" t="s">
        <v>15</v>
      </c>
      <c r="H8" s="40" t="s">
        <v>969</v>
      </c>
      <c r="I8" s="40" t="str">
        <v>TERM: ŪIALYS TABŪ (ҰЯЛЫС ТАБУ) — to experience shame or embarrassment [KED, SZK] (lemma: ұялыс)
PASSAGE: Бірақ ол көп ұзамай ұялыс тапты.
TRANS:  Bıraq ol köp ūzamai ūialys tapty.
TRANSLATION: But before long she felt embarrassment / a sense of shame.</v>
      </c>
    </row>
    <row r="9" ht="63" customHeight="1">
      <c r="A9" s="6">
        <v>7</v>
      </c>
      <c r="B9" s="7" t="s">
        <v>10</v>
      </c>
      <c r="C9" s="6" t="s">
        <v>37</v>
      </c>
      <c r="D9" s="7" t="s">
        <v>38</v>
      </c>
      <c r="E9" s="7" t="s">
        <v>39</v>
      </c>
      <c r="F9" s="6" t="s">
        <v>14</v>
      </c>
      <c r="G9" s="7" t="s">
        <v>40</v>
      </c>
      <c r="H9" s="40" t="s">
        <v>970</v>
      </c>
      <c r="I9" s="40" t="s">
        <v>971</v>
      </c>
    </row>
    <row r="10" ht="150.75" customHeight="1">
      <c r="A10" s="6">
        <v>8</v>
      </c>
      <c r="B10" s="7" t="s">
        <v>10</v>
      </c>
      <c r="C10" s="6" t="s">
        <v>37</v>
      </c>
      <c r="D10" s="7" t="s">
        <v>43</v>
      </c>
      <c r="E10" s="7" t="s">
        <v>44</v>
      </c>
      <c r="F10" s="6" t="s">
        <v>14</v>
      </c>
      <c r="G10" s="7" t="s">
        <v>15</v>
      </c>
      <c r="H10" s="40" t="s">
        <v>972</v>
      </c>
      <c r="I10" s="40" t="s">
        <v>973</v>
      </c>
    </row>
    <row r="11" ht="88.5" customHeight="1">
      <c r="A11" s="6">
        <v>9</v>
      </c>
      <c r="B11" s="7" t="s">
        <v>10</v>
      </c>
      <c r="C11" s="6" t="s">
        <v>37</v>
      </c>
      <c r="D11" s="7" t="s">
        <v>47</v>
      </c>
      <c r="E11" s="7" t="s">
        <v>48</v>
      </c>
      <c r="F11" s="6" t="s">
        <v>14</v>
      </c>
      <c r="G11" s="7" t="s">
        <v>40</v>
      </c>
      <c r="H11" s="40" t="s">
        <v>974</v>
      </c>
      <c r="I11" s="40" t="s">
        <v>975</v>
      </c>
    </row>
    <row r="12" ht="150.75" customHeight="1">
      <c r="A12" s="6">
        <v>10</v>
      </c>
      <c r="B12" s="7" t="s">
        <v>10</v>
      </c>
      <c r="C12" s="6" t="s">
        <v>37</v>
      </c>
      <c r="D12" s="7" t="s">
        <v>51</v>
      </c>
      <c r="E12" s="7" t="s">
        <v>52</v>
      </c>
      <c r="F12" s="6" t="s">
        <v>14</v>
      </c>
      <c r="G12" s="7" t="s">
        <v>15</v>
      </c>
      <c r="H12" s="40" t="s">
        <v>976</v>
      </c>
      <c r="I12" s="40" t="str">
        <v>TERM: Ø — non-lexical somatic rendering; shame is expressed through tears
PASSAGE: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TRANS: Eşlidıñ ünınde bır nalanyñ belgısı bar sekıldı, jazylmağan jaranyñ qazır de janyna batyp tūrğany baiqalğanda, Skarlettıñ közınen jas tamşylary ytqyp şyğyp, keudesıne tyrs-tyrs tamdy.
TRANSLATION: In Ashley's voice there was, as it were, a sign of grievance — it could be felt that the unhealed wound was hurting his soul even now — and tears of shame burst from Scarlett's eyes and dripped onto her chest.</v>
      </c>
    </row>
    <row r="13" ht="113.25" customHeight="1">
      <c r="A13" s="6">
        <v>11</v>
      </c>
      <c r="B13" s="7" t="s">
        <v>10</v>
      </c>
      <c r="C13" s="6" t="s">
        <v>37</v>
      </c>
      <c r="D13" s="7" t="s">
        <v>54</v>
      </c>
      <c r="E13" s="7" t="s">
        <v>55</v>
      </c>
      <c r="F13" s="6" t="s">
        <v>14</v>
      </c>
      <c r="G13" s="7" t="s">
        <v>15</v>
      </c>
      <c r="H13" s="40" t="s">
        <v>977</v>
      </c>
      <c r="I13" s="40" t="s">
        <v>978</v>
      </c>
    </row>
    <row r="14" ht="175.5" customHeight="1">
      <c r="A14" s="6">
        <v>12</v>
      </c>
      <c r="B14" s="7" t="s">
        <v>10</v>
      </c>
      <c r="C14" s="6" t="s">
        <v>37</v>
      </c>
      <c r="D14" s="7" t="s">
        <v>58</v>
      </c>
      <c r="E14" s="7" t="s">
        <v>59</v>
      </c>
      <c r="F14" s="6" t="s">
        <v>14</v>
      </c>
      <c r="G14" s="7" t="s">
        <v>15</v>
      </c>
      <c r="H14" s="40" t="s">
        <v>979</v>
      </c>
      <c r="I14" s="40" t="s">
        <v>980</v>
      </c>
    </row>
    <row r="15" ht="201" customHeight="1">
      <c r="A15" s="6">
        <v>13</v>
      </c>
      <c r="B15" s="7" t="s">
        <v>10</v>
      </c>
      <c r="C15" s="6" t="s">
        <v>62</v>
      </c>
      <c r="D15" s="7" t="s">
        <v>63</v>
      </c>
      <c r="E15" s="7" t="s">
        <v>64</v>
      </c>
      <c r="F15" s="6" t="s">
        <v>14</v>
      </c>
      <c r="G15" s="7" t="s">
        <v>15</v>
      </c>
      <c r="H15" s="40" t="s">
        <v>981</v>
      </c>
      <c r="I15" s="40" t="str">
        <v>TERM: Ø — omission; English shamefaced is not lexicalized
PASSAGE: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TRANS: Özıne degen mahabbat pen yqylastyñ meiırımın şaşa, jarqyrağan közıne qarap tūryp, būdan bylaiğy ömırınde özınıñ jan tynyştyğy bola qoimasyn anyq sezdı de, jüregı mūzdap, ışı-bauyry aiağynyñ basyna tüsıp ketkendei boldy.
TRANSLATION: Looking into [Melanie's] eyes radiating the warmth of love and graciousness toward her, she clearly sensed that henceforth there would be no peace of soul for her in life, and her heart froze, her insides falling to her feet.</v>
      </c>
    </row>
    <row r="16" ht="225.75" customHeight="1">
      <c r="A16" s="6">
        <v>14</v>
      </c>
      <c r="B16" s="7" t="s">
        <v>10</v>
      </c>
      <c r="C16" s="6" t="s">
        <v>62</v>
      </c>
      <c r="D16" s="7" t="s">
        <v>66</v>
      </c>
      <c r="E16" s="7" t="s">
        <v>67</v>
      </c>
      <c r="F16" s="6" t="s">
        <v>14</v>
      </c>
      <c r="G16" s="7" t="s">
        <v>15</v>
      </c>
      <c r="H16" s="40" t="s">
        <v>982</v>
      </c>
      <c r="I16" s="40" t="s">
        <v>983</v>
      </c>
    </row>
    <row r="17" ht="163.5" customHeight="1">
      <c r="A17" s="6">
        <v>15</v>
      </c>
      <c r="B17" s="7" t="s">
        <v>10</v>
      </c>
      <c r="C17" s="6" t="s">
        <v>62</v>
      </c>
      <c r="D17" s="7" t="s">
        <v>70</v>
      </c>
      <c r="E17" s="7" t="s">
        <v>71</v>
      </c>
      <c r="F17" s="6" t="s">
        <v>14</v>
      </c>
      <c r="G17" s="7" t="s">
        <v>15</v>
      </c>
      <c r="H17" s="40" t="s">
        <v>984</v>
      </c>
      <c r="I17" s="40" t="s">
        <v>985</v>
      </c>
    </row>
    <row r="18" ht="201" customHeight="1">
      <c r="A18" s="6">
        <v>16</v>
      </c>
      <c r="B18" s="7" t="s">
        <v>10</v>
      </c>
      <c r="C18" s="6" t="s">
        <v>62</v>
      </c>
      <c r="D18" s="7" t="s">
        <v>74</v>
      </c>
      <c r="E18" s="7" t="s">
        <v>75</v>
      </c>
      <c r="F18" s="6" t="s">
        <v>14</v>
      </c>
      <c r="G18" s="7" t="s">
        <v>15</v>
      </c>
      <c r="H18" s="40" t="s">
        <v>986</v>
      </c>
      <c r="I18" s="40" t="s">
        <v>987</v>
      </c>
    </row>
    <row r="19" ht="150.75" customHeight="1">
      <c r="A19" s="6">
        <v>17</v>
      </c>
      <c r="B19" s="7" t="s">
        <v>10</v>
      </c>
      <c r="C19" s="6" t="s">
        <v>62</v>
      </c>
      <c r="D19" s="7" t="s">
        <v>78</v>
      </c>
      <c r="E19" s="7" t="s">
        <v>79</v>
      </c>
      <c r="F19" s="6" t="s">
        <v>14</v>
      </c>
      <c r="G19" s="7" t="s">
        <v>15</v>
      </c>
      <c r="H19" s="40" t="s">
        <v>988</v>
      </c>
      <c r="I19" s="40" t="s">
        <v>989</v>
      </c>
    </row>
    <row r="20" ht="100.5" customHeight="1">
      <c r="A20" s="6">
        <v>18</v>
      </c>
      <c r="B20" s="7" t="s">
        <v>10</v>
      </c>
      <c r="C20" s="6" t="s">
        <v>37</v>
      </c>
      <c r="D20" s="7" t="s">
        <v>82</v>
      </c>
      <c r="E20" s="7" t="s">
        <v>83</v>
      </c>
      <c r="F20" s="6" t="s">
        <v>84</v>
      </c>
      <c r="G20" s="7" t="s">
        <v>40</v>
      </c>
      <c r="H20" s="40" t="s">
        <v>990</v>
      </c>
      <c r="I20" s="40" t="s">
        <v>991</v>
      </c>
    </row>
    <row r="21" ht="225.75" customHeight="1">
      <c r="A21" s="6">
        <v>19</v>
      </c>
      <c r="B21" s="7" t="s">
        <v>10</v>
      </c>
      <c r="C21" s="6" t="s">
        <v>62</v>
      </c>
      <c r="D21" s="7" t="s">
        <v>87</v>
      </c>
      <c r="E21" s="7" t="s">
        <v>88</v>
      </c>
      <c r="F21" s="6" t="s">
        <v>89</v>
      </c>
      <c r="G21" s="7" t="s">
        <v>15</v>
      </c>
      <c r="H21" s="40" t="s">
        <v>992</v>
      </c>
      <c r="I21" s="40" t="s">
        <v>993</v>
      </c>
    </row>
    <row r="22" ht="138" customHeight="1">
      <c r="A22" s="6">
        <v>20</v>
      </c>
      <c r="B22" s="7" t="s">
        <v>10</v>
      </c>
      <c r="C22" s="6" t="s">
        <v>92</v>
      </c>
      <c r="D22" s="7" t="s">
        <v>93</v>
      </c>
      <c r="E22" s="7" t="s">
        <v>94</v>
      </c>
      <c r="F22" s="6" t="s">
        <v>95</v>
      </c>
      <c r="G22" s="7" t="s">
        <v>15</v>
      </c>
      <c r="H22" s="40" t="s">
        <v>994</v>
      </c>
      <c r="I22" s="40" t="s">
        <v>995</v>
      </c>
    </row>
    <row r="23" ht="88.5" customHeight="1">
      <c r="A23" s="6">
        <v>21</v>
      </c>
      <c r="B23" s="7" t="s">
        <v>10</v>
      </c>
      <c r="C23" s="6" t="s">
        <v>37</v>
      </c>
      <c r="D23" s="7" t="s">
        <v>98</v>
      </c>
      <c r="E23" s="7" t="s">
        <v>48</v>
      </c>
      <c r="F23" s="6" t="s">
        <v>95</v>
      </c>
      <c r="G23" s="7" t="s">
        <v>99</v>
      </c>
      <c r="H23" s="40" t="s">
        <v>996</v>
      </c>
      <c r="I23" s="40" t="s">
        <v>997</v>
      </c>
    </row>
    <row r="24" ht="126" customHeight="1">
      <c r="A24" s="6">
        <v>22</v>
      </c>
      <c r="B24" s="7" t="s">
        <v>10</v>
      </c>
      <c r="C24" s="6" t="s">
        <v>37</v>
      </c>
      <c r="D24" s="7" t="s">
        <v>101</v>
      </c>
      <c r="E24" s="7" t="s">
        <v>102</v>
      </c>
      <c r="F24" s="6" t="s">
        <v>95</v>
      </c>
      <c r="G24" s="7" t="s">
        <v>15</v>
      </c>
      <c r="H24" s="40" t="s">
        <v>998</v>
      </c>
      <c r="I24" s="40" t="s">
        <v>999</v>
      </c>
    </row>
    <row r="25" ht="150.75" customHeight="1">
      <c r="A25" s="6">
        <v>23</v>
      </c>
      <c r="B25" s="7" t="s">
        <v>10</v>
      </c>
      <c r="C25" s="6" t="s">
        <v>62</v>
      </c>
      <c r="D25" s="7"/>
      <c r="E25" s="7" t="s">
        <v>105</v>
      </c>
      <c r="F25" s="6" t="s">
        <v>106</v>
      </c>
      <c r="G25" s="7" t="s">
        <v>15</v>
      </c>
      <c r="H25" s="40" t="s">
        <v>1000</v>
      </c>
      <c r="I25" s="40" t="s">
        <v>1001</v>
      </c>
    </row>
    <row r="26" ht="100.5" customHeight="1">
      <c r="A26" s="6">
        <v>24</v>
      </c>
      <c r="B26" s="7" t="s">
        <v>10</v>
      </c>
      <c r="C26" s="6" t="s">
        <v>22</v>
      </c>
      <c r="D26" s="7" t="s">
        <v>109</v>
      </c>
      <c r="E26" s="7" t="s">
        <v>110</v>
      </c>
      <c r="F26" s="6" t="s">
        <v>111</v>
      </c>
      <c r="G26" s="7" t="s">
        <v>15</v>
      </c>
      <c r="H26" s="40" t="s">
        <v>1002</v>
      </c>
      <c r="I26" s="40" t="s">
        <v>1003</v>
      </c>
    </row>
    <row r="27" ht="113.25" customHeight="1">
      <c r="A27" s="6">
        <v>25</v>
      </c>
      <c r="B27" s="7" t="s">
        <v>10</v>
      </c>
      <c r="C27" s="6" t="s">
        <v>22</v>
      </c>
      <c r="D27" s="7" t="s">
        <v>114</v>
      </c>
      <c r="E27" s="7" t="s">
        <v>115</v>
      </c>
      <c r="F27" s="6" t="s">
        <v>116</v>
      </c>
      <c r="G27" s="7" t="s">
        <v>15</v>
      </c>
      <c r="H27" s="40" t="s">
        <v>1004</v>
      </c>
      <c r="I27" s="40" t="str">
        <v>TERM: ÖZIN-ÖZI KEŞIRMEU (ӨЗІН-ӨЗІ КЕШІРМЕУ) — not to forgive oneself [KED, SZK]; non-lexical rendering of shame
PASSAGE: Скарлетт берген ақшаны жұмсаса, Порк өзін-өзі кешірмес еді.
TRANS: Skarlett bergen aqşany jūmsasa, Pork özın-özı keşırmes edı.
TRANSLATION: If he had spent the money Scarlett gave him, Pork would not forgive himself.</v>
      </c>
    </row>
    <row r="28" ht="188.25" customHeight="1">
      <c r="A28" s="6">
        <v>26</v>
      </c>
      <c r="B28" s="7" t="s">
        <v>118</v>
      </c>
      <c r="C28" s="6" t="s">
        <v>92</v>
      </c>
      <c r="D28" s="7" t="s">
        <v>119</v>
      </c>
      <c r="E28" s="7" t="s">
        <v>120</v>
      </c>
      <c r="F28" s="6" t="s">
        <v>14</v>
      </c>
      <c r="G28" s="7" t="s">
        <v>15</v>
      </c>
      <c r="H28" s="40" t="s">
        <v>1005</v>
      </c>
      <c r="I28" s="40" t="s">
        <v>1006</v>
      </c>
    </row>
    <row r="29" ht="138" customHeight="1">
      <c r="A29" s="6">
        <v>27</v>
      </c>
      <c r="B29" s="7" t="s">
        <v>118</v>
      </c>
      <c r="C29" s="6" t="s">
        <v>37</v>
      </c>
      <c r="D29" s="7" t="s">
        <v>123</v>
      </c>
      <c r="E29" s="7" t="s">
        <v>124</v>
      </c>
      <c r="F29" s="6" t="s">
        <v>14</v>
      </c>
      <c r="G29" s="7" t="s">
        <v>15</v>
      </c>
      <c r="H29" s="40" t="s">
        <v>1007</v>
      </c>
      <c r="I29" s="40" t="s">
        <v>1008</v>
      </c>
    </row>
    <row r="30" ht="113.25" customHeight="1">
      <c r="A30" s="6">
        <v>28</v>
      </c>
      <c r="B30" s="7" t="s">
        <v>118</v>
      </c>
      <c r="C30" s="6" t="s">
        <v>62</v>
      </c>
      <c r="D30" s="7" t="s">
        <v>127</v>
      </c>
      <c r="E30" s="7" t="s">
        <v>128</v>
      </c>
      <c r="F30" s="6" t="s">
        <v>14</v>
      </c>
      <c r="G30" s="7" t="s">
        <v>15</v>
      </c>
      <c r="H30" s="40" t="s">
        <v>1009</v>
      </c>
      <c r="I30" s="40" t="str">
        <v>TERM: Ø — omission; English shamelessly is not lexicalized
PASSAGE: Мұның бәрін кімге айтқан болса да, кейін қайтарып ала салар еді, айтқанынан қайта танар еді, тек Реттің алдында емес.
TRANS: Mūnyñ bärın kımge aitqan bolsa da, keiın qaitaryp ala salar edı, aitqanynan qaita tanar edı, tek Rettıñ aldynda emes.
TRANSLATION: Whoever she had said all this to, she would have taken it back, would have recanted — except in front of Rhett.</v>
      </c>
    </row>
    <row r="31" ht="138" customHeight="1">
      <c r="A31" s="6">
        <v>29</v>
      </c>
      <c r="B31" s="7" t="s">
        <v>130</v>
      </c>
      <c r="C31" s="6" t="s">
        <v>11</v>
      </c>
      <c r="D31" s="7" t="s">
        <v>131</v>
      </c>
      <c r="E31" s="7" t="s">
        <v>132</v>
      </c>
      <c r="F31" s="6" t="s">
        <v>14</v>
      </c>
      <c r="G31" s="7" t="s">
        <v>15</v>
      </c>
      <c r="H31" s="40" t="s">
        <v>1010</v>
      </c>
      <c r="I31" s="40" t="s">
        <v>1011</v>
      </c>
    </row>
    <row r="32" ht="201" customHeight="1">
      <c r="A32" s="6">
        <v>30</v>
      </c>
      <c r="B32" s="7" t="s">
        <v>130</v>
      </c>
      <c r="C32" s="6" t="s">
        <v>11</v>
      </c>
      <c r="D32" s="7" t="s">
        <v>131</v>
      </c>
      <c r="E32" s="7" t="s">
        <v>135</v>
      </c>
      <c r="F32" s="6" t="s">
        <v>14</v>
      </c>
      <c r="G32" s="7" t="s">
        <v>15</v>
      </c>
      <c r="H32" s="40" t="s">
        <v>1012</v>
      </c>
      <c r="I32" s="40" t="s">
        <v>1013</v>
      </c>
    </row>
    <row r="33" ht="175.5" customHeight="1">
      <c r="A33" s="6">
        <v>31</v>
      </c>
      <c r="B33" s="7" t="s">
        <v>138</v>
      </c>
      <c r="C33" s="6" t="s">
        <v>11</v>
      </c>
      <c r="D33" s="7" t="s">
        <v>139</v>
      </c>
      <c r="E33" s="7" t="s">
        <v>140</v>
      </c>
      <c r="F33" s="6" t="s">
        <v>14</v>
      </c>
      <c r="G33" s="7" t="s">
        <v>15</v>
      </c>
      <c r="H33" s="40" t="s">
        <v>1014</v>
      </c>
      <c r="I33" s="40" t="s">
        <v>1015</v>
      </c>
    </row>
    <row r="34" ht="100.5" customHeight="1">
      <c r="A34" s="6">
        <v>32</v>
      </c>
      <c r="B34" s="7" t="s">
        <v>143</v>
      </c>
      <c r="C34" s="6" t="s">
        <v>92</v>
      </c>
      <c r="D34" s="7" t="s">
        <v>144</v>
      </c>
      <c r="E34" s="7" t="s">
        <v>145</v>
      </c>
      <c r="F34" s="6" t="s">
        <v>14</v>
      </c>
      <c r="G34" s="7" t="s">
        <v>15</v>
      </c>
      <c r="H34" s="40" t="s">
        <v>1016</v>
      </c>
      <c r="I34" s="40" t="s">
        <v>1017</v>
      </c>
    </row>
    <row r="35" ht="138" customHeight="1">
      <c r="A35" s="6">
        <v>33</v>
      </c>
      <c r="B35" s="7" t="s">
        <v>138</v>
      </c>
      <c r="C35" s="6" t="s">
        <v>92</v>
      </c>
      <c r="D35" s="7" t="s">
        <v>148</v>
      </c>
      <c r="E35" s="7" t="s">
        <v>149</v>
      </c>
      <c r="F35" s="6" t="s">
        <v>14</v>
      </c>
      <c r="G35" s="7" t="s">
        <v>15</v>
      </c>
      <c r="H35" s="40" t="s">
        <v>1018</v>
      </c>
      <c r="I35" s="40" t="s">
        <v>1019</v>
      </c>
    </row>
    <row r="36" ht="88.5" customHeight="1">
      <c r="A36" s="6">
        <v>34</v>
      </c>
      <c r="B36" s="7" t="s">
        <v>143</v>
      </c>
      <c r="C36" s="6" t="s">
        <v>22</v>
      </c>
      <c r="D36" s="7" t="s">
        <v>152</v>
      </c>
      <c r="E36" s="7" t="s">
        <v>153</v>
      </c>
      <c r="F36" s="6" t="s">
        <v>14</v>
      </c>
      <c r="G36" s="7" t="s">
        <v>15</v>
      </c>
      <c r="H36" s="40" t="s">
        <v>1020</v>
      </c>
      <c r="I36" s="40" t="s">
        <v>1021</v>
      </c>
    </row>
    <row r="37" ht="150.75" customHeight="1">
      <c r="A37" s="6">
        <v>35</v>
      </c>
      <c r="B37" s="7" t="s">
        <v>138</v>
      </c>
      <c r="C37" s="6" t="s">
        <v>37</v>
      </c>
      <c r="D37" s="7" t="s">
        <v>156</v>
      </c>
      <c r="E37" s="7" t="s">
        <v>157</v>
      </c>
      <c r="F37" s="6" t="s">
        <v>14</v>
      </c>
      <c r="G37" s="7" t="s">
        <v>15</v>
      </c>
      <c r="H37" s="40" t="s">
        <v>1022</v>
      </c>
      <c r="I37" s="40" t="s">
        <v>1023</v>
      </c>
    </row>
    <row r="38" ht="138" customHeight="1">
      <c r="A38" s="6">
        <v>36</v>
      </c>
      <c r="B38" s="7" t="s">
        <v>138</v>
      </c>
      <c r="C38" s="6" t="s">
        <v>37</v>
      </c>
      <c r="D38" s="7" t="s">
        <v>160</v>
      </c>
      <c r="E38" s="7" t="s">
        <v>161</v>
      </c>
      <c r="F38" s="6" t="s">
        <v>14</v>
      </c>
      <c r="G38" s="7" t="s">
        <v>15</v>
      </c>
      <c r="H38" s="40" t="s">
        <v>1024</v>
      </c>
      <c r="I38" s="40" t="s">
        <v>1025</v>
      </c>
    </row>
    <row r="39" ht="100.5" customHeight="1">
      <c r="A39" s="6">
        <v>37</v>
      </c>
      <c r="B39" s="7" t="s">
        <v>143</v>
      </c>
      <c r="C39" s="6" t="s">
        <v>37</v>
      </c>
      <c r="D39" s="7" t="s">
        <v>164</v>
      </c>
      <c r="E39" s="7" t="s">
        <v>165</v>
      </c>
      <c r="F39" s="6" t="s">
        <v>14</v>
      </c>
      <c r="G39" s="7" t="s">
        <v>15</v>
      </c>
      <c r="H39" s="40" t="s">
        <v>1026</v>
      </c>
      <c r="I39" s="40" t="s">
        <v>1027</v>
      </c>
    </row>
    <row r="40" ht="138" customHeight="1">
      <c r="A40" s="6">
        <v>38</v>
      </c>
      <c r="B40" s="7" t="s">
        <v>168</v>
      </c>
      <c r="C40" s="6" t="s">
        <v>37</v>
      </c>
      <c r="D40" s="7" t="s">
        <v>169</v>
      </c>
      <c r="E40" s="7" t="s">
        <v>170</v>
      </c>
      <c r="F40" s="6" t="s">
        <v>14</v>
      </c>
      <c r="G40" s="7" t="s">
        <v>15</v>
      </c>
      <c r="H40" s="40" t="s">
        <v>1028</v>
      </c>
      <c r="I40" s="40" t="s">
        <v>1029</v>
      </c>
    </row>
    <row r="41" ht="188.25" customHeight="1">
      <c r="A41" s="6">
        <v>39</v>
      </c>
      <c r="B41" s="7" t="s">
        <v>143</v>
      </c>
      <c r="C41" s="6" t="s">
        <v>37</v>
      </c>
      <c r="D41" s="7" t="s">
        <v>173</v>
      </c>
      <c r="E41" s="7" t="s">
        <v>174</v>
      </c>
      <c r="F41" s="6" t="s">
        <v>14</v>
      </c>
      <c r="G41" s="7" t="s">
        <v>15</v>
      </c>
      <c r="H41" s="40" t="s">
        <v>1030</v>
      </c>
      <c r="I41" s="40" t="s">
        <v>1031</v>
      </c>
    </row>
    <row r="42" ht="100.5" customHeight="1">
      <c r="A42" s="6">
        <v>40</v>
      </c>
      <c r="B42" s="7" t="s">
        <v>168</v>
      </c>
      <c r="C42" s="6" t="s">
        <v>37</v>
      </c>
      <c r="D42" s="7" t="s">
        <v>177</v>
      </c>
      <c r="E42" s="7" t="s">
        <v>178</v>
      </c>
      <c r="F42" s="6" t="s">
        <v>14</v>
      </c>
      <c r="G42" s="7" t="s">
        <v>15</v>
      </c>
      <c r="H42" s="40" t="s">
        <v>1032</v>
      </c>
      <c r="I42" s="40" t="s">
        <v>1033</v>
      </c>
    </row>
    <row r="43" ht="138" customHeight="1">
      <c r="A43" s="6">
        <v>41</v>
      </c>
      <c r="B43" s="7" t="s">
        <v>168</v>
      </c>
      <c r="C43" s="6" t="s">
        <v>37</v>
      </c>
      <c r="D43" s="7" t="s">
        <v>181</v>
      </c>
      <c r="E43" s="7" t="s">
        <v>182</v>
      </c>
      <c r="F43" s="6" t="s">
        <v>14</v>
      </c>
      <c r="G43" s="7" t="s">
        <v>15</v>
      </c>
      <c r="H43" s="40" t="s">
        <v>1034</v>
      </c>
      <c r="I43" s="40" t="s">
        <v>1035</v>
      </c>
    </row>
    <row r="44" ht="88.5" customHeight="1">
      <c r="A44" s="6">
        <v>42</v>
      </c>
      <c r="B44" s="7" t="s">
        <v>138</v>
      </c>
      <c r="C44" s="6" t="s">
        <v>37</v>
      </c>
      <c r="D44" s="7" t="s">
        <v>185</v>
      </c>
      <c r="E44" s="7" t="s">
        <v>186</v>
      </c>
      <c r="F44" s="6" t="s">
        <v>14</v>
      </c>
      <c r="G44" s="7" t="s">
        <v>99</v>
      </c>
      <c r="H44" s="40" t="s">
        <v>1036</v>
      </c>
      <c r="I44" s="40" t="s">
        <v>1037</v>
      </c>
    </row>
    <row r="45" ht="163.5" customHeight="1">
      <c r="A45" s="6">
        <v>43</v>
      </c>
      <c r="B45" s="7" t="s">
        <v>138</v>
      </c>
      <c r="C45" s="6" t="s">
        <v>37</v>
      </c>
      <c r="D45" s="7" t="s">
        <v>189</v>
      </c>
      <c r="E45" s="7" t="s">
        <v>190</v>
      </c>
      <c r="F45" s="6" t="s">
        <v>14</v>
      </c>
      <c r="G45" s="7" t="s">
        <v>15</v>
      </c>
      <c r="H45" s="40" t="s">
        <v>1038</v>
      </c>
      <c r="I45" s="40" t="s">
        <v>1039</v>
      </c>
    </row>
    <row r="46" ht="188.25" customHeight="1">
      <c r="A46" s="6">
        <v>44</v>
      </c>
      <c r="B46" s="7" t="s">
        <v>138</v>
      </c>
      <c r="C46" s="6" t="s">
        <v>62</v>
      </c>
      <c r="D46" s="7" t="s">
        <v>193</v>
      </c>
      <c r="E46" s="7" t="s">
        <v>194</v>
      </c>
      <c r="F46" s="6" t="s">
        <v>14</v>
      </c>
      <c r="G46" s="7" t="s">
        <v>15</v>
      </c>
      <c r="H46" s="40" t="s">
        <v>1040</v>
      </c>
      <c r="I46" s="40" t="s">
        <v>1041</v>
      </c>
    </row>
    <row r="47" ht="250.5" customHeight="1">
      <c r="A47" s="6">
        <v>45</v>
      </c>
      <c r="B47" s="7" t="s">
        <v>138</v>
      </c>
      <c r="C47" s="6" t="s">
        <v>11</v>
      </c>
      <c r="D47" s="7" t="s">
        <v>197</v>
      </c>
      <c r="E47" s="7" t="s">
        <v>198</v>
      </c>
      <c r="F47" s="6" t="s">
        <v>199</v>
      </c>
      <c r="G47" s="7" t="s">
        <v>15</v>
      </c>
      <c r="H47" s="40" t="s">
        <v>1042</v>
      </c>
      <c r="I47" s="40" t="str">
        <v>TERM: AÑYRAU (АҢЫРАУ) — to be stunned; to be dumbfounded [KED, SZK]
PASSAGE: Чарльз қыздың жүзіне біртүрлі аңырып, абыржи қарады.
TRANS: Charlz qyzdyñ jüzıne bırtürlı añyryp, abyrji qarady.
TRANSLATION: Charles looked at the girl in a strange way — astonished and confused.</v>
      </c>
    </row>
    <row r="48" ht="138" customHeight="1">
      <c r="A48" s="6">
        <v>46</v>
      </c>
      <c r="B48" s="7" t="s">
        <v>138</v>
      </c>
      <c r="C48" s="6" t="s">
        <v>92</v>
      </c>
      <c r="D48" s="7" t="s">
        <v>201</v>
      </c>
      <c r="E48" s="7" t="s">
        <v>202</v>
      </c>
      <c r="F48" s="6" t="s">
        <v>203</v>
      </c>
      <c r="G48" s="7" t="s">
        <v>15</v>
      </c>
      <c r="H48" s="40" t="s">
        <v>1043</v>
      </c>
      <c r="I48" s="40" t="s">
        <v>1044</v>
      </c>
    </row>
    <row r="49" ht="100.5" customHeight="1">
      <c r="A49" s="6">
        <v>47</v>
      </c>
      <c r="B49" s="7" t="s">
        <v>138</v>
      </c>
      <c r="C49" s="6" t="s">
        <v>62</v>
      </c>
      <c r="D49" s="7" t="s">
        <v>206</v>
      </c>
      <c r="E49" s="7" t="s">
        <v>207</v>
      </c>
      <c r="F49" s="6" t="s">
        <v>208</v>
      </c>
      <c r="G49" s="7" t="s">
        <v>40</v>
      </c>
      <c r="H49" s="40" t="s">
        <v>1045</v>
      </c>
      <c r="I49" s="40" t="s">
        <v>1046</v>
      </c>
    </row>
    <row r="50" ht="100.5" customHeight="1">
      <c r="A50" s="6">
        <v>48</v>
      </c>
      <c r="B50" s="7" t="s">
        <v>138</v>
      </c>
      <c r="C50" s="6" t="s">
        <v>62</v>
      </c>
      <c r="D50" s="7" t="s">
        <v>206</v>
      </c>
      <c r="E50" s="7" t="s">
        <v>211</v>
      </c>
      <c r="F50" s="6" t="s">
        <v>212</v>
      </c>
      <c r="G50" s="7" t="s">
        <v>40</v>
      </c>
      <c r="H50" s="40" t="s">
        <v>1047</v>
      </c>
      <c r="I50" s="40" t="s">
        <v>1048</v>
      </c>
    </row>
    <row r="51" ht="113.25" customHeight="1">
      <c r="A51" s="6">
        <v>49</v>
      </c>
      <c r="B51" s="7" t="s">
        <v>138</v>
      </c>
      <c r="C51" s="6" t="s">
        <v>62</v>
      </c>
      <c r="D51" s="7" t="s">
        <v>215</v>
      </c>
      <c r="E51" s="7" t="s">
        <v>216</v>
      </c>
      <c r="F51" s="6" t="s">
        <v>203</v>
      </c>
      <c r="G51" s="7" t="s">
        <v>40</v>
      </c>
      <c r="H51" s="40" t="s">
        <v>1049</v>
      </c>
      <c r="I51" s="40" t="s">
        <v>1050</v>
      </c>
    </row>
    <row r="52" ht="213" customHeight="1">
      <c r="A52" s="6">
        <v>50</v>
      </c>
      <c r="B52" s="7" t="s">
        <v>168</v>
      </c>
      <c r="C52" s="6" t="s">
        <v>22</v>
      </c>
      <c r="D52" s="7" t="s">
        <v>219</v>
      </c>
      <c r="E52" s="7" t="s">
        <v>220</v>
      </c>
      <c r="F52" s="6" t="s">
        <v>89</v>
      </c>
      <c r="G52" s="7" t="s">
        <v>15</v>
      </c>
      <c r="H52" s="40" t="s">
        <v>1051</v>
      </c>
      <c r="I52" s="40" t="s">
        <v>1052</v>
      </c>
    </row>
    <row r="53" ht="88.5" customHeight="1">
      <c r="A53" s="6">
        <v>51</v>
      </c>
      <c r="B53" s="7" t="s">
        <v>138</v>
      </c>
      <c r="C53" s="6" t="s">
        <v>92</v>
      </c>
      <c r="D53" s="7" t="s">
        <v>223</v>
      </c>
      <c r="E53" s="7" t="s">
        <v>224</v>
      </c>
      <c r="F53" s="6" t="s">
        <v>225</v>
      </c>
      <c r="G53" s="7" t="s">
        <v>99</v>
      </c>
      <c r="H53" s="40" t="str">
        <v>TERM: Ø — non-lexical rendering; shame is expressed through reluctance to appear before his mother
PASSAGE: Ну как, разрази меня гром, появлюсь я перед матерью в этих опорках?
TRANS: Nu kak, razrazi menya grom, poyavlyus' ya pered mater'yu v etikh oporkakh?
TRANSLATION: Well, may a thunderbolt strike me, how am I to appear before my mother in these worn-out shoes?</v>
      </c>
      <c r="I53" s="40" t="str">
        <v>TERM: Ø — non-lexical rendering; shame is expressed through reluctance to appear before his mother
PASSAGE: Төбеме жай түссін, мен осы аяқкиіммен анамның көзіне қалай көрінбекпін?
TRANS: Töbeme jai tüssın, men osy aiaqkiımmen anamnyñ közıne qalai körınbekpın?
TRANSLATION: May lightning strike me on the head — how am I to show myself before my mother in these worn-out shoes?</v>
      </c>
    </row>
    <row r="54" ht="88.5" customHeight="1">
      <c r="A54" s="6">
        <v>52</v>
      </c>
      <c r="B54" s="7" t="s">
        <v>138</v>
      </c>
      <c r="C54" s="6" t="s">
        <v>37</v>
      </c>
      <c r="D54" s="7" t="s">
        <v>226</v>
      </c>
      <c r="E54" s="7" t="s">
        <v>186</v>
      </c>
      <c r="F54" s="6" t="s">
        <v>14</v>
      </c>
      <c r="G54" s="7" t="s">
        <v>99</v>
      </c>
      <c r="H54" s="40" t="s">
        <v>1053</v>
      </c>
      <c r="I54" s="40" t="s">
        <v>1054</v>
      </c>
    </row>
    <row r="55" ht="188.25" customHeight="1">
      <c r="A55" s="6">
        <v>53</v>
      </c>
      <c r="B55" s="7" t="s">
        <v>138</v>
      </c>
      <c r="C55" s="6" t="s">
        <v>62</v>
      </c>
      <c r="D55" s="7" t="s">
        <v>228</v>
      </c>
      <c r="E55" s="7" t="s">
        <v>229</v>
      </c>
      <c r="F55" s="6" t="s">
        <v>95</v>
      </c>
      <c r="G55" s="7" t="s">
        <v>40</v>
      </c>
      <c r="H55" s="40" t="s">
        <v>1055</v>
      </c>
      <c r="I55" s="40" t="s">
        <v>1056</v>
      </c>
    </row>
    <row r="56" ht="163.5" customHeight="1">
      <c r="A56" s="6">
        <v>54</v>
      </c>
      <c r="B56" s="7" t="s">
        <v>138</v>
      </c>
      <c r="C56" s="6" t="s">
        <v>62</v>
      </c>
      <c r="D56" s="7" t="s">
        <v>232</v>
      </c>
      <c r="E56" s="7" t="s">
        <v>233</v>
      </c>
      <c r="F56" s="6" t="s">
        <v>95</v>
      </c>
      <c r="G56" s="7" t="s">
        <v>40</v>
      </c>
      <c r="H56" s="40" t="s">
        <v>1057</v>
      </c>
      <c r="I56" s="40" t="str">
        <v>TERM: ABYROI (АБЫРОЙ) — dignity; prestige; public standing; reputation [KED, SZK]
PASSAGE: Ертең ешқандай жазықсыз, тек мұның кесірінен абыройы айрандап төгіліп, сыпсың сөзге қалған Эшлидің бейнесі де осылай көз алдында тұра бермес.
TRANS: Erteñ eşqandai jazyqsyz, tek mūnyñ kesırınen abyroiy airandap tögılıp, sypsyñ sözge qalğan Eşlidıñ beinesı de osylai köz aldynda tūra bermes.
TRANSLATION: Tomorrow the image of Ashley — innocent, but who through her fault had had his honor spilled like spoilt buttermilk and become subject of gossip — would no longer stand before her eyes thus.</v>
      </c>
    </row>
    <row r="57" ht="138" customHeight="1">
      <c r="A57" s="6">
        <v>55</v>
      </c>
      <c r="B57" s="7" t="s">
        <v>138</v>
      </c>
      <c r="C57" s="6" t="s">
        <v>92</v>
      </c>
      <c r="D57" s="7" t="s">
        <v>235</v>
      </c>
      <c r="E57" s="7" t="s">
        <v>236</v>
      </c>
      <c r="F57" s="6" t="s">
        <v>203</v>
      </c>
      <c r="G57" s="7" t="s">
        <v>15</v>
      </c>
      <c r="H57" s="40" t="str">
        <v>TERM: SGORATʹ SO STYDA (СГОРАТЬ СО СТЫДА) — to burn with shame [ORD] (lemma: стыд)
PASSAGE: заставляли всех, кто принимал его когда-то в своих гостиных, сгорать со стыда.
TRANS: zastavlyali vsekh, kto prinimal ego kogda-to v svoikh gostinykh, sgorat' so styda.
TRANSLATION: made all who had once received him in their drawing rooms burn up with shame.</v>
      </c>
      <c r="I57" s="40" t="s">
        <v>1058</v>
      </c>
    </row>
    <row r="58" ht="63" customHeight="1">
      <c r="A58" s="6">
        <v>56</v>
      </c>
      <c r="B58" s="7" t="s">
        <v>138</v>
      </c>
      <c r="C58" s="6" t="s">
        <v>22</v>
      </c>
      <c r="D58" s="7" t="s">
        <v>238</v>
      </c>
      <c r="E58" s="7" t="s">
        <v>239</v>
      </c>
      <c r="F58" s="6" t="s">
        <v>14</v>
      </c>
      <c r="G58" s="7" t="s">
        <v>40</v>
      </c>
      <c r="H58" s="40" t="s">
        <v>1059</v>
      </c>
      <c r="I58" s="40" t="s">
        <v>1060</v>
      </c>
    </row>
    <row r="59" ht="100.5" customHeight="1">
      <c r="A59" s="6">
        <v>57</v>
      </c>
      <c r="B59" s="7" t="s">
        <v>138</v>
      </c>
      <c r="C59" s="6" t="s">
        <v>37</v>
      </c>
      <c r="D59" s="7" t="s">
        <v>242</v>
      </c>
      <c r="E59" s="7" t="s">
        <v>243</v>
      </c>
      <c r="F59" s="6" t="s">
        <v>244</v>
      </c>
      <c r="G59" s="7" t="s">
        <v>99</v>
      </c>
      <c r="H59" s="40" t="s">
        <v>1061</v>
      </c>
      <c r="I59" s="40" t="s">
        <v>1062</v>
      </c>
    </row>
    <row r="60" ht="188.25" customHeight="1">
      <c r="A60" s="6">
        <v>58</v>
      </c>
      <c r="B60" s="7" t="s">
        <v>247</v>
      </c>
      <c r="C60" s="6" t="s">
        <v>37</v>
      </c>
      <c r="D60" s="7" t="s">
        <v>248</v>
      </c>
      <c r="E60" s="7" t="s">
        <v>249</v>
      </c>
      <c r="F60" s="6" t="s">
        <v>250</v>
      </c>
      <c r="G60" s="7" t="s">
        <v>15</v>
      </c>
      <c r="H60" s="40" t="s">
        <v>1063</v>
      </c>
      <c r="I60" s="40" t="s">
        <v>1064</v>
      </c>
    </row>
    <row r="61" ht="138" customHeight="1">
      <c r="A61" s="6">
        <v>59</v>
      </c>
      <c r="B61" s="7" t="s">
        <v>247</v>
      </c>
      <c r="C61" s="6" t="s">
        <v>62</v>
      </c>
      <c r="D61" s="7" t="s">
        <v>253</v>
      </c>
      <c r="E61" s="7" t="s">
        <v>254</v>
      </c>
      <c r="F61" s="6" t="s">
        <v>14</v>
      </c>
      <c r="G61" s="7" t="s">
        <v>15</v>
      </c>
      <c r="H61" s="40" t="s">
        <v>1065</v>
      </c>
      <c r="I61" s="40" t="s">
        <v>1066</v>
      </c>
    </row>
    <row r="62" ht="100.5" customHeight="1">
      <c r="A62" s="6">
        <v>60</v>
      </c>
      <c r="B62" s="7" t="s">
        <v>247</v>
      </c>
      <c r="C62" s="6" t="s">
        <v>22</v>
      </c>
      <c r="D62" s="7" t="s">
        <v>257</v>
      </c>
      <c r="E62" s="7" t="s">
        <v>258</v>
      </c>
      <c r="F62" s="6" t="s">
        <v>89</v>
      </c>
      <c r="G62" s="7" t="s">
        <v>99</v>
      </c>
      <c r="H62" s="40" t="s">
        <v>1067</v>
      </c>
      <c r="I62" s="40" t="s">
        <v>1068</v>
      </c>
    </row>
    <row r="63" ht="201" customHeight="1">
      <c r="A63" s="6">
        <v>61</v>
      </c>
      <c r="B63" s="7" t="s">
        <v>247</v>
      </c>
      <c r="C63" s="6" t="s">
        <v>37</v>
      </c>
      <c r="D63" s="7" t="s">
        <v>261</v>
      </c>
      <c r="E63" s="7" t="s">
        <v>262</v>
      </c>
      <c r="F63" s="6" t="s">
        <v>89</v>
      </c>
      <c r="G63" s="7" t="s">
        <v>15</v>
      </c>
      <c r="H63" s="40" t="s">
        <v>1069</v>
      </c>
      <c r="I63" s="40" t="s">
        <v>1070</v>
      </c>
    </row>
    <row r="64" ht="113.25" customHeight="1">
      <c r="A64" s="6">
        <v>62</v>
      </c>
      <c r="B64" s="7" t="s">
        <v>247</v>
      </c>
      <c r="C64" s="6" t="s">
        <v>22</v>
      </c>
      <c r="D64" s="7" t="s">
        <v>265</v>
      </c>
      <c r="E64" s="7" t="s">
        <v>266</v>
      </c>
      <c r="F64" s="6" t="s">
        <v>203</v>
      </c>
      <c r="G64" s="7" t="s">
        <v>15</v>
      </c>
      <c r="H64" s="40" t="s">
        <v>1071</v>
      </c>
      <c r="I64" s="40" t="s">
        <v>1072</v>
      </c>
    </row>
    <row r="65" ht="88.5" customHeight="1">
      <c r="A65" s="6">
        <v>63</v>
      </c>
      <c r="B65" s="7" t="s">
        <v>247</v>
      </c>
      <c r="C65" s="6" t="s">
        <v>22</v>
      </c>
      <c r="D65" s="7" t="s">
        <v>269</v>
      </c>
      <c r="E65" s="7" t="s">
        <v>270</v>
      </c>
      <c r="F65" s="6" t="s">
        <v>14</v>
      </c>
      <c r="G65" s="7" t="s">
        <v>15</v>
      </c>
      <c r="H65" s="40" t="s">
        <v>1073</v>
      </c>
      <c r="I65" s="40" t="s">
        <v>1074</v>
      </c>
    </row>
    <row r="66" ht="100.5" customHeight="1">
      <c r="A66" s="6">
        <v>64</v>
      </c>
      <c r="B66" s="7" t="s">
        <v>247</v>
      </c>
      <c r="C66" s="6" t="s">
        <v>37</v>
      </c>
      <c r="D66" s="7" t="s">
        <v>273</v>
      </c>
      <c r="E66" s="7" t="s">
        <v>274</v>
      </c>
      <c r="F66" s="6" t="s">
        <v>250</v>
      </c>
      <c r="G66" s="7" t="s">
        <v>99</v>
      </c>
      <c r="H66" s="40" t="s">
        <v>1075</v>
      </c>
      <c r="I66" s="40" t="s">
        <v>1076</v>
      </c>
    </row>
    <row r="67" ht="75.75" customHeight="1">
      <c r="A67" s="6">
        <v>65</v>
      </c>
      <c r="B67" s="7" t="s">
        <v>277</v>
      </c>
      <c r="C67" s="6" t="s">
        <v>37</v>
      </c>
      <c r="D67" s="7" t="s">
        <v>278</v>
      </c>
      <c r="E67" s="7" t="s">
        <v>279</v>
      </c>
      <c r="F67" s="6" t="s">
        <v>14</v>
      </c>
      <c r="G67" s="7" t="s">
        <v>99</v>
      </c>
      <c r="H67" s="40" t="s">
        <v>1077</v>
      </c>
      <c r="I67" s="40" t="s">
        <v>1078</v>
      </c>
    </row>
    <row r="68" ht="113.25" customHeight="1">
      <c r="A68" s="6">
        <v>66</v>
      </c>
      <c r="B68" s="7" t="s">
        <v>277</v>
      </c>
      <c r="C68" s="6" t="s">
        <v>37</v>
      </c>
      <c r="D68" s="7" t="s">
        <v>278</v>
      </c>
      <c r="E68" s="7" t="s">
        <v>282</v>
      </c>
      <c r="F68" s="6" t="s">
        <v>14</v>
      </c>
      <c r="G68" s="7" t="s">
        <v>15</v>
      </c>
      <c r="H68" s="40" t="s">
        <v>1079</v>
      </c>
      <c r="I68" s="40" t="s">
        <v>1080</v>
      </c>
    </row>
    <row r="69" ht="225.75" customHeight="1">
      <c r="A69" s="6">
        <v>67</v>
      </c>
      <c r="B69" s="7" t="s">
        <v>277</v>
      </c>
      <c r="C69" s="6" t="s">
        <v>37</v>
      </c>
      <c r="D69" s="7" t="s">
        <v>285</v>
      </c>
      <c r="E69" s="7" t="s">
        <v>286</v>
      </c>
      <c r="F69" s="6" t="s">
        <v>244</v>
      </c>
      <c r="G69" s="7" t="s">
        <v>15</v>
      </c>
      <c r="H69" s="40" t="s">
        <v>1081</v>
      </c>
      <c r="I69" s="40" t="s">
        <v>1082</v>
      </c>
    </row>
    <row r="70" ht="150.75" customHeight="1">
      <c r="A70" s="6">
        <v>68</v>
      </c>
      <c r="B70" s="7" t="s">
        <v>277</v>
      </c>
      <c r="C70" s="6" t="s">
        <v>62</v>
      </c>
      <c r="D70" s="7" t="s">
        <v>289</v>
      </c>
      <c r="E70" s="7" t="s">
        <v>290</v>
      </c>
      <c r="F70" s="6" t="s">
        <v>14</v>
      </c>
      <c r="G70" s="7" t="s">
        <v>15</v>
      </c>
      <c r="H70" s="40" t="s">
        <v>1083</v>
      </c>
      <c r="I70" s="40" t="s">
        <v>1084</v>
      </c>
    </row>
    <row r="71" ht="188.25" customHeight="1">
      <c r="A71" s="6">
        <v>69</v>
      </c>
      <c r="B71" s="7" t="s">
        <v>277</v>
      </c>
      <c r="C71" s="6" t="s">
        <v>62</v>
      </c>
      <c r="D71" s="7" t="s">
        <v>293</v>
      </c>
      <c r="E71" s="7" t="s">
        <v>294</v>
      </c>
      <c r="F71" s="6" t="s">
        <v>14</v>
      </c>
      <c r="G71" s="7" t="s">
        <v>15</v>
      </c>
      <c r="H71" s="40" t="s">
        <v>1085</v>
      </c>
      <c r="I71" s="40" t="s">
        <v>1086</v>
      </c>
    </row>
    <row r="72" ht="188.25" customHeight="1">
      <c r="A72" s="6">
        <v>70</v>
      </c>
      <c r="B72" s="7" t="s">
        <v>277</v>
      </c>
      <c r="C72" s="6" t="s">
        <v>62</v>
      </c>
      <c r="D72" s="7" t="s">
        <v>278</v>
      </c>
      <c r="E72" s="7" t="s">
        <v>297</v>
      </c>
      <c r="F72" s="6" t="s">
        <v>14</v>
      </c>
      <c r="G72" s="7" t="s">
        <v>15</v>
      </c>
      <c r="H72" s="40" t="s">
        <v>1087</v>
      </c>
      <c r="I72" s="40" t="s">
        <v>1088</v>
      </c>
    </row>
    <row r="73" ht="100.5" customHeight="1">
      <c r="A73" s="6">
        <v>71</v>
      </c>
      <c r="B73" s="7" t="s">
        <v>277</v>
      </c>
      <c r="C73" s="6" t="s">
        <v>92</v>
      </c>
      <c r="D73" s="7" t="s">
        <v>278</v>
      </c>
      <c r="E73" s="7" t="s">
        <v>300</v>
      </c>
      <c r="F73" s="6" t="s">
        <v>14</v>
      </c>
      <c r="G73" s="7" t="s">
        <v>99</v>
      </c>
      <c r="H73" s="40" t="s">
        <v>1089</v>
      </c>
      <c r="I73" s="40" t="s">
        <v>1090</v>
      </c>
    </row>
    <row r="74" ht="100.5" customHeight="1">
      <c r="A74" s="6">
        <v>72</v>
      </c>
      <c r="B74" s="7" t="s">
        <v>277</v>
      </c>
      <c r="C74" s="6" t="s">
        <v>22</v>
      </c>
      <c r="D74" s="7" t="s">
        <v>278</v>
      </c>
      <c r="E74" s="7" t="s">
        <v>303</v>
      </c>
      <c r="F74" s="6" t="s">
        <v>84</v>
      </c>
      <c r="G74" s="7" t="s">
        <v>40</v>
      </c>
      <c r="H74" s="40" t="s">
        <v>1091</v>
      </c>
      <c r="I74" s="40" t="s">
        <v>1092</v>
      </c>
    </row>
    <row r="75" ht="138" customHeight="1">
      <c r="A75" s="6">
        <v>73</v>
      </c>
      <c r="B75" s="7" t="s">
        <v>277</v>
      </c>
      <c r="C75" s="6" t="s">
        <v>92</v>
      </c>
      <c r="D75" s="7" t="s">
        <v>306</v>
      </c>
      <c r="E75" s="7" t="s">
        <v>307</v>
      </c>
      <c r="F75" s="6" t="s">
        <v>89</v>
      </c>
      <c r="G75" s="7" t="s">
        <v>40</v>
      </c>
      <c r="H75" s="40" t="s">
        <v>1093</v>
      </c>
      <c r="I75" s="40" t="s">
        <v>1094</v>
      </c>
    </row>
    <row r="76" ht="38.25" customHeight="1">
      <c r="A76" s="6">
        <v>74</v>
      </c>
      <c r="B76" s="7" t="s">
        <v>277</v>
      </c>
      <c r="C76" s="6" t="s">
        <v>62</v>
      </c>
      <c r="D76" s="7" t="s">
        <v>278</v>
      </c>
      <c r="E76" s="7" t="s">
        <v>310</v>
      </c>
      <c r="F76" s="6" t="s">
        <v>89</v>
      </c>
      <c r="G76" s="7" t="s">
        <v>40</v>
      </c>
      <c r="H76" s="40" t="str">
        <v>TERM: postydilasʹ by (постыдилась бы) — you should be ashamed; you ought to feel shame [ORD] (lemma: postydítʹsja / постыдиться)
PASSAGE: Куда способна завести тебя ревность! Постыдилась бы. Индия побелела, но не опустила головы.
TRANS: Kuda sposobna zavesti tebja revnostʹ! Postydilasʹ by. Indija pobelela, no ne opustila golovy.
TRANSLATION: Where might your jealousy lead you! You should be ashamed. India turned pale but did not lower her head.</v>
      </c>
      <c r="I76" s="40" t="s">
        <v>1095</v>
      </c>
    </row>
    <row r="77" ht="100.5" customHeight="1">
      <c r="A77" s="6">
        <v>75</v>
      </c>
      <c r="B77" s="7" t="s">
        <v>277</v>
      </c>
      <c r="C77" s="6" t="s">
        <v>92</v>
      </c>
      <c r="D77" s="7" t="s">
        <v>312</v>
      </c>
      <c r="E77" s="7" t="s">
        <v>313</v>
      </c>
      <c r="F77" s="6" t="s">
        <v>314</v>
      </c>
      <c r="G77" s="7" t="s">
        <v>40</v>
      </c>
      <c r="H77" s="40" t="s">
        <v>1096</v>
      </c>
      <c r="I77" s="40" t="s">
        <v>1097</v>
      </c>
    </row>
    <row r="78" ht="100.5" customHeight="1">
      <c r="A78" s="6">
        <v>76</v>
      </c>
      <c r="B78" s="7" t="s">
        <v>277</v>
      </c>
      <c r="C78" s="6" t="s">
        <v>22</v>
      </c>
      <c r="D78" s="7" t="s">
        <v>312</v>
      </c>
      <c r="E78" s="7" t="s">
        <v>317</v>
      </c>
      <c r="F78" s="6" t="s">
        <v>314</v>
      </c>
      <c r="G78" s="7" t="s">
        <v>40</v>
      </c>
      <c r="H78" s="40" t="s">
        <v>1098</v>
      </c>
      <c r="I78" s="40" t="s">
        <v>1099</v>
      </c>
    </row>
    <row r="79" ht="175.5" customHeight="1">
      <c r="A79" s="6">
        <v>77</v>
      </c>
      <c r="B79" s="7" t="s">
        <v>277</v>
      </c>
      <c r="C79" s="6" t="s">
        <v>62</v>
      </c>
      <c r="D79" s="7" t="s">
        <v>318</v>
      </c>
      <c r="E79" s="7" t="s">
        <v>319</v>
      </c>
      <c r="F79" s="6" t="s">
        <v>95</v>
      </c>
      <c r="G79" s="7" t="s">
        <v>40</v>
      </c>
      <c r="H79" s="40" t="s">
        <v>1100</v>
      </c>
      <c r="I79" s="40" t="str">
        <v>TERM: Ø — omission; shame is not lexicalized
PASSAGE: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TRANS: Būdan ärı belgısızdıkte, özıne degen sezımınıñ bar-joğyn bılmei, Melani saltanatty qabyldau ūiymdastyrğan sol bır sūmdyq keşten keiın mahabbaty öşıp qaldy ma, joq pa degen sūraqtyñ jetegınde jüre almaidy eken.
TRANSLATION: She could not go on in uncertainty, not knowing whether his feelings for her existed or not, dragged along by the question of whether his love had been extinguished or not after that horrible evening when Melanie organized the gala reception.</v>
      </c>
    </row>
    <row r="80" ht="126" customHeight="1">
      <c r="A80" s="6">
        <v>78</v>
      </c>
      <c r="B80" s="7" t="s">
        <v>277</v>
      </c>
      <c r="C80" s="6" t="s">
        <v>22</v>
      </c>
      <c r="D80" s="7" t="s">
        <v>278</v>
      </c>
      <c r="E80" s="7" t="s">
        <v>321</v>
      </c>
      <c r="F80" s="6" t="s">
        <v>322</v>
      </c>
      <c r="G80" s="7" t="s">
        <v>40</v>
      </c>
      <c r="H80" s="40" t="str">
        <v>TERM: Ø — omission; the English shaming predicate is not lexicalized
PASSAGE: Послушала бы твоя маменька, Скарлетт, как ты стоишь тут и заявляешь, что честный труд — это не для порядочных людей, а для белой голытьбы!
TRANS: Poslushala by tvoya mamen'ka, Skarlett, kak ty stoish' tut i zayavlyaesh', chto chestnyy trud — eto ne dlya poryadochnykh lyudey, a dlya beloy golyt'by!
TRANSLATION: If your mother could hear, Scarlett, you standing here and declaring that honest work is not for decent people but for white trash!</v>
      </c>
      <c r="I80" s="40" t="str">
        <v>TERM: Ø — omission; the English shaming predicate is not lexicalized
PASSAGE: Скарлетт, сенің анаң осы жерде адал еңбек ету әдепті адамдардың қолы емес, ақ жарлы-жақыбайлардың міндеті деп құр жар салып жатқаныңды естісе ғой!
TRANS: Skarlett, senıñ anañ osy jerde adal eñbek etu ädeptı adamdardyñ qoly emes, aq jarly-jaqybailardyñ mındetı dep qūr jar salyp jatqanyñdy estıse ğoi!
TRANSLATION: Scarlett, if your mother could hear how you are standing here and proclaiming that honest work is not the hand of polite people but the duty of poor white scum!</v>
      </c>
    </row>
    <row r="81" ht="88.5" customHeight="1">
      <c r="A81" s="6">
        <v>79</v>
      </c>
      <c r="B81" s="7" t="s">
        <v>277</v>
      </c>
      <c r="C81" s="6" t="s">
        <v>37</v>
      </c>
      <c r="D81" s="7" t="s">
        <v>323</v>
      </c>
      <c r="E81" s="7" t="s">
        <v>324</v>
      </c>
      <c r="F81" s="6" t="s">
        <v>244</v>
      </c>
      <c r="G81" s="7" t="s">
        <v>40</v>
      </c>
      <c r="H81" s="40" t="s">
        <v>1101</v>
      </c>
      <c r="I81" s="40" t="s">
        <v>1102</v>
      </c>
    </row>
    <row r="82" ht="126" customHeight="1">
      <c r="A82" s="6">
        <v>80</v>
      </c>
      <c r="B82" s="7" t="s">
        <v>277</v>
      </c>
      <c r="C82" s="6" t="s">
        <v>37</v>
      </c>
      <c r="D82" s="7" t="s">
        <v>323</v>
      </c>
      <c r="E82" s="7" t="s">
        <v>327</v>
      </c>
      <c r="F82" s="6" t="s">
        <v>328</v>
      </c>
      <c r="G82" s="7" t="s">
        <v>40</v>
      </c>
      <c r="H82" s="40" t="s">
        <v>1103</v>
      </c>
      <c r="I82" s="40" t="s">
        <v>1104</v>
      </c>
    </row>
    <row r="83" ht="100.5" customHeight="1">
      <c r="A83" s="6">
        <v>81</v>
      </c>
      <c r="B83" s="7" t="s">
        <v>277</v>
      </c>
      <c r="C83" s="6" t="s">
        <v>37</v>
      </c>
      <c r="D83" s="7" t="s">
        <v>331</v>
      </c>
      <c r="E83" s="7" t="s">
        <v>332</v>
      </c>
      <c r="F83" s="6" t="s">
        <v>250</v>
      </c>
      <c r="G83" s="7" t="s">
        <v>40</v>
      </c>
      <c r="H83" s="40" t="s">
        <v>1105</v>
      </c>
      <c r="I83" s="40" t="s">
        <v>1106</v>
      </c>
    </row>
    <row r="84" ht="150.75" customHeight="1">
      <c r="A84" s="6">
        <v>82</v>
      </c>
      <c r="B84" s="7" t="s">
        <v>335</v>
      </c>
      <c r="C84" s="6" t="s">
        <v>37</v>
      </c>
      <c r="D84" s="7" t="s">
        <v>336</v>
      </c>
      <c r="E84" s="7" t="s">
        <v>337</v>
      </c>
      <c r="F84" s="6" t="s">
        <v>338</v>
      </c>
      <c r="G84" s="7" t="s">
        <v>15</v>
      </c>
      <c r="H84" s="40" t="s">
        <v>1107</v>
      </c>
      <c r="I84" s="40" t="s">
        <v>1108</v>
      </c>
    </row>
    <row r="85" ht="113.25" customHeight="1">
      <c r="A85" s="6">
        <v>83</v>
      </c>
      <c r="B85" s="7" t="s">
        <v>335</v>
      </c>
      <c r="C85" s="6" t="s">
        <v>37</v>
      </c>
      <c r="D85" s="7" t="s">
        <v>336</v>
      </c>
      <c r="E85" s="7" t="s">
        <v>341</v>
      </c>
      <c r="F85" s="6" t="s">
        <v>338</v>
      </c>
      <c r="G85" s="7" t="s">
        <v>40</v>
      </c>
      <c r="H85" s="40" t="s">
        <v>1109</v>
      </c>
      <c r="I85" s="40" t="s">
        <v>1110</v>
      </c>
    </row>
    <row r="86" ht="213" customHeight="1">
      <c r="A86" s="6">
        <v>84</v>
      </c>
      <c r="B86" s="7" t="s">
        <v>344</v>
      </c>
      <c r="C86" s="6" t="s">
        <v>62</v>
      </c>
      <c r="D86" s="7" t="s">
        <v>345</v>
      </c>
      <c r="E86" s="7" t="s">
        <v>346</v>
      </c>
      <c r="F86" s="6" t="s">
        <v>14</v>
      </c>
      <c r="G86" s="7" t="s">
        <v>15</v>
      </c>
      <c r="H86" s="40" t="s">
        <v>1111</v>
      </c>
      <c r="I86" s="40" t="s">
        <v>1112</v>
      </c>
    </row>
    <row r="87" ht="126" customHeight="1">
      <c r="A87" s="6">
        <v>85</v>
      </c>
      <c r="B87" s="7" t="s">
        <v>344</v>
      </c>
      <c r="C87" s="6" t="s">
        <v>92</v>
      </c>
      <c r="D87" s="7" t="s">
        <v>349</v>
      </c>
      <c r="E87" s="7" t="s">
        <v>350</v>
      </c>
      <c r="F87" s="6" t="s">
        <v>84</v>
      </c>
      <c r="G87" s="7" t="s">
        <v>15</v>
      </c>
      <c r="H87" s="40" t="str">
        <v>TERM: OTKROVENNO (ОТКРОВЕННО) — openly; frankly [ORD]; non-lexical rendering of unashamed
PASSAGE: Лицо человека, наделенного отменным здоровьем и таким же аппетитом, откровенно жадного до всех жизненных утех.
TRANS: Litso cheloveka, nadelennogo otmennym zdorov'em i takim zhe appetitom, otkrovenno zhadnogo do vsekh zhiznennykh utekh.
TRANSLATION: The face of a man endowed with excellent health and an equally good appetite, frankly greedy for all of life's pleasures.</v>
      </c>
      <c r="I87" s="40" t="str">
        <v>TERM: AŞKÖZDİKPEN (АШКӨЗДІКПЕН) — greedily; with greed [KED, SZK]; unashamed is not lexicalized
PASSAGE: Керемет күш-қуат пен өмірдің барлық ләззаттарына ашкөздікпен қарайтын тәбетке ие адамның бет-әлпеті.
TRANS: Keremet küş-quat pen ömırdıñ barlyq läzzattaryna aşközdıkpen qaraityn täbetke ie adamnyñ bet-älpetı.
TRANSLATION: The face of a man possessed of remarkable strength and energy, with an appetite that eyes all the pleasures of life with greed.</v>
      </c>
    </row>
    <row r="88" ht="113.25" customHeight="1">
      <c r="A88" s="6">
        <v>86</v>
      </c>
      <c r="B88" s="7" t="s">
        <v>344</v>
      </c>
      <c r="C88" s="6" t="s">
        <v>92</v>
      </c>
      <c r="D88" s="7" t="s">
        <v>351</v>
      </c>
      <c r="E88" s="7" t="s">
        <v>352</v>
      </c>
      <c r="F88" s="6" t="s">
        <v>84</v>
      </c>
      <c r="G88" s="7" t="s">
        <v>15</v>
      </c>
      <c r="H88" s="40" t="s">
        <v>1113</v>
      </c>
      <c r="I88" s="40" t="s">
        <v>1114</v>
      </c>
    </row>
    <row r="89" ht="63" customHeight="1">
      <c r="A89" s="6">
        <v>87</v>
      </c>
      <c r="B89" s="7" t="s">
        <v>344</v>
      </c>
      <c r="C89" s="6" t="s">
        <v>22</v>
      </c>
      <c r="D89" s="7" t="s">
        <v>349</v>
      </c>
      <c r="E89" s="7" t="s">
        <v>355</v>
      </c>
      <c r="F89" s="6" t="s">
        <v>84</v>
      </c>
      <c r="G89" s="7" t="s">
        <v>15</v>
      </c>
      <c r="H89" s="40" t="s">
        <v>1115</v>
      </c>
      <c r="I89" s="40" t="s">
        <v>1116</v>
      </c>
    </row>
    <row r="90" ht="175.5" customHeight="1">
      <c r="A90" s="6">
        <v>88</v>
      </c>
      <c r="B90" s="7" t="s">
        <v>344</v>
      </c>
      <c r="C90" s="6" t="s">
        <v>37</v>
      </c>
      <c r="D90" s="7" t="s">
        <v>358</v>
      </c>
      <c r="E90" s="7" t="s">
        <v>359</v>
      </c>
      <c r="F90" s="6" t="s">
        <v>84</v>
      </c>
      <c r="G90" s="7" t="s">
        <v>15</v>
      </c>
      <c r="H90" s="40" t="s">
        <v>1117</v>
      </c>
      <c r="I90" s="40" t="s">
        <v>1118</v>
      </c>
    </row>
    <row r="91" ht="138" customHeight="1">
      <c r="A91" s="6">
        <v>89</v>
      </c>
      <c r="B91" s="7" t="s">
        <v>344</v>
      </c>
      <c r="C91" s="6" t="s">
        <v>37</v>
      </c>
      <c r="D91" s="7" t="s">
        <v>362</v>
      </c>
      <c r="E91" s="7" t="s">
        <v>363</v>
      </c>
      <c r="F91" s="6" t="s">
        <v>84</v>
      </c>
      <c r="G91" s="7" t="s">
        <v>40</v>
      </c>
      <c r="H91" s="40" t="s">
        <v>1119</v>
      </c>
      <c r="I91" s="40" t="s">
        <v>1120</v>
      </c>
    </row>
    <row r="92" ht="100.5" customHeight="1">
      <c r="A92" s="6">
        <v>90</v>
      </c>
      <c r="B92" s="7" t="s">
        <v>344</v>
      </c>
      <c r="C92" s="6" t="s">
        <v>62</v>
      </c>
      <c r="D92" s="7" t="s">
        <v>362</v>
      </c>
      <c r="E92" s="7" t="s">
        <v>366</v>
      </c>
      <c r="F92" s="6" t="s">
        <v>84</v>
      </c>
      <c r="G92" s="7" t="s">
        <v>15</v>
      </c>
      <c r="H92" s="40" t="s">
        <v>1121</v>
      </c>
      <c r="I92" s="40" t="s">
        <v>1122</v>
      </c>
    </row>
    <row r="93" ht="201" customHeight="1">
      <c r="A93" s="6">
        <v>91</v>
      </c>
      <c r="B93" s="7" t="s">
        <v>344</v>
      </c>
      <c r="C93" s="6" t="s">
        <v>62</v>
      </c>
      <c r="D93" s="7" t="s">
        <v>369</v>
      </c>
      <c r="E93" s="7" t="s">
        <v>370</v>
      </c>
      <c r="F93" s="6" t="s">
        <v>84</v>
      </c>
      <c r="G93" s="7" t="s">
        <v>15</v>
      </c>
      <c r="H93" s="40" t="s">
        <v>1123</v>
      </c>
      <c r="I93" s="40" t="s">
        <v>1124</v>
      </c>
    </row>
    <row r="94" ht="163.5" customHeight="1">
      <c r="A94" s="6">
        <v>92</v>
      </c>
      <c r="B94" s="7" t="s">
        <v>344</v>
      </c>
      <c r="C94" s="6" t="s">
        <v>62</v>
      </c>
      <c r="D94" s="7" t="s">
        <v>349</v>
      </c>
      <c r="E94" s="7" t="s">
        <v>373</v>
      </c>
      <c r="F94" s="6" t="s">
        <v>84</v>
      </c>
      <c r="G94" s="7" t="s">
        <v>99</v>
      </c>
      <c r="H94" s="40" t="s">
        <v>1125</v>
      </c>
      <c r="I94" s="40" t="s">
        <v>1126</v>
      </c>
    </row>
    <row r="95" ht="63" customHeight="1">
      <c r="A95" s="6">
        <v>93</v>
      </c>
      <c r="B95" s="7" t="s">
        <v>344</v>
      </c>
      <c r="C95" s="6" t="s">
        <v>62</v>
      </c>
      <c r="D95" s="7" t="s">
        <v>349</v>
      </c>
      <c r="E95" s="7" t="s">
        <v>376</v>
      </c>
      <c r="F95" s="6" t="s">
        <v>84</v>
      </c>
      <c r="G95" s="7" t="s">
        <v>99</v>
      </c>
      <c r="H95" s="40" t="s">
        <v>1127</v>
      </c>
      <c r="I95" s="40" t="s">
        <v>1128</v>
      </c>
    </row>
    <row r="96" ht="100.5" customHeight="1">
      <c r="A96" s="6">
        <v>94</v>
      </c>
      <c r="B96" s="7" t="s">
        <v>344</v>
      </c>
      <c r="C96" s="6" t="s">
        <v>92</v>
      </c>
      <c r="D96" s="7" t="s">
        <v>379</v>
      </c>
      <c r="E96" s="7" t="s">
        <v>380</v>
      </c>
      <c r="F96" s="6" t="s">
        <v>89</v>
      </c>
      <c r="G96" s="7" t="s">
        <v>99</v>
      </c>
      <c r="H96" s="40" t="s">
        <v>1129</v>
      </c>
      <c r="I96" s="40" t="s">
        <v>1130</v>
      </c>
    </row>
    <row r="97" ht="100.5" customHeight="1">
      <c r="A97" s="6">
        <v>95</v>
      </c>
      <c r="B97" s="7" t="s">
        <v>344</v>
      </c>
      <c r="C97" s="6" t="s">
        <v>92</v>
      </c>
      <c r="D97" s="7" t="s">
        <v>383</v>
      </c>
      <c r="E97" s="7" t="s">
        <v>384</v>
      </c>
      <c r="F97" s="6" t="s">
        <v>89</v>
      </c>
      <c r="G97" s="7" t="s">
        <v>15</v>
      </c>
      <c r="H97" s="40" t="s">
        <v>1131</v>
      </c>
      <c r="I97" s="40" t="s">
        <v>1132</v>
      </c>
    </row>
    <row r="98" ht="100.5" customHeight="1">
      <c r="A98" s="6">
        <v>96</v>
      </c>
      <c r="B98" s="7" t="s">
        <v>387</v>
      </c>
      <c r="C98" s="6" t="s">
        <v>22</v>
      </c>
      <c r="D98" s="7" t="s">
        <v>388</v>
      </c>
      <c r="E98" s="7" t="s">
        <v>389</v>
      </c>
      <c r="F98" s="6" t="s">
        <v>84</v>
      </c>
      <c r="G98" s="7" t="s">
        <v>99</v>
      </c>
      <c r="H98" s="40" t="s">
        <v>1133</v>
      </c>
      <c r="I98" s="40" t="s">
        <v>1134</v>
      </c>
    </row>
    <row r="99" ht="63" customHeight="1">
      <c r="A99" s="6">
        <v>97</v>
      </c>
      <c r="B99" s="7" t="s">
        <v>387</v>
      </c>
      <c r="C99" s="6" t="s">
        <v>37</v>
      </c>
      <c r="D99" s="7" t="s">
        <v>392</v>
      </c>
      <c r="E99" s="7" t="s">
        <v>393</v>
      </c>
      <c r="F99" s="6" t="s">
        <v>84</v>
      </c>
      <c r="G99" s="7" t="s">
        <v>99</v>
      </c>
      <c r="H99" s="40" t="s">
        <v>1135</v>
      </c>
      <c r="I99" s="40" t="s">
        <v>1136</v>
      </c>
    </row>
    <row r="100" ht="188.25" customHeight="1">
      <c r="A100" s="6">
        <v>98</v>
      </c>
      <c r="B100" s="7" t="s">
        <v>387</v>
      </c>
      <c r="C100" s="6" t="s">
        <v>37</v>
      </c>
      <c r="D100" s="7" t="s">
        <v>396</v>
      </c>
      <c r="E100" s="7" t="s">
        <v>397</v>
      </c>
      <c r="F100" s="6" t="s">
        <v>84</v>
      </c>
      <c r="G100" s="7" t="s">
        <v>15</v>
      </c>
      <c r="H100" s="40" t="s">
        <v>1137</v>
      </c>
      <c r="I100" s="40" t="s">
        <v>1138</v>
      </c>
    </row>
    <row r="101" ht="138" customHeight="1">
      <c r="A101" s="6">
        <v>99</v>
      </c>
      <c r="B101" s="7" t="s">
        <v>387</v>
      </c>
      <c r="C101" s="6" t="s">
        <v>37</v>
      </c>
      <c r="D101" s="7" t="s">
        <v>400</v>
      </c>
      <c r="E101" s="7" t="s">
        <v>401</v>
      </c>
      <c r="F101" s="6" t="s">
        <v>84</v>
      </c>
      <c r="G101" s="7" t="s">
        <v>99</v>
      </c>
      <c r="H101" s="40" t="s">
        <v>1139</v>
      </c>
      <c r="I101" s="40" t="s">
        <v>1140</v>
      </c>
    </row>
    <row r="102" ht="100.5" customHeight="1">
      <c r="A102" s="6">
        <v>100</v>
      </c>
      <c r="B102" s="7" t="s">
        <v>387</v>
      </c>
      <c r="C102" s="6" t="s">
        <v>62</v>
      </c>
      <c r="D102" s="7" t="s">
        <v>392</v>
      </c>
      <c r="E102" s="7" t="s">
        <v>404</v>
      </c>
      <c r="F102" s="6" t="s">
        <v>84</v>
      </c>
      <c r="G102" s="7" t="s">
        <v>40</v>
      </c>
      <c r="H102" s="40" t="s">
        <v>1141</v>
      </c>
      <c r="I102" s="40" t="s">
        <v>1142</v>
      </c>
    </row>
    <row r="103" ht="100.5" customHeight="1">
      <c r="A103" s="6">
        <v>101</v>
      </c>
      <c r="B103" s="7" t="s">
        <v>387</v>
      </c>
      <c r="C103" s="6" t="s">
        <v>62</v>
      </c>
      <c r="D103" s="7" t="s">
        <v>392</v>
      </c>
      <c r="E103" s="7" t="s">
        <v>407</v>
      </c>
      <c r="F103" s="6" t="s">
        <v>84</v>
      </c>
      <c r="G103" s="7" t="s">
        <v>40</v>
      </c>
      <c r="H103" s="40" t="s">
        <v>1143</v>
      </c>
      <c r="I103" s="40" t="s">
        <v>1144</v>
      </c>
    </row>
    <row r="104" ht="163.5" customHeight="1">
      <c r="A104" s="6">
        <v>102</v>
      </c>
      <c r="B104" s="7" t="s">
        <v>387</v>
      </c>
      <c r="C104" s="6" t="s">
        <v>62</v>
      </c>
      <c r="D104" s="7" t="s">
        <v>410</v>
      </c>
      <c r="E104" s="7" t="s">
        <v>411</v>
      </c>
      <c r="F104" s="6" t="s">
        <v>84</v>
      </c>
      <c r="G104" s="7" t="s">
        <v>99</v>
      </c>
      <c r="H104" s="40" t="s">
        <v>1145</v>
      </c>
      <c r="I104" s="40" t="s">
        <v>1146</v>
      </c>
    </row>
    <row r="105" ht="100.5" customHeight="1">
      <c r="A105" s="6">
        <v>103</v>
      </c>
      <c r="B105" s="7" t="s">
        <v>387</v>
      </c>
      <c r="C105" s="6" t="s">
        <v>62</v>
      </c>
      <c r="D105" s="7" t="s">
        <v>414</v>
      </c>
      <c r="E105" s="7" t="s">
        <v>415</v>
      </c>
      <c r="F105" s="6" t="s">
        <v>84</v>
      </c>
      <c r="G105" s="7" t="s">
        <v>40</v>
      </c>
      <c r="H105" s="40" t="s">
        <v>1147</v>
      </c>
      <c r="I105" s="40" t="s">
        <v>1148</v>
      </c>
    </row>
    <row r="106" ht="138" customHeight="1">
      <c r="A106" s="6">
        <v>104</v>
      </c>
      <c r="B106" s="7" t="s">
        <v>387</v>
      </c>
      <c r="C106" s="6" t="s">
        <v>62</v>
      </c>
      <c r="D106" s="7" t="s">
        <v>418</v>
      </c>
      <c r="E106" s="7" t="s">
        <v>419</v>
      </c>
      <c r="F106" s="6" t="s">
        <v>84</v>
      </c>
      <c r="G106" s="7" t="s">
        <v>40</v>
      </c>
      <c r="H106" s="40" t="s">
        <v>1149</v>
      </c>
      <c r="I106" s="40" t="s">
        <v>1150</v>
      </c>
    </row>
    <row r="107" ht="14.25" customHeight="1">
      <c r="A107" s="3" t="s">
        <v>422</v>
      </c>
      <c r="B107" s="4"/>
      <c r="C107" s="4"/>
      <c r="D107" s="4"/>
      <c r="E107" s="4"/>
      <c r="F107" s="4"/>
      <c r="G107" s="4"/>
      <c r="H107" s="41"/>
      <c r="I107" s="41"/>
    </row>
    <row r="108" ht="100.5" customHeight="1">
      <c r="A108" s="6">
        <v>105</v>
      </c>
      <c r="B108" s="7" t="s">
        <v>423</v>
      </c>
      <c r="C108" s="6" t="s">
        <v>11</v>
      </c>
      <c r="D108" s="7" t="s">
        <v>424</v>
      </c>
      <c r="E108" s="7" t="s">
        <v>425</v>
      </c>
      <c r="F108" s="6" t="s">
        <v>426</v>
      </c>
      <c r="G108" s="7" t="s">
        <v>15</v>
      </c>
      <c r="H108" s="40" t="s">
        <v>1151</v>
      </c>
      <c r="I108" s="40" t="s">
        <v>1152</v>
      </c>
    </row>
    <row r="109" ht="201" customHeight="1">
      <c r="A109" s="6">
        <v>106</v>
      </c>
      <c r="B109" s="7" t="s">
        <v>429</v>
      </c>
      <c r="C109" s="6" t="s">
        <v>11</v>
      </c>
      <c r="D109" s="7" t="s">
        <v>430</v>
      </c>
      <c r="E109" s="7" t="s">
        <v>431</v>
      </c>
      <c r="F109" s="6" t="s">
        <v>432</v>
      </c>
      <c r="G109" s="7" t="s">
        <v>15</v>
      </c>
      <c r="H109" s="40" t="str">
        <v>TERM: Ø — omission; English guilt is not lexicalized
PASSAGE: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TRANS: On byl kak by ee sverstnikom — dazhe bol'she, chem sestry, — ved' Dzherald, slovno mal'chishka, lyubil vtayne ot zheny skakat' po polyam napryamik, a Skarlett — tozhe bol'shaya okhotnitsa do vsyakikh eskapad — byla ego vernoy soyuznitsey protiv Mamushki.
TRANSLATION: He was, as it were, her contemporary — even more so than her sisters — for Gerald, like a boy, loved to gallop straight across the fields out of his wife's sight, and Scarlett — herself a great enthusiast of escapades — was his loyal ally against Mammy.</v>
      </c>
      <c r="I109" s="40" t="s">
        <v>1153</v>
      </c>
    </row>
    <row r="110" ht="201" customHeight="1">
      <c r="A110" s="6">
        <v>107</v>
      </c>
      <c r="B110" s="7" t="s">
        <v>423</v>
      </c>
      <c r="C110" s="6" t="s">
        <v>11</v>
      </c>
      <c r="D110" s="7" t="s">
        <v>434</v>
      </c>
      <c r="E110" s="7" t="s">
        <v>435</v>
      </c>
      <c r="F110" s="6" t="s">
        <v>432</v>
      </c>
      <c r="G110" s="7" t="s">
        <v>15</v>
      </c>
      <c r="H110" s="40" t="s">
        <v>1154</v>
      </c>
      <c r="I110" s="40" t="s">
        <v>1155</v>
      </c>
    </row>
    <row r="111" ht="201" customHeight="1">
      <c r="A111" s="6">
        <v>108</v>
      </c>
      <c r="B111" s="7" t="s">
        <v>429</v>
      </c>
      <c r="C111" s="6" t="s">
        <v>11</v>
      </c>
      <c r="D111" s="7" t="s">
        <v>438</v>
      </c>
      <c r="E111" s="7" t="s">
        <v>439</v>
      </c>
      <c r="F111" s="6" t="s">
        <v>14</v>
      </c>
      <c r="G111" s="7" t="s">
        <v>15</v>
      </c>
      <c r="H111" s="40" t="s">
        <v>1156</v>
      </c>
      <c r="I111" s="40" t="s">
        <v>1157</v>
      </c>
    </row>
    <row r="112" ht="100.5" customHeight="1">
      <c r="A112" s="6">
        <v>109</v>
      </c>
      <c r="B112" s="7" t="s">
        <v>442</v>
      </c>
      <c r="C112" s="6" t="s">
        <v>92</v>
      </c>
      <c r="D112" s="7" t="s">
        <v>443</v>
      </c>
      <c r="E112" s="7" t="s">
        <v>444</v>
      </c>
      <c r="F112" s="6" t="s">
        <v>14</v>
      </c>
      <c r="G112" s="7" t="s">
        <v>15</v>
      </c>
      <c r="H112" s="40" t="s">
        <v>1158</v>
      </c>
      <c r="I112" s="40" t="s">
        <v>1159</v>
      </c>
    </row>
    <row r="113" ht="150.75" customHeight="1">
      <c r="A113" s="6">
        <v>110</v>
      </c>
      <c r="B113" s="7" t="s">
        <v>423</v>
      </c>
      <c r="C113" s="6" t="s">
        <v>92</v>
      </c>
      <c r="D113" s="7" t="s">
        <v>447</v>
      </c>
      <c r="E113" s="7" t="s">
        <v>448</v>
      </c>
      <c r="F113" s="6" t="s">
        <v>14</v>
      </c>
      <c r="G113" s="7" t="s">
        <v>15</v>
      </c>
      <c r="H113" s="40" t="s">
        <v>1160</v>
      </c>
      <c r="I113" s="40" t="s">
        <v>1161</v>
      </c>
    </row>
    <row r="114" ht="100.5" customHeight="1">
      <c r="A114" s="6">
        <v>111</v>
      </c>
      <c r="B114" s="7" t="s">
        <v>423</v>
      </c>
      <c r="C114" s="6" t="s">
        <v>92</v>
      </c>
      <c r="D114" s="7" t="s">
        <v>451</v>
      </c>
      <c r="E114" s="7" t="s">
        <v>452</v>
      </c>
      <c r="F114" s="6" t="s">
        <v>14</v>
      </c>
      <c r="G114" s="7" t="s">
        <v>15</v>
      </c>
      <c r="H114" s="40" t="s">
        <v>1162</v>
      </c>
      <c r="I114" s="40" t="s">
        <v>1163</v>
      </c>
    </row>
    <row r="115" ht="150.75" customHeight="1">
      <c r="A115" s="6">
        <v>112</v>
      </c>
      <c r="B115" s="7" t="s">
        <v>423</v>
      </c>
      <c r="C115" s="6" t="s">
        <v>92</v>
      </c>
      <c r="D115" s="7" t="s">
        <v>455</v>
      </c>
      <c r="E115" s="7" t="s">
        <v>456</v>
      </c>
      <c r="F115" s="6" t="s">
        <v>14</v>
      </c>
      <c r="G115" s="7" t="s">
        <v>15</v>
      </c>
      <c r="H115" s="40" t="s">
        <v>1164</v>
      </c>
      <c r="I115" s="40" t="s">
        <v>1165</v>
      </c>
    </row>
    <row r="116" ht="225.75" customHeight="1">
      <c r="A116" s="6">
        <v>113</v>
      </c>
      <c r="B116" s="7" t="s">
        <v>459</v>
      </c>
      <c r="C116" s="6" t="s">
        <v>92</v>
      </c>
      <c r="D116" s="7" t="s">
        <v>460</v>
      </c>
      <c r="E116" s="7" t="s">
        <v>461</v>
      </c>
      <c r="F116" s="6" t="s">
        <v>14</v>
      </c>
      <c r="G116" s="7" t="s">
        <v>15</v>
      </c>
      <c r="H116" s="40" t="s">
        <v>1166</v>
      </c>
      <c r="I116" s="40" t="s">
        <v>1167</v>
      </c>
    </row>
    <row r="117" ht="100.5" customHeight="1">
      <c r="A117" s="6">
        <v>114</v>
      </c>
      <c r="B117" s="7" t="s">
        <v>442</v>
      </c>
      <c r="C117" s="6" t="s">
        <v>92</v>
      </c>
      <c r="D117" s="7" t="s">
        <v>464</v>
      </c>
      <c r="E117" s="7" t="s">
        <v>465</v>
      </c>
      <c r="F117" s="6" t="s">
        <v>14</v>
      </c>
      <c r="G117" s="7" t="s">
        <v>15</v>
      </c>
      <c r="H117" s="40" t="s">
        <v>1168</v>
      </c>
      <c r="I117" s="40" t="s">
        <v>1169</v>
      </c>
    </row>
    <row r="118" ht="150.75" customHeight="1">
      <c r="A118" s="6">
        <v>115</v>
      </c>
      <c r="B118" s="7" t="s">
        <v>423</v>
      </c>
      <c r="C118" s="6" t="s">
        <v>37</v>
      </c>
      <c r="D118" s="7" t="s">
        <v>468</v>
      </c>
      <c r="E118" s="7" t="s">
        <v>469</v>
      </c>
      <c r="F118" s="6" t="s">
        <v>14</v>
      </c>
      <c r="G118" s="7" t="s">
        <v>15</v>
      </c>
      <c r="H118" s="40" t="s">
        <v>1170</v>
      </c>
      <c r="I118" s="40" t="s">
        <v>1171</v>
      </c>
    </row>
    <row r="119" ht="100.5" customHeight="1">
      <c r="A119" s="6">
        <v>116</v>
      </c>
      <c r="B119" s="7" t="s">
        <v>423</v>
      </c>
      <c r="C119" s="6" t="s">
        <v>37</v>
      </c>
      <c r="D119" s="7" t="s">
        <v>472</v>
      </c>
      <c r="E119" s="7" t="s">
        <v>473</v>
      </c>
      <c r="F119" s="6" t="s">
        <v>14</v>
      </c>
      <c r="G119" s="7" t="s">
        <v>15</v>
      </c>
      <c r="H119" s="40" t="s">
        <v>1172</v>
      </c>
      <c r="I119" s="40" t="s">
        <v>1173</v>
      </c>
    </row>
    <row r="120" ht="113.25" customHeight="1">
      <c r="A120" s="6">
        <v>117</v>
      </c>
      <c r="B120" s="7" t="s">
        <v>429</v>
      </c>
      <c r="C120" s="6" t="s">
        <v>37</v>
      </c>
      <c r="D120" s="7" t="s">
        <v>476</v>
      </c>
      <c r="E120" s="7" t="s">
        <v>477</v>
      </c>
      <c r="F120" s="6" t="s">
        <v>14</v>
      </c>
      <c r="G120" s="7" t="s">
        <v>15</v>
      </c>
      <c r="H120" s="40" t="str">
        <v>TERM: Ø — omission; English guilty is not lexicalized
PASSAGE: Радовало ее лишь то, что вердикт врачей не допускал близости между Эшли и его женой.
TRANS: Radovalo ee lish' to, chto verdikt vrachey ne dopuskal blizosti mezhdu Eshli i ego zhenoy.
TRANSLATION: The only thing that pleased her was that the doctors' verdict did not allow intimacy between Ashley and his wife.</v>
      </c>
      <c r="I120" s="40" t="str">
        <v>TERM: QUANU (ҚУАНУ) — to rejoice; to be pleased [KED, SZK]; guilty is not lexicalized
PASSAGE: Дәрігерлердің үкімі Эшли мен әйелінің арасындағы жақындасуды болдырмайтынына бұл қуанатын.
TRANS: Därıgerlerdıñ ükımı Eşli men äielınıñ arasyndağy jaqyndasudy boldyrmaitynyna būl quanatyn.
TRANSLATION: She rejoiced that the doctors' verdict prevented intimacy between Ashley and his wife.</v>
      </c>
    </row>
    <row r="121" ht="138" customHeight="1">
      <c r="A121" s="6">
        <v>118</v>
      </c>
      <c r="B121" s="7" t="s">
        <v>423</v>
      </c>
      <c r="C121" s="6" t="s">
        <v>37</v>
      </c>
      <c r="D121" s="7" t="s">
        <v>478</v>
      </c>
      <c r="E121" s="7" t="s">
        <v>479</v>
      </c>
      <c r="F121" s="6" t="s">
        <v>14</v>
      </c>
      <c r="G121" s="7" t="s">
        <v>15</v>
      </c>
      <c r="H121" s="40" t="str">
        <v>TERM: CHUVSTVO VINY (ЧУВСТВО ВИНЫ) — feeling of guilt [ORD] (lemma: вина)
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v>
      </c>
      <c r="I121" s="40" t="s">
        <v>1174</v>
      </c>
    </row>
    <row r="122" ht="201" customHeight="1">
      <c r="A122" s="6">
        <v>119</v>
      </c>
      <c r="B122" s="7" t="s">
        <v>481</v>
      </c>
      <c r="C122" s="6" t="s">
        <v>37</v>
      </c>
      <c r="D122" s="7" t="s">
        <v>482</v>
      </c>
      <c r="E122" s="7" t="s">
        <v>483</v>
      </c>
      <c r="F122" s="6" t="s">
        <v>14</v>
      </c>
      <c r="G122" s="7" t="s">
        <v>15</v>
      </c>
      <c r="H122" s="40" t="s">
        <v>1175</v>
      </c>
      <c r="I122" s="40" t="s">
        <v>1176</v>
      </c>
    </row>
    <row r="123" ht="138" customHeight="1">
      <c r="A123" s="6">
        <v>120</v>
      </c>
      <c r="B123" s="7" t="s">
        <v>423</v>
      </c>
      <c r="C123" s="6" t="s">
        <v>62</v>
      </c>
      <c r="D123" s="7" t="s">
        <v>486</v>
      </c>
      <c r="E123" s="7" t="s">
        <v>487</v>
      </c>
      <c r="F123" s="6" t="s">
        <v>14</v>
      </c>
      <c r="G123" s="7" t="s">
        <v>15</v>
      </c>
      <c r="H123" s="40" t="s">
        <v>1177</v>
      </c>
      <c r="I123" s="40" t="s">
        <v>1178</v>
      </c>
    </row>
    <row r="124" ht="113.25" customHeight="1">
      <c r="A124" s="6">
        <v>121</v>
      </c>
      <c r="B124" s="7" t="s">
        <v>423</v>
      </c>
      <c r="C124" s="6" t="s">
        <v>62</v>
      </c>
      <c r="D124" s="7" t="s">
        <v>490</v>
      </c>
      <c r="E124" s="7" t="s">
        <v>491</v>
      </c>
      <c r="F124" s="6" t="s">
        <v>14</v>
      </c>
      <c r="G124" s="7" t="s">
        <v>15</v>
      </c>
      <c r="H124" s="40" t="s">
        <v>1179</v>
      </c>
      <c r="I124" s="40" t="str">
        <v>TERM: NALU (НАЛУ) — to grieve; to be distressed [KED, SZK]; guilt is not lexicalized
PASSAGE: Өткендерді қайта сезінудің машақатынан налып, әрі қатты қорыққандығы сондай, ештеңенің байыбына бара алмады.
TRANS: Ötkenderdı qaita sezınudıñ maşaqatynan nalyp, ärı qatty qoryqqandyğy sondai, eşteñenıñ baiybyna bara almady.
TRANSLATION: Worn out from the labor of feeling the past again, and so frightened was she that she could not get to the bottom of anything.</v>
      </c>
    </row>
    <row r="125" ht="126" customHeight="1">
      <c r="A125" s="6">
        <v>122</v>
      </c>
      <c r="B125" s="7" t="s">
        <v>459</v>
      </c>
      <c r="C125" s="6" t="s">
        <v>62</v>
      </c>
      <c r="D125" s="7" t="s">
        <v>493</v>
      </c>
      <c r="E125" s="7" t="s">
        <v>494</v>
      </c>
      <c r="F125" s="6" t="s">
        <v>14</v>
      </c>
      <c r="G125" s="7" t="s">
        <v>15</v>
      </c>
      <c r="H125" s="40" t="s">
        <v>1180</v>
      </c>
      <c r="I125" s="40" t="str">
        <v>TERM: ŪIATY TAZA EMES (ҰЯТЫ ТАЗА ЕМЕС) — one’s conscience is not clean [KED, SZK] (lemma: ұят)
PASSAGE: Әлде өзінің ұяты таза болмаған соң да солай көрінді ме екен?
TRANS: Älde özınıñ ūiaty taza bolmağan soñ da solai körındı me eken?
TRANSLATION: Or did it seem so to her because her own conscience was not clean?</v>
      </c>
    </row>
    <row r="126" ht="150.75" customHeight="1">
      <c r="A126" s="6">
        <v>123</v>
      </c>
      <c r="B126" s="7" t="s">
        <v>423</v>
      </c>
      <c r="C126" s="6" t="s">
        <v>62</v>
      </c>
      <c r="D126" s="7" t="s">
        <v>496</v>
      </c>
      <c r="E126" s="7" t="s">
        <v>497</v>
      </c>
      <c r="F126" s="6" t="s">
        <v>14</v>
      </c>
      <c r="G126" s="7" t="s">
        <v>15</v>
      </c>
      <c r="H126" s="40" t="s">
        <v>1181</v>
      </c>
      <c r="I126" s="40" t="s">
        <v>1182</v>
      </c>
    </row>
    <row r="127" ht="150.75" customHeight="1">
      <c r="A127" s="6">
        <v>124</v>
      </c>
      <c r="B127" s="7" t="s">
        <v>423</v>
      </c>
      <c r="C127" s="6" t="s">
        <v>62</v>
      </c>
      <c r="D127" s="7" t="s">
        <v>486</v>
      </c>
      <c r="E127" s="7" t="s">
        <v>500</v>
      </c>
      <c r="F127" s="6" t="s">
        <v>14</v>
      </c>
      <c r="G127" s="7" t="s">
        <v>15</v>
      </c>
      <c r="H127" s="40" t="s">
        <v>1183</v>
      </c>
      <c r="I127" s="40" t="s">
        <v>1184</v>
      </c>
    </row>
    <row r="128" ht="138" customHeight="1">
      <c r="A128" s="6">
        <v>125</v>
      </c>
      <c r="B128" s="7" t="s">
        <v>423</v>
      </c>
      <c r="C128" s="6" t="s">
        <v>62</v>
      </c>
      <c r="D128" s="7" t="s">
        <v>503</v>
      </c>
      <c r="E128" s="7" t="s">
        <v>504</v>
      </c>
      <c r="F128" s="6" t="s">
        <v>14</v>
      </c>
      <c r="G128" s="7" t="s">
        <v>15</v>
      </c>
      <c r="H128" s="40" t="str">
        <v>TERM: CHUVSTVO VINY (ЧУВСТВО ВИНЫ) — feeling of guilt [ORD] (lemma: вина)
PASSAGE: Когда он подошел к ней, она прочла в его глазах скорбь, а также неприязнь и презрение, и сердце у нее испуганно заныло от чувства вины.
TRANS: Kogda on podoshel k ney, ona prochla v ego glazakh skorb', a takzhe nepriyazn' i prezrenie, i serdtse u nee ispuganno zanylo ot chuvstva viny.
TRANSLATION: When he came up to her, she read in his eyes sorrow, and also dislike and contempt, and her heart ached fearfully with the feeling of guilt.</v>
      </c>
      <c r="I128" s="40" t="s">
        <v>1185</v>
      </c>
    </row>
    <row r="129" ht="138" customHeight="1">
      <c r="A129" s="6">
        <v>126</v>
      </c>
      <c r="B129" s="7" t="s">
        <v>423</v>
      </c>
      <c r="C129" s="6" t="s">
        <v>62</v>
      </c>
      <c r="D129" s="7" t="s">
        <v>506</v>
      </c>
      <c r="E129" s="7" t="s">
        <v>507</v>
      </c>
      <c r="F129" s="6" t="s">
        <v>89</v>
      </c>
      <c r="G129" s="7" t="s">
        <v>15</v>
      </c>
      <c r="H129" s="40" t="s">
        <v>1186</v>
      </c>
      <c r="I129" s="40" t="s">
        <v>1187</v>
      </c>
    </row>
    <row r="130" ht="188.25" customHeight="1">
      <c r="A130" s="6">
        <v>127</v>
      </c>
      <c r="B130" s="7" t="s">
        <v>423</v>
      </c>
      <c r="C130" s="6" t="s">
        <v>22</v>
      </c>
      <c r="D130" s="7" t="s">
        <v>510</v>
      </c>
      <c r="E130" s="7" t="s">
        <v>511</v>
      </c>
      <c r="F130" s="6" t="s">
        <v>512</v>
      </c>
      <c r="G130" s="7" t="s">
        <v>15</v>
      </c>
      <c r="H130" s="40" t="s">
        <v>1188</v>
      </c>
      <c r="I130" s="40" t="s">
        <v>1189</v>
      </c>
    </row>
    <row r="131" ht="201" customHeight="1">
      <c r="A131" s="6">
        <v>128</v>
      </c>
      <c r="B131" s="7" t="s">
        <v>423</v>
      </c>
      <c r="C131" s="6" t="s">
        <v>22</v>
      </c>
      <c r="D131" s="7" t="s">
        <v>515</v>
      </c>
      <c r="E131" s="7" t="s">
        <v>516</v>
      </c>
      <c r="F131" s="6" t="s">
        <v>517</v>
      </c>
      <c r="G131" s="7" t="s">
        <v>15</v>
      </c>
      <c r="H131" s="40" t="s">
        <v>1190</v>
      </c>
      <c r="I131" s="40" t="s">
        <v>1191</v>
      </c>
    </row>
    <row r="132" ht="100.5" customHeight="1">
      <c r="A132" s="6">
        <v>129</v>
      </c>
      <c r="B132" s="7" t="s">
        <v>423</v>
      </c>
      <c r="C132" s="6" t="s">
        <v>62</v>
      </c>
      <c r="D132" s="7" t="s">
        <v>520</v>
      </c>
      <c r="E132" s="7" t="s">
        <v>407</v>
      </c>
      <c r="F132" s="6" t="s">
        <v>521</v>
      </c>
      <c r="G132" s="7" t="s">
        <v>15</v>
      </c>
      <c r="H132" s="40" t="s">
        <v>1192</v>
      </c>
      <c r="I132" s="40" t="s">
        <v>1193</v>
      </c>
    </row>
    <row r="133" ht="100.5" customHeight="1">
      <c r="A133" s="6">
        <v>130</v>
      </c>
      <c r="B133" s="7" t="s">
        <v>459</v>
      </c>
      <c r="C133" s="6" t="s">
        <v>62</v>
      </c>
      <c r="D133" s="7" t="s">
        <v>524</v>
      </c>
      <c r="E133" s="7" t="s">
        <v>494</v>
      </c>
      <c r="F133" s="6" t="s">
        <v>14</v>
      </c>
      <c r="G133" s="7" t="s">
        <v>15</v>
      </c>
      <c r="H133" s="40" t="s">
        <v>1194</v>
      </c>
      <c r="I133" s="40" t="s">
        <v>1195</v>
      </c>
    </row>
    <row r="134" ht="201" customHeight="1">
      <c r="A134" s="6">
        <v>131</v>
      </c>
      <c r="B134" s="7" t="s">
        <v>527</v>
      </c>
      <c r="C134" s="6" t="s">
        <v>62</v>
      </c>
      <c r="D134" s="7" t="s">
        <v>528</v>
      </c>
      <c r="E134" s="7" t="s">
        <v>529</v>
      </c>
      <c r="F134" s="6" t="s">
        <v>14</v>
      </c>
      <c r="G134" s="7" t="s">
        <v>15</v>
      </c>
      <c r="H134" s="40" t="s">
        <v>1196</v>
      </c>
      <c r="I134" s="40" t="s">
        <v>1197</v>
      </c>
    </row>
    <row r="135" ht="138" customHeight="1">
      <c r="A135" s="6">
        <v>132</v>
      </c>
      <c r="B135" s="7" t="s">
        <v>527</v>
      </c>
      <c r="C135" s="6" t="s">
        <v>62</v>
      </c>
      <c r="D135" s="7" t="s">
        <v>532</v>
      </c>
      <c r="E135" s="7" t="s">
        <v>533</v>
      </c>
      <c r="F135" s="6" t="s">
        <v>14</v>
      </c>
      <c r="G135" s="7" t="s">
        <v>15</v>
      </c>
      <c r="H135" s="40" t="s">
        <v>1198</v>
      </c>
      <c r="I135" s="40" t="s">
        <v>1199</v>
      </c>
    </row>
    <row r="136" ht="138" customHeight="1">
      <c r="A136" s="6">
        <v>133</v>
      </c>
      <c r="B136" s="7" t="s">
        <v>527</v>
      </c>
      <c r="C136" s="6" t="s">
        <v>62</v>
      </c>
      <c r="D136" s="7" t="s">
        <v>532</v>
      </c>
      <c r="E136" s="7" t="s">
        <v>536</v>
      </c>
      <c r="F136" s="6" t="s">
        <v>14</v>
      </c>
      <c r="G136" s="7" t="s">
        <v>40</v>
      </c>
      <c r="H136" s="40" t="s">
        <v>1200</v>
      </c>
      <c r="I136" s="40" t="s">
        <v>1201</v>
      </c>
    </row>
    <row r="137" ht="188.25" customHeight="1">
      <c r="A137" s="6">
        <v>134</v>
      </c>
      <c r="B137" s="7" t="s">
        <v>527</v>
      </c>
      <c r="C137" s="6" t="s">
        <v>62</v>
      </c>
      <c r="D137" s="7" t="s">
        <v>532</v>
      </c>
      <c r="E137" s="7" t="s">
        <v>539</v>
      </c>
      <c r="F137" s="6" t="s">
        <v>14</v>
      </c>
      <c r="G137" s="7" t="s">
        <v>40</v>
      </c>
      <c r="H137" s="40" t="s">
        <v>1202</v>
      </c>
      <c r="I137" s="40" t="s">
        <v>1203</v>
      </c>
    </row>
    <row r="138" ht="188.25" customHeight="1">
      <c r="A138" s="6">
        <v>135</v>
      </c>
      <c r="B138" s="7" t="s">
        <v>527</v>
      </c>
      <c r="C138" s="6" t="s">
        <v>92</v>
      </c>
      <c r="D138" s="7" t="s">
        <v>542</v>
      </c>
      <c r="E138" s="7" t="s">
        <v>543</v>
      </c>
      <c r="F138" s="6" t="s">
        <v>89</v>
      </c>
      <c r="G138" s="7" t="s">
        <v>40</v>
      </c>
      <c r="H138" s="40" t="s">
        <v>1204</v>
      </c>
      <c r="I138" s="40" t="s">
        <v>1205</v>
      </c>
    </row>
    <row r="139" ht="14.25" customHeight="1">
      <c r="A139" s="3" t="s">
        <v>546</v>
      </c>
      <c r="B139" s="4"/>
      <c r="C139" s="4"/>
      <c r="D139" s="4"/>
      <c r="E139" s="4"/>
      <c r="F139" s="4"/>
      <c r="G139" s="4"/>
      <c r="H139" s="41"/>
      <c r="I139" s="41"/>
    </row>
    <row r="140" ht="188.25" customHeight="1">
      <c r="A140" s="6">
        <v>136</v>
      </c>
      <c r="B140" s="7" t="s">
        <v>547</v>
      </c>
      <c r="C140" s="6" t="s">
        <v>62</v>
      </c>
      <c r="D140" s="7" t="s">
        <v>548</v>
      </c>
      <c r="E140" s="7" t="s">
        <v>549</v>
      </c>
      <c r="F140" s="6" t="s">
        <v>14</v>
      </c>
      <c r="G140" s="7" t="s">
        <v>15</v>
      </c>
      <c r="H140" s="40" t="s">
        <v>1206</v>
      </c>
      <c r="I140" s="40" t="s">
        <v>1207</v>
      </c>
    </row>
    <row r="141" ht="188.25" customHeight="1">
      <c r="A141" s="6">
        <v>137</v>
      </c>
      <c r="B141" s="7" t="s">
        <v>547</v>
      </c>
      <c r="C141" s="6" t="s">
        <v>11</v>
      </c>
      <c r="D141" s="7" t="s">
        <v>552</v>
      </c>
      <c r="E141" s="7" t="s">
        <v>553</v>
      </c>
      <c r="F141" s="6" t="s">
        <v>432</v>
      </c>
      <c r="G141" s="7" t="s">
        <v>15</v>
      </c>
      <c r="H141" s="40" t="s">
        <v>1208</v>
      </c>
      <c r="I141" s="40" t="s">
        <v>1209</v>
      </c>
    </row>
    <row r="142" ht="100.5" customHeight="1">
      <c r="A142" s="6">
        <v>138</v>
      </c>
      <c r="B142" s="7" t="s">
        <v>547</v>
      </c>
      <c r="C142" s="6" t="s">
        <v>92</v>
      </c>
      <c r="D142" s="7" t="s">
        <v>556</v>
      </c>
      <c r="E142" s="7" t="s">
        <v>557</v>
      </c>
      <c r="F142" s="6" t="s">
        <v>14</v>
      </c>
      <c r="G142" s="7" t="s">
        <v>15</v>
      </c>
      <c r="H142" s="40" t="s">
        <v>1210</v>
      </c>
      <c r="I142" s="40" t="s">
        <v>1211</v>
      </c>
    </row>
    <row r="143" ht="150.75" customHeight="1">
      <c r="A143" s="6">
        <v>139</v>
      </c>
      <c r="B143" s="7" t="s">
        <v>547</v>
      </c>
      <c r="C143" s="6" t="s">
        <v>37</v>
      </c>
      <c r="D143" s="7" t="s">
        <v>560</v>
      </c>
      <c r="E143" s="7" t="s">
        <v>561</v>
      </c>
      <c r="F143" s="6" t="s">
        <v>14</v>
      </c>
      <c r="G143" s="7" t="s">
        <v>15</v>
      </c>
      <c r="H143" s="40" t="s">
        <v>1212</v>
      </c>
      <c r="I143" s="40" t="s">
        <v>1213</v>
      </c>
    </row>
    <row r="144" ht="163.5" customHeight="1">
      <c r="A144" s="6">
        <v>140</v>
      </c>
      <c r="B144" s="7" t="s">
        <v>547</v>
      </c>
      <c r="C144" s="6" t="s">
        <v>37</v>
      </c>
      <c r="D144" s="7" t="s">
        <v>564</v>
      </c>
      <c r="E144" s="7" t="s">
        <v>565</v>
      </c>
      <c r="F144" s="6" t="s">
        <v>14</v>
      </c>
      <c r="G144" s="7" t="s">
        <v>15</v>
      </c>
      <c r="H144" s="40" t="s">
        <v>1214</v>
      </c>
      <c r="I144" s="40" t="s">
        <v>1215</v>
      </c>
    </row>
    <row r="145" ht="175.5" customHeight="1">
      <c r="A145" s="6">
        <v>141</v>
      </c>
      <c r="B145" s="7" t="s">
        <v>547</v>
      </c>
      <c r="C145" s="6" t="s">
        <v>37</v>
      </c>
      <c r="D145" s="7" t="s">
        <v>568</v>
      </c>
      <c r="E145" s="7" t="s">
        <v>569</v>
      </c>
      <c r="F145" s="6" t="s">
        <v>14</v>
      </c>
      <c r="G145" s="7" t="s">
        <v>99</v>
      </c>
      <c r="H145" s="40" t="s">
        <v>1216</v>
      </c>
      <c r="I145" s="40" t="s">
        <v>1217</v>
      </c>
    </row>
    <row r="146" ht="138" customHeight="1">
      <c r="A146" s="6">
        <v>142</v>
      </c>
      <c r="B146" s="7" t="s">
        <v>547</v>
      </c>
      <c r="C146" s="6" t="s">
        <v>62</v>
      </c>
      <c r="D146" s="7" t="s">
        <v>572</v>
      </c>
      <c r="E146" s="7" t="s">
        <v>573</v>
      </c>
      <c r="F146" s="6" t="s">
        <v>14</v>
      </c>
      <c r="G146" s="7" t="s">
        <v>99</v>
      </c>
      <c r="H146" s="40" t="s">
        <v>1218</v>
      </c>
      <c r="I146" s="40" t="s">
        <v>1219</v>
      </c>
    </row>
    <row r="147" ht="225.75" customHeight="1">
      <c r="A147" s="6">
        <v>143</v>
      </c>
      <c r="B147" s="7" t="s">
        <v>547</v>
      </c>
      <c r="C147" s="6" t="s">
        <v>92</v>
      </c>
      <c r="D147" s="7" t="s">
        <v>576</v>
      </c>
      <c r="E147" s="7" t="s">
        <v>577</v>
      </c>
      <c r="F147" s="6" t="s">
        <v>578</v>
      </c>
      <c r="G147" s="7" t="s">
        <v>15</v>
      </c>
      <c r="H147" s="40" t="s">
        <v>1220</v>
      </c>
      <c r="I147" s="40" t="s">
        <v>1221</v>
      </c>
    </row>
    <row r="148" ht="75.75" customHeight="1">
      <c r="A148" s="6">
        <v>144</v>
      </c>
      <c r="B148" s="7" t="s">
        <v>547</v>
      </c>
      <c r="C148" s="6" t="s">
        <v>37</v>
      </c>
      <c r="D148" s="7" t="s">
        <v>581</v>
      </c>
      <c r="E148" s="7" t="s">
        <v>582</v>
      </c>
      <c r="F148" s="6" t="s">
        <v>244</v>
      </c>
      <c r="G148" s="7" t="s">
        <v>15</v>
      </c>
      <c r="H148" s="40" t="s">
        <v>1222</v>
      </c>
      <c r="I148" s="40" t="s">
        <v>1223</v>
      </c>
    </row>
    <row r="149" ht="188.25" customHeight="1">
      <c r="A149" s="6">
        <v>145</v>
      </c>
      <c r="B149" s="7" t="s">
        <v>585</v>
      </c>
      <c r="C149" s="6" t="s">
        <v>37</v>
      </c>
      <c r="D149" s="7" t="s">
        <v>586</v>
      </c>
      <c r="E149" s="7" t="s">
        <v>587</v>
      </c>
      <c r="F149" s="6" t="s">
        <v>328</v>
      </c>
      <c r="G149" s="7" t="s">
        <v>15</v>
      </c>
      <c r="H149" s="40" t="s">
        <v>1224</v>
      </c>
      <c r="I149" s="40" t="str">
        <v>TERM: Ø — omission; conscience is not lexicalized
PASSAGE: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TRANS: Süiıktı qyzynyñ basyna qiyndyq tuğan kezde, daq tüsse de meiırımdı, dana közı bärın de qalt jıbermei baiqap, ıstıñ män-jaiyna boilai kırıstı. Säbidıñ janaryndai jäuteñdegen közqarasy sanasynda ne bolyp jatqanyn jaiyp salyp tūr.
TRANSLATION: When difficulties came upon her beloved girl, [Mammy's] kind, wise eyes — even with stains — missed nothing and went deep into the heart of the matter. The flickering, baby-like glance laid bare what was happening in her mind.</v>
      </c>
    </row>
    <row r="150" ht="225.75" customHeight="1">
      <c r="A150" s="6">
        <v>146</v>
      </c>
      <c r="B150" s="7" t="s">
        <v>589</v>
      </c>
      <c r="C150" s="6" t="s">
        <v>92</v>
      </c>
      <c r="D150" s="7" t="s">
        <v>590</v>
      </c>
      <c r="E150" s="7" t="s">
        <v>461</v>
      </c>
      <c r="F150" s="6" t="s">
        <v>14</v>
      </c>
      <c r="G150" s="7" t="s">
        <v>15</v>
      </c>
      <c r="H150" s="40" t="s">
        <v>1225</v>
      </c>
      <c r="I150" s="40" t="s">
        <v>1226</v>
      </c>
    </row>
    <row r="151" ht="163.5" customHeight="1">
      <c r="A151" s="6">
        <v>147</v>
      </c>
      <c r="B151" s="7" t="s">
        <v>592</v>
      </c>
      <c r="C151" s="6" t="s">
        <v>37</v>
      </c>
      <c r="D151" s="7" t="s">
        <v>593</v>
      </c>
      <c r="E151" s="7" t="s">
        <v>594</v>
      </c>
      <c r="F151" s="6" t="s">
        <v>14</v>
      </c>
      <c r="G151" s="7" t="s">
        <v>15</v>
      </c>
      <c r="H151" s="40" t="s">
        <v>1227</v>
      </c>
      <c r="I151" s="40" t="s">
        <v>1228</v>
      </c>
    </row>
    <row r="152" ht="138" customHeight="1">
      <c r="A152" s="6">
        <v>148</v>
      </c>
      <c r="B152" s="7" t="s">
        <v>589</v>
      </c>
      <c r="C152" s="6" t="s">
        <v>37</v>
      </c>
      <c r="D152" s="7" t="s">
        <v>597</v>
      </c>
      <c r="E152" s="7" t="s">
        <v>598</v>
      </c>
      <c r="F152" s="6" t="s">
        <v>14</v>
      </c>
      <c r="G152" s="7" t="s">
        <v>40</v>
      </c>
      <c r="H152" s="40" t="s">
        <v>1229</v>
      </c>
      <c r="I152" s="40" t="s">
        <v>1230</v>
      </c>
    </row>
    <row r="153" ht="188.25" customHeight="1">
      <c r="A153" s="6">
        <v>149</v>
      </c>
      <c r="B153" s="7" t="s">
        <v>589</v>
      </c>
      <c r="C153" s="6" t="s">
        <v>62</v>
      </c>
      <c r="D153" s="7" t="s">
        <v>601</v>
      </c>
      <c r="E153" s="7" t="s">
        <v>549</v>
      </c>
      <c r="F153" s="6" t="s">
        <v>14</v>
      </c>
      <c r="G153" s="7" t="s">
        <v>15</v>
      </c>
      <c r="H153" s="40" t="s">
        <v>1231</v>
      </c>
      <c r="I153" s="40" t="s">
        <v>1232</v>
      </c>
    </row>
    <row r="154" ht="250.5" customHeight="1">
      <c r="A154" s="6">
        <v>150</v>
      </c>
      <c r="B154" s="7" t="s">
        <v>603</v>
      </c>
      <c r="C154" s="6" t="s">
        <v>22</v>
      </c>
      <c r="D154" s="7" t="s">
        <v>604</v>
      </c>
      <c r="E154" s="7" t="s">
        <v>605</v>
      </c>
      <c r="F154" s="6" t="s">
        <v>14</v>
      </c>
      <c r="G154" s="7" t="s">
        <v>99</v>
      </c>
      <c r="H154" s="40" t="s">
        <v>1233</v>
      </c>
      <c r="I154" s="40" t="s">
        <v>1234</v>
      </c>
    </row>
    <row r="155" ht="100.5" customHeight="1">
      <c r="A155" s="6">
        <v>151</v>
      </c>
      <c r="B155" s="7" t="s">
        <v>608</v>
      </c>
      <c r="C155" s="6" t="s">
        <v>37</v>
      </c>
      <c r="D155" s="7" t="s">
        <v>609</v>
      </c>
      <c r="E155" s="7" t="s">
        <v>610</v>
      </c>
      <c r="F155" s="6" t="s">
        <v>14</v>
      </c>
      <c r="G155" s="7" t="s">
        <v>40</v>
      </c>
      <c r="H155" s="40" t="s">
        <v>1235</v>
      </c>
      <c r="I155" s="40" t="s">
        <v>1236</v>
      </c>
    </row>
    <row r="156" ht="276" customHeight="1">
      <c r="A156" s="6">
        <v>152</v>
      </c>
      <c r="B156" s="7" t="s">
        <v>613</v>
      </c>
      <c r="C156" s="6" t="s">
        <v>11</v>
      </c>
      <c r="D156" s="7" t="s">
        <v>614</v>
      </c>
      <c r="E156" s="7" t="s">
        <v>615</v>
      </c>
      <c r="F156" s="6" t="s">
        <v>14</v>
      </c>
      <c r="G156" s="7" t="s">
        <v>15</v>
      </c>
      <c r="H156" s="40" t="s">
        <v>1237</v>
      </c>
      <c r="I156" s="40" t="s">
        <v>1238</v>
      </c>
    </row>
    <row r="157" ht="138" customHeight="1">
      <c r="A157" s="6">
        <v>153</v>
      </c>
      <c r="B157" s="7" t="s">
        <v>618</v>
      </c>
      <c r="C157" s="6" t="s">
        <v>62</v>
      </c>
      <c r="D157" s="7" t="s">
        <v>619</v>
      </c>
      <c r="E157" s="7" t="s">
        <v>573</v>
      </c>
      <c r="F157" s="6" t="s">
        <v>14</v>
      </c>
      <c r="G157" s="7" t="s">
        <v>99</v>
      </c>
      <c r="H157" s="40" t="s">
        <v>1239</v>
      </c>
      <c r="I157" s="40" t="s">
        <v>1240</v>
      </c>
    </row>
    <row r="158" ht="188.25" customHeight="1">
      <c r="A158" s="6">
        <v>154</v>
      </c>
      <c r="B158" s="7" t="s">
        <v>618</v>
      </c>
      <c r="C158" s="6" t="s">
        <v>92</v>
      </c>
      <c r="D158" s="7" t="s">
        <v>621</v>
      </c>
      <c r="E158" s="7" t="s">
        <v>622</v>
      </c>
      <c r="F158" s="6" t="s">
        <v>14</v>
      </c>
      <c r="G158" s="7" t="s">
        <v>15</v>
      </c>
      <c r="H158" s="40" t="s">
        <v>1241</v>
      </c>
      <c r="I158" s="40" t="s">
        <v>1242</v>
      </c>
    </row>
    <row r="159" ht="238.5" customHeight="1">
      <c r="A159" s="6">
        <v>155</v>
      </c>
      <c r="B159" s="7" t="s">
        <v>618</v>
      </c>
      <c r="C159" s="6" t="s">
        <v>92</v>
      </c>
      <c r="D159" s="7" t="s">
        <v>625</v>
      </c>
      <c r="E159" s="7" t="s">
        <v>626</v>
      </c>
      <c r="F159" s="6" t="s">
        <v>14</v>
      </c>
      <c r="G159" s="7" t="s">
        <v>15</v>
      </c>
      <c r="H159" s="40" t="s">
        <v>1243</v>
      </c>
      <c r="I159" s="40" t="s">
        <v>1244</v>
      </c>
    </row>
    <row r="160" ht="138" customHeight="1">
      <c r="A160" s="6">
        <v>156</v>
      </c>
      <c r="B160" s="7" t="s">
        <v>618</v>
      </c>
      <c r="C160" s="6" t="s">
        <v>22</v>
      </c>
      <c r="D160" s="7" t="s">
        <v>627</v>
      </c>
      <c r="E160" s="7" t="s">
        <v>628</v>
      </c>
      <c r="F160" s="6" t="s">
        <v>14</v>
      </c>
      <c r="G160" s="7" t="s">
        <v>15</v>
      </c>
      <c r="H160" s="40" t="s">
        <v>1245</v>
      </c>
      <c r="I160" s="40" t="s">
        <v>1246</v>
      </c>
    </row>
    <row r="161" ht="138" customHeight="1">
      <c r="A161" s="6">
        <v>157</v>
      </c>
      <c r="B161" s="7" t="s">
        <v>618</v>
      </c>
      <c r="C161" s="6" t="s">
        <v>22</v>
      </c>
      <c r="D161" s="7" t="s">
        <v>631</v>
      </c>
      <c r="E161" s="7" t="s">
        <v>632</v>
      </c>
      <c r="F161" s="6" t="s">
        <v>14</v>
      </c>
      <c r="G161" s="7" t="s">
        <v>40</v>
      </c>
      <c r="H161" s="40" t="s">
        <v>1247</v>
      </c>
      <c r="I161" s="40" t="s">
        <v>1248</v>
      </c>
    </row>
    <row r="162" ht="126" customHeight="1">
      <c r="A162" s="6">
        <v>158</v>
      </c>
      <c r="B162" s="7" t="s">
        <v>618</v>
      </c>
      <c r="C162" s="6" t="s">
        <v>62</v>
      </c>
      <c r="D162" s="7" t="s">
        <v>635</v>
      </c>
      <c r="E162" s="7" t="s">
        <v>636</v>
      </c>
      <c r="F162" s="6" t="s">
        <v>14</v>
      </c>
      <c r="G162" s="7" t="s">
        <v>15</v>
      </c>
      <c r="H162" s="40" t="s">
        <v>1249</v>
      </c>
      <c r="I162" s="40" t="s">
        <v>1250</v>
      </c>
    </row>
    <row r="163" ht="75.75" customHeight="1">
      <c r="A163" s="6">
        <v>159</v>
      </c>
      <c r="B163" s="7" t="s">
        <v>618</v>
      </c>
      <c r="C163" s="6" t="s">
        <v>62</v>
      </c>
      <c r="D163" s="7" t="s">
        <v>639</v>
      </c>
      <c r="E163" s="7" t="s">
        <v>640</v>
      </c>
      <c r="F163" s="6" t="s">
        <v>89</v>
      </c>
      <c r="G163" s="7" t="s">
        <v>15</v>
      </c>
      <c r="H163" s="40" t="str">
        <v>TERM: zasovestivshis' (засовестившись) — having become conscience-stricken (pf. gerund, colloq.) [ORD] (lemma: засовеститься)
PASSAGE: [no passage given in the corpus row]
TRANS: [not available]
TRANSLATION: [not available]</v>
      </c>
      <c r="I163" s="40" t="str">
        <v>TERM: Ø — omission; English conscience-stricken is not lexicalized
PASSAGE: - Қалай дейсің?! - деп шыдамай айқайлап жіберді Мелли.
TRANS: - Qalai deisıñ?! - dep şydamai aiqailap jıberdı Melli.
TRANSLATION: "What did you say?!" — Melly cried out, unable to bear it.</v>
      </c>
    </row>
    <row r="164" ht="75.75" customHeight="1">
      <c r="A164" s="6">
        <v>160</v>
      </c>
      <c r="B164" s="7" t="s">
        <v>641</v>
      </c>
      <c r="C164" s="6" t="s">
        <v>22</v>
      </c>
      <c r="D164" s="7" t="s">
        <v>642</v>
      </c>
      <c r="E164" s="7" t="s">
        <v>643</v>
      </c>
      <c r="F164" s="6" t="s">
        <v>14</v>
      </c>
      <c r="G164" s="7" t="s">
        <v>15</v>
      </c>
      <c r="H164" s="40" t="str">
        <v>TERM: Ø — omission; English conscience is not lexicalized
PASSAGE: —
TRANS: —
TRANSLATION: —</v>
      </c>
      <c r="I164" s="40" t="str">
        <v>TERM: Ø — omission; English conscience is not lexicalized
PASSAGE: —
TRANS: —
TRANSLATION: —</v>
      </c>
    </row>
    <row r="165" ht="163.5" customHeight="1">
      <c r="A165" s="6">
        <v>161</v>
      </c>
      <c r="B165" s="7" t="s">
        <v>644</v>
      </c>
      <c r="C165" s="6" t="s">
        <v>11</v>
      </c>
      <c r="D165" s="7" t="s">
        <v>645</v>
      </c>
      <c r="E165" s="7" t="s">
        <v>646</v>
      </c>
      <c r="F165" s="6" t="s">
        <v>14</v>
      </c>
      <c r="G165" s="7" t="s">
        <v>15</v>
      </c>
      <c r="H165" s="40" t="s">
        <v>1251</v>
      </c>
      <c r="I165" s="40" t="s">
        <v>1252</v>
      </c>
    </row>
    <row r="166" ht="213" customHeight="1">
      <c r="A166" s="6">
        <v>162</v>
      </c>
      <c r="B166" s="7" t="s">
        <v>644</v>
      </c>
      <c r="C166" s="6" t="s">
        <v>92</v>
      </c>
      <c r="D166" s="7" t="s">
        <v>649</v>
      </c>
      <c r="E166" s="7" t="s">
        <v>650</v>
      </c>
      <c r="F166" s="6" t="s">
        <v>14</v>
      </c>
      <c r="G166" s="7" t="s">
        <v>15</v>
      </c>
      <c r="H166" s="40" t="s">
        <v>1253</v>
      </c>
      <c r="I166" s="40" t="s">
        <v>1254</v>
      </c>
    </row>
    <row r="167" ht="138" customHeight="1">
      <c r="A167" s="6">
        <v>163</v>
      </c>
      <c r="B167" s="7" t="s">
        <v>653</v>
      </c>
      <c r="C167" s="6" t="s">
        <v>37</v>
      </c>
      <c r="D167" s="7" t="s">
        <v>654</v>
      </c>
      <c r="E167" s="7" t="s">
        <v>479</v>
      </c>
      <c r="F167" s="6" t="s">
        <v>14</v>
      </c>
      <c r="G167" s="7" t="s">
        <v>15</v>
      </c>
      <c r="H167" s="40" t="str">
        <v>TERM: CHUVSTVO VINY (ЧУВСТВО ВИНЫ) — feeling of guilt [ORD] (lemma: вина)
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v>
      </c>
      <c r="I167" s="40" t="s">
        <v>1255</v>
      </c>
    </row>
    <row r="168" ht="213" customHeight="1">
      <c r="A168" s="6">
        <v>164</v>
      </c>
      <c r="B168" s="7" t="s">
        <v>653</v>
      </c>
      <c r="C168" s="6" t="s">
        <v>37</v>
      </c>
      <c r="D168" s="7" t="s">
        <v>655</v>
      </c>
      <c r="E168" s="7" t="s">
        <v>656</v>
      </c>
      <c r="F168" s="6" t="s">
        <v>14</v>
      </c>
      <c r="G168" s="7" t="s">
        <v>15</v>
      </c>
      <c r="H168" s="40" t="s">
        <v>1256</v>
      </c>
      <c r="I168" s="40" t="s">
        <v>1257</v>
      </c>
    </row>
    <row r="169" ht="113.25" customHeight="1">
      <c r="A169" s="6">
        <v>165</v>
      </c>
      <c r="B169" s="7" t="s">
        <v>653</v>
      </c>
      <c r="C169" s="6" t="s">
        <v>62</v>
      </c>
      <c r="D169" s="7" t="s">
        <v>659</v>
      </c>
      <c r="E169" s="7" t="s">
        <v>660</v>
      </c>
      <c r="F169" s="6" t="s">
        <v>14</v>
      </c>
      <c r="G169" s="7" t="s">
        <v>40</v>
      </c>
      <c r="H169" s="40" t="s">
        <v>1258</v>
      </c>
      <c r="I169" s="40" t="s">
        <v>1259</v>
      </c>
    </row>
    <row r="170" ht="75.75" customHeight="1">
      <c r="A170" s="6">
        <v>166</v>
      </c>
      <c r="B170" s="7" t="s">
        <v>653</v>
      </c>
      <c r="C170" s="6" t="s">
        <v>37</v>
      </c>
      <c r="D170" s="7" t="s">
        <v>663</v>
      </c>
      <c r="E170" s="7" t="s">
        <v>664</v>
      </c>
      <c r="F170" s="6" t="s">
        <v>244</v>
      </c>
      <c r="G170" s="7" t="s">
        <v>99</v>
      </c>
      <c r="H170" s="40" t="s">
        <v>1260</v>
      </c>
      <c r="I170" s="40" t="s">
        <v>1261</v>
      </c>
    </row>
    <row r="171" ht="138" customHeight="1">
      <c r="A171" s="6">
        <v>167</v>
      </c>
      <c r="B171" s="7" t="s">
        <v>585</v>
      </c>
      <c r="C171" s="6" t="s">
        <v>22</v>
      </c>
      <c r="D171" s="7" t="s">
        <v>667</v>
      </c>
      <c r="E171" s="7" t="s">
        <v>668</v>
      </c>
      <c r="F171" s="6" t="s">
        <v>14</v>
      </c>
      <c r="G171" s="7" t="s">
        <v>15</v>
      </c>
      <c r="H171" s="40" t="s">
        <v>1262</v>
      </c>
      <c r="I171" s="40" t="s">
        <v>1263</v>
      </c>
    </row>
    <row r="172" ht="100.5" customHeight="1">
      <c r="A172" s="6">
        <v>168</v>
      </c>
      <c r="B172" s="7" t="s">
        <v>585</v>
      </c>
      <c r="C172" s="6" t="s">
        <v>37</v>
      </c>
      <c r="D172" s="7" t="s">
        <v>671</v>
      </c>
      <c r="E172" s="7" t="s">
        <v>672</v>
      </c>
      <c r="F172" s="6" t="s">
        <v>14</v>
      </c>
      <c r="G172" s="7" t="s">
        <v>15</v>
      </c>
      <c r="H172" s="40" t="s">
        <v>1264</v>
      </c>
      <c r="I172" s="40" t="s">
        <v>1265</v>
      </c>
    </row>
    <row r="173" ht="126" customHeight="1">
      <c r="A173" s="6">
        <v>169</v>
      </c>
      <c r="B173" s="7" t="s">
        <v>585</v>
      </c>
      <c r="C173" s="6" t="s">
        <v>37</v>
      </c>
      <c r="D173" s="7" t="s">
        <v>675</v>
      </c>
      <c r="E173" s="7" t="s">
        <v>676</v>
      </c>
      <c r="F173" s="6" t="s">
        <v>14</v>
      </c>
      <c r="G173" s="7" t="s">
        <v>15</v>
      </c>
      <c r="H173" s="40" t="s">
        <v>1266</v>
      </c>
      <c r="I173" s="40" t="s">
        <v>1267</v>
      </c>
    </row>
    <row r="174" ht="100.5" customHeight="1">
      <c r="A174" s="6">
        <v>170</v>
      </c>
      <c r="B174" s="7" t="s">
        <v>585</v>
      </c>
      <c r="C174" s="6" t="s">
        <v>37</v>
      </c>
      <c r="D174" s="7" t="s">
        <v>679</v>
      </c>
      <c r="E174" s="7" t="s">
        <v>680</v>
      </c>
      <c r="F174" s="6" t="s">
        <v>84</v>
      </c>
      <c r="G174" s="7" t="s">
        <v>99</v>
      </c>
      <c r="H174" s="40" t="s">
        <v>1268</v>
      </c>
      <c r="I174" s="40" t="s">
        <v>1269</v>
      </c>
    </row>
    <row r="175" ht="100.5" customHeight="1">
      <c r="A175" s="6">
        <v>171</v>
      </c>
      <c r="B175" s="7" t="s">
        <v>585</v>
      </c>
      <c r="C175" s="6" t="s">
        <v>37</v>
      </c>
      <c r="D175" s="7" t="s">
        <v>675</v>
      </c>
      <c r="E175" s="7" t="s">
        <v>683</v>
      </c>
      <c r="F175" s="6" t="s">
        <v>14</v>
      </c>
      <c r="G175" s="7" t="s">
        <v>15</v>
      </c>
      <c r="H175" s="40" t="s">
        <v>1270</v>
      </c>
      <c r="I175" s="40" t="s">
        <v>1271</v>
      </c>
    </row>
    <row r="176" ht="225.75" customHeight="1">
      <c r="A176" s="6">
        <v>172</v>
      </c>
      <c r="B176" s="7" t="s">
        <v>585</v>
      </c>
      <c r="C176" s="6" t="s">
        <v>62</v>
      </c>
      <c r="D176" s="7" t="s">
        <v>686</v>
      </c>
      <c r="E176" s="7" t="s">
        <v>687</v>
      </c>
      <c r="F176" s="6" t="s">
        <v>14</v>
      </c>
      <c r="G176" s="7" t="s">
        <v>15</v>
      </c>
      <c r="H176" s="40" t="s">
        <v>1272</v>
      </c>
      <c r="I176" s="40" t="s">
        <v>1273</v>
      </c>
    </row>
    <row r="177" ht="126" customHeight="1">
      <c r="A177" s="6">
        <v>173</v>
      </c>
      <c r="B177" s="7" t="s">
        <v>585</v>
      </c>
      <c r="C177" s="6" t="s">
        <v>37</v>
      </c>
      <c r="D177" s="7" t="s">
        <v>690</v>
      </c>
      <c r="E177" s="7" t="s">
        <v>691</v>
      </c>
      <c r="F177" s="6" t="s">
        <v>84</v>
      </c>
      <c r="G177" s="7" t="s">
        <v>99</v>
      </c>
      <c r="H177" s="40" t="s">
        <v>1274</v>
      </c>
      <c r="I177" s="40" t="s">
        <v>1275</v>
      </c>
    </row>
    <row r="178" ht="88.5" customHeight="1">
      <c r="A178" s="6">
        <v>174</v>
      </c>
      <c r="B178" s="7" t="s">
        <v>592</v>
      </c>
      <c r="C178" s="6" t="s">
        <v>37</v>
      </c>
      <c r="D178" s="7" t="s">
        <v>694</v>
      </c>
      <c r="E178" s="7" t="s">
        <v>695</v>
      </c>
      <c r="F178" s="6" t="s">
        <v>14</v>
      </c>
      <c r="G178" s="7" t="s">
        <v>40</v>
      </c>
      <c r="H178" s="40" t="s">
        <v>1276</v>
      </c>
      <c r="I178" s="42" t="s">
        <v>1277</v>
      </c>
    </row>
    <row r="179" ht="14.25" customHeight="1">
      <c r="A179" s="3" t="s">
        <v>698</v>
      </c>
      <c r="B179" s="4"/>
      <c r="C179" s="4"/>
      <c r="D179" s="4"/>
      <c r="E179" s="4"/>
      <c r="F179" s="4"/>
      <c r="G179" s="4"/>
      <c r="H179" s="41"/>
      <c r="I179" s="41"/>
    </row>
    <row r="180" ht="100.5" customHeight="1">
      <c r="A180" s="6">
        <v>175</v>
      </c>
      <c r="B180" s="7" t="s">
        <v>699</v>
      </c>
      <c r="C180" s="6" t="s">
        <v>37</v>
      </c>
      <c r="D180" s="7" t="s">
        <v>700</v>
      </c>
      <c r="E180" s="7" t="s">
        <v>701</v>
      </c>
      <c r="F180" s="6" t="s">
        <v>95</v>
      </c>
      <c r="G180" s="7" t="s">
        <v>99</v>
      </c>
      <c r="H180" s="40" t="s">
        <v>1278</v>
      </c>
      <c r="I180" s="40" t="s">
        <v>1279</v>
      </c>
    </row>
    <row r="181" ht="175.5" customHeight="1">
      <c r="A181" s="6">
        <v>176</v>
      </c>
      <c r="B181" s="7" t="s">
        <v>699</v>
      </c>
      <c r="C181" s="6" t="s">
        <v>37</v>
      </c>
      <c r="D181" s="7" t="s">
        <v>700</v>
      </c>
      <c r="E181" s="7" t="s">
        <v>704</v>
      </c>
      <c r="F181" s="6" t="s">
        <v>95</v>
      </c>
      <c r="G181" s="7" t="s">
        <v>15</v>
      </c>
      <c r="H181" s="40" t="s">
        <v>1280</v>
      </c>
      <c r="I181" s="40" t="s">
        <v>1281</v>
      </c>
    </row>
    <row r="182" ht="175.5" customHeight="1">
      <c r="A182" s="6">
        <v>177</v>
      </c>
      <c r="B182" s="7" t="s">
        <v>699</v>
      </c>
      <c r="C182" s="6" t="s">
        <v>62</v>
      </c>
      <c r="D182" s="7" t="s">
        <v>700</v>
      </c>
      <c r="E182" s="7" t="s">
        <v>707</v>
      </c>
      <c r="F182" s="6" t="s">
        <v>95</v>
      </c>
      <c r="G182" s="7" t="s">
        <v>15</v>
      </c>
      <c r="H182" s="40" t="s">
        <v>1282</v>
      </c>
      <c r="I182" s="40" t="s">
        <v>1283</v>
      </c>
    </row>
    <row r="183" ht="175.5" customHeight="1">
      <c r="A183" s="6">
        <v>178</v>
      </c>
      <c r="B183" s="7" t="s">
        <v>710</v>
      </c>
      <c r="C183" s="6" t="s">
        <v>62</v>
      </c>
      <c r="D183" s="7" t="s">
        <v>711</v>
      </c>
      <c r="E183" s="7" t="s">
        <v>712</v>
      </c>
      <c r="F183" s="6" t="s">
        <v>89</v>
      </c>
      <c r="G183" s="7" t="s">
        <v>40</v>
      </c>
      <c r="H183" s="40" t="s">
        <v>1284</v>
      </c>
      <c r="I183" s="40" t="s">
        <v>1285</v>
      </c>
    </row>
    <row r="184" ht="188.25" customHeight="1">
      <c r="A184" s="6">
        <v>179</v>
      </c>
      <c r="B184" s="7" t="s">
        <v>699</v>
      </c>
      <c r="C184" s="6" t="s">
        <v>37</v>
      </c>
      <c r="D184" s="7" t="s">
        <v>715</v>
      </c>
      <c r="E184" s="7" t="s">
        <v>716</v>
      </c>
      <c r="F184" s="6" t="s">
        <v>95</v>
      </c>
      <c r="G184" s="7" t="s">
        <v>99</v>
      </c>
      <c r="H184" s="40" t="s">
        <v>1286</v>
      </c>
      <c r="I184" s="40" t="s">
        <v>1287</v>
      </c>
    </row>
    <row r="185" ht="238.5" customHeight="1">
      <c r="A185" s="6">
        <v>180</v>
      </c>
      <c r="B185" s="7" t="s">
        <v>699</v>
      </c>
      <c r="C185" s="6" t="s">
        <v>92</v>
      </c>
      <c r="D185" s="7" t="s">
        <v>719</v>
      </c>
      <c r="E185" s="7" t="s">
        <v>626</v>
      </c>
      <c r="F185" s="6" t="s">
        <v>14</v>
      </c>
      <c r="G185" s="7" t="s">
        <v>15</v>
      </c>
      <c r="H185" s="40" t="s">
        <v>1288</v>
      </c>
      <c r="I185" s="40" t="s">
        <v>1289</v>
      </c>
    </row>
    <row r="186" ht="188.25" customHeight="1">
      <c r="A186" s="6">
        <v>181</v>
      </c>
      <c r="B186" s="7" t="s">
        <v>699</v>
      </c>
      <c r="C186" s="6" t="s">
        <v>22</v>
      </c>
      <c r="D186" s="7" t="s">
        <v>722</v>
      </c>
      <c r="E186" s="7" t="s">
        <v>723</v>
      </c>
      <c r="F186" s="6" t="s">
        <v>14</v>
      </c>
      <c r="G186" s="7" t="s">
        <v>15</v>
      </c>
      <c r="H186" s="40" t="s">
        <v>1290</v>
      </c>
      <c r="I186" s="40" t="s">
        <v>1291</v>
      </c>
    </row>
    <row r="187" ht="238.5" customHeight="1">
      <c r="A187" s="6">
        <v>182</v>
      </c>
      <c r="B187" s="7" t="s">
        <v>699</v>
      </c>
      <c r="C187" s="6" t="s">
        <v>37</v>
      </c>
      <c r="D187" s="7" t="s">
        <v>726</v>
      </c>
      <c r="E187" s="7" t="s">
        <v>727</v>
      </c>
      <c r="F187" s="6" t="s">
        <v>728</v>
      </c>
      <c r="G187" s="7" t="s">
        <v>15</v>
      </c>
      <c r="H187" s="40" t="s">
        <v>1292</v>
      </c>
      <c r="I187" s="40" t="s">
        <v>1293</v>
      </c>
    </row>
    <row r="188" ht="138" customHeight="1">
      <c r="A188" s="6">
        <v>183</v>
      </c>
      <c r="B188" s="7" t="s">
        <v>699</v>
      </c>
      <c r="C188" s="6" t="s">
        <v>37</v>
      </c>
      <c r="D188" s="7" t="s">
        <v>731</v>
      </c>
      <c r="E188" s="7" t="s">
        <v>732</v>
      </c>
      <c r="F188" s="6" t="s">
        <v>14</v>
      </c>
      <c r="G188" s="7" t="s">
        <v>40</v>
      </c>
      <c r="H188" s="40" t="s">
        <v>1294</v>
      </c>
      <c r="I188" s="40" t="s">
        <v>1295</v>
      </c>
    </row>
    <row r="189" ht="100.5" customHeight="1">
      <c r="A189" s="6">
        <v>184</v>
      </c>
      <c r="B189" s="7" t="s">
        <v>699</v>
      </c>
      <c r="C189" s="6" t="s">
        <v>37</v>
      </c>
      <c r="D189" s="7" t="s">
        <v>735</v>
      </c>
      <c r="E189" s="7" t="s">
        <v>736</v>
      </c>
      <c r="F189" s="6" t="s">
        <v>14</v>
      </c>
      <c r="G189" s="7" t="s">
        <v>40</v>
      </c>
      <c r="H189" s="40" t="s">
        <v>1296</v>
      </c>
      <c r="I189" s="40" t="s">
        <v>1297</v>
      </c>
    </row>
    <row r="190" ht="213" customHeight="1">
      <c r="A190" s="6">
        <v>185</v>
      </c>
      <c r="B190" s="7" t="s">
        <v>699</v>
      </c>
      <c r="C190" s="6" t="s">
        <v>37</v>
      </c>
      <c r="D190" s="7" t="s">
        <v>735</v>
      </c>
      <c r="E190" s="7" t="s">
        <v>739</v>
      </c>
      <c r="F190" s="6" t="s">
        <v>14</v>
      </c>
      <c r="G190" s="7" t="s">
        <v>40</v>
      </c>
      <c r="H190" s="40" t="s">
        <v>1298</v>
      </c>
      <c r="I190" s="40" t="s">
        <v>1299</v>
      </c>
    </row>
    <row r="191" ht="113.25" customHeight="1">
      <c r="A191" s="6">
        <v>186</v>
      </c>
      <c r="B191" s="7" t="s">
        <v>699</v>
      </c>
      <c r="C191" s="6" t="s">
        <v>37</v>
      </c>
      <c r="D191" s="7" t="s">
        <v>742</v>
      </c>
      <c r="E191" s="7" t="s">
        <v>743</v>
      </c>
      <c r="F191" s="6" t="s">
        <v>95</v>
      </c>
      <c r="G191" s="7" t="s">
        <v>40</v>
      </c>
      <c r="H191" s="40" t="s">
        <v>1300</v>
      </c>
      <c r="I191" s="40" t="s">
        <v>1301</v>
      </c>
    </row>
    <row r="192" ht="100.5" customHeight="1">
      <c r="A192" s="6">
        <v>187</v>
      </c>
      <c r="B192" s="7" t="s">
        <v>699</v>
      </c>
      <c r="C192" s="6" t="s">
        <v>37</v>
      </c>
      <c r="D192" s="7" t="s">
        <v>746</v>
      </c>
      <c r="E192" s="7" t="s">
        <v>747</v>
      </c>
      <c r="F192" s="6" t="s">
        <v>95</v>
      </c>
      <c r="G192" s="7" t="s">
        <v>40</v>
      </c>
      <c r="H192" s="40" t="s">
        <v>1302</v>
      </c>
      <c r="I192" s="40" t="s">
        <v>1303</v>
      </c>
    </row>
    <row r="193" ht="175.5" customHeight="1">
      <c r="A193" s="6">
        <v>188</v>
      </c>
      <c r="B193" s="7" t="s">
        <v>699</v>
      </c>
      <c r="C193" s="6" t="s">
        <v>37</v>
      </c>
      <c r="D193" s="7" t="s">
        <v>746</v>
      </c>
      <c r="E193" s="7" t="s">
        <v>750</v>
      </c>
      <c r="F193" s="6" t="s">
        <v>95</v>
      </c>
      <c r="G193" s="7" t="s">
        <v>40</v>
      </c>
      <c r="H193" s="40" t="s">
        <v>1304</v>
      </c>
      <c r="I193" s="40" t="s">
        <v>1305</v>
      </c>
    </row>
    <row r="194" ht="201" customHeight="1">
      <c r="A194" s="6">
        <v>189</v>
      </c>
      <c r="B194" s="7" t="s">
        <v>699</v>
      </c>
      <c r="C194" s="6" t="s">
        <v>37</v>
      </c>
      <c r="D194" s="7" t="s">
        <v>753</v>
      </c>
      <c r="E194" s="7" t="s">
        <v>483</v>
      </c>
      <c r="F194" s="6" t="s">
        <v>95</v>
      </c>
      <c r="G194" s="7" t="s">
        <v>15</v>
      </c>
      <c r="H194" s="40" t="s">
        <v>1306</v>
      </c>
      <c r="I194" s="40" t="s">
        <v>1307</v>
      </c>
    </row>
    <row r="195" ht="150.75" customHeight="1">
      <c r="A195" s="6">
        <v>190</v>
      </c>
      <c r="B195" s="7" t="s">
        <v>699</v>
      </c>
      <c r="C195" s="6" t="s">
        <v>37</v>
      </c>
      <c r="D195" s="7" t="s">
        <v>722</v>
      </c>
      <c r="E195" s="7" t="s">
        <v>756</v>
      </c>
      <c r="F195" s="6" t="s">
        <v>95</v>
      </c>
      <c r="G195" s="7" t="s">
        <v>15</v>
      </c>
      <c r="H195" s="40" t="s">
        <v>1308</v>
      </c>
      <c r="I195" s="40" t="s">
        <v>1309</v>
      </c>
    </row>
    <row r="196" ht="175.5" customHeight="1">
      <c r="A196" s="6">
        <v>191</v>
      </c>
      <c r="B196" s="7" t="s">
        <v>699</v>
      </c>
      <c r="C196" s="6" t="s">
        <v>62</v>
      </c>
      <c r="D196" s="7" t="s">
        <v>759</v>
      </c>
      <c r="E196" s="7" t="s">
        <v>760</v>
      </c>
      <c r="F196" s="6" t="s">
        <v>84</v>
      </c>
      <c r="G196" s="7" t="s">
        <v>99</v>
      </c>
      <c r="H196" s="40" t="s">
        <v>1310</v>
      </c>
      <c r="I196" s="40" t="s">
        <v>1311</v>
      </c>
    </row>
    <row r="197" ht="163.5" customHeight="1">
      <c r="A197" s="6">
        <v>192</v>
      </c>
      <c r="B197" s="7" t="s">
        <v>699</v>
      </c>
      <c r="C197" s="6" t="s">
        <v>37</v>
      </c>
      <c r="D197" s="7" t="s">
        <v>763</v>
      </c>
      <c r="E197" s="7" t="s">
        <v>764</v>
      </c>
      <c r="F197" s="6" t="s">
        <v>14</v>
      </c>
      <c r="G197" s="7" t="s">
        <v>99</v>
      </c>
      <c r="H197" s="40" t="s">
        <v>1312</v>
      </c>
      <c r="I197" s="40" t="s">
        <v>1313</v>
      </c>
    </row>
    <row r="198" ht="225.75" customHeight="1">
      <c r="A198" s="6">
        <v>193</v>
      </c>
      <c r="B198" s="7" t="s">
        <v>767</v>
      </c>
      <c r="C198" s="6" t="s">
        <v>62</v>
      </c>
      <c r="D198" s="7" t="s">
        <v>768</v>
      </c>
      <c r="E198" s="7" t="s">
        <v>769</v>
      </c>
      <c r="F198" s="6" t="s">
        <v>14</v>
      </c>
      <c r="G198" s="7" t="s">
        <v>15</v>
      </c>
      <c r="H198" s="40" t="s">
        <v>1314</v>
      </c>
      <c r="I198" s="40" t="s">
        <v>1315</v>
      </c>
    </row>
    <row r="199" ht="138" customHeight="1">
      <c r="A199" s="6">
        <v>194</v>
      </c>
      <c r="B199" s="7" t="s">
        <v>699</v>
      </c>
      <c r="C199" s="6" t="s">
        <v>22</v>
      </c>
      <c r="D199" s="7" t="s">
        <v>772</v>
      </c>
      <c r="E199" s="7" t="s">
        <v>773</v>
      </c>
      <c r="F199" s="6" t="s">
        <v>95</v>
      </c>
      <c r="G199" s="7" t="s">
        <v>40</v>
      </c>
      <c r="H199" s="40" t="s">
        <v>1316</v>
      </c>
      <c r="I199" s="40" t="s">
        <v>1317</v>
      </c>
    </row>
    <row r="200" ht="213" customHeight="1">
      <c r="A200" s="6">
        <v>195</v>
      </c>
      <c r="B200" s="7" t="s">
        <v>699</v>
      </c>
      <c r="C200" s="6" t="s">
        <v>37</v>
      </c>
      <c r="D200" s="7" t="s">
        <v>776</v>
      </c>
      <c r="E200" s="7" t="s">
        <v>777</v>
      </c>
      <c r="F200" s="6" t="s">
        <v>95</v>
      </c>
      <c r="G200" s="7" t="s">
        <v>15</v>
      </c>
      <c r="H200" s="40" t="s">
        <v>1318</v>
      </c>
      <c r="I200" s="40" t="s">
        <v>1319</v>
      </c>
    </row>
    <row r="201" ht="100.5" customHeight="1">
      <c r="A201" s="6">
        <v>196</v>
      </c>
      <c r="B201" s="7" t="s">
        <v>699</v>
      </c>
      <c r="C201" s="6" t="s">
        <v>37</v>
      </c>
      <c r="D201" s="7" t="s">
        <v>780</v>
      </c>
      <c r="E201" s="7" t="s">
        <v>781</v>
      </c>
      <c r="F201" s="6" t="s">
        <v>84</v>
      </c>
      <c r="G201" s="7" t="s">
        <v>99</v>
      </c>
      <c r="H201" s="40" t="s">
        <v>1320</v>
      </c>
      <c r="I201" s="40" t="s">
        <v>1321</v>
      </c>
    </row>
    <row r="202" ht="113.25" customHeight="1">
      <c r="A202" s="6">
        <v>197</v>
      </c>
      <c r="B202" s="7" t="s">
        <v>699</v>
      </c>
      <c r="C202" s="6" t="s">
        <v>37</v>
      </c>
      <c r="D202" s="7" t="s">
        <v>784</v>
      </c>
      <c r="E202" s="7" t="s">
        <v>785</v>
      </c>
      <c r="F202" s="6" t="s">
        <v>95</v>
      </c>
      <c r="G202" s="7" t="s">
        <v>99</v>
      </c>
      <c r="H202" s="40" t="s">
        <v>1322</v>
      </c>
      <c r="I202" s="40" t="s">
        <v>1323</v>
      </c>
    </row>
    <row r="203" ht="100.5" customHeight="1">
      <c r="A203" s="6">
        <v>198</v>
      </c>
      <c r="B203" s="7" t="s">
        <v>699</v>
      </c>
      <c r="C203" s="6" t="s">
        <v>37</v>
      </c>
      <c r="D203" s="7" t="s">
        <v>788</v>
      </c>
      <c r="E203" s="7" t="s">
        <v>789</v>
      </c>
      <c r="F203" s="6" t="s">
        <v>95</v>
      </c>
      <c r="G203" s="7" t="s">
        <v>99</v>
      </c>
      <c r="H203" s="40" t="s">
        <v>1324</v>
      </c>
      <c r="I203" s="40" t="s">
        <v>1325</v>
      </c>
    </row>
    <row r="204" ht="100.5" customHeight="1">
      <c r="A204" s="6">
        <v>199</v>
      </c>
      <c r="B204" s="7" t="s">
        <v>699</v>
      </c>
      <c r="C204" s="6" t="s">
        <v>62</v>
      </c>
      <c r="D204" s="7" t="s">
        <v>784</v>
      </c>
      <c r="E204" s="7" t="s">
        <v>792</v>
      </c>
      <c r="F204" s="6" t="s">
        <v>95</v>
      </c>
      <c r="G204" s="7" t="s">
        <v>40</v>
      </c>
      <c r="H204" s="40" t="s">
        <v>1326</v>
      </c>
      <c r="I204" s="40" t="s">
        <v>1327</v>
      </c>
    </row>
    <row r="205" ht="150.75" customHeight="1">
      <c r="A205" s="6">
        <v>200</v>
      </c>
      <c r="B205" s="7" t="s">
        <v>699</v>
      </c>
      <c r="C205" s="6" t="s">
        <v>62</v>
      </c>
      <c r="D205" s="7" t="s">
        <v>784</v>
      </c>
      <c r="E205" s="7" t="s">
        <v>795</v>
      </c>
      <c r="F205" s="6" t="s">
        <v>95</v>
      </c>
      <c r="G205" s="7" t="s">
        <v>40</v>
      </c>
      <c r="H205" s="40" t="s">
        <v>1328</v>
      </c>
      <c r="I205" s="40" t="str">
        <v>TERM: BAĞA JETPES BAILYQ (БАҒА ЖЕТПЕС БАЙЛЫҚ) — priceless treasure [KED, SZK]; ironic non-lexical rendering of honorable lover
PASSAGE: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TRANS: Eger men jer betınen joğalyp ketetın bolsam, nemese Melli hanym ölıp qalsa, bağa jetpes bailyğyñyzğa, mahabbatyñyzben bas qosamyn dep armandaityn da şyğarsyz.
TRANSLATION: If I were to disappear from the face of the earth, or if Mrs Melly were to die, you may even be dreaming of joining your priceless treasure, your love.</v>
      </c>
    </row>
    <row r="206" ht="138" customHeight="1">
      <c r="A206" s="6">
        <v>201</v>
      </c>
      <c r="B206" s="7" t="s">
        <v>699</v>
      </c>
      <c r="C206" s="6" t="s">
        <v>62</v>
      </c>
      <c r="D206" s="7" t="s">
        <v>784</v>
      </c>
      <c r="E206" s="7" t="s">
        <v>797</v>
      </c>
      <c r="F206" s="6" t="s">
        <v>95</v>
      </c>
      <c r="G206" s="7" t="s">
        <v>40</v>
      </c>
      <c r="H206" s="40" t="s">
        <v>1329</v>
      </c>
      <c r="I206" s="40" t="s">
        <v>1330</v>
      </c>
    </row>
    <row r="207" ht="150.75" customHeight="1">
      <c r="A207" s="6">
        <v>202</v>
      </c>
      <c r="B207" s="7" t="s">
        <v>699</v>
      </c>
      <c r="C207" s="6" t="s">
        <v>62</v>
      </c>
      <c r="D207" s="7" t="s">
        <v>784</v>
      </c>
      <c r="E207" s="7" t="s">
        <v>800</v>
      </c>
      <c r="F207" s="6" t="s">
        <v>95</v>
      </c>
      <c r="G207" s="7" t="s">
        <v>99</v>
      </c>
      <c r="H207" s="40" t="s">
        <v>1331</v>
      </c>
      <c r="I207" s="40" t="str">
        <v>TERM: TŪMANDY SEZIM (ТҰМАНДЫ СЕЗІМ) — clouded feeling; clouded sense [KED, SZK]; honor is not lexicalized
PASSAGE: Оның тұманды сезімі менен Ретті тастап, өзіне күйеуге шығуымды сұратар әлі.
TRANS: Onyñ tūmandy sezımı menen Rettı tastap, özıne küieuge şyğuymdy sūratar älı.
TRANSLATION: His clouded sense will yet make him ask me to leave Rhett and marry him.</v>
      </c>
    </row>
    <row r="208" ht="126" customHeight="1">
      <c r="A208" s="6">
        <v>203</v>
      </c>
      <c r="B208" s="7" t="s">
        <v>699</v>
      </c>
      <c r="C208" s="6" t="s">
        <v>62</v>
      </c>
      <c r="D208" s="7" t="s">
        <v>788</v>
      </c>
      <c r="E208" s="7" t="s">
        <v>802</v>
      </c>
      <c r="F208" s="6" t="s">
        <v>95</v>
      </c>
      <c r="G208" s="7" t="s">
        <v>99</v>
      </c>
      <c r="H208" s="40" t="s">
        <v>1332</v>
      </c>
      <c r="I208" s="40" t="s">
        <v>1333</v>
      </c>
    </row>
    <row r="209" ht="238.5" customHeight="1">
      <c r="A209" s="6">
        <v>204</v>
      </c>
      <c r="B209" s="7" t="s">
        <v>767</v>
      </c>
      <c r="C209" s="6" t="s">
        <v>37</v>
      </c>
      <c r="D209" s="7" t="s">
        <v>768</v>
      </c>
      <c r="E209" s="7" t="s">
        <v>805</v>
      </c>
      <c r="F209" s="6" t="s">
        <v>84</v>
      </c>
      <c r="G209" s="7" t="s">
        <v>15</v>
      </c>
      <c r="H209" s="40" t="s">
        <v>1334</v>
      </c>
      <c r="I209" s="40" t="s">
        <v>1335</v>
      </c>
    </row>
    <row r="210" ht="150.75" customHeight="1">
      <c r="A210" s="6">
        <v>205</v>
      </c>
      <c r="B210" s="7" t="s">
        <v>767</v>
      </c>
      <c r="C210" s="6" t="s">
        <v>11</v>
      </c>
      <c r="D210" s="7" t="s">
        <v>768</v>
      </c>
      <c r="E210" s="7" t="s">
        <v>808</v>
      </c>
      <c r="F210" s="6" t="s">
        <v>203</v>
      </c>
      <c r="G210" s="7" t="s">
        <v>15</v>
      </c>
      <c r="H210" s="40" t="s">
        <v>1336</v>
      </c>
      <c r="I210" s="40" t="str">
        <v>TERM: KEMSITUŞILIK PEN QYSYM (КЕМСІТУШІЛІК ПЕН ҚЫСЫМ) — slighting or discrimination and pressure [KED, SZK]; non-lexical rendering of offense to honor
PASSAGE: ... жылқыларды алғанда ешқандай кемсітушілік пен қысымды сезінбеуі тиіс болды.
TRANS: ... jylqylardy alğanda eşqandai kemsıtuşılık pen qysymdy sezınbeuı tiıs boldy.
TRANSLATION: ...so that they should feel no slighting or pressure when receiving the horses.</v>
      </c>
    </row>
    <row r="211" ht="163.5" customHeight="1">
      <c r="A211" s="6">
        <v>206</v>
      </c>
      <c r="B211" s="7" t="s">
        <v>767</v>
      </c>
      <c r="C211" s="6" t="s">
        <v>11</v>
      </c>
      <c r="D211" s="7" t="s">
        <v>768</v>
      </c>
      <c r="E211" s="7" t="s">
        <v>810</v>
      </c>
      <c r="F211" s="6" t="s">
        <v>203</v>
      </c>
      <c r="G211" s="7" t="s">
        <v>15</v>
      </c>
      <c r="H211" s="40" t="str">
        <v>TERM: KARTOCHNYE DOLGI (КАРТОЧНЫЕ ДОЛГИ) — card debts; gambling debts [ORD]; honor is omitted
PASSAGE: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TRANS: Docheri ego priyateley poveryali emu svoi serdechnye tayny, a synov'ya, strashas' priznat'sya roditelyam v kartochnykh dolgakh, znali, chto mogut rasschityvat' na ego druzhbu v trudnuyu minutu.
TRANSLATION: His friends' daughters confided their heart's secrets to him, and their sons, fearing to admit card debts to their parents, knew they could rely on his friendship in difficult moments.</v>
      </c>
      <c r="I211" s="40" t="str">
        <v>TERM: QŪMAR OIYNDAR BOIYNŞA QARYZ (ҚҰМАР ОЙЫНДАР БОЙЫНША ҚАРЫЗ) — gambling debt [KED, SZK]; honor is omitted
PASSAGE: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TRANS: Onyñ dostarynyñ qyzdary oğan jürekterındegı qūpialaryn senıp aita alady, al ūldary özderınıñ ata-analary aldynda qūmar oiyndar boiynşa qaryzdaryn moiyndaudan qorqyp, qiyn sätte onyñ dostyğyna senım artuşy edı.
TRANSLATION: His friends' daughters could confide the secrets of their hearts to him, and their sons, fearing to confess gambling debts to their parents, used to rely on his friendship in difficult moments.</v>
      </c>
    </row>
    <row r="212" ht="213" customHeight="1">
      <c r="A212" s="6">
        <v>207</v>
      </c>
      <c r="B212" s="7" t="s">
        <v>767</v>
      </c>
      <c r="C212" s="6" t="s">
        <v>37</v>
      </c>
      <c r="D212" s="7" t="s">
        <v>768</v>
      </c>
      <c r="E212" s="7" t="s">
        <v>811</v>
      </c>
      <c r="F212" s="6" t="s">
        <v>203</v>
      </c>
      <c r="G212" s="7" t="s">
        <v>15</v>
      </c>
      <c r="H212" s="40" t="s">
        <v>1337</v>
      </c>
      <c r="I212" s="40" t="s">
        <v>1338</v>
      </c>
    </row>
    <row r="213" ht="150.75" customHeight="1">
      <c r="A213" s="6">
        <v>208</v>
      </c>
      <c r="B213" s="7" t="s">
        <v>767</v>
      </c>
      <c r="C213" s="6" t="s">
        <v>37</v>
      </c>
      <c r="D213" s="7" t="s">
        <v>814</v>
      </c>
      <c r="E213" s="7" t="s">
        <v>815</v>
      </c>
      <c r="F213" s="6" t="s">
        <v>203</v>
      </c>
      <c r="G213" s="7" t="s">
        <v>15</v>
      </c>
      <c r="H213" s="40" t="s">
        <v>1339</v>
      </c>
      <c r="I213" s="40" t="s">
        <v>1340</v>
      </c>
    </row>
    <row r="214" ht="175.5" customHeight="1">
      <c r="A214" s="6">
        <v>209</v>
      </c>
      <c r="B214" s="7" t="s">
        <v>767</v>
      </c>
      <c r="C214" s="6" t="s">
        <v>37</v>
      </c>
      <c r="D214" s="7" t="s">
        <v>817</v>
      </c>
      <c r="E214" s="7" t="s">
        <v>818</v>
      </c>
      <c r="F214" s="6" t="s">
        <v>14</v>
      </c>
      <c r="G214" s="7" t="s">
        <v>15</v>
      </c>
      <c r="H214" s="40" t="s">
        <v>1341</v>
      </c>
      <c r="I214" s="40" t="s">
        <v>1342</v>
      </c>
    </row>
    <row r="215" ht="188.25" customHeight="1">
      <c r="A215" s="6">
        <v>210</v>
      </c>
      <c r="B215" s="7" t="s">
        <v>767</v>
      </c>
      <c r="C215" s="6" t="s">
        <v>37</v>
      </c>
      <c r="D215" s="7" t="s">
        <v>821</v>
      </c>
      <c r="E215" s="7" t="s">
        <v>822</v>
      </c>
      <c r="F215" s="6" t="s">
        <v>95</v>
      </c>
      <c r="G215" s="7" t="s">
        <v>40</v>
      </c>
      <c r="H215" s="40" t="s">
        <v>1343</v>
      </c>
      <c r="I215" s="40" t="s">
        <v>1344</v>
      </c>
    </row>
    <row r="216" ht="150.75" customHeight="1">
      <c r="A216" s="6">
        <v>211</v>
      </c>
      <c r="B216" s="7" t="s">
        <v>767</v>
      </c>
      <c r="C216" s="6" t="s">
        <v>62</v>
      </c>
      <c r="D216" s="7" t="s">
        <v>768</v>
      </c>
      <c r="E216" s="7" t="s">
        <v>825</v>
      </c>
      <c r="F216" s="6" t="s">
        <v>95</v>
      </c>
      <c r="G216" s="7" t="s">
        <v>15</v>
      </c>
      <c r="H216" s="40" t="s">
        <v>1345</v>
      </c>
      <c r="I216" s="40" t="s">
        <v>1346</v>
      </c>
    </row>
    <row r="217" ht="100.5" customHeight="1">
      <c r="A217" s="6">
        <v>212</v>
      </c>
      <c r="B217" s="7" t="s">
        <v>767</v>
      </c>
      <c r="C217" s="6" t="s">
        <v>62</v>
      </c>
      <c r="D217" s="7" t="s">
        <v>768</v>
      </c>
      <c r="E217" s="7" t="s">
        <v>828</v>
      </c>
      <c r="F217" s="6" t="s">
        <v>95</v>
      </c>
      <c r="G217" s="7" t="s">
        <v>40</v>
      </c>
      <c r="H217" s="40" t="s">
        <v>1347</v>
      </c>
      <c r="I217" s="40" t="s">
        <v>1348</v>
      </c>
    </row>
    <row r="218" ht="175.5" customHeight="1">
      <c r="A218" s="6">
        <v>213</v>
      </c>
      <c r="B218" s="7" t="s">
        <v>767</v>
      </c>
      <c r="C218" s="6" t="s">
        <v>92</v>
      </c>
      <c r="D218" s="7" t="s">
        <v>768</v>
      </c>
      <c r="E218" s="7" t="s">
        <v>831</v>
      </c>
      <c r="F218" s="6" t="s">
        <v>832</v>
      </c>
      <c r="G218" s="7" t="s">
        <v>15</v>
      </c>
      <c r="H218" s="40" t="s">
        <v>1349</v>
      </c>
      <c r="I218" s="40" t="s">
        <v>1350</v>
      </c>
    </row>
    <row r="219" ht="113.25" customHeight="1">
      <c r="A219" s="6">
        <v>214</v>
      </c>
      <c r="B219" s="7" t="s">
        <v>835</v>
      </c>
      <c r="C219" s="6" t="s">
        <v>11</v>
      </c>
      <c r="D219" s="7" t="s">
        <v>768</v>
      </c>
      <c r="E219" s="7" t="s">
        <v>836</v>
      </c>
      <c r="F219" s="6" t="s">
        <v>203</v>
      </c>
      <c r="G219" s="7" t="s">
        <v>15</v>
      </c>
      <c r="H219" s="40" t="s">
        <v>1351</v>
      </c>
      <c r="I219" s="40" t="s">
        <v>1352</v>
      </c>
    </row>
    <row r="220" ht="113.25" customHeight="1">
      <c r="A220" s="6">
        <v>215</v>
      </c>
      <c r="B220" s="7" t="s">
        <v>835</v>
      </c>
      <c r="C220" s="6" t="s">
        <v>11</v>
      </c>
      <c r="D220" s="7" t="s">
        <v>839</v>
      </c>
      <c r="E220" s="7" t="s">
        <v>840</v>
      </c>
      <c r="F220" s="6" t="s">
        <v>203</v>
      </c>
      <c r="G220" s="7" t="s">
        <v>15</v>
      </c>
      <c r="H220" s="40" t="str">
        <v>TERM: VOINSKIE PODVIGI (ВОИНСКИЕ ПОДВИГИ) — military feats; deeds of valor [ORD]; non-lexical rendering of honor and glory
PASSAGE: Судьба обманула незадачливого мальчика, не подарив ему ни любви, которую, как ему казалось, он завоевал, ни воинских подвигов на полях сражений.
TRANS: Sud'ba obmanula nezadachlivogo mal'chika, ne podariv emu ni lyubvi, kotoruyu, kak emu kazalos', on zavoeval, ni voinskikh podvigov na polyakh srazheniy.
TRANSLATION: Fate deceived the unfortunate boy, granting him neither the love that he thought he had won, nor military feats on the fields of battle.</v>
      </c>
      <c r="I220" s="40" t="str">
        <v>TERM: ÄSKERI ERLIKTER (ӘСКЕРИ ЕРЛІКТЕР) — military feats; deeds of valor [KED, SZK]; non-lexical rendering of honor and glory
PASSAGE: Тағдыр аңқау баланы алдап, оған жаулап алдым деп ойлаған махаббатты да, ұрыс даласындағы әскері ерліктерді де бұйыртпады.
TRANS: Tağdyr añqau balany aldap, oğan jaulap aldym dep oilağan mahabbatty da, ūrys dalasyndağy äskerı erlıkterdı de būiyrtpady.
TRANSLATION: Fate deceived the naive boy: it did not grant him the love he thought he had conquered, nor the military feats on the battlefield.</v>
      </c>
    </row>
    <row r="221" ht="113.25" customHeight="1">
      <c r="A221" s="6">
        <v>216</v>
      </c>
      <c r="B221" s="7" t="s">
        <v>835</v>
      </c>
      <c r="C221" s="6" t="s">
        <v>11</v>
      </c>
      <c r="D221" s="7" t="s">
        <v>768</v>
      </c>
      <c r="E221" s="7" t="s">
        <v>841</v>
      </c>
      <c r="F221" s="6" t="s">
        <v>203</v>
      </c>
      <c r="G221" s="7" t="s">
        <v>99</v>
      </c>
      <c r="H221" s="40" t="s">
        <v>1353</v>
      </c>
      <c r="I221" s="40" t="s">
        <v>1354</v>
      </c>
    </row>
    <row r="222" ht="113.25" customHeight="1">
      <c r="A222" s="6">
        <v>217</v>
      </c>
      <c r="B222" s="7" t="s">
        <v>835</v>
      </c>
      <c r="C222" s="6" t="s">
        <v>92</v>
      </c>
      <c r="D222" s="7" t="s">
        <v>768</v>
      </c>
      <c r="E222" s="7" t="s">
        <v>844</v>
      </c>
      <c r="F222" s="6" t="s">
        <v>203</v>
      </c>
      <c r="G222" s="7" t="s">
        <v>15</v>
      </c>
      <c r="H222" s="40" t="s">
        <v>1355</v>
      </c>
      <c r="I222" s="40" t="s">
        <v>1356</v>
      </c>
    </row>
    <row r="223" ht="201" customHeight="1">
      <c r="A223" s="6">
        <v>218</v>
      </c>
      <c r="B223" s="7" t="s">
        <v>835</v>
      </c>
      <c r="C223" s="6" t="s">
        <v>37</v>
      </c>
      <c r="D223" s="7" t="s">
        <v>847</v>
      </c>
      <c r="E223" s="7" t="s">
        <v>848</v>
      </c>
      <c r="F223" s="6" t="s">
        <v>84</v>
      </c>
      <c r="G223" s="7" t="s">
        <v>99</v>
      </c>
      <c r="H223" s="40" t="s">
        <v>1357</v>
      </c>
      <c r="I223" s="40" t="str">
        <v>TERM: ÖZDERINIÑ ADAMY (ӨЗДЕРІНІҢ АДАМЫ) — one of their own [KED, SZK]; non-lexical rendering of dubious honor
PASSAGE: Маған күмәнданса да, өздерінің адамдары ретінде қарайтын кездері де бар. Әлде менің өз жерлестерімнің арасындағы «танымал еместігімді» біле ме.
TRANS: Mağan kümändansa da, özderınıñ adamdary retınde qaraityn kezderı de bar. Älde menıñ öz jerlesterımnıñ arasyndağy «tanymal emestıgımdı» bıle me.
TRANSLATION: There are also times when they look upon me as one of their own, even if they have doubts. Or they may know about my "unpopularity" among my fellow countrymen.</v>
      </c>
    </row>
    <row r="224" ht="75.75" customHeight="1">
      <c r="A224" s="6">
        <v>219</v>
      </c>
      <c r="B224" s="7" t="s">
        <v>835</v>
      </c>
      <c r="C224" s="6" t="s">
        <v>92</v>
      </c>
      <c r="D224" s="7" t="s">
        <v>839</v>
      </c>
      <c r="E224" s="7" t="s">
        <v>850</v>
      </c>
      <c r="F224" s="6" t="s">
        <v>95</v>
      </c>
      <c r="G224" s="7" t="s">
        <v>99</v>
      </c>
      <c r="H224" s="40" t="s">
        <v>1358</v>
      </c>
      <c r="I224" s="40" t="s">
        <v>1359</v>
      </c>
    </row>
    <row r="225" ht="238.5" customHeight="1">
      <c r="A225" s="6">
        <v>220</v>
      </c>
      <c r="B225" s="7" t="s">
        <v>853</v>
      </c>
      <c r="C225" s="6" t="s">
        <v>37</v>
      </c>
      <c r="D225" s="7" t="s">
        <v>768</v>
      </c>
      <c r="E225" s="7" t="s">
        <v>854</v>
      </c>
      <c r="F225" s="6" t="s">
        <v>95</v>
      </c>
      <c r="G225" s="7" t="s">
        <v>40</v>
      </c>
      <c r="H225" s="40" t="s">
        <v>1360</v>
      </c>
      <c r="I225" s="40" t="s">
        <v>1361</v>
      </c>
    </row>
    <row r="226" ht="138" customHeight="1">
      <c r="A226" s="6">
        <v>221</v>
      </c>
      <c r="B226" s="7" t="s">
        <v>853</v>
      </c>
      <c r="C226" s="6" t="s">
        <v>37</v>
      </c>
      <c r="D226" s="7" t="s">
        <v>759</v>
      </c>
      <c r="E226" s="7" t="s">
        <v>857</v>
      </c>
      <c r="F226" s="6" t="s">
        <v>95</v>
      </c>
      <c r="G226" s="7" t="s">
        <v>40</v>
      </c>
      <c r="H226" s="40" t="s">
        <v>1362</v>
      </c>
      <c r="I226" s="40" t="s">
        <v>1363</v>
      </c>
    </row>
    <row r="227" ht="163.5" customHeight="1">
      <c r="A227" s="6">
        <v>222</v>
      </c>
      <c r="B227" s="7" t="s">
        <v>853</v>
      </c>
      <c r="C227" s="6" t="s">
        <v>92</v>
      </c>
      <c r="D227" s="7" t="s">
        <v>759</v>
      </c>
      <c r="E227" s="7" t="s">
        <v>860</v>
      </c>
      <c r="F227" s="6" t="s">
        <v>95</v>
      </c>
      <c r="G227" s="7" t="s">
        <v>40</v>
      </c>
      <c r="H227" s="40" t="s">
        <v>1364</v>
      </c>
      <c r="I227" s="40" t="s">
        <v>1365</v>
      </c>
    </row>
    <row r="228" ht="201" customHeight="1">
      <c r="A228" s="6">
        <v>223</v>
      </c>
      <c r="B228" s="7" t="s">
        <v>853</v>
      </c>
      <c r="C228" s="6" t="s">
        <v>37</v>
      </c>
      <c r="D228" s="7" t="s">
        <v>759</v>
      </c>
      <c r="E228" s="7" t="s">
        <v>863</v>
      </c>
      <c r="F228" s="6" t="s">
        <v>864</v>
      </c>
      <c r="G228" s="7" t="s">
        <v>99</v>
      </c>
      <c r="H228" s="40" t="s">
        <v>1366</v>
      </c>
      <c r="I228" s="40" t="str">
        <v>TERM: SALAUATTY DA TÄRBIELI (САЛАУАТТЫ ДА ТӘРБИЕЛІ) — respectable and well-mannered [KED, SZK]; non-lexical rendering of honorable
PASSAGE: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TRANS: Qalai bolğanda da, men atamnyñ beinesın qasterleitınmın, äkem dıni nanym-senımı berık, salauatty da tärbielı myrza bolğanymen, menıñ atama ūqsağym keletın.
TRANSLATION: Whatever the case, I venerated my grandfather's figure, although my father, a sober and well-mannered gentleman of firm religious conviction, was such a man, I wanted to resemble my grandfather.</v>
      </c>
    </row>
    <row r="229" ht="150.75" customHeight="1">
      <c r="A229" s="6">
        <v>224</v>
      </c>
      <c r="B229" s="7" t="s">
        <v>853</v>
      </c>
      <c r="C229" s="6" t="s">
        <v>37</v>
      </c>
      <c r="D229" s="7" t="s">
        <v>866</v>
      </c>
      <c r="E229" s="7" t="s">
        <v>867</v>
      </c>
      <c r="F229" s="6" t="s">
        <v>84</v>
      </c>
      <c r="G229" s="7" t="s">
        <v>99</v>
      </c>
      <c r="H229" s="40" t="s">
        <v>1367</v>
      </c>
      <c r="I229" s="40" t="s">
        <v>1368</v>
      </c>
    </row>
    <row r="230" ht="188.25" customHeight="1">
      <c r="A230" s="6">
        <v>225</v>
      </c>
      <c r="B230" s="7" t="s">
        <v>870</v>
      </c>
      <c r="C230" s="6" t="s">
        <v>11</v>
      </c>
      <c r="D230" s="7" t="s">
        <v>871</v>
      </c>
      <c r="E230" s="7" t="s">
        <v>872</v>
      </c>
      <c r="F230" s="6" t="s">
        <v>203</v>
      </c>
      <c r="G230" s="7" t="s">
        <v>15</v>
      </c>
      <c r="H230" s="40" t="s">
        <v>1369</v>
      </c>
      <c r="I230" s="40" t="s">
        <v>1370</v>
      </c>
    </row>
    <row r="231" ht="100.5" customHeight="1">
      <c r="A231" s="6">
        <v>226</v>
      </c>
      <c r="B231" s="7" t="s">
        <v>870</v>
      </c>
      <c r="C231" s="6" t="s">
        <v>37</v>
      </c>
      <c r="D231" s="7" t="s">
        <v>711</v>
      </c>
      <c r="E231" s="7" t="s">
        <v>875</v>
      </c>
      <c r="F231" s="6" t="s">
        <v>14</v>
      </c>
      <c r="G231" s="7" t="s">
        <v>40</v>
      </c>
      <c r="H231" s="40" t="s">
        <v>1371</v>
      </c>
      <c r="I231" s="40" t="s">
        <v>1372</v>
      </c>
    </row>
    <row r="232" ht="175.5" customHeight="1">
      <c r="A232" s="6">
        <v>227</v>
      </c>
      <c r="B232" s="7" t="s">
        <v>870</v>
      </c>
      <c r="C232" s="6" t="s">
        <v>62</v>
      </c>
      <c r="D232" s="7" t="s">
        <v>878</v>
      </c>
      <c r="E232" s="7" t="s">
        <v>879</v>
      </c>
      <c r="F232" s="6" t="s">
        <v>95</v>
      </c>
      <c r="G232" s="7" t="s">
        <v>40</v>
      </c>
      <c r="H232" s="40" t="s">
        <v>1373</v>
      </c>
      <c r="I232" s="40" t="s">
        <v>1374</v>
      </c>
    </row>
    <row r="233" ht="126" customHeight="1">
      <c r="A233" s="6">
        <v>228</v>
      </c>
      <c r="B233" s="7" t="s">
        <v>870</v>
      </c>
      <c r="C233" s="6" t="s">
        <v>37</v>
      </c>
      <c r="D233" s="7" t="s">
        <v>711</v>
      </c>
      <c r="E233" s="7" t="s">
        <v>882</v>
      </c>
      <c r="F233" s="6" t="s">
        <v>84</v>
      </c>
      <c r="G233" s="7" t="s">
        <v>15</v>
      </c>
      <c r="H233" s="40" t="s">
        <v>1375</v>
      </c>
      <c r="I233" s="40" t="s">
        <v>1376</v>
      </c>
    </row>
    <row r="234" ht="276" customHeight="1">
      <c r="A234" s="6">
        <v>229</v>
      </c>
      <c r="B234" s="7" t="s">
        <v>870</v>
      </c>
      <c r="C234" s="6" t="s">
        <v>62</v>
      </c>
      <c r="D234" s="7" t="s">
        <v>711</v>
      </c>
      <c r="E234" s="7" t="s">
        <v>885</v>
      </c>
      <c r="F234" s="6" t="s">
        <v>886</v>
      </c>
      <c r="G234" s="7" t="s">
        <v>15</v>
      </c>
      <c r="H234" s="40" t="s">
        <v>1377</v>
      </c>
      <c r="I234" s="40" t="s">
        <v>1378</v>
      </c>
    </row>
    <row r="235" ht="138" customHeight="1">
      <c r="A235" s="6">
        <v>230</v>
      </c>
      <c r="B235" s="7" t="s">
        <v>889</v>
      </c>
      <c r="C235" s="6" t="s">
        <v>37</v>
      </c>
      <c r="D235" s="7" t="s">
        <v>890</v>
      </c>
      <c r="E235" s="7" t="s">
        <v>891</v>
      </c>
      <c r="F235" s="6" t="s">
        <v>95</v>
      </c>
      <c r="G235" s="7" t="s">
        <v>15</v>
      </c>
      <c r="H235" s="40" t="str">
        <v>TERM: CHESTʹ (ЧЕСТЬ) — honor [ORD]
PASSAGE: Слова «гостеприимство», «порядочность», «честь» значат для него куда больше, чем она сама.
TRANS: Slova «gostepriimstvo», «poryadochnost'», «chest'» znachat dlya nego kuda bol'she, chem ona sama.
TRANSLATION: The words "hospitality," "decency," "honor" mean far more to him than she does herself.</v>
      </c>
      <c r="I235" s="40" t="s">
        <v>1379</v>
      </c>
    </row>
    <row r="236" ht="100.5" customHeight="1">
      <c r="A236" s="6">
        <v>231</v>
      </c>
      <c r="B236" s="7" t="s">
        <v>889</v>
      </c>
      <c r="C236" s="6" t="s">
        <v>37</v>
      </c>
      <c r="D236" s="7" t="s">
        <v>893</v>
      </c>
      <c r="E236" s="7" t="s">
        <v>894</v>
      </c>
      <c r="F236" s="6" t="s">
        <v>84</v>
      </c>
      <c r="G236" s="7" t="s">
        <v>99</v>
      </c>
      <c r="H236" s="40" t="s">
        <v>1380</v>
      </c>
      <c r="I236" s="40" t="s">
        <v>1381</v>
      </c>
    </row>
    <row r="237" ht="14.25" customHeight="1">
      <c r="A237" s="10"/>
      <c r="B237" s="10"/>
      <c r="C237" s="10"/>
      <c r="D237" s="10"/>
      <c r="E237" s="10"/>
      <c r="F237" s="10"/>
      <c r="G237" s="10"/>
      <c r="H237" s="10"/>
      <c r="I237" s="9"/>
    </row>
    <row r="238" ht="14.25" customHeight="1">
      <c r="A238" s="10"/>
      <c r="B238" s="10"/>
      <c r="C238" s="10"/>
      <c r="D238" s="10"/>
      <c r="E238" s="10"/>
      <c r="F238" s="10"/>
      <c r="G238" s="10"/>
      <c r="H238" s="10"/>
      <c r="I238" s="9"/>
    </row>
    <row r="239" ht="14.25" customHeight="1">
      <c r="A239" s="10"/>
      <c r="B239" s="10"/>
      <c r="C239" s="10"/>
      <c r="D239" s="10"/>
      <c r="E239" s="10"/>
      <c r="F239" s="10"/>
      <c r="G239" s="10"/>
      <c r="H239" s="10"/>
      <c r="I239" s="9"/>
    </row>
    <row r="240" ht="14.25" customHeight="1">
      <c r="A240" s="10"/>
      <c r="B240" s="10"/>
      <c r="C240" s="10"/>
      <c r="D240" s="10"/>
      <c r="E240" s="10"/>
      <c r="F240" s="10"/>
      <c r="G240" s="10"/>
      <c r="H240" s="10"/>
      <c r="I240" s="9"/>
    </row>
    <row r="241" ht="14.25" customHeight="1">
      <c r="A241" s="10"/>
      <c r="B241" s="10"/>
      <c r="C241" s="10"/>
      <c r="D241" s="10"/>
      <c r="E241" s="10"/>
      <c r="F241" s="10"/>
      <c r="G241" s="10"/>
      <c r="H241" s="10"/>
      <c r="I241" s="9"/>
    </row>
    <row r="242" ht="14.25" customHeight="1">
      <c r="A242" s="10"/>
      <c r="B242" s="10"/>
      <c r="C242" s="10"/>
      <c r="D242" s="10"/>
      <c r="E242" s="10"/>
      <c r="F242" s="10"/>
      <c r="G242" s="10"/>
      <c r="H242" s="10"/>
      <c r="I242" s="9"/>
    </row>
    <row r="243" ht="14.25" customHeight="1">
      <c r="A243" s="10"/>
      <c r="B243" s="10"/>
      <c r="C243" s="10"/>
      <c r="D243" s="10"/>
      <c r="E243" s="10"/>
      <c r="F243" s="10"/>
      <c r="G243" s="10"/>
      <c r="H243" s="10"/>
      <c r="I243" s="9"/>
    </row>
    <row r="244" ht="14.25" customHeight="1">
      <c r="A244" s="10"/>
      <c r="B244" s="10"/>
      <c r="C244" s="10"/>
      <c r="D244" s="10"/>
      <c r="E244" s="10"/>
      <c r="F244" s="10"/>
      <c r="G244" s="10"/>
      <c r="H244" s="10"/>
      <c r="I244" s="9"/>
    </row>
    <row r="245" ht="14.25" customHeight="1">
      <c r="A245" s="10"/>
      <c r="B245" s="10"/>
      <c r="C245" s="10"/>
      <c r="D245" s="10"/>
      <c r="E245" s="10"/>
      <c r="F245" s="10"/>
      <c r="G245" s="10"/>
      <c r="H245" s="10"/>
      <c r="I245" s="9"/>
    </row>
    <row r="246" ht="14.25" customHeight="1">
      <c r="A246" s="10"/>
      <c r="B246" s="10"/>
      <c r="C246" s="10"/>
      <c r="D246" s="10"/>
      <c r="E246" s="10"/>
      <c r="F246" s="10"/>
      <c r="G246" s="10"/>
      <c r="H246" s="10"/>
      <c r="I246" s="9"/>
    </row>
    <row r="247" ht="14.25" customHeight="1">
      <c r="A247" s="10"/>
      <c r="B247" s="10"/>
      <c r="C247" s="10"/>
      <c r="D247" s="10"/>
      <c r="E247" s="10"/>
      <c r="F247" s="10"/>
      <c r="G247" s="10"/>
      <c r="H247" s="10"/>
      <c r="I247" s="9"/>
    </row>
    <row r="248" ht="14.25" customHeight="1">
      <c r="A248" s="10"/>
      <c r="B248" s="10"/>
      <c r="C248" s="10"/>
      <c r="D248" s="10"/>
      <c r="E248" s="10"/>
      <c r="F248" s="10"/>
      <c r="G248" s="10"/>
      <c r="H248" s="10"/>
      <c r="I248" s="9"/>
    </row>
    <row r="249" ht="14.25" customHeight="1">
      <c r="A249" s="10"/>
      <c r="B249" s="10"/>
      <c r="C249" s="10"/>
      <c r="D249" s="10"/>
      <c r="E249" s="10"/>
      <c r="F249" s="10"/>
      <c r="G249" s="10"/>
      <c r="H249" s="10"/>
      <c r="I249" s="9"/>
    </row>
    <row r="250" ht="14.25" customHeight="1">
      <c r="A250" s="10"/>
      <c r="B250" s="10"/>
      <c r="C250" s="10"/>
      <c r="D250" s="10"/>
      <c r="E250" s="10"/>
      <c r="F250" s="10"/>
      <c r="G250" s="10"/>
      <c r="H250" s="10"/>
      <c r="I250" s="9"/>
    </row>
    <row r="251" ht="14.25" customHeight="1">
      <c r="A251" s="10"/>
      <c r="B251" s="10"/>
      <c r="C251" s="10"/>
      <c r="D251" s="10"/>
      <c r="E251" s="10"/>
      <c r="F251" s="10"/>
      <c r="G251" s="10"/>
      <c r="H251" s="10"/>
      <c r="I251" s="9"/>
    </row>
    <row r="252" ht="14.25" customHeight="1">
      <c r="A252" s="10"/>
      <c r="B252" s="10"/>
      <c r="C252" s="10"/>
      <c r="D252" s="10"/>
      <c r="E252" s="10"/>
      <c r="F252" s="10"/>
      <c r="G252" s="10"/>
      <c r="H252" s="10"/>
      <c r="I252" s="9"/>
    </row>
    <row r="253" ht="14.25" customHeight="1">
      <c r="A253" s="10"/>
      <c r="B253" s="10"/>
      <c r="C253" s="10"/>
      <c r="D253" s="10"/>
      <c r="E253" s="10"/>
      <c r="F253" s="10"/>
      <c r="G253" s="10"/>
      <c r="H253" s="10"/>
      <c r="I253" s="9"/>
    </row>
    <row r="254" ht="14.25" customHeight="1">
      <c r="A254" s="10"/>
      <c r="B254" s="10"/>
      <c r="C254" s="10"/>
      <c r="D254" s="10"/>
      <c r="E254" s="10"/>
      <c r="F254" s="10"/>
      <c r="G254" s="10"/>
      <c r="H254" s="10"/>
      <c r="I254" s="9"/>
    </row>
    <row r="255" ht="14.25" customHeight="1">
      <c r="A255" s="10"/>
      <c r="B255" s="10"/>
      <c r="C255" s="10"/>
      <c r="D255" s="10"/>
      <c r="E255" s="10"/>
      <c r="F255" s="10"/>
      <c r="G255" s="10"/>
      <c r="H255" s="10"/>
      <c r="I255" s="9"/>
    </row>
    <row r="256" ht="14.25" customHeight="1">
      <c r="A256" s="10"/>
      <c r="B256" s="10"/>
      <c r="C256" s="10"/>
      <c r="D256" s="10"/>
      <c r="E256" s="10"/>
      <c r="F256" s="10"/>
      <c r="G256" s="10"/>
      <c r="H256" s="10"/>
      <c r="I256" s="9"/>
    </row>
    <row r="257" ht="14.25" customHeight="1">
      <c r="A257" s="10"/>
      <c r="B257" s="10"/>
      <c r="C257" s="10"/>
      <c r="D257" s="10"/>
      <c r="E257" s="10"/>
      <c r="F257" s="10"/>
      <c r="G257" s="10"/>
      <c r="H257" s="10"/>
      <c r="I257" s="9"/>
    </row>
    <row r="258" ht="14.25" customHeight="1">
      <c r="A258" s="10"/>
      <c r="B258" s="10"/>
      <c r="C258" s="10"/>
      <c r="D258" s="10"/>
      <c r="E258" s="10"/>
      <c r="F258" s="10"/>
      <c r="G258" s="10"/>
      <c r="H258" s="10"/>
      <c r="I258" s="9"/>
    </row>
    <row r="259" ht="14.25" customHeight="1">
      <c r="A259" s="10"/>
      <c r="B259" s="10"/>
      <c r="C259" s="10"/>
      <c r="D259" s="10"/>
      <c r="E259" s="10"/>
      <c r="F259" s="10"/>
      <c r="G259" s="10"/>
      <c r="H259" s="10"/>
      <c r="I259" s="9"/>
    </row>
    <row r="260" ht="14.25" customHeight="1">
      <c r="A260" s="10"/>
      <c r="B260" s="10"/>
      <c r="C260" s="10"/>
      <c r="D260" s="10"/>
      <c r="E260" s="10"/>
      <c r="F260" s="10"/>
      <c r="G260" s="10"/>
      <c r="H260" s="10"/>
      <c r="I260" s="9"/>
    </row>
    <row r="261" ht="14.25" customHeight="1">
      <c r="A261" s="10"/>
      <c r="B261" s="10"/>
      <c r="C261" s="10"/>
      <c r="D261" s="10"/>
      <c r="E261" s="10"/>
      <c r="F261" s="10"/>
      <c r="G261" s="10"/>
      <c r="H261" s="10"/>
      <c r="I261" s="9"/>
    </row>
    <row r="262" ht="14.25" customHeight="1">
      <c r="A262" s="10"/>
      <c r="B262" s="10"/>
      <c r="C262" s="10"/>
      <c r="D262" s="10"/>
      <c r="E262" s="10"/>
      <c r="F262" s="10"/>
      <c r="G262" s="10"/>
      <c r="H262" s="10"/>
      <c r="I262" s="9"/>
    </row>
    <row r="263" ht="14.25" customHeight="1">
      <c r="A263" s="10"/>
      <c r="B263" s="10"/>
      <c r="C263" s="10"/>
      <c r="D263" s="10"/>
      <c r="E263" s="10"/>
      <c r="F263" s="10"/>
      <c r="G263" s="10"/>
      <c r="H263" s="10"/>
      <c r="I263" s="9"/>
    </row>
    <row r="264" ht="14.25" customHeight="1">
      <c r="A264" s="10"/>
      <c r="B264" s="10"/>
      <c r="C264" s="10"/>
      <c r="D264" s="10"/>
      <c r="E264" s="10"/>
      <c r="F264" s="10"/>
      <c r="G264" s="10"/>
      <c r="H264" s="10"/>
      <c r="I264" s="9"/>
    </row>
    <row r="265" ht="14.25" customHeight="1">
      <c r="A265" s="10"/>
      <c r="B265" s="10"/>
      <c r="C265" s="10"/>
      <c r="D265" s="10"/>
      <c r="E265" s="10"/>
      <c r="F265" s="10"/>
      <c r="G265" s="10"/>
      <c r="H265" s="10"/>
      <c r="I265" s="9"/>
    </row>
    <row r="266" ht="14.25" customHeight="1">
      <c r="A266" s="10"/>
      <c r="B266" s="10"/>
      <c r="C266" s="10"/>
      <c r="D266" s="10"/>
      <c r="E266" s="10"/>
      <c r="F266" s="10"/>
      <c r="G266" s="10"/>
      <c r="H266" s="10"/>
      <c r="I266" s="9"/>
    </row>
    <row r="267" ht="14.25" customHeight="1">
      <c r="A267" s="10"/>
      <c r="B267" s="10"/>
      <c r="C267" s="10"/>
      <c r="D267" s="10"/>
      <c r="E267" s="10"/>
      <c r="F267" s="10"/>
      <c r="G267" s="10"/>
      <c r="H267" s="10"/>
      <c r="I267" s="9"/>
    </row>
    <row r="268" ht="14.25" customHeight="1">
      <c r="A268" s="10"/>
      <c r="B268" s="10"/>
      <c r="C268" s="10"/>
      <c r="D268" s="10"/>
      <c r="E268" s="10"/>
      <c r="F268" s="10"/>
      <c r="G268" s="10"/>
      <c r="H268" s="10"/>
      <c r="I268" s="9"/>
    </row>
    <row r="269" ht="14.25" customHeight="1">
      <c r="A269" s="10"/>
      <c r="B269" s="10"/>
      <c r="C269" s="10"/>
      <c r="D269" s="10"/>
      <c r="E269" s="10"/>
      <c r="F269" s="10"/>
      <c r="G269" s="10"/>
      <c r="H269" s="10"/>
      <c r="I269" s="9"/>
    </row>
    <row r="270" ht="14.25" customHeight="1">
      <c r="A270" s="10"/>
      <c r="B270" s="10"/>
      <c r="C270" s="10"/>
      <c r="D270" s="10"/>
      <c r="E270" s="10"/>
      <c r="F270" s="10"/>
      <c r="G270" s="10"/>
      <c r="H270" s="10"/>
      <c r="I270" s="9"/>
    </row>
    <row r="271" ht="14.25" customHeight="1">
      <c r="A271" s="10"/>
      <c r="B271" s="10"/>
      <c r="C271" s="10"/>
      <c r="D271" s="10"/>
      <c r="E271" s="10"/>
      <c r="F271" s="10"/>
      <c r="G271" s="10"/>
      <c r="H271" s="10"/>
      <c r="I271" s="9"/>
    </row>
    <row r="272" ht="14.25" customHeight="1">
      <c r="A272" s="10"/>
      <c r="B272" s="10"/>
      <c r="C272" s="10"/>
      <c r="D272" s="10"/>
      <c r="E272" s="10"/>
      <c r="F272" s="10"/>
      <c r="G272" s="10"/>
      <c r="H272" s="10"/>
      <c r="I272" s="9"/>
    </row>
    <row r="273" ht="14.25" customHeight="1">
      <c r="A273" s="10"/>
      <c r="B273" s="10"/>
      <c r="C273" s="10"/>
      <c r="D273" s="10"/>
      <c r="E273" s="10"/>
      <c r="F273" s="10"/>
      <c r="G273" s="10"/>
      <c r="H273" s="10"/>
      <c r="I273" s="9"/>
    </row>
    <row r="274" ht="14.25" customHeight="1">
      <c r="A274" s="10"/>
      <c r="B274" s="10"/>
      <c r="C274" s="10"/>
      <c r="D274" s="10"/>
      <c r="E274" s="10"/>
      <c r="F274" s="10"/>
      <c r="G274" s="10"/>
      <c r="H274" s="10"/>
      <c r="I274" s="9"/>
    </row>
    <row r="275" ht="14.25" customHeight="1">
      <c r="A275" s="10"/>
      <c r="B275" s="10"/>
      <c r="C275" s="10"/>
      <c r="D275" s="10"/>
      <c r="E275" s="10"/>
      <c r="F275" s="10"/>
      <c r="G275" s="10"/>
      <c r="H275" s="10"/>
      <c r="I275" s="9"/>
    </row>
    <row r="276" ht="14.25" customHeight="1">
      <c r="A276" s="10"/>
      <c r="B276" s="10"/>
      <c r="C276" s="10"/>
      <c r="D276" s="10"/>
      <c r="E276" s="10"/>
      <c r="F276" s="10"/>
      <c r="G276" s="10"/>
      <c r="H276" s="10"/>
      <c r="I276" s="9"/>
    </row>
    <row r="277" ht="14.25" customHeight="1">
      <c r="A277" s="10"/>
      <c r="B277" s="10"/>
      <c r="C277" s="10"/>
      <c r="D277" s="10"/>
      <c r="E277" s="10"/>
      <c r="F277" s="10"/>
      <c r="G277" s="10"/>
      <c r="H277" s="10"/>
      <c r="I277" s="9"/>
    </row>
    <row r="278" ht="14.25" customHeight="1">
      <c r="A278" s="10"/>
      <c r="B278" s="10"/>
      <c r="C278" s="10"/>
      <c r="D278" s="10"/>
      <c r="E278" s="10"/>
      <c r="F278" s="10"/>
      <c r="G278" s="10"/>
      <c r="H278" s="10"/>
      <c r="I278" s="9"/>
    </row>
    <row r="279" ht="14.25" customHeight="1">
      <c r="A279" s="10"/>
      <c r="B279" s="10"/>
      <c r="C279" s="10"/>
      <c r="D279" s="10"/>
      <c r="E279" s="10"/>
      <c r="F279" s="10"/>
      <c r="G279" s="10"/>
      <c r="H279" s="10"/>
      <c r="I279" s="9"/>
    </row>
    <row r="280" ht="14.25" customHeight="1">
      <c r="A280" s="10"/>
      <c r="B280" s="10"/>
      <c r="C280" s="10"/>
      <c r="D280" s="10"/>
      <c r="E280" s="10"/>
      <c r="F280" s="10"/>
      <c r="G280" s="10"/>
      <c r="H280" s="10"/>
      <c r="I280" s="9"/>
    </row>
    <row r="281" ht="14.25" customHeight="1">
      <c r="A281" s="10"/>
      <c r="B281" s="10"/>
      <c r="C281" s="10"/>
      <c r="D281" s="10"/>
      <c r="E281" s="10"/>
      <c r="F281" s="10"/>
      <c r="G281" s="10"/>
      <c r="H281" s="10"/>
      <c r="I281" s="9"/>
    </row>
    <row r="282" ht="14.25" customHeight="1">
      <c r="A282" s="10"/>
      <c r="B282" s="10"/>
      <c r="C282" s="10"/>
      <c r="D282" s="10"/>
      <c r="E282" s="10"/>
      <c r="F282" s="10"/>
      <c r="G282" s="10"/>
      <c r="H282" s="10"/>
      <c r="I282" s="9"/>
    </row>
    <row r="283" ht="14.25" customHeight="1">
      <c r="A283" s="10"/>
      <c r="B283" s="10"/>
      <c r="C283" s="10"/>
      <c r="D283" s="10"/>
      <c r="E283" s="10"/>
      <c r="F283" s="10"/>
      <c r="G283" s="10"/>
      <c r="H283" s="10"/>
      <c r="I283" s="9"/>
    </row>
    <row r="284" ht="14.25" customHeight="1">
      <c r="A284" s="10"/>
      <c r="B284" s="10"/>
      <c r="C284" s="10"/>
      <c r="D284" s="10"/>
      <c r="E284" s="10"/>
      <c r="F284" s="10"/>
      <c r="G284" s="10"/>
      <c r="H284" s="10"/>
      <c r="I284" s="9"/>
    </row>
    <row r="285" ht="14.25" customHeight="1">
      <c r="A285" s="10"/>
      <c r="B285" s="10"/>
      <c r="C285" s="10"/>
      <c r="D285" s="10"/>
      <c r="E285" s="10"/>
      <c r="F285" s="10"/>
      <c r="G285" s="10"/>
      <c r="H285" s="10"/>
      <c r="I285" s="9"/>
    </row>
    <row r="286" ht="14.25" customHeight="1">
      <c r="A286" s="10"/>
      <c r="B286" s="10"/>
      <c r="C286" s="10"/>
      <c r="D286" s="10"/>
      <c r="E286" s="10"/>
      <c r="F286" s="10"/>
      <c r="G286" s="10"/>
      <c r="H286" s="10"/>
      <c r="I286" s="9"/>
    </row>
    <row r="287" ht="14.25" customHeight="1">
      <c r="A287" s="10"/>
      <c r="B287" s="10"/>
      <c r="C287" s="10"/>
      <c r="D287" s="10"/>
      <c r="E287" s="10"/>
      <c r="F287" s="10"/>
      <c r="G287" s="10"/>
      <c r="H287" s="10"/>
      <c r="I287" s="9"/>
    </row>
    <row r="288" ht="14.25" customHeight="1">
      <c r="A288" s="10"/>
      <c r="B288" s="10"/>
      <c r="C288" s="10"/>
      <c r="D288" s="10"/>
      <c r="E288" s="10"/>
      <c r="F288" s="10"/>
      <c r="G288" s="10"/>
      <c r="H288" s="10"/>
      <c r="I288" s="9"/>
    </row>
    <row r="289" ht="14.25" customHeight="1">
      <c r="A289" s="10"/>
      <c r="B289" s="10"/>
      <c r="C289" s="10"/>
      <c r="D289" s="10"/>
      <c r="E289" s="10"/>
      <c r="F289" s="10"/>
      <c r="G289" s="10"/>
      <c r="H289" s="10"/>
      <c r="I289" s="9"/>
    </row>
    <row r="290" ht="14.25" customHeight="1">
      <c r="A290" s="10"/>
      <c r="B290" s="10"/>
      <c r="C290" s="10"/>
      <c r="D290" s="10"/>
      <c r="E290" s="10"/>
      <c r="F290" s="10"/>
      <c r="G290" s="10"/>
      <c r="H290" s="10"/>
      <c r="I290" s="9"/>
    </row>
    <row r="291" ht="14.25" customHeight="1">
      <c r="A291" s="10"/>
      <c r="B291" s="10"/>
      <c r="C291" s="10"/>
      <c r="D291" s="10"/>
      <c r="E291" s="10"/>
      <c r="F291" s="10"/>
      <c r="G291" s="10"/>
      <c r="H291" s="10"/>
      <c r="I291" s="9"/>
    </row>
    <row r="292" ht="14.25" customHeight="1">
      <c r="A292" s="10"/>
      <c r="B292" s="10"/>
      <c r="C292" s="10"/>
      <c r="D292" s="10"/>
      <c r="E292" s="10"/>
      <c r="F292" s="10"/>
      <c r="G292" s="10"/>
      <c r="H292" s="10"/>
      <c r="I292" s="9"/>
    </row>
    <row r="293" ht="14.25" customHeight="1">
      <c r="A293" s="10"/>
      <c r="B293" s="10"/>
      <c r="C293" s="10"/>
      <c r="D293" s="10"/>
      <c r="E293" s="10"/>
      <c r="F293" s="10"/>
      <c r="G293" s="10"/>
      <c r="H293" s="10"/>
      <c r="I293" s="9"/>
    </row>
    <row r="294" ht="14.25" customHeight="1">
      <c r="A294" s="10"/>
      <c r="B294" s="10"/>
      <c r="C294" s="10"/>
      <c r="D294" s="10"/>
      <c r="E294" s="10"/>
      <c r="F294" s="10"/>
      <c r="G294" s="10"/>
      <c r="H294" s="10"/>
      <c r="I294" s="9"/>
    </row>
    <row r="295" ht="14.25" customHeight="1">
      <c r="A295" s="10"/>
      <c r="B295" s="10"/>
      <c r="C295" s="10"/>
      <c r="D295" s="10"/>
      <c r="E295" s="10"/>
      <c r="F295" s="10"/>
      <c r="G295" s="10"/>
      <c r="H295" s="10"/>
      <c r="I295" s="9"/>
    </row>
    <row r="296" ht="14.25" customHeight="1">
      <c r="A296" s="10"/>
      <c r="B296" s="10"/>
      <c r="C296" s="10"/>
      <c r="D296" s="10"/>
      <c r="E296" s="10"/>
      <c r="F296" s="10"/>
      <c r="G296" s="10"/>
      <c r="H296" s="10"/>
      <c r="I296" s="9"/>
    </row>
    <row r="297" ht="14.25" customHeight="1">
      <c r="A297" s="10"/>
      <c r="B297" s="10"/>
      <c r="C297" s="10"/>
      <c r="D297" s="10"/>
      <c r="E297" s="10"/>
      <c r="F297" s="10"/>
      <c r="G297" s="10"/>
      <c r="H297" s="10"/>
      <c r="I297" s="9"/>
    </row>
    <row r="298" ht="14.25" customHeight="1">
      <c r="A298" s="10"/>
      <c r="B298" s="10"/>
      <c r="C298" s="10"/>
      <c r="D298" s="10"/>
      <c r="E298" s="10"/>
      <c r="F298" s="10"/>
      <c r="G298" s="10"/>
      <c r="H298" s="10"/>
      <c r="I298" s="9"/>
    </row>
    <row r="299" ht="14.25" customHeight="1">
      <c r="A299" s="10"/>
      <c r="B299" s="10"/>
      <c r="C299" s="10"/>
      <c r="D299" s="10"/>
      <c r="E299" s="10"/>
      <c r="F299" s="10"/>
      <c r="G299" s="10"/>
      <c r="H299" s="10"/>
      <c r="I299" s="9"/>
    </row>
    <row r="300" ht="14.25" customHeight="1">
      <c r="A300" s="10"/>
      <c r="B300" s="10"/>
      <c r="C300" s="10"/>
      <c r="D300" s="10"/>
      <c r="E300" s="10"/>
      <c r="F300" s="10"/>
      <c r="G300" s="10"/>
      <c r="H300" s="10"/>
      <c r="I300" s="9"/>
    </row>
    <row r="301" ht="14.25" customHeight="1">
      <c r="A301" s="10"/>
      <c r="B301" s="10"/>
      <c r="C301" s="10"/>
      <c r="D301" s="10"/>
      <c r="E301" s="10"/>
      <c r="F301" s="10"/>
      <c r="G301" s="10"/>
      <c r="H301" s="10"/>
      <c r="I301" s="9"/>
    </row>
    <row r="302" ht="14.25" customHeight="1">
      <c r="A302" s="10"/>
      <c r="B302" s="10"/>
      <c r="C302" s="10"/>
      <c r="D302" s="10"/>
      <c r="E302" s="10"/>
      <c r="F302" s="10"/>
      <c r="G302" s="10"/>
      <c r="H302" s="10"/>
      <c r="I302" s="9"/>
    </row>
    <row r="303" ht="14.25" customHeight="1">
      <c r="A303" s="10"/>
      <c r="B303" s="10"/>
      <c r="C303" s="10"/>
      <c r="D303" s="10"/>
      <c r="E303" s="10"/>
      <c r="F303" s="10"/>
      <c r="G303" s="10"/>
      <c r="H303" s="10"/>
      <c r="I303" s="9"/>
    </row>
    <row r="304" ht="14.25" customHeight="1">
      <c r="A304" s="10"/>
      <c r="B304" s="10"/>
      <c r="C304" s="10"/>
      <c r="D304" s="10"/>
      <c r="E304" s="10"/>
      <c r="F304" s="10"/>
      <c r="G304" s="10"/>
      <c r="H304" s="10"/>
      <c r="I304" s="9"/>
    </row>
    <row r="305" ht="14.25" customHeight="1">
      <c r="A305" s="10"/>
      <c r="B305" s="10"/>
      <c r="C305" s="10"/>
      <c r="D305" s="10"/>
      <c r="E305" s="10"/>
      <c r="F305" s="10"/>
      <c r="G305" s="10"/>
      <c r="H305" s="10"/>
      <c r="I305" s="9"/>
    </row>
    <row r="306" ht="14.25" customHeight="1">
      <c r="A306" s="10"/>
      <c r="B306" s="10"/>
      <c r="C306" s="10"/>
      <c r="D306" s="10"/>
      <c r="E306" s="10"/>
      <c r="F306" s="10"/>
      <c r="G306" s="10"/>
      <c r="H306" s="10"/>
      <c r="I306" s="9"/>
    </row>
    <row r="307" ht="14.25" customHeight="1">
      <c r="A307" s="10"/>
      <c r="B307" s="10"/>
      <c r="C307" s="10"/>
      <c r="D307" s="10"/>
      <c r="E307" s="10"/>
      <c r="F307" s="10"/>
      <c r="G307" s="10"/>
      <c r="H307" s="10"/>
      <c r="I307" s="9"/>
    </row>
    <row r="308" ht="14.25" customHeight="1">
      <c r="A308" s="10"/>
      <c r="B308" s="10"/>
      <c r="C308" s="10"/>
      <c r="D308" s="10"/>
      <c r="E308" s="10"/>
      <c r="F308" s="10"/>
      <c r="G308" s="10"/>
      <c r="H308" s="10"/>
      <c r="I308" s="9"/>
    </row>
    <row r="309" ht="14.25" customHeight="1">
      <c r="A309" s="10"/>
      <c r="B309" s="10"/>
      <c r="C309" s="10"/>
      <c r="D309" s="10"/>
      <c r="E309" s="10"/>
      <c r="F309" s="10"/>
      <c r="G309" s="10"/>
      <c r="H309" s="10"/>
      <c r="I309" s="9"/>
    </row>
    <row r="310" ht="14.25" customHeight="1">
      <c r="A310" s="10"/>
      <c r="B310" s="10"/>
      <c r="C310" s="10"/>
      <c r="D310" s="10"/>
      <c r="E310" s="10"/>
      <c r="F310" s="10"/>
      <c r="G310" s="10"/>
      <c r="H310" s="10"/>
      <c r="I310" s="9"/>
    </row>
    <row r="311" ht="14.25" customHeight="1">
      <c r="A311" s="10"/>
      <c r="B311" s="10"/>
      <c r="C311" s="10"/>
      <c r="D311" s="10"/>
      <c r="E311" s="10"/>
      <c r="F311" s="10"/>
      <c r="G311" s="10"/>
      <c r="H311" s="10"/>
      <c r="I311" s="9"/>
    </row>
    <row r="312" ht="14.25" customHeight="1">
      <c r="A312" s="10"/>
      <c r="B312" s="10"/>
      <c r="C312" s="10"/>
      <c r="D312" s="10"/>
      <c r="E312" s="10"/>
      <c r="F312" s="10"/>
      <c r="G312" s="10"/>
      <c r="H312" s="10"/>
      <c r="I312" s="9"/>
    </row>
    <row r="313" ht="14.25" customHeight="1">
      <c r="A313" s="10"/>
      <c r="B313" s="10"/>
      <c r="C313" s="10"/>
      <c r="D313" s="10"/>
      <c r="E313" s="10"/>
      <c r="F313" s="10"/>
      <c r="G313" s="10"/>
      <c r="H313" s="10"/>
      <c r="I313" s="9"/>
    </row>
    <row r="314" ht="14.25" customHeight="1">
      <c r="A314" s="10"/>
      <c r="B314" s="10"/>
      <c r="C314" s="10"/>
      <c r="D314" s="10"/>
      <c r="E314" s="10"/>
      <c r="F314" s="10"/>
      <c r="G314" s="10"/>
      <c r="H314" s="10"/>
      <c r="I314" s="9"/>
    </row>
    <row r="315" ht="14.25" customHeight="1">
      <c r="A315" s="10"/>
      <c r="B315" s="10"/>
      <c r="C315" s="10"/>
      <c r="D315" s="10"/>
      <c r="E315" s="10"/>
      <c r="F315" s="10"/>
      <c r="G315" s="10"/>
      <c r="H315" s="10"/>
      <c r="I315" s="9"/>
    </row>
    <row r="316" ht="14.25" customHeight="1">
      <c r="A316" s="10"/>
      <c r="B316" s="10"/>
      <c r="C316" s="10"/>
      <c r="D316" s="10"/>
      <c r="E316" s="10"/>
      <c r="F316" s="10"/>
      <c r="G316" s="10"/>
      <c r="H316" s="10"/>
      <c r="I316" s="9"/>
    </row>
    <row r="317" ht="14.25" customHeight="1">
      <c r="A317" s="10"/>
      <c r="B317" s="10"/>
      <c r="C317" s="10"/>
      <c r="D317" s="10"/>
      <c r="E317" s="10"/>
      <c r="F317" s="10"/>
      <c r="G317" s="10"/>
      <c r="H317" s="10"/>
      <c r="I317" s="9"/>
    </row>
    <row r="318" ht="14.25" customHeight="1">
      <c r="A318" s="10"/>
      <c r="B318" s="10"/>
      <c r="C318" s="10"/>
      <c r="D318" s="10"/>
      <c r="E318" s="10"/>
      <c r="F318" s="10"/>
      <c r="G318" s="10"/>
      <c r="H318" s="10"/>
      <c r="I318" s="9"/>
    </row>
    <row r="319" ht="14.25" customHeight="1">
      <c r="A319" s="10"/>
      <c r="B319" s="10"/>
      <c r="C319" s="10"/>
      <c r="D319" s="10"/>
      <c r="E319" s="10"/>
      <c r="F319" s="10"/>
      <c r="G319" s="10"/>
      <c r="H319" s="10"/>
      <c r="I319" s="9"/>
    </row>
    <row r="320" ht="14.25" customHeight="1">
      <c r="A320" s="10"/>
      <c r="B320" s="10"/>
      <c r="C320" s="10"/>
      <c r="D320" s="10"/>
      <c r="E320" s="10"/>
      <c r="F320" s="10"/>
      <c r="G320" s="10"/>
      <c r="H320" s="10"/>
      <c r="I320" s="9"/>
    </row>
    <row r="321" ht="14.25" customHeight="1">
      <c r="A321" s="10"/>
      <c r="B321" s="10"/>
      <c r="C321" s="10"/>
      <c r="D321" s="10"/>
      <c r="E321" s="10"/>
      <c r="F321" s="10"/>
      <c r="G321" s="10"/>
      <c r="H321" s="10"/>
      <c r="I321" s="9"/>
    </row>
    <row r="322" ht="14.25" customHeight="1">
      <c r="A322" s="10"/>
      <c r="B322" s="10"/>
      <c r="C322" s="10"/>
      <c r="D322" s="10"/>
      <c r="E322" s="10"/>
      <c r="F322" s="10"/>
      <c r="G322" s="10"/>
      <c r="H322" s="10"/>
      <c r="I322" s="9"/>
    </row>
    <row r="323" ht="14.25" customHeight="1">
      <c r="A323" s="10"/>
      <c r="B323" s="10"/>
      <c r="C323" s="10"/>
      <c r="D323" s="10"/>
      <c r="E323" s="10"/>
      <c r="F323" s="10"/>
      <c r="G323" s="10"/>
      <c r="H323" s="10"/>
      <c r="I323" s="9"/>
    </row>
    <row r="324" ht="14.25" customHeight="1">
      <c r="A324" s="10"/>
      <c r="B324" s="10"/>
      <c r="C324" s="10"/>
      <c r="D324" s="10"/>
      <c r="E324" s="10"/>
      <c r="F324" s="10"/>
      <c r="G324" s="10"/>
      <c r="H324" s="10"/>
      <c r="I324" s="9"/>
    </row>
    <row r="325" ht="14.25" customHeight="1">
      <c r="A325" s="10"/>
      <c r="B325" s="10"/>
      <c r="C325" s="10"/>
      <c r="D325" s="10"/>
      <c r="E325" s="10"/>
      <c r="F325" s="10"/>
      <c r="G325" s="10"/>
      <c r="H325" s="10"/>
      <c r="I325" s="9"/>
    </row>
    <row r="326" ht="14.25" customHeight="1">
      <c r="A326" s="10"/>
      <c r="B326" s="10"/>
      <c r="C326" s="10"/>
      <c r="D326" s="10"/>
      <c r="E326" s="10"/>
      <c r="F326" s="10"/>
      <c r="G326" s="10"/>
      <c r="H326" s="10"/>
      <c r="I326" s="9"/>
    </row>
    <row r="327" ht="14.25" customHeight="1">
      <c r="A327" s="10"/>
      <c r="B327" s="10"/>
      <c r="C327" s="10"/>
      <c r="D327" s="10"/>
      <c r="E327" s="10"/>
      <c r="F327" s="10"/>
      <c r="G327" s="10"/>
      <c r="H327" s="10"/>
      <c r="I327" s="9"/>
    </row>
    <row r="328" ht="14.25" customHeight="1">
      <c r="A328" s="10"/>
      <c r="B328" s="10"/>
      <c r="C328" s="10"/>
      <c r="D328" s="10"/>
      <c r="E328" s="10"/>
      <c r="F328" s="10"/>
      <c r="G328" s="10"/>
      <c r="H328" s="10"/>
      <c r="I328" s="9"/>
    </row>
    <row r="329" ht="14.25" customHeight="1">
      <c r="A329" s="10"/>
      <c r="B329" s="10"/>
      <c r="C329" s="10"/>
      <c r="D329" s="10"/>
      <c r="E329" s="10"/>
      <c r="F329" s="10"/>
      <c r="G329" s="10"/>
      <c r="H329" s="10"/>
      <c r="I329" s="9"/>
    </row>
    <row r="330" ht="14.25" customHeight="1">
      <c r="A330" s="10"/>
      <c r="B330" s="10"/>
      <c r="C330" s="10"/>
      <c r="D330" s="10"/>
      <c r="E330" s="10"/>
      <c r="F330" s="10"/>
      <c r="G330" s="10"/>
      <c r="H330" s="10"/>
      <c r="I330" s="9"/>
    </row>
    <row r="331" ht="14.25" customHeight="1">
      <c r="A331" s="10"/>
      <c r="B331" s="10"/>
      <c r="C331" s="10"/>
      <c r="D331" s="10"/>
      <c r="E331" s="10"/>
      <c r="F331" s="10"/>
      <c r="G331" s="10"/>
      <c r="H331" s="10"/>
      <c r="I331" s="9"/>
    </row>
    <row r="332" ht="14.25" customHeight="1">
      <c r="A332" s="10"/>
      <c r="B332" s="10"/>
      <c r="C332" s="10"/>
      <c r="D332" s="10"/>
      <c r="E332" s="10"/>
      <c r="F332" s="10"/>
      <c r="G332" s="10"/>
      <c r="H332" s="10"/>
      <c r="I332" s="9"/>
    </row>
    <row r="333" ht="14.25" customHeight="1">
      <c r="A333" s="10"/>
      <c r="B333" s="10"/>
      <c r="C333" s="10"/>
      <c r="D333" s="10"/>
      <c r="E333" s="10"/>
      <c r="F333" s="10"/>
      <c r="G333" s="10"/>
      <c r="H333" s="10"/>
      <c r="I333" s="9"/>
    </row>
    <row r="334" ht="14.25" customHeight="1">
      <c r="A334" s="10"/>
      <c r="B334" s="10"/>
      <c r="C334" s="10"/>
      <c r="D334" s="10"/>
      <c r="E334" s="10"/>
      <c r="F334" s="10"/>
      <c r="G334" s="10"/>
      <c r="H334" s="10"/>
      <c r="I334" s="9"/>
    </row>
    <row r="335" ht="14.25" customHeight="1">
      <c r="A335" s="10"/>
      <c r="B335" s="10"/>
      <c r="C335" s="10"/>
      <c r="D335" s="10"/>
      <c r="E335" s="10"/>
      <c r="F335" s="10"/>
      <c r="G335" s="10"/>
      <c r="H335" s="10"/>
      <c r="I335" s="9"/>
    </row>
    <row r="336" ht="14.25" customHeight="1">
      <c r="A336" s="10"/>
      <c r="B336" s="10"/>
      <c r="C336" s="10"/>
      <c r="D336" s="10"/>
      <c r="E336" s="10"/>
      <c r="F336" s="10"/>
      <c r="G336" s="10"/>
      <c r="H336" s="10"/>
      <c r="I336" s="9"/>
    </row>
    <row r="337" ht="14.25" customHeight="1">
      <c r="A337" s="10"/>
      <c r="B337" s="10"/>
      <c r="C337" s="10"/>
      <c r="D337" s="10"/>
      <c r="E337" s="10"/>
      <c r="F337" s="10"/>
      <c r="G337" s="10"/>
      <c r="H337" s="10"/>
      <c r="I337" s="9"/>
    </row>
    <row r="338" ht="14.25" customHeight="1">
      <c r="A338" s="10"/>
      <c r="B338" s="10"/>
      <c r="C338" s="10"/>
      <c r="D338" s="10"/>
      <c r="E338" s="10"/>
      <c r="F338" s="10"/>
      <c r="G338" s="10"/>
      <c r="H338" s="10"/>
      <c r="I338" s="9"/>
    </row>
    <row r="339" ht="14.25" customHeight="1">
      <c r="A339" s="10"/>
      <c r="B339" s="10"/>
      <c r="C339" s="10"/>
      <c r="D339" s="10"/>
      <c r="E339" s="10"/>
      <c r="F339" s="10"/>
      <c r="G339" s="10"/>
      <c r="H339" s="10"/>
      <c r="I339" s="9"/>
    </row>
    <row r="340" ht="14.25" customHeight="1">
      <c r="A340" s="10"/>
      <c r="B340" s="10"/>
      <c r="C340" s="10"/>
      <c r="D340" s="10"/>
      <c r="E340" s="10"/>
      <c r="F340" s="10"/>
      <c r="G340" s="10"/>
      <c r="H340" s="10"/>
      <c r="I340" s="9"/>
    </row>
    <row r="341" ht="14.25" customHeight="1">
      <c r="A341" s="10"/>
      <c r="B341" s="10"/>
      <c r="C341" s="10"/>
      <c r="D341" s="10"/>
      <c r="E341" s="10"/>
      <c r="F341" s="10"/>
      <c r="G341" s="10"/>
      <c r="H341" s="10"/>
      <c r="I341" s="9"/>
    </row>
    <row r="342" ht="14.25" customHeight="1">
      <c r="A342" s="10"/>
      <c r="B342" s="10"/>
      <c r="C342" s="10"/>
      <c r="D342" s="10"/>
      <c r="E342" s="10"/>
      <c r="F342" s="10"/>
      <c r="G342" s="10"/>
      <c r="H342" s="10"/>
      <c r="I342" s="9"/>
    </row>
    <row r="343" ht="14.25" customHeight="1">
      <c r="A343" s="10"/>
      <c r="B343" s="10"/>
      <c r="C343" s="10"/>
      <c r="D343" s="10"/>
      <c r="E343" s="10"/>
      <c r="F343" s="10"/>
      <c r="G343" s="10"/>
      <c r="H343" s="10"/>
      <c r="I343" s="9"/>
    </row>
    <row r="344" ht="14.25" customHeight="1">
      <c r="A344" s="10"/>
      <c r="B344" s="10"/>
      <c r="C344" s="10"/>
      <c r="D344" s="10"/>
      <c r="E344" s="10"/>
      <c r="F344" s="10"/>
      <c r="G344" s="10"/>
      <c r="H344" s="10"/>
      <c r="I344" s="9"/>
    </row>
    <row r="345" ht="14.25" customHeight="1">
      <c r="A345" s="10"/>
      <c r="B345" s="10"/>
      <c r="C345" s="10"/>
      <c r="D345" s="10"/>
      <c r="E345" s="10"/>
      <c r="F345" s="10"/>
      <c r="G345" s="10"/>
      <c r="H345" s="10"/>
      <c r="I345" s="9"/>
    </row>
    <row r="346" ht="14.25" customHeight="1">
      <c r="A346" s="10"/>
      <c r="B346" s="10"/>
      <c r="C346" s="10"/>
      <c r="D346" s="10"/>
      <c r="E346" s="10"/>
      <c r="F346" s="10"/>
      <c r="G346" s="10"/>
      <c r="H346" s="10"/>
      <c r="I346" s="9"/>
    </row>
    <row r="347" ht="14.25" customHeight="1">
      <c r="A347" s="10"/>
      <c r="B347" s="10"/>
      <c r="C347" s="10"/>
      <c r="D347" s="10"/>
      <c r="E347" s="10"/>
      <c r="F347" s="10"/>
      <c r="G347" s="10"/>
      <c r="H347" s="10"/>
      <c r="I347" s="9"/>
    </row>
    <row r="348" ht="14.25" customHeight="1">
      <c r="A348" s="10"/>
      <c r="B348" s="10"/>
      <c r="C348" s="10"/>
      <c r="D348" s="10"/>
      <c r="E348" s="10"/>
      <c r="F348" s="10"/>
      <c r="G348" s="10"/>
      <c r="H348" s="10"/>
      <c r="I348" s="9"/>
    </row>
    <row r="349" ht="14.25" customHeight="1">
      <c r="A349" s="10"/>
      <c r="B349" s="10"/>
      <c r="C349" s="10"/>
      <c r="D349" s="10"/>
      <c r="E349" s="10"/>
      <c r="F349" s="10"/>
      <c r="G349" s="10"/>
      <c r="H349" s="10"/>
      <c r="I349" s="9"/>
    </row>
    <row r="350" ht="14.25" customHeight="1">
      <c r="A350" s="10"/>
      <c r="B350" s="10"/>
      <c r="C350" s="10"/>
      <c r="D350" s="10"/>
      <c r="E350" s="10"/>
      <c r="F350" s="10"/>
      <c r="G350" s="10"/>
      <c r="H350" s="10"/>
      <c r="I350" s="9"/>
    </row>
    <row r="351" ht="14.25" customHeight="1">
      <c r="A351" s="10"/>
      <c r="B351" s="10"/>
      <c r="C351" s="10"/>
      <c r="D351" s="10"/>
      <c r="E351" s="10"/>
      <c r="F351" s="10"/>
      <c r="G351" s="10"/>
      <c r="H351" s="10"/>
      <c r="I351" s="9"/>
    </row>
    <row r="352" ht="14.25" customHeight="1">
      <c r="A352" s="10"/>
      <c r="B352" s="10"/>
      <c r="C352" s="10"/>
      <c r="D352" s="10"/>
      <c r="E352" s="10"/>
      <c r="F352" s="10"/>
      <c r="G352" s="10"/>
      <c r="H352" s="10"/>
      <c r="I352" s="9"/>
    </row>
    <row r="353" ht="14.25" customHeight="1">
      <c r="A353" s="10"/>
      <c r="B353" s="10"/>
      <c r="C353" s="10"/>
      <c r="D353" s="10"/>
      <c r="E353" s="10"/>
      <c r="F353" s="10"/>
      <c r="G353" s="10"/>
      <c r="H353" s="10"/>
      <c r="I353" s="9"/>
    </row>
    <row r="354" ht="14.25" customHeight="1">
      <c r="A354" s="10"/>
      <c r="B354" s="10"/>
      <c r="C354" s="10"/>
      <c r="D354" s="10"/>
      <c r="E354" s="10"/>
      <c r="F354" s="10"/>
      <c r="G354" s="10"/>
      <c r="H354" s="10"/>
      <c r="I354" s="9"/>
    </row>
    <row r="355" ht="14.25" customHeight="1">
      <c r="A355" s="10"/>
      <c r="B355" s="10"/>
      <c r="C355" s="10"/>
      <c r="D355" s="10"/>
      <c r="E355" s="10"/>
      <c r="F355" s="10"/>
      <c r="G355" s="10"/>
      <c r="H355" s="10"/>
      <c r="I355" s="9"/>
    </row>
    <row r="356" ht="14.25" customHeight="1">
      <c r="A356" s="10"/>
      <c r="B356" s="10"/>
      <c r="C356" s="10"/>
      <c r="D356" s="10"/>
      <c r="E356" s="10"/>
      <c r="F356" s="10"/>
      <c r="G356" s="10"/>
      <c r="H356" s="10"/>
      <c r="I356" s="9"/>
    </row>
    <row r="357" ht="14.25" customHeight="1">
      <c r="A357" s="10"/>
      <c r="B357" s="10"/>
      <c r="C357" s="10"/>
      <c r="D357" s="10"/>
      <c r="E357" s="10"/>
      <c r="F357" s="10"/>
      <c r="G357" s="10"/>
      <c r="H357" s="10"/>
      <c r="I357" s="9"/>
    </row>
    <row r="358" ht="14.25" customHeight="1">
      <c r="A358" s="10"/>
      <c r="B358" s="10"/>
      <c r="C358" s="10"/>
      <c r="D358" s="10"/>
      <c r="E358" s="10"/>
      <c r="F358" s="10"/>
      <c r="G358" s="10"/>
      <c r="H358" s="10"/>
      <c r="I358" s="9"/>
    </row>
    <row r="359" ht="14.25" customHeight="1">
      <c r="A359" s="10"/>
      <c r="B359" s="10"/>
      <c r="C359" s="10"/>
      <c r="D359" s="10"/>
      <c r="E359" s="10"/>
      <c r="F359" s="10"/>
      <c r="G359" s="10"/>
      <c r="H359" s="10"/>
      <c r="I359" s="9"/>
    </row>
    <row r="360" ht="14.25" customHeight="1">
      <c r="A360" s="10"/>
      <c r="B360" s="10"/>
      <c r="C360" s="10"/>
      <c r="D360" s="10"/>
      <c r="E360" s="10"/>
      <c r="F360" s="10"/>
      <c r="G360" s="10"/>
      <c r="H360" s="10"/>
      <c r="I360" s="9"/>
    </row>
    <row r="361" ht="14.25" customHeight="1">
      <c r="A361" s="10"/>
      <c r="B361" s="10"/>
      <c r="C361" s="10"/>
      <c r="D361" s="10"/>
      <c r="E361" s="10"/>
      <c r="F361" s="10"/>
      <c r="G361" s="10"/>
      <c r="H361" s="10"/>
      <c r="I361" s="9"/>
    </row>
    <row r="362" ht="14.25" customHeight="1">
      <c r="A362" s="10"/>
      <c r="B362" s="10"/>
      <c r="C362" s="10"/>
      <c r="D362" s="10"/>
      <c r="E362" s="10"/>
      <c r="F362" s="10"/>
      <c r="G362" s="10"/>
      <c r="H362" s="10"/>
      <c r="I362" s="9"/>
    </row>
    <row r="363" ht="14.25" customHeight="1">
      <c r="A363" s="10"/>
      <c r="B363" s="10"/>
      <c r="C363" s="10"/>
      <c r="D363" s="10"/>
      <c r="E363" s="10"/>
      <c r="F363" s="10"/>
      <c r="G363" s="10"/>
      <c r="H363" s="10"/>
      <c r="I363" s="9"/>
    </row>
    <row r="364" ht="14.25" customHeight="1">
      <c r="A364" s="10"/>
      <c r="B364" s="10"/>
      <c r="C364" s="10"/>
      <c r="D364" s="10"/>
      <c r="E364" s="10"/>
      <c r="F364" s="10"/>
      <c r="G364" s="10"/>
      <c r="H364" s="10"/>
      <c r="I364" s="9"/>
    </row>
    <row r="365" ht="14.25" customHeight="1">
      <c r="A365" s="10"/>
      <c r="B365" s="10"/>
      <c r="C365" s="10"/>
      <c r="D365" s="10"/>
      <c r="E365" s="10"/>
      <c r="F365" s="10"/>
      <c r="G365" s="10"/>
      <c r="H365" s="10"/>
      <c r="I365" s="9"/>
    </row>
    <row r="366" ht="14.25" customHeight="1">
      <c r="A366" s="10"/>
      <c r="B366" s="10"/>
      <c r="C366" s="10"/>
      <c r="D366" s="10"/>
      <c r="E366" s="10"/>
      <c r="F366" s="10"/>
      <c r="G366" s="10"/>
      <c r="H366" s="10"/>
      <c r="I366" s="9"/>
    </row>
    <row r="367" ht="14.25" customHeight="1">
      <c r="A367" s="10"/>
      <c r="B367" s="10"/>
      <c r="C367" s="10"/>
      <c r="D367" s="10"/>
      <c r="E367" s="10"/>
      <c r="F367" s="10"/>
      <c r="G367" s="10"/>
      <c r="H367" s="10"/>
      <c r="I367" s="9"/>
    </row>
    <row r="368" ht="14.25" customHeight="1">
      <c r="A368" s="10"/>
      <c r="B368" s="10"/>
      <c r="C368" s="10"/>
      <c r="D368" s="10"/>
      <c r="E368" s="10"/>
      <c r="F368" s="10"/>
      <c r="G368" s="10"/>
      <c r="H368" s="10"/>
      <c r="I368" s="9"/>
    </row>
    <row r="369" ht="14.25" customHeight="1">
      <c r="A369" s="10"/>
      <c r="B369" s="10"/>
      <c r="C369" s="10"/>
      <c r="D369" s="10"/>
      <c r="E369" s="10"/>
      <c r="F369" s="10"/>
      <c r="G369" s="10"/>
      <c r="H369" s="10"/>
      <c r="I369" s="9"/>
    </row>
    <row r="370" ht="14.25" customHeight="1">
      <c r="A370" s="10"/>
      <c r="B370" s="10"/>
      <c r="C370" s="10"/>
      <c r="D370" s="10"/>
      <c r="E370" s="10"/>
      <c r="F370" s="10"/>
      <c r="G370" s="10"/>
      <c r="H370" s="10"/>
      <c r="I370" s="9"/>
    </row>
    <row r="371" ht="14.25" customHeight="1">
      <c r="A371" s="10"/>
      <c r="B371" s="10"/>
      <c r="C371" s="10"/>
      <c r="D371" s="10"/>
      <c r="E371" s="10"/>
      <c r="F371" s="10"/>
      <c r="G371" s="10"/>
      <c r="H371" s="10"/>
      <c r="I371" s="9"/>
    </row>
    <row r="372" ht="14.25" customHeight="1">
      <c r="A372" s="10"/>
      <c r="B372" s="10"/>
      <c r="C372" s="10"/>
      <c r="D372" s="10"/>
      <c r="E372" s="10"/>
      <c r="F372" s="10"/>
      <c r="G372" s="10"/>
      <c r="H372" s="10"/>
      <c r="I372" s="9"/>
    </row>
    <row r="373" ht="14.25" customHeight="1">
      <c r="A373" s="10"/>
      <c r="B373" s="10"/>
      <c r="C373" s="10"/>
      <c r="D373" s="10"/>
      <c r="E373" s="10"/>
      <c r="F373" s="10"/>
      <c r="G373" s="10"/>
      <c r="H373" s="10"/>
      <c r="I373" s="9"/>
    </row>
    <row r="374" ht="14.25" customHeight="1">
      <c r="A374" s="10"/>
      <c r="B374" s="10"/>
      <c r="C374" s="10"/>
      <c r="D374" s="10"/>
      <c r="E374" s="10"/>
      <c r="F374" s="10"/>
      <c r="G374" s="10"/>
      <c r="H374" s="10"/>
      <c r="I374" s="9"/>
    </row>
    <row r="375" ht="14.25" customHeight="1">
      <c r="A375" s="10"/>
      <c r="B375" s="10"/>
      <c r="C375" s="10"/>
      <c r="D375" s="10"/>
      <c r="E375" s="10"/>
      <c r="F375" s="10"/>
      <c r="G375" s="10"/>
      <c r="H375" s="10"/>
      <c r="I375" s="9"/>
    </row>
    <row r="376" ht="14.25" customHeight="1">
      <c r="A376" s="10"/>
      <c r="B376" s="10"/>
      <c r="C376" s="10"/>
      <c r="D376" s="10"/>
      <c r="E376" s="10"/>
      <c r="F376" s="10"/>
      <c r="G376" s="10"/>
      <c r="H376" s="10"/>
      <c r="I376" s="9"/>
    </row>
    <row r="377" ht="14.25" customHeight="1">
      <c r="A377" s="10"/>
      <c r="B377" s="10"/>
      <c r="C377" s="10"/>
      <c r="D377" s="10"/>
      <c r="E377" s="10"/>
      <c r="F377" s="10"/>
      <c r="G377" s="10"/>
      <c r="H377" s="10"/>
      <c r="I377" s="9"/>
    </row>
    <row r="378" ht="14.25" customHeight="1">
      <c r="A378" s="10"/>
      <c r="B378" s="10"/>
      <c r="C378" s="10"/>
      <c r="D378" s="10"/>
      <c r="E378" s="10"/>
      <c r="F378" s="10"/>
      <c r="G378" s="10"/>
      <c r="H378" s="10"/>
      <c r="I378" s="9"/>
    </row>
    <row r="379" ht="14.25" customHeight="1">
      <c r="A379" s="10"/>
      <c r="B379" s="10"/>
      <c r="C379" s="10"/>
      <c r="D379" s="10"/>
      <c r="E379" s="10"/>
      <c r="F379" s="10"/>
      <c r="G379" s="10"/>
      <c r="H379" s="10"/>
      <c r="I379" s="9"/>
    </row>
    <row r="380" ht="14.25" customHeight="1">
      <c r="A380" s="10"/>
      <c r="B380" s="10"/>
      <c r="C380" s="10"/>
      <c r="D380" s="10"/>
      <c r="E380" s="10"/>
      <c r="F380" s="10"/>
      <c r="G380" s="10"/>
      <c r="H380" s="10"/>
      <c r="I380" s="9"/>
    </row>
    <row r="381" ht="14.25" customHeight="1">
      <c r="A381" s="10"/>
      <c r="B381" s="10"/>
      <c r="C381" s="10"/>
      <c r="D381" s="10"/>
      <c r="E381" s="10"/>
      <c r="F381" s="10"/>
      <c r="G381" s="10"/>
      <c r="H381" s="10"/>
      <c r="I381" s="9"/>
    </row>
    <row r="382" ht="14.25" customHeight="1">
      <c r="A382" s="10"/>
      <c r="B382" s="10"/>
      <c r="C382" s="10"/>
      <c r="D382" s="10"/>
      <c r="E382" s="10"/>
      <c r="F382" s="10"/>
      <c r="G382" s="10"/>
      <c r="H382" s="10"/>
      <c r="I382" s="9"/>
    </row>
    <row r="383" ht="14.25" customHeight="1">
      <c r="A383" s="10"/>
      <c r="B383" s="10"/>
      <c r="C383" s="10"/>
      <c r="D383" s="10"/>
      <c r="E383" s="10"/>
      <c r="F383" s="10"/>
      <c r="G383" s="10"/>
      <c r="H383" s="10"/>
      <c r="I383" s="9"/>
    </row>
    <row r="384" ht="14.25" customHeight="1">
      <c r="A384" s="10"/>
      <c r="B384" s="10"/>
      <c r="C384" s="10"/>
      <c r="D384" s="10"/>
      <c r="E384" s="10"/>
      <c r="F384" s="10"/>
      <c r="G384" s="10"/>
      <c r="H384" s="10"/>
      <c r="I384" s="9"/>
    </row>
    <row r="385" ht="14.25" customHeight="1">
      <c r="A385" s="10"/>
      <c r="B385" s="10"/>
      <c r="C385" s="10"/>
      <c r="D385" s="10"/>
      <c r="E385" s="10"/>
      <c r="F385" s="10"/>
      <c r="G385" s="10"/>
      <c r="H385" s="10"/>
      <c r="I385" s="9"/>
    </row>
    <row r="386" ht="14.25" customHeight="1">
      <c r="A386" s="10"/>
      <c r="B386" s="10"/>
      <c r="C386" s="10"/>
      <c r="D386" s="10"/>
      <c r="E386" s="10"/>
      <c r="F386" s="10"/>
      <c r="G386" s="10"/>
      <c r="H386" s="10"/>
      <c r="I386" s="9"/>
    </row>
    <row r="387" ht="14.25" customHeight="1">
      <c r="A387" s="10"/>
      <c r="B387" s="10"/>
      <c r="C387" s="10"/>
      <c r="D387" s="10"/>
      <c r="E387" s="10"/>
      <c r="F387" s="10"/>
      <c r="G387" s="10"/>
      <c r="H387" s="10"/>
      <c r="I387" s="9"/>
    </row>
    <row r="388" ht="14.25" customHeight="1">
      <c r="A388" s="10"/>
      <c r="B388" s="10"/>
      <c r="C388" s="10"/>
      <c r="D388" s="10"/>
      <c r="E388" s="10"/>
      <c r="F388" s="10"/>
      <c r="G388" s="10"/>
      <c r="H388" s="10"/>
      <c r="I388" s="9"/>
    </row>
    <row r="389" ht="14.25" customHeight="1">
      <c r="A389" s="10"/>
      <c r="B389" s="10"/>
      <c r="C389" s="10"/>
      <c r="D389" s="10"/>
      <c r="E389" s="10"/>
      <c r="F389" s="10"/>
      <c r="G389" s="10"/>
      <c r="H389" s="10"/>
      <c r="I389" s="9"/>
    </row>
    <row r="390" ht="14.25" customHeight="1">
      <c r="A390" s="10"/>
      <c r="B390" s="10"/>
      <c r="C390" s="10"/>
      <c r="D390" s="10"/>
      <c r="E390" s="10"/>
      <c r="F390" s="10"/>
      <c r="G390" s="10"/>
      <c r="H390" s="10"/>
      <c r="I390" s="9"/>
    </row>
    <row r="391" ht="14.25" customHeight="1">
      <c r="A391" s="10"/>
      <c r="B391" s="10"/>
      <c r="C391" s="10"/>
      <c r="D391" s="10"/>
      <c r="E391" s="10"/>
      <c r="F391" s="10"/>
      <c r="G391" s="10"/>
      <c r="H391" s="10"/>
      <c r="I391" s="9"/>
    </row>
    <row r="392" ht="14.25" customHeight="1">
      <c r="A392" s="10"/>
      <c r="B392" s="10"/>
      <c r="C392" s="10"/>
      <c r="D392" s="10"/>
      <c r="E392" s="10"/>
      <c r="F392" s="10"/>
      <c r="G392" s="10"/>
      <c r="H392" s="10"/>
      <c r="I392" s="9"/>
    </row>
    <row r="393" ht="14.25" customHeight="1">
      <c r="A393" s="10"/>
      <c r="B393" s="10"/>
      <c r="C393" s="10"/>
      <c r="D393" s="10"/>
      <c r="E393" s="10"/>
      <c r="F393" s="10"/>
      <c r="G393" s="10"/>
      <c r="H393" s="10"/>
      <c r="I393" s="9"/>
    </row>
    <row r="394" ht="14.25" customHeight="1">
      <c r="A394" s="10"/>
      <c r="B394" s="10"/>
      <c r="C394" s="10"/>
      <c r="D394" s="10"/>
      <c r="E394" s="10"/>
      <c r="F394" s="10"/>
      <c r="G394" s="10"/>
      <c r="H394" s="10"/>
      <c r="I394" s="9"/>
    </row>
    <row r="395" ht="14.25" customHeight="1">
      <c r="A395" s="10"/>
      <c r="B395" s="10"/>
      <c r="C395" s="10"/>
      <c r="D395" s="10"/>
      <c r="E395" s="10"/>
      <c r="F395" s="10"/>
      <c r="G395" s="10"/>
      <c r="H395" s="10"/>
      <c r="I395" s="9"/>
    </row>
    <row r="396" ht="14.25" customHeight="1">
      <c r="A396" s="10"/>
      <c r="B396" s="10"/>
      <c r="C396" s="10"/>
      <c r="D396" s="10"/>
      <c r="E396" s="10"/>
      <c r="F396" s="10"/>
      <c r="G396" s="10"/>
      <c r="H396" s="10"/>
      <c r="I396" s="9"/>
    </row>
    <row r="397" ht="14.25" customHeight="1">
      <c r="A397" s="10"/>
      <c r="B397" s="10"/>
      <c r="C397" s="10"/>
      <c r="D397" s="10"/>
      <c r="E397" s="10"/>
      <c r="F397" s="10"/>
      <c r="G397" s="10"/>
      <c r="H397" s="10"/>
      <c r="I397" s="9"/>
    </row>
    <row r="398" ht="14.25" customHeight="1">
      <c r="A398" s="10"/>
      <c r="B398" s="10"/>
      <c r="C398" s="10"/>
      <c r="D398" s="10"/>
      <c r="E398" s="10"/>
      <c r="F398" s="10"/>
      <c r="G398" s="10"/>
      <c r="H398" s="10"/>
      <c r="I398" s="9"/>
    </row>
    <row r="399" ht="14.25" customHeight="1">
      <c r="A399" s="10"/>
      <c r="B399" s="10"/>
      <c r="C399" s="10"/>
      <c r="D399" s="10"/>
      <c r="E399" s="10"/>
      <c r="F399" s="10"/>
      <c r="G399" s="10"/>
      <c r="H399" s="10"/>
      <c r="I399" s="9"/>
    </row>
    <row r="400" ht="14.25" customHeight="1">
      <c r="A400" s="10"/>
      <c r="B400" s="10"/>
      <c r="C400" s="10"/>
      <c r="D400" s="10"/>
      <c r="E400" s="10"/>
      <c r="F400" s="10"/>
      <c r="G400" s="10"/>
      <c r="H400" s="10"/>
      <c r="I400" s="9"/>
    </row>
    <row r="401" ht="14.25" customHeight="1">
      <c r="A401" s="10"/>
      <c r="B401" s="10"/>
      <c r="C401" s="10"/>
      <c r="D401" s="10"/>
      <c r="E401" s="10"/>
      <c r="F401" s="10"/>
      <c r="G401" s="10"/>
      <c r="H401" s="10"/>
      <c r="I401" s="9"/>
    </row>
    <row r="402" ht="14.25" customHeight="1">
      <c r="A402" s="10"/>
      <c r="B402" s="10"/>
      <c r="C402" s="10"/>
      <c r="D402" s="10"/>
      <c r="E402" s="10"/>
      <c r="F402" s="10"/>
      <c r="G402" s="10"/>
      <c r="H402" s="10"/>
      <c r="I402" s="9"/>
    </row>
    <row r="403" ht="14.25" customHeight="1">
      <c r="A403" s="10"/>
      <c r="B403" s="10"/>
      <c r="C403" s="10"/>
      <c r="D403" s="10"/>
      <c r="E403" s="10"/>
      <c r="F403" s="10"/>
      <c r="G403" s="10"/>
      <c r="H403" s="10"/>
      <c r="I403" s="9"/>
    </row>
    <row r="404" ht="14.25" customHeight="1">
      <c r="A404" s="10"/>
      <c r="B404" s="10"/>
      <c r="C404" s="10"/>
      <c r="D404" s="10"/>
      <c r="E404" s="10"/>
      <c r="F404" s="10"/>
      <c r="G404" s="10"/>
      <c r="H404" s="10"/>
      <c r="I404" s="9"/>
    </row>
    <row r="405" ht="14.25" customHeight="1">
      <c r="A405" s="10"/>
      <c r="B405" s="10"/>
      <c r="C405" s="10"/>
      <c r="D405" s="10"/>
      <c r="E405" s="10"/>
      <c r="F405" s="10"/>
      <c r="G405" s="10"/>
      <c r="H405" s="10"/>
      <c r="I405" s="9"/>
    </row>
    <row r="406" ht="14.25" customHeight="1">
      <c r="A406" s="10"/>
      <c r="B406" s="10"/>
      <c r="C406" s="10"/>
      <c r="D406" s="10"/>
      <c r="E406" s="10"/>
      <c r="F406" s="10"/>
      <c r="G406" s="10"/>
      <c r="H406" s="10"/>
      <c r="I406" s="9"/>
    </row>
    <row r="407" ht="14.25" customHeight="1">
      <c r="A407" s="10"/>
      <c r="B407" s="10"/>
      <c r="C407" s="10"/>
      <c r="D407" s="10"/>
      <c r="E407" s="10"/>
      <c r="F407" s="10"/>
      <c r="G407" s="10"/>
      <c r="H407" s="10"/>
      <c r="I407" s="9"/>
    </row>
    <row r="408" ht="14.25" customHeight="1">
      <c r="A408" s="10"/>
      <c r="B408" s="10"/>
      <c r="C408" s="10"/>
      <c r="D408" s="10"/>
      <c r="E408" s="10"/>
      <c r="F408" s="10"/>
      <c r="G408" s="10"/>
      <c r="H408" s="10"/>
      <c r="I408" s="9"/>
    </row>
    <row r="409" ht="14.25" customHeight="1">
      <c r="A409" s="10"/>
      <c r="B409" s="10"/>
      <c r="C409" s="10"/>
      <c r="D409" s="10"/>
      <c r="E409" s="10"/>
      <c r="F409" s="10"/>
      <c r="G409" s="10"/>
      <c r="H409" s="10"/>
      <c r="I409" s="9"/>
    </row>
    <row r="410" ht="14.25" customHeight="1">
      <c r="A410" s="10"/>
      <c r="B410" s="10"/>
      <c r="C410" s="10"/>
      <c r="D410" s="10"/>
      <c r="E410" s="10"/>
      <c r="F410" s="10"/>
      <c r="G410" s="10"/>
      <c r="H410" s="10"/>
      <c r="I410" s="9"/>
    </row>
    <row r="411" ht="14.25" customHeight="1">
      <c r="A411" s="10"/>
      <c r="B411" s="10"/>
      <c r="C411" s="10"/>
      <c r="D411" s="10"/>
      <c r="E411" s="10"/>
      <c r="F411" s="10"/>
      <c r="G411" s="10"/>
      <c r="H411" s="10"/>
      <c r="I411" s="9"/>
    </row>
    <row r="412" ht="14.25" customHeight="1">
      <c r="A412" s="10"/>
      <c r="B412" s="10"/>
      <c r="C412" s="10"/>
      <c r="D412" s="10"/>
      <c r="E412" s="10"/>
      <c r="F412" s="10"/>
      <c r="G412" s="10"/>
      <c r="H412" s="10"/>
      <c r="I412" s="9"/>
    </row>
    <row r="413" ht="14.25" customHeight="1">
      <c r="A413" s="10"/>
      <c r="B413" s="10"/>
      <c r="C413" s="10"/>
      <c r="D413" s="10"/>
      <c r="E413" s="10"/>
      <c r="F413" s="10"/>
      <c r="G413" s="10"/>
      <c r="H413" s="10"/>
      <c r="I413" s="9"/>
    </row>
    <row r="414" ht="14.25" customHeight="1">
      <c r="A414" s="10"/>
      <c r="B414" s="10"/>
      <c r="C414" s="10"/>
      <c r="D414" s="10"/>
      <c r="E414" s="10"/>
      <c r="F414" s="10"/>
      <c r="G414" s="10"/>
      <c r="H414" s="10"/>
      <c r="I414" s="9"/>
    </row>
    <row r="415" ht="14.25" customHeight="1">
      <c r="A415" s="10"/>
      <c r="B415" s="10"/>
      <c r="C415" s="10"/>
      <c r="D415" s="10"/>
      <c r="E415" s="10"/>
      <c r="F415" s="10"/>
      <c r="G415" s="10"/>
      <c r="H415" s="10"/>
      <c r="I415" s="9"/>
    </row>
    <row r="416" ht="14.25" customHeight="1">
      <c r="A416" s="10"/>
      <c r="B416" s="10"/>
      <c r="C416" s="10"/>
      <c r="D416" s="10"/>
      <c r="E416" s="10"/>
      <c r="F416" s="10"/>
      <c r="G416" s="10"/>
      <c r="H416" s="10"/>
      <c r="I416" s="9"/>
    </row>
    <row r="417" ht="14.25" customHeight="1">
      <c r="A417" s="10"/>
      <c r="B417" s="10"/>
      <c r="C417" s="10"/>
      <c r="D417" s="10"/>
      <c r="E417" s="10"/>
      <c r="F417" s="10"/>
      <c r="G417" s="10"/>
      <c r="H417" s="10"/>
      <c r="I417" s="9"/>
    </row>
    <row r="418" ht="14.25" customHeight="1">
      <c r="A418" s="10"/>
      <c r="B418" s="10"/>
      <c r="C418" s="10"/>
      <c r="D418" s="10"/>
      <c r="E418" s="10"/>
      <c r="F418" s="10"/>
      <c r="G418" s="10"/>
      <c r="H418" s="10"/>
      <c r="I418" s="9"/>
    </row>
    <row r="419" ht="14.25" customHeight="1">
      <c r="A419" s="10"/>
      <c r="B419" s="10"/>
      <c r="C419" s="10"/>
      <c r="D419" s="10"/>
      <c r="E419" s="10"/>
      <c r="F419" s="10"/>
      <c r="G419" s="10"/>
      <c r="H419" s="10"/>
      <c r="I419" s="9"/>
    </row>
    <row r="420" ht="14.25" customHeight="1">
      <c r="A420" s="10"/>
      <c r="B420" s="10"/>
      <c r="C420" s="10"/>
      <c r="D420" s="10"/>
      <c r="E420" s="10"/>
      <c r="F420" s="10"/>
      <c r="G420" s="10"/>
      <c r="H420" s="10"/>
      <c r="I420" s="9"/>
    </row>
    <row r="421" ht="14.25" customHeight="1">
      <c r="A421" s="10"/>
      <c r="B421" s="10"/>
      <c r="C421" s="10"/>
      <c r="D421" s="10"/>
      <c r="E421" s="10"/>
      <c r="F421" s="10"/>
      <c r="G421" s="10"/>
      <c r="H421" s="10"/>
      <c r="I421" s="9"/>
    </row>
    <row r="422" ht="14.25" customHeight="1">
      <c r="A422" s="10"/>
      <c r="B422" s="10"/>
      <c r="C422" s="10"/>
      <c r="D422" s="10"/>
      <c r="E422" s="10"/>
      <c r="F422" s="10"/>
      <c r="G422" s="10"/>
      <c r="H422" s="10"/>
      <c r="I422" s="9"/>
    </row>
    <row r="423" ht="14.25" customHeight="1">
      <c r="A423" s="10"/>
      <c r="B423" s="10"/>
      <c r="C423" s="10"/>
      <c r="D423" s="10"/>
      <c r="E423" s="10"/>
      <c r="F423" s="10"/>
      <c r="G423" s="10"/>
      <c r="H423" s="10"/>
      <c r="I423" s="9"/>
    </row>
    <row r="424" ht="14.25" customHeight="1">
      <c r="A424" s="10"/>
      <c r="B424" s="10"/>
      <c r="C424" s="10"/>
      <c r="D424" s="10"/>
      <c r="E424" s="10"/>
      <c r="F424" s="10"/>
      <c r="G424" s="10"/>
      <c r="H424" s="10"/>
      <c r="I424" s="9"/>
    </row>
    <row r="425" ht="14.25" customHeight="1">
      <c r="A425" s="10"/>
      <c r="B425" s="10"/>
      <c r="C425" s="10"/>
      <c r="D425" s="10"/>
      <c r="E425" s="10"/>
      <c r="F425" s="10"/>
      <c r="G425" s="10"/>
      <c r="H425" s="10"/>
      <c r="I425" s="9"/>
    </row>
    <row r="426" ht="14.25" customHeight="1">
      <c r="A426" s="10"/>
      <c r="B426" s="10"/>
      <c r="C426" s="10"/>
      <c r="D426" s="10"/>
      <c r="E426" s="10"/>
      <c r="F426" s="10"/>
      <c r="G426" s="10"/>
      <c r="H426" s="10"/>
      <c r="I426" s="9"/>
    </row>
    <row r="427" ht="14.25" customHeight="1">
      <c r="A427" s="10"/>
      <c r="B427" s="10"/>
      <c r="C427" s="10"/>
      <c r="D427" s="10"/>
      <c r="E427" s="10"/>
      <c r="F427" s="10"/>
      <c r="G427" s="10"/>
      <c r="H427" s="10"/>
      <c r="I427" s="9"/>
    </row>
    <row r="428" ht="14.25" customHeight="1">
      <c r="A428" s="10"/>
      <c r="B428" s="10"/>
      <c r="C428" s="10"/>
      <c r="D428" s="10"/>
      <c r="E428" s="10"/>
      <c r="F428" s="10"/>
      <c r="G428" s="10"/>
      <c r="H428" s="10"/>
      <c r="I428" s="9"/>
    </row>
    <row r="429" ht="14.25" customHeight="1">
      <c r="A429" s="10"/>
      <c r="B429" s="10"/>
      <c r="C429" s="10"/>
      <c r="D429" s="10"/>
      <c r="E429" s="10"/>
      <c r="F429" s="10"/>
      <c r="G429" s="10"/>
      <c r="H429" s="10"/>
      <c r="I429" s="9"/>
    </row>
    <row r="430" ht="14.25" customHeight="1">
      <c r="A430" s="10"/>
      <c r="B430" s="10"/>
      <c r="C430" s="10"/>
      <c r="D430" s="10"/>
      <c r="E430" s="10"/>
      <c r="F430" s="10"/>
      <c r="G430" s="10"/>
      <c r="H430" s="10"/>
      <c r="I430" s="9"/>
    </row>
    <row r="431" ht="14.25" customHeight="1">
      <c r="A431" s="10"/>
      <c r="B431" s="10"/>
      <c r="C431" s="10"/>
      <c r="D431" s="10"/>
      <c r="E431" s="10"/>
      <c r="F431" s="10"/>
      <c r="G431" s="10"/>
      <c r="H431" s="10"/>
      <c r="I431" s="9"/>
    </row>
    <row r="432" ht="14.25" customHeight="1">
      <c r="A432" s="10"/>
      <c r="B432" s="10"/>
      <c r="C432" s="10"/>
      <c r="D432" s="10"/>
      <c r="E432" s="10"/>
      <c r="F432" s="10"/>
      <c r="G432" s="10"/>
      <c r="H432" s="10"/>
      <c r="I432" s="9"/>
    </row>
    <row r="433" ht="14.25" customHeight="1">
      <c r="A433" s="10"/>
      <c r="B433" s="10"/>
      <c r="C433" s="10"/>
      <c r="D433" s="10"/>
      <c r="E433" s="10"/>
      <c r="F433" s="10"/>
      <c r="G433" s="10"/>
      <c r="H433" s="10"/>
      <c r="I433" s="9"/>
    </row>
    <row r="434" ht="14.25" customHeight="1">
      <c r="A434" s="10"/>
      <c r="B434" s="10"/>
      <c r="C434" s="10"/>
      <c r="D434" s="10"/>
      <c r="E434" s="10"/>
      <c r="F434" s="10"/>
      <c r="G434" s="10"/>
      <c r="H434" s="10"/>
      <c r="I434" s="9"/>
    </row>
    <row r="435" ht="14.25" customHeight="1">
      <c r="A435" s="10"/>
      <c r="B435" s="10"/>
      <c r="C435" s="10"/>
      <c r="D435" s="10"/>
      <c r="E435" s="10"/>
      <c r="F435" s="10"/>
      <c r="G435" s="10"/>
      <c r="H435" s="10"/>
      <c r="I435" s="9"/>
    </row>
    <row r="436" ht="14.25" customHeight="1">
      <c r="A436" s="10"/>
      <c r="B436" s="10"/>
      <c r="C436" s="10"/>
      <c r="D436" s="10"/>
      <c r="E436" s="10"/>
      <c r="F436" s="10"/>
      <c r="G436" s="10"/>
      <c r="H436" s="10"/>
      <c r="I436" s="9"/>
    </row>
    <row r="437" ht="14.25" customHeight="1">
      <c r="A437" s="10"/>
      <c r="B437" s="10"/>
      <c r="C437" s="10"/>
      <c r="D437" s="10"/>
      <c r="E437" s="10"/>
      <c r="F437" s="10"/>
      <c r="G437" s="10"/>
      <c r="H437" s="10"/>
      <c r="I437" s="9"/>
    </row>
    <row r="438" ht="14.25" customHeight="1">
      <c r="A438" s="10"/>
      <c r="B438" s="10"/>
      <c r="C438" s="10"/>
      <c r="D438" s="10"/>
      <c r="E438" s="10"/>
      <c r="F438" s="10"/>
      <c r="G438" s="10"/>
      <c r="H438" s="10"/>
      <c r="I438" s="9"/>
    </row>
    <row r="439" ht="14.25" customHeight="1">
      <c r="A439" s="10"/>
      <c r="B439" s="10"/>
      <c r="C439" s="10"/>
      <c r="D439" s="10"/>
      <c r="E439" s="10"/>
      <c r="F439" s="10"/>
      <c r="G439" s="10"/>
      <c r="H439" s="10"/>
      <c r="I439" s="9"/>
    </row>
    <row r="440" ht="14.25" customHeight="1">
      <c r="A440" s="10"/>
      <c r="B440" s="10"/>
      <c r="C440" s="10"/>
      <c r="D440" s="10"/>
      <c r="E440" s="10"/>
      <c r="F440" s="10"/>
      <c r="G440" s="10"/>
      <c r="H440" s="10"/>
      <c r="I440" s="9"/>
    </row>
    <row r="441" ht="14.25" customHeight="1">
      <c r="A441" s="10"/>
      <c r="B441" s="10"/>
      <c r="C441" s="10"/>
      <c r="D441" s="10"/>
      <c r="E441" s="10"/>
      <c r="F441" s="10"/>
      <c r="G441" s="10"/>
      <c r="H441" s="10"/>
      <c r="I441" s="9"/>
    </row>
    <row r="442" ht="14.25" customHeight="1">
      <c r="A442" s="10"/>
      <c r="B442" s="10"/>
      <c r="C442" s="10"/>
      <c r="D442" s="10"/>
      <c r="E442" s="10"/>
      <c r="F442" s="10"/>
      <c r="G442" s="10"/>
      <c r="H442" s="10"/>
      <c r="I442" s="9"/>
    </row>
    <row r="443" ht="14.25" customHeight="1">
      <c r="A443" s="10"/>
      <c r="B443" s="10"/>
      <c r="C443" s="10"/>
      <c r="D443" s="10"/>
      <c r="E443" s="10"/>
      <c r="F443" s="10"/>
      <c r="G443" s="10"/>
      <c r="H443" s="10"/>
      <c r="I443" s="9"/>
    </row>
    <row r="444" ht="14.25" customHeight="1">
      <c r="A444" s="10"/>
      <c r="B444" s="10"/>
      <c r="C444" s="10"/>
      <c r="D444" s="10"/>
      <c r="E444" s="10"/>
      <c r="F444" s="10"/>
      <c r="G444" s="10"/>
      <c r="H444" s="10"/>
      <c r="I444" s="9"/>
    </row>
    <row r="445" ht="14.25" customHeight="1">
      <c r="A445" s="10"/>
      <c r="B445" s="10"/>
      <c r="C445" s="10"/>
      <c r="D445" s="10"/>
      <c r="E445" s="10"/>
      <c r="F445" s="10"/>
      <c r="G445" s="10"/>
      <c r="H445" s="10"/>
      <c r="I445" s="9"/>
    </row>
    <row r="446" ht="14.25" customHeight="1">
      <c r="A446" s="10"/>
      <c r="B446" s="10"/>
      <c r="C446" s="10"/>
      <c r="D446" s="10"/>
      <c r="E446" s="10"/>
      <c r="F446" s="10"/>
      <c r="G446" s="10"/>
      <c r="H446" s="10"/>
      <c r="I446" s="9"/>
    </row>
    <row r="447" ht="14.25" customHeight="1">
      <c r="A447" s="10"/>
      <c r="B447" s="10"/>
      <c r="C447" s="10"/>
      <c r="D447" s="10"/>
      <c r="E447" s="10"/>
      <c r="F447" s="10"/>
      <c r="G447" s="10"/>
      <c r="H447" s="10"/>
      <c r="I447" s="9"/>
    </row>
    <row r="448" ht="14.25" customHeight="1">
      <c r="A448" s="10"/>
      <c r="B448" s="10"/>
      <c r="C448" s="10"/>
      <c r="D448" s="10"/>
      <c r="E448" s="10"/>
      <c r="F448" s="10"/>
      <c r="G448" s="10"/>
      <c r="H448" s="10"/>
      <c r="I448" s="9"/>
    </row>
    <row r="449" ht="14.25" customHeight="1">
      <c r="A449" s="10"/>
      <c r="B449" s="10"/>
      <c r="C449" s="10"/>
      <c r="D449" s="10"/>
      <c r="E449" s="10"/>
      <c r="F449" s="10"/>
      <c r="G449" s="10"/>
      <c r="H449" s="10"/>
      <c r="I449" s="9"/>
    </row>
    <row r="450" ht="14.25" customHeight="1">
      <c r="A450" s="10"/>
      <c r="B450" s="10"/>
      <c r="C450" s="10"/>
      <c r="D450" s="10"/>
      <c r="E450" s="10"/>
      <c r="F450" s="10"/>
      <c r="G450" s="10"/>
      <c r="H450" s="10"/>
      <c r="I450" s="9"/>
    </row>
    <row r="451" ht="14.25" customHeight="1">
      <c r="A451" s="10"/>
      <c r="B451" s="10"/>
      <c r="C451" s="10"/>
      <c r="D451" s="10"/>
      <c r="E451" s="10"/>
      <c r="F451" s="10"/>
      <c r="G451" s="10"/>
      <c r="H451" s="10"/>
      <c r="I451" s="9"/>
    </row>
    <row r="452" ht="14.25" customHeight="1">
      <c r="A452" s="10"/>
      <c r="B452" s="10"/>
      <c r="C452" s="10"/>
      <c r="D452" s="10"/>
      <c r="E452" s="10"/>
      <c r="F452" s="10"/>
      <c r="G452" s="10"/>
      <c r="H452" s="10"/>
      <c r="I452" s="9"/>
    </row>
    <row r="453" ht="14.25" customHeight="1">
      <c r="A453" s="10"/>
      <c r="B453" s="10"/>
      <c r="C453" s="10"/>
      <c r="D453" s="10"/>
      <c r="E453" s="10"/>
      <c r="F453" s="10"/>
      <c r="G453" s="10"/>
      <c r="H453" s="10"/>
      <c r="I453" s="9"/>
    </row>
    <row r="454" ht="14.25" customHeight="1">
      <c r="A454" s="10"/>
      <c r="B454" s="10"/>
      <c r="C454" s="10"/>
      <c r="D454" s="10"/>
      <c r="E454" s="10"/>
      <c r="F454" s="10"/>
      <c r="G454" s="10"/>
      <c r="H454" s="10"/>
      <c r="I454" s="9"/>
    </row>
    <row r="455" ht="14.25" customHeight="1">
      <c r="A455" s="10"/>
      <c r="B455" s="10"/>
      <c r="C455" s="10"/>
      <c r="D455" s="10"/>
      <c r="E455" s="10"/>
      <c r="F455" s="10"/>
      <c r="G455" s="10"/>
      <c r="H455" s="10"/>
      <c r="I455" s="9"/>
    </row>
    <row r="456" ht="14.25" customHeight="1">
      <c r="A456" s="10"/>
      <c r="B456" s="10"/>
      <c r="C456" s="10"/>
      <c r="D456" s="10"/>
      <c r="E456" s="10"/>
      <c r="F456" s="10"/>
      <c r="G456" s="10"/>
      <c r="H456" s="10"/>
      <c r="I456" s="9"/>
    </row>
    <row r="457" ht="14.25" customHeight="1">
      <c r="A457" s="10"/>
      <c r="B457" s="10"/>
      <c r="C457" s="10"/>
      <c r="D457" s="10"/>
      <c r="E457" s="10"/>
      <c r="F457" s="10"/>
      <c r="G457" s="10"/>
      <c r="H457" s="10"/>
      <c r="I457" s="9"/>
    </row>
    <row r="458" ht="14.25" customHeight="1">
      <c r="A458" s="10"/>
      <c r="B458" s="10"/>
      <c r="C458" s="10"/>
      <c r="D458" s="10"/>
      <c r="E458" s="10"/>
      <c r="F458" s="10"/>
      <c r="G458" s="10"/>
      <c r="H458" s="10"/>
      <c r="I458" s="9"/>
    </row>
    <row r="459" ht="14.25" customHeight="1">
      <c r="A459" s="10"/>
      <c r="B459" s="10"/>
      <c r="C459" s="10"/>
      <c r="D459" s="10"/>
      <c r="E459" s="10"/>
      <c r="F459" s="10"/>
      <c r="G459" s="10"/>
      <c r="H459" s="10"/>
      <c r="I459" s="9"/>
    </row>
    <row r="460" ht="14.25" customHeight="1">
      <c r="A460" s="10"/>
      <c r="B460" s="10"/>
      <c r="C460" s="10"/>
      <c r="D460" s="10"/>
      <c r="E460" s="10"/>
      <c r="F460" s="10"/>
      <c r="G460" s="10"/>
      <c r="H460" s="10"/>
      <c r="I460" s="9"/>
    </row>
    <row r="461" ht="14.25" customHeight="1">
      <c r="A461" s="10"/>
      <c r="B461" s="10"/>
      <c r="C461" s="10"/>
      <c r="D461" s="10"/>
      <c r="E461" s="10"/>
      <c r="F461" s="10"/>
      <c r="G461" s="10"/>
      <c r="H461" s="10"/>
      <c r="I461" s="9"/>
    </row>
    <row r="462" ht="14.25" customHeight="1">
      <c r="A462" s="10"/>
      <c r="B462" s="10"/>
      <c r="C462" s="10"/>
      <c r="D462" s="10"/>
      <c r="E462" s="10"/>
      <c r="F462" s="10"/>
      <c r="G462" s="10"/>
      <c r="H462" s="10"/>
      <c r="I462" s="9"/>
    </row>
    <row r="463" ht="14.25" customHeight="1">
      <c r="A463" s="10"/>
      <c r="B463" s="10"/>
      <c r="C463" s="10"/>
      <c r="D463" s="10"/>
      <c r="E463" s="10"/>
      <c r="F463" s="10"/>
      <c r="G463" s="10"/>
      <c r="H463" s="10"/>
      <c r="I463" s="9"/>
    </row>
    <row r="464" ht="14.25" customHeight="1">
      <c r="A464" s="10"/>
      <c r="B464" s="10"/>
      <c r="C464" s="10"/>
      <c r="D464" s="10"/>
      <c r="E464" s="10"/>
      <c r="F464" s="10"/>
      <c r="G464" s="10"/>
      <c r="H464" s="10"/>
      <c r="I464" s="9"/>
    </row>
    <row r="465" ht="14.25" customHeight="1">
      <c r="A465" s="10"/>
      <c r="B465" s="10"/>
      <c r="C465" s="10"/>
      <c r="D465" s="10"/>
      <c r="E465" s="10"/>
      <c r="F465" s="10"/>
      <c r="G465" s="10"/>
      <c r="H465" s="10"/>
      <c r="I465" s="9"/>
    </row>
    <row r="466" ht="14.25" customHeight="1">
      <c r="A466" s="10"/>
      <c r="B466" s="10"/>
      <c r="C466" s="10"/>
      <c r="D466" s="10"/>
      <c r="E466" s="10"/>
      <c r="F466" s="10"/>
      <c r="G466" s="10"/>
      <c r="H466" s="10"/>
      <c r="I466" s="9"/>
    </row>
    <row r="467" ht="14.25" customHeight="1">
      <c r="A467" s="10"/>
      <c r="B467" s="10"/>
      <c r="C467" s="10"/>
      <c r="D467" s="10"/>
      <c r="E467" s="10"/>
      <c r="F467" s="10"/>
      <c r="G467" s="10"/>
      <c r="H467" s="10"/>
      <c r="I467" s="9"/>
    </row>
    <row r="468" ht="14.25" customHeight="1">
      <c r="A468" s="10"/>
      <c r="B468" s="10"/>
      <c r="C468" s="10"/>
      <c r="D468" s="10"/>
      <c r="E468" s="10"/>
      <c r="F468" s="10"/>
      <c r="G468" s="10"/>
      <c r="H468" s="10"/>
      <c r="I468" s="9"/>
    </row>
    <row r="469" ht="14.25" customHeight="1">
      <c r="A469" s="10"/>
      <c r="B469" s="10"/>
      <c r="C469" s="10"/>
      <c r="D469" s="10"/>
      <c r="E469" s="10"/>
      <c r="F469" s="10"/>
      <c r="G469" s="10"/>
      <c r="H469" s="10"/>
      <c r="I469" s="9"/>
    </row>
    <row r="470" ht="14.25" customHeight="1">
      <c r="A470" s="10"/>
      <c r="B470" s="10"/>
      <c r="C470" s="10"/>
      <c r="D470" s="10"/>
      <c r="E470" s="10"/>
      <c r="F470" s="10"/>
      <c r="G470" s="10"/>
      <c r="H470" s="10"/>
      <c r="I470" s="9"/>
    </row>
    <row r="471" ht="14.25" customHeight="1">
      <c r="A471" s="10"/>
      <c r="B471" s="10"/>
      <c r="C471" s="10"/>
      <c r="D471" s="10"/>
      <c r="E471" s="10"/>
      <c r="F471" s="10"/>
      <c r="G471" s="10"/>
      <c r="H471" s="10"/>
      <c r="I471" s="9"/>
    </row>
    <row r="472" ht="14.25" customHeight="1">
      <c r="A472" s="10"/>
      <c r="B472" s="10"/>
      <c r="C472" s="10"/>
      <c r="D472" s="10"/>
      <c r="E472" s="10"/>
      <c r="F472" s="10"/>
      <c r="G472" s="10"/>
      <c r="H472" s="10"/>
      <c r="I472" s="9"/>
    </row>
    <row r="473" ht="14.25" customHeight="1">
      <c r="A473" s="10"/>
      <c r="B473" s="10"/>
      <c r="C473" s="10"/>
      <c r="D473" s="10"/>
      <c r="E473" s="10"/>
      <c r="F473" s="10"/>
      <c r="G473" s="10"/>
      <c r="H473" s="10"/>
      <c r="I473" s="9"/>
    </row>
    <row r="474" ht="14.25" customHeight="1">
      <c r="A474" s="10"/>
      <c r="B474" s="10"/>
      <c r="C474" s="10"/>
      <c r="D474" s="10"/>
      <c r="E474" s="10"/>
      <c r="F474" s="10"/>
      <c r="G474" s="10"/>
      <c r="H474" s="10"/>
      <c r="I474" s="9"/>
    </row>
    <row r="475" ht="14.25" customHeight="1">
      <c r="A475" s="10"/>
      <c r="B475" s="10"/>
      <c r="C475" s="10"/>
      <c r="D475" s="10"/>
      <c r="E475" s="10"/>
      <c r="F475" s="10"/>
      <c r="G475" s="10"/>
      <c r="H475" s="10"/>
      <c r="I475" s="9"/>
    </row>
    <row r="476" ht="14.25" customHeight="1">
      <c r="A476" s="10"/>
      <c r="B476" s="10"/>
      <c r="C476" s="10"/>
      <c r="D476" s="10"/>
      <c r="E476" s="10"/>
      <c r="F476" s="10"/>
      <c r="G476" s="10"/>
      <c r="H476" s="10"/>
      <c r="I476" s="9"/>
    </row>
    <row r="477" ht="14.25" customHeight="1">
      <c r="A477" s="10"/>
      <c r="B477" s="10"/>
      <c r="C477" s="10"/>
      <c r="D477" s="10"/>
      <c r="E477" s="10"/>
      <c r="F477" s="10"/>
      <c r="G477" s="10"/>
      <c r="H477" s="10"/>
      <c r="I477" s="9"/>
    </row>
    <row r="478" ht="14.25" customHeight="1">
      <c r="A478" s="10"/>
      <c r="B478" s="10"/>
      <c r="C478" s="10"/>
      <c r="D478" s="10"/>
      <c r="E478" s="10"/>
      <c r="F478" s="10"/>
      <c r="G478" s="10"/>
      <c r="H478" s="10"/>
      <c r="I478" s="9"/>
    </row>
    <row r="479" ht="14.25" customHeight="1">
      <c r="A479" s="10"/>
      <c r="B479" s="10"/>
      <c r="C479" s="10"/>
      <c r="D479" s="10"/>
      <c r="E479" s="10"/>
      <c r="F479" s="10"/>
      <c r="G479" s="10"/>
      <c r="H479" s="10"/>
      <c r="I479" s="9"/>
    </row>
    <row r="480" ht="14.25" customHeight="1">
      <c r="A480" s="10"/>
      <c r="B480" s="10"/>
      <c r="C480" s="10"/>
      <c r="D480" s="10"/>
      <c r="E480" s="10"/>
      <c r="F480" s="10"/>
      <c r="G480" s="10"/>
      <c r="H480" s="10"/>
      <c r="I480" s="9"/>
    </row>
    <row r="481" ht="14.25" customHeight="1">
      <c r="A481" s="10"/>
      <c r="B481" s="10"/>
      <c r="C481" s="10"/>
      <c r="D481" s="10"/>
      <c r="E481" s="10"/>
      <c r="F481" s="10"/>
      <c r="G481" s="10"/>
      <c r="H481" s="10"/>
      <c r="I481" s="9"/>
    </row>
    <row r="482" ht="14.25" customHeight="1">
      <c r="A482" s="10"/>
      <c r="B482" s="10"/>
      <c r="C482" s="10"/>
      <c r="D482" s="10"/>
      <c r="E482" s="10"/>
      <c r="F482" s="10"/>
      <c r="G482" s="10"/>
      <c r="H482" s="10"/>
      <c r="I482" s="9"/>
    </row>
    <row r="483" ht="14.25" customHeight="1">
      <c r="A483" s="10"/>
      <c r="B483" s="10"/>
      <c r="C483" s="10"/>
      <c r="D483" s="10"/>
      <c r="E483" s="10"/>
      <c r="F483" s="10"/>
      <c r="G483" s="10"/>
      <c r="H483" s="10"/>
      <c r="I483" s="9"/>
    </row>
    <row r="484" ht="14.25" customHeight="1">
      <c r="A484" s="10"/>
      <c r="B484" s="10"/>
      <c r="C484" s="10"/>
      <c r="D484" s="10"/>
      <c r="E484" s="10"/>
      <c r="F484" s="10"/>
      <c r="G484" s="10"/>
      <c r="H484" s="10"/>
      <c r="I484" s="9"/>
    </row>
    <row r="485" ht="14.25" customHeight="1">
      <c r="A485" s="10"/>
      <c r="B485" s="10"/>
      <c r="C485" s="10"/>
      <c r="D485" s="10"/>
      <c r="E485" s="10"/>
      <c r="F485" s="10"/>
      <c r="G485" s="10"/>
      <c r="H485" s="10"/>
      <c r="I485" s="9"/>
    </row>
    <row r="486" ht="14.25" customHeight="1">
      <c r="A486" s="10"/>
      <c r="B486" s="10"/>
      <c r="C486" s="10"/>
      <c r="D486" s="10"/>
      <c r="E486" s="10"/>
      <c r="F486" s="10"/>
      <c r="G486" s="10"/>
      <c r="H486" s="10"/>
      <c r="I486" s="9"/>
    </row>
    <row r="487" ht="14.25" customHeight="1">
      <c r="A487" s="10"/>
      <c r="B487" s="10"/>
      <c r="C487" s="10"/>
      <c r="D487" s="10"/>
      <c r="E487" s="10"/>
      <c r="F487" s="10"/>
      <c r="G487" s="10"/>
      <c r="H487" s="10"/>
      <c r="I487" s="9"/>
    </row>
    <row r="488" ht="14.25" customHeight="1">
      <c r="A488" s="10"/>
      <c r="B488" s="10"/>
      <c r="C488" s="10"/>
      <c r="D488" s="10"/>
      <c r="E488" s="10"/>
      <c r="F488" s="10"/>
      <c r="G488" s="10"/>
      <c r="H488" s="10"/>
      <c r="I488" s="9"/>
    </row>
    <row r="489" ht="14.25" customHeight="1">
      <c r="A489" s="10"/>
      <c r="B489" s="10"/>
      <c r="C489" s="10"/>
      <c r="D489" s="10"/>
      <c r="E489" s="10"/>
      <c r="F489" s="10"/>
      <c r="G489" s="10"/>
      <c r="H489" s="10"/>
      <c r="I489" s="9"/>
    </row>
    <row r="490" ht="14.25" customHeight="1">
      <c r="A490" s="10"/>
      <c r="B490" s="10"/>
      <c r="C490" s="10"/>
      <c r="D490" s="10"/>
      <c r="E490" s="10"/>
      <c r="F490" s="10"/>
      <c r="G490" s="10"/>
      <c r="H490" s="10"/>
      <c r="I490" s="9"/>
    </row>
    <row r="491" ht="14.25" customHeight="1">
      <c r="A491" s="10"/>
      <c r="B491" s="10"/>
      <c r="C491" s="10"/>
      <c r="D491" s="10"/>
      <c r="E491" s="10"/>
      <c r="F491" s="10"/>
      <c r="G491" s="10"/>
      <c r="H491" s="10"/>
      <c r="I491" s="9"/>
    </row>
    <row r="492" ht="14.25" customHeight="1">
      <c r="A492" s="10"/>
      <c r="B492" s="10"/>
      <c r="C492" s="10"/>
      <c r="D492" s="10"/>
      <c r="E492" s="10"/>
      <c r="F492" s="10"/>
      <c r="G492" s="10"/>
      <c r="H492" s="10"/>
      <c r="I492" s="9"/>
    </row>
    <row r="493" ht="14.25" customHeight="1">
      <c r="A493" s="10"/>
      <c r="B493" s="10"/>
      <c r="C493" s="10"/>
      <c r="D493" s="10"/>
      <c r="E493" s="10"/>
      <c r="F493" s="10"/>
      <c r="G493" s="10"/>
      <c r="H493" s="10"/>
      <c r="I493" s="9"/>
    </row>
    <row r="494" ht="14.25" customHeight="1">
      <c r="A494" s="10"/>
      <c r="B494" s="10"/>
      <c r="C494" s="10"/>
      <c r="D494" s="10"/>
      <c r="E494" s="10"/>
      <c r="F494" s="10"/>
      <c r="G494" s="10"/>
      <c r="H494" s="10"/>
      <c r="I494" s="9"/>
    </row>
    <row r="495" ht="14.25" customHeight="1">
      <c r="A495" s="10"/>
      <c r="B495" s="10"/>
      <c r="C495" s="10"/>
      <c r="D495" s="10"/>
      <c r="E495" s="10"/>
      <c r="F495" s="10"/>
      <c r="G495" s="10"/>
      <c r="H495" s="10"/>
      <c r="I495" s="9"/>
    </row>
    <row r="496" ht="14.25" customHeight="1">
      <c r="A496" s="10"/>
      <c r="B496" s="10"/>
      <c r="C496" s="10"/>
      <c r="D496" s="10"/>
      <c r="E496" s="10"/>
      <c r="F496" s="10"/>
      <c r="G496" s="10"/>
      <c r="H496" s="10"/>
      <c r="I496" s="9"/>
    </row>
    <row r="497" ht="14.25" customHeight="1">
      <c r="A497" s="10"/>
      <c r="B497" s="10"/>
      <c r="C497" s="10"/>
      <c r="D497" s="10"/>
      <c r="E497" s="10"/>
      <c r="F497" s="10"/>
      <c r="G497" s="10"/>
      <c r="H497" s="10"/>
      <c r="I497" s="9"/>
    </row>
    <row r="498" ht="14.25" customHeight="1">
      <c r="A498" s="10"/>
      <c r="B498" s="10"/>
      <c r="C498" s="10"/>
      <c r="D498" s="10"/>
      <c r="E498" s="10"/>
      <c r="F498" s="10"/>
      <c r="G498" s="10"/>
      <c r="H498" s="10"/>
      <c r="I498" s="9"/>
    </row>
    <row r="499" ht="14.25" customHeight="1">
      <c r="A499" s="10"/>
      <c r="B499" s="10"/>
      <c r="C499" s="10"/>
      <c r="D499" s="10"/>
      <c r="E499" s="10"/>
      <c r="F499" s="10"/>
      <c r="G499" s="10"/>
      <c r="H499" s="10"/>
      <c r="I499" s="9"/>
    </row>
    <row r="500" ht="14.25" customHeight="1">
      <c r="A500" s="10"/>
      <c r="B500" s="10"/>
      <c r="C500" s="10"/>
      <c r="D500" s="10"/>
      <c r="E500" s="10"/>
      <c r="F500" s="10"/>
      <c r="G500" s="10"/>
      <c r="H500" s="10"/>
      <c r="I500" s="9"/>
    </row>
    <row r="501" ht="14.25" customHeight="1">
      <c r="A501" s="10"/>
      <c r="B501" s="10"/>
      <c r="C501" s="10"/>
      <c r="D501" s="10"/>
      <c r="E501" s="10"/>
      <c r="F501" s="10"/>
      <c r="G501" s="10"/>
      <c r="H501" s="10"/>
      <c r="I501" s="9"/>
    </row>
    <row r="502" ht="14.25" customHeight="1">
      <c r="A502" s="10"/>
      <c r="B502" s="10"/>
      <c r="C502" s="10"/>
      <c r="D502" s="10"/>
      <c r="E502" s="10"/>
      <c r="F502" s="10"/>
      <c r="G502" s="10"/>
      <c r="H502" s="10"/>
      <c r="I502" s="9"/>
    </row>
    <row r="503" ht="14.25" customHeight="1">
      <c r="A503" s="10"/>
      <c r="B503" s="10"/>
      <c r="C503" s="10"/>
      <c r="D503" s="10"/>
      <c r="E503" s="10"/>
      <c r="F503" s="10"/>
      <c r="G503" s="10"/>
      <c r="H503" s="10"/>
      <c r="I503" s="9"/>
    </row>
    <row r="504" ht="14.25" customHeight="1">
      <c r="A504" s="10"/>
      <c r="B504" s="10"/>
      <c r="C504" s="10"/>
      <c r="D504" s="10"/>
      <c r="E504" s="10"/>
      <c r="F504" s="10"/>
      <c r="G504" s="10"/>
      <c r="H504" s="10"/>
      <c r="I504" s="9"/>
    </row>
    <row r="505" ht="14.25" customHeight="1">
      <c r="A505" s="10"/>
      <c r="B505" s="10"/>
      <c r="C505" s="10"/>
      <c r="D505" s="10"/>
      <c r="E505" s="10"/>
      <c r="F505" s="10"/>
      <c r="G505" s="10"/>
      <c r="H505" s="10"/>
      <c r="I505" s="9"/>
    </row>
    <row r="506" ht="14.25" customHeight="1">
      <c r="A506" s="10"/>
      <c r="B506" s="10"/>
      <c r="C506" s="10"/>
      <c r="D506" s="10"/>
      <c r="E506" s="10"/>
      <c r="F506" s="10"/>
      <c r="G506" s="10"/>
      <c r="H506" s="10"/>
      <c r="I506" s="9"/>
    </row>
    <row r="507" ht="14.25" customHeight="1">
      <c r="A507" s="10"/>
      <c r="B507" s="10"/>
      <c r="C507" s="10"/>
      <c r="D507" s="10"/>
      <c r="E507" s="10"/>
      <c r="F507" s="10"/>
      <c r="G507" s="10"/>
      <c r="H507" s="10"/>
      <c r="I507" s="9"/>
    </row>
    <row r="508" ht="14.25" customHeight="1">
      <c r="A508" s="10"/>
      <c r="B508" s="10"/>
      <c r="C508" s="10"/>
      <c r="D508" s="10"/>
      <c r="E508" s="10"/>
      <c r="F508" s="10"/>
      <c r="G508" s="10"/>
      <c r="H508" s="10"/>
      <c r="I508" s="9"/>
    </row>
    <row r="509" ht="14.25" customHeight="1">
      <c r="A509" s="10"/>
      <c r="B509" s="10"/>
      <c r="C509" s="10"/>
      <c r="D509" s="10"/>
      <c r="E509" s="10"/>
      <c r="F509" s="10"/>
      <c r="G509" s="10"/>
      <c r="H509" s="10"/>
      <c r="I509" s="9"/>
    </row>
    <row r="510" ht="14.25" customHeight="1">
      <c r="A510" s="10"/>
      <c r="B510" s="10"/>
      <c r="C510" s="10"/>
      <c r="D510" s="10"/>
      <c r="E510" s="10"/>
      <c r="F510" s="10"/>
      <c r="G510" s="10"/>
      <c r="H510" s="10"/>
      <c r="I510" s="9"/>
    </row>
    <row r="511" ht="14.25" customHeight="1">
      <c r="A511" s="10"/>
      <c r="B511" s="10"/>
      <c r="C511" s="10"/>
      <c r="D511" s="10"/>
      <c r="E511" s="10"/>
      <c r="F511" s="10"/>
      <c r="G511" s="10"/>
      <c r="H511" s="10"/>
      <c r="I511" s="9"/>
    </row>
    <row r="512" ht="14.25" customHeight="1">
      <c r="A512" s="10"/>
      <c r="B512" s="10"/>
      <c r="C512" s="10"/>
      <c r="D512" s="10"/>
      <c r="E512" s="10"/>
      <c r="F512" s="10"/>
      <c r="G512" s="10"/>
      <c r="H512" s="10"/>
      <c r="I512" s="9"/>
    </row>
    <row r="513" ht="14.25" customHeight="1">
      <c r="A513" s="10"/>
      <c r="B513" s="10"/>
      <c r="C513" s="10"/>
      <c r="D513" s="10"/>
      <c r="E513" s="10"/>
      <c r="F513" s="10"/>
      <c r="G513" s="10"/>
      <c r="H513" s="10"/>
      <c r="I513" s="9"/>
    </row>
    <row r="514" ht="14.25" customHeight="1">
      <c r="A514" s="10"/>
      <c r="B514" s="10"/>
      <c r="C514" s="10"/>
      <c r="D514" s="10"/>
      <c r="E514" s="10"/>
      <c r="F514" s="10"/>
      <c r="G514" s="10"/>
      <c r="H514" s="10"/>
      <c r="I514" s="9"/>
    </row>
    <row r="515" ht="14.25" customHeight="1">
      <c r="A515" s="10"/>
      <c r="B515" s="10"/>
      <c r="C515" s="10"/>
      <c r="D515" s="10"/>
      <c r="E515" s="10"/>
      <c r="F515" s="10"/>
      <c r="G515" s="10"/>
      <c r="H515" s="10"/>
      <c r="I515" s="9"/>
    </row>
    <row r="516" ht="14.25" customHeight="1">
      <c r="A516" s="10"/>
      <c r="B516" s="10"/>
      <c r="C516" s="10"/>
      <c r="D516" s="10"/>
      <c r="E516" s="10"/>
      <c r="F516" s="10"/>
      <c r="G516" s="10"/>
      <c r="H516" s="10"/>
      <c r="I516" s="9"/>
    </row>
    <row r="517" ht="14.25" customHeight="1">
      <c r="A517" s="10"/>
      <c r="B517" s="10"/>
      <c r="C517" s="10"/>
      <c r="D517" s="10"/>
      <c r="E517" s="10"/>
      <c r="F517" s="10"/>
      <c r="G517" s="10"/>
      <c r="H517" s="10"/>
      <c r="I517" s="9"/>
    </row>
    <row r="518" ht="14.25" customHeight="1">
      <c r="A518" s="10"/>
      <c r="B518" s="10"/>
      <c r="C518" s="10"/>
      <c r="D518" s="10"/>
      <c r="E518" s="10"/>
      <c r="F518" s="10"/>
      <c r="G518" s="10"/>
      <c r="H518" s="10"/>
      <c r="I518" s="9"/>
    </row>
    <row r="519" ht="14.25" customHeight="1">
      <c r="A519" s="10"/>
      <c r="B519" s="10"/>
      <c r="C519" s="10"/>
      <c r="D519" s="10"/>
      <c r="E519" s="10"/>
      <c r="F519" s="10"/>
      <c r="G519" s="10"/>
      <c r="H519" s="10"/>
      <c r="I519" s="9"/>
    </row>
    <row r="520" ht="14.25" customHeight="1">
      <c r="A520" s="10"/>
      <c r="B520" s="10"/>
      <c r="C520" s="10"/>
      <c r="D520" s="10"/>
      <c r="E520" s="10"/>
      <c r="F520" s="10"/>
      <c r="G520" s="10"/>
      <c r="H520" s="10"/>
      <c r="I520" s="9"/>
    </row>
    <row r="521" ht="14.25" customHeight="1">
      <c r="A521" s="10"/>
      <c r="B521" s="10"/>
      <c r="C521" s="10"/>
      <c r="D521" s="10"/>
      <c r="E521" s="10"/>
      <c r="F521" s="10"/>
      <c r="G521" s="10"/>
      <c r="H521" s="10"/>
      <c r="I521" s="9"/>
    </row>
    <row r="522" ht="14.25" customHeight="1">
      <c r="A522" s="10"/>
      <c r="B522" s="10"/>
      <c r="C522" s="10"/>
      <c r="D522" s="10"/>
      <c r="E522" s="10"/>
      <c r="F522" s="10"/>
      <c r="G522" s="10"/>
      <c r="H522" s="10"/>
      <c r="I522" s="9"/>
    </row>
    <row r="523" ht="14.25" customHeight="1">
      <c r="A523" s="10"/>
      <c r="B523" s="10"/>
      <c r="C523" s="10"/>
      <c r="D523" s="10"/>
      <c r="E523" s="10"/>
      <c r="F523" s="10"/>
      <c r="G523" s="10"/>
      <c r="H523" s="10"/>
      <c r="I523" s="9"/>
    </row>
    <row r="524" ht="14.25" customHeight="1">
      <c r="A524" s="10"/>
      <c r="B524" s="10"/>
      <c r="C524" s="10"/>
      <c r="D524" s="10"/>
      <c r="E524" s="10"/>
      <c r="F524" s="10"/>
      <c r="G524" s="10"/>
      <c r="H524" s="10"/>
      <c r="I524" s="9"/>
    </row>
    <row r="525" ht="14.25" customHeight="1">
      <c r="A525" s="10"/>
      <c r="B525" s="10"/>
      <c r="C525" s="10"/>
      <c r="D525" s="10"/>
      <c r="E525" s="10"/>
      <c r="F525" s="10"/>
      <c r="G525" s="10"/>
      <c r="H525" s="10"/>
      <c r="I525" s="9"/>
    </row>
    <row r="526" ht="14.25" customHeight="1">
      <c r="A526" s="10"/>
      <c r="B526" s="10"/>
      <c r="C526" s="10"/>
      <c r="D526" s="10"/>
      <c r="E526" s="10"/>
      <c r="F526" s="10"/>
      <c r="G526" s="10"/>
      <c r="H526" s="10"/>
      <c r="I526" s="9"/>
    </row>
    <row r="527" ht="14.25" customHeight="1">
      <c r="A527" s="10"/>
      <c r="B527" s="10"/>
      <c r="C527" s="10"/>
      <c r="D527" s="10"/>
      <c r="E527" s="10"/>
      <c r="F527" s="10"/>
      <c r="G527" s="10"/>
      <c r="H527" s="10"/>
      <c r="I527" s="9"/>
    </row>
    <row r="528" ht="14.25" customHeight="1">
      <c r="A528" s="10"/>
      <c r="B528" s="10"/>
      <c r="C528" s="10"/>
      <c r="D528" s="10"/>
      <c r="E528" s="10"/>
      <c r="F528" s="10"/>
      <c r="G528" s="10"/>
      <c r="H528" s="10"/>
      <c r="I528" s="9"/>
    </row>
    <row r="529" ht="14.25" customHeight="1">
      <c r="A529" s="10"/>
      <c r="B529" s="10"/>
      <c r="C529" s="10"/>
      <c r="D529" s="10"/>
      <c r="E529" s="10"/>
      <c r="F529" s="10"/>
      <c r="G529" s="10"/>
      <c r="H529" s="10"/>
      <c r="I529" s="9"/>
    </row>
    <row r="530" ht="14.25" customHeight="1">
      <c r="A530" s="10"/>
      <c r="B530" s="10"/>
      <c r="C530" s="10"/>
      <c r="D530" s="10"/>
      <c r="E530" s="10"/>
      <c r="F530" s="10"/>
      <c r="G530" s="10"/>
      <c r="H530" s="10"/>
      <c r="I530" s="9"/>
    </row>
    <row r="531" ht="14.25" customHeight="1">
      <c r="A531" s="10"/>
      <c r="B531" s="10"/>
      <c r="C531" s="10"/>
      <c r="D531" s="10"/>
      <c r="E531" s="10"/>
      <c r="F531" s="10"/>
      <c r="G531" s="10"/>
      <c r="H531" s="10"/>
      <c r="I531" s="9"/>
    </row>
    <row r="532" ht="14.25" customHeight="1">
      <c r="A532" s="10"/>
      <c r="B532" s="10"/>
      <c r="C532" s="10"/>
      <c r="D532" s="10"/>
      <c r="E532" s="10"/>
      <c r="F532" s="10"/>
      <c r="G532" s="10"/>
      <c r="H532" s="10"/>
      <c r="I532" s="9"/>
    </row>
    <row r="533" ht="14.25" customHeight="1">
      <c r="A533" s="10"/>
      <c r="B533" s="10"/>
      <c r="C533" s="10"/>
      <c r="D533" s="10"/>
      <c r="E533" s="10"/>
      <c r="F533" s="10"/>
      <c r="G533" s="10"/>
      <c r="H533" s="10"/>
      <c r="I533" s="9"/>
    </row>
    <row r="534" ht="14.25" customHeight="1">
      <c r="A534" s="10"/>
      <c r="B534" s="10"/>
      <c r="C534" s="10"/>
      <c r="D534" s="10"/>
      <c r="E534" s="10"/>
      <c r="F534" s="10"/>
      <c r="G534" s="10"/>
      <c r="H534" s="10"/>
      <c r="I534" s="9"/>
    </row>
    <row r="535" ht="14.25" customHeight="1">
      <c r="A535" s="10"/>
      <c r="B535" s="10"/>
      <c r="C535" s="10"/>
      <c r="D535" s="10"/>
      <c r="E535" s="10"/>
      <c r="F535" s="10"/>
      <c r="G535" s="10"/>
      <c r="H535" s="10"/>
      <c r="I535" s="9"/>
    </row>
    <row r="536" ht="14.25" customHeight="1">
      <c r="A536" s="10"/>
      <c r="B536" s="10"/>
      <c r="C536" s="10"/>
      <c r="D536" s="10"/>
      <c r="E536" s="10"/>
      <c r="F536" s="10"/>
      <c r="G536" s="10"/>
      <c r="H536" s="10"/>
      <c r="I536" s="9"/>
    </row>
    <row r="537" ht="14.25" customHeight="1">
      <c r="A537" s="10"/>
      <c r="B537" s="10"/>
      <c r="C537" s="10"/>
      <c r="D537" s="10"/>
      <c r="E537" s="10"/>
      <c r="F537" s="10"/>
      <c r="G537" s="10"/>
      <c r="H537" s="10"/>
      <c r="I537" s="9"/>
    </row>
    <row r="538" ht="14.25" customHeight="1">
      <c r="A538" s="10"/>
      <c r="B538" s="10"/>
      <c r="C538" s="10"/>
      <c r="D538" s="10"/>
      <c r="E538" s="10"/>
      <c r="F538" s="10"/>
      <c r="G538" s="10"/>
      <c r="H538" s="10"/>
      <c r="I538" s="9"/>
    </row>
    <row r="539" ht="14.25" customHeight="1">
      <c r="A539" s="10"/>
      <c r="B539" s="10"/>
      <c r="C539" s="10"/>
      <c r="D539" s="10"/>
      <c r="E539" s="10"/>
      <c r="F539" s="10"/>
      <c r="G539" s="10"/>
      <c r="H539" s="10"/>
      <c r="I539" s="9"/>
    </row>
    <row r="540" ht="14.25" customHeight="1">
      <c r="A540" s="10"/>
      <c r="B540" s="10"/>
      <c r="C540" s="10"/>
      <c r="D540" s="10"/>
      <c r="E540" s="10"/>
      <c r="F540" s="10"/>
      <c r="G540" s="10"/>
      <c r="H540" s="10"/>
      <c r="I540" s="9"/>
    </row>
    <row r="541" ht="14.25" customHeight="1">
      <c r="A541" s="10"/>
      <c r="B541" s="10"/>
      <c r="C541" s="10"/>
      <c r="D541" s="10"/>
      <c r="E541" s="10"/>
      <c r="F541" s="10"/>
      <c r="G541" s="10"/>
      <c r="H541" s="10"/>
      <c r="I541" s="9"/>
    </row>
    <row r="542" ht="14.25" customHeight="1">
      <c r="A542" s="10"/>
      <c r="B542" s="10"/>
      <c r="C542" s="10"/>
      <c r="D542" s="10"/>
      <c r="E542" s="10"/>
      <c r="F542" s="10"/>
      <c r="G542" s="10"/>
      <c r="H542" s="10"/>
      <c r="I542" s="9"/>
    </row>
    <row r="543" ht="14.25" customHeight="1">
      <c r="A543" s="10"/>
      <c r="B543" s="10"/>
      <c r="C543" s="10"/>
      <c r="D543" s="10"/>
      <c r="E543" s="10"/>
      <c r="F543" s="10"/>
      <c r="G543" s="10"/>
      <c r="H543" s="10"/>
      <c r="I543" s="9"/>
    </row>
    <row r="544" ht="14.25" customHeight="1">
      <c r="A544" s="10"/>
      <c r="B544" s="10"/>
      <c r="C544" s="10"/>
      <c r="D544" s="10"/>
      <c r="E544" s="10"/>
      <c r="F544" s="10"/>
      <c r="G544" s="10"/>
      <c r="H544" s="10"/>
      <c r="I544" s="9"/>
    </row>
    <row r="545" ht="14.25" customHeight="1">
      <c r="A545" s="10"/>
      <c r="B545" s="10"/>
      <c r="C545" s="10"/>
      <c r="D545" s="10"/>
      <c r="E545" s="10"/>
      <c r="F545" s="10"/>
      <c r="G545" s="10"/>
      <c r="H545" s="10"/>
      <c r="I545" s="9"/>
    </row>
    <row r="546" ht="14.25" customHeight="1">
      <c r="A546" s="10"/>
      <c r="B546" s="10"/>
      <c r="C546" s="10"/>
      <c r="D546" s="10"/>
      <c r="E546" s="10"/>
      <c r="F546" s="10"/>
      <c r="G546" s="10"/>
      <c r="H546" s="10"/>
      <c r="I546" s="9"/>
    </row>
    <row r="547" ht="14.25" customHeight="1">
      <c r="A547" s="10"/>
      <c r="B547" s="10"/>
      <c r="C547" s="10"/>
      <c r="D547" s="10"/>
      <c r="E547" s="10"/>
      <c r="F547" s="10"/>
      <c r="G547" s="10"/>
      <c r="H547" s="10"/>
      <c r="I547" s="9"/>
    </row>
    <row r="548" ht="14.25" customHeight="1">
      <c r="A548" s="10"/>
      <c r="B548" s="10"/>
      <c r="C548" s="10"/>
      <c r="D548" s="10"/>
      <c r="E548" s="10"/>
      <c r="F548" s="10"/>
      <c r="G548" s="10"/>
      <c r="H548" s="10"/>
      <c r="I548" s="9"/>
    </row>
    <row r="549" ht="14.25" customHeight="1">
      <c r="A549" s="10"/>
      <c r="B549" s="10"/>
      <c r="C549" s="10"/>
      <c r="D549" s="10"/>
      <c r="E549" s="10"/>
      <c r="F549" s="10"/>
      <c r="G549" s="10"/>
      <c r="H549" s="10"/>
      <c r="I549" s="9"/>
    </row>
    <row r="550" ht="14.25" customHeight="1">
      <c r="A550" s="10"/>
      <c r="B550" s="10"/>
      <c r="C550" s="10"/>
      <c r="D550" s="10"/>
      <c r="E550" s="10"/>
      <c r="F550" s="10"/>
      <c r="G550" s="10"/>
      <c r="H550" s="10"/>
      <c r="I550" s="9"/>
    </row>
    <row r="551" ht="14.25" customHeight="1">
      <c r="A551" s="10"/>
      <c r="B551" s="10"/>
      <c r="C551" s="10"/>
      <c r="D551" s="10"/>
      <c r="E551" s="10"/>
      <c r="F551" s="10"/>
      <c r="G551" s="10"/>
      <c r="H551" s="10"/>
      <c r="I551" s="9"/>
    </row>
    <row r="552" ht="14.25" customHeight="1">
      <c r="A552" s="10"/>
      <c r="B552" s="10"/>
      <c r="C552" s="10"/>
      <c r="D552" s="10"/>
      <c r="E552" s="10"/>
      <c r="F552" s="10"/>
      <c r="G552" s="10"/>
      <c r="H552" s="10"/>
      <c r="I552" s="9"/>
    </row>
    <row r="553" ht="14.25" customHeight="1">
      <c r="A553" s="10"/>
      <c r="B553" s="10"/>
      <c r="C553" s="10"/>
      <c r="D553" s="10"/>
      <c r="E553" s="10"/>
      <c r="F553" s="10"/>
      <c r="G553" s="10"/>
      <c r="H553" s="10"/>
      <c r="I553" s="9"/>
    </row>
    <row r="554" ht="14.25" customHeight="1">
      <c r="A554" s="10"/>
      <c r="B554" s="10"/>
      <c r="C554" s="10"/>
      <c r="D554" s="10"/>
      <c r="E554" s="10"/>
      <c r="F554" s="10"/>
      <c r="G554" s="10"/>
      <c r="H554" s="10"/>
      <c r="I554" s="9"/>
    </row>
    <row r="555" ht="14.25" customHeight="1">
      <c r="A555" s="10"/>
      <c r="B555" s="10"/>
      <c r="C555" s="10"/>
      <c r="D555" s="10"/>
      <c r="E555" s="10"/>
      <c r="F555" s="10"/>
      <c r="G555" s="10"/>
      <c r="H555" s="10"/>
      <c r="I555" s="9"/>
    </row>
    <row r="556" ht="14.25" customHeight="1">
      <c r="A556" s="10"/>
      <c r="B556" s="10"/>
      <c r="C556" s="10"/>
      <c r="D556" s="10"/>
      <c r="E556" s="10"/>
      <c r="F556" s="10"/>
      <c r="G556" s="10"/>
      <c r="H556" s="10"/>
      <c r="I556" s="9"/>
    </row>
    <row r="557" ht="14.25" customHeight="1">
      <c r="A557" s="10"/>
      <c r="B557" s="10"/>
      <c r="C557" s="10"/>
      <c r="D557" s="10"/>
      <c r="E557" s="10"/>
      <c r="F557" s="10"/>
      <c r="G557" s="10"/>
      <c r="H557" s="10"/>
      <c r="I557" s="9"/>
    </row>
    <row r="558" ht="14.25" customHeight="1">
      <c r="A558" s="10"/>
      <c r="B558" s="10"/>
      <c r="C558" s="10"/>
      <c r="D558" s="10"/>
      <c r="E558" s="10"/>
      <c r="F558" s="10"/>
      <c r="G558" s="10"/>
      <c r="H558" s="10"/>
      <c r="I558" s="9"/>
    </row>
    <row r="559" ht="14.25" customHeight="1">
      <c r="A559" s="10"/>
      <c r="B559" s="10"/>
      <c r="C559" s="10"/>
      <c r="D559" s="10"/>
      <c r="E559" s="10"/>
      <c r="F559" s="10"/>
      <c r="G559" s="10"/>
      <c r="H559" s="10"/>
      <c r="I559" s="9"/>
    </row>
    <row r="560" ht="14.25" customHeight="1">
      <c r="A560" s="10"/>
      <c r="B560" s="10"/>
      <c r="C560" s="10"/>
      <c r="D560" s="10"/>
      <c r="E560" s="10"/>
      <c r="F560" s="10"/>
      <c r="G560" s="10"/>
      <c r="H560" s="10"/>
      <c r="I560" s="9"/>
    </row>
    <row r="561" ht="14.25" customHeight="1">
      <c r="A561" s="10"/>
      <c r="B561" s="10"/>
      <c r="C561" s="10"/>
      <c r="D561" s="10"/>
      <c r="E561" s="10"/>
      <c r="F561" s="10"/>
      <c r="G561" s="10"/>
      <c r="H561" s="10"/>
      <c r="I561" s="9"/>
    </row>
    <row r="562" ht="14.25" customHeight="1">
      <c r="A562" s="10"/>
      <c r="B562" s="10"/>
      <c r="C562" s="10"/>
      <c r="D562" s="10"/>
      <c r="E562" s="10"/>
      <c r="F562" s="10"/>
      <c r="G562" s="10"/>
      <c r="H562" s="10"/>
      <c r="I562" s="9"/>
    </row>
    <row r="563" ht="14.25" customHeight="1">
      <c r="A563" s="10"/>
      <c r="B563" s="10"/>
      <c r="C563" s="10"/>
      <c r="D563" s="10"/>
      <c r="E563" s="10"/>
      <c r="F563" s="10"/>
      <c r="G563" s="10"/>
      <c r="H563" s="10"/>
      <c r="I563" s="9"/>
    </row>
    <row r="564" ht="14.25" customHeight="1">
      <c r="A564" s="10"/>
      <c r="B564" s="10"/>
      <c r="C564" s="10"/>
      <c r="D564" s="10"/>
      <c r="E564" s="10"/>
      <c r="F564" s="10"/>
      <c r="G564" s="10"/>
      <c r="H564" s="10"/>
      <c r="I564" s="9"/>
    </row>
    <row r="565" ht="14.25" customHeight="1">
      <c r="A565" s="10"/>
      <c r="B565" s="10"/>
      <c r="C565" s="10"/>
      <c r="D565" s="10"/>
      <c r="E565" s="10"/>
      <c r="F565" s="10"/>
      <c r="G565" s="10"/>
      <c r="H565" s="10"/>
      <c r="I565" s="9"/>
    </row>
    <row r="566" ht="14.25" customHeight="1">
      <c r="A566" s="10"/>
      <c r="B566" s="10"/>
      <c r="C566" s="10"/>
      <c r="D566" s="10"/>
      <c r="E566" s="10"/>
      <c r="F566" s="10"/>
      <c r="G566" s="10"/>
      <c r="H566" s="10"/>
      <c r="I566" s="9"/>
    </row>
    <row r="567" ht="14.25" customHeight="1">
      <c r="A567" s="10"/>
      <c r="B567" s="10"/>
      <c r="C567" s="10"/>
      <c r="D567" s="10"/>
      <c r="E567" s="10"/>
      <c r="F567" s="10"/>
      <c r="G567" s="10"/>
      <c r="H567" s="10"/>
      <c r="I567" s="9"/>
    </row>
    <row r="568" ht="14.25" customHeight="1">
      <c r="A568" s="10"/>
      <c r="B568" s="10"/>
      <c r="C568" s="10"/>
      <c r="D568" s="10"/>
      <c r="E568" s="10"/>
      <c r="F568" s="10"/>
      <c r="G568" s="10"/>
      <c r="H568" s="10"/>
      <c r="I568" s="9"/>
    </row>
    <row r="569" ht="14.25" customHeight="1">
      <c r="A569" s="10"/>
      <c r="B569" s="10"/>
      <c r="C569" s="10"/>
      <c r="D569" s="10"/>
      <c r="E569" s="10"/>
      <c r="F569" s="10"/>
      <c r="G569" s="10"/>
      <c r="H569" s="10"/>
      <c r="I569" s="9"/>
    </row>
    <row r="570" ht="14.25" customHeight="1">
      <c r="A570" s="10"/>
      <c r="B570" s="10"/>
      <c r="C570" s="10"/>
      <c r="D570" s="10"/>
      <c r="E570" s="10"/>
      <c r="F570" s="10"/>
      <c r="G570" s="10"/>
      <c r="H570" s="10"/>
      <c r="I570" s="9"/>
    </row>
    <row r="571" ht="14.25" customHeight="1">
      <c r="A571" s="10"/>
      <c r="B571" s="10"/>
      <c r="C571" s="10"/>
      <c r="D571" s="10"/>
      <c r="E571" s="10"/>
      <c r="F571" s="10"/>
      <c r="G571" s="10"/>
      <c r="H571" s="10"/>
      <c r="I571" s="9"/>
    </row>
    <row r="572" ht="14.25" customHeight="1">
      <c r="A572" s="10"/>
      <c r="B572" s="10"/>
      <c r="C572" s="10"/>
      <c r="D572" s="10"/>
      <c r="E572" s="10"/>
      <c r="F572" s="10"/>
      <c r="G572" s="10"/>
      <c r="H572" s="10"/>
      <c r="I572" s="9"/>
    </row>
    <row r="573" ht="14.25" customHeight="1">
      <c r="A573" s="10"/>
      <c r="B573" s="10"/>
      <c r="C573" s="10"/>
      <c r="D573" s="10"/>
      <c r="E573" s="10"/>
      <c r="F573" s="10"/>
      <c r="G573" s="10"/>
      <c r="H573" s="10"/>
      <c r="I573" s="9"/>
    </row>
    <row r="574" ht="14.25" customHeight="1">
      <c r="A574" s="10"/>
      <c r="B574" s="10"/>
      <c r="C574" s="10"/>
      <c r="D574" s="10"/>
      <c r="E574" s="10"/>
      <c r="F574" s="10"/>
      <c r="G574" s="10"/>
      <c r="H574" s="10"/>
      <c r="I574" s="9"/>
    </row>
    <row r="575" ht="14.25" customHeight="1">
      <c r="A575" s="10"/>
      <c r="B575" s="10"/>
      <c r="C575" s="10"/>
      <c r="D575" s="10"/>
      <c r="E575" s="10"/>
      <c r="F575" s="10"/>
      <c r="G575" s="10"/>
      <c r="H575" s="10"/>
      <c r="I575" s="9"/>
    </row>
    <row r="576" ht="14.25" customHeight="1">
      <c r="A576" s="10"/>
      <c r="B576" s="10"/>
      <c r="C576" s="10"/>
      <c r="D576" s="10"/>
      <c r="E576" s="10"/>
      <c r="F576" s="10"/>
      <c r="G576" s="10"/>
      <c r="H576" s="10"/>
      <c r="I576" s="9"/>
    </row>
    <row r="577" ht="14.25" customHeight="1">
      <c r="A577" s="10"/>
      <c r="B577" s="10"/>
      <c r="C577" s="10"/>
      <c r="D577" s="10"/>
      <c r="E577" s="10"/>
      <c r="F577" s="10"/>
      <c r="G577" s="10"/>
      <c r="H577" s="10"/>
      <c r="I577" s="9"/>
    </row>
    <row r="578" ht="14.25" customHeight="1">
      <c r="A578" s="10"/>
      <c r="B578" s="10"/>
      <c r="C578" s="10"/>
      <c r="D578" s="10"/>
      <c r="E578" s="10"/>
      <c r="F578" s="10"/>
      <c r="G578" s="10"/>
      <c r="H578" s="10"/>
      <c r="I578" s="9"/>
    </row>
    <row r="579" ht="14.25" customHeight="1">
      <c r="A579" s="10"/>
      <c r="B579" s="10"/>
      <c r="C579" s="10"/>
      <c r="D579" s="10"/>
      <c r="E579" s="10"/>
      <c r="F579" s="10"/>
      <c r="G579" s="10"/>
      <c r="H579" s="10"/>
      <c r="I579" s="9"/>
    </row>
    <row r="580" ht="14.25" customHeight="1">
      <c r="A580" s="10"/>
      <c r="B580" s="10"/>
      <c r="C580" s="10"/>
      <c r="D580" s="10"/>
      <c r="E580" s="10"/>
      <c r="F580" s="10"/>
      <c r="G580" s="10"/>
      <c r="H580" s="10"/>
      <c r="I580" s="9"/>
    </row>
    <row r="581" ht="14.25" customHeight="1">
      <c r="A581" s="10"/>
      <c r="B581" s="10"/>
      <c r="C581" s="10"/>
      <c r="D581" s="10"/>
      <c r="E581" s="10"/>
      <c r="F581" s="10"/>
      <c r="G581" s="10"/>
      <c r="H581" s="10"/>
      <c r="I581" s="9"/>
    </row>
    <row r="582" ht="14.25" customHeight="1">
      <c r="A582" s="10"/>
      <c r="B582" s="10"/>
      <c r="C582" s="10"/>
      <c r="D582" s="10"/>
      <c r="E582" s="10"/>
      <c r="F582" s="10"/>
      <c r="G582" s="10"/>
      <c r="H582" s="10"/>
      <c r="I582" s="9"/>
    </row>
    <row r="583" ht="14.25" customHeight="1">
      <c r="A583" s="10"/>
      <c r="B583" s="10"/>
      <c r="C583" s="10"/>
      <c r="D583" s="10"/>
      <c r="E583" s="10"/>
      <c r="F583" s="10"/>
      <c r="G583" s="10"/>
      <c r="H583" s="10"/>
      <c r="I583" s="9"/>
    </row>
    <row r="584" ht="14.25" customHeight="1">
      <c r="A584" s="10"/>
      <c r="B584" s="10"/>
      <c r="C584" s="10"/>
      <c r="D584" s="10"/>
      <c r="E584" s="10"/>
      <c r="F584" s="10"/>
      <c r="G584" s="10"/>
      <c r="H584" s="10"/>
      <c r="I584" s="9"/>
    </row>
    <row r="585" ht="14.25" customHeight="1">
      <c r="A585" s="10"/>
      <c r="B585" s="10"/>
      <c r="C585" s="10"/>
      <c r="D585" s="10"/>
      <c r="E585" s="10"/>
      <c r="F585" s="10"/>
      <c r="G585" s="10"/>
      <c r="H585" s="10"/>
      <c r="I585" s="9"/>
    </row>
    <row r="586" ht="14.25" customHeight="1">
      <c r="A586" s="10"/>
      <c r="B586" s="10"/>
      <c r="C586" s="10"/>
      <c r="D586" s="10"/>
      <c r="E586" s="10"/>
      <c r="F586" s="10"/>
      <c r="G586" s="10"/>
      <c r="H586" s="10"/>
      <c r="I586" s="9"/>
    </row>
    <row r="587" ht="14.25" customHeight="1">
      <c r="A587" s="10"/>
      <c r="B587" s="10"/>
      <c r="C587" s="10"/>
      <c r="D587" s="10"/>
      <c r="E587" s="10"/>
      <c r="F587" s="10"/>
      <c r="G587" s="10"/>
      <c r="H587" s="10"/>
      <c r="I587" s="9"/>
    </row>
    <row r="588" ht="14.25" customHeight="1">
      <c r="A588" s="10"/>
      <c r="B588" s="10"/>
      <c r="C588" s="10"/>
      <c r="D588" s="10"/>
      <c r="E588" s="10"/>
      <c r="F588" s="10"/>
      <c r="G588" s="10"/>
      <c r="H588" s="10"/>
      <c r="I588" s="9"/>
    </row>
    <row r="589" ht="14.25" customHeight="1">
      <c r="A589" s="10"/>
      <c r="B589" s="10"/>
      <c r="C589" s="10"/>
      <c r="D589" s="10"/>
      <c r="E589" s="10"/>
      <c r="F589" s="10"/>
      <c r="G589" s="10"/>
      <c r="H589" s="10"/>
      <c r="I589" s="9"/>
    </row>
    <row r="590" ht="14.25" customHeight="1">
      <c r="A590" s="10"/>
      <c r="B590" s="10"/>
      <c r="C590" s="10"/>
      <c r="D590" s="10"/>
      <c r="E590" s="10"/>
      <c r="F590" s="10"/>
      <c r="G590" s="10"/>
      <c r="H590" s="10"/>
      <c r="I590" s="9"/>
    </row>
    <row r="591" ht="14.25" customHeight="1">
      <c r="A591" s="10"/>
      <c r="B591" s="10"/>
      <c r="C591" s="10"/>
      <c r="D591" s="10"/>
      <c r="E591" s="10"/>
      <c r="F591" s="10"/>
      <c r="G591" s="10"/>
      <c r="H591" s="10"/>
      <c r="I591" s="9"/>
    </row>
    <row r="592" ht="14.25" customHeight="1">
      <c r="A592" s="10"/>
      <c r="B592" s="10"/>
      <c r="C592" s="10"/>
      <c r="D592" s="10"/>
      <c r="E592" s="10"/>
      <c r="F592" s="10"/>
      <c r="G592" s="10"/>
      <c r="H592" s="10"/>
      <c r="I592" s="9"/>
    </row>
    <row r="593" ht="14.25" customHeight="1">
      <c r="A593" s="10"/>
      <c r="B593" s="10"/>
      <c r="C593" s="10"/>
      <c r="D593" s="10"/>
      <c r="E593" s="10"/>
      <c r="F593" s="10"/>
      <c r="G593" s="10"/>
      <c r="H593" s="10"/>
      <c r="I593" s="9"/>
    </row>
    <row r="594" ht="14.25" customHeight="1">
      <c r="A594" s="10"/>
      <c r="B594" s="10"/>
      <c r="C594" s="10"/>
      <c r="D594" s="10"/>
      <c r="E594" s="10"/>
      <c r="F594" s="10"/>
      <c r="G594" s="10"/>
      <c r="H594" s="10"/>
      <c r="I594" s="9"/>
    </row>
    <row r="595" ht="14.25" customHeight="1">
      <c r="A595" s="10"/>
      <c r="B595" s="10"/>
      <c r="C595" s="10"/>
      <c r="D595" s="10"/>
      <c r="E595" s="10"/>
      <c r="F595" s="10"/>
      <c r="G595" s="10"/>
      <c r="H595" s="10"/>
      <c r="I595" s="9"/>
    </row>
    <row r="596" ht="14.25" customHeight="1">
      <c r="A596" s="10"/>
      <c r="B596" s="10"/>
      <c r="C596" s="10"/>
      <c r="D596" s="10"/>
      <c r="E596" s="10"/>
      <c r="F596" s="10"/>
      <c r="G596" s="10"/>
      <c r="H596" s="10"/>
      <c r="I596" s="9"/>
    </row>
    <row r="597" ht="14.25" customHeight="1">
      <c r="A597" s="10"/>
      <c r="B597" s="10"/>
      <c r="C597" s="10"/>
      <c r="D597" s="10"/>
      <c r="E597" s="10"/>
      <c r="F597" s="10"/>
      <c r="G597" s="10"/>
      <c r="H597" s="10"/>
      <c r="I597" s="9"/>
    </row>
    <row r="598" ht="14.25" customHeight="1">
      <c r="A598" s="10"/>
      <c r="B598" s="10"/>
      <c r="C598" s="10"/>
      <c r="D598" s="10"/>
      <c r="E598" s="10"/>
      <c r="F598" s="10"/>
      <c r="G598" s="10"/>
      <c r="H598" s="10"/>
      <c r="I598" s="9"/>
    </row>
    <row r="599" ht="14.25" customHeight="1">
      <c r="A599" s="10"/>
      <c r="B599" s="10"/>
      <c r="C599" s="10"/>
      <c r="D599" s="10"/>
      <c r="E599" s="10"/>
      <c r="F599" s="10"/>
      <c r="G599" s="10"/>
      <c r="H599" s="10"/>
      <c r="I599" s="9"/>
    </row>
    <row r="600" ht="14.25" customHeight="1">
      <c r="A600" s="10"/>
      <c r="B600" s="10"/>
      <c r="C600" s="10"/>
      <c r="D600" s="10"/>
      <c r="E600" s="10"/>
      <c r="F600" s="10"/>
      <c r="G600" s="10"/>
      <c r="H600" s="10"/>
      <c r="I600" s="9"/>
    </row>
    <row r="601" ht="14.25" customHeight="1">
      <c r="A601" s="10"/>
      <c r="B601" s="10"/>
      <c r="C601" s="10"/>
      <c r="D601" s="10"/>
      <c r="E601" s="10"/>
      <c r="F601" s="10"/>
      <c r="G601" s="10"/>
      <c r="H601" s="10"/>
      <c r="I601" s="9"/>
    </row>
    <row r="602" ht="14.25" customHeight="1">
      <c r="A602" s="10"/>
      <c r="B602" s="10"/>
      <c r="C602" s="10"/>
      <c r="D602" s="10"/>
      <c r="E602" s="10"/>
      <c r="F602" s="10"/>
      <c r="G602" s="10"/>
      <c r="H602" s="10"/>
      <c r="I602" s="9"/>
    </row>
    <row r="603" ht="14.25" customHeight="1">
      <c r="A603" s="10"/>
      <c r="B603" s="10"/>
      <c r="C603" s="10"/>
      <c r="D603" s="10"/>
      <c r="E603" s="10"/>
      <c r="F603" s="10"/>
      <c r="G603" s="10"/>
      <c r="H603" s="10"/>
      <c r="I603" s="9"/>
    </row>
    <row r="604" ht="14.25" customHeight="1">
      <c r="A604" s="10"/>
      <c r="B604" s="10"/>
      <c r="C604" s="10"/>
      <c r="D604" s="10"/>
      <c r="E604" s="10"/>
      <c r="F604" s="10"/>
      <c r="G604" s="10"/>
      <c r="H604" s="10"/>
      <c r="I604" s="9"/>
    </row>
    <row r="605" ht="14.25" customHeight="1">
      <c r="A605" s="10"/>
      <c r="B605" s="10"/>
      <c r="C605" s="10"/>
      <c r="D605" s="10"/>
      <c r="E605" s="10"/>
      <c r="F605" s="10"/>
      <c r="G605" s="10"/>
      <c r="H605" s="10"/>
      <c r="I605" s="9"/>
    </row>
    <row r="606" ht="14.25" customHeight="1">
      <c r="A606" s="10"/>
      <c r="B606" s="10"/>
      <c r="C606" s="10"/>
      <c r="D606" s="10"/>
      <c r="E606" s="10"/>
      <c r="F606" s="10"/>
      <c r="G606" s="10"/>
      <c r="H606" s="10"/>
      <c r="I606" s="9"/>
    </row>
    <row r="607" ht="14.25" customHeight="1">
      <c r="A607" s="10"/>
      <c r="B607" s="10"/>
      <c r="C607" s="10"/>
      <c r="D607" s="10"/>
      <c r="E607" s="10"/>
      <c r="F607" s="10"/>
      <c r="G607" s="10"/>
      <c r="H607" s="10"/>
      <c r="I607" s="9"/>
    </row>
    <row r="608" ht="14.25" customHeight="1">
      <c r="A608" s="10"/>
      <c r="B608" s="10"/>
      <c r="C608" s="10"/>
      <c r="D608" s="10"/>
      <c r="E608" s="10"/>
      <c r="F608" s="10"/>
      <c r="G608" s="10"/>
      <c r="H608" s="10"/>
      <c r="I608" s="9"/>
    </row>
    <row r="609" ht="14.25" customHeight="1">
      <c r="A609" s="10"/>
      <c r="B609" s="10"/>
      <c r="C609" s="10"/>
      <c r="D609" s="10"/>
      <c r="E609" s="10"/>
      <c r="F609" s="10"/>
      <c r="G609" s="10"/>
      <c r="H609" s="10"/>
      <c r="I609" s="9"/>
    </row>
    <row r="610" ht="14.25" customHeight="1">
      <c r="A610" s="10"/>
      <c r="B610" s="10"/>
      <c r="C610" s="10"/>
      <c r="D610" s="10"/>
      <c r="E610" s="10"/>
      <c r="F610" s="10"/>
      <c r="G610" s="10"/>
      <c r="H610" s="10"/>
      <c r="I610" s="9"/>
    </row>
    <row r="611" ht="14.25" customHeight="1">
      <c r="A611" s="10"/>
      <c r="B611" s="10"/>
      <c r="C611" s="10"/>
      <c r="D611" s="10"/>
      <c r="E611" s="10"/>
      <c r="F611" s="10"/>
      <c r="G611" s="10"/>
      <c r="H611" s="10"/>
      <c r="I611" s="9"/>
    </row>
    <row r="612" ht="14.25" customHeight="1">
      <c r="A612" s="10"/>
      <c r="B612" s="10"/>
      <c r="C612" s="10"/>
      <c r="D612" s="10"/>
      <c r="E612" s="10"/>
      <c r="F612" s="10"/>
      <c r="G612" s="10"/>
      <c r="H612" s="10"/>
      <c r="I612" s="9"/>
    </row>
    <row r="613" ht="14.25" customHeight="1">
      <c r="A613" s="10"/>
      <c r="B613" s="10"/>
      <c r="C613" s="10"/>
      <c r="D613" s="10"/>
      <c r="E613" s="10"/>
      <c r="F613" s="10"/>
      <c r="G613" s="10"/>
      <c r="H613" s="10"/>
      <c r="I613" s="9"/>
    </row>
    <row r="614" ht="14.25" customHeight="1">
      <c r="A614" s="10"/>
      <c r="B614" s="10"/>
      <c r="C614" s="10"/>
      <c r="D614" s="10"/>
      <c r="E614" s="10"/>
      <c r="F614" s="10"/>
      <c r="G614" s="10"/>
      <c r="H614" s="10"/>
      <c r="I614" s="9"/>
    </row>
    <row r="615" ht="14.25" customHeight="1">
      <c r="A615" s="10"/>
      <c r="B615" s="10"/>
      <c r="C615" s="10"/>
      <c r="D615" s="10"/>
      <c r="E615" s="10"/>
      <c r="F615" s="10"/>
      <c r="G615" s="10"/>
      <c r="H615" s="10"/>
      <c r="I615" s="9"/>
    </row>
    <row r="616" ht="14.25" customHeight="1">
      <c r="A616" s="10"/>
      <c r="B616" s="10"/>
      <c r="C616" s="10"/>
      <c r="D616" s="10"/>
      <c r="E616" s="10"/>
      <c r="F616" s="10"/>
      <c r="G616" s="10"/>
      <c r="H616" s="10"/>
      <c r="I616" s="9"/>
    </row>
    <row r="617" ht="14.25" customHeight="1">
      <c r="A617" s="10"/>
      <c r="B617" s="10"/>
      <c r="C617" s="10"/>
      <c r="D617" s="10"/>
      <c r="E617" s="10"/>
      <c r="F617" s="10"/>
      <c r="G617" s="10"/>
      <c r="H617" s="10"/>
      <c r="I617" s="9"/>
    </row>
    <row r="618" ht="14.25" customHeight="1">
      <c r="A618" s="10"/>
      <c r="B618" s="10"/>
      <c r="C618" s="10"/>
      <c r="D618" s="10"/>
      <c r="E618" s="10"/>
      <c r="F618" s="10"/>
      <c r="G618" s="10"/>
      <c r="H618" s="10"/>
      <c r="I618" s="9"/>
    </row>
    <row r="619" ht="14.25" customHeight="1">
      <c r="A619" s="10"/>
      <c r="B619" s="10"/>
      <c r="C619" s="10"/>
      <c r="D619" s="10"/>
      <c r="E619" s="10"/>
      <c r="F619" s="10"/>
      <c r="G619" s="10"/>
      <c r="H619" s="10"/>
      <c r="I619" s="9"/>
    </row>
    <row r="620" ht="14.25" customHeight="1">
      <c r="A620" s="10"/>
      <c r="B620" s="10"/>
      <c r="C620" s="10"/>
      <c r="D620" s="10"/>
      <c r="E620" s="10"/>
      <c r="F620" s="10"/>
      <c r="G620" s="10"/>
      <c r="H620" s="10"/>
      <c r="I620" s="9"/>
    </row>
    <row r="621" ht="14.25" customHeight="1">
      <c r="A621" s="10"/>
      <c r="B621" s="10"/>
      <c r="C621" s="10"/>
      <c r="D621" s="10"/>
      <c r="E621" s="10"/>
      <c r="F621" s="10"/>
      <c r="G621" s="10"/>
      <c r="H621" s="10"/>
      <c r="I621" s="9"/>
    </row>
    <row r="622" ht="14.25" customHeight="1">
      <c r="A622" s="10"/>
      <c r="B622" s="10"/>
      <c r="C622" s="10"/>
      <c r="D622" s="10"/>
      <c r="E622" s="10"/>
      <c r="F622" s="10"/>
      <c r="G622" s="10"/>
      <c r="H622" s="10"/>
      <c r="I622" s="9"/>
    </row>
    <row r="623" ht="14.25" customHeight="1">
      <c r="A623" s="10"/>
      <c r="B623" s="10"/>
      <c r="C623" s="10"/>
      <c r="D623" s="10"/>
      <c r="E623" s="10"/>
      <c r="F623" s="10"/>
      <c r="G623" s="10"/>
      <c r="H623" s="10"/>
      <c r="I623" s="9"/>
    </row>
    <row r="624" ht="14.25" customHeight="1">
      <c r="A624" s="10"/>
      <c r="B624" s="10"/>
      <c r="C624" s="10"/>
      <c r="D624" s="10"/>
      <c r="E624" s="10"/>
      <c r="F624" s="10"/>
      <c r="G624" s="10"/>
      <c r="H624" s="10"/>
      <c r="I624" s="9"/>
    </row>
    <row r="625" ht="14.25" customHeight="1">
      <c r="A625" s="10"/>
      <c r="B625" s="10"/>
      <c r="C625" s="10"/>
      <c r="D625" s="10"/>
      <c r="E625" s="10"/>
      <c r="F625" s="10"/>
      <c r="G625" s="10"/>
      <c r="H625" s="10"/>
      <c r="I625" s="9"/>
    </row>
    <row r="626" ht="14.25" customHeight="1">
      <c r="A626" s="10"/>
      <c r="B626" s="10"/>
      <c r="C626" s="10"/>
      <c r="D626" s="10"/>
      <c r="E626" s="10"/>
      <c r="F626" s="10"/>
      <c r="G626" s="10"/>
      <c r="H626" s="10"/>
      <c r="I626" s="9"/>
    </row>
    <row r="627" ht="14.25" customHeight="1">
      <c r="A627" s="10"/>
      <c r="B627" s="10"/>
      <c r="C627" s="10"/>
      <c r="D627" s="10"/>
      <c r="E627" s="10"/>
      <c r="F627" s="10"/>
      <c r="G627" s="10"/>
      <c r="H627" s="10"/>
      <c r="I627" s="9"/>
    </row>
    <row r="628" ht="14.25" customHeight="1">
      <c r="A628" s="10"/>
      <c r="B628" s="10"/>
      <c r="C628" s="10"/>
      <c r="D628" s="10"/>
      <c r="E628" s="10"/>
      <c r="F628" s="10"/>
      <c r="G628" s="10"/>
      <c r="H628" s="10"/>
      <c r="I628" s="9"/>
    </row>
    <row r="629" ht="14.25" customHeight="1">
      <c r="A629" s="10"/>
      <c r="B629" s="10"/>
      <c r="C629" s="10"/>
      <c r="D629" s="10"/>
      <c r="E629" s="10"/>
      <c r="F629" s="10"/>
      <c r="G629" s="10"/>
      <c r="H629" s="10"/>
      <c r="I629" s="9"/>
    </row>
    <row r="630" ht="14.25" customHeight="1">
      <c r="A630" s="10"/>
      <c r="B630" s="10"/>
      <c r="C630" s="10"/>
      <c r="D630" s="10"/>
      <c r="E630" s="10"/>
      <c r="F630" s="10"/>
      <c r="G630" s="10"/>
      <c r="H630" s="10"/>
      <c r="I630" s="9"/>
    </row>
    <row r="631" ht="14.25" customHeight="1">
      <c r="A631" s="10"/>
      <c r="B631" s="10"/>
      <c r="C631" s="10"/>
      <c r="D631" s="10"/>
      <c r="E631" s="10"/>
      <c r="F631" s="10"/>
      <c r="G631" s="10"/>
      <c r="H631" s="10"/>
      <c r="I631" s="9"/>
    </row>
    <row r="632" ht="14.25" customHeight="1">
      <c r="A632" s="10"/>
      <c r="B632" s="10"/>
      <c r="C632" s="10"/>
      <c r="D632" s="10"/>
      <c r="E632" s="10"/>
      <c r="F632" s="10"/>
      <c r="G632" s="10"/>
      <c r="H632" s="10"/>
      <c r="I632" s="9"/>
    </row>
    <row r="633" ht="14.25" customHeight="1">
      <c r="A633" s="10"/>
      <c r="B633" s="10"/>
      <c r="C633" s="10"/>
      <c r="D633" s="10"/>
      <c r="E633" s="10"/>
      <c r="F633" s="10"/>
      <c r="G633" s="10"/>
      <c r="H633" s="10"/>
      <c r="I633" s="9"/>
    </row>
    <row r="634" ht="14.25" customHeight="1">
      <c r="A634" s="10"/>
      <c r="B634" s="10"/>
      <c r="C634" s="10"/>
      <c r="D634" s="10"/>
      <c r="E634" s="10"/>
      <c r="F634" s="10"/>
      <c r="G634" s="10"/>
      <c r="H634" s="10"/>
      <c r="I634" s="9"/>
    </row>
    <row r="635" ht="14.25" customHeight="1">
      <c r="A635" s="10"/>
      <c r="B635" s="10"/>
      <c r="C635" s="10"/>
      <c r="D635" s="10"/>
      <c r="E635" s="10"/>
      <c r="F635" s="10"/>
      <c r="G635" s="10"/>
      <c r="H635" s="10"/>
      <c r="I635" s="9"/>
    </row>
    <row r="636" ht="14.25" customHeight="1">
      <c r="A636" s="10"/>
      <c r="B636" s="10"/>
      <c r="C636" s="10"/>
      <c r="D636" s="10"/>
      <c r="E636" s="10"/>
      <c r="F636" s="10"/>
      <c r="G636" s="10"/>
      <c r="H636" s="10"/>
      <c r="I636" s="9"/>
    </row>
    <row r="637" ht="14.25" customHeight="1">
      <c r="A637" s="10"/>
      <c r="B637" s="10"/>
      <c r="C637" s="10"/>
      <c r="D637" s="10"/>
      <c r="E637" s="10"/>
      <c r="F637" s="10"/>
      <c r="G637" s="10"/>
      <c r="H637" s="10"/>
      <c r="I637" s="9"/>
    </row>
    <row r="638" ht="14.25" customHeight="1">
      <c r="A638" s="10"/>
      <c r="B638" s="10"/>
      <c r="C638" s="10"/>
      <c r="D638" s="10"/>
      <c r="E638" s="10"/>
      <c r="F638" s="10"/>
      <c r="G638" s="10"/>
      <c r="H638" s="10"/>
      <c r="I638" s="9"/>
    </row>
    <row r="639" ht="14.25" customHeight="1">
      <c r="A639" s="10"/>
      <c r="B639" s="10"/>
      <c r="C639" s="10"/>
      <c r="D639" s="10"/>
      <c r="E639" s="10"/>
      <c r="F639" s="10"/>
      <c r="G639" s="10"/>
      <c r="H639" s="10"/>
      <c r="I639" s="9"/>
    </row>
    <row r="640" ht="14.25" customHeight="1">
      <c r="A640" s="10"/>
      <c r="B640" s="10"/>
      <c r="C640" s="10"/>
      <c r="D640" s="10"/>
      <c r="E640" s="10"/>
      <c r="F640" s="10"/>
      <c r="G640" s="10"/>
      <c r="H640" s="10"/>
      <c r="I640" s="9"/>
    </row>
    <row r="641" ht="14.25" customHeight="1">
      <c r="A641" s="10"/>
      <c r="B641" s="10"/>
      <c r="C641" s="10"/>
      <c r="D641" s="10"/>
      <c r="E641" s="10"/>
      <c r="F641" s="10"/>
      <c r="G641" s="10"/>
      <c r="H641" s="10"/>
      <c r="I641" s="9"/>
    </row>
    <row r="642" ht="14.25" customHeight="1">
      <c r="A642" s="10"/>
      <c r="B642" s="10"/>
      <c r="C642" s="10"/>
      <c r="D642" s="10"/>
      <c r="E642" s="10"/>
      <c r="F642" s="10"/>
      <c r="G642" s="10"/>
      <c r="H642" s="10"/>
      <c r="I642" s="9"/>
    </row>
    <row r="643" ht="14.25" customHeight="1">
      <c r="A643" s="10"/>
      <c r="B643" s="10"/>
      <c r="C643" s="10"/>
      <c r="D643" s="10"/>
      <c r="E643" s="10"/>
      <c r="F643" s="10"/>
      <c r="G643" s="10"/>
      <c r="H643" s="10"/>
      <c r="I643" s="9"/>
    </row>
    <row r="644" ht="14.25" customHeight="1">
      <c r="A644" s="10"/>
      <c r="B644" s="10"/>
      <c r="C644" s="10"/>
      <c r="D644" s="10"/>
      <c r="E644" s="10"/>
      <c r="F644" s="10"/>
      <c r="G644" s="10"/>
      <c r="H644" s="10"/>
      <c r="I644" s="9"/>
    </row>
    <row r="645" ht="14.25" customHeight="1">
      <c r="A645" s="10"/>
      <c r="B645" s="10"/>
      <c r="C645" s="10"/>
      <c r="D645" s="10"/>
      <c r="E645" s="10"/>
      <c r="F645" s="10"/>
      <c r="G645" s="10"/>
      <c r="H645" s="10"/>
      <c r="I645" s="9"/>
    </row>
    <row r="646" ht="14.25" customHeight="1">
      <c r="A646" s="10"/>
      <c r="B646" s="10"/>
      <c r="C646" s="10"/>
      <c r="D646" s="10"/>
      <c r="E646" s="10"/>
      <c r="F646" s="10"/>
      <c r="G646" s="10"/>
      <c r="H646" s="10"/>
      <c r="I646" s="9"/>
    </row>
    <row r="647" ht="14.25" customHeight="1">
      <c r="A647" s="10"/>
      <c r="B647" s="10"/>
      <c r="C647" s="10"/>
      <c r="D647" s="10"/>
      <c r="E647" s="10"/>
      <c r="F647" s="10"/>
      <c r="G647" s="10"/>
      <c r="H647" s="10"/>
      <c r="I647" s="9"/>
    </row>
    <row r="648" ht="14.25" customHeight="1">
      <c r="A648" s="10"/>
      <c r="B648" s="10"/>
      <c r="C648" s="10"/>
      <c r="D648" s="10"/>
      <c r="E648" s="10"/>
      <c r="F648" s="10"/>
      <c r="G648" s="10"/>
      <c r="H648" s="10"/>
      <c r="I648" s="9"/>
    </row>
    <row r="649" ht="14.25" customHeight="1">
      <c r="A649" s="10"/>
      <c r="B649" s="10"/>
      <c r="C649" s="10"/>
      <c r="D649" s="10"/>
      <c r="E649" s="10"/>
      <c r="F649" s="10"/>
      <c r="G649" s="10"/>
      <c r="H649" s="10"/>
      <c r="I649" s="9"/>
    </row>
    <row r="650" ht="14.25" customHeight="1">
      <c r="A650" s="10"/>
      <c r="B650" s="10"/>
      <c r="C650" s="10"/>
      <c r="D650" s="10"/>
      <c r="E650" s="10"/>
      <c r="F650" s="10"/>
      <c r="G650" s="10"/>
      <c r="H650" s="10"/>
      <c r="I650" s="9"/>
    </row>
    <row r="651" ht="14.25" customHeight="1">
      <c r="A651" s="10"/>
      <c r="B651" s="10"/>
      <c r="C651" s="10"/>
      <c r="D651" s="10"/>
      <c r="E651" s="10"/>
      <c r="F651" s="10"/>
      <c r="G651" s="10"/>
      <c r="H651" s="10"/>
      <c r="I651" s="9"/>
    </row>
    <row r="652" ht="14.25" customHeight="1">
      <c r="A652" s="10"/>
      <c r="B652" s="10"/>
      <c r="C652" s="10"/>
      <c r="D652" s="10"/>
      <c r="E652" s="10"/>
      <c r="F652" s="10"/>
      <c r="G652" s="10"/>
      <c r="H652" s="10"/>
      <c r="I652" s="9"/>
    </row>
    <row r="653" ht="14.25" customHeight="1">
      <c r="A653" s="10"/>
      <c r="B653" s="10"/>
      <c r="C653" s="10"/>
      <c r="D653" s="10"/>
      <c r="E653" s="10"/>
      <c r="F653" s="10"/>
      <c r="G653" s="10"/>
      <c r="H653" s="10"/>
      <c r="I653" s="9"/>
    </row>
    <row r="654" ht="14.25" customHeight="1">
      <c r="A654" s="10"/>
      <c r="B654" s="10"/>
      <c r="C654" s="10"/>
      <c r="D654" s="10"/>
      <c r="E654" s="10"/>
      <c r="F654" s="10"/>
      <c r="G654" s="10"/>
      <c r="H654" s="10"/>
      <c r="I654" s="9"/>
    </row>
    <row r="655" ht="14.25" customHeight="1">
      <c r="A655" s="10"/>
      <c r="B655" s="10"/>
      <c r="C655" s="10"/>
      <c r="D655" s="10"/>
      <c r="E655" s="10"/>
      <c r="F655" s="10"/>
      <c r="G655" s="10"/>
      <c r="H655" s="10"/>
      <c r="I655" s="9"/>
    </row>
    <row r="656" ht="14.25" customHeight="1">
      <c r="A656" s="10"/>
      <c r="B656" s="10"/>
      <c r="C656" s="10"/>
      <c r="D656" s="10"/>
      <c r="E656" s="10"/>
      <c r="F656" s="10"/>
      <c r="G656" s="10"/>
      <c r="H656" s="10"/>
      <c r="I656" s="9"/>
    </row>
    <row r="657" ht="14.25" customHeight="1">
      <c r="A657" s="10"/>
      <c r="B657" s="10"/>
      <c r="C657" s="10"/>
      <c r="D657" s="10"/>
      <c r="E657" s="10"/>
      <c r="F657" s="10"/>
      <c r="G657" s="10"/>
      <c r="H657" s="10"/>
      <c r="I657" s="9"/>
    </row>
    <row r="658" ht="14.25" customHeight="1">
      <c r="A658" s="10"/>
      <c r="B658" s="10"/>
      <c r="C658" s="10"/>
      <c r="D658" s="10"/>
      <c r="E658" s="10"/>
      <c r="F658" s="10"/>
      <c r="G658" s="10"/>
      <c r="H658" s="10"/>
      <c r="I658" s="9"/>
    </row>
    <row r="659" ht="14.25" customHeight="1">
      <c r="A659" s="10"/>
      <c r="B659" s="10"/>
      <c r="C659" s="10"/>
      <c r="D659" s="10"/>
      <c r="E659" s="10"/>
      <c r="F659" s="10"/>
      <c r="G659" s="10"/>
      <c r="H659" s="10"/>
      <c r="I659" s="9"/>
    </row>
    <row r="660" ht="14.25" customHeight="1">
      <c r="A660" s="10"/>
      <c r="B660" s="10"/>
      <c r="C660" s="10"/>
      <c r="D660" s="10"/>
      <c r="E660" s="10"/>
      <c r="F660" s="10"/>
      <c r="G660" s="10"/>
      <c r="H660" s="10"/>
      <c r="I660" s="9"/>
    </row>
    <row r="661" ht="14.25" customHeight="1">
      <c r="A661" s="10"/>
      <c r="B661" s="10"/>
      <c r="C661" s="10"/>
      <c r="D661" s="10"/>
      <c r="E661" s="10"/>
      <c r="F661" s="10"/>
      <c r="G661" s="10"/>
      <c r="H661" s="10"/>
      <c r="I661" s="9"/>
    </row>
    <row r="662" ht="14.25" customHeight="1">
      <c r="A662" s="10"/>
      <c r="B662" s="10"/>
      <c r="C662" s="10"/>
      <c r="D662" s="10"/>
      <c r="E662" s="10"/>
      <c r="F662" s="10"/>
      <c r="G662" s="10"/>
      <c r="H662" s="10"/>
      <c r="I662" s="9"/>
    </row>
    <row r="663" ht="14.25" customHeight="1">
      <c r="A663" s="10"/>
      <c r="B663" s="10"/>
      <c r="C663" s="10"/>
      <c r="D663" s="10"/>
      <c r="E663" s="10"/>
      <c r="F663" s="10"/>
      <c r="G663" s="10"/>
      <c r="H663" s="10"/>
      <c r="I663" s="9"/>
    </row>
    <row r="664" ht="14.25" customHeight="1">
      <c r="A664" s="10"/>
      <c r="B664" s="10"/>
      <c r="C664" s="10"/>
      <c r="D664" s="10"/>
      <c r="E664" s="10"/>
      <c r="F664" s="10"/>
      <c r="G664" s="10"/>
      <c r="H664" s="10"/>
      <c r="I664" s="9"/>
    </row>
    <row r="665" ht="14.25" customHeight="1">
      <c r="A665" s="10"/>
      <c r="B665" s="10"/>
      <c r="C665" s="10"/>
      <c r="D665" s="10"/>
      <c r="E665" s="10"/>
      <c r="F665" s="10"/>
      <c r="G665" s="10"/>
      <c r="H665" s="10"/>
      <c r="I665" s="9"/>
    </row>
    <row r="666" ht="14.25" customHeight="1">
      <c r="A666" s="10"/>
      <c r="B666" s="10"/>
      <c r="C666" s="10"/>
      <c r="D666" s="10"/>
      <c r="E666" s="10"/>
      <c r="F666" s="10"/>
      <c r="G666" s="10"/>
      <c r="H666" s="10"/>
      <c r="I666" s="9"/>
    </row>
    <row r="667" ht="14.25" customHeight="1">
      <c r="A667" s="10"/>
      <c r="B667" s="10"/>
      <c r="C667" s="10"/>
      <c r="D667" s="10"/>
      <c r="E667" s="10"/>
      <c r="F667" s="10"/>
      <c r="G667" s="10"/>
      <c r="H667" s="10"/>
      <c r="I667" s="9"/>
    </row>
    <row r="668" ht="14.25" customHeight="1">
      <c r="A668" s="10"/>
      <c r="B668" s="10"/>
      <c r="C668" s="10"/>
      <c r="D668" s="10"/>
      <c r="E668" s="10"/>
      <c r="F668" s="10"/>
      <c r="G668" s="10"/>
      <c r="H668" s="10"/>
      <c r="I668" s="9"/>
    </row>
    <row r="669" ht="14.25" customHeight="1">
      <c r="A669" s="10"/>
      <c r="B669" s="10"/>
      <c r="C669" s="10"/>
      <c r="D669" s="10"/>
      <c r="E669" s="10"/>
      <c r="F669" s="10"/>
      <c r="G669" s="10"/>
      <c r="H669" s="10"/>
      <c r="I669" s="9"/>
    </row>
    <row r="670" ht="14.25" customHeight="1">
      <c r="A670" s="10"/>
      <c r="B670" s="10"/>
      <c r="C670" s="10"/>
      <c r="D670" s="10"/>
      <c r="E670" s="10"/>
      <c r="F670" s="10"/>
      <c r="G670" s="10"/>
      <c r="H670" s="10"/>
      <c r="I670" s="9"/>
    </row>
    <row r="671" ht="14.25" customHeight="1">
      <c r="A671" s="10"/>
      <c r="B671" s="10"/>
      <c r="C671" s="10"/>
      <c r="D671" s="10"/>
      <c r="E671" s="10"/>
      <c r="F671" s="10"/>
      <c r="G671" s="10"/>
      <c r="H671" s="10"/>
      <c r="I671" s="9"/>
    </row>
    <row r="672" ht="14.25" customHeight="1">
      <c r="A672" s="10"/>
      <c r="B672" s="10"/>
      <c r="C672" s="10"/>
      <c r="D672" s="10"/>
      <c r="E672" s="10"/>
      <c r="F672" s="10"/>
      <c r="G672" s="10"/>
      <c r="H672" s="10"/>
      <c r="I672" s="9"/>
    </row>
    <row r="673" ht="14.25" customHeight="1">
      <c r="A673" s="10"/>
      <c r="B673" s="10"/>
      <c r="C673" s="10"/>
      <c r="D673" s="10"/>
      <c r="E673" s="10"/>
      <c r="F673" s="10"/>
      <c r="G673" s="10"/>
      <c r="H673" s="10"/>
      <c r="I673" s="9"/>
    </row>
    <row r="674" ht="14.25" customHeight="1">
      <c r="A674" s="10"/>
      <c r="B674" s="10"/>
      <c r="C674" s="10"/>
      <c r="D674" s="10"/>
      <c r="E674" s="10"/>
      <c r="F674" s="10"/>
      <c r="G674" s="10"/>
      <c r="H674" s="10"/>
      <c r="I674" s="9"/>
    </row>
    <row r="675" ht="14.25" customHeight="1">
      <c r="A675" s="10"/>
      <c r="B675" s="10"/>
      <c r="C675" s="10"/>
      <c r="D675" s="10"/>
      <c r="E675" s="10"/>
      <c r="F675" s="10"/>
      <c r="G675" s="10"/>
      <c r="H675" s="10"/>
      <c r="I675" s="9"/>
    </row>
    <row r="676" ht="14.25" customHeight="1">
      <c r="A676" s="10"/>
      <c r="B676" s="10"/>
      <c r="C676" s="10"/>
      <c r="D676" s="10"/>
      <c r="E676" s="10"/>
      <c r="F676" s="10"/>
      <c r="G676" s="10"/>
      <c r="H676" s="10"/>
      <c r="I676" s="9"/>
    </row>
    <row r="677" ht="14.25" customHeight="1">
      <c r="A677" s="10"/>
      <c r="B677" s="10"/>
      <c r="C677" s="10"/>
      <c r="D677" s="10"/>
      <c r="E677" s="10"/>
      <c r="F677" s="10"/>
      <c r="G677" s="10"/>
      <c r="H677" s="10"/>
      <c r="I677" s="9"/>
    </row>
    <row r="678" ht="14.25" customHeight="1">
      <c r="A678" s="10"/>
      <c r="B678" s="10"/>
      <c r="C678" s="10"/>
      <c r="D678" s="10"/>
      <c r="E678" s="10"/>
      <c r="F678" s="10"/>
      <c r="G678" s="10"/>
      <c r="H678" s="10"/>
      <c r="I678" s="9"/>
    </row>
    <row r="679" ht="14.25" customHeight="1">
      <c r="A679" s="10"/>
      <c r="B679" s="10"/>
      <c r="C679" s="10"/>
      <c r="D679" s="10"/>
      <c r="E679" s="10"/>
      <c r="F679" s="10"/>
      <c r="G679" s="10"/>
      <c r="H679" s="10"/>
      <c r="I679" s="9"/>
    </row>
    <row r="680" ht="14.25" customHeight="1">
      <c r="A680" s="10"/>
      <c r="B680" s="10"/>
      <c r="C680" s="10"/>
      <c r="D680" s="10"/>
      <c r="E680" s="10"/>
      <c r="F680" s="10"/>
      <c r="G680" s="10"/>
      <c r="H680" s="10"/>
      <c r="I680" s="9"/>
    </row>
    <row r="681" ht="14.25" customHeight="1">
      <c r="A681" s="10"/>
      <c r="B681" s="10"/>
      <c r="C681" s="10"/>
      <c r="D681" s="10"/>
      <c r="E681" s="10"/>
      <c r="F681" s="10"/>
      <c r="G681" s="10"/>
      <c r="H681" s="10"/>
      <c r="I681" s="9"/>
    </row>
    <row r="682" ht="14.25" customHeight="1">
      <c r="A682" s="10"/>
      <c r="B682" s="10"/>
      <c r="C682" s="10"/>
      <c r="D682" s="10"/>
      <c r="E682" s="10"/>
      <c r="F682" s="10"/>
      <c r="G682" s="10"/>
      <c r="H682" s="10"/>
      <c r="I682" s="9"/>
    </row>
    <row r="683" ht="14.25" customHeight="1">
      <c r="A683" s="10"/>
      <c r="B683" s="10"/>
      <c r="C683" s="10"/>
      <c r="D683" s="10"/>
      <c r="E683" s="10"/>
      <c r="F683" s="10"/>
      <c r="G683" s="10"/>
      <c r="H683" s="10"/>
      <c r="I683" s="9"/>
    </row>
    <row r="684" ht="14.25" customHeight="1">
      <c r="A684" s="10"/>
      <c r="B684" s="10"/>
      <c r="C684" s="10"/>
      <c r="D684" s="10"/>
      <c r="E684" s="10"/>
      <c r="F684" s="10"/>
      <c r="G684" s="10"/>
      <c r="H684" s="10"/>
      <c r="I684" s="9"/>
    </row>
    <row r="685" ht="14.25" customHeight="1">
      <c r="A685" s="10"/>
      <c r="B685" s="10"/>
      <c r="C685" s="10"/>
      <c r="D685" s="10"/>
      <c r="E685" s="10"/>
      <c r="F685" s="10"/>
      <c r="G685" s="10"/>
      <c r="H685" s="10"/>
      <c r="I685" s="9"/>
    </row>
    <row r="686" ht="14.25" customHeight="1">
      <c r="A686" s="10"/>
      <c r="B686" s="10"/>
      <c r="C686" s="10"/>
      <c r="D686" s="10"/>
      <c r="E686" s="10"/>
      <c r="F686" s="10"/>
      <c r="G686" s="10"/>
      <c r="H686" s="10"/>
      <c r="I686" s="9"/>
    </row>
    <row r="687" ht="14.25" customHeight="1">
      <c r="A687" s="10"/>
      <c r="B687" s="10"/>
      <c r="C687" s="10"/>
      <c r="D687" s="10"/>
      <c r="E687" s="10"/>
      <c r="F687" s="10"/>
      <c r="G687" s="10"/>
      <c r="H687" s="10"/>
      <c r="I687" s="9"/>
    </row>
    <row r="688" ht="14.25" customHeight="1">
      <c r="A688" s="10"/>
      <c r="B688" s="10"/>
      <c r="C688" s="10"/>
      <c r="D688" s="10"/>
      <c r="E688" s="10"/>
      <c r="F688" s="10"/>
      <c r="G688" s="10"/>
      <c r="H688" s="10"/>
      <c r="I688" s="9"/>
    </row>
    <row r="689" ht="14.25" customHeight="1">
      <c r="A689" s="10"/>
      <c r="B689" s="10"/>
      <c r="C689" s="10"/>
      <c r="D689" s="10"/>
      <c r="E689" s="10"/>
      <c r="F689" s="10"/>
      <c r="G689" s="10"/>
      <c r="H689" s="10"/>
      <c r="I689" s="9"/>
    </row>
    <row r="690" ht="14.25" customHeight="1">
      <c r="A690" s="10"/>
      <c r="B690" s="10"/>
      <c r="C690" s="10"/>
      <c r="D690" s="10"/>
      <c r="E690" s="10"/>
      <c r="F690" s="10"/>
      <c r="G690" s="10"/>
      <c r="H690" s="10"/>
      <c r="I690" s="9"/>
    </row>
    <row r="691" ht="14.25" customHeight="1">
      <c r="A691" s="10"/>
      <c r="B691" s="10"/>
      <c r="C691" s="10"/>
      <c r="D691" s="10"/>
      <c r="E691" s="10"/>
      <c r="F691" s="10"/>
      <c r="G691" s="10"/>
      <c r="H691" s="10"/>
      <c r="I691" s="9"/>
    </row>
    <row r="692" ht="14.25" customHeight="1">
      <c r="A692" s="10"/>
      <c r="B692" s="10"/>
      <c r="C692" s="10"/>
      <c r="D692" s="10"/>
      <c r="E692" s="10"/>
      <c r="F692" s="10"/>
      <c r="G692" s="10"/>
      <c r="H692" s="10"/>
      <c r="I692" s="9"/>
    </row>
    <row r="693" ht="14.25" customHeight="1">
      <c r="A693" s="10"/>
      <c r="B693" s="10"/>
      <c r="C693" s="10"/>
      <c r="D693" s="10"/>
      <c r="E693" s="10"/>
      <c r="F693" s="10"/>
      <c r="G693" s="10"/>
      <c r="H693" s="10"/>
      <c r="I693" s="9"/>
    </row>
    <row r="694" ht="14.25" customHeight="1">
      <c r="A694" s="10"/>
      <c r="B694" s="10"/>
      <c r="C694" s="10"/>
      <c r="D694" s="10"/>
      <c r="E694" s="10"/>
      <c r="F694" s="10"/>
      <c r="G694" s="10"/>
      <c r="H694" s="10"/>
      <c r="I694" s="9"/>
    </row>
    <row r="695" ht="14.25" customHeight="1">
      <c r="A695" s="10"/>
      <c r="B695" s="10"/>
      <c r="C695" s="10"/>
      <c r="D695" s="10"/>
      <c r="E695" s="10"/>
      <c r="F695" s="10"/>
      <c r="G695" s="10"/>
      <c r="H695" s="10"/>
      <c r="I695" s="9"/>
    </row>
    <row r="696" ht="14.25" customHeight="1">
      <c r="A696" s="10"/>
      <c r="B696" s="10"/>
      <c r="C696" s="10"/>
      <c r="D696" s="10"/>
      <c r="E696" s="10"/>
      <c r="F696" s="10"/>
      <c r="G696" s="10"/>
      <c r="H696" s="10"/>
      <c r="I696" s="9"/>
    </row>
    <row r="697" ht="14.25" customHeight="1">
      <c r="A697" s="10"/>
      <c r="B697" s="10"/>
      <c r="C697" s="10"/>
      <c r="D697" s="10"/>
      <c r="E697" s="10"/>
      <c r="F697" s="10"/>
      <c r="G697" s="10"/>
      <c r="H697" s="10"/>
      <c r="I697" s="9"/>
    </row>
    <row r="698" ht="14.25" customHeight="1">
      <c r="A698" s="10"/>
      <c r="B698" s="10"/>
      <c r="C698" s="10"/>
      <c r="D698" s="10"/>
      <c r="E698" s="10"/>
      <c r="F698" s="10"/>
      <c r="G698" s="10"/>
      <c r="H698" s="10"/>
      <c r="I698" s="9"/>
    </row>
    <row r="699" ht="14.25" customHeight="1">
      <c r="A699" s="10"/>
      <c r="B699" s="10"/>
      <c r="C699" s="10"/>
      <c r="D699" s="10"/>
      <c r="E699" s="10"/>
      <c r="F699" s="10"/>
      <c r="G699" s="10"/>
      <c r="H699" s="10"/>
      <c r="I699" s="9"/>
    </row>
    <row r="700" ht="14.25" customHeight="1">
      <c r="A700" s="10"/>
      <c r="B700" s="10"/>
      <c r="C700" s="10"/>
      <c r="D700" s="10"/>
      <c r="E700" s="10"/>
      <c r="F700" s="10"/>
      <c r="G700" s="10"/>
      <c r="H700" s="10"/>
      <c r="I700" s="9"/>
    </row>
    <row r="701" ht="14.25" customHeight="1">
      <c r="A701" s="10"/>
      <c r="B701" s="10"/>
      <c r="C701" s="10"/>
      <c r="D701" s="10"/>
      <c r="E701" s="10"/>
      <c r="F701" s="10"/>
      <c r="G701" s="10"/>
      <c r="H701" s="10"/>
      <c r="I701" s="9"/>
    </row>
    <row r="702" ht="14.25" customHeight="1">
      <c r="A702" s="10"/>
      <c r="B702" s="10"/>
      <c r="C702" s="10"/>
      <c r="D702" s="10"/>
      <c r="E702" s="10"/>
      <c r="F702" s="10"/>
      <c r="G702" s="10"/>
      <c r="H702" s="10"/>
      <c r="I702" s="9"/>
    </row>
    <row r="703" ht="14.25" customHeight="1">
      <c r="A703" s="10"/>
      <c r="B703" s="10"/>
      <c r="C703" s="10"/>
      <c r="D703" s="10"/>
      <c r="E703" s="10"/>
      <c r="F703" s="10"/>
      <c r="G703" s="10"/>
      <c r="H703" s="10"/>
      <c r="I703" s="9"/>
    </row>
    <row r="704" ht="14.25" customHeight="1">
      <c r="A704" s="10"/>
      <c r="B704" s="10"/>
      <c r="C704" s="10"/>
      <c r="D704" s="10"/>
      <c r="E704" s="10"/>
      <c r="F704" s="10"/>
      <c r="G704" s="10"/>
      <c r="H704" s="10"/>
      <c r="I704" s="9"/>
    </row>
    <row r="705" ht="14.25" customHeight="1">
      <c r="A705" s="10"/>
      <c r="B705" s="10"/>
      <c r="C705" s="10"/>
      <c r="D705" s="10"/>
      <c r="E705" s="10"/>
      <c r="F705" s="10"/>
      <c r="G705" s="10"/>
      <c r="H705" s="10"/>
      <c r="I705" s="9"/>
    </row>
    <row r="706" ht="14.25" customHeight="1">
      <c r="A706" s="10"/>
      <c r="B706" s="10"/>
      <c r="C706" s="10"/>
      <c r="D706" s="10"/>
      <c r="E706" s="10"/>
      <c r="F706" s="10"/>
      <c r="G706" s="10"/>
      <c r="H706" s="10"/>
      <c r="I706" s="9"/>
    </row>
    <row r="707" ht="14.25" customHeight="1">
      <c r="A707" s="10"/>
      <c r="B707" s="10"/>
      <c r="C707" s="10"/>
      <c r="D707" s="10"/>
      <c r="E707" s="10"/>
      <c r="F707" s="10"/>
      <c r="G707" s="10"/>
      <c r="H707" s="10"/>
      <c r="I707" s="9"/>
    </row>
    <row r="708" ht="14.25" customHeight="1">
      <c r="A708" s="10"/>
      <c r="B708" s="10"/>
      <c r="C708" s="10"/>
      <c r="D708" s="10"/>
      <c r="E708" s="10"/>
      <c r="F708" s="10"/>
      <c r="G708" s="10"/>
      <c r="H708" s="10"/>
      <c r="I708" s="9"/>
    </row>
    <row r="709" ht="14.25" customHeight="1">
      <c r="A709" s="10"/>
      <c r="B709" s="10"/>
      <c r="C709" s="10"/>
      <c r="D709" s="10"/>
      <c r="E709" s="10"/>
      <c r="F709" s="10"/>
      <c r="G709" s="10"/>
      <c r="H709" s="10"/>
      <c r="I709" s="9"/>
    </row>
    <row r="710" ht="14.25" customHeight="1">
      <c r="A710" s="10"/>
      <c r="B710" s="10"/>
      <c r="C710" s="10"/>
      <c r="D710" s="10"/>
      <c r="E710" s="10"/>
      <c r="F710" s="10"/>
      <c r="G710" s="10"/>
      <c r="H710" s="10"/>
      <c r="I710" s="9"/>
    </row>
    <row r="711" ht="14.25" customHeight="1">
      <c r="A711" s="10"/>
      <c r="B711" s="10"/>
      <c r="C711" s="10"/>
      <c r="D711" s="10"/>
      <c r="E711" s="10"/>
      <c r="F711" s="10"/>
      <c r="G711" s="10"/>
      <c r="H711" s="10"/>
      <c r="I711" s="9"/>
    </row>
    <row r="712" ht="14.25" customHeight="1">
      <c r="A712" s="10"/>
      <c r="B712" s="10"/>
      <c r="C712" s="10"/>
      <c r="D712" s="10"/>
      <c r="E712" s="10"/>
      <c r="F712" s="10"/>
      <c r="G712" s="10"/>
      <c r="H712" s="10"/>
      <c r="I712" s="9"/>
    </row>
    <row r="713" ht="14.25" customHeight="1">
      <c r="A713" s="10"/>
      <c r="B713" s="10"/>
      <c r="C713" s="10"/>
      <c r="D713" s="10"/>
      <c r="E713" s="10"/>
      <c r="F713" s="10"/>
      <c r="G713" s="10"/>
      <c r="H713" s="10"/>
      <c r="I713" s="9"/>
    </row>
    <row r="714" ht="14.25" customHeight="1">
      <c r="A714" s="10"/>
      <c r="B714" s="10"/>
      <c r="C714" s="10"/>
      <c r="D714" s="10"/>
      <c r="E714" s="10"/>
      <c r="F714" s="10"/>
      <c r="G714" s="10"/>
      <c r="H714" s="10"/>
      <c r="I714" s="9"/>
    </row>
    <row r="715" ht="14.25" customHeight="1">
      <c r="A715" s="10"/>
      <c r="B715" s="10"/>
      <c r="C715" s="10"/>
      <c r="D715" s="10"/>
      <c r="E715" s="10"/>
      <c r="F715" s="10"/>
      <c r="G715" s="10"/>
      <c r="H715" s="10"/>
      <c r="I715" s="9"/>
    </row>
    <row r="716" ht="14.25" customHeight="1">
      <c r="A716" s="10"/>
      <c r="B716" s="10"/>
      <c r="C716" s="10"/>
      <c r="D716" s="10"/>
      <c r="E716" s="10"/>
      <c r="F716" s="10"/>
      <c r="G716" s="10"/>
      <c r="H716" s="10"/>
      <c r="I716" s="9"/>
    </row>
    <row r="717" ht="14.25" customHeight="1">
      <c r="A717" s="10"/>
      <c r="B717" s="10"/>
      <c r="C717" s="10"/>
      <c r="D717" s="10"/>
      <c r="E717" s="10"/>
      <c r="F717" s="10"/>
      <c r="G717" s="10"/>
      <c r="H717" s="10"/>
      <c r="I717" s="9"/>
    </row>
    <row r="718" ht="14.25" customHeight="1">
      <c r="A718" s="10"/>
      <c r="B718" s="10"/>
      <c r="C718" s="10"/>
      <c r="D718" s="10"/>
      <c r="E718" s="10"/>
      <c r="F718" s="10"/>
      <c r="G718" s="10"/>
      <c r="H718" s="10"/>
      <c r="I718" s="9"/>
    </row>
    <row r="719" ht="14.25" customHeight="1">
      <c r="A719" s="10"/>
      <c r="B719" s="10"/>
      <c r="C719" s="10"/>
      <c r="D719" s="10"/>
      <c r="E719" s="10"/>
      <c r="F719" s="10"/>
      <c r="G719" s="10"/>
      <c r="H719" s="10"/>
      <c r="I719" s="9"/>
    </row>
    <row r="720" ht="14.25" customHeight="1">
      <c r="A720" s="10"/>
      <c r="B720" s="10"/>
      <c r="C720" s="10"/>
      <c r="D720" s="10"/>
      <c r="E720" s="10"/>
      <c r="F720" s="10"/>
      <c r="G720" s="10"/>
      <c r="H720" s="10"/>
      <c r="I720" s="9"/>
    </row>
    <row r="721" ht="14.25" customHeight="1">
      <c r="A721" s="10"/>
      <c r="B721" s="10"/>
      <c r="C721" s="10"/>
      <c r="D721" s="10"/>
      <c r="E721" s="10"/>
      <c r="F721" s="10"/>
      <c r="G721" s="10"/>
      <c r="H721" s="10"/>
      <c r="I721" s="9"/>
    </row>
    <row r="722" ht="14.25" customHeight="1">
      <c r="A722" s="10"/>
      <c r="B722" s="10"/>
      <c r="C722" s="10"/>
      <c r="D722" s="10"/>
      <c r="E722" s="10"/>
      <c r="F722" s="10"/>
      <c r="G722" s="10"/>
      <c r="H722" s="10"/>
      <c r="I722" s="9"/>
    </row>
    <row r="723" ht="14.25" customHeight="1">
      <c r="A723" s="10"/>
      <c r="B723" s="10"/>
      <c r="C723" s="10"/>
      <c r="D723" s="10"/>
      <c r="E723" s="10"/>
      <c r="F723" s="10"/>
      <c r="G723" s="10"/>
      <c r="H723" s="10"/>
      <c r="I723" s="9"/>
    </row>
    <row r="724" ht="14.25" customHeight="1">
      <c r="A724" s="10"/>
      <c r="B724" s="10"/>
      <c r="C724" s="10"/>
      <c r="D724" s="10"/>
      <c r="E724" s="10"/>
      <c r="F724" s="10"/>
      <c r="G724" s="10"/>
      <c r="H724" s="10"/>
      <c r="I724" s="9"/>
    </row>
    <row r="725" ht="14.25" customHeight="1">
      <c r="A725" s="10"/>
      <c r="B725" s="10"/>
      <c r="C725" s="10"/>
      <c r="D725" s="10"/>
      <c r="E725" s="10"/>
      <c r="F725" s="10"/>
      <c r="G725" s="10"/>
      <c r="H725" s="10"/>
      <c r="I725" s="9"/>
    </row>
    <row r="726" ht="14.25" customHeight="1">
      <c r="A726" s="10"/>
      <c r="B726" s="10"/>
      <c r="C726" s="10"/>
      <c r="D726" s="10"/>
      <c r="E726" s="10"/>
      <c r="F726" s="10"/>
      <c r="G726" s="10"/>
      <c r="H726" s="10"/>
      <c r="I726" s="9"/>
    </row>
    <row r="727" ht="14.25" customHeight="1">
      <c r="A727" s="10"/>
      <c r="B727" s="10"/>
      <c r="C727" s="10"/>
      <c r="D727" s="10"/>
      <c r="E727" s="10"/>
      <c r="F727" s="10"/>
      <c r="G727" s="10"/>
      <c r="H727" s="10"/>
      <c r="I727" s="9"/>
    </row>
    <row r="728" ht="14.25" customHeight="1">
      <c r="A728" s="10"/>
      <c r="B728" s="10"/>
      <c r="C728" s="10"/>
      <c r="D728" s="10"/>
      <c r="E728" s="10"/>
      <c r="F728" s="10"/>
      <c r="G728" s="10"/>
      <c r="H728" s="10"/>
      <c r="I728" s="9"/>
    </row>
    <row r="729" ht="14.25" customHeight="1">
      <c r="A729" s="10"/>
      <c r="B729" s="10"/>
      <c r="C729" s="10"/>
      <c r="D729" s="10"/>
      <c r="E729" s="10"/>
      <c r="F729" s="10"/>
      <c r="G729" s="10"/>
      <c r="H729" s="10"/>
      <c r="I729" s="9"/>
    </row>
    <row r="730" ht="14.25" customHeight="1">
      <c r="A730" s="10"/>
      <c r="B730" s="10"/>
      <c r="C730" s="10"/>
      <c r="D730" s="10"/>
      <c r="E730" s="10"/>
      <c r="F730" s="10"/>
      <c r="G730" s="10"/>
      <c r="H730" s="10"/>
      <c r="I730" s="9"/>
    </row>
    <row r="731" ht="14.25" customHeight="1">
      <c r="A731" s="10"/>
      <c r="B731" s="10"/>
      <c r="C731" s="10"/>
      <c r="D731" s="10"/>
      <c r="E731" s="10"/>
      <c r="F731" s="10"/>
      <c r="G731" s="10"/>
      <c r="H731" s="10"/>
      <c r="I731" s="9"/>
    </row>
    <row r="732" ht="14.25" customHeight="1">
      <c r="A732" s="10"/>
      <c r="B732" s="10"/>
      <c r="C732" s="10"/>
      <c r="D732" s="10"/>
      <c r="E732" s="10"/>
      <c r="F732" s="10"/>
      <c r="G732" s="10"/>
      <c r="H732" s="10"/>
      <c r="I732" s="9"/>
    </row>
    <row r="733" ht="14.25" customHeight="1">
      <c r="A733" s="10"/>
      <c r="B733" s="10"/>
      <c r="C733" s="10"/>
      <c r="D733" s="10"/>
      <c r="E733" s="10"/>
      <c r="F733" s="10"/>
      <c r="G733" s="10"/>
      <c r="H733" s="10"/>
      <c r="I733" s="9"/>
    </row>
    <row r="734" ht="14.25" customHeight="1">
      <c r="A734" s="10"/>
      <c r="B734" s="10"/>
      <c r="C734" s="10"/>
      <c r="D734" s="10"/>
      <c r="E734" s="10"/>
      <c r="F734" s="10"/>
      <c r="G734" s="10"/>
      <c r="H734" s="10"/>
      <c r="I734" s="9"/>
    </row>
    <row r="735" ht="14.25" customHeight="1">
      <c r="A735" s="10"/>
      <c r="B735" s="10"/>
      <c r="C735" s="10"/>
      <c r="D735" s="10"/>
      <c r="E735" s="10"/>
      <c r="F735" s="10"/>
      <c r="G735" s="10"/>
      <c r="H735" s="10"/>
      <c r="I735" s="9"/>
    </row>
    <row r="736" ht="14.25" customHeight="1">
      <c r="A736" s="10"/>
      <c r="B736" s="10"/>
      <c r="C736" s="10"/>
      <c r="D736" s="10"/>
      <c r="E736" s="10"/>
      <c r="F736" s="10"/>
      <c r="G736" s="10"/>
      <c r="H736" s="10"/>
      <c r="I736" s="9"/>
    </row>
    <row r="737" ht="14.25" customHeight="1">
      <c r="A737" s="10"/>
      <c r="B737" s="10"/>
      <c r="C737" s="10"/>
      <c r="D737" s="10"/>
      <c r="E737" s="10"/>
      <c r="F737" s="10"/>
      <c r="G737" s="10"/>
      <c r="H737" s="10"/>
      <c r="I737" s="9"/>
    </row>
    <row r="738" ht="14.25" customHeight="1">
      <c r="A738" s="10"/>
      <c r="B738" s="10"/>
      <c r="C738" s="10"/>
      <c r="D738" s="10"/>
      <c r="E738" s="10"/>
      <c r="F738" s="10"/>
      <c r="G738" s="10"/>
      <c r="H738" s="10"/>
      <c r="I738" s="9"/>
    </row>
    <row r="739" ht="14.25" customHeight="1">
      <c r="A739" s="10"/>
      <c r="B739" s="10"/>
      <c r="C739" s="10"/>
      <c r="D739" s="10"/>
      <c r="E739" s="10"/>
      <c r="F739" s="10"/>
      <c r="G739" s="10"/>
      <c r="H739" s="10"/>
      <c r="I739" s="9"/>
    </row>
    <row r="740" ht="14.25" customHeight="1">
      <c r="A740" s="10"/>
      <c r="B740" s="10"/>
      <c r="C740" s="10"/>
      <c r="D740" s="10"/>
      <c r="E740" s="10"/>
      <c r="F740" s="10"/>
      <c r="G740" s="10"/>
      <c r="H740" s="10"/>
      <c r="I740" s="9"/>
    </row>
    <row r="741" ht="14.25" customHeight="1">
      <c r="A741" s="10"/>
      <c r="B741" s="10"/>
      <c r="C741" s="10"/>
      <c r="D741" s="10"/>
      <c r="E741" s="10"/>
      <c r="F741" s="10"/>
      <c r="G741" s="10"/>
      <c r="H741" s="10"/>
      <c r="I741" s="9"/>
    </row>
    <row r="742" ht="14.25" customHeight="1">
      <c r="A742" s="10"/>
      <c r="B742" s="10"/>
      <c r="C742" s="10"/>
      <c r="D742" s="10"/>
      <c r="E742" s="10"/>
      <c r="F742" s="10"/>
      <c r="G742" s="10"/>
      <c r="H742" s="10"/>
      <c r="I742" s="9"/>
    </row>
    <row r="743" ht="14.25" customHeight="1">
      <c r="A743" s="10"/>
      <c r="B743" s="10"/>
      <c r="C743" s="10"/>
      <c r="D743" s="10"/>
      <c r="E743" s="10"/>
      <c r="F743" s="10"/>
      <c r="G743" s="10"/>
      <c r="H743" s="10"/>
      <c r="I743" s="9"/>
    </row>
    <row r="744" ht="14.25" customHeight="1">
      <c r="A744" s="10"/>
      <c r="B744" s="10"/>
      <c r="C744" s="10"/>
      <c r="D744" s="10"/>
      <c r="E744" s="10"/>
      <c r="F744" s="10"/>
      <c r="G744" s="10"/>
      <c r="H744" s="10"/>
      <c r="I744" s="9"/>
    </row>
    <row r="745" ht="14.25" customHeight="1">
      <c r="A745" s="10"/>
      <c r="B745" s="10"/>
      <c r="C745" s="10"/>
      <c r="D745" s="10"/>
      <c r="E745" s="10"/>
      <c r="F745" s="10"/>
      <c r="G745" s="10"/>
      <c r="H745" s="10"/>
      <c r="I745" s="9"/>
    </row>
    <row r="746" ht="14.25" customHeight="1">
      <c r="A746" s="10"/>
      <c r="B746" s="10"/>
      <c r="C746" s="10"/>
      <c r="D746" s="10"/>
      <c r="E746" s="10"/>
      <c r="F746" s="10"/>
      <c r="G746" s="10"/>
      <c r="H746" s="10"/>
      <c r="I746" s="9"/>
    </row>
    <row r="747" ht="14.25" customHeight="1">
      <c r="A747" s="10"/>
      <c r="B747" s="10"/>
      <c r="C747" s="10"/>
      <c r="D747" s="10"/>
      <c r="E747" s="10"/>
      <c r="F747" s="10"/>
      <c r="G747" s="10"/>
      <c r="H747" s="10"/>
      <c r="I747" s="9"/>
    </row>
    <row r="748" ht="14.25" customHeight="1">
      <c r="A748" s="10"/>
      <c r="B748" s="10"/>
      <c r="C748" s="10"/>
      <c r="D748" s="10"/>
      <c r="E748" s="10"/>
      <c r="F748" s="10"/>
      <c r="G748" s="10"/>
      <c r="H748" s="10"/>
      <c r="I748" s="9"/>
    </row>
    <row r="749" ht="14.25" customHeight="1">
      <c r="A749" s="10"/>
      <c r="B749" s="10"/>
      <c r="C749" s="10"/>
      <c r="D749" s="10"/>
      <c r="E749" s="10"/>
      <c r="F749" s="10"/>
      <c r="G749" s="10"/>
      <c r="H749" s="10"/>
      <c r="I749" s="9"/>
    </row>
    <row r="750" ht="14.25" customHeight="1">
      <c r="A750" s="10"/>
      <c r="B750" s="10"/>
      <c r="C750" s="10"/>
      <c r="D750" s="10"/>
      <c r="E750" s="10"/>
      <c r="F750" s="10"/>
      <c r="G750" s="10"/>
      <c r="H750" s="10"/>
      <c r="I750" s="9"/>
    </row>
    <row r="751" ht="14.25" customHeight="1">
      <c r="A751" s="10"/>
      <c r="B751" s="10"/>
      <c r="C751" s="10"/>
      <c r="D751" s="10"/>
      <c r="E751" s="10"/>
      <c r="F751" s="10"/>
      <c r="G751" s="10"/>
      <c r="H751" s="10"/>
      <c r="I751" s="9"/>
    </row>
    <row r="752" ht="14.25" customHeight="1">
      <c r="A752" s="10"/>
      <c r="B752" s="10"/>
      <c r="C752" s="10"/>
      <c r="D752" s="10"/>
      <c r="E752" s="10"/>
      <c r="F752" s="10"/>
      <c r="G752" s="10"/>
      <c r="H752" s="10"/>
      <c r="I752" s="9"/>
    </row>
    <row r="753" ht="14.25" customHeight="1">
      <c r="A753" s="10"/>
      <c r="B753" s="10"/>
      <c r="C753" s="10"/>
      <c r="D753" s="10"/>
      <c r="E753" s="10"/>
      <c r="F753" s="10"/>
      <c r="G753" s="10"/>
      <c r="H753" s="10"/>
      <c r="I753" s="9"/>
    </row>
    <row r="754" ht="14.25" customHeight="1">
      <c r="A754" s="10"/>
      <c r="B754" s="10"/>
      <c r="C754" s="10"/>
      <c r="D754" s="10"/>
      <c r="E754" s="10"/>
      <c r="F754" s="10"/>
      <c r="G754" s="10"/>
      <c r="H754" s="10"/>
      <c r="I754" s="9"/>
    </row>
    <row r="755" ht="14.25" customHeight="1">
      <c r="A755" s="10"/>
      <c r="B755" s="10"/>
      <c r="C755" s="10"/>
      <c r="D755" s="10"/>
      <c r="E755" s="10"/>
      <c r="F755" s="10"/>
      <c r="G755" s="10"/>
      <c r="H755" s="10"/>
      <c r="I755" s="9"/>
    </row>
    <row r="756" ht="14.25" customHeight="1">
      <c r="A756" s="10"/>
      <c r="B756" s="10"/>
      <c r="C756" s="10"/>
      <c r="D756" s="10"/>
      <c r="E756" s="10"/>
      <c r="F756" s="10"/>
      <c r="G756" s="10"/>
      <c r="H756" s="10"/>
      <c r="I756" s="9"/>
    </row>
    <row r="757" ht="14.25" customHeight="1">
      <c r="A757" s="10"/>
      <c r="B757" s="10"/>
      <c r="C757" s="10"/>
      <c r="D757" s="10"/>
      <c r="E757" s="10"/>
      <c r="F757" s="10"/>
      <c r="G757" s="10"/>
      <c r="H757" s="10"/>
      <c r="I757" s="9"/>
    </row>
    <row r="758" ht="14.25" customHeight="1">
      <c r="A758" s="10"/>
      <c r="B758" s="10"/>
      <c r="C758" s="10"/>
      <c r="D758" s="10"/>
      <c r="E758" s="10"/>
      <c r="F758" s="10"/>
      <c r="G758" s="10"/>
      <c r="H758" s="10"/>
      <c r="I758" s="9"/>
    </row>
    <row r="759" ht="14.25" customHeight="1">
      <c r="A759" s="10"/>
      <c r="B759" s="10"/>
      <c r="C759" s="10"/>
      <c r="D759" s="10"/>
      <c r="E759" s="10"/>
      <c r="F759" s="10"/>
      <c r="G759" s="10"/>
      <c r="H759" s="10"/>
      <c r="I759" s="9"/>
    </row>
    <row r="760" ht="14.25" customHeight="1">
      <c r="A760" s="10"/>
      <c r="B760" s="10"/>
      <c r="C760" s="10"/>
      <c r="D760" s="10"/>
      <c r="E760" s="10"/>
      <c r="F760" s="10"/>
      <c r="G760" s="10"/>
      <c r="H760" s="10"/>
      <c r="I760" s="9"/>
    </row>
    <row r="761" ht="14.25" customHeight="1">
      <c r="A761" s="10"/>
      <c r="B761" s="10"/>
      <c r="C761" s="10"/>
      <c r="D761" s="10"/>
      <c r="E761" s="10"/>
      <c r="F761" s="10"/>
      <c r="G761" s="10"/>
      <c r="H761" s="10"/>
      <c r="I761" s="9"/>
    </row>
    <row r="762" ht="14.25" customHeight="1">
      <c r="A762" s="10"/>
      <c r="B762" s="10"/>
      <c r="C762" s="10"/>
      <c r="D762" s="10"/>
      <c r="E762" s="10"/>
      <c r="F762" s="10"/>
      <c r="G762" s="10"/>
      <c r="H762" s="10"/>
      <c r="I762" s="9"/>
    </row>
    <row r="763" ht="14.25" customHeight="1">
      <c r="A763" s="10"/>
      <c r="B763" s="10"/>
      <c r="C763" s="10"/>
      <c r="D763" s="10"/>
      <c r="E763" s="10"/>
      <c r="F763" s="10"/>
      <c r="G763" s="10"/>
      <c r="H763" s="10"/>
      <c r="I763" s="9"/>
    </row>
    <row r="764" ht="14.25" customHeight="1">
      <c r="A764" s="10"/>
      <c r="B764" s="10"/>
      <c r="C764" s="10"/>
      <c r="D764" s="10"/>
      <c r="E764" s="10"/>
      <c r="F764" s="10"/>
      <c r="G764" s="10"/>
      <c r="H764" s="10"/>
      <c r="I764" s="9"/>
    </row>
    <row r="765" ht="14.25" customHeight="1">
      <c r="A765" s="10"/>
      <c r="B765" s="10"/>
      <c r="C765" s="10"/>
      <c r="D765" s="10"/>
      <c r="E765" s="10"/>
      <c r="F765" s="10"/>
      <c r="G765" s="10"/>
      <c r="H765" s="10"/>
      <c r="I765" s="9"/>
    </row>
    <row r="766" ht="14.25" customHeight="1">
      <c r="A766" s="10"/>
      <c r="B766" s="10"/>
      <c r="C766" s="10"/>
      <c r="D766" s="10"/>
      <c r="E766" s="10"/>
      <c r="F766" s="10"/>
      <c r="G766" s="10"/>
      <c r="H766" s="10"/>
      <c r="I766" s="9"/>
    </row>
    <row r="767" ht="14.25" customHeight="1">
      <c r="A767" s="10"/>
      <c r="B767" s="10"/>
      <c r="C767" s="10"/>
      <c r="D767" s="10"/>
      <c r="E767" s="10"/>
      <c r="F767" s="10"/>
      <c r="G767" s="10"/>
      <c r="H767" s="10"/>
      <c r="I767" s="9"/>
    </row>
    <row r="768" ht="14.25" customHeight="1">
      <c r="A768" s="10"/>
      <c r="B768" s="10"/>
      <c r="C768" s="10"/>
      <c r="D768" s="10"/>
      <c r="E768" s="10"/>
      <c r="F768" s="10"/>
      <c r="G768" s="10"/>
      <c r="H768" s="10"/>
      <c r="I768" s="9"/>
    </row>
    <row r="769" ht="14.25" customHeight="1">
      <c r="A769" s="10"/>
      <c r="B769" s="10"/>
      <c r="C769" s="10"/>
      <c r="D769" s="10"/>
      <c r="E769" s="10"/>
      <c r="F769" s="10"/>
      <c r="G769" s="10"/>
      <c r="H769" s="10"/>
      <c r="I769" s="9"/>
    </row>
    <row r="770" ht="14.25" customHeight="1">
      <c r="A770" s="10"/>
      <c r="B770" s="10"/>
      <c r="C770" s="10"/>
      <c r="D770" s="10"/>
      <c r="E770" s="10"/>
      <c r="F770" s="10"/>
      <c r="G770" s="10"/>
      <c r="H770" s="10"/>
      <c r="I770" s="9"/>
    </row>
    <row r="771" ht="14.25" customHeight="1">
      <c r="A771" s="10"/>
      <c r="B771" s="10"/>
      <c r="C771" s="10"/>
      <c r="D771" s="10"/>
      <c r="E771" s="10"/>
      <c r="F771" s="10"/>
      <c r="G771" s="10"/>
      <c r="H771" s="10"/>
      <c r="I771" s="9"/>
    </row>
    <row r="772" ht="14.25" customHeight="1">
      <c r="A772" s="10"/>
      <c r="B772" s="10"/>
      <c r="C772" s="10"/>
      <c r="D772" s="10"/>
      <c r="E772" s="10"/>
      <c r="F772" s="10"/>
      <c r="G772" s="10"/>
      <c r="H772" s="10"/>
      <c r="I772" s="9"/>
    </row>
    <row r="773" ht="14.25" customHeight="1">
      <c r="A773" s="10"/>
      <c r="B773" s="10"/>
      <c r="C773" s="10"/>
      <c r="D773" s="10"/>
      <c r="E773" s="10"/>
      <c r="F773" s="10"/>
      <c r="G773" s="10"/>
      <c r="H773" s="10"/>
      <c r="I773" s="9"/>
    </row>
    <row r="774" ht="14.25" customHeight="1">
      <c r="A774" s="10"/>
      <c r="B774" s="10"/>
      <c r="C774" s="10"/>
      <c r="D774" s="10"/>
      <c r="E774" s="10"/>
      <c r="F774" s="10"/>
      <c r="G774" s="10"/>
      <c r="H774" s="10"/>
      <c r="I774" s="9"/>
    </row>
    <row r="775" ht="14.25" customHeight="1">
      <c r="A775" s="10"/>
      <c r="B775" s="10"/>
      <c r="C775" s="10"/>
      <c r="D775" s="10"/>
      <c r="E775" s="10"/>
      <c r="F775" s="10"/>
      <c r="G775" s="10"/>
      <c r="H775" s="10"/>
      <c r="I775" s="9"/>
    </row>
    <row r="776" ht="14.25" customHeight="1">
      <c r="A776" s="10"/>
      <c r="B776" s="10"/>
      <c r="C776" s="10"/>
      <c r="D776" s="10"/>
      <c r="E776" s="10"/>
      <c r="F776" s="10"/>
      <c r="G776" s="10"/>
      <c r="H776" s="10"/>
      <c r="I776" s="9"/>
    </row>
    <row r="777" ht="14.25" customHeight="1">
      <c r="A777" s="10"/>
      <c r="B777" s="10"/>
      <c r="C777" s="10"/>
      <c r="D777" s="10"/>
      <c r="E777" s="10"/>
      <c r="F777" s="10"/>
      <c r="G777" s="10"/>
      <c r="H777" s="10"/>
      <c r="I777" s="9"/>
    </row>
    <row r="778" ht="14.25" customHeight="1">
      <c r="A778" s="10"/>
      <c r="B778" s="10"/>
      <c r="C778" s="10"/>
      <c r="D778" s="10"/>
      <c r="E778" s="10"/>
      <c r="F778" s="10"/>
      <c r="G778" s="10"/>
      <c r="H778" s="10"/>
      <c r="I778" s="9"/>
    </row>
    <row r="779" ht="14.25" customHeight="1">
      <c r="A779" s="10"/>
      <c r="B779" s="10"/>
      <c r="C779" s="10"/>
      <c r="D779" s="10"/>
      <c r="E779" s="10"/>
      <c r="F779" s="10"/>
      <c r="G779" s="10"/>
      <c r="H779" s="10"/>
      <c r="I779" s="9"/>
    </row>
    <row r="780" ht="14.25" customHeight="1">
      <c r="A780" s="10"/>
      <c r="B780" s="10"/>
      <c r="C780" s="10"/>
      <c r="D780" s="10"/>
      <c r="E780" s="10"/>
      <c r="F780" s="10"/>
      <c r="G780" s="10"/>
      <c r="H780" s="10"/>
      <c r="I780" s="9"/>
    </row>
    <row r="781" ht="14.25" customHeight="1">
      <c r="A781" s="10"/>
      <c r="B781" s="10"/>
      <c r="C781" s="10"/>
      <c r="D781" s="10"/>
      <c r="E781" s="10"/>
      <c r="F781" s="10"/>
      <c r="G781" s="10"/>
      <c r="H781" s="10"/>
      <c r="I781" s="9"/>
    </row>
    <row r="782" ht="14.25" customHeight="1">
      <c r="A782" s="10"/>
      <c r="B782" s="10"/>
      <c r="C782" s="10"/>
      <c r="D782" s="10"/>
      <c r="E782" s="10"/>
      <c r="F782" s="10"/>
      <c r="G782" s="10"/>
      <c r="H782" s="10"/>
      <c r="I782" s="9"/>
    </row>
    <row r="783" ht="14.25" customHeight="1">
      <c r="A783" s="10"/>
      <c r="B783" s="10"/>
      <c r="C783" s="10"/>
      <c r="D783" s="10"/>
      <c r="E783" s="10"/>
      <c r="F783" s="10"/>
      <c r="G783" s="10"/>
      <c r="H783" s="10"/>
      <c r="I783" s="9"/>
    </row>
    <row r="784" ht="14.25" customHeight="1">
      <c r="A784" s="10"/>
      <c r="B784" s="10"/>
      <c r="C784" s="10"/>
      <c r="D784" s="10"/>
      <c r="E784" s="10"/>
      <c r="F784" s="10"/>
      <c r="G784" s="10"/>
      <c r="H784" s="10"/>
      <c r="I784" s="9"/>
    </row>
    <row r="785" ht="14.25" customHeight="1">
      <c r="A785" s="10"/>
      <c r="B785" s="10"/>
      <c r="C785" s="10"/>
      <c r="D785" s="10"/>
      <c r="E785" s="10"/>
      <c r="F785" s="10"/>
      <c r="G785" s="10"/>
      <c r="H785" s="10"/>
      <c r="I785" s="9"/>
    </row>
    <row r="786" ht="14.25" customHeight="1">
      <c r="A786" s="10"/>
      <c r="B786" s="10"/>
      <c r="C786" s="10"/>
      <c r="D786" s="10"/>
      <c r="E786" s="10"/>
      <c r="F786" s="10"/>
      <c r="G786" s="10"/>
      <c r="H786" s="10"/>
      <c r="I786" s="9"/>
    </row>
    <row r="787" ht="14.25" customHeight="1">
      <c r="A787" s="10"/>
      <c r="B787" s="10"/>
      <c r="C787" s="10"/>
      <c r="D787" s="10"/>
      <c r="E787" s="10"/>
      <c r="F787" s="10"/>
      <c r="G787" s="10"/>
      <c r="H787" s="10"/>
      <c r="I787" s="9"/>
    </row>
    <row r="788" ht="14.25" customHeight="1">
      <c r="A788" s="10"/>
      <c r="B788" s="10"/>
      <c r="C788" s="10"/>
      <c r="D788" s="10"/>
      <c r="E788" s="10"/>
      <c r="F788" s="10"/>
      <c r="G788" s="10"/>
      <c r="H788" s="10"/>
      <c r="I788" s="9"/>
    </row>
    <row r="789" ht="14.25" customHeight="1">
      <c r="A789" s="10"/>
      <c r="B789" s="10"/>
      <c r="C789" s="10"/>
      <c r="D789" s="10"/>
      <c r="E789" s="10"/>
      <c r="F789" s="10"/>
      <c r="G789" s="10"/>
      <c r="H789" s="10"/>
      <c r="I789" s="9"/>
    </row>
    <row r="790" ht="14.25" customHeight="1">
      <c r="A790" s="10"/>
      <c r="B790" s="10"/>
      <c r="C790" s="10"/>
      <c r="D790" s="10"/>
      <c r="E790" s="10"/>
      <c r="F790" s="10"/>
      <c r="G790" s="10"/>
      <c r="H790" s="10"/>
      <c r="I790" s="9"/>
    </row>
    <row r="791" ht="14.25" customHeight="1">
      <c r="A791" s="10"/>
      <c r="B791" s="10"/>
      <c r="C791" s="10"/>
      <c r="D791" s="10"/>
      <c r="E791" s="10"/>
      <c r="F791" s="10"/>
      <c r="G791" s="10"/>
      <c r="H791" s="10"/>
      <c r="I791" s="9"/>
    </row>
    <row r="792" ht="14.25" customHeight="1">
      <c r="A792" s="10"/>
      <c r="B792" s="10"/>
      <c r="C792" s="10"/>
      <c r="D792" s="10"/>
      <c r="E792" s="10"/>
      <c r="F792" s="10"/>
      <c r="G792" s="10"/>
      <c r="H792" s="10"/>
      <c r="I792" s="9"/>
    </row>
    <row r="793" ht="14.25" customHeight="1">
      <c r="A793" s="10"/>
      <c r="B793" s="10"/>
      <c r="C793" s="10"/>
      <c r="D793" s="10"/>
      <c r="E793" s="10"/>
      <c r="F793" s="10"/>
      <c r="G793" s="10"/>
      <c r="H793" s="10"/>
      <c r="I793" s="9"/>
    </row>
    <row r="794" ht="14.25" customHeight="1">
      <c r="A794" s="10"/>
      <c r="B794" s="10"/>
      <c r="C794" s="10"/>
      <c r="D794" s="10"/>
      <c r="E794" s="10"/>
      <c r="F794" s="10"/>
      <c r="G794" s="10"/>
      <c r="H794" s="10"/>
      <c r="I794" s="9"/>
    </row>
    <row r="795" ht="14.25" customHeight="1">
      <c r="A795" s="10"/>
      <c r="B795" s="10"/>
      <c r="C795" s="10"/>
      <c r="D795" s="10"/>
      <c r="E795" s="10"/>
      <c r="F795" s="10"/>
      <c r="G795" s="10"/>
      <c r="H795" s="10"/>
      <c r="I795" s="9"/>
    </row>
    <row r="796" ht="14.25" customHeight="1">
      <c r="A796" s="10"/>
      <c r="B796" s="10"/>
      <c r="C796" s="10"/>
      <c r="D796" s="10"/>
      <c r="E796" s="10"/>
      <c r="F796" s="10"/>
      <c r="G796" s="10"/>
      <c r="H796" s="10"/>
      <c r="I796" s="9"/>
    </row>
    <row r="797" ht="14.25" customHeight="1">
      <c r="A797" s="10"/>
      <c r="B797" s="10"/>
      <c r="C797" s="10"/>
      <c r="D797" s="10"/>
      <c r="E797" s="10"/>
      <c r="F797" s="10"/>
      <c r="G797" s="10"/>
      <c r="H797" s="10"/>
      <c r="I797" s="9"/>
    </row>
    <row r="798" ht="14.25" customHeight="1">
      <c r="A798" s="10"/>
      <c r="B798" s="10"/>
      <c r="C798" s="10"/>
      <c r="D798" s="10"/>
      <c r="E798" s="10"/>
      <c r="F798" s="10"/>
      <c r="G798" s="10"/>
      <c r="H798" s="10"/>
      <c r="I798" s="9"/>
    </row>
    <row r="799" ht="14.25" customHeight="1">
      <c r="A799" s="10"/>
      <c r="B799" s="10"/>
      <c r="C799" s="10"/>
      <c r="D799" s="10"/>
      <c r="E799" s="10"/>
      <c r="F799" s="10"/>
      <c r="G799" s="10"/>
      <c r="H799" s="10"/>
      <c r="I799" s="9"/>
    </row>
    <row r="800" ht="14.25" customHeight="1">
      <c r="A800" s="10"/>
      <c r="B800" s="10"/>
      <c r="C800" s="10"/>
      <c r="D800" s="10"/>
      <c r="E800" s="10"/>
      <c r="F800" s="10"/>
      <c r="G800" s="10"/>
      <c r="H800" s="10"/>
      <c r="I800" s="9"/>
    </row>
    <row r="801" ht="14.25" customHeight="1">
      <c r="A801" s="10"/>
      <c r="B801" s="10"/>
      <c r="C801" s="10"/>
      <c r="D801" s="10"/>
      <c r="E801" s="10"/>
      <c r="F801" s="10"/>
      <c r="G801" s="10"/>
      <c r="H801" s="10"/>
      <c r="I801" s="9"/>
    </row>
    <row r="802" ht="14.25" customHeight="1">
      <c r="A802" s="10"/>
      <c r="B802" s="10"/>
      <c r="C802" s="10"/>
      <c r="D802" s="10"/>
      <c r="E802" s="10"/>
      <c r="F802" s="10"/>
      <c r="G802" s="10"/>
      <c r="H802" s="10"/>
      <c r="I802" s="9"/>
    </row>
    <row r="803" ht="14.25" customHeight="1">
      <c r="A803" s="10"/>
      <c r="B803" s="10"/>
      <c r="C803" s="10"/>
      <c r="D803" s="10"/>
      <c r="E803" s="10"/>
      <c r="F803" s="10"/>
      <c r="G803" s="10"/>
      <c r="H803" s="10"/>
      <c r="I803" s="9"/>
    </row>
    <row r="804" ht="14.25" customHeight="1">
      <c r="A804" s="10"/>
      <c r="B804" s="10"/>
      <c r="C804" s="10"/>
      <c r="D804" s="10"/>
      <c r="E804" s="10"/>
      <c r="F804" s="10"/>
      <c r="G804" s="10"/>
      <c r="H804" s="10"/>
      <c r="I804" s="9"/>
    </row>
    <row r="805" ht="14.25" customHeight="1">
      <c r="A805" s="10"/>
      <c r="B805" s="10"/>
      <c r="C805" s="10"/>
      <c r="D805" s="10"/>
      <c r="E805" s="10"/>
      <c r="F805" s="10"/>
      <c r="G805" s="10"/>
      <c r="H805" s="10"/>
      <c r="I805" s="9"/>
    </row>
    <row r="806" ht="14.25" customHeight="1">
      <c r="A806" s="10"/>
      <c r="B806" s="10"/>
      <c r="C806" s="10"/>
      <c r="D806" s="10"/>
      <c r="E806" s="10"/>
      <c r="F806" s="10"/>
      <c r="G806" s="10"/>
      <c r="H806" s="10"/>
      <c r="I806" s="9"/>
    </row>
    <row r="807" ht="14.25" customHeight="1">
      <c r="A807" s="10"/>
      <c r="B807" s="10"/>
      <c r="C807" s="10"/>
      <c r="D807" s="10"/>
      <c r="E807" s="10"/>
      <c r="F807" s="10"/>
      <c r="G807" s="10"/>
      <c r="H807" s="10"/>
      <c r="I807" s="9"/>
    </row>
    <row r="808" ht="14.25" customHeight="1">
      <c r="A808" s="10"/>
      <c r="B808" s="10"/>
      <c r="C808" s="10"/>
      <c r="D808" s="10"/>
      <c r="E808" s="10"/>
      <c r="F808" s="10"/>
      <c r="G808" s="10"/>
      <c r="H808" s="10"/>
      <c r="I808" s="9"/>
    </row>
    <row r="809" ht="14.25" customHeight="1">
      <c r="A809" s="10"/>
      <c r="B809" s="10"/>
      <c r="C809" s="10"/>
      <c r="D809" s="10"/>
      <c r="E809" s="10"/>
      <c r="F809" s="10"/>
      <c r="G809" s="10"/>
      <c r="H809" s="10"/>
      <c r="I809" s="9"/>
    </row>
    <row r="810" ht="14.25" customHeight="1">
      <c r="A810" s="10"/>
      <c r="B810" s="10"/>
      <c r="C810" s="10"/>
      <c r="D810" s="10"/>
      <c r="E810" s="10"/>
      <c r="F810" s="10"/>
      <c r="G810" s="10"/>
      <c r="H810" s="10"/>
      <c r="I810" s="9"/>
    </row>
    <row r="811" ht="14.25" customHeight="1">
      <c r="A811" s="10"/>
      <c r="B811" s="10"/>
      <c r="C811" s="10"/>
      <c r="D811" s="10"/>
      <c r="E811" s="10"/>
      <c r="F811" s="10"/>
      <c r="G811" s="10"/>
      <c r="H811" s="10"/>
      <c r="I811" s="9"/>
    </row>
    <row r="812" ht="14.25" customHeight="1">
      <c r="A812" s="10"/>
      <c r="B812" s="10"/>
      <c r="C812" s="10"/>
      <c r="D812" s="10"/>
      <c r="E812" s="10"/>
      <c r="F812" s="10"/>
      <c r="G812" s="10"/>
      <c r="H812" s="10"/>
      <c r="I812" s="9"/>
    </row>
    <row r="813" ht="14.25" customHeight="1">
      <c r="A813" s="10"/>
      <c r="B813" s="10"/>
      <c r="C813" s="10"/>
      <c r="D813" s="10"/>
      <c r="E813" s="10"/>
      <c r="F813" s="10"/>
      <c r="G813" s="10"/>
      <c r="H813" s="10"/>
      <c r="I813" s="9"/>
    </row>
    <row r="814" ht="14.25" customHeight="1">
      <c r="A814" s="10"/>
      <c r="B814" s="10"/>
      <c r="C814" s="10"/>
      <c r="D814" s="10"/>
      <c r="E814" s="10"/>
      <c r="F814" s="10"/>
      <c r="G814" s="10"/>
      <c r="H814" s="10"/>
      <c r="I814" s="9"/>
    </row>
    <row r="815" ht="14.25" customHeight="1">
      <c r="A815" s="10"/>
      <c r="B815" s="10"/>
      <c r="C815" s="10"/>
      <c r="D815" s="10"/>
      <c r="E815" s="10"/>
      <c r="F815" s="10"/>
      <c r="G815" s="10"/>
      <c r="H815" s="10"/>
      <c r="I815" s="9"/>
    </row>
    <row r="816" ht="14.25" customHeight="1">
      <c r="A816" s="10"/>
      <c r="B816" s="10"/>
      <c r="C816" s="10"/>
      <c r="D816" s="10"/>
      <c r="E816" s="10"/>
      <c r="F816" s="10"/>
      <c r="G816" s="10"/>
      <c r="H816" s="10"/>
      <c r="I816" s="9"/>
    </row>
    <row r="817" ht="14.25" customHeight="1">
      <c r="A817" s="10"/>
      <c r="B817" s="10"/>
      <c r="C817" s="10"/>
      <c r="D817" s="10"/>
      <c r="E817" s="10"/>
      <c r="F817" s="10"/>
      <c r="G817" s="10"/>
      <c r="H817" s="10"/>
      <c r="I817" s="9"/>
    </row>
    <row r="818" ht="14.25" customHeight="1">
      <c r="A818" s="10"/>
      <c r="B818" s="10"/>
      <c r="C818" s="10"/>
      <c r="D818" s="10"/>
      <c r="E818" s="10"/>
      <c r="F818" s="10"/>
      <c r="G818" s="10"/>
      <c r="H818" s="10"/>
      <c r="I818" s="9"/>
    </row>
    <row r="819" ht="14.25" customHeight="1">
      <c r="A819" s="10"/>
      <c r="B819" s="10"/>
      <c r="C819" s="10"/>
      <c r="D819" s="10"/>
      <c r="E819" s="10"/>
      <c r="F819" s="10"/>
      <c r="G819" s="10"/>
      <c r="H819" s="10"/>
      <c r="I819" s="9"/>
    </row>
    <row r="820" ht="14.25" customHeight="1">
      <c r="A820" s="10"/>
      <c r="B820" s="10"/>
      <c r="C820" s="10"/>
      <c r="D820" s="10"/>
      <c r="E820" s="10"/>
      <c r="F820" s="10"/>
      <c r="G820" s="10"/>
      <c r="H820" s="10"/>
      <c r="I820" s="9"/>
    </row>
    <row r="821" ht="14.25" customHeight="1">
      <c r="A821" s="10"/>
      <c r="B821" s="10"/>
      <c r="C821" s="10"/>
      <c r="D821" s="10"/>
      <c r="E821" s="10"/>
      <c r="F821" s="10"/>
      <c r="G821" s="10"/>
      <c r="H821" s="10"/>
      <c r="I821" s="9"/>
    </row>
    <row r="822" ht="14.25" customHeight="1">
      <c r="A822" s="10"/>
      <c r="B822" s="10"/>
      <c r="C822" s="10"/>
      <c r="D822" s="10"/>
      <c r="E822" s="10"/>
      <c r="F822" s="10"/>
      <c r="G822" s="10"/>
      <c r="H822" s="10"/>
      <c r="I822" s="9"/>
    </row>
    <row r="823" ht="14.25" customHeight="1">
      <c r="A823" s="10"/>
      <c r="B823" s="10"/>
      <c r="C823" s="10"/>
      <c r="D823" s="10"/>
      <c r="E823" s="10"/>
      <c r="F823" s="10"/>
      <c r="G823" s="10"/>
      <c r="H823" s="10"/>
      <c r="I823" s="9"/>
    </row>
    <row r="824" ht="14.25" customHeight="1">
      <c r="A824" s="10"/>
      <c r="B824" s="10"/>
      <c r="C824" s="10"/>
      <c r="D824" s="10"/>
      <c r="E824" s="10"/>
      <c r="F824" s="10"/>
      <c r="G824" s="10"/>
      <c r="H824" s="10"/>
      <c r="I824" s="9"/>
    </row>
    <row r="825" ht="14.25" customHeight="1">
      <c r="A825" s="10"/>
      <c r="B825" s="10"/>
      <c r="C825" s="10"/>
      <c r="D825" s="10"/>
      <c r="E825" s="10"/>
      <c r="F825" s="10"/>
      <c r="G825" s="10"/>
      <c r="H825" s="10"/>
      <c r="I825" s="9"/>
    </row>
    <row r="826" ht="14.25" customHeight="1">
      <c r="A826" s="10"/>
      <c r="B826" s="10"/>
      <c r="C826" s="10"/>
      <c r="D826" s="10"/>
      <c r="E826" s="10"/>
      <c r="F826" s="10"/>
      <c r="G826" s="10"/>
      <c r="H826" s="10"/>
      <c r="I826" s="9"/>
    </row>
    <row r="827" ht="14.25" customHeight="1">
      <c r="A827" s="10"/>
      <c r="B827" s="10"/>
      <c r="C827" s="10"/>
      <c r="D827" s="10"/>
      <c r="E827" s="10"/>
      <c r="F827" s="10"/>
      <c r="G827" s="10"/>
      <c r="H827" s="10"/>
      <c r="I827" s="9"/>
    </row>
    <row r="828" ht="14.25" customHeight="1">
      <c r="A828" s="10"/>
      <c r="B828" s="10"/>
      <c r="C828" s="10"/>
      <c r="D828" s="10"/>
      <c r="E828" s="10"/>
      <c r="F828" s="10"/>
      <c r="G828" s="10"/>
      <c r="H828" s="10"/>
      <c r="I828" s="9"/>
    </row>
    <row r="829" ht="14.25" customHeight="1">
      <c r="A829" s="10"/>
      <c r="B829" s="10"/>
      <c r="C829" s="10"/>
      <c r="D829" s="10"/>
      <c r="E829" s="10"/>
      <c r="F829" s="10"/>
      <c r="G829" s="10"/>
      <c r="H829" s="10"/>
      <c r="I829" s="9"/>
    </row>
    <row r="830" ht="14.25" customHeight="1">
      <c r="A830" s="10"/>
      <c r="B830" s="10"/>
      <c r="C830" s="10"/>
      <c r="D830" s="10"/>
      <c r="E830" s="10"/>
      <c r="F830" s="10"/>
      <c r="G830" s="10"/>
      <c r="H830" s="10"/>
      <c r="I830" s="9"/>
    </row>
    <row r="831" ht="14.25" customHeight="1">
      <c r="A831" s="10"/>
      <c r="B831" s="10"/>
      <c r="C831" s="10"/>
      <c r="D831" s="10"/>
      <c r="E831" s="10"/>
      <c r="F831" s="10"/>
      <c r="G831" s="10"/>
      <c r="H831" s="10"/>
      <c r="I831" s="9"/>
    </row>
    <row r="832" ht="14.25" customHeight="1">
      <c r="A832" s="10"/>
      <c r="B832" s="10"/>
      <c r="C832" s="10"/>
      <c r="D832" s="10"/>
      <c r="E832" s="10"/>
      <c r="F832" s="10"/>
      <c r="G832" s="10"/>
      <c r="H832" s="10"/>
      <c r="I832" s="9"/>
    </row>
    <row r="833" ht="14.25" customHeight="1">
      <c r="A833" s="10"/>
      <c r="B833" s="10"/>
      <c r="C833" s="10"/>
      <c r="D833" s="10"/>
      <c r="E833" s="10"/>
      <c r="F833" s="10"/>
      <c r="G833" s="10"/>
      <c r="H833" s="10"/>
      <c r="I833" s="9"/>
    </row>
    <row r="834" ht="14.25" customHeight="1">
      <c r="A834" s="10"/>
      <c r="B834" s="10"/>
      <c r="C834" s="10"/>
      <c r="D834" s="10"/>
      <c r="E834" s="10"/>
      <c r="F834" s="10"/>
      <c r="G834" s="10"/>
      <c r="H834" s="10"/>
      <c r="I834" s="9"/>
    </row>
    <row r="835" ht="14.25" customHeight="1">
      <c r="A835" s="10"/>
      <c r="B835" s="10"/>
      <c r="C835" s="10"/>
      <c r="D835" s="10"/>
      <c r="E835" s="10"/>
      <c r="F835" s="10"/>
      <c r="G835" s="10"/>
      <c r="H835" s="10"/>
      <c r="I835" s="9"/>
    </row>
    <row r="836" ht="14.25" customHeight="1">
      <c r="A836" s="10"/>
      <c r="B836" s="10"/>
      <c r="C836" s="10"/>
      <c r="D836" s="10"/>
      <c r="E836" s="10"/>
      <c r="F836" s="10"/>
      <c r="G836" s="10"/>
      <c r="H836" s="10"/>
      <c r="I836" s="9"/>
    </row>
    <row r="837" ht="14.25" customHeight="1">
      <c r="A837" s="10"/>
      <c r="B837" s="10"/>
      <c r="C837" s="10"/>
      <c r="D837" s="10"/>
      <c r="E837" s="10"/>
      <c r="F837" s="10"/>
      <c r="G837" s="10"/>
      <c r="H837" s="10"/>
      <c r="I837" s="9"/>
    </row>
    <row r="838" ht="14.25" customHeight="1">
      <c r="A838" s="10"/>
      <c r="B838" s="10"/>
      <c r="C838" s="10"/>
      <c r="D838" s="10"/>
      <c r="E838" s="10"/>
      <c r="F838" s="10"/>
      <c r="G838" s="10"/>
      <c r="H838" s="10"/>
      <c r="I838" s="9"/>
    </row>
    <row r="839" ht="14.25" customHeight="1">
      <c r="A839" s="10"/>
      <c r="B839" s="10"/>
      <c r="C839" s="10"/>
      <c r="D839" s="10"/>
      <c r="E839" s="10"/>
      <c r="F839" s="10"/>
      <c r="G839" s="10"/>
      <c r="H839" s="10"/>
      <c r="I839" s="9"/>
    </row>
    <row r="840" ht="14.25" customHeight="1">
      <c r="A840" s="10"/>
      <c r="B840" s="10"/>
      <c r="C840" s="10"/>
      <c r="D840" s="10"/>
      <c r="E840" s="10"/>
      <c r="F840" s="10"/>
      <c r="G840" s="10"/>
      <c r="H840" s="10"/>
      <c r="I840" s="9"/>
    </row>
    <row r="841" ht="14.25" customHeight="1">
      <c r="A841" s="10"/>
      <c r="B841" s="10"/>
      <c r="C841" s="10"/>
      <c r="D841" s="10"/>
      <c r="E841" s="10"/>
      <c r="F841" s="10"/>
      <c r="G841" s="10"/>
      <c r="H841" s="10"/>
      <c r="I841" s="9"/>
    </row>
    <row r="842" ht="14.25" customHeight="1">
      <c r="A842" s="10"/>
      <c r="B842" s="10"/>
      <c r="C842" s="10"/>
      <c r="D842" s="10"/>
      <c r="E842" s="10"/>
      <c r="F842" s="10"/>
      <c r="G842" s="10"/>
      <c r="H842" s="10"/>
      <c r="I842" s="9"/>
    </row>
    <row r="843" ht="14.25" customHeight="1">
      <c r="A843" s="10"/>
      <c r="B843" s="10"/>
      <c r="C843" s="10"/>
      <c r="D843" s="10"/>
      <c r="E843" s="10"/>
      <c r="F843" s="10"/>
      <c r="G843" s="10"/>
      <c r="H843" s="10"/>
      <c r="I843" s="9"/>
    </row>
    <row r="844" ht="14.25" customHeight="1">
      <c r="A844" s="10"/>
      <c r="B844" s="10"/>
      <c r="C844" s="10"/>
      <c r="D844" s="10"/>
      <c r="E844" s="10"/>
      <c r="F844" s="10"/>
      <c r="G844" s="10"/>
      <c r="H844" s="10"/>
      <c r="I844" s="9"/>
    </row>
    <row r="845" ht="14.25" customHeight="1">
      <c r="A845" s="10"/>
      <c r="B845" s="10"/>
      <c r="C845" s="10"/>
      <c r="D845" s="10"/>
      <c r="E845" s="10"/>
      <c r="F845" s="10"/>
      <c r="G845" s="10"/>
      <c r="H845" s="10"/>
      <c r="I845" s="9"/>
    </row>
    <row r="846" ht="14.25" customHeight="1">
      <c r="A846" s="10"/>
      <c r="B846" s="10"/>
      <c r="C846" s="10"/>
      <c r="D846" s="10"/>
      <c r="E846" s="10"/>
      <c r="F846" s="10"/>
      <c r="G846" s="10"/>
      <c r="H846" s="10"/>
      <c r="I846" s="9"/>
    </row>
    <row r="847" ht="14.25" customHeight="1">
      <c r="A847" s="10"/>
      <c r="B847" s="10"/>
      <c r="C847" s="10"/>
      <c r="D847" s="10"/>
      <c r="E847" s="10"/>
      <c r="F847" s="10"/>
      <c r="G847" s="10"/>
      <c r="H847" s="10"/>
      <c r="I847" s="9"/>
    </row>
    <row r="848" ht="14.25" customHeight="1">
      <c r="A848" s="10"/>
      <c r="B848" s="10"/>
      <c r="C848" s="10"/>
      <c r="D848" s="10"/>
      <c r="E848" s="10"/>
      <c r="F848" s="10"/>
      <c r="G848" s="10"/>
      <c r="H848" s="10"/>
      <c r="I848" s="9"/>
    </row>
    <row r="849" ht="14.25" customHeight="1">
      <c r="A849" s="10"/>
      <c r="B849" s="10"/>
      <c r="C849" s="10"/>
      <c r="D849" s="10"/>
      <c r="E849" s="10"/>
      <c r="F849" s="10"/>
      <c r="G849" s="10"/>
      <c r="H849" s="10"/>
      <c r="I849" s="9"/>
    </row>
    <row r="850" ht="14.25" customHeight="1">
      <c r="A850" s="10"/>
      <c r="B850" s="10"/>
      <c r="C850" s="10"/>
      <c r="D850" s="10"/>
      <c r="E850" s="10"/>
      <c r="F850" s="10"/>
      <c r="G850" s="10"/>
      <c r="H850" s="10"/>
      <c r="I850" s="9"/>
    </row>
    <row r="851" ht="14.25" customHeight="1">
      <c r="A851" s="10"/>
      <c r="B851" s="10"/>
      <c r="C851" s="10"/>
      <c r="D851" s="10"/>
      <c r="E851" s="10"/>
      <c r="F851" s="10"/>
      <c r="G851" s="10"/>
      <c r="H851" s="10"/>
      <c r="I851" s="9"/>
    </row>
    <row r="852" ht="14.25" customHeight="1">
      <c r="A852" s="10"/>
      <c r="B852" s="10"/>
      <c r="C852" s="10"/>
      <c r="D852" s="10"/>
      <c r="E852" s="10"/>
      <c r="F852" s="10"/>
      <c r="G852" s="10"/>
      <c r="H852" s="10"/>
      <c r="I852" s="9"/>
    </row>
    <row r="853" ht="14.25" customHeight="1">
      <c r="A853" s="10"/>
      <c r="B853" s="10"/>
      <c r="C853" s="10"/>
      <c r="D853" s="10"/>
      <c r="E853" s="10"/>
      <c r="F853" s="10"/>
      <c r="G853" s="10"/>
      <c r="H853" s="10"/>
      <c r="I853" s="9"/>
    </row>
    <row r="854" ht="14.25" customHeight="1">
      <c r="A854" s="10"/>
      <c r="B854" s="10"/>
      <c r="C854" s="10"/>
      <c r="D854" s="10"/>
      <c r="E854" s="10"/>
      <c r="F854" s="10"/>
      <c r="G854" s="10"/>
      <c r="H854" s="10"/>
      <c r="I854" s="9"/>
    </row>
    <row r="855" ht="14.25" customHeight="1">
      <c r="A855" s="10"/>
      <c r="B855" s="10"/>
      <c r="C855" s="10"/>
      <c r="D855" s="10"/>
      <c r="E855" s="10"/>
      <c r="F855" s="10"/>
      <c r="G855" s="10"/>
      <c r="H855" s="10"/>
      <c r="I855" s="9"/>
    </row>
    <row r="856" ht="14.25" customHeight="1">
      <c r="A856" s="10"/>
      <c r="B856" s="10"/>
      <c r="C856" s="10"/>
      <c r="D856" s="10"/>
      <c r="E856" s="10"/>
      <c r="F856" s="10"/>
      <c r="G856" s="10"/>
      <c r="H856" s="10"/>
      <c r="I856" s="9"/>
    </row>
    <row r="857" ht="14.25" customHeight="1">
      <c r="A857" s="10"/>
      <c r="B857" s="10"/>
      <c r="C857" s="10"/>
      <c r="D857" s="10"/>
      <c r="E857" s="10"/>
      <c r="F857" s="10"/>
      <c r="G857" s="10"/>
      <c r="H857" s="10"/>
      <c r="I857" s="9"/>
    </row>
    <row r="858" ht="14.25" customHeight="1">
      <c r="A858" s="10"/>
      <c r="B858" s="10"/>
      <c r="C858" s="10"/>
      <c r="D858" s="10"/>
      <c r="E858" s="10"/>
      <c r="F858" s="10"/>
      <c r="G858" s="10"/>
      <c r="H858" s="10"/>
      <c r="I858" s="9"/>
    </row>
    <row r="859" ht="14.25" customHeight="1">
      <c r="A859" s="10"/>
      <c r="B859" s="10"/>
      <c r="C859" s="10"/>
      <c r="D859" s="10"/>
      <c r="E859" s="10"/>
      <c r="F859" s="10"/>
      <c r="G859" s="10"/>
      <c r="H859" s="10"/>
      <c r="I859" s="9"/>
    </row>
    <row r="860" ht="14.25" customHeight="1">
      <c r="A860" s="10"/>
      <c r="B860" s="10"/>
      <c r="C860" s="10"/>
      <c r="D860" s="10"/>
      <c r="E860" s="10"/>
      <c r="F860" s="10"/>
      <c r="G860" s="10"/>
      <c r="H860" s="10"/>
      <c r="I860" s="9"/>
    </row>
    <row r="861" ht="14.25" customHeight="1">
      <c r="A861" s="10"/>
      <c r="B861" s="10"/>
      <c r="C861" s="10"/>
      <c r="D861" s="10"/>
      <c r="E861" s="10"/>
      <c r="F861" s="10"/>
      <c r="G861" s="10"/>
      <c r="H861" s="10"/>
      <c r="I861" s="9"/>
    </row>
    <row r="862" ht="14.25" customHeight="1">
      <c r="A862" s="10"/>
      <c r="B862" s="10"/>
      <c r="C862" s="10"/>
      <c r="D862" s="10"/>
      <c r="E862" s="10"/>
      <c r="F862" s="10"/>
      <c r="G862" s="10"/>
      <c r="H862" s="10"/>
      <c r="I862" s="9"/>
    </row>
    <row r="863" ht="14.25" customHeight="1">
      <c r="A863" s="10"/>
      <c r="B863" s="10"/>
      <c r="C863" s="10"/>
      <c r="D863" s="10"/>
      <c r="E863" s="10"/>
      <c r="F863" s="10"/>
      <c r="G863" s="10"/>
      <c r="H863" s="10"/>
      <c r="I863" s="9"/>
    </row>
    <row r="864" ht="14.25" customHeight="1">
      <c r="A864" s="10"/>
      <c r="B864" s="10"/>
      <c r="C864" s="10"/>
      <c r="D864" s="10"/>
      <c r="E864" s="10"/>
      <c r="F864" s="10"/>
      <c r="G864" s="10"/>
      <c r="H864" s="10"/>
      <c r="I864" s="9"/>
    </row>
    <row r="865" ht="14.25" customHeight="1">
      <c r="A865" s="10"/>
      <c r="B865" s="10"/>
      <c r="C865" s="10"/>
      <c r="D865" s="10"/>
      <c r="E865" s="10"/>
      <c r="F865" s="10"/>
      <c r="G865" s="10"/>
      <c r="H865" s="10"/>
      <c r="I865" s="9"/>
    </row>
    <row r="866" ht="14.25" customHeight="1">
      <c r="A866" s="10"/>
      <c r="B866" s="10"/>
      <c r="C866" s="10"/>
      <c r="D866" s="10"/>
      <c r="E866" s="10"/>
      <c r="F866" s="10"/>
      <c r="G866" s="10"/>
      <c r="H866" s="10"/>
      <c r="I866" s="9"/>
    </row>
    <row r="867" ht="14.25" customHeight="1">
      <c r="A867" s="10"/>
      <c r="B867" s="10"/>
      <c r="C867" s="10"/>
      <c r="D867" s="10"/>
      <c r="E867" s="10"/>
      <c r="F867" s="10"/>
      <c r="G867" s="10"/>
      <c r="H867" s="10"/>
      <c r="I867" s="9"/>
    </row>
    <row r="868" ht="14.25" customHeight="1">
      <c r="A868" s="10"/>
      <c r="B868" s="10"/>
      <c r="C868" s="10"/>
      <c r="D868" s="10"/>
      <c r="E868" s="10"/>
      <c r="F868" s="10"/>
      <c r="G868" s="10"/>
      <c r="H868" s="10"/>
      <c r="I868" s="9"/>
    </row>
    <row r="869" ht="14.25" customHeight="1">
      <c r="A869" s="10"/>
      <c r="B869" s="10"/>
      <c r="C869" s="10"/>
      <c r="D869" s="10"/>
      <c r="E869" s="10"/>
      <c r="F869" s="10"/>
      <c r="G869" s="10"/>
      <c r="H869" s="10"/>
      <c r="I869" s="9"/>
    </row>
    <row r="870" ht="14.25" customHeight="1">
      <c r="A870" s="10"/>
      <c r="B870" s="10"/>
      <c r="C870" s="10"/>
      <c r="D870" s="10"/>
      <c r="E870" s="10"/>
      <c r="F870" s="10"/>
      <c r="G870" s="10"/>
      <c r="H870" s="10"/>
      <c r="I870" s="9"/>
    </row>
    <row r="871" ht="14.25" customHeight="1">
      <c r="A871" s="10"/>
      <c r="B871" s="10"/>
      <c r="C871" s="10"/>
      <c r="D871" s="10"/>
      <c r="E871" s="10"/>
      <c r="F871" s="10"/>
      <c r="G871" s="10"/>
      <c r="H871" s="10"/>
      <c r="I871" s="9"/>
    </row>
    <row r="872" ht="14.25" customHeight="1">
      <c r="A872" s="10"/>
      <c r="B872" s="10"/>
      <c r="C872" s="10"/>
      <c r="D872" s="10"/>
      <c r="E872" s="10"/>
      <c r="F872" s="10"/>
      <c r="G872" s="10"/>
      <c r="H872" s="10"/>
      <c r="I872" s="9"/>
    </row>
    <row r="873" ht="14.25" customHeight="1">
      <c r="A873" s="10"/>
      <c r="B873" s="10"/>
      <c r="C873" s="10"/>
      <c r="D873" s="10"/>
      <c r="E873" s="10"/>
      <c r="F873" s="10"/>
      <c r="G873" s="10"/>
      <c r="H873" s="10"/>
      <c r="I873" s="9"/>
    </row>
    <row r="874" ht="14.25" customHeight="1">
      <c r="A874" s="10"/>
      <c r="B874" s="10"/>
      <c r="C874" s="10"/>
      <c r="D874" s="10"/>
      <c r="E874" s="10"/>
      <c r="F874" s="10"/>
      <c r="G874" s="10"/>
      <c r="H874" s="10"/>
      <c r="I874" s="9"/>
    </row>
    <row r="875" ht="14.25" customHeight="1">
      <c r="A875" s="10"/>
      <c r="B875" s="10"/>
      <c r="C875" s="10"/>
      <c r="D875" s="10"/>
      <c r="E875" s="10"/>
      <c r="F875" s="10"/>
      <c r="G875" s="10"/>
      <c r="H875" s="10"/>
      <c r="I875" s="9"/>
    </row>
    <row r="876" ht="14.25" customHeight="1">
      <c r="A876" s="10"/>
      <c r="B876" s="10"/>
      <c r="C876" s="10"/>
      <c r="D876" s="10"/>
      <c r="E876" s="10"/>
      <c r="F876" s="10"/>
      <c r="G876" s="10"/>
      <c r="H876" s="10"/>
      <c r="I876" s="9"/>
    </row>
    <row r="877" ht="14.25" customHeight="1">
      <c r="A877" s="10"/>
      <c r="B877" s="10"/>
      <c r="C877" s="10"/>
      <c r="D877" s="10"/>
      <c r="E877" s="10"/>
      <c r="F877" s="10"/>
      <c r="G877" s="10"/>
      <c r="H877" s="10"/>
      <c r="I877" s="9"/>
    </row>
    <row r="878" ht="14.25" customHeight="1">
      <c r="A878" s="10"/>
      <c r="B878" s="10"/>
      <c r="C878" s="10"/>
      <c r="D878" s="10"/>
      <c r="E878" s="10"/>
      <c r="F878" s="10"/>
      <c r="G878" s="10"/>
      <c r="H878" s="10"/>
      <c r="I878" s="9"/>
    </row>
    <row r="879" ht="14.25" customHeight="1">
      <c r="A879" s="10"/>
      <c r="B879" s="10"/>
      <c r="C879" s="10"/>
      <c r="D879" s="10"/>
      <c r="E879" s="10"/>
      <c r="F879" s="10"/>
      <c r="G879" s="10"/>
      <c r="H879" s="10"/>
      <c r="I879" s="9"/>
    </row>
    <row r="880" ht="14.25" customHeight="1">
      <c r="A880" s="10"/>
      <c r="B880" s="10"/>
      <c r="C880" s="10"/>
      <c r="D880" s="10"/>
      <c r="E880" s="10"/>
      <c r="F880" s="10"/>
      <c r="G880" s="10"/>
      <c r="H880" s="10"/>
      <c r="I880" s="9"/>
    </row>
    <row r="881" ht="14.25" customHeight="1">
      <c r="A881" s="10"/>
      <c r="B881" s="10"/>
      <c r="C881" s="10"/>
      <c r="D881" s="10"/>
      <c r="E881" s="10"/>
      <c r="F881" s="10"/>
      <c r="G881" s="10"/>
      <c r="H881" s="10"/>
      <c r="I881" s="9"/>
    </row>
    <row r="882" ht="14.25" customHeight="1">
      <c r="A882" s="10"/>
      <c r="B882" s="10"/>
      <c r="C882" s="10"/>
      <c r="D882" s="10"/>
      <c r="E882" s="10"/>
      <c r="F882" s="10"/>
      <c r="G882" s="10"/>
      <c r="H882" s="10"/>
      <c r="I882" s="9"/>
    </row>
    <row r="883" ht="14.25" customHeight="1">
      <c r="A883" s="10"/>
      <c r="B883" s="10"/>
      <c r="C883" s="10"/>
      <c r="D883" s="10"/>
      <c r="E883" s="10"/>
      <c r="F883" s="10"/>
      <c r="G883" s="10"/>
      <c r="H883" s="10"/>
      <c r="I883" s="9"/>
    </row>
    <row r="884" ht="14.25" customHeight="1">
      <c r="A884" s="10"/>
      <c r="B884" s="10"/>
      <c r="C884" s="10"/>
      <c r="D884" s="10"/>
      <c r="E884" s="10"/>
      <c r="F884" s="10"/>
      <c r="G884" s="10"/>
      <c r="H884" s="10"/>
      <c r="I884" s="9"/>
    </row>
    <row r="885" ht="14.25" customHeight="1">
      <c r="A885" s="10"/>
      <c r="B885" s="10"/>
      <c r="C885" s="10"/>
      <c r="D885" s="10"/>
      <c r="E885" s="10"/>
      <c r="F885" s="10"/>
      <c r="G885" s="10"/>
      <c r="H885" s="10"/>
      <c r="I885" s="9"/>
    </row>
    <row r="886" ht="14.25" customHeight="1">
      <c r="A886" s="10"/>
      <c r="B886" s="10"/>
      <c r="C886" s="10"/>
      <c r="D886" s="10"/>
      <c r="E886" s="10"/>
      <c r="F886" s="10"/>
      <c r="G886" s="10"/>
      <c r="H886" s="10"/>
      <c r="I886" s="9"/>
    </row>
    <row r="887" ht="14.25" customHeight="1">
      <c r="A887" s="10"/>
      <c r="B887" s="10"/>
      <c r="C887" s="10"/>
      <c r="D887" s="10"/>
      <c r="E887" s="10"/>
      <c r="F887" s="10"/>
      <c r="G887" s="10"/>
      <c r="H887" s="10"/>
      <c r="I887" s="9"/>
    </row>
    <row r="888" ht="14.25" customHeight="1">
      <c r="A888" s="10"/>
      <c r="B888" s="10"/>
      <c r="C888" s="10"/>
      <c r="D888" s="10"/>
      <c r="E888" s="10"/>
      <c r="F888" s="10"/>
      <c r="G888" s="10"/>
      <c r="H888" s="10"/>
      <c r="I888" s="9"/>
    </row>
    <row r="889" ht="14.25" customHeight="1">
      <c r="A889" s="10"/>
      <c r="B889" s="10"/>
      <c r="C889" s="10"/>
      <c r="D889" s="10"/>
      <c r="E889" s="10"/>
      <c r="F889" s="10"/>
      <c r="G889" s="10"/>
      <c r="H889" s="10"/>
      <c r="I889" s="9"/>
    </row>
    <row r="890" ht="14.25" customHeight="1">
      <c r="A890" s="10"/>
      <c r="B890" s="10"/>
      <c r="C890" s="10"/>
      <c r="D890" s="10"/>
      <c r="E890" s="10"/>
      <c r="F890" s="10"/>
      <c r="G890" s="10"/>
      <c r="H890" s="10"/>
      <c r="I890" s="9"/>
    </row>
    <row r="891" ht="14.25" customHeight="1">
      <c r="A891" s="10"/>
      <c r="B891" s="10"/>
      <c r="C891" s="10"/>
      <c r="D891" s="10"/>
      <c r="E891" s="10"/>
      <c r="F891" s="10"/>
      <c r="G891" s="10"/>
      <c r="H891" s="10"/>
      <c r="I891" s="9"/>
    </row>
    <row r="892" ht="14.25" customHeight="1">
      <c r="A892" s="10"/>
      <c r="B892" s="10"/>
      <c r="C892" s="10"/>
      <c r="D892" s="10"/>
      <c r="E892" s="10"/>
      <c r="F892" s="10"/>
      <c r="G892" s="10"/>
      <c r="H892" s="10"/>
      <c r="I892" s="9"/>
    </row>
    <row r="893" ht="14.25" customHeight="1">
      <c r="A893" s="10"/>
      <c r="B893" s="10"/>
      <c r="C893" s="10"/>
      <c r="D893" s="10"/>
      <c r="E893" s="10"/>
      <c r="F893" s="10"/>
      <c r="G893" s="10"/>
      <c r="H893" s="10"/>
      <c r="I893" s="9"/>
    </row>
    <row r="894" ht="14.25" customHeight="1">
      <c r="A894" s="10"/>
      <c r="B894" s="10"/>
      <c r="C894" s="10"/>
      <c r="D894" s="10"/>
      <c r="E894" s="10"/>
      <c r="F894" s="10"/>
      <c r="G894" s="10"/>
      <c r="H894" s="10"/>
      <c r="I894" s="9"/>
    </row>
    <row r="895" ht="14.25" customHeight="1">
      <c r="A895" s="10"/>
      <c r="B895" s="10"/>
      <c r="C895" s="10"/>
      <c r="D895" s="10"/>
      <c r="E895" s="10"/>
      <c r="F895" s="10"/>
      <c r="G895" s="10"/>
      <c r="H895" s="10"/>
      <c r="I895" s="9"/>
    </row>
    <row r="896" ht="14.25" customHeight="1">
      <c r="A896" s="10"/>
      <c r="B896" s="10"/>
      <c r="C896" s="10"/>
      <c r="D896" s="10"/>
      <c r="E896" s="10"/>
      <c r="F896" s="10"/>
      <c r="G896" s="10"/>
      <c r="H896" s="10"/>
      <c r="I896" s="9"/>
    </row>
    <row r="897" ht="14.25" customHeight="1">
      <c r="A897" s="10"/>
      <c r="B897" s="10"/>
      <c r="C897" s="10"/>
      <c r="D897" s="10"/>
      <c r="E897" s="10"/>
      <c r="F897" s="10"/>
      <c r="G897" s="10"/>
      <c r="H897" s="10"/>
      <c r="I897" s="9"/>
    </row>
    <row r="898" ht="14.25" customHeight="1">
      <c r="A898" s="10"/>
      <c r="B898" s="10"/>
      <c r="C898" s="10"/>
      <c r="D898" s="10"/>
      <c r="E898" s="10"/>
      <c r="F898" s="10"/>
      <c r="G898" s="10"/>
      <c r="H898" s="10"/>
      <c r="I898" s="9"/>
    </row>
    <row r="899" ht="14.25" customHeight="1">
      <c r="A899" s="10"/>
      <c r="B899" s="10"/>
      <c r="C899" s="10"/>
      <c r="D899" s="10"/>
      <c r="E899" s="10"/>
      <c r="F899" s="10"/>
      <c r="G899" s="10"/>
      <c r="H899" s="10"/>
      <c r="I899" s="9"/>
    </row>
    <row r="900" ht="14.25" customHeight="1">
      <c r="A900" s="10"/>
      <c r="B900" s="10"/>
      <c r="C900" s="10"/>
      <c r="D900" s="10"/>
      <c r="E900" s="10"/>
      <c r="F900" s="10"/>
      <c r="G900" s="10"/>
      <c r="H900" s="10"/>
      <c r="I900" s="9"/>
    </row>
    <row r="901" ht="14.25" customHeight="1">
      <c r="A901" s="10"/>
      <c r="B901" s="10"/>
      <c r="C901" s="10"/>
      <c r="D901" s="10"/>
      <c r="E901" s="10"/>
      <c r="F901" s="10"/>
      <c r="G901" s="10"/>
      <c r="H901" s="10"/>
      <c r="I901" s="9"/>
    </row>
    <row r="902" ht="14.25" customHeight="1">
      <c r="A902" s="10"/>
      <c r="B902" s="10"/>
      <c r="C902" s="10"/>
      <c r="D902" s="10"/>
      <c r="E902" s="10"/>
      <c r="F902" s="10"/>
      <c r="G902" s="10"/>
      <c r="H902" s="10"/>
      <c r="I902" s="9"/>
    </row>
    <row r="903" ht="14.25" customHeight="1">
      <c r="A903" s="10"/>
      <c r="B903" s="10"/>
      <c r="C903" s="10"/>
      <c r="D903" s="10"/>
      <c r="E903" s="10"/>
      <c r="F903" s="10"/>
      <c r="G903" s="10"/>
      <c r="H903" s="10"/>
      <c r="I903" s="9"/>
    </row>
    <row r="904" ht="14.25" customHeight="1">
      <c r="A904" s="10"/>
      <c r="B904" s="10"/>
      <c r="C904" s="10"/>
      <c r="D904" s="10"/>
      <c r="E904" s="10"/>
      <c r="F904" s="10"/>
      <c r="G904" s="10"/>
      <c r="H904" s="10"/>
      <c r="I904" s="9"/>
    </row>
    <row r="905" ht="14.25" customHeight="1">
      <c r="A905" s="10"/>
      <c r="B905" s="10"/>
      <c r="C905" s="10"/>
      <c r="D905" s="10"/>
      <c r="E905" s="10"/>
      <c r="F905" s="10"/>
      <c r="G905" s="10"/>
      <c r="H905" s="10"/>
      <c r="I905" s="9"/>
    </row>
    <row r="906" ht="14.25" customHeight="1">
      <c r="A906" s="10"/>
      <c r="B906" s="10"/>
      <c r="C906" s="10"/>
      <c r="D906" s="10"/>
      <c r="E906" s="10"/>
      <c r="F906" s="10"/>
      <c r="G906" s="10"/>
      <c r="H906" s="10"/>
      <c r="I906" s="9"/>
    </row>
    <row r="907" ht="14.25" customHeight="1">
      <c r="A907" s="10"/>
      <c r="B907" s="10"/>
      <c r="C907" s="10"/>
      <c r="D907" s="10"/>
      <c r="E907" s="10"/>
      <c r="F907" s="10"/>
      <c r="G907" s="10"/>
      <c r="H907" s="10"/>
      <c r="I907" s="9"/>
    </row>
    <row r="908" ht="14.25" customHeight="1">
      <c r="A908" s="10"/>
      <c r="B908" s="10"/>
      <c r="C908" s="10"/>
      <c r="D908" s="10"/>
      <c r="E908" s="10"/>
      <c r="F908" s="10"/>
      <c r="G908" s="10"/>
      <c r="H908" s="10"/>
      <c r="I908" s="9"/>
    </row>
    <row r="909" ht="14.25" customHeight="1">
      <c r="A909" s="10"/>
      <c r="B909" s="10"/>
      <c r="C909" s="10"/>
      <c r="D909" s="10"/>
      <c r="E909" s="10"/>
      <c r="F909" s="10"/>
      <c r="G909" s="10"/>
      <c r="H909" s="10"/>
      <c r="I909" s="9"/>
    </row>
    <row r="910" ht="14.25" customHeight="1">
      <c r="A910" s="10"/>
      <c r="B910" s="10"/>
      <c r="C910" s="10"/>
      <c r="D910" s="10"/>
      <c r="E910" s="10"/>
      <c r="F910" s="10"/>
      <c r="G910" s="10"/>
      <c r="H910" s="10"/>
      <c r="I910" s="9"/>
    </row>
    <row r="911" ht="14.25" customHeight="1">
      <c r="A911" s="10"/>
      <c r="B911" s="10"/>
      <c r="C911" s="10"/>
      <c r="D911" s="10"/>
      <c r="E911" s="10"/>
      <c r="F911" s="10"/>
      <c r="G911" s="10"/>
      <c r="H911" s="10"/>
      <c r="I911" s="9"/>
    </row>
    <row r="912" ht="14.25" customHeight="1">
      <c r="A912" s="10"/>
      <c r="B912" s="10"/>
      <c r="C912" s="10"/>
      <c r="D912" s="10"/>
      <c r="E912" s="10"/>
      <c r="F912" s="10"/>
      <c r="G912" s="10"/>
      <c r="H912" s="10"/>
      <c r="I912" s="9"/>
    </row>
    <row r="913" ht="14.25" customHeight="1">
      <c r="A913" s="10"/>
      <c r="B913" s="10"/>
      <c r="C913" s="10"/>
      <c r="D913" s="10"/>
      <c r="E913" s="10"/>
      <c r="F913" s="10"/>
      <c r="G913" s="10"/>
      <c r="H913" s="10"/>
      <c r="I913" s="9"/>
    </row>
    <row r="914" ht="14.25" customHeight="1">
      <c r="A914" s="10"/>
      <c r="B914" s="10"/>
      <c r="C914" s="10"/>
      <c r="D914" s="10"/>
      <c r="E914" s="10"/>
      <c r="F914" s="10"/>
      <c r="G914" s="10"/>
      <c r="H914" s="10"/>
      <c r="I914" s="9"/>
    </row>
    <row r="915" ht="14.25" customHeight="1">
      <c r="A915" s="10"/>
      <c r="B915" s="10"/>
      <c r="C915" s="10"/>
      <c r="D915" s="10"/>
      <c r="E915" s="10"/>
      <c r="F915" s="10"/>
      <c r="G915" s="10"/>
      <c r="H915" s="10"/>
      <c r="I915" s="9"/>
    </row>
    <row r="916" ht="14.25" customHeight="1">
      <c r="A916" s="10"/>
      <c r="B916" s="10"/>
      <c r="C916" s="10"/>
      <c r="D916" s="10"/>
      <c r="E916" s="10"/>
      <c r="F916" s="10"/>
      <c r="G916" s="10"/>
      <c r="H916" s="10"/>
      <c r="I916" s="9"/>
    </row>
    <row r="917" ht="14.25" customHeight="1">
      <c r="A917" s="10"/>
      <c r="B917" s="10"/>
      <c r="C917" s="10"/>
      <c r="D917" s="10"/>
      <c r="E917" s="10"/>
      <c r="F917" s="10"/>
      <c r="G917" s="10"/>
      <c r="H917" s="10"/>
      <c r="I917" s="9"/>
    </row>
    <row r="918" ht="14.25" customHeight="1">
      <c r="A918" s="10"/>
      <c r="B918" s="10"/>
      <c r="C918" s="10"/>
      <c r="D918" s="10"/>
      <c r="E918" s="10"/>
      <c r="F918" s="10"/>
      <c r="G918" s="10"/>
      <c r="H918" s="10"/>
      <c r="I918" s="9"/>
    </row>
    <row r="919" ht="14.25" customHeight="1">
      <c r="A919" s="10"/>
      <c r="B919" s="10"/>
      <c r="C919" s="10"/>
      <c r="D919" s="10"/>
      <c r="E919" s="10"/>
      <c r="F919" s="10"/>
      <c r="G919" s="10"/>
      <c r="H919" s="10"/>
      <c r="I919" s="9"/>
    </row>
    <row r="920" ht="14.25" customHeight="1">
      <c r="A920" s="10"/>
      <c r="B920" s="10"/>
      <c r="C920" s="10"/>
      <c r="D920" s="10"/>
      <c r="E920" s="10"/>
      <c r="F920" s="10"/>
      <c r="G920" s="10"/>
      <c r="H920" s="10"/>
      <c r="I920" s="9"/>
    </row>
    <row r="921" ht="14.25" customHeight="1">
      <c r="A921" s="10"/>
      <c r="B921" s="10"/>
      <c r="C921" s="10"/>
      <c r="D921" s="10"/>
      <c r="E921" s="10"/>
      <c r="F921" s="10"/>
      <c r="G921" s="10"/>
      <c r="H921" s="10"/>
      <c r="I921" s="9"/>
    </row>
    <row r="922" ht="14.25" customHeight="1">
      <c r="A922" s="10"/>
      <c r="B922" s="10"/>
      <c r="C922" s="10"/>
      <c r="D922" s="10"/>
      <c r="E922" s="10"/>
      <c r="F922" s="10"/>
      <c r="G922" s="10"/>
      <c r="H922" s="10"/>
      <c r="I922" s="9"/>
    </row>
    <row r="923" ht="14.25" customHeight="1">
      <c r="A923" s="10"/>
      <c r="B923" s="10"/>
      <c r="C923" s="10"/>
      <c r="D923" s="10"/>
      <c r="E923" s="10"/>
      <c r="F923" s="10"/>
      <c r="G923" s="10"/>
      <c r="H923" s="10"/>
      <c r="I923" s="9"/>
    </row>
    <row r="924" ht="14.25" customHeight="1">
      <c r="A924" s="10"/>
      <c r="B924" s="10"/>
      <c r="C924" s="10"/>
      <c r="D924" s="10"/>
      <c r="E924" s="10"/>
      <c r="F924" s="10"/>
      <c r="G924" s="10"/>
      <c r="H924" s="10"/>
      <c r="I924" s="9"/>
    </row>
    <row r="925" ht="14.25" customHeight="1">
      <c r="A925" s="10"/>
      <c r="B925" s="10"/>
      <c r="C925" s="10"/>
      <c r="D925" s="10"/>
      <c r="E925" s="10"/>
      <c r="F925" s="10"/>
      <c r="G925" s="10"/>
      <c r="H925" s="10"/>
      <c r="I925" s="9"/>
    </row>
    <row r="926" ht="14.25" customHeight="1">
      <c r="A926" s="10"/>
      <c r="B926" s="10"/>
      <c r="C926" s="10"/>
      <c r="D926" s="10"/>
      <c r="E926" s="10"/>
      <c r="F926" s="10"/>
      <c r="G926" s="10"/>
      <c r="H926" s="10"/>
      <c r="I926" s="9"/>
    </row>
    <row r="927" ht="14.25" customHeight="1">
      <c r="A927" s="10"/>
      <c r="B927" s="10"/>
      <c r="C927" s="10"/>
      <c r="D927" s="10"/>
      <c r="E927" s="10"/>
      <c r="F927" s="10"/>
      <c r="G927" s="10"/>
      <c r="H927" s="10"/>
      <c r="I927" s="9"/>
    </row>
    <row r="928" ht="14.25" customHeight="1">
      <c r="A928" s="10"/>
      <c r="B928" s="10"/>
      <c r="C928" s="10"/>
      <c r="D928" s="10"/>
      <c r="E928" s="10"/>
      <c r="F928" s="10"/>
      <c r="G928" s="10"/>
      <c r="H928" s="10"/>
      <c r="I928" s="9"/>
    </row>
    <row r="929" ht="14.25" customHeight="1">
      <c r="A929" s="10"/>
      <c r="B929" s="10"/>
      <c r="C929" s="10"/>
      <c r="D929" s="10"/>
      <c r="E929" s="10"/>
      <c r="F929" s="10"/>
      <c r="G929" s="10"/>
      <c r="H929" s="10"/>
      <c r="I929" s="9"/>
    </row>
    <row r="930" ht="14.25" customHeight="1">
      <c r="A930" s="10"/>
      <c r="B930" s="10"/>
      <c r="C930" s="10"/>
      <c r="D930" s="10"/>
      <c r="E930" s="10"/>
      <c r="F930" s="10"/>
      <c r="G930" s="10"/>
      <c r="H930" s="10"/>
      <c r="I930" s="9"/>
    </row>
    <row r="931" ht="14.25" customHeight="1">
      <c r="A931" s="10"/>
      <c r="B931" s="10"/>
      <c r="C931" s="10"/>
      <c r="D931" s="10"/>
      <c r="E931" s="10"/>
      <c r="F931" s="10"/>
      <c r="G931" s="10"/>
      <c r="H931" s="10"/>
      <c r="I931" s="9"/>
    </row>
    <row r="932" ht="14.25" customHeight="1">
      <c r="A932" s="10"/>
      <c r="B932" s="10"/>
      <c r="C932" s="10"/>
      <c r="D932" s="10"/>
      <c r="E932" s="10"/>
      <c r="F932" s="10"/>
      <c r="G932" s="10"/>
      <c r="H932" s="10"/>
      <c r="I932" s="9"/>
    </row>
    <row r="933" ht="14.25" customHeight="1">
      <c r="A933" s="10"/>
      <c r="B933" s="10"/>
      <c r="C933" s="10"/>
      <c r="D933" s="10"/>
      <c r="E933" s="10"/>
      <c r="F933" s="10"/>
      <c r="G933" s="10"/>
      <c r="H933" s="10"/>
      <c r="I933" s="9"/>
    </row>
    <row r="934" ht="14.25" customHeight="1">
      <c r="A934" s="10"/>
      <c r="B934" s="10"/>
      <c r="C934" s="10"/>
      <c r="D934" s="10"/>
      <c r="E934" s="10"/>
      <c r="F934" s="10"/>
      <c r="G934" s="10"/>
      <c r="H934" s="10"/>
      <c r="I934" s="9"/>
    </row>
    <row r="935" ht="14.25" customHeight="1">
      <c r="A935" s="10"/>
      <c r="B935" s="10"/>
      <c r="C935" s="10"/>
      <c r="D935" s="10"/>
      <c r="E935" s="10"/>
      <c r="F935" s="10"/>
      <c r="G935" s="10"/>
      <c r="H935" s="10"/>
      <c r="I935" s="9"/>
    </row>
    <row r="936" ht="14.25" customHeight="1">
      <c r="A936" s="10"/>
      <c r="B936" s="10"/>
      <c r="C936" s="10"/>
      <c r="D936" s="10"/>
      <c r="E936" s="10"/>
      <c r="F936" s="10"/>
      <c r="G936" s="10"/>
      <c r="H936" s="10"/>
      <c r="I936" s="9"/>
    </row>
    <row r="937" ht="14.25" customHeight="1">
      <c r="A937" s="10"/>
      <c r="B937" s="10"/>
      <c r="C937" s="10"/>
      <c r="D937" s="10"/>
      <c r="E937" s="10"/>
      <c r="F937" s="10"/>
      <c r="G937" s="10"/>
      <c r="H937" s="10"/>
      <c r="I937" s="9"/>
    </row>
    <row r="938" ht="14.25" customHeight="1">
      <c r="A938" s="10"/>
      <c r="B938" s="10"/>
      <c r="C938" s="10"/>
      <c r="D938" s="10"/>
      <c r="E938" s="10"/>
      <c r="F938" s="10"/>
      <c r="G938" s="10"/>
      <c r="H938" s="10"/>
      <c r="I938" s="9"/>
    </row>
    <row r="939" ht="14.25" customHeight="1">
      <c r="A939" s="10"/>
      <c r="B939" s="10"/>
      <c r="C939" s="10"/>
      <c r="D939" s="10"/>
      <c r="E939" s="10"/>
      <c r="F939" s="10"/>
      <c r="G939" s="10"/>
      <c r="H939" s="10"/>
      <c r="I939" s="9"/>
    </row>
    <row r="940" ht="14.25" customHeight="1">
      <c r="A940" s="10"/>
      <c r="B940" s="10"/>
      <c r="C940" s="10"/>
      <c r="D940" s="10"/>
      <c r="E940" s="10"/>
      <c r="F940" s="10"/>
      <c r="G940" s="10"/>
      <c r="H940" s="10"/>
      <c r="I940" s="9"/>
    </row>
    <row r="941" ht="14.25" customHeight="1">
      <c r="A941" s="10"/>
      <c r="B941" s="10"/>
      <c r="C941" s="10"/>
      <c r="D941" s="10"/>
      <c r="E941" s="10"/>
      <c r="F941" s="10"/>
      <c r="G941" s="10"/>
      <c r="H941" s="10"/>
      <c r="I941" s="9"/>
    </row>
    <row r="942" ht="14.25" customHeight="1">
      <c r="A942" s="10"/>
      <c r="B942" s="10"/>
      <c r="C942" s="10"/>
      <c r="D942" s="10"/>
      <c r="E942" s="10"/>
      <c r="F942" s="10"/>
      <c r="G942" s="10"/>
      <c r="H942" s="10"/>
      <c r="I942" s="9"/>
    </row>
    <row r="943" ht="14.25" customHeight="1">
      <c r="A943" s="10"/>
      <c r="B943" s="10"/>
      <c r="C943" s="10"/>
      <c r="D943" s="10"/>
      <c r="E943" s="10"/>
      <c r="F943" s="10"/>
      <c r="G943" s="10"/>
      <c r="H943" s="10"/>
      <c r="I943" s="9"/>
    </row>
    <row r="944" ht="14.25" customHeight="1">
      <c r="A944" s="10"/>
      <c r="B944" s="10"/>
      <c r="C944" s="10"/>
      <c r="D944" s="10"/>
      <c r="E944" s="10"/>
      <c r="F944" s="10"/>
      <c r="G944" s="10"/>
      <c r="H944" s="10"/>
      <c r="I944" s="9"/>
    </row>
    <row r="945" ht="14.25" customHeight="1">
      <c r="A945" s="10"/>
      <c r="B945" s="10"/>
      <c r="C945" s="10"/>
      <c r="D945" s="10"/>
      <c r="E945" s="10"/>
      <c r="F945" s="10"/>
      <c r="G945" s="10"/>
      <c r="H945" s="10"/>
      <c r="I945" s="9"/>
    </row>
    <row r="946" ht="14.25" customHeight="1">
      <c r="A946" s="10"/>
      <c r="B946" s="10"/>
      <c r="C946" s="10"/>
      <c r="D946" s="10"/>
      <c r="E946" s="10"/>
      <c r="F946" s="10"/>
      <c r="G946" s="10"/>
      <c r="H946" s="10"/>
      <c r="I946" s="9"/>
    </row>
    <row r="947" ht="14.25" customHeight="1">
      <c r="A947" s="10"/>
      <c r="B947" s="10"/>
      <c r="C947" s="10"/>
      <c r="D947" s="10"/>
      <c r="E947" s="10"/>
      <c r="F947" s="10"/>
      <c r="G947" s="10"/>
      <c r="H947" s="10"/>
      <c r="I947" s="9"/>
    </row>
    <row r="948" ht="14.25" customHeight="1">
      <c r="A948" s="10"/>
      <c r="B948" s="10"/>
      <c r="C948" s="10"/>
      <c r="D948" s="10"/>
      <c r="E948" s="10"/>
      <c r="F948" s="10"/>
      <c r="G948" s="10"/>
      <c r="H948" s="10"/>
      <c r="I948" s="9"/>
    </row>
    <row r="949" ht="14.25" customHeight="1">
      <c r="A949" s="10"/>
      <c r="B949" s="10"/>
      <c r="C949" s="10"/>
      <c r="D949" s="10"/>
      <c r="E949" s="10"/>
      <c r="F949" s="10"/>
      <c r="G949" s="10"/>
      <c r="H949" s="10"/>
      <c r="I949" s="9"/>
    </row>
    <row r="950" ht="14.25" customHeight="1">
      <c r="A950" s="10"/>
      <c r="B950" s="10"/>
      <c r="C950" s="10"/>
      <c r="D950" s="10"/>
      <c r="E950" s="10"/>
      <c r="F950" s="10"/>
      <c r="G950" s="10"/>
      <c r="H950" s="10"/>
      <c r="I950" s="9"/>
    </row>
    <row r="951" ht="14.25" customHeight="1">
      <c r="A951" s="10"/>
      <c r="B951" s="10"/>
      <c r="C951" s="10"/>
      <c r="D951" s="10"/>
      <c r="E951" s="10"/>
      <c r="F951" s="10"/>
      <c r="G951" s="10"/>
      <c r="H951" s="10"/>
      <c r="I951" s="9"/>
    </row>
    <row r="952" ht="14.25" customHeight="1">
      <c r="A952" s="10"/>
      <c r="B952" s="10"/>
      <c r="C952" s="10"/>
      <c r="D952" s="10"/>
      <c r="E952" s="10"/>
      <c r="F952" s="10"/>
      <c r="G952" s="10"/>
      <c r="H952" s="10"/>
      <c r="I952" s="9"/>
    </row>
    <row r="953" ht="14.25" customHeight="1">
      <c r="A953" s="10"/>
      <c r="B953" s="10"/>
      <c r="C953" s="10"/>
      <c r="D953" s="10"/>
      <c r="E953" s="10"/>
      <c r="F953" s="10"/>
      <c r="G953" s="10"/>
      <c r="H953" s="10"/>
      <c r="I953" s="9"/>
    </row>
    <row r="954" ht="14.25" customHeight="1">
      <c r="A954" s="10"/>
      <c r="B954" s="10"/>
      <c r="C954" s="10"/>
      <c r="D954" s="10"/>
      <c r="E954" s="10"/>
      <c r="F954" s="10"/>
      <c r="G954" s="10"/>
      <c r="H954" s="10"/>
      <c r="I954" s="9"/>
    </row>
    <row r="955" ht="14.25" customHeight="1">
      <c r="A955" s="10"/>
      <c r="B955" s="10"/>
      <c r="C955" s="10"/>
      <c r="D955" s="10"/>
      <c r="E955" s="10"/>
      <c r="F955" s="10"/>
      <c r="G955" s="10"/>
      <c r="H955" s="10"/>
      <c r="I955" s="9"/>
    </row>
    <row r="956" ht="14.25" customHeight="1">
      <c r="A956" s="10"/>
      <c r="B956" s="10"/>
      <c r="C956" s="10"/>
      <c r="D956" s="10"/>
      <c r="E956" s="10"/>
      <c r="F956" s="10"/>
      <c r="G956" s="10"/>
      <c r="H956" s="10"/>
      <c r="I956" s="9"/>
    </row>
    <row r="957" ht="14.25" customHeight="1">
      <c r="A957" s="10"/>
      <c r="B957" s="10"/>
      <c r="C957" s="10"/>
      <c r="D957" s="10"/>
      <c r="E957" s="10"/>
      <c r="F957" s="10"/>
      <c r="G957" s="10"/>
      <c r="H957" s="10"/>
      <c r="I957" s="9"/>
    </row>
    <row r="958" ht="14.25" customHeight="1">
      <c r="A958" s="10"/>
      <c r="B958" s="10"/>
      <c r="C958" s="10"/>
      <c r="D958" s="10"/>
      <c r="E958" s="10"/>
      <c r="F958" s="10"/>
      <c r="G958" s="10"/>
      <c r="H958" s="10"/>
      <c r="I958" s="9"/>
    </row>
    <row r="959" ht="14.25" customHeight="1">
      <c r="A959" s="10"/>
      <c r="B959" s="10"/>
      <c r="C959" s="10"/>
      <c r="D959" s="10"/>
      <c r="E959" s="10"/>
      <c r="F959" s="10"/>
      <c r="G959" s="10"/>
      <c r="H959" s="10"/>
      <c r="I959" s="9"/>
    </row>
    <row r="960" ht="14.25" customHeight="1">
      <c r="A960" s="10"/>
      <c r="B960" s="10"/>
      <c r="C960" s="10"/>
      <c r="D960" s="10"/>
      <c r="E960" s="10"/>
      <c r="F960" s="10"/>
      <c r="G960" s="10"/>
      <c r="H960" s="10"/>
      <c r="I960" s="9"/>
    </row>
    <row r="961" ht="14.25" customHeight="1">
      <c r="A961" s="10"/>
      <c r="B961" s="10"/>
      <c r="C961" s="10"/>
      <c r="D961" s="10"/>
      <c r="E961" s="10"/>
      <c r="F961" s="10"/>
      <c r="G961" s="10"/>
      <c r="H961" s="10"/>
      <c r="I961" s="9"/>
    </row>
    <row r="962" ht="14.25" customHeight="1">
      <c r="A962" s="10"/>
      <c r="B962" s="10"/>
      <c r="C962" s="10"/>
      <c r="D962" s="10"/>
      <c r="E962" s="10"/>
      <c r="F962" s="10"/>
      <c r="G962" s="10"/>
      <c r="H962" s="10"/>
      <c r="I962" s="9"/>
    </row>
    <row r="963" ht="14.25" customHeight="1">
      <c r="A963" s="10"/>
      <c r="B963" s="10"/>
      <c r="C963" s="10"/>
      <c r="D963" s="10"/>
      <c r="E963" s="10"/>
      <c r="F963" s="10"/>
      <c r="G963" s="10"/>
      <c r="H963" s="10"/>
      <c r="I963" s="9"/>
    </row>
    <row r="964" ht="14.25" customHeight="1">
      <c r="A964" s="10"/>
      <c r="B964" s="10"/>
      <c r="C964" s="10"/>
      <c r="D964" s="10"/>
      <c r="E964" s="10"/>
      <c r="F964" s="10"/>
      <c r="G964" s="10"/>
      <c r="H964" s="10"/>
      <c r="I964" s="9"/>
    </row>
    <row r="965" ht="14.25" customHeight="1">
      <c r="A965" s="10"/>
      <c r="B965" s="10"/>
      <c r="C965" s="10"/>
      <c r="D965" s="10"/>
      <c r="E965" s="10"/>
      <c r="F965" s="10"/>
      <c r="G965" s="10"/>
      <c r="H965" s="10"/>
      <c r="I965" s="9"/>
    </row>
    <row r="966" ht="14.25" customHeight="1">
      <c r="A966" s="10"/>
      <c r="B966" s="10"/>
      <c r="C966" s="10"/>
      <c r="D966" s="10"/>
      <c r="E966" s="10"/>
      <c r="F966" s="10"/>
      <c r="G966" s="10"/>
      <c r="H966" s="10"/>
      <c r="I966" s="9"/>
    </row>
    <row r="967" ht="14.25" customHeight="1">
      <c r="A967" s="10"/>
      <c r="B967" s="10"/>
      <c r="C967" s="10"/>
      <c r="D967" s="10"/>
      <c r="E967" s="10"/>
      <c r="F967" s="10"/>
      <c r="G967" s="10"/>
      <c r="H967" s="10"/>
      <c r="I967" s="9"/>
    </row>
    <row r="968" ht="14.25" customHeight="1">
      <c r="A968" s="10"/>
      <c r="B968" s="10"/>
      <c r="C968" s="10"/>
      <c r="D968" s="10"/>
      <c r="E968" s="10"/>
      <c r="F968" s="10"/>
      <c r="G968" s="10"/>
      <c r="H968" s="10"/>
      <c r="I968" s="9"/>
    </row>
    <row r="969" ht="14.25" customHeight="1">
      <c r="A969" s="10"/>
      <c r="B969" s="10"/>
      <c r="C969" s="10"/>
      <c r="D969" s="10"/>
      <c r="E969" s="10"/>
      <c r="F969" s="10"/>
      <c r="G969" s="10"/>
      <c r="H969" s="10"/>
      <c r="I969" s="9"/>
    </row>
    <row r="970" ht="14.25" customHeight="1">
      <c r="A970" s="10"/>
      <c r="B970" s="10"/>
      <c r="C970" s="10"/>
      <c r="D970" s="10"/>
      <c r="E970" s="10"/>
      <c r="F970" s="10"/>
      <c r="G970" s="10"/>
      <c r="H970" s="10"/>
      <c r="I970" s="9"/>
    </row>
    <row r="971" ht="14.25" customHeight="1">
      <c r="A971" s="10"/>
      <c r="B971" s="10"/>
      <c r="C971" s="10"/>
      <c r="D971" s="10"/>
      <c r="E971" s="10"/>
      <c r="F971" s="10"/>
      <c r="G971" s="10"/>
      <c r="H971" s="10"/>
      <c r="I971" s="9"/>
    </row>
    <row r="972" ht="14.25" customHeight="1">
      <c r="A972" s="10"/>
      <c r="B972" s="10"/>
      <c r="C972" s="10"/>
      <c r="D972" s="10"/>
      <c r="E972" s="10"/>
      <c r="F972" s="10"/>
      <c r="G972" s="10"/>
      <c r="H972" s="10"/>
      <c r="I972" s="9"/>
    </row>
    <row r="973" ht="14.25" customHeight="1">
      <c r="A973" s="10"/>
      <c r="B973" s="10"/>
      <c r="C973" s="10"/>
      <c r="D973" s="10"/>
      <c r="E973" s="10"/>
      <c r="F973" s="10"/>
      <c r="G973" s="10"/>
      <c r="H973" s="10"/>
      <c r="I973" s="9"/>
    </row>
    <row r="974" ht="14.25" customHeight="1">
      <c r="A974" s="10"/>
      <c r="B974" s="10"/>
      <c r="C974" s="10"/>
      <c r="D974" s="10"/>
      <c r="E974" s="10"/>
      <c r="F974" s="10"/>
      <c r="G974" s="10"/>
      <c r="H974" s="10"/>
      <c r="I974" s="9"/>
    </row>
    <row r="975" ht="14.25" customHeight="1">
      <c r="A975" s="10"/>
      <c r="B975" s="10"/>
      <c r="C975" s="10"/>
      <c r="D975" s="10"/>
      <c r="E975" s="10"/>
      <c r="F975" s="10"/>
      <c r="G975" s="10"/>
      <c r="H975" s="10"/>
      <c r="I975" s="9"/>
    </row>
    <row r="976" ht="14.25" customHeight="1">
      <c r="A976" s="10"/>
      <c r="B976" s="10"/>
      <c r="C976" s="10"/>
      <c r="D976" s="10"/>
      <c r="E976" s="10"/>
      <c r="F976" s="10"/>
      <c r="G976" s="10"/>
      <c r="H976" s="10"/>
      <c r="I976" s="9"/>
    </row>
    <row r="977" ht="14.25" customHeight="1">
      <c r="A977" s="10"/>
      <c r="B977" s="10"/>
      <c r="C977" s="10"/>
      <c r="D977" s="10"/>
      <c r="E977" s="10"/>
      <c r="F977" s="10"/>
      <c r="G977" s="10"/>
      <c r="H977" s="10"/>
      <c r="I977" s="9"/>
    </row>
    <row r="978" ht="14.25" customHeight="1">
      <c r="A978" s="10"/>
      <c r="B978" s="10"/>
      <c r="C978" s="10"/>
      <c r="D978" s="10"/>
      <c r="E978" s="10"/>
      <c r="F978" s="10"/>
      <c r="G978" s="10"/>
      <c r="H978" s="10"/>
      <c r="I978" s="9"/>
    </row>
    <row r="979" ht="14.25" customHeight="1">
      <c r="A979" s="10"/>
      <c r="B979" s="10"/>
      <c r="C979" s="10"/>
      <c r="D979" s="10"/>
      <c r="E979" s="10"/>
      <c r="F979" s="10"/>
      <c r="G979" s="10"/>
      <c r="H979" s="10"/>
      <c r="I979" s="9"/>
    </row>
    <row r="980" ht="14.25" customHeight="1">
      <c r="A980" s="10"/>
      <c r="B980" s="10"/>
      <c r="C980" s="10"/>
      <c r="D980" s="10"/>
      <c r="E980" s="10"/>
      <c r="F980" s="10"/>
      <c r="G980" s="10"/>
      <c r="H980" s="10"/>
      <c r="I980" s="9"/>
    </row>
    <row r="981" ht="14.25" customHeight="1">
      <c r="A981" s="10"/>
      <c r="B981" s="10"/>
      <c r="C981" s="10"/>
      <c r="D981" s="10"/>
      <c r="E981" s="10"/>
      <c r="F981" s="10"/>
      <c r="G981" s="10"/>
      <c r="H981" s="10"/>
      <c r="I981" s="9"/>
    </row>
    <row r="982" ht="14.25" customHeight="1">
      <c r="A982" s="10"/>
      <c r="B982" s="10"/>
      <c r="C982" s="10"/>
      <c r="D982" s="10"/>
      <c r="E982" s="10"/>
      <c r="F982" s="10"/>
      <c r="G982" s="10"/>
      <c r="H982" s="10"/>
      <c r="I982" s="9"/>
    </row>
    <row r="983" ht="14.25" customHeight="1">
      <c r="A983" s="10"/>
      <c r="B983" s="10"/>
      <c r="C983" s="10"/>
      <c r="D983" s="10"/>
      <c r="E983" s="10"/>
      <c r="F983" s="10"/>
      <c r="G983" s="10"/>
      <c r="H983" s="10"/>
      <c r="I983" s="9"/>
    </row>
    <row r="984" ht="14.25" customHeight="1">
      <c r="A984" s="10"/>
      <c r="B984" s="10"/>
      <c r="C984" s="10"/>
      <c r="D984" s="10"/>
      <c r="E984" s="10"/>
      <c r="F984" s="10"/>
      <c r="G984" s="10"/>
      <c r="H984" s="10"/>
      <c r="I984" s="9"/>
    </row>
    <row r="985" ht="14.25" customHeight="1">
      <c r="A985" s="10"/>
      <c r="B985" s="10"/>
      <c r="C985" s="10"/>
      <c r="D985" s="10"/>
      <c r="E985" s="10"/>
      <c r="F985" s="10"/>
      <c r="G985" s="10"/>
      <c r="H985" s="10"/>
      <c r="I985" s="9"/>
    </row>
    <row r="986" ht="14.25" customHeight="1">
      <c r="A986" s="10"/>
      <c r="B986" s="10"/>
      <c r="C986" s="10"/>
      <c r="D986" s="10"/>
      <c r="E986" s="10"/>
      <c r="F986" s="10"/>
      <c r="G986" s="10"/>
      <c r="H986" s="10"/>
      <c r="I986" s="9"/>
    </row>
    <row r="987" ht="14.25" customHeight="1">
      <c r="A987" s="10"/>
      <c r="B987" s="10"/>
      <c r="C987" s="10"/>
      <c r="D987" s="10"/>
      <c r="E987" s="10"/>
      <c r="F987" s="10"/>
      <c r="G987" s="10"/>
      <c r="H987" s="10"/>
      <c r="I987" s="9"/>
    </row>
    <row r="988" ht="14.25" customHeight="1">
      <c r="A988" s="10"/>
      <c r="B988" s="10"/>
      <c r="C988" s="10"/>
      <c r="D988" s="10"/>
      <c r="E988" s="10"/>
      <c r="F988" s="10"/>
      <c r="G988" s="10"/>
      <c r="H988" s="10"/>
      <c r="I988" s="9"/>
    </row>
    <row r="989" ht="14.25" customHeight="1">
      <c r="A989" s="10"/>
      <c r="B989" s="10"/>
      <c r="C989" s="10"/>
      <c r="D989" s="10"/>
      <c r="E989" s="10"/>
      <c r="F989" s="10"/>
      <c r="G989" s="10"/>
      <c r="H989" s="10"/>
      <c r="I989" s="9"/>
    </row>
    <row r="990" ht="14.25" customHeight="1">
      <c r="A990" s="10"/>
      <c r="B990" s="10"/>
      <c r="C990" s="10"/>
      <c r="D990" s="10"/>
      <c r="E990" s="10"/>
      <c r="F990" s="10"/>
      <c r="G990" s="10"/>
      <c r="H990" s="10"/>
      <c r="I990" s="9"/>
    </row>
    <row r="991" ht="14.25" customHeight="1">
      <c r="A991" s="10"/>
      <c r="B991" s="10"/>
      <c r="C991" s="10"/>
      <c r="D991" s="10"/>
      <c r="E991" s="10"/>
      <c r="F991" s="10"/>
      <c r="G991" s="10"/>
      <c r="H991" s="10"/>
      <c r="I991" s="9"/>
    </row>
    <row r="992" ht="14.25" customHeight="1">
      <c r="A992" s="10"/>
      <c r="B992" s="10"/>
      <c r="C992" s="10"/>
      <c r="D992" s="10"/>
      <c r="E992" s="10"/>
      <c r="F992" s="10"/>
      <c r="G992" s="10"/>
      <c r="H992" s="10"/>
      <c r="I992" s="9"/>
    </row>
    <row r="993" ht="14.25" customHeight="1">
      <c r="A993" s="10"/>
      <c r="B993" s="10"/>
      <c r="C993" s="10"/>
      <c r="D993" s="10"/>
      <c r="E993" s="10"/>
      <c r="F993" s="10"/>
      <c r="G993" s="10"/>
      <c r="H993" s="10"/>
      <c r="I993" s="9"/>
    </row>
    <row r="994" ht="14.25" customHeight="1">
      <c r="A994" s="10"/>
      <c r="B994" s="10"/>
      <c r="C994" s="10"/>
      <c r="D994" s="10"/>
      <c r="E994" s="10"/>
      <c r="F994" s="10"/>
      <c r="G994" s="10"/>
      <c r="H994" s="10"/>
      <c r="I994" s="9"/>
    </row>
    <row r="995" ht="14.25" customHeight="1">
      <c r="A995" s="10"/>
      <c r="B995" s="10"/>
      <c r="C995" s="10"/>
      <c r="D995" s="10"/>
      <c r="E995" s="10"/>
      <c r="F995" s="10"/>
      <c r="G995" s="10"/>
      <c r="H995" s="10"/>
      <c r="I995" s="9"/>
    </row>
    <row r="996" ht="14.25" customHeight="1">
      <c r="A996" s="10"/>
      <c r="B996" s="10"/>
      <c r="C996" s="10"/>
      <c r="D996" s="10"/>
      <c r="E996" s="10"/>
      <c r="F996" s="10"/>
      <c r="G996" s="10"/>
      <c r="H996" s="10"/>
      <c r="I996" s="9"/>
    </row>
    <row r="997" ht="14.25" customHeight="1">
      <c r="A997" s="10"/>
      <c r="B997" s="10"/>
      <c r="C997" s="10"/>
      <c r="D997" s="10"/>
      <c r="E997" s="10"/>
      <c r="F997" s="10"/>
      <c r="G997" s="10"/>
      <c r="H997" s="10"/>
      <c r="I997" s="9"/>
    </row>
    <row r="998" ht="14.25" customHeight="1">
      <c r="A998" s="10"/>
      <c r="B998" s="10"/>
      <c r="C998" s="10"/>
      <c r="D998" s="10"/>
      <c r="E998" s="10"/>
      <c r="F998" s="10"/>
      <c r="G998" s="10"/>
      <c r="H998" s="10"/>
      <c r="I998" s="9"/>
    </row>
    <row r="999" ht="14.25" customHeight="1">
      <c r="A999" s="10"/>
      <c r="B999" s="10"/>
      <c r="C999" s="10"/>
      <c r="D999" s="10"/>
      <c r="E999" s="10"/>
      <c r="F999" s="10"/>
      <c r="G999" s="10"/>
      <c r="H999" s="10"/>
      <c r="I999" s="9"/>
    </row>
    <row r="1000" ht="14.25" customHeight="1">
      <c r="A1000" s="10"/>
      <c r="B1000" s="10"/>
      <c r="C1000" s="10"/>
      <c r="D1000" s="10"/>
      <c r="E1000" s="10"/>
      <c r="F1000" s="10"/>
      <c r="G1000" s="10"/>
      <c r="H1000" s="10"/>
      <c r="I1000" s="9"/>
    </row>
  </sheetData>
  <pageMargins left="0.7" right="0.7" top="0.75" bottom="0.75" header="0.3" footer="0.3"/>
</worksheet>
</file>

<file path=xl/worksheets/sheet2.xml><?xml version="1.0" encoding="utf-8"?>
<x:worksheet xmlns:x="http://schemas.openxmlformats.org/spreadsheetml/2006/main">
  <x:sheetFormatPr defaultColWidth="14.453125" defaultRowHeight="15"/>
  <x:cols>
    <x:col min="1" max="1" width="24" customWidth="1"/>
    <x:col min="2" max="7" width="11" customWidth="1"/>
    <x:col min="8" max="26" width="8.54296875" customWidth="1"/>
  </x:cols>
  <x:sheetData>
    <x:row r="1" ht="15.75" customHeight="1">
      <x:c r="A1" s="11" t="s">
        <x:v>897</x:v>
      </x:c>
      <x:c r="B1" s="10"/>
      <x:c r="C1" s="10"/>
      <x:c r="D1" s="10"/>
      <x:c r="E1" s="10"/>
      <x:c r="F1" s="10"/>
      <x:c r="G1" s="10"/>
    </x:row>
    <x:row r="2" ht="15" customHeight="1">
      <x:c r="A2" s="12" t="s">
        <x:v>898</x:v>
      </x:c>
      <x:c r="B2" s="10"/>
      <x:c r="C2" s="10"/>
      <x:c r="D2" s="10"/>
      <x:c r="E2" s="10"/>
      <x:c r="F2" s="10"/>
      <x:c r="G2" s="10"/>
    </x:row>
    <x:row r="3" ht="14.25" customHeight="1">
      <x:c r="A3" s="10"/>
      <x:c r="B3" s="10"/>
      <x:c r="C3" s="10"/>
      <x:c r="D3" s="10"/>
      <x:c r="E3" s="10"/>
      <x:c r="F3" s="10"/>
      <x:c r="G3" s="10"/>
    </x:row>
    <x:row r="4" ht="15" customHeight="1">
      <x:c r="A4" s="13" t="s">
        <x:v>899</x:v>
      </x:c>
      <x:c r="B4" s="10"/>
      <x:c r="C4" s="10"/>
      <x:c r="D4" s="10"/>
      <x:c r="E4" s="10"/>
      <x:c r="F4" s="10"/>
      <x:c r="G4" s="10"/>
    </x:row>
    <x:row r="5" ht="15" customHeight="1">
      <x:c r="A5" s="14" t="s">
        <x:v>900</x:v>
      </x:c>
      <x:c r="B5" s="14" t="s">
        <x:v>901</x:v>
      </x:c>
      <x:c r="C5" s="10"/>
      <x:c r="D5" s="10"/>
      <x:c r="E5" s="10"/>
      <x:c r="F5" s="10"/>
      <x:c r="G5" s="10"/>
    </x:row>
    <x:row r="6" ht="15" customHeight="1">
      <x:c r="A6" s="15" t="s">
        <x:v>902</x:v>
      </x:c>
      <x:c r="B6" s="16" t="n">
        <x:f>SUMIFS('Data (parsed)'!$I$2:$I$235,'Data (parsed)'!$B$2:$B$235,A6)</x:f>
        <x:v>104</x:v>
      </x:c>
      <x:c r="C6" s="10"/>
      <x:c r="D6" s="10"/>
      <x:c r="E6" s="10"/>
      <x:c r="F6" s="10"/>
      <x:c r="G6" s="10"/>
    </x:row>
    <x:row r="7" ht="15" customHeight="1">
      <x:c r="A7" s="15" t="s">
        <x:v>903</x:v>
      </x:c>
      <x:c r="B7" s="16" t="n">
        <x:f>SUMIFS('Data (parsed)'!$I$2:$I$235,'Data (parsed)'!$B$2:$B$235,A7)</x:f>
        <x:v>31</x:v>
      </x:c>
      <x:c r="C7" s="10"/>
      <x:c r="D7" s="10"/>
      <x:c r="E7" s="10"/>
      <x:c r="F7" s="10"/>
      <x:c r="G7" s="10"/>
    </x:row>
    <x:row r="8" ht="15" customHeight="1">
      <x:c r="A8" s="15" t="s">
        <x:v>904</x:v>
      </x:c>
      <x:c r="B8" s="16" t="n">
        <x:f>SUMIFS('Data (parsed)'!$I$2:$I$235,'Data (parsed)'!$B$2:$B$235,A8)</x:f>
        <x:v>39</x:v>
      </x:c>
      <x:c r="C8" s="10"/>
      <x:c r="D8" s="10"/>
      <x:c r="E8" s="10"/>
      <x:c r="F8" s="10"/>
      <x:c r="G8" s="10"/>
    </x:row>
    <x:row r="9" ht="15" customHeight="1">
      <x:c r="A9" s="15" t="s">
        <x:v>905</x:v>
      </x:c>
      <x:c r="B9" s="16" t="n">
        <x:f>SUMIFS('Data (parsed)'!$I$2:$I$235,'Data (parsed)'!$B$2:$B$235,A9)</x:f>
        <x:v>57</x:v>
      </x:c>
      <x:c r="C9" s="10"/>
      <x:c r="D9" s="10"/>
      <x:c r="E9" s="10"/>
      <x:c r="F9" s="10"/>
      <x:c r="G9" s="10"/>
    </x:row>
    <x:row r="10" ht="15" customHeight="1">
      <x:c r="A10" s="17" t="s">
        <x:v>906</x:v>
      </x:c>
      <x:c r="B10" s="18" t="n">
        <x:f>SUM(B6:B9)</x:f>
        <x:v>231</x:v>
      </x:c>
      <x:c r="C10" s="10"/>
      <x:c r="D10" s="10"/>
      <x:c r="E10" s="10"/>
      <x:c r="F10" s="10"/>
      <x:c r="G10" s="10"/>
    </x:row>
    <x:row r="11" ht="14.25" customHeight="1">
      <x:c r="A11" s="10"/>
      <x:c r="B11" s="10"/>
      <x:c r="C11" s="10"/>
      <x:c r="D11" s="10"/>
      <x:c r="E11" s="10"/>
      <x:c r="F11" s="10"/>
      <x:c r="G11" s="10"/>
    </x:row>
    <x:row r="12" ht="15" customHeight="1">
      <x:c r="A12" s="13" t="s">
        <x:v>907</x:v>
      </x:c>
      <x:c r="B12" s="10"/>
      <x:c r="C12" s="10"/>
      <x:c r="D12" s="10"/>
      <x:c r="E12" s="10"/>
      <x:c r="F12" s="10"/>
      <x:c r="G12" s="10"/>
    </x:row>
    <x:row r="13" ht="15" customHeight="1">
      <x:c r="A13" s="14"/>
      <x:c r="B13" s="14" t="s">
        <x:v>11</x:v>
      </x:c>
      <x:c r="C13" s="14" t="s">
        <x:v>92</x:v>
      </x:c>
      <x:c r="D13" s="14" t="s">
        <x:v>22</x:v>
      </x:c>
      <x:c r="E13" s="14" t="s">
        <x:v>37</x:v>
      </x:c>
      <x:c r="F13" s="14" t="s">
        <x:v>62</x:v>
      </x:c>
      <x:c r="G13" s="14" t="s">
        <x:v>906</x:v>
      </x:c>
    </x:row>
    <x:row r="14" ht="15" customHeight="1">
      <x:c r="A14" s="15" t="s">
        <x:v>902</x:v>
      </x:c>
      <x:c r="B14" s="16" t="n">
        <x:f>SUMIFS('Data (parsed)'!$I$2:$I$235,'Data (parsed)'!$B$2:$B$235,$A14,'Data (parsed)'!$D$2:$D$235,B$13)</x:f>
        <x:v>6</x:v>
      </x:c>
      <x:c r="C14" s="16" t="n">
        <x:f>SUMIFS('Data (parsed)'!$I$2:$I$235,'Data (parsed)'!$B$2:$B$235,$A14,'Data (parsed)'!$D$2:$D$235,C$13)</x:f>
        <x:v>14</x:v>
      </x:c>
      <x:c r="D14" s="16" t="n">
        <x:f>SUMIFS('Data (parsed)'!$I$2:$I$235,'Data (parsed)'!$B$2:$B$235,$A14,'Data (parsed)'!$D$2:$D$235,D$13)</x:f>
        <x:v>17</x:v>
      </x:c>
      <x:c r="E14" s="16" t="n">
        <x:f>SUMIFS('Data (parsed)'!$I$2:$I$235,'Data (parsed)'!$B$2:$B$235,$A14,'Data (parsed)'!$D$2:$D$235,E$13)</x:f>
        <x:v>37</x:v>
      </x:c>
      <x:c r="F14" s="16" t="n">
        <x:f>SUMIFS('Data (parsed)'!$I$2:$I$235,'Data (parsed)'!$B$2:$B$235,$A14,'Data (parsed)'!$D$2:$D$235,F$13)</x:f>
        <x:v>30</x:v>
      </x:c>
      <x:c r="G14" s="18" t="n">
        <x:f t="shared" ref="G14:G17" si="0">SUM(B14:F14)</x:f>
        <x:v>104</x:v>
      </x:c>
    </x:row>
    <x:row r="15" ht="15" customHeight="1">
      <x:c r="A15" s="15" t="s">
        <x:v>903</x:v>
      </x:c>
      <x:c r="B15" s="16" t="n">
        <x:f>SUMIFS('Data (parsed)'!$I$2:$I$235,'Data (parsed)'!$B$2:$B$235,$A15,'Data (parsed)'!$D$2:$D$235,B$13)</x:f>
        <x:v>4</x:v>
      </x:c>
      <x:c r="C15" s="16" t="n">
        <x:f>SUMIFS('Data (parsed)'!$I$2:$I$235,'Data (parsed)'!$B$2:$B$235,$A15,'Data (parsed)'!$D$2:$D$235,C$13)</x:f>
        <x:v>7</x:v>
      </x:c>
      <x:c r="D15" s="16" t="n">
        <x:f>SUMIFS('Data (parsed)'!$I$2:$I$235,'Data (parsed)'!$B$2:$B$235,$A15,'Data (parsed)'!$D$2:$D$235,D$13)</x:f>
        <x:v>2</x:v>
      </x:c>
      <x:c r="E15" s="16" t="n">
        <x:f>SUMIFS('Data (parsed)'!$I$2:$I$235,'Data (parsed)'!$B$2:$B$235,$A15,'Data (parsed)'!$D$2:$D$235,E$13)</x:f>
        <x:v>5</x:v>
      </x:c>
      <x:c r="F15" s="16" t="n">
        <x:f>SUMIFS('Data (parsed)'!$I$2:$I$235,'Data (parsed)'!$B$2:$B$235,$A15,'Data (parsed)'!$D$2:$D$235,F$13)</x:f>
        <x:v>13</x:v>
      </x:c>
      <x:c r="G15" s="18">
        <x:f t="shared" si="0"/>
        <x:v>31</x:v>
      </x:c>
    </x:row>
    <x:row r="16" ht="15" customHeight="1">
      <x:c r="A16" s="15" t="s">
        <x:v>904</x:v>
      </x:c>
      <x:c r="B16" s="16" t="n">
        <x:f>SUMIFS('Data (parsed)'!$I$2:$I$235,'Data (parsed)'!$B$2:$B$235,$A16,'Data (parsed)'!$D$2:$D$235,B$13)</x:f>
        <x:v>3</x:v>
      </x:c>
      <x:c r="C16" s="16" t="n">
        <x:f>SUMIFS('Data (parsed)'!$I$2:$I$235,'Data (parsed)'!$B$2:$B$235,$A16,'Data (parsed)'!$D$2:$D$235,C$13)</x:f>
        <x:v>6</x:v>
      </x:c>
      <x:c r="D16" s="16" t="n">
        <x:f>SUMIFS('Data (parsed)'!$I$2:$I$235,'Data (parsed)'!$B$2:$B$235,$A16,'Data (parsed)'!$D$2:$D$235,D$13)</x:f>
        <x:v>5</x:v>
      </x:c>
      <x:c r="E16" s="16" t="n">
        <x:f>SUMIFS('Data (parsed)'!$I$2:$I$235,'Data (parsed)'!$B$2:$B$235,$A16,'Data (parsed)'!$D$2:$D$235,E$13)</x:f>
        <x:v>17</x:v>
      </x:c>
      <x:c r="F16" s="16" t="n">
        <x:f>SUMIFS('Data (parsed)'!$I$2:$I$235,'Data (parsed)'!$B$2:$B$235,$A16,'Data (parsed)'!$D$2:$D$235,F$13)</x:f>
        <x:v>8</x:v>
      </x:c>
      <x:c r="G16" s="18">
        <x:f t="shared" si="0"/>
        <x:v>39</x:v>
      </x:c>
    </x:row>
    <x:row r="17" ht="15" customHeight="1">
      <x:c r="A17" s="15" t="s">
        <x:v>905</x:v>
      </x:c>
      <x:c r="B17" s="16" t="n">
        <x:f>SUMIFS('Data (parsed)'!$I$2:$I$235,'Data (parsed)'!$B$2:$B$235,$A17,'Data (parsed)'!$D$2:$D$235,B$13)</x:f>
        <x:v>6</x:v>
      </x:c>
      <x:c r="C17" s="16" t="n">
        <x:f>SUMIFS('Data (parsed)'!$I$2:$I$235,'Data (parsed)'!$B$2:$B$235,$A17,'Data (parsed)'!$D$2:$D$235,C$13)</x:f>
        <x:v>5</x:v>
      </x:c>
      <x:c r="D17" s="16" t="n">
        <x:f>SUMIFS('Data (parsed)'!$I$2:$I$235,'Data (parsed)'!$B$2:$B$235,$A17,'Data (parsed)'!$D$2:$D$235,D$13)</x:f>
        <x:v>2</x:v>
      </x:c>
      <x:c r="E17" s="16" t="n">
        <x:f>SUMIFS('Data (parsed)'!$I$2:$I$235,'Data (parsed)'!$B$2:$B$235,$A17,'Data (parsed)'!$D$2:$D$235,E$13)</x:f>
        <x:v>31</x:v>
      </x:c>
      <x:c r="F17" s="16" t="n">
        <x:f>SUMIFS('Data (parsed)'!$I$2:$I$235,'Data (parsed)'!$B$2:$B$235,$A17,'Data (parsed)'!$D$2:$D$235,F$13)</x:f>
        <x:v>13</x:v>
      </x:c>
      <x:c r="G17" s="18">
        <x:f t="shared" si="0"/>
        <x:v>57</x:v>
      </x:c>
    </x:row>
    <x:row r="18" ht="15" customHeight="1">
      <x:c r="A18" s="17" t="s">
        <x:v>906</x:v>
      </x:c>
      <x:c r="B18" s="18" t="n">
        <x:f t="shared" ref="B18:G18" si="1">SUM(B14:B17)</x:f>
        <x:v>19</x:v>
      </x:c>
      <x:c r="C18" s="18">
        <x:f t="shared" si="1"/>
        <x:v>32</x:v>
      </x:c>
      <x:c r="D18" s="18">
        <x:f t="shared" si="1"/>
        <x:v>26</x:v>
      </x:c>
      <x:c r="E18" s="18">
        <x:f t="shared" si="1"/>
        <x:v>90</x:v>
      </x:c>
      <x:c r="F18" s="18">
        <x:f t="shared" si="1"/>
        <x:v>64</x:v>
      </x:c>
      <x:c r="G18" s="18">
        <x:f t="shared" si="1"/>
        <x:v>231</x:v>
      </x:c>
    </x:row>
    <x:row r="19" ht="14.25" customHeight="1">
      <x:c r="A19" s="10"/>
      <x:c r="B19" s="10"/>
      <x:c r="C19" s="10"/>
      <x:c r="D19" s="10"/>
      <x:c r="E19" s="10"/>
      <x:c r="F19" s="10"/>
      <x:c r="G19" s="10"/>
    </x:row>
    <x:row r="20" ht="15" customHeight="1">
      <x:c r="A20" s="13" t="s">
        <x:v>908</x:v>
      </x:c>
      <x:c r="B20" s="10"/>
      <x:c r="C20" s="10"/>
      <x:c r="D20" s="10"/>
      <x:c r="E20" s="10"/>
      <x:c r="F20" s="10"/>
      <x:c r="G20" s="10"/>
    </x:row>
    <x:row r="21" ht="15" customHeight="1">
      <x:c r="A21" s="14" t="s">
        <x:v>5</x:v>
      </x:c>
      <x:c r="B21" s="14" t="s">
        <x:v>902</x:v>
      </x:c>
      <x:c r="C21" s="14" t="s">
        <x:v>903</x:v>
      </x:c>
      <x:c r="D21" s="14" t="s">
        <x:v>904</x:v>
      </x:c>
      <x:c r="E21" s="14" t="s">
        <x:v>905</x:v>
      </x:c>
      <x:c r="F21" s="14" t="s">
        <x:v>906</x:v>
      </x:c>
      <x:c r="G21" s="10"/>
    </x:row>
    <x:row r="22" ht="15" customHeight="1">
      <x:c r="A22" s="19" t="s">
        <x:v>14</x:v>
      </x:c>
      <x:c r="B22" s="16" t="n">
        <x:f>COUNTIFS('Data (parsed)'!$E$2:$E$235,$A22,'Data (parsed)'!$B$2:$B$235,B$21)</x:f>
        <x:v>48</x:v>
      </x:c>
      <x:c r="C22" s="16" t="n">
        <x:f>COUNTIFS('Data (parsed)'!$E$2:$E$235,$A22,'Data (parsed)'!$B$2:$B$235,C$21)</x:f>
        <x:v>24</x:v>
      </x:c>
      <x:c r="D22" s="16" t="n">
        <x:f>COUNTIFS('Data (parsed)'!$E$2:$E$235,$A22,'Data (parsed)'!$B$2:$B$235,D$21)</x:f>
        <x:v>31</x:v>
      </x:c>
      <x:c r="E22" s="16" t="n">
        <x:f>COUNTIFS('Data (parsed)'!$E$2:$E$235,$A22,'Data (parsed)'!$B$2:$B$235,E$21)</x:f>
        <x:v>9</x:v>
      </x:c>
      <x:c r="F22" s="18" t="n">
        <x:f t="shared" ref="F22:F46" si="2">SUM(B22:E22)</x:f>
        <x:v>112</x:v>
      </x:c>
      <x:c r="G22" s="10"/>
    </x:row>
    <x:row r="23" ht="15" customHeight="1">
      <x:c r="A23" s="19" t="s">
        <x:v>95</x:v>
      </x:c>
      <x:c r="B23" s="16" t="n">
        <x:f>COUNTIFS('Data (parsed)'!$E$2:$E$235,$A23,'Data (parsed)'!$B$2:$B$235,B$21)</x:f>
        <x:v>7</x:v>
      </x:c>
      <x:c r="C23" s="16" t="n">
        <x:f>COUNTIFS('Data (parsed)'!$E$2:$E$235,$A23,'Data (parsed)'!$B$2:$B$235,C$21)</x:f>
        <x:v>0</x:v>
      </x:c>
      <x:c r="D23" s="16" t="n">
        <x:f>COUNTIFS('Data (parsed)'!$E$2:$E$235,$A23,'Data (parsed)'!$B$2:$B$235,D$21)</x:f>
        <x:v>0</x:v>
      </x:c>
      <x:c r="E23" s="16" t="n">
        <x:f>COUNTIFS('Data (parsed)'!$E$2:$E$235,$A23,'Data (parsed)'!$B$2:$B$235,E$21)</x:f>
        <x:v>28</x:v>
      </x:c>
      <x:c r="F23" s="18">
        <x:f t="shared" si="2"/>
        <x:v>35</x:v>
      </x:c>
      <x:c r="G23" s="10"/>
    </x:row>
    <x:row r="24" ht="15" customHeight="1">
      <x:c r="A24" s="19" t="s">
        <x:v>84</x:v>
      </x:c>
      <x:c r="B24" s="16" t="n">
        <x:f>COUNTIFS('Data (parsed)'!$E$2:$E$235,$A24,'Data (parsed)'!$B$2:$B$235,B$21)</x:f>
        <x:v>20</x:v>
      </x:c>
      <x:c r="C24" s="16" t="n">
        <x:f>COUNTIFS('Data (parsed)'!$E$2:$E$235,$A24,'Data (parsed)'!$B$2:$B$235,C$21)</x:f>
        <x:v>0</x:v>
      </x:c>
      <x:c r="D24" s="16" t="n">
        <x:f>COUNTIFS('Data (parsed)'!$E$2:$E$235,$A24,'Data (parsed)'!$B$2:$B$235,D$21)</x:f>
        <x:v>2</x:v>
      </x:c>
      <x:c r="E24" s="16" t="n">
        <x:f>COUNTIFS('Data (parsed)'!$E$2:$E$235,$A24,'Data (parsed)'!$B$2:$B$235,E$21)</x:f>
        <x:v>8</x:v>
      </x:c>
      <x:c r="F24" s="18">
        <x:f t="shared" si="2"/>
        <x:v>30</x:v>
      </x:c>
      <x:c r="G24" s="10"/>
    </x:row>
    <x:row r="25" ht="15" customHeight="1">
      <x:c r="A25" s="19" t="s">
        <x:v>89</x:v>
      </x:c>
      <x:c r="B25" s="16" t="n">
        <x:f>COUNTIFS('Data (parsed)'!$E$2:$E$235,$A25,'Data (parsed)'!$B$2:$B$235,B$21)</x:f>
        <x:v>8</x:v>
      </x:c>
      <x:c r="C25" s="16" t="n">
        <x:f>COUNTIFS('Data (parsed)'!$E$2:$E$235,$A25,'Data (parsed)'!$B$2:$B$235,C$21)</x:f>
        <x:v>3</x:v>
      </x:c>
      <x:c r="D25" s="16" t="n">
        <x:f>COUNTIFS('Data (parsed)'!$E$2:$E$235,$A25,'Data (parsed)'!$B$2:$B$235,D$21)</x:f>
        <x:v>1</x:v>
      </x:c>
      <x:c r="E25" s="16" t="n">
        <x:f>COUNTIFS('Data (parsed)'!$E$2:$E$235,$A25,'Data (parsed)'!$B$2:$B$235,E$21)</x:f>
        <x:v>1</x:v>
      </x:c>
      <x:c r="F25" s="18">
        <x:f t="shared" si="2"/>
        <x:v>13</x:v>
      </x:c>
      <x:c r="G25" s="10"/>
    </x:row>
    <x:row r="26" ht="15" customHeight="1">
      <x:c r="A26" s="19" t="s">
        <x:v>203</x:v>
      </x:c>
      <x:c r="B26" s="16" t="n">
        <x:f>COUNTIFS('Data (parsed)'!$E$2:$E$235,$A26,'Data (parsed)'!$B$2:$B$235,B$21)</x:f>
        <x:v>4</x:v>
      </x:c>
      <x:c r="C26" s="16" t="n">
        <x:f>COUNTIFS('Data (parsed)'!$E$2:$E$235,$A26,'Data (parsed)'!$B$2:$B$235,C$21)</x:f>
        <x:v>0</x:v>
      </x:c>
      <x:c r="D26" s="16" t="n">
        <x:f>COUNTIFS('Data (parsed)'!$E$2:$E$235,$A26,'Data (parsed)'!$B$2:$B$235,D$21)</x:f>
        <x:v>0</x:v>
      </x:c>
      <x:c r="E26" s="16" t="n">
        <x:f>COUNTIFS('Data (parsed)'!$E$2:$E$235,$A26,'Data (parsed)'!$B$2:$B$235,E$21)</x:f>
        <x:v>9</x:v>
      </x:c>
      <x:c r="F26" s="18">
        <x:f t="shared" si="2"/>
        <x:v>13</x:v>
      </x:c>
      <x:c r="G26" s="10"/>
    </x:row>
    <x:row r="27" ht="15" customHeight="1">
      <x:c r="A27" s="19" t="s">
        <x:v>244</x:v>
      </x:c>
      <x:c r="B27" s="16" t="n">
        <x:f>COUNTIFS('Data (parsed)'!$E$2:$E$235,$A27,'Data (parsed)'!$B$2:$B$235,B$21)</x:f>
        <x:v>3</x:v>
      </x:c>
      <x:c r="C27" s="16" t="n">
        <x:f>COUNTIFS('Data (parsed)'!$E$2:$E$235,$A27,'Data (parsed)'!$B$2:$B$235,C$21)</x:f>
        <x:v>0</x:v>
      </x:c>
      <x:c r="D27" s="16" t="n">
        <x:f>COUNTIFS('Data (parsed)'!$E$2:$E$235,$A27,'Data (parsed)'!$B$2:$B$235,D$21)</x:f>
        <x:v>2</x:v>
      </x:c>
      <x:c r="E27" s="16" t="n">
        <x:f>COUNTIFS('Data (parsed)'!$E$2:$E$235,$A27,'Data (parsed)'!$B$2:$B$235,E$21)</x:f>
        <x:v>0</x:v>
      </x:c>
      <x:c r="F27" s="18">
        <x:f t="shared" si="2"/>
        <x:v>5</x:v>
      </x:c>
      <x:c r="G27" s="10"/>
    </x:row>
    <x:row r="28" ht="15" customHeight="1">
      <x:c r="A28" s="19" t="s">
        <x:v>250</x:v>
      </x:c>
      <x:c r="B28" s="16" t="n">
        <x:f>COUNTIFS('Data (parsed)'!$E$2:$E$235,$A28,'Data (parsed)'!$B$2:$B$235,B$21)</x:f>
        <x:v>3</x:v>
      </x:c>
      <x:c r="C28" s="16" t="n">
        <x:f>COUNTIFS('Data (parsed)'!$E$2:$E$235,$A28,'Data (parsed)'!$B$2:$B$235,C$21)</x:f>
        <x:v>0</x:v>
      </x:c>
      <x:c r="D28" s="16" t="n">
        <x:f>COUNTIFS('Data (parsed)'!$E$2:$E$235,$A28,'Data (parsed)'!$B$2:$B$235,D$21)</x:f>
        <x:v>0</x:v>
      </x:c>
      <x:c r="E28" s="16" t="n">
        <x:f>COUNTIFS('Data (parsed)'!$E$2:$E$235,$A28,'Data (parsed)'!$B$2:$B$235,E$21)</x:f>
        <x:v>0</x:v>
      </x:c>
      <x:c r="F28" s="18">
        <x:f t="shared" si="2"/>
        <x:v>3</x:v>
      </x:c>
      <x:c r="G28" s="10"/>
    </x:row>
    <x:row r="29" ht="15" customHeight="1">
      <x:c r="A29" s="19" t="s">
        <x:v>432</x:v>
      </x:c>
      <x:c r="B29" s="16" t="n">
        <x:f>COUNTIFS('Data (parsed)'!$E$2:$E$235,$A29,'Data (parsed)'!$B$2:$B$235,B$21)</x:f>
        <x:v>0</x:v>
      </x:c>
      <x:c r="C29" s="16" t="n">
        <x:f>COUNTIFS('Data (parsed)'!$E$2:$E$235,$A29,'Data (parsed)'!$B$2:$B$235,C$21)</x:f>
        <x:v>2</x:v>
      </x:c>
      <x:c r="D29" s="16" t="n">
        <x:f>COUNTIFS('Data (parsed)'!$E$2:$E$235,$A29,'Data (parsed)'!$B$2:$B$235,D$21)</x:f>
        <x:v>1</x:v>
      </x:c>
      <x:c r="E29" s="16" t="n">
        <x:f>COUNTIFS('Data (parsed)'!$E$2:$E$235,$A29,'Data (parsed)'!$B$2:$B$235,E$21)</x:f>
        <x:v>0</x:v>
      </x:c>
      <x:c r="F29" s="18">
        <x:f t="shared" si="2"/>
        <x:v>3</x:v>
      </x:c>
      <x:c r="G29" s="10"/>
    </x:row>
    <x:row r="30" ht="15" customHeight="1">
      <x:c r="A30" s="19" t="s">
        <x:v>314</x:v>
      </x:c>
      <x:c r="B30" s="16" t="n">
        <x:f>COUNTIFS('Data (parsed)'!$E$2:$E$235,$A30,'Data (parsed)'!$B$2:$B$235,B$21)</x:f>
        <x:v>2</x:v>
      </x:c>
      <x:c r="C30" s="16" t="n">
        <x:f>COUNTIFS('Data (parsed)'!$E$2:$E$235,$A30,'Data (parsed)'!$B$2:$B$235,C$21)</x:f>
        <x:v>0</x:v>
      </x:c>
      <x:c r="D30" s="16" t="n">
        <x:f>COUNTIFS('Data (parsed)'!$E$2:$E$235,$A30,'Data (parsed)'!$B$2:$B$235,D$21)</x:f>
        <x:v>0</x:v>
      </x:c>
      <x:c r="E30" s="16" t="n">
        <x:f>COUNTIFS('Data (parsed)'!$E$2:$E$235,$A30,'Data (parsed)'!$B$2:$B$235,E$21)</x:f>
        <x:v>0</x:v>
      </x:c>
      <x:c r="F30" s="18">
        <x:f t="shared" si="2"/>
        <x:v>2</x:v>
      </x:c>
      <x:c r="G30" s="10"/>
    </x:row>
    <x:row r="31" ht="15" customHeight="1">
      <x:c r="A31" s="19" t="s">
        <x:v>328</x:v>
      </x:c>
      <x:c r="B31" s="16" t="n">
        <x:f>COUNTIFS('Data (parsed)'!$E$2:$E$235,$A31,'Data (parsed)'!$B$2:$B$235,B$21)</x:f>
        <x:v>1</x:v>
      </x:c>
      <x:c r="C31" s="16" t="n">
        <x:f>COUNTIFS('Data (parsed)'!$E$2:$E$235,$A31,'Data (parsed)'!$B$2:$B$235,C$21)</x:f>
        <x:v>0</x:v>
      </x:c>
      <x:c r="D31" s="16" t="n">
        <x:f>COUNTIFS('Data (parsed)'!$E$2:$E$235,$A31,'Data (parsed)'!$B$2:$B$235,D$21)</x:f>
        <x:v>1</x:v>
      </x:c>
      <x:c r="E31" s="16" t="n">
        <x:f>COUNTIFS('Data (parsed)'!$E$2:$E$235,$A31,'Data (parsed)'!$B$2:$B$235,E$21)</x:f>
        <x:v>0</x:v>
      </x:c>
      <x:c r="F31" s="18">
        <x:f t="shared" si="2"/>
        <x:v>2</x:v>
      </x:c>
      <x:c r="G31" s="10"/>
    </x:row>
    <x:row r="32" ht="15" customHeight="1">
      <x:c r="A32" s="19" t="s">
        <x:v>338</x:v>
      </x:c>
      <x:c r="B32" s="16" t="n">
        <x:f>COUNTIFS('Data (parsed)'!$E$2:$E$235,$A32,'Data (parsed)'!$B$2:$B$235,B$21)</x:f>
        <x:v>2</x:v>
      </x:c>
      <x:c r="C32" s="16" t="n">
        <x:f>COUNTIFS('Data (parsed)'!$E$2:$E$235,$A32,'Data (parsed)'!$B$2:$B$235,C$21)</x:f>
        <x:v>0</x:v>
      </x:c>
      <x:c r="D32" s="16" t="n">
        <x:f>COUNTIFS('Data (parsed)'!$E$2:$E$235,$A32,'Data (parsed)'!$B$2:$B$235,D$21)</x:f>
        <x:v>0</x:v>
      </x:c>
      <x:c r="E32" s="16" t="n">
        <x:f>COUNTIFS('Data (parsed)'!$E$2:$E$235,$A32,'Data (parsed)'!$B$2:$B$235,E$21)</x:f>
        <x:v>0</x:v>
      </x:c>
      <x:c r="F32" s="18">
        <x:f t="shared" si="2"/>
        <x:v>2</x:v>
      </x:c>
      <x:c r="G32" s="10"/>
    </x:row>
    <x:row r="33" ht="15" customHeight="1">
      <x:c r="A33" s="19" t="s">
        <x:v>111</x:v>
      </x:c>
      <x:c r="B33" s="16" t="n">
        <x:f>COUNTIFS('Data (parsed)'!$E$2:$E$235,$A33,'Data (parsed)'!$B$2:$B$235,B$21)</x:f>
        <x:v>1</x:v>
      </x:c>
      <x:c r="C33" s="16" t="n">
        <x:f>COUNTIFS('Data (parsed)'!$E$2:$E$235,$A33,'Data (parsed)'!$B$2:$B$235,C$21)</x:f>
        <x:v>0</x:v>
      </x:c>
      <x:c r="D33" s="16" t="n">
        <x:f>COUNTIFS('Data (parsed)'!$E$2:$E$235,$A33,'Data (parsed)'!$B$2:$B$235,D$21)</x:f>
        <x:v>0</x:v>
      </x:c>
      <x:c r="E33" s="16" t="n">
        <x:f>COUNTIFS('Data (parsed)'!$E$2:$E$235,$A33,'Data (parsed)'!$B$2:$B$235,E$21)</x:f>
        <x:v>0</x:v>
      </x:c>
      <x:c r="F33" s="18">
        <x:f t="shared" si="2"/>
        <x:v>1</x:v>
      </x:c>
      <x:c r="G33" s="10"/>
    </x:row>
    <x:row r="34" ht="15" customHeight="1">
      <x:c r="A34" s="19" t="s">
        <x:v>116</x:v>
      </x:c>
      <x:c r="B34" s="16" t="n">
        <x:f>COUNTIFS('Data (parsed)'!$E$2:$E$235,$A34,'Data (parsed)'!$B$2:$B$235,B$21)</x:f>
        <x:v>1</x:v>
      </x:c>
      <x:c r="C34" s="16" t="n">
        <x:f>COUNTIFS('Data (parsed)'!$E$2:$E$235,$A34,'Data (parsed)'!$B$2:$B$235,C$21)</x:f>
        <x:v>0</x:v>
      </x:c>
      <x:c r="D34" s="16" t="n">
        <x:f>COUNTIFS('Data (parsed)'!$E$2:$E$235,$A34,'Data (parsed)'!$B$2:$B$235,D$21)</x:f>
        <x:v>0</x:v>
      </x:c>
      <x:c r="E34" s="16" t="n">
        <x:f>COUNTIFS('Data (parsed)'!$E$2:$E$235,$A34,'Data (parsed)'!$B$2:$B$235,E$21)</x:f>
        <x:v>0</x:v>
      </x:c>
      <x:c r="F34" s="18">
        <x:f t="shared" si="2"/>
        <x:v>1</x:v>
      </x:c>
      <x:c r="G34" s="10"/>
    </x:row>
    <x:row r="35" ht="15" customHeight="1">
      <x:c r="A35" s="19" t="s">
        <x:v>199</x:v>
      </x:c>
      <x:c r="B35" s="16" t="n">
        <x:f>COUNTIFS('Data (parsed)'!$E$2:$E$235,$A35,'Data (parsed)'!$B$2:$B$235,B$21)</x:f>
        <x:v>1</x:v>
      </x:c>
      <x:c r="C35" s="16" t="n">
        <x:f>COUNTIFS('Data (parsed)'!$E$2:$E$235,$A35,'Data (parsed)'!$B$2:$B$235,C$21)</x:f>
        <x:v>0</x:v>
      </x:c>
      <x:c r="D35" s="16" t="n">
        <x:f>COUNTIFS('Data (parsed)'!$E$2:$E$235,$A35,'Data (parsed)'!$B$2:$B$235,D$21)</x:f>
        <x:v>0</x:v>
      </x:c>
      <x:c r="E35" s="16" t="n">
        <x:f>COUNTIFS('Data (parsed)'!$E$2:$E$235,$A35,'Data (parsed)'!$B$2:$B$235,E$21)</x:f>
        <x:v>0</x:v>
      </x:c>
      <x:c r="F35" s="18">
        <x:f t="shared" si="2"/>
        <x:v>1</x:v>
      </x:c>
      <x:c r="G35" s="10"/>
    </x:row>
    <x:row r="36" ht="15" customHeight="1">
      <x:c r="A36" s="19" t="s">
        <x:v>208</x:v>
      </x:c>
      <x:c r="B36" s="16" t="n">
        <x:f>COUNTIFS('Data (parsed)'!$E$2:$E$235,$A36,'Data (parsed)'!$B$2:$B$235,B$21)</x:f>
        <x:v>1</x:v>
      </x:c>
      <x:c r="C36" s="16" t="n">
        <x:f>COUNTIFS('Data (parsed)'!$E$2:$E$235,$A36,'Data (parsed)'!$B$2:$B$235,C$21)</x:f>
        <x:v>0</x:v>
      </x:c>
      <x:c r="D36" s="16" t="n">
        <x:f>COUNTIFS('Data (parsed)'!$E$2:$E$235,$A36,'Data (parsed)'!$B$2:$B$235,D$21)</x:f>
        <x:v>0</x:v>
      </x:c>
      <x:c r="E36" s="16" t="n">
        <x:f>COUNTIFS('Data (parsed)'!$E$2:$E$235,$A36,'Data (parsed)'!$B$2:$B$235,E$21)</x:f>
        <x:v>0</x:v>
      </x:c>
      <x:c r="F36" s="18">
        <x:f t="shared" si="2"/>
        <x:v>1</x:v>
      </x:c>
      <x:c r="G36" s="10"/>
    </x:row>
    <x:row r="37" ht="15" customHeight="1">
      <x:c r="A37" s="19" t="s">
        <x:v>212</x:v>
      </x:c>
      <x:c r="B37" s="16" t="n">
        <x:f>COUNTIFS('Data (parsed)'!$E$2:$E$235,$A37,'Data (parsed)'!$B$2:$B$235,B$21)</x:f>
        <x:v>1</x:v>
      </x:c>
      <x:c r="C37" s="16" t="n">
        <x:f>COUNTIFS('Data (parsed)'!$E$2:$E$235,$A37,'Data (parsed)'!$B$2:$B$235,C$21)</x:f>
        <x:v>0</x:v>
      </x:c>
      <x:c r="D37" s="16" t="n">
        <x:f>COUNTIFS('Data (parsed)'!$E$2:$E$235,$A37,'Data (parsed)'!$B$2:$B$235,D$21)</x:f>
        <x:v>0</x:v>
      </x:c>
      <x:c r="E37" s="16" t="n">
        <x:f>COUNTIFS('Data (parsed)'!$E$2:$E$235,$A37,'Data (parsed)'!$B$2:$B$235,E$21)</x:f>
        <x:v>0</x:v>
      </x:c>
      <x:c r="F37" s="18">
        <x:f t="shared" si="2"/>
        <x:v>1</x:v>
      </x:c>
      <x:c r="G37" s="10"/>
    </x:row>
    <x:row r="38" ht="15" customHeight="1">
      <x:c r="A38" s="19" t="s">
        <x:v>225</x:v>
      </x:c>
      <x:c r="B38" s="16" t="n">
        <x:f>COUNTIFS('Data (parsed)'!$E$2:$E$235,$A38,'Data (parsed)'!$B$2:$B$235,B$21)</x:f>
        <x:v>1</x:v>
      </x:c>
      <x:c r="C38" s="16" t="n">
        <x:f>COUNTIFS('Data (parsed)'!$E$2:$E$235,$A38,'Data (parsed)'!$B$2:$B$235,C$21)</x:f>
        <x:v>0</x:v>
      </x:c>
      <x:c r="D38" s="16" t="n">
        <x:f>COUNTIFS('Data (parsed)'!$E$2:$E$235,$A38,'Data (parsed)'!$B$2:$B$235,D$21)</x:f>
        <x:v>0</x:v>
      </x:c>
      <x:c r="E38" s="16" t="n">
        <x:f>COUNTIFS('Data (parsed)'!$E$2:$E$235,$A38,'Data (parsed)'!$B$2:$B$235,E$21)</x:f>
        <x:v>0</x:v>
      </x:c>
      <x:c r="F38" s="18">
        <x:f t="shared" si="2"/>
        <x:v>1</x:v>
      </x:c>
      <x:c r="G38" s="10"/>
    </x:row>
    <x:row r="39" ht="15" customHeight="1">
      <x:c r="A39" s="19" t="s">
        <x:v>322</x:v>
      </x:c>
      <x:c r="B39" s="16" t="n">
        <x:f>COUNTIFS('Data (parsed)'!$E$2:$E$235,$A39,'Data (parsed)'!$B$2:$B$235,B$21)</x:f>
        <x:v>1</x:v>
      </x:c>
      <x:c r="C39" s="16" t="n">
        <x:f>COUNTIFS('Data (parsed)'!$E$2:$E$235,$A39,'Data (parsed)'!$B$2:$B$235,C$21)</x:f>
        <x:v>0</x:v>
      </x:c>
      <x:c r="D39" s="16" t="n">
        <x:f>COUNTIFS('Data (parsed)'!$E$2:$E$235,$A39,'Data (parsed)'!$B$2:$B$235,D$21)</x:f>
        <x:v>0</x:v>
      </x:c>
      <x:c r="E39" s="16" t="n">
        <x:f>COUNTIFS('Data (parsed)'!$E$2:$E$235,$A39,'Data (parsed)'!$B$2:$B$235,E$21)</x:f>
        <x:v>0</x:v>
      </x:c>
      <x:c r="F39" s="18">
        <x:f t="shared" si="2"/>
        <x:v>1</x:v>
      </x:c>
      <x:c r="G39" s="10"/>
    </x:row>
    <x:row r="40" ht="15" customHeight="1">
      <x:c r="A40" s="19" t="s">
        <x:v>426</x:v>
      </x:c>
      <x:c r="B40" s="16" t="n">
        <x:f>COUNTIFS('Data (parsed)'!$E$2:$E$235,$A40,'Data (parsed)'!$B$2:$B$235,B$21)</x:f>
        <x:v>0</x:v>
      </x:c>
      <x:c r="C40" s="16" t="n">
        <x:f>COUNTIFS('Data (parsed)'!$E$2:$E$235,$A40,'Data (parsed)'!$B$2:$B$235,C$21)</x:f>
        <x:v>1</x:v>
      </x:c>
      <x:c r="D40" s="16" t="n">
        <x:f>COUNTIFS('Data (parsed)'!$E$2:$E$235,$A40,'Data (parsed)'!$B$2:$B$235,D$21)</x:f>
        <x:v>0</x:v>
      </x:c>
      <x:c r="E40" s="16" t="n">
        <x:f>COUNTIFS('Data (parsed)'!$E$2:$E$235,$A40,'Data (parsed)'!$B$2:$B$235,E$21)</x:f>
        <x:v>0</x:v>
      </x:c>
      <x:c r="F40" s="18">
        <x:f t="shared" si="2"/>
        <x:v>1</x:v>
      </x:c>
      <x:c r="G40" s="10"/>
    </x:row>
    <x:row r="41" ht="15" customHeight="1">
      <x:c r="A41" s="19" t="s">
        <x:v>512</x:v>
      </x:c>
      <x:c r="B41" s="16" t="n">
        <x:f>COUNTIFS('Data (parsed)'!$E$2:$E$235,$A41,'Data (parsed)'!$B$2:$B$235,B$21)</x:f>
        <x:v>0</x:v>
      </x:c>
      <x:c r="C41" s="16" t="n">
        <x:f>COUNTIFS('Data (parsed)'!$E$2:$E$235,$A41,'Data (parsed)'!$B$2:$B$235,C$21)</x:f>
        <x:v>1</x:v>
      </x:c>
      <x:c r="D41" s="16" t="n">
        <x:f>COUNTIFS('Data (parsed)'!$E$2:$E$235,$A41,'Data (parsed)'!$B$2:$B$235,D$21)</x:f>
        <x:v>0</x:v>
      </x:c>
      <x:c r="E41" s="16" t="n">
        <x:f>COUNTIFS('Data (parsed)'!$E$2:$E$235,$A41,'Data (parsed)'!$B$2:$B$235,E$21)</x:f>
        <x:v>0</x:v>
      </x:c>
      <x:c r="F41" s="18">
        <x:f t="shared" si="2"/>
        <x:v>1</x:v>
      </x:c>
      <x:c r="G41" s="10"/>
    </x:row>
    <x:row r="42" ht="15" customHeight="1">
      <x:c r="A42" s="19" t="s">
        <x:v>521</x:v>
      </x:c>
      <x:c r="B42" s="16" t="n">
        <x:f>COUNTIFS('Data (parsed)'!$E$2:$E$235,$A42,'Data (parsed)'!$B$2:$B$235,B$21)</x:f>
        <x:v>0</x:v>
      </x:c>
      <x:c r="C42" s="16" t="n">
        <x:f>COUNTIFS('Data (parsed)'!$E$2:$E$235,$A42,'Data (parsed)'!$B$2:$B$235,C$21)</x:f>
        <x:v>1</x:v>
      </x:c>
      <x:c r="D42" s="16" t="n">
        <x:f>COUNTIFS('Data (parsed)'!$E$2:$E$235,$A42,'Data (parsed)'!$B$2:$B$235,D$21)</x:f>
        <x:v>0</x:v>
      </x:c>
      <x:c r="E42" s="16" t="n">
        <x:f>COUNTIFS('Data (parsed)'!$E$2:$E$235,$A42,'Data (parsed)'!$B$2:$B$235,E$21)</x:f>
        <x:v>0</x:v>
      </x:c>
      <x:c r="F42" s="18">
        <x:f t="shared" si="2"/>
        <x:v>1</x:v>
      </x:c>
      <x:c r="G42" s="10"/>
    </x:row>
    <x:row r="43" ht="15" customHeight="1">
      <x:c r="A43" s="19" t="s">
        <x:v>578</x:v>
      </x:c>
      <x:c r="B43" s="16" t="n">
        <x:f>COUNTIFS('Data (parsed)'!$E$2:$E$235,$A43,'Data (parsed)'!$B$2:$B$235,B$21)</x:f>
        <x:v>0</x:v>
      </x:c>
      <x:c r="C43" s="16" t="n">
        <x:f>COUNTIFS('Data (parsed)'!$E$2:$E$235,$A43,'Data (parsed)'!$B$2:$B$235,C$21)</x:f>
        <x:v>0</x:v>
      </x:c>
      <x:c r="D43" s="16" t="n">
        <x:f>COUNTIFS('Data (parsed)'!$E$2:$E$235,$A43,'Data (parsed)'!$B$2:$B$235,D$21)</x:f>
        <x:v>1</x:v>
      </x:c>
      <x:c r="E43" s="16" t="n">
        <x:f>COUNTIFS('Data (parsed)'!$E$2:$E$235,$A43,'Data (parsed)'!$B$2:$B$235,E$21)</x:f>
        <x:v>0</x:v>
      </x:c>
      <x:c r="F43" s="18">
        <x:f t="shared" si="2"/>
        <x:v>1</x:v>
      </x:c>
      <x:c r="G43" s="10"/>
    </x:row>
    <x:row r="44" ht="15" customHeight="1">
      <x:c r="A44" s="19" t="s">
        <x:v>728</x:v>
      </x:c>
      <x:c r="B44" s="16" t="n">
        <x:f>COUNTIFS('Data (parsed)'!$E$2:$E$235,$A44,'Data (parsed)'!$B$2:$B$235,B$21)</x:f>
        <x:v>0</x:v>
      </x:c>
      <x:c r="C44" s="16" t="n">
        <x:f>COUNTIFS('Data (parsed)'!$E$2:$E$235,$A44,'Data (parsed)'!$B$2:$B$235,C$21)</x:f>
        <x:v>0</x:v>
      </x:c>
      <x:c r="D44" s="16" t="n">
        <x:f>COUNTIFS('Data (parsed)'!$E$2:$E$235,$A44,'Data (parsed)'!$B$2:$B$235,D$21)</x:f>
        <x:v>0</x:v>
      </x:c>
      <x:c r="E44" s="16" t="n">
        <x:f>COUNTIFS('Data (parsed)'!$E$2:$E$235,$A44,'Data (parsed)'!$B$2:$B$235,E$21)</x:f>
        <x:v>1</x:v>
      </x:c>
      <x:c r="F44" s="18">
        <x:f t="shared" si="2"/>
        <x:v>1</x:v>
      </x:c>
      <x:c r="G44" s="10"/>
    </x:row>
    <x:row r="45" ht="15" customHeight="1">
      <x:c r="A45" s="19" t="s">
        <x:v>832</x:v>
      </x:c>
      <x:c r="B45" s="16" t="n">
        <x:f>COUNTIFS('Data (parsed)'!$E$2:$E$235,$A45,'Data (parsed)'!$B$2:$B$235,B$21)</x:f>
        <x:v>0</x:v>
      </x:c>
      <x:c r="C45" s="16" t="n">
        <x:f>COUNTIFS('Data (parsed)'!$E$2:$E$235,$A45,'Data (parsed)'!$B$2:$B$235,C$21)</x:f>
        <x:v>0</x:v>
      </x:c>
      <x:c r="D45" s="16" t="n">
        <x:f>COUNTIFS('Data (parsed)'!$E$2:$E$235,$A45,'Data (parsed)'!$B$2:$B$235,D$21)</x:f>
        <x:v>0</x:v>
      </x:c>
      <x:c r="E45" s="16" t="n">
        <x:f>COUNTIFS('Data (parsed)'!$E$2:$E$235,$A45,'Data (parsed)'!$B$2:$B$235,E$21)</x:f>
        <x:v>1</x:v>
      </x:c>
      <x:c r="F45" s="18">
        <x:f t="shared" si="2"/>
        <x:v>1</x:v>
      </x:c>
      <x:c r="G45" s="10"/>
    </x:row>
    <x:row r="46" ht="15" customHeight="1">
      <x:c r="A46" s="19" t="s">
        <x:v>864</x:v>
      </x:c>
      <x:c r="B46" s="16" t="n">
        <x:f>COUNTIFS('Data (parsed)'!$E$2:$E$235,$A46,'Data (parsed)'!$B$2:$B$235,B$21)</x:f>
        <x:v>0</x:v>
      </x:c>
      <x:c r="C46" s="16" t="n">
        <x:f>COUNTIFS('Data (parsed)'!$E$2:$E$235,$A46,'Data (parsed)'!$B$2:$B$235,C$21)</x:f>
        <x:v>0</x:v>
      </x:c>
      <x:c r="D46" s="16" t="n">
        <x:f>COUNTIFS('Data (parsed)'!$E$2:$E$235,$A46,'Data (parsed)'!$B$2:$B$235,D$21)</x:f>
        <x:v>0</x:v>
      </x:c>
      <x:c r="E46" s="16" t="n">
        <x:f>COUNTIFS('Data (parsed)'!$E$2:$E$235,$A46,'Data (parsed)'!$B$2:$B$235,E$21)</x:f>
        <x:v>1</x:v>
      </x:c>
      <x:c r="F46" s="18">
        <x:f t="shared" si="2"/>
        <x:v>1</x:v>
      </x:c>
      <x:c r="G46" s="10"/>
    </x:row>
    <x:row r="47" ht="14.25" customHeight="1">
      <x:c r="A47" s="10"/>
      <x:c r="B47" s="10"/>
      <x:c r="C47" s="10"/>
      <x:c r="D47" s="10"/>
      <x:c r="E47" s="10"/>
      <x:c r="F47" s="10"/>
      <x:c r="G47" s="10"/>
    </x:row>
    <x:row r="48" ht="14.25" customHeight="1">
      <x:c r="A48" s="10"/>
      <x:c r="B48" s="10"/>
      <x:c r="C48" s="10"/>
      <x:c r="D48" s="10"/>
      <x:c r="E48" s="10"/>
      <x:c r="F48" s="10"/>
      <x:c r="G48" s="10"/>
    </x:row>
    <x:row r="49" ht="14.25" customHeight="1">
      <x:c r="A49" s="10"/>
      <x:c r="B49" s="10"/>
      <x:c r="C49" s="10"/>
      <x:c r="D49" s="10"/>
      <x:c r="E49" s="10"/>
      <x:c r="F49" s="10"/>
      <x:c r="G49" s="10"/>
    </x:row>
    <x:row r="50" ht="14.25" customHeight="1">
      <x:c r="A50" s="10"/>
      <x:c r="B50" s="10"/>
      <x:c r="C50" s="10"/>
      <x:c r="D50" s="10"/>
      <x:c r="E50" s="10"/>
      <x:c r="F50" s="10"/>
      <x:c r="G50" s="10"/>
    </x:row>
    <x:row r="51" ht="14.25" customHeight="1">
      <x:c r="A51" s="10"/>
      <x:c r="B51" s="10"/>
      <x:c r="C51" s="10"/>
      <x:c r="D51" s="10"/>
      <x:c r="E51" s="10"/>
      <x:c r="F51" s="10"/>
      <x:c r="G51" s="10"/>
    </x:row>
    <x:row r="52" ht="14.25" customHeight="1">
      <x:c r="A52" s="10"/>
      <x:c r="B52" s="10"/>
      <x:c r="C52" s="10"/>
      <x:c r="D52" s="10"/>
      <x:c r="E52" s="10"/>
      <x:c r="F52" s="10"/>
      <x:c r="G52" s="10"/>
    </x:row>
    <x:row r="53" ht="14.25" customHeight="1">
      <x:c r="A53" s="10"/>
      <x:c r="B53" s="10"/>
      <x:c r="C53" s="10"/>
      <x:c r="D53" s="10"/>
      <x:c r="E53" s="10"/>
      <x:c r="F53" s="10"/>
      <x:c r="G53" s="10"/>
    </x:row>
    <x:row r="54" ht="14.25" customHeight="1">
      <x:c r="A54" s="10"/>
      <x:c r="B54" s="10"/>
      <x:c r="C54" s="10"/>
      <x:c r="D54" s="10"/>
      <x:c r="E54" s="10"/>
      <x:c r="F54" s="10"/>
      <x:c r="G54" s="10"/>
    </x:row>
    <x:row r="55" ht="14.25" customHeight="1">
      <x:c r="A55" s="10"/>
      <x:c r="B55" s="10"/>
      <x:c r="C55" s="10"/>
      <x:c r="D55" s="10"/>
      <x:c r="E55" s="10"/>
      <x:c r="F55" s="10"/>
      <x:c r="G55" s="10"/>
    </x:row>
    <x:row r="56" ht="14.25" customHeight="1">
      <x:c r="A56" s="10"/>
      <x:c r="B56" s="10"/>
      <x:c r="C56" s="10"/>
      <x:c r="D56" s="10"/>
      <x:c r="E56" s="10"/>
      <x:c r="F56" s="10"/>
      <x:c r="G56" s="10"/>
    </x:row>
    <x:row r="57" ht="14.25" customHeight="1">
      <x:c r="A57" s="10"/>
      <x:c r="B57" s="10"/>
      <x:c r="C57" s="10"/>
      <x:c r="D57" s="10"/>
      <x:c r="E57" s="10"/>
      <x:c r="F57" s="10"/>
      <x:c r="G57" s="10"/>
    </x:row>
    <x:row r="58" ht="14.25" customHeight="1">
      <x:c r="A58" s="10"/>
      <x:c r="B58" s="10"/>
      <x:c r="C58" s="10"/>
      <x:c r="D58" s="10"/>
      <x:c r="E58" s="10"/>
      <x:c r="F58" s="10"/>
      <x:c r="G58" s="10"/>
    </x:row>
    <x:row r="59" ht="14.25" customHeight="1">
      <x:c r="A59" s="10"/>
      <x:c r="B59" s="10"/>
      <x:c r="C59" s="10"/>
      <x:c r="D59" s="10"/>
      <x:c r="E59" s="10"/>
      <x:c r="F59" s="10"/>
      <x:c r="G59" s="10"/>
    </x:row>
    <x:row r="60" ht="14.25" customHeight="1">
      <x:c r="A60" s="10"/>
      <x:c r="B60" s="10"/>
      <x:c r="C60" s="10"/>
      <x:c r="D60" s="10"/>
      <x:c r="E60" s="10"/>
      <x:c r="F60" s="10"/>
      <x:c r="G60" s="10"/>
    </x:row>
    <x:row r="61" ht="14.25" customHeight="1">
      <x:c r="A61" s="10"/>
      <x:c r="B61" s="10"/>
      <x:c r="C61" s="10"/>
      <x:c r="D61" s="10"/>
      <x:c r="E61" s="10"/>
      <x:c r="F61" s="10"/>
      <x:c r="G61" s="10"/>
    </x:row>
    <x:row r="62" ht="14.25" customHeight="1">
      <x:c r="A62" s="10"/>
      <x:c r="B62" s="10"/>
      <x:c r="C62" s="10"/>
      <x:c r="D62" s="10"/>
      <x:c r="E62" s="10"/>
      <x:c r="F62" s="10"/>
      <x:c r="G62" s="10"/>
    </x:row>
    <x:row r="63" ht="14.25" customHeight="1">
      <x:c r="A63" s="10"/>
      <x:c r="B63" s="10"/>
      <x:c r="C63" s="10"/>
      <x:c r="D63" s="10"/>
      <x:c r="E63" s="10"/>
      <x:c r="F63" s="10"/>
      <x:c r="G63" s="10"/>
    </x:row>
    <x:row r="64" ht="14.25" customHeight="1">
      <x:c r="A64" s="10"/>
      <x:c r="B64" s="10"/>
      <x:c r="C64" s="10"/>
      <x:c r="D64" s="10"/>
      <x:c r="E64" s="10"/>
      <x:c r="F64" s="10"/>
      <x:c r="G64" s="10"/>
    </x:row>
    <x:row r="65" ht="14.25" customHeight="1">
      <x:c r="A65" s="10"/>
      <x:c r="B65" s="10"/>
      <x:c r="C65" s="10"/>
      <x:c r="D65" s="10"/>
      <x:c r="E65" s="10"/>
      <x:c r="F65" s="10"/>
      <x:c r="G65" s="10"/>
    </x:row>
    <x:row r="66" ht="14.25" customHeight="1">
      <x:c r="A66" s="10"/>
      <x:c r="B66" s="10"/>
      <x:c r="C66" s="10"/>
      <x:c r="D66" s="10"/>
      <x:c r="E66" s="10"/>
      <x:c r="F66" s="10"/>
      <x:c r="G66" s="10"/>
    </x:row>
    <x:row r="67" ht="14.25" customHeight="1">
      <x:c r="A67" s="10"/>
      <x:c r="B67" s="10"/>
      <x:c r="C67" s="10"/>
      <x:c r="D67" s="10"/>
      <x:c r="E67" s="10"/>
      <x:c r="F67" s="10"/>
      <x:c r="G67" s="10"/>
    </x:row>
    <x:row r="68" ht="14.25" customHeight="1">
      <x:c r="A68" s="10"/>
      <x:c r="B68" s="10"/>
      <x:c r="C68" s="10"/>
      <x:c r="D68" s="10"/>
      <x:c r="E68" s="10"/>
      <x:c r="F68" s="10"/>
      <x:c r="G68" s="10"/>
    </x:row>
    <x:row r="69" ht="14.25" customHeight="1">
      <x:c r="A69" s="10"/>
      <x:c r="B69" s="10"/>
      <x:c r="C69" s="10"/>
      <x:c r="D69" s="10"/>
      <x:c r="E69" s="10"/>
      <x:c r="F69" s="10"/>
      <x:c r="G69" s="10"/>
    </x:row>
    <x:row r="70" ht="14.25" customHeight="1">
      <x:c r="A70" s="10"/>
      <x:c r="B70" s="10"/>
      <x:c r="C70" s="10"/>
      <x:c r="D70" s="10"/>
      <x:c r="E70" s="10"/>
      <x:c r="F70" s="10"/>
      <x:c r="G70" s="10"/>
    </x:row>
    <x:row r="71" ht="14.25" customHeight="1">
      <x:c r="A71" s="10"/>
      <x:c r="B71" s="10"/>
      <x:c r="C71" s="10"/>
      <x:c r="D71" s="10"/>
      <x:c r="E71" s="10"/>
      <x:c r="F71" s="10"/>
      <x:c r="G71" s="10"/>
    </x:row>
    <x:row r="72" ht="14.25" customHeight="1">
      <x:c r="A72" s="10"/>
      <x:c r="B72" s="10"/>
      <x:c r="C72" s="10"/>
      <x:c r="D72" s="10"/>
      <x:c r="E72" s="10"/>
      <x:c r="F72" s="10"/>
      <x:c r="G72" s="10"/>
    </x:row>
    <x:row r="73" ht="14.25" customHeight="1">
      <x:c r="A73" s="10"/>
      <x:c r="B73" s="10"/>
      <x:c r="C73" s="10"/>
      <x:c r="D73" s="10"/>
      <x:c r="E73" s="10"/>
      <x:c r="F73" s="10"/>
      <x:c r="G73" s="10"/>
    </x:row>
    <x:row r="74" ht="14.25" customHeight="1">
      <x:c r="A74" s="10"/>
      <x:c r="B74" s="10"/>
      <x:c r="C74" s="10"/>
      <x:c r="D74" s="10"/>
      <x:c r="E74" s="10"/>
      <x:c r="F74" s="10"/>
      <x:c r="G74" s="10"/>
    </x:row>
    <x:row r="75" ht="14.25" customHeight="1">
      <x:c r="A75" s="10"/>
      <x:c r="B75" s="10"/>
      <x:c r="C75" s="10"/>
      <x:c r="D75" s="10"/>
      <x:c r="E75" s="10"/>
      <x:c r="F75" s="10"/>
      <x:c r="G75" s="10"/>
    </x:row>
    <x:row r="76" ht="14.25" customHeight="1">
      <x:c r="A76" s="10"/>
      <x:c r="B76" s="10"/>
      <x:c r="C76" s="10"/>
      <x:c r="D76" s="10"/>
      <x:c r="E76" s="10"/>
      <x:c r="F76" s="10"/>
      <x:c r="G76" s="10"/>
    </x:row>
    <x:row r="77" ht="14.25" customHeight="1">
      <x:c r="A77" s="10"/>
      <x:c r="B77" s="10"/>
      <x:c r="C77" s="10"/>
      <x:c r="D77" s="10"/>
      <x:c r="E77" s="10"/>
      <x:c r="F77" s="10"/>
      <x:c r="G77" s="10"/>
    </x:row>
    <x:row r="78" ht="14.25" customHeight="1">
      <x:c r="A78" s="10"/>
      <x:c r="B78" s="10"/>
      <x:c r="C78" s="10"/>
      <x:c r="D78" s="10"/>
      <x:c r="E78" s="10"/>
      <x:c r="F78" s="10"/>
      <x:c r="G78" s="10"/>
    </x:row>
    <x:row r="79" ht="14.25" customHeight="1">
      <x:c r="A79" s="10"/>
      <x:c r="B79" s="10"/>
      <x:c r="C79" s="10"/>
      <x:c r="D79" s="10"/>
      <x:c r="E79" s="10"/>
      <x:c r="F79" s="10"/>
      <x:c r="G79" s="10"/>
    </x:row>
    <x:row r="80" ht="14.25" customHeight="1">
      <x:c r="A80" s="10"/>
      <x:c r="B80" s="10"/>
      <x:c r="C80" s="10"/>
      <x:c r="D80" s="10"/>
      <x:c r="E80" s="10"/>
      <x:c r="F80" s="10"/>
      <x:c r="G80" s="10"/>
    </x:row>
    <x:row r="81" ht="14.25" customHeight="1">
      <x:c r="A81" s="10"/>
      <x:c r="B81" s="10"/>
      <x:c r="C81" s="10"/>
      <x:c r="D81" s="10"/>
      <x:c r="E81" s="10"/>
      <x:c r="F81" s="10"/>
      <x:c r="G81" s="10"/>
    </x:row>
    <x:row r="82" ht="14.25" customHeight="1">
      <x:c r="A82" s="10"/>
      <x:c r="B82" s="10"/>
      <x:c r="C82" s="10"/>
      <x:c r="D82" s="10"/>
      <x:c r="E82" s="10"/>
      <x:c r="F82" s="10"/>
      <x:c r="G82" s="10"/>
    </x:row>
    <x:row r="83" ht="14.25" customHeight="1">
      <x:c r="A83" s="10"/>
      <x:c r="B83" s="10"/>
      <x:c r="C83" s="10"/>
      <x:c r="D83" s="10"/>
      <x:c r="E83" s="10"/>
      <x:c r="F83" s="10"/>
      <x:c r="G83" s="10"/>
    </x:row>
    <x:row r="84" ht="14.25" customHeight="1">
      <x:c r="A84" s="10"/>
      <x:c r="B84" s="10"/>
      <x:c r="C84" s="10"/>
      <x:c r="D84" s="10"/>
      <x:c r="E84" s="10"/>
      <x:c r="F84" s="10"/>
      <x:c r="G84" s="10"/>
    </x:row>
    <x:row r="85" ht="14.25" customHeight="1">
      <x:c r="A85" s="10"/>
      <x:c r="B85" s="10"/>
      <x:c r="C85" s="10"/>
      <x:c r="D85" s="10"/>
      <x:c r="E85" s="10"/>
      <x:c r="F85" s="10"/>
      <x:c r="G85" s="10"/>
    </x:row>
    <x:row r="86" ht="14.25" customHeight="1">
      <x:c r="A86" s="10"/>
      <x:c r="B86" s="10"/>
      <x:c r="C86" s="10"/>
      <x:c r="D86" s="10"/>
      <x:c r="E86" s="10"/>
      <x:c r="F86" s="10"/>
      <x:c r="G86" s="10"/>
    </x:row>
    <x:row r="87" ht="14.25" customHeight="1">
      <x:c r="A87" s="10"/>
      <x:c r="B87" s="10"/>
      <x:c r="C87" s="10"/>
      <x:c r="D87" s="10"/>
      <x:c r="E87" s="10"/>
      <x:c r="F87" s="10"/>
      <x:c r="G87" s="10"/>
    </x:row>
    <x:row r="88" ht="14.25" customHeight="1">
      <x:c r="A88" s="10"/>
      <x:c r="B88" s="10"/>
      <x:c r="C88" s="10"/>
      <x:c r="D88" s="10"/>
      <x:c r="E88" s="10"/>
      <x:c r="F88" s="10"/>
      <x:c r="G88" s="10"/>
    </x:row>
    <x:row r="89" ht="14.25" customHeight="1">
      <x:c r="A89" s="10"/>
      <x:c r="B89" s="10"/>
      <x:c r="C89" s="10"/>
      <x:c r="D89" s="10"/>
      <x:c r="E89" s="10"/>
      <x:c r="F89" s="10"/>
      <x:c r="G89" s="10"/>
    </x:row>
    <x:row r="90" ht="14.25" customHeight="1">
      <x:c r="A90" s="10"/>
      <x:c r="B90" s="10"/>
      <x:c r="C90" s="10"/>
      <x:c r="D90" s="10"/>
      <x:c r="E90" s="10"/>
      <x:c r="F90" s="10"/>
      <x:c r="G90" s="10"/>
    </x:row>
    <x:row r="91" ht="14.25" customHeight="1">
      <x:c r="A91" s="10"/>
      <x:c r="B91" s="10"/>
      <x:c r="C91" s="10"/>
      <x:c r="D91" s="10"/>
      <x:c r="E91" s="10"/>
      <x:c r="F91" s="10"/>
      <x:c r="G91" s="10"/>
    </x:row>
    <x:row r="92" ht="14.25" customHeight="1">
      <x:c r="A92" s="10"/>
      <x:c r="B92" s="10"/>
      <x:c r="C92" s="10"/>
      <x:c r="D92" s="10"/>
      <x:c r="E92" s="10"/>
      <x:c r="F92" s="10"/>
      <x:c r="G92" s="10"/>
    </x:row>
    <x:row r="93" ht="14.25" customHeight="1">
      <x:c r="A93" s="10"/>
      <x:c r="B93" s="10"/>
      <x:c r="C93" s="10"/>
      <x:c r="D93" s="10"/>
      <x:c r="E93" s="10"/>
      <x:c r="F93" s="10"/>
      <x:c r="G93" s="10"/>
    </x:row>
    <x:row r="94" ht="14.25" customHeight="1">
      <x:c r="A94" s="10"/>
      <x:c r="B94" s="10"/>
      <x:c r="C94" s="10"/>
      <x:c r="D94" s="10"/>
      <x:c r="E94" s="10"/>
      <x:c r="F94" s="10"/>
      <x:c r="G94" s="10"/>
    </x:row>
    <x:row r="95" ht="14.25" customHeight="1">
      <x:c r="A95" s="10"/>
      <x:c r="B95" s="10"/>
      <x:c r="C95" s="10"/>
      <x:c r="D95" s="10"/>
      <x:c r="E95" s="10"/>
      <x:c r="F95" s="10"/>
      <x:c r="G95" s="10"/>
    </x:row>
    <x:row r="96" ht="14.25" customHeight="1">
      <x:c r="A96" s="10"/>
      <x:c r="B96" s="10"/>
      <x:c r="C96" s="10"/>
      <x:c r="D96" s="10"/>
      <x:c r="E96" s="10"/>
      <x:c r="F96" s="10"/>
      <x:c r="G96" s="10"/>
    </x:row>
    <x:row r="97" ht="14.25" customHeight="1">
      <x:c r="A97" s="10"/>
      <x:c r="B97" s="10"/>
      <x:c r="C97" s="10"/>
      <x:c r="D97" s="10"/>
      <x:c r="E97" s="10"/>
      <x:c r="F97" s="10"/>
      <x:c r="G97" s="10"/>
    </x:row>
    <x:row r="98" ht="14.25" customHeight="1">
      <x:c r="A98" s="10"/>
      <x:c r="B98" s="10"/>
      <x:c r="C98" s="10"/>
      <x:c r="D98" s="10"/>
      <x:c r="E98" s="10"/>
      <x:c r="F98" s="10"/>
      <x:c r="G98" s="10"/>
    </x:row>
    <x:row r="99" ht="14.25" customHeight="1">
      <x:c r="A99" s="10"/>
      <x:c r="B99" s="10"/>
      <x:c r="C99" s="10"/>
      <x:c r="D99" s="10"/>
      <x:c r="E99" s="10"/>
      <x:c r="F99" s="10"/>
      <x:c r="G99" s="10"/>
    </x:row>
    <x:row r="100" ht="14.25" customHeight="1">
      <x:c r="A100" s="10"/>
      <x:c r="B100" s="10"/>
      <x:c r="C100" s="10"/>
      <x:c r="D100" s="10"/>
      <x:c r="E100" s="10"/>
      <x:c r="F100" s="10"/>
      <x:c r="G100" s="10"/>
    </x:row>
    <x:row r="101" ht="14.25" customHeight="1">
      <x:c r="A101" s="10"/>
      <x:c r="B101" s="10"/>
      <x:c r="C101" s="10"/>
      <x:c r="D101" s="10"/>
      <x:c r="E101" s="10"/>
      <x:c r="F101" s="10"/>
      <x:c r="G101" s="10"/>
    </x:row>
    <x:row r="102" ht="14.25" customHeight="1">
      <x:c r="A102" s="10"/>
      <x:c r="B102" s="10"/>
      <x:c r="C102" s="10"/>
      <x:c r="D102" s="10"/>
      <x:c r="E102" s="10"/>
      <x:c r="F102" s="10"/>
      <x:c r="G102" s="10"/>
    </x:row>
    <x:row r="103" ht="14.25" customHeight="1">
      <x:c r="A103" s="10"/>
      <x:c r="B103" s="10"/>
      <x:c r="C103" s="10"/>
      <x:c r="D103" s="10"/>
      <x:c r="E103" s="10"/>
      <x:c r="F103" s="10"/>
      <x:c r="G103" s="10"/>
    </x:row>
    <x:row r="104" ht="14.25" customHeight="1">
      <x:c r="A104" s="10"/>
      <x:c r="B104" s="10"/>
      <x:c r="C104" s="10"/>
      <x:c r="D104" s="10"/>
      <x:c r="E104" s="10"/>
      <x:c r="F104" s="10"/>
      <x:c r="G104" s="10"/>
    </x:row>
    <x:row r="105" ht="14.25" customHeight="1">
      <x:c r="A105" s="10"/>
      <x:c r="B105" s="10"/>
      <x:c r="C105" s="10"/>
      <x:c r="D105" s="10"/>
      <x:c r="E105" s="10"/>
      <x:c r="F105" s="10"/>
      <x:c r="G105" s="10"/>
    </x:row>
    <x:row r="106" ht="14.25" customHeight="1">
      <x:c r="A106" s="10"/>
      <x:c r="B106" s="10"/>
      <x:c r="C106" s="10"/>
      <x:c r="D106" s="10"/>
      <x:c r="E106" s="10"/>
      <x:c r="F106" s="10"/>
      <x:c r="G106" s="10"/>
    </x:row>
    <x:row r="107" ht="14.25" customHeight="1">
      <x:c r="A107" s="10"/>
      <x:c r="B107" s="10"/>
      <x:c r="C107" s="10"/>
      <x:c r="D107" s="10"/>
      <x:c r="E107" s="10"/>
      <x:c r="F107" s="10"/>
      <x:c r="G107" s="10"/>
    </x:row>
    <x:row r="108" ht="14.25" customHeight="1">
      <x:c r="A108" s="10"/>
      <x:c r="B108" s="10"/>
      <x:c r="C108" s="10"/>
      <x:c r="D108" s="10"/>
      <x:c r="E108" s="10"/>
      <x:c r="F108" s="10"/>
      <x:c r="G108" s="10"/>
    </x:row>
    <x:row r="109" ht="14.25" customHeight="1">
      <x:c r="A109" s="10"/>
      <x:c r="B109" s="10"/>
      <x:c r="C109" s="10"/>
      <x:c r="D109" s="10"/>
      <x:c r="E109" s="10"/>
      <x:c r="F109" s="10"/>
      <x:c r="G109" s="10"/>
    </x:row>
    <x:row r="110" ht="14.25" customHeight="1">
      <x:c r="A110" s="10"/>
      <x:c r="B110" s="10"/>
      <x:c r="C110" s="10"/>
      <x:c r="D110" s="10"/>
      <x:c r="E110" s="10"/>
      <x:c r="F110" s="10"/>
      <x:c r="G110" s="10"/>
    </x:row>
    <x:row r="111" ht="14.25" customHeight="1">
      <x:c r="A111" s="10"/>
      <x:c r="B111" s="10"/>
      <x:c r="C111" s="10"/>
      <x:c r="D111" s="10"/>
      <x:c r="E111" s="10"/>
      <x:c r="F111" s="10"/>
      <x:c r="G111" s="10"/>
    </x:row>
    <x:row r="112" ht="14.25" customHeight="1">
      <x:c r="A112" s="10"/>
      <x:c r="B112" s="10"/>
      <x:c r="C112" s="10"/>
      <x:c r="D112" s="10"/>
      <x:c r="E112" s="10"/>
      <x:c r="F112" s="10"/>
      <x:c r="G112" s="10"/>
    </x:row>
    <x:row r="113" ht="14.25" customHeight="1">
      <x:c r="A113" s="10"/>
      <x:c r="B113" s="10"/>
      <x:c r="C113" s="10"/>
      <x:c r="D113" s="10"/>
      <x:c r="E113" s="10"/>
      <x:c r="F113" s="10"/>
      <x:c r="G113" s="10"/>
    </x:row>
    <x:row r="114" ht="14.25" customHeight="1">
      <x:c r="A114" s="10"/>
      <x:c r="B114" s="10"/>
      <x:c r="C114" s="10"/>
      <x:c r="D114" s="10"/>
      <x:c r="E114" s="10"/>
      <x:c r="F114" s="10"/>
      <x:c r="G114" s="10"/>
    </x:row>
    <x:row r="115" ht="14.25" customHeight="1">
      <x:c r="A115" s="10"/>
      <x:c r="B115" s="10"/>
      <x:c r="C115" s="10"/>
      <x:c r="D115" s="10"/>
      <x:c r="E115" s="10"/>
      <x:c r="F115" s="10"/>
      <x:c r="G115" s="10"/>
    </x:row>
    <x:row r="116" ht="14.25" customHeight="1">
      <x:c r="A116" s="10"/>
      <x:c r="B116" s="10"/>
      <x:c r="C116" s="10"/>
      <x:c r="D116" s="10"/>
      <x:c r="E116" s="10"/>
      <x:c r="F116" s="10"/>
      <x:c r="G116" s="10"/>
    </x:row>
    <x:row r="117" ht="14.25" customHeight="1">
      <x:c r="A117" s="10"/>
      <x:c r="B117" s="10"/>
      <x:c r="C117" s="10"/>
      <x:c r="D117" s="10"/>
      <x:c r="E117" s="10"/>
      <x:c r="F117" s="10"/>
      <x:c r="G117" s="10"/>
    </x:row>
    <x:row r="118" ht="14.25" customHeight="1">
      <x:c r="A118" s="10"/>
      <x:c r="B118" s="10"/>
      <x:c r="C118" s="10"/>
      <x:c r="D118" s="10"/>
      <x:c r="E118" s="10"/>
      <x:c r="F118" s="10"/>
      <x:c r="G118" s="10"/>
    </x:row>
    <x:row r="119" ht="14.25" customHeight="1">
      <x:c r="A119" s="10"/>
      <x:c r="B119" s="10"/>
      <x:c r="C119" s="10"/>
      <x:c r="D119" s="10"/>
      <x:c r="E119" s="10"/>
      <x:c r="F119" s="10"/>
      <x:c r="G119" s="10"/>
    </x:row>
    <x:row r="120" ht="14.25" customHeight="1">
      <x:c r="A120" s="10"/>
      <x:c r="B120" s="10"/>
      <x:c r="C120" s="10"/>
      <x:c r="D120" s="10"/>
      <x:c r="E120" s="10"/>
      <x:c r="F120" s="10"/>
      <x:c r="G120" s="10"/>
    </x:row>
    <x:row r="121" ht="14.25" customHeight="1">
      <x:c r="A121" s="10"/>
      <x:c r="B121" s="10"/>
      <x:c r="C121" s="10"/>
      <x:c r="D121" s="10"/>
      <x:c r="E121" s="10"/>
      <x:c r="F121" s="10"/>
      <x:c r="G121" s="10"/>
    </x:row>
    <x:row r="122" ht="14.25" customHeight="1">
      <x:c r="A122" s="10"/>
      <x:c r="B122" s="10"/>
      <x:c r="C122" s="10"/>
      <x:c r="D122" s="10"/>
      <x:c r="E122" s="10"/>
      <x:c r="F122" s="10"/>
      <x:c r="G122" s="10"/>
    </x:row>
    <x:row r="123" ht="14.25" customHeight="1">
      <x:c r="A123" s="10"/>
      <x:c r="B123" s="10"/>
      <x:c r="C123" s="10"/>
      <x:c r="D123" s="10"/>
      <x:c r="E123" s="10"/>
      <x:c r="F123" s="10"/>
      <x:c r="G123" s="10"/>
    </x:row>
    <x:row r="124" ht="14.25" customHeight="1">
      <x:c r="A124" s="10"/>
      <x:c r="B124" s="10"/>
      <x:c r="C124" s="10"/>
      <x:c r="D124" s="10"/>
      <x:c r="E124" s="10"/>
      <x:c r="F124" s="10"/>
      <x:c r="G124" s="10"/>
    </x:row>
    <x:row r="125" ht="14.25" customHeight="1">
      <x:c r="A125" s="10"/>
      <x:c r="B125" s="10"/>
      <x:c r="C125" s="10"/>
      <x:c r="D125" s="10"/>
      <x:c r="E125" s="10"/>
      <x:c r="F125" s="10"/>
      <x:c r="G125" s="10"/>
    </x:row>
    <x:row r="126" ht="14.25" customHeight="1">
      <x:c r="A126" s="10"/>
      <x:c r="B126" s="10"/>
      <x:c r="C126" s="10"/>
      <x:c r="D126" s="10"/>
      <x:c r="E126" s="10"/>
      <x:c r="F126" s="10"/>
      <x:c r="G126" s="10"/>
    </x:row>
    <x:row r="127" ht="14.25" customHeight="1">
      <x:c r="A127" s="10"/>
      <x:c r="B127" s="10"/>
      <x:c r="C127" s="10"/>
      <x:c r="D127" s="10"/>
      <x:c r="E127" s="10"/>
      <x:c r="F127" s="10"/>
      <x:c r="G127" s="10"/>
    </x:row>
    <x:row r="128" ht="14.25" customHeight="1">
      <x:c r="A128" s="10"/>
      <x:c r="B128" s="10"/>
      <x:c r="C128" s="10"/>
      <x:c r="D128" s="10"/>
      <x:c r="E128" s="10"/>
      <x:c r="F128" s="10"/>
      <x:c r="G128" s="10"/>
    </x:row>
    <x:row r="129" ht="14.25" customHeight="1">
      <x:c r="A129" s="10"/>
      <x:c r="B129" s="10"/>
      <x:c r="C129" s="10"/>
      <x:c r="D129" s="10"/>
      <x:c r="E129" s="10"/>
      <x:c r="F129" s="10"/>
      <x:c r="G129" s="10"/>
    </x:row>
    <x:row r="130" ht="14.25" customHeight="1">
      <x:c r="A130" s="10"/>
      <x:c r="B130" s="10"/>
      <x:c r="C130" s="10"/>
      <x:c r="D130" s="10"/>
      <x:c r="E130" s="10"/>
      <x:c r="F130" s="10"/>
      <x:c r="G130" s="10"/>
    </x:row>
    <x:row r="131" ht="14.25" customHeight="1">
      <x:c r="A131" s="10"/>
      <x:c r="B131" s="10"/>
      <x:c r="C131" s="10"/>
      <x:c r="D131" s="10"/>
      <x:c r="E131" s="10"/>
      <x:c r="F131" s="10"/>
      <x:c r="G131" s="10"/>
    </x:row>
    <x:row r="132" ht="14.25" customHeight="1">
      <x:c r="A132" s="10"/>
      <x:c r="B132" s="10"/>
      <x:c r="C132" s="10"/>
      <x:c r="D132" s="10"/>
      <x:c r="E132" s="10"/>
      <x:c r="F132" s="10"/>
      <x:c r="G132" s="10"/>
    </x:row>
    <x:row r="133" ht="14.25" customHeight="1">
      <x:c r="A133" s="10"/>
      <x:c r="B133" s="10"/>
      <x:c r="C133" s="10"/>
      <x:c r="D133" s="10"/>
      <x:c r="E133" s="10"/>
      <x:c r="F133" s="10"/>
      <x:c r="G133" s="10"/>
    </x:row>
    <x:row r="134" ht="14.25" customHeight="1">
      <x:c r="A134" s="10"/>
      <x:c r="B134" s="10"/>
      <x:c r="C134" s="10"/>
      <x:c r="D134" s="10"/>
      <x:c r="E134" s="10"/>
      <x:c r="F134" s="10"/>
      <x:c r="G134" s="10"/>
    </x:row>
    <x:row r="135" ht="14.25" customHeight="1">
      <x:c r="A135" s="10"/>
      <x:c r="B135" s="10"/>
      <x:c r="C135" s="10"/>
      <x:c r="D135" s="10"/>
      <x:c r="E135" s="10"/>
      <x:c r="F135" s="10"/>
      <x:c r="G135" s="10"/>
    </x:row>
    <x:row r="136" ht="14.25" customHeight="1">
      <x:c r="A136" s="10"/>
      <x:c r="B136" s="10"/>
      <x:c r="C136" s="10"/>
      <x:c r="D136" s="10"/>
      <x:c r="E136" s="10"/>
      <x:c r="F136" s="10"/>
      <x:c r="G136" s="10"/>
    </x:row>
    <x:row r="137" ht="14.25" customHeight="1">
      <x:c r="A137" s="10"/>
      <x:c r="B137" s="10"/>
      <x:c r="C137" s="10"/>
      <x:c r="D137" s="10"/>
      <x:c r="E137" s="10"/>
      <x:c r="F137" s="10"/>
      <x:c r="G137" s="10"/>
    </x:row>
    <x:row r="138" ht="14.25" customHeight="1">
      <x:c r="A138" s="10"/>
      <x:c r="B138" s="10"/>
      <x:c r="C138" s="10"/>
      <x:c r="D138" s="10"/>
      <x:c r="E138" s="10"/>
      <x:c r="F138" s="10"/>
      <x:c r="G138" s="10"/>
    </x:row>
    <x:row r="139" ht="14.25" customHeight="1">
      <x:c r="A139" s="10"/>
      <x:c r="B139" s="10"/>
      <x:c r="C139" s="10"/>
      <x:c r="D139" s="10"/>
      <x:c r="E139" s="10"/>
      <x:c r="F139" s="10"/>
      <x:c r="G139" s="10"/>
    </x:row>
    <x:row r="140" ht="14.25" customHeight="1">
      <x:c r="A140" s="10"/>
      <x:c r="B140" s="10"/>
      <x:c r="C140" s="10"/>
      <x:c r="D140" s="10"/>
      <x:c r="E140" s="10"/>
      <x:c r="F140" s="10"/>
      <x:c r="G140" s="10"/>
    </x:row>
    <x:row r="141" ht="14.25" customHeight="1">
      <x:c r="A141" s="10"/>
      <x:c r="B141" s="10"/>
      <x:c r="C141" s="10"/>
      <x:c r="D141" s="10"/>
      <x:c r="E141" s="10"/>
      <x:c r="F141" s="10"/>
      <x:c r="G141" s="10"/>
    </x:row>
    <x:row r="142" ht="14.25" customHeight="1">
      <x:c r="A142" s="10"/>
      <x:c r="B142" s="10"/>
      <x:c r="C142" s="10"/>
      <x:c r="D142" s="10"/>
      <x:c r="E142" s="10"/>
      <x:c r="F142" s="10"/>
      <x:c r="G142" s="10"/>
    </x:row>
    <x:row r="143" ht="14.25" customHeight="1">
      <x:c r="A143" s="10"/>
      <x:c r="B143" s="10"/>
      <x:c r="C143" s="10"/>
      <x:c r="D143" s="10"/>
      <x:c r="E143" s="10"/>
      <x:c r="F143" s="10"/>
      <x:c r="G143" s="10"/>
    </x:row>
    <x:row r="144" ht="14.25" customHeight="1">
      <x:c r="A144" s="10"/>
      <x:c r="B144" s="10"/>
      <x:c r="C144" s="10"/>
      <x:c r="D144" s="10"/>
      <x:c r="E144" s="10"/>
      <x:c r="F144" s="10"/>
      <x:c r="G144" s="10"/>
    </x:row>
    <x:row r="145" ht="14.25" customHeight="1">
      <x:c r="A145" s="10"/>
      <x:c r="B145" s="10"/>
      <x:c r="C145" s="10"/>
      <x:c r="D145" s="10"/>
      <x:c r="E145" s="10"/>
      <x:c r="F145" s="10"/>
      <x:c r="G145" s="10"/>
    </x:row>
    <x:row r="146" ht="14.25" customHeight="1">
      <x:c r="A146" s="10"/>
      <x:c r="B146" s="10"/>
      <x:c r="C146" s="10"/>
      <x:c r="D146" s="10"/>
      <x:c r="E146" s="10"/>
      <x:c r="F146" s="10"/>
      <x:c r="G146" s="10"/>
    </x:row>
    <x:row r="147" ht="14.25" customHeight="1">
      <x:c r="A147" s="10"/>
      <x:c r="B147" s="10"/>
      <x:c r="C147" s="10"/>
      <x:c r="D147" s="10"/>
      <x:c r="E147" s="10"/>
      <x:c r="F147" s="10"/>
      <x:c r="G147" s="10"/>
    </x:row>
    <x:row r="148" ht="14.25" customHeight="1">
      <x:c r="A148" s="10"/>
      <x:c r="B148" s="10"/>
      <x:c r="C148" s="10"/>
      <x:c r="D148" s="10"/>
      <x:c r="E148" s="10"/>
      <x:c r="F148" s="10"/>
      <x:c r="G148" s="10"/>
    </x:row>
    <x:row r="149" ht="14.25" customHeight="1">
      <x:c r="A149" s="10"/>
      <x:c r="B149" s="10"/>
      <x:c r="C149" s="10"/>
      <x:c r="D149" s="10"/>
      <x:c r="E149" s="10"/>
      <x:c r="F149" s="10"/>
      <x:c r="G149" s="10"/>
    </x:row>
    <x:row r="150" ht="14.25" customHeight="1">
      <x:c r="A150" s="10"/>
      <x:c r="B150" s="10"/>
      <x:c r="C150" s="10"/>
      <x:c r="D150" s="10"/>
      <x:c r="E150" s="10"/>
      <x:c r="F150" s="10"/>
      <x:c r="G150" s="10"/>
    </x:row>
    <x:row r="151" ht="14.25" customHeight="1">
      <x:c r="A151" s="10"/>
      <x:c r="B151" s="10"/>
      <x:c r="C151" s="10"/>
      <x:c r="D151" s="10"/>
      <x:c r="E151" s="10"/>
      <x:c r="F151" s="10"/>
      <x:c r="G151" s="10"/>
    </x:row>
    <x:row r="152" ht="14.25" customHeight="1">
      <x:c r="A152" s="10"/>
      <x:c r="B152" s="10"/>
      <x:c r="C152" s="10"/>
      <x:c r="D152" s="10"/>
      <x:c r="E152" s="10"/>
      <x:c r="F152" s="10"/>
      <x:c r="G152" s="10"/>
    </x:row>
    <x:row r="153" ht="14.25" customHeight="1">
      <x:c r="A153" s="10"/>
      <x:c r="B153" s="10"/>
      <x:c r="C153" s="10"/>
      <x:c r="D153" s="10"/>
      <x:c r="E153" s="10"/>
      <x:c r="F153" s="10"/>
      <x:c r="G153" s="10"/>
    </x:row>
    <x:row r="154" ht="14.25" customHeight="1">
      <x:c r="A154" s="10"/>
      <x:c r="B154" s="10"/>
      <x:c r="C154" s="10"/>
      <x:c r="D154" s="10"/>
      <x:c r="E154" s="10"/>
      <x:c r="F154" s="10"/>
      <x:c r="G154" s="10"/>
    </x:row>
    <x:row r="155" ht="14.25" customHeight="1">
      <x:c r="A155" s="10"/>
      <x:c r="B155" s="10"/>
      <x:c r="C155" s="10"/>
      <x:c r="D155" s="10"/>
      <x:c r="E155" s="10"/>
      <x:c r="F155" s="10"/>
      <x:c r="G155" s="10"/>
    </x:row>
    <x:row r="156" ht="14.25" customHeight="1">
      <x:c r="A156" s="10"/>
      <x:c r="B156" s="10"/>
      <x:c r="C156" s="10"/>
      <x:c r="D156" s="10"/>
      <x:c r="E156" s="10"/>
      <x:c r="F156" s="10"/>
      <x:c r="G156" s="10"/>
    </x:row>
    <x:row r="157" ht="14.25" customHeight="1">
      <x:c r="A157" s="10"/>
      <x:c r="B157" s="10"/>
      <x:c r="C157" s="10"/>
      <x:c r="D157" s="10"/>
      <x:c r="E157" s="10"/>
      <x:c r="F157" s="10"/>
      <x:c r="G157" s="10"/>
    </x:row>
    <x:row r="158" ht="14.25" customHeight="1">
      <x:c r="A158" s="10"/>
      <x:c r="B158" s="10"/>
      <x:c r="C158" s="10"/>
      <x:c r="D158" s="10"/>
      <x:c r="E158" s="10"/>
      <x:c r="F158" s="10"/>
      <x:c r="G158" s="10"/>
    </x:row>
    <x:row r="159" ht="14.25" customHeight="1">
      <x:c r="A159" s="10"/>
      <x:c r="B159" s="10"/>
      <x:c r="C159" s="10"/>
      <x:c r="D159" s="10"/>
      <x:c r="E159" s="10"/>
      <x:c r="F159" s="10"/>
      <x:c r="G159" s="10"/>
    </x:row>
    <x:row r="160" ht="14.25" customHeight="1">
      <x:c r="A160" s="10"/>
      <x:c r="B160" s="10"/>
      <x:c r="C160" s="10"/>
      <x:c r="D160" s="10"/>
      <x:c r="E160" s="10"/>
      <x:c r="F160" s="10"/>
      <x:c r="G160" s="10"/>
    </x:row>
    <x:row r="161" ht="14.25" customHeight="1">
      <x:c r="A161" s="10"/>
      <x:c r="B161" s="10"/>
      <x:c r="C161" s="10"/>
      <x:c r="D161" s="10"/>
      <x:c r="E161" s="10"/>
      <x:c r="F161" s="10"/>
      <x:c r="G161" s="10"/>
    </x:row>
    <x:row r="162" ht="14.25" customHeight="1">
      <x:c r="A162" s="10"/>
      <x:c r="B162" s="10"/>
      <x:c r="C162" s="10"/>
      <x:c r="D162" s="10"/>
      <x:c r="E162" s="10"/>
      <x:c r="F162" s="10"/>
      <x:c r="G162" s="10"/>
    </x:row>
    <x:row r="163" ht="14.25" customHeight="1">
      <x:c r="A163" s="10"/>
      <x:c r="B163" s="10"/>
      <x:c r="C163" s="10"/>
      <x:c r="D163" s="10"/>
      <x:c r="E163" s="10"/>
      <x:c r="F163" s="10"/>
      <x:c r="G163" s="10"/>
    </x:row>
    <x:row r="164" ht="14.25" customHeight="1">
      <x:c r="A164" s="10"/>
      <x:c r="B164" s="10"/>
      <x:c r="C164" s="10"/>
      <x:c r="D164" s="10"/>
      <x:c r="E164" s="10"/>
      <x:c r="F164" s="10"/>
      <x:c r="G164" s="10"/>
    </x:row>
    <x:row r="165" ht="14.25" customHeight="1">
      <x:c r="A165" s="10"/>
      <x:c r="B165" s="10"/>
      <x:c r="C165" s="10"/>
      <x:c r="D165" s="10"/>
      <x:c r="E165" s="10"/>
      <x:c r="F165" s="10"/>
      <x:c r="G165" s="10"/>
    </x:row>
    <x:row r="166" ht="14.25" customHeight="1">
      <x:c r="A166" s="10"/>
      <x:c r="B166" s="10"/>
      <x:c r="C166" s="10"/>
      <x:c r="D166" s="10"/>
      <x:c r="E166" s="10"/>
      <x:c r="F166" s="10"/>
      <x:c r="G166" s="10"/>
    </x:row>
    <x:row r="167" ht="14.25" customHeight="1">
      <x:c r="A167" s="10"/>
      <x:c r="B167" s="10"/>
      <x:c r="C167" s="10"/>
      <x:c r="D167" s="10"/>
      <x:c r="E167" s="10"/>
      <x:c r="F167" s="10"/>
      <x:c r="G167" s="10"/>
    </x:row>
    <x:row r="168" ht="14.25" customHeight="1">
      <x:c r="A168" s="10"/>
      <x:c r="B168" s="10"/>
      <x:c r="C168" s="10"/>
      <x:c r="D168" s="10"/>
      <x:c r="E168" s="10"/>
      <x:c r="F168" s="10"/>
      <x:c r="G168" s="10"/>
    </x:row>
    <x:row r="169" ht="14.25" customHeight="1">
      <x:c r="A169" s="10"/>
      <x:c r="B169" s="10"/>
      <x:c r="C169" s="10"/>
      <x:c r="D169" s="10"/>
      <x:c r="E169" s="10"/>
      <x:c r="F169" s="10"/>
      <x:c r="G169" s="10"/>
    </x:row>
    <x:row r="170" ht="14.25" customHeight="1">
      <x:c r="A170" s="10"/>
      <x:c r="B170" s="10"/>
      <x:c r="C170" s="10"/>
      <x:c r="D170" s="10"/>
      <x:c r="E170" s="10"/>
      <x:c r="F170" s="10"/>
      <x:c r="G170" s="10"/>
    </x:row>
    <x:row r="171" ht="14.25" customHeight="1">
      <x:c r="A171" s="10"/>
      <x:c r="B171" s="10"/>
      <x:c r="C171" s="10"/>
      <x:c r="D171" s="10"/>
      <x:c r="E171" s="10"/>
      <x:c r="F171" s="10"/>
      <x:c r="G171" s="10"/>
    </x:row>
    <x:row r="172" ht="14.25" customHeight="1">
      <x:c r="A172" s="10"/>
      <x:c r="B172" s="10"/>
      <x:c r="C172" s="10"/>
      <x:c r="D172" s="10"/>
      <x:c r="E172" s="10"/>
      <x:c r="F172" s="10"/>
      <x:c r="G172" s="10"/>
    </x:row>
    <x:row r="173" ht="14.25" customHeight="1">
      <x:c r="A173" s="10"/>
      <x:c r="B173" s="10"/>
      <x:c r="C173" s="10"/>
      <x:c r="D173" s="10"/>
      <x:c r="E173" s="10"/>
      <x:c r="F173" s="10"/>
      <x:c r="G173" s="10"/>
    </x:row>
    <x:row r="174" ht="14.25" customHeight="1">
      <x:c r="A174" s="10"/>
      <x:c r="B174" s="10"/>
      <x:c r="C174" s="10"/>
      <x:c r="D174" s="10"/>
      <x:c r="E174" s="10"/>
      <x:c r="F174" s="10"/>
      <x:c r="G174" s="10"/>
    </x:row>
    <x:row r="175" ht="14.25" customHeight="1">
      <x:c r="A175" s="10"/>
      <x:c r="B175" s="10"/>
      <x:c r="C175" s="10"/>
      <x:c r="D175" s="10"/>
      <x:c r="E175" s="10"/>
      <x:c r="F175" s="10"/>
      <x:c r="G175" s="10"/>
    </x:row>
    <x:row r="176" ht="14.25" customHeight="1">
      <x:c r="A176" s="10"/>
      <x:c r="B176" s="10"/>
      <x:c r="C176" s="10"/>
      <x:c r="D176" s="10"/>
      <x:c r="E176" s="10"/>
      <x:c r="F176" s="10"/>
      <x:c r="G176" s="10"/>
    </x:row>
    <x:row r="177" ht="14.25" customHeight="1">
      <x:c r="A177" s="10"/>
      <x:c r="B177" s="10"/>
      <x:c r="C177" s="10"/>
      <x:c r="D177" s="10"/>
      <x:c r="E177" s="10"/>
      <x:c r="F177" s="10"/>
      <x:c r="G177" s="10"/>
    </x:row>
    <x:row r="178" ht="14.25" customHeight="1">
      <x:c r="A178" s="10"/>
      <x:c r="B178" s="10"/>
      <x:c r="C178" s="10"/>
      <x:c r="D178" s="10"/>
      <x:c r="E178" s="10"/>
      <x:c r="F178" s="10"/>
      <x:c r="G178" s="10"/>
    </x:row>
    <x:row r="179" ht="14.25" customHeight="1">
      <x:c r="A179" s="10"/>
      <x:c r="B179" s="10"/>
      <x:c r="C179" s="10"/>
      <x:c r="D179" s="10"/>
      <x:c r="E179" s="10"/>
      <x:c r="F179" s="10"/>
      <x:c r="G179" s="10"/>
    </x:row>
    <x:row r="180" ht="14.25" customHeight="1">
      <x:c r="A180" s="10"/>
      <x:c r="B180" s="10"/>
      <x:c r="C180" s="10"/>
      <x:c r="D180" s="10"/>
      <x:c r="E180" s="10"/>
      <x:c r="F180" s="10"/>
      <x:c r="G180" s="10"/>
    </x:row>
    <x:row r="181" ht="14.25" customHeight="1">
      <x:c r="A181" s="10"/>
      <x:c r="B181" s="10"/>
      <x:c r="C181" s="10"/>
      <x:c r="D181" s="10"/>
      <x:c r="E181" s="10"/>
      <x:c r="F181" s="10"/>
      <x:c r="G181" s="10"/>
    </x:row>
    <x:row r="182" ht="14.25" customHeight="1">
      <x:c r="A182" s="10"/>
      <x:c r="B182" s="10"/>
      <x:c r="C182" s="10"/>
      <x:c r="D182" s="10"/>
      <x:c r="E182" s="10"/>
      <x:c r="F182" s="10"/>
      <x:c r="G182" s="10"/>
    </x:row>
    <x:row r="183" ht="14.25" customHeight="1">
      <x:c r="A183" s="10"/>
      <x:c r="B183" s="10"/>
      <x:c r="C183" s="10"/>
      <x:c r="D183" s="10"/>
      <x:c r="E183" s="10"/>
      <x:c r="F183" s="10"/>
      <x:c r="G183" s="10"/>
    </x:row>
    <x:row r="184" ht="14.25" customHeight="1">
      <x:c r="A184" s="10"/>
      <x:c r="B184" s="10"/>
      <x:c r="C184" s="10"/>
      <x:c r="D184" s="10"/>
      <x:c r="E184" s="10"/>
      <x:c r="F184" s="10"/>
      <x:c r="G184" s="10"/>
    </x:row>
    <x:row r="185" ht="14.25" customHeight="1">
      <x:c r="A185" s="10"/>
      <x:c r="B185" s="10"/>
      <x:c r="C185" s="10"/>
      <x:c r="D185" s="10"/>
      <x:c r="E185" s="10"/>
      <x:c r="F185" s="10"/>
      <x:c r="G185" s="10"/>
    </x:row>
    <x:row r="186" ht="14.25" customHeight="1">
      <x:c r="A186" s="10"/>
      <x:c r="B186" s="10"/>
      <x:c r="C186" s="10"/>
      <x:c r="D186" s="10"/>
      <x:c r="E186" s="10"/>
      <x:c r="F186" s="10"/>
      <x:c r="G186" s="10"/>
    </x:row>
    <x:row r="187" ht="14.25" customHeight="1">
      <x:c r="A187" s="10"/>
      <x:c r="B187" s="10"/>
      <x:c r="C187" s="10"/>
      <x:c r="D187" s="10"/>
      <x:c r="E187" s="10"/>
      <x:c r="F187" s="10"/>
      <x:c r="G187" s="10"/>
    </x:row>
    <x:row r="188" ht="14.25" customHeight="1">
      <x:c r="A188" s="10"/>
      <x:c r="B188" s="10"/>
      <x:c r="C188" s="10"/>
      <x:c r="D188" s="10"/>
      <x:c r="E188" s="10"/>
      <x:c r="F188" s="10"/>
      <x:c r="G188" s="10"/>
    </x:row>
    <x:row r="189" ht="14.25" customHeight="1">
      <x:c r="A189" s="10"/>
      <x:c r="B189" s="10"/>
      <x:c r="C189" s="10"/>
      <x:c r="D189" s="10"/>
      <x:c r="E189" s="10"/>
      <x:c r="F189" s="10"/>
      <x:c r="G189" s="10"/>
    </x:row>
    <x:row r="190" ht="14.25" customHeight="1">
      <x:c r="A190" s="10"/>
      <x:c r="B190" s="10"/>
      <x:c r="C190" s="10"/>
      <x:c r="D190" s="10"/>
      <x:c r="E190" s="10"/>
      <x:c r="F190" s="10"/>
      <x:c r="G190" s="10"/>
    </x:row>
    <x:row r="191" ht="14.25" customHeight="1">
      <x:c r="A191" s="10"/>
      <x:c r="B191" s="10"/>
      <x:c r="C191" s="10"/>
      <x:c r="D191" s="10"/>
      <x:c r="E191" s="10"/>
      <x:c r="F191" s="10"/>
      <x:c r="G191" s="10"/>
    </x:row>
    <x:row r="192" ht="14.25" customHeight="1">
      <x:c r="A192" s="10"/>
      <x:c r="B192" s="10"/>
      <x:c r="C192" s="10"/>
      <x:c r="D192" s="10"/>
      <x:c r="E192" s="10"/>
      <x:c r="F192" s="10"/>
      <x:c r="G192" s="10"/>
    </x:row>
    <x:row r="193" ht="14.25" customHeight="1">
      <x:c r="A193" s="10"/>
      <x:c r="B193" s="10"/>
      <x:c r="C193" s="10"/>
      <x:c r="D193" s="10"/>
      <x:c r="E193" s="10"/>
      <x:c r="F193" s="10"/>
      <x:c r="G193" s="10"/>
    </x:row>
    <x:row r="194" ht="14.25" customHeight="1">
      <x:c r="A194" s="10"/>
      <x:c r="B194" s="10"/>
      <x:c r="C194" s="10"/>
      <x:c r="D194" s="10"/>
      <x:c r="E194" s="10"/>
      <x:c r="F194" s="10"/>
      <x:c r="G194" s="10"/>
    </x:row>
    <x:row r="195" ht="14.25" customHeight="1">
      <x:c r="A195" s="10"/>
      <x:c r="B195" s="10"/>
      <x:c r="C195" s="10"/>
      <x:c r="D195" s="10"/>
      <x:c r="E195" s="10"/>
      <x:c r="F195" s="10"/>
      <x:c r="G195" s="10"/>
    </x:row>
    <x:row r="196" ht="14.25" customHeight="1">
      <x:c r="A196" s="10"/>
      <x:c r="B196" s="10"/>
      <x:c r="C196" s="10"/>
      <x:c r="D196" s="10"/>
      <x:c r="E196" s="10"/>
      <x:c r="F196" s="10"/>
      <x:c r="G196" s="10"/>
    </x:row>
    <x:row r="197" ht="14.25" customHeight="1">
      <x:c r="A197" s="10"/>
      <x:c r="B197" s="10"/>
      <x:c r="C197" s="10"/>
      <x:c r="D197" s="10"/>
      <x:c r="E197" s="10"/>
      <x:c r="F197" s="10"/>
      <x:c r="G197" s="10"/>
    </x:row>
    <x:row r="198" ht="14.25" customHeight="1">
      <x:c r="A198" s="10"/>
      <x:c r="B198" s="10"/>
      <x:c r="C198" s="10"/>
      <x:c r="D198" s="10"/>
      <x:c r="E198" s="10"/>
      <x:c r="F198" s="10"/>
      <x:c r="G198" s="10"/>
    </x:row>
    <x:row r="199" ht="14.25" customHeight="1">
      <x:c r="A199" s="10"/>
      <x:c r="B199" s="10"/>
      <x:c r="C199" s="10"/>
      <x:c r="D199" s="10"/>
      <x:c r="E199" s="10"/>
      <x:c r="F199" s="10"/>
      <x:c r="G199" s="10"/>
    </x:row>
    <x:row r="200" ht="14.25" customHeight="1">
      <x:c r="A200" s="10"/>
      <x:c r="B200" s="10"/>
      <x:c r="C200" s="10"/>
      <x:c r="D200" s="10"/>
      <x:c r="E200" s="10"/>
      <x:c r="F200" s="10"/>
      <x:c r="G200" s="10"/>
    </x:row>
    <x:row r="201" ht="14.25" customHeight="1">
      <x:c r="A201" s="10"/>
      <x:c r="B201" s="10"/>
      <x:c r="C201" s="10"/>
      <x:c r="D201" s="10"/>
      <x:c r="E201" s="10"/>
      <x:c r="F201" s="10"/>
      <x:c r="G201" s="10"/>
    </x:row>
    <x:row r="202" ht="14.25" customHeight="1">
      <x:c r="A202" s="10"/>
      <x:c r="B202" s="10"/>
      <x:c r="C202" s="10"/>
      <x:c r="D202" s="10"/>
      <x:c r="E202" s="10"/>
      <x:c r="F202" s="10"/>
      <x:c r="G202" s="10"/>
    </x:row>
    <x:row r="203" ht="14.25" customHeight="1">
      <x:c r="A203" s="10"/>
      <x:c r="B203" s="10"/>
      <x:c r="C203" s="10"/>
      <x:c r="D203" s="10"/>
      <x:c r="E203" s="10"/>
      <x:c r="F203" s="10"/>
      <x:c r="G203" s="10"/>
    </x:row>
    <x:row r="204" ht="14.25" customHeight="1">
      <x:c r="A204" s="10"/>
      <x:c r="B204" s="10"/>
      <x:c r="C204" s="10"/>
      <x:c r="D204" s="10"/>
      <x:c r="E204" s="10"/>
      <x:c r="F204" s="10"/>
      <x:c r="G204" s="10"/>
    </x:row>
    <x:row r="205" ht="14.25" customHeight="1">
      <x:c r="A205" s="10"/>
      <x:c r="B205" s="10"/>
      <x:c r="C205" s="10"/>
      <x:c r="D205" s="10"/>
      <x:c r="E205" s="10"/>
      <x:c r="F205" s="10"/>
      <x:c r="G205" s="10"/>
    </x:row>
    <x:row r="206" ht="14.25" customHeight="1">
      <x:c r="A206" s="10"/>
      <x:c r="B206" s="10"/>
      <x:c r="C206" s="10"/>
      <x:c r="D206" s="10"/>
      <x:c r="E206" s="10"/>
      <x:c r="F206" s="10"/>
      <x:c r="G206" s="10"/>
    </x:row>
    <x:row r="207" ht="14.25" customHeight="1">
      <x:c r="A207" s="10"/>
      <x:c r="B207" s="10"/>
      <x:c r="C207" s="10"/>
      <x:c r="D207" s="10"/>
      <x:c r="E207" s="10"/>
      <x:c r="F207" s="10"/>
      <x:c r="G207" s="10"/>
    </x:row>
    <x:row r="208" ht="14.25" customHeight="1">
      <x:c r="A208" s="10"/>
      <x:c r="B208" s="10"/>
      <x:c r="C208" s="10"/>
      <x:c r="D208" s="10"/>
      <x:c r="E208" s="10"/>
      <x:c r="F208" s="10"/>
      <x:c r="G208" s="10"/>
    </x:row>
    <x:row r="209" ht="14.25" customHeight="1">
      <x:c r="A209" s="10"/>
      <x:c r="B209" s="10"/>
      <x:c r="C209" s="10"/>
      <x:c r="D209" s="10"/>
      <x:c r="E209" s="10"/>
      <x:c r="F209" s="10"/>
      <x:c r="G209" s="10"/>
    </x:row>
    <x:row r="210" ht="14.25" customHeight="1">
      <x:c r="A210" s="10"/>
      <x:c r="B210" s="10"/>
      <x:c r="C210" s="10"/>
      <x:c r="D210" s="10"/>
      <x:c r="E210" s="10"/>
      <x:c r="F210" s="10"/>
      <x:c r="G210" s="10"/>
    </x:row>
    <x:row r="211" ht="14.25" customHeight="1">
      <x:c r="A211" s="10"/>
      <x:c r="B211" s="10"/>
      <x:c r="C211" s="10"/>
      <x:c r="D211" s="10"/>
      <x:c r="E211" s="10"/>
      <x:c r="F211" s="10"/>
      <x:c r="G211" s="10"/>
    </x:row>
    <x:row r="212" ht="14.25" customHeight="1">
      <x:c r="A212" s="10"/>
      <x:c r="B212" s="10"/>
      <x:c r="C212" s="10"/>
      <x:c r="D212" s="10"/>
      <x:c r="E212" s="10"/>
      <x:c r="F212" s="10"/>
      <x:c r="G212" s="10"/>
    </x:row>
    <x:row r="213" ht="14.25" customHeight="1">
      <x:c r="A213" s="10"/>
      <x:c r="B213" s="10"/>
      <x:c r="C213" s="10"/>
      <x:c r="D213" s="10"/>
      <x:c r="E213" s="10"/>
      <x:c r="F213" s="10"/>
      <x:c r="G213" s="10"/>
    </x:row>
    <x:row r="214" ht="14.25" customHeight="1">
      <x:c r="A214" s="10"/>
      <x:c r="B214" s="10"/>
      <x:c r="C214" s="10"/>
      <x:c r="D214" s="10"/>
      <x:c r="E214" s="10"/>
      <x:c r="F214" s="10"/>
      <x:c r="G214" s="10"/>
    </x:row>
    <x:row r="215" ht="14.25" customHeight="1">
      <x:c r="A215" s="10"/>
      <x:c r="B215" s="10"/>
      <x:c r="C215" s="10"/>
      <x:c r="D215" s="10"/>
      <x:c r="E215" s="10"/>
      <x:c r="F215" s="10"/>
      <x:c r="G215" s="10"/>
    </x:row>
    <x:row r="216" ht="14.25" customHeight="1">
      <x:c r="A216" s="10"/>
      <x:c r="B216" s="10"/>
      <x:c r="C216" s="10"/>
      <x:c r="D216" s="10"/>
      <x:c r="E216" s="10"/>
      <x:c r="F216" s="10"/>
      <x:c r="G216" s="10"/>
    </x:row>
    <x:row r="217" ht="14.25" customHeight="1">
      <x:c r="A217" s="10"/>
      <x:c r="B217" s="10"/>
      <x:c r="C217" s="10"/>
      <x:c r="D217" s="10"/>
      <x:c r="E217" s="10"/>
      <x:c r="F217" s="10"/>
      <x:c r="G217" s="10"/>
    </x:row>
    <x:row r="218" ht="14.25" customHeight="1">
      <x:c r="A218" s="10"/>
      <x:c r="B218" s="10"/>
      <x:c r="C218" s="10"/>
      <x:c r="D218" s="10"/>
      <x:c r="E218" s="10"/>
      <x:c r="F218" s="10"/>
      <x:c r="G218" s="10"/>
    </x:row>
    <x:row r="219" ht="14.25" customHeight="1">
      <x:c r="A219" s="10"/>
      <x:c r="B219" s="10"/>
      <x:c r="C219" s="10"/>
      <x:c r="D219" s="10"/>
      <x:c r="E219" s="10"/>
      <x:c r="F219" s="10"/>
      <x:c r="G219" s="10"/>
    </x:row>
    <x:row r="220" ht="14.25" customHeight="1">
      <x:c r="A220" s="10"/>
      <x:c r="B220" s="10"/>
      <x:c r="C220" s="10"/>
      <x:c r="D220" s="10"/>
      <x:c r="E220" s="10"/>
      <x:c r="F220" s="10"/>
      <x:c r="G220" s="10"/>
    </x:row>
    <x:row r="221" ht="14.25" customHeight="1">
      <x:c r="A221" s="10"/>
      <x:c r="B221" s="10"/>
      <x:c r="C221" s="10"/>
      <x:c r="D221" s="10"/>
      <x:c r="E221" s="10"/>
      <x:c r="F221" s="10"/>
      <x:c r="G221" s="10"/>
    </x:row>
    <x:row r="222" ht="14.25" customHeight="1">
      <x:c r="A222" s="10"/>
      <x:c r="B222" s="10"/>
      <x:c r="C222" s="10"/>
      <x:c r="D222" s="10"/>
      <x:c r="E222" s="10"/>
      <x:c r="F222" s="10"/>
      <x:c r="G222" s="10"/>
    </x:row>
    <x:row r="223" ht="14.25" customHeight="1">
      <x:c r="A223" s="10"/>
      <x:c r="B223" s="10"/>
      <x:c r="C223" s="10"/>
      <x:c r="D223" s="10"/>
      <x:c r="E223" s="10"/>
      <x:c r="F223" s="10"/>
      <x:c r="G223" s="10"/>
    </x:row>
    <x:row r="224" ht="14.25" customHeight="1">
      <x:c r="A224" s="10"/>
      <x:c r="B224" s="10"/>
      <x:c r="C224" s="10"/>
      <x:c r="D224" s="10"/>
      <x:c r="E224" s="10"/>
      <x:c r="F224" s="10"/>
      <x:c r="G224" s="10"/>
    </x:row>
    <x:row r="225" ht="14.25" customHeight="1">
      <x:c r="A225" s="10"/>
      <x:c r="B225" s="10"/>
      <x:c r="C225" s="10"/>
      <x:c r="D225" s="10"/>
      <x:c r="E225" s="10"/>
      <x:c r="F225" s="10"/>
      <x:c r="G225" s="10"/>
    </x:row>
    <x:row r="226" ht="14.25" customHeight="1">
      <x:c r="A226" s="10"/>
      <x:c r="B226" s="10"/>
      <x:c r="C226" s="10"/>
      <x:c r="D226" s="10"/>
      <x:c r="E226" s="10"/>
      <x:c r="F226" s="10"/>
      <x:c r="G226" s="10"/>
    </x:row>
    <x:row r="227" ht="14.25" customHeight="1">
      <x:c r="A227" s="10"/>
      <x:c r="B227" s="10"/>
      <x:c r="C227" s="10"/>
      <x:c r="D227" s="10"/>
      <x:c r="E227" s="10"/>
      <x:c r="F227" s="10"/>
      <x:c r="G227" s="10"/>
    </x:row>
    <x:row r="228" ht="14.25" customHeight="1">
      <x:c r="A228" s="10"/>
      <x:c r="B228" s="10"/>
      <x:c r="C228" s="10"/>
      <x:c r="D228" s="10"/>
      <x:c r="E228" s="10"/>
      <x:c r="F228" s="10"/>
      <x:c r="G228" s="10"/>
    </x:row>
    <x:row r="229" ht="14.25" customHeight="1">
      <x:c r="A229" s="10"/>
      <x:c r="B229" s="10"/>
      <x:c r="C229" s="10"/>
      <x:c r="D229" s="10"/>
      <x:c r="E229" s="10"/>
      <x:c r="F229" s="10"/>
      <x:c r="G229" s="10"/>
    </x:row>
    <x:row r="230" ht="14.25" customHeight="1">
      <x:c r="A230" s="10"/>
      <x:c r="B230" s="10"/>
      <x:c r="C230" s="10"/>
      <x:c r="D230" s="10"/>
      <x:c r="E230" s="10"/>
      <x:c r="F230" s="10"/>
      <x:c r="G230" s="10"/>
    </x:row>
    <x:row r="231" ht="14.25" customHeight="1">
      <x:c r="A231" s="10"/>
      <x:c r="B231" s="10"/>
      <x:c r="C231" s="10"/>
      <x:c r="D231" s="10"/>
      <x:c r="E231" s="10"/>
      <x:c r="F231" s="10"/>
      <x:c r="G231" s="10"/>
    </x:row>
    <x:row r="232" ht="14.25" customHeight="1">
      <x:c r="A232" s="10"/>
      <x:c r="B232" s="10"/>
      <x:c r="C232" s="10"/>
      <x:c r="D232" s="10"/>
      <x:c r="E232" s="10"/>
      <x:c r="F232" s="10"/>
      <x:c r="G232" s="10"/>
    </x:row>
    <x:row r="233" ht="14.25" customHeight="1">
      <x:c r="A233" s="10"/>
      <x:c r="B233" s="10"/>
      <x:c r="C233" s="10"/>
      <x:c r="D233" s="10"/>
      <x:c r="E233" s="10"/>
      <x:c r="F233" s="10"/>
      <x:c r="G233" s="10"/>
    </x:row>
    <x:row r="234" ht="14.25" customHeight="1">
      <x:c r="A234" s="10"/>
      <x:c r="B234" s="10"/>
      <x:c r="C234" s="10"/>
      <x:c r="D234" s="10"/>
      <x:c r="E234" s="10"/>
      <x:c r="F234" s="10"/>
      <x:c r="G234" s="10"/>
    </x:row>
    <x:row r="235" ht="14.25" customHeight="1">
      <x:c r="A235" s="10"/>
      <x:c r="B235" s="10"/>
      <x:c r="C235" s="10"/>
      <x:c r="D235" s="10"/>
      <x:c r="E235" s="10"/>
      <x:c r="F235" s="10"/>
      <x:c r="G235" s="10"/>
    </x:row>
    <x:row r="236" ht="14.25" customHeight="1">
      <x:c r="A236" s="10"/>
      <x:c r="B236" s="10"/>
      <x:c r="C236" s="10"/>
      <x:c r="D236" s="10"/>
      <x:c r="E236" s="10"/>
      <x:c r="F236" s="10"/>
      <x:c r="G236" s="10"/>
    </x:row>
    <x:row r="237" ht="14.25" customHeight="1">
      <x:c r="A237" s="10"/>
      <x:c r="B237" s="10"/>
      <x:c r="C237" s="10"/>
      <x:c r="D237" s="10"/>
      <x:c r="E237" s="10"/>
      <x:c r="F237" s="10"/>
      <x:c r="G237" s="10"/>
    </x:row>
    <x:row r="238" ht="14.25" customHeight="1">
      <x:c r="A238" s="10"/>
      <x:c r="B238" s="10"/>
      <x:c r="C238" s="10"/>
      <x:c r="D238" s="10"/>
      <x:c r="E238" s="10"/>
      <x:c r="F238" s="10"/>
      <x:c r="G238" s="10"/>
    </x:row>
    <x:row r="239" ht="14.25" customHeight="1">
      <x:c r="A239" s="10"/>
      <x:c r="B239" s="10"/>
      <x:c r="C239" s="10"/>
      <x:c r="D239" s="10"/>
      <x:c r="E239" s="10"/>
      <x:c r="F239" s="10"/>
      <x:c r="G239" s="10"/>
    </x:row>
    <x:row r="240" ht="14.25" customHeight="1">
      <x:c r="A240" s="10"/>
      <x:c r="B240" s="10"/>
      <x:c r="C240" s="10"/>
      <x:c r="D240" s="10"/>
      <x:c r="E240" s="10"/>
      <x:c r="F240" s="10"/>
      <x:c r="G240" s="10"/>
    </x:row>
    <x:row r="241" ht="14.25" customHeight="1">
      <x:c r="A241" s="10"/>
      <x:c r="B241" s="10"/>
      <x:c r="C241" s="10"/>
      <x:c r="D241" s="10"/>
      <x:c r="E241" s="10"/>
      <x:c r="F241" s="10"/>
      <x:c r="G241" s="10"/>
    </x:row>
    <x:row r="242" ht="14.25" customHeight="1">
      <x:c r="A242" s="10"/>
      <x:c r="B242" s="10"/>
      <x:c r="C242" s="10"/>
      <x:c r="D242" s="10"/>
      <x:c r="E242" s="10"/>
      <x:c r="F242" s="10"/>
      <x:c r="G242" s="10"/>
    </x:row>
    <x:row r="243" ht="14.25" customHeight="1">
      <x:c r="A243" s="10"/>
      <x:c r="B243" s="10"/>
      <x:c r="C243" s="10"/>
      <x:c r="D243" s="10"/>
      <x:c r="E243" s="10"/>
      <x:c r="F243" s="10"/>
      <x:c r="G243" s="10"/>
    </x:row>
    <x:row r="244" ht="14.25" customHeight="1">
      <x:c r="A244" s="10"/>
      <x:c r="B244" s="10"/>
      <x:c r="C244" s="10"/>
      <x:c r="D244" s="10"/>
      <x:c r="E244" s="10"/>
      <x:c r="F244" s="10"/>
      <x:c r="G244" s="10"/>
    </x:row>
    <x:row r="245" ht="14.25" customHeight="1">
      <x:c r="A245" s="10"/>
      <x:c r="B245" s="10"/>
      <x:c r="C245" s="10"/>
      <x:c r="D245" s="10"/>
      <x:c r="E245" s="10"/>
      <x:c r="F245" s="10"/>
      <x:c r="G245" s="10"/>
    </x:row>
    <x:row r="246" ht="14.25" customHeight="1">
      <x:c r="A246" s="10"/>
      <x:c r="B246" s="10"/>
      <x:c r="C246" s="10"/>
      <x:c r="D246" s="10"/>
      <x:c r="E246" s="10"/>
      <x:c r="F246" s="10"/>
      <x:c r="G246" s="10"/>
    </x:row>
    <x:row r="247" ht="14.25" customHeight="1">
      <x:c r="A247" s="10"/>
      <x:c r="B247" s="10"/>
      <x:c r="C247" s="10"/>
      <x:c r="D247" s="10"/>
      <x:c r="E247" s="10"/>
      <x:c r="F247" s="10"/>
      <x:c r="G247" s="10"/>
    </x:row>
    <x:row r="248" ht="14.25" customHeight="1">
      <x:c r="A248" s="10"/>
      <x:c r="B248" s="10"/>
      <x:c r="C248" s="10"/>
      <x:c r="D248" s="10"/>
      <x:c r="E248" s="10"/>
      <x:c r="F248" s="10"/>
      <x:c r="G248" s="10"/>
    </x:row>
    <x:row r="249" ht="14.25" customHeight="1">
      <x:c r="A249" s="10"/>
      <x:c r="B249" s="10"/>
      <x:c r="C249" s="10"/>
      <x:c r="D249" s="10"/>
      <x:c r="E249" s="10"/>
      <x:c r="F249" s="10"/>
      <x:c r="G249" s="10"/>
    </x:row>
    <x:row r="250" ht="14.25" customHeight="1">
      <x:c r="A250" s="10"/>
      <x:c r="B250" s="10"/>
      <x:c r="C250" s="10"/>
      <x:c r="D250" s="10"/>
      <x:c r="E250" s="10"/>
      <x:c r="F250" s="10"/>
      <x:c r="G250" s="10"/>
    </x:row>
    <x:row r="251" ht="14.25" customHeight="1">
      <x:c r="A251" s="10"/>
      <x:c r="B251" s="10"/>
      <x:c r="C251" s="10"/>
      <x:c r="D251" s="10"/>
      <x:c r="E251" s="10"/>
      <x:c r="F251" s="10"/>
      <x:c r="G251" s="10"/>
    </x:row>
    <x:row r="252" ht="14.25" customHeight="1">
      <x:c r="A252" s="10"/>
      <x:c r="B252" s="10"/>
      <x:c r="C252" s="10"/>
      <x:c r="D252" s="10"/>
      <x:c r="E252" s="10"/>
      <x:c r="F252" s="10"/>
      <x:c r="G252" s="10"/>
    </x:row>
    <x:row r="253" ht="14.25" customHeight="1">
      <x:c r="A253" s="10"/>
      <x:c r="B253" s="10"/>
      <x:c r="C253" s="10"/>
      <x:c r="D253" s="10"/>
      <x:c r="E253" s="10"/>
      <x:c r="F253" s="10"/>
      <x:c r="G253" s="10"/>
    </x:row>
    <x:row r="254" ht="14.25" customHeight="1">
      <x:c r="A254" s="10"/>
      <x:c r="B254" s="10"/>
      <x:c r="C254" s="10"/>
      <x:c r="D254" s="10"/>
      <x:c r="E254" s="10"/>
      <x:c r="F254" s="10"/>
      <x:c r="G254" s="10"/>
    </x:row>
    <x:row r="255" ht="14.25" customHeight="1">
      <x:c r="A255" s="10"/>
      <x:c r="B255" s="10"/>
      <x:c r="C255" s="10"/>
      <x:c r="D255" s="10"/>
      <x:c r="E255" s="10"/>
      <x:c r="F255" s="10"/>
      <x:c r="G255" s="10"/>
    </x:row>
    <x:row r="256" ht="14.25" customHeight="1">
      <x:c r="A256" s="10"/>
      <x:c r="B256" s="10"/>
      <x:c r="C256" s="10"/>
      <x:c r="D256" s="10"/>
      <x:c r="E256" s="10"/>
      <x:c r="F256" s="10"/>
      <x:c r="G256" s="10"/>
    </x:row>
    <x:row r="257" ht="14.25" customHeight="1">
      <x:c r="A257" s="10"/>
      <x:c r="B257" s="10"/>
      <x:c r="C257" s="10"/>
      <x:c r="D257" s="10"/>
      <x:c r="E257" s="10"/>
      <x:c r="F257" s="10"/>
      <x:c r="G257" s="10"/>
    </x:row>
    <x:row r="258" ht="14.25" customHeight="1">
      <x:c r="A258" s="10"/>
      <x:c r="B258" s="10"/>
      <x:c r="C258" s="10"/>
      <x:c r="D258" s="10"/>
      <x:c r="E258" s="10"/>
      <x:c r="F258" s="10"/>
      <x:c r="G258" s="10"/>
    </x:row>
    <x:row r="259" ht="14.25" customHeight="1">
      <x:c r="A259" s="10"/>
      <x:c r="B259" s="10"/>
      <x:c r="C259" s="10"/>
      <x:c r="D259" s="10"/>
      <x:c r="E259" s="10"/>
      <x:c r="F259" s="10"/>
      <x:c r="G259" s="10"/>
    </x:row>
    <x:row r="260" ht="14.25" customHeight="1">
      <x:c r="A260" s="10"/>
      <x:c r="B260" s="10"/>
      <x:c r="C260" s="10"/>
      <x:c r="D260" s="10"/>
      <x:c r="E260" s="10"/>
      <x:c r="F260" s="10"/>
      <x:c r="G260" s="10"/>
    </x:row>
    <x:row r="261" ht="14.25" customHeight="1">
      <x:c r="A261" s="10"/>
      <x:c r="B261" s="10"/>
      <x:c r="C261" s="10"/>
      <x:c r="D261" s="10"/>
      <x:c r="E261" s="10"/>
      <x:c r="F261" s="10"/>
      <x:c r="G261" s="10"/>
    </x:row>
    <x:row r="262" ht="14.25" customHeight="1">
      <x:c r="A262" s="10"/>
      <x:c r="B262" s="10"/>
      <x:c r="C262" s="10"/>
      <x:c r="D262" s="10"/>
      <x:c r="E262" s="10"/>
      <x:c r="F262" s="10"/>
      <x:c r="G262" s="10"/>
    </x:row>
    <x:row r="263" ht="14.25" customHeight="1">
      <x:c r="A263" s="10"/>
      <x:c r="B263" s="10"/>
      <x:c r="C263" s="10"/>
      <x:c r="D263" s="10"/>
      <x:c r="E263" s="10"/>
      <x:c r="F263" s="10"/>
      <x:c r="G263" s="10"/>
    </x:row>
    <x:row r="264" ht="14.25" customHeight="1">
      <x:c r="A264" s="10"/>
      <x:c r="B264" s="10"/>
      <x:c r="C264" s="10"/>
      <x:c r="D264" s="10"/>
      <x:c r="E264" s="10"/>
      <x:c r="F264" s="10"/>
      <x:c r="G264" s="10"/>
    </x:row>
    <x:row r="265" ht="14.25" customHeight="1">
      <x:c r="A265" s="10"/>
      <x:c r="B265" s="10"/>
      <x:c r="C265" s="10"/>
      <x:c r="D265" s="10"/>
      <x:c r="E265" s="10"/>
      <x:c r="F265" s="10"/>
      <x:c r="G265" s="10"/>
    </x:row>
    <x:row r="266" ht="14.25" customHeight="1">
      <x:c r="A266" s="10"/>
      <x:c r="B266" s="10"/>
      <x:c r="C266" s="10"/>
      <x:c r="D266" s="10"/>
      <x:c r="E266" s="10"/>
      <x:c r="F266" s="10"/>
      <x:c r="G266" s="10"/>
    </x:row>
    <x:row r="267" ht="14.25" customHeight="1">
      <x:c r="A267" s="10"/>
      <x:c r="B267" s="10"/>
      <x:c r="C267" s="10"/>
      <x:c r="D267" s="10"/>
      <x:c r="E267" s="10"/>
      <x:c r="F267" s="10"/>
      <x:c r="G267" s="10"/>
    </x:row>
    <x:row r="268" ht="14.25" customHeight="1">
      <x:c r="A268" s="10"/>
      <x:c r="B268" s="10"/>
      <x:c r="C268" s="10"/>
      <x:c r="D268" s="10"/>
      <x:c r="E268" s="10"/>
      <x:c r="F268" s="10"/>
      <x:c r="G268" s="10"/>
    </x:row>
    <x:row r="269" ht="14.25" customHeight="1">
      <x:c r="A269" s="10"/>
      <x:c r="B269" s="10"/>
      <x:c r="C269" s="10"/>
      <x:c r="D269" s="10"/>
      <x:c r="E269" s="10"/>
      <x:c r="F269" s="10"/>
      <x:c r="G269" s="10"/>
    </x:row>
    <x:row r="270" ht="14.25" customHeight="1">
      <x:c r="A270" s="10"/>
      <x:c r="B270" s="10"/>
      <x:c r="C270" s="10"/>
      <x:c r="D270" s="10"/>
      <x:c r="E270" s="10"/>
      <x:c r="F270" s="10"/>
      <x:c r="G270" s="10"/>
    </x:row>
    <x:row r="271" ht="14.25" customHeight="1">
      <x:c r="A271" s="10"/>
      <x:c r="B271" s="10"/>
      <x:c r="C271" s="10"/>
      <x:c r="D271" s="10"/>
      <x:c r="E271" s="10"/>
      <x:c r="F271" s="10"/>
      <x:c r="G271" s="10"/>
    </x:row>
    <x:row r="272" ht="14.25" customHeight="1">
      <x:c r="A272" s="10"/>
      <x:c r="B272" s="10"/>
      <x:c r="C272" s="10"/>
      <x:c r="D272" s="10"/>
      <x:c r="E272" s="10"/>
      <x:c r="F272" s="10"/>
      <x:c r="G272" s="10"/>
    </x:row>
    <x:row r="273" ht="14.25" customHeight="1">
      <x:c r="A273" s="10"/>
      <x:c r="B273" s="10"/>
      <x:c r="C273" s="10"/>
      <x:c r="D273" s="10"/>
      <x:c r="E273" s="10"/>
      <x:c r="F273" s="10"/>
      <x:c r="G273" s="10"/>
    </x:row>
    <x:row r="274" ht="14.25" customHeight="1">
      <x:c r="A274" s="10"/>
      <x:c r="B274" s="10"/>
      <x:c r="C274" s="10"/>
      <x:c r="D274" s="10"/>
      <x:c r="E274" s="10"/>
      <x:c r="F274" s="10"/>
      <x:c r="G274" s="10"/>
    </x:row>
    <x:row r="275" ht="14.25" customHeight="1">
      <x:c r="A275" s="10"/>
      <x:c r="B275" s="10"/>
      <x:c r="C275" s="10"/>
      <x:c r="D275" s="10"/>
      <x:c r="E275" s="10"/>
      <x:c r="F275" s="10"/>
      <x:c r="G275" s="10"/>
    </x:row>
    <x:row r="276" ht="14.25" customHeight="1">
      <x:c r="A276" s="10"/>
      <x:c r="B276" s="10"/>
      <x:c r="C276" s="10"/>
      <x:c r="D276" s="10"/>
      <x:c r="E276" s="10"/>
      <x:c r="F276" s="10"/>
      <x:c r="G276" s="10"/>
    </x:row>
    <x:row r="277" ht="14.25" customHeight="1">
      <x:c r="A277" s="10"/>
      <x:c r="B277" s="10"/>
      <x:c r="C277" s="10"/>
      <x:c r="D277" s="10"/>
      <x:c r="E277" s="10"/>
      <x:c r="F277" s="10"/>
      <x:c r="G277" s="10"/>
    </x:row>
    <x:row r="278" ht="14.25" customHeight="1">
      <x:c r="A278" s="10"/>
      <x:c r="B278" s="10"/>
      <x:c r="C278" s="10"/>
      <x:c r="D278" s="10"/>
      <x:c r="E278" s="10"/>
      <x:c r="F278" s="10"/>
      <x:c r="G278" s="10"/>
    </x:row>
    <x:row r="279" ht="14.25" customHeight="1">
      <x:c r="A279" s="10"/>
      <x:c r="B279" s="10"/>
      <x:c r="C279" s="10"/>
      <x:c r="D279" s="10"/>
      <x:c r="E279" s="10"/>
      <x:c r="F279" s="10"/>
      <x:c r="G279" s="10"/>
    </x:row>
    <x:row r="280" ht="14.25" customHeight="1">
      <x:c r="A280" s="10"/>
      <x:c r="B280" s="10"/>
      <x:c r="C280" s="10"/>
      <x:c r="D280" s="10"/>
      <x:c r="E280" s="10"/>
      <x:c r="F280" s="10"/>
      <x:c r="G280" s="10"/>
    </x:row>
    <x:row r="281" ht="14.25" customHeight="1">
      <x:c r="A281" s="10"/>
      <x:c r="B281" s="10"/>
      <x:c r="C281" s="10"/>
      <x:c r="D281" s="10"/>
      <x:c r="E281" s="10"/>
      <x:c r="F281" s="10"/>
      <x:c r="G281" s="10"/>
    </x:row>
    <x:row r="282" ht="14.25" customHeight="1">
      <x:c r="A282" s="10"/>
      <x:c r="B282" s="10"/>
      <x:c r="C282" s="10"/>
      <x:c r="D282" s="10"/>
      <x:c r="E282" s="10"/>
      <x:c r="F282" s="10"/>
      <x:c r="G282" s="10"/>
    </x:row>
    <x:row r="283" ht="14.25" customHeight="1">
      <x:c r="A283" s="10"/>
      <x:c r="B283" s="10"/>
      <x:c r="C283" s="10"/>
      <x:c r="D283" s="10"/>
      <x:c r="E283" s="10"/>
      <x:c r="F283" s="10"/>
      <x:c r="G283" s="10"/>
    </x:row>
    <x:row r="284" ht="14.25" customHeight="1">
      <x:c r="A284" s="10"/>
      <x:c r="B284" s="10"/>
      <x:c r="C284" s="10"/>
      <x:c r="D284" s="10"/>
      <x:c r="E284" s="10"/>
      <x:c r="F284" s="10"/>
      <x:c r="G284" s="10"/>
    </x:row>
    <x:row r="285" ht="14.25" customHeight="1">
      <x:c r="A285" s="10"/>
      <x:c r="B285" s="10"/>
      <x:c r="C285" s="10"/>
      <x:c r="D285" s="10"/>
      <x:c r="E285" s="10"/>
      <x:c r="F285" s="10"/>
      <x:c r="G285" s="10"/>
    </x:row>
    <x:row r="286" ht="14.25" customHeight="1">
      <x:c r="A286" s="10"/>
      <x:c r="B286" s="10"/>
      <x:c r="C286" s="10"/>
      <x:c r="D286" s="10"/>
      <x:c r="E286" s="10"/>
      <x:c r="F286" s="10"/>
      <x:c r="G286" s="10"/>
    </x:row>
    <x:row r="287" ht="14.25" customHeight="1">
      <x:c r="A287" s="10"/>
      <x:c r="B287" s="10"/>
      <x:c r="C287" s="10"/>
      <x:c r="D287" s="10"/>
      <x:c r="E287" s="10"/>
      <x:c r="F287" s="10"/>
      <x:c r="G287" s="10"/>
    </x:row>
    <x:row r="288" ht="14.25" customHeight="1">
      <x:c r="A288" s="10"/>
      <x:c r="B288" s="10"/>
      <x:c r="C288" s="10"/>
      <x:c r="D288" s="10"/>
      <x:c r="E288" s="10"/>
      <x:c r="F288" s="10"/>
      <x:c r="G288" s="10"/>
    </x:row>
    <x:row r="289" ht="14.25" customHeight="1">
      <x:c r="A289" s="10"/>
      <x:c r="B289" s="10"/>
      <x:c r="C289" s="10"/>
      <x:c r="D289" s="10"/>
      <x:c r="E289" s="10"/>
      <x:c r="F289" s="10"/>
      <x:c r="G289" s="10"/>
    </x:row>
    <x:row r="290" ht="14.25" customHeight="1">
      <x:c r="A290" s="10"/>
      <x:c r="B290" s="10"/>
      <x:c r="C290" s="10"/>
      <x:c r="D290" s="10"/>
      <x:c r="E290" s="10"/>
      <x:c r="F290" s="10"/>
      <x:c r="G290" s="10"/>
    </x:row>
    <x:row r="291" ht="14.25" customHeight="1">
      <x:c r="A291" s="10"/>
      <x:c r="B291" s="10"/>
      <x:c r="C291" s="10"/>
      <x:c r="D291" s="10"/>
      <x:c r="E291" s="10"/>
      <x:c r="F291" s="10"/>
      <x:c r="G291" s="10"/>
    </x:row>
    <x:row r="292" ht="14.25" customHeight="1">
      <x:c r="A292" s="10"/>
      <x:c r="B292" s="10"/>
      <x:c r="C292" s="10"/>
      <x:c r="D292" s="10"/>
      <x:c r="E292" s="10"/>
      <x:c r="F292" s="10"/>
      <x:c r="G292" s="10"/>
    </x:row>
    <x:row r="293" ht="14.25" customHeight="1">
      <x:c r="A293" s="10"/>
      <x:c r="B293" s="10"/>
      <x:c r="C293" s="10"/>
      <x:c r="D293" s="10"/>
      <x:c r="E293" s="10"/>
      <x:c r="F293" s="10"/>
      <x:c r="G293" s="10"/>
    </x:row>
    <x:row r="294" ht="14.25" customHeight="1">
      <x:c r="A294" s="10"/>
      <x:c r="B294" s="10"/>
      <x:c r="C294" s="10"/>
      <x:c r="D294" s="10"/>
      <x:c r="E294" s="10"/>
      <x:c r="F294" s="10"/>
      <x:c r="G294" s="10"/>
    </x:row>
    <x:row r="295" ht="14.25" customHeight="1">
      <x:c r="A295" s="10"/>
      <x:c r="B295" s="10"/>
      <x:c r="C295" s="10"/>
      <x:c r="D295" s="10"/>
      <x:c r="E295" s="10"/>
      <x:c r="F295" s="10"/>
      <x:c r="G295" s="10"/>
    </x:row>
    <x:row r="296" ht="14.25" customHeight="1">
      <x:c r="A296" s="10"/>
      <x:c r="B296" s="10"/>
      <x:c r="C296" s="10"/>
      <x:c r="D296" s="10"/>
      <x:c r="E296" s="10"/>
      <x:c r="F296" s="10"/>
      <x:c r="G296" s="10"/>
    </x:row>
    <x:row r="297" ht="14.25" customHeight="1">
      <x:c r="A297" s="10"/>
      <x:c r="B297" s="10"/>
      <x:c r="C297" s="10"/>
      <x:c r="D297" s="10"/>
      <x:c r="E297" s="10"/>
      <x:c r="F297" s="10"/>
      <x:c r="G297" s="10"/>
    </x:row>
    <x:row r="298" ht="14.25" customHeight="1">
      <x:c r="A298" s="10"/>
      <x:c r="B298" s="10"/>
      <x:c r="C298" s="10"/>
      <x:c r="D298" s="10"/>
      <x:c r="E298" s="10"/>
      <x:c r="F298" s="10"/>
      <x:c r="G298" s="10"/>
    </x:row>
    <x:row r="299" ht="14.25" customHeight="1">
      <x:c r="A299" s="10"/>
      <x:c r="B299" s="10"/>
      <x:c r="C299" s="10"/>
      <x:c r="D299" s="10"/>
      <x:c r="E299" s="10"/>
      <x:c r="F299" s="10"/>
      <x:c r="G299" s="10"/>
    </x:row>
    <x:row r="300" ht="14.25" customHeight="1">
      <x:c r="A300" s="10"/>
      <x:c r="B300" s="10"/>
      <x:c r="C300" s="10"/>
      <x:c r="D300" s="10"/>
      <x:c r="E300" s="10"/>
      <x:c r="F300" s="10"/>
      <x:c r="G300" s="10"/>
    </x:row>
    <x:row r="301" ht="14.25" customHeight="1">
      <x:c r="A301" s="10"/>
      <x:c r="B301" s="10"/>
      <x:c r="C301" s="10"/>
      <x:c r="D301" s="10"/>
      <x:c r="E301" s="10"/>
      <x:c r="F301" s="10"/>
      <x:c r="G301" s="10"/>
    </x:row>
    <x:row r="302" ht="14.25" customHeight="1">
      <x:c r="A302" s="10"/>
      <x:c r="B302" s="10"/>
      <x:c r="C302" s="10"/>
      <x:c r="D302" s="10"/>
      <x:c r="E302" s="10"/>
      <x:c r="F302" s="10"/>
      <x:c r="G302" s="10"/>
    </x:row>
    <x:row r="303" ht="14.25" customHeight="1">
      <x:c r="A303" s="10"/>
      <x:c r="B303" s="10"/>
      <x:c r="C303" s="10"/>
      <x:c r="D303" s="10"/>
      <x:c r="E303" s="10"/>
      <x:c r="F303" s="10"/>
      <x:c r="G303" s="10"/>
    </x:row>
    <x:row r="304" ht="14.25" customHeight="1">
      <x:c r="A304" s="10"/>
      <x:c r="B304" s="10"/>
      <x:c r="C304" s="10"/>
      <x:c r="D304" s="10"/>
      <x:c r="E304" s="10"/>
      <x:c r="F304" s="10"/>
      <x:c r="G304" s="10"/>
    </x:row>
    <x:row r="305" ht="14.25" customHeight="1">
      <x:c r="A305" s="10"/>
      <x:c r="B305" s="10"/>
      <x:c r="C305" s="10"/>
      <x:c r="D305" s="10"/>
      <x:c r="E305" s="10"/>
      <x:c r="F305" s="10"/>
      <x:c r="G305" s="10"/>
    </x:row>
    <x:row r="306" ht="14.25" customHeight="1">
      <x:c r="A306" s="10"/>
      <x:c r="B306" s="10"/>
      <x:c r="C306" s="10"/>
      <x:c r="D306" s="10"/>
      <x:c r="E306" s="10"/>
      <x:c r="F306" s="10"/>
      <x:c r="G306" s="10"/>
    </x:row>
    <x:row r="307" ht="14.25" customHeight="1">
      <x:c r="A307" s="10"/>
      <x:c r="B307" s="10"/>
      <x:c r="C307" s="10"/>
      <x:c r="D307" s="10"/>
      <x:c r="E307" s="10"/>
      <x:c r="F307" s="10"/>
      <x:c r="G307" s="10"/>
    </x:row>
    <x:row r="308" ht="14.25" customHeight="1">
      <x:c r="A308" s="10"/>
      <x:c r="B308" s="10"/>
      <x:c r="C308" s="10"/>
      <x:c r="D308" s="10"/>
      <x:c r="E308" s="10"/>
      <x:c r="F308" s="10"/>
      <x:c r="G308" s="10"/>
    </x:row>
    <x:row r="309" ht="14.25" customHeight="1">
      <x:c r="A309" s="10"/>
      <x:c r="B309" s="10"/>
      <x:c r="C309" s="10"/>
      <x:c r="D309" s="10"/>
      <x:c r="E309" s="10"/>
      <x:c r="F309" s="10"/>
      <x:c r="G309" s="10"/>
    </x:row>
    <x:row r="310" ht="14.25" customHeight="1">
      <x:c r="A310" s="10"/>
      <x:c r="B310" s="10"/>
      <x:c r="C310" s="10"/>
      <x:c r="D310" s="10"/>
      <x:c r="E310" s="10"/>
      <x:c r="F310" s="10"/>
      <x:c r="G310" s="10"/>
    </x:row>
    <x:row r="311" ht="14.25" customHeight="1">
      <x:c r="A311" s="10"/>
      <x:c r="B311" s="10"/>
      <x:c r="C311" s="10"/>
      <x:c r="D311" s="10"/>
      <x:c r="E311" s="10"/>
      <x:c r="F311" s="10"/>
      <x:c r="G311" s="10"/>
    </x:row>
    <x:row r="312" ht="14.25" customHeight="1">
      <x:c r="A312" s="10"/>
      <x:c r="B312" s="10"/>
      <x:c r="C312" s="10"/>
      <x:c r="D312" s="10"/>
      <x:c r="E312" s="10"/>
      <x:c r="F312" s="10"/>
      <x:c r="G312" s="10"/>
    </x:row>
    <x:row r="313" ht="14.25" customHeight="1">
      <x:c r="A313" s="10"/>
      <x:c r="B313" s="10"/>
      <x:c r="C313" s="10"/>
      <x:c r="D313" s="10"/>
      <x:c r="E313" s="10"/>
      <x:c r="F313" s="10"/>
      <x:c r="G313" s="10"/>
    </x:row>
    <x:row r="314" ht="14.25" customHeight="1">
      <x:c r="A314" s="10"/>
      <x:c r="B314" s="10"/>
      <x:c r="C314" s="10"/>
      <x:c r="D314" s="10"/>
      <x:c r="E314" s="10"/>
      <x:c r="F314" s="10"/>
      <x:c r="G314" s="10"/>
    </x:row>
    <x:row r="315" ht="14.25" customHeight="1">
      <x:c r="A315" s="10"/>
      <x:c r="B315" s="10"/>
      <x:c r="C315" s="10"/>
      <x:c r="D315" s="10"/>
      <x:c r="E315" s="10"/>
      <x:c r="F315" s="10"/>
      <x:c r="G315" s="10"/>
    </x:row>
    <x:row r="316" ht="14.25" customHeight="1">
      <x:c r="A316" s="10"/>
      <x:c r="B316" s="10"/>
      <x:c r="C316" s="10"/>
      <x:c r="D316" s="10"/>
      <x:c r="E316" s="10"/>
      <x:c r="F316" s="10"/>
      <x:c r="G316" s="10"/>
    </x:row>
    <x:row r="317" ht="14.25" customHeight="1">
      <x:c r="A317" s="10"/>
      <x:c r="B317" s="10"/>
      <x:c r="C317" s="10"/>
      <x:c r="D317" s="10"/>
      <x:c r="E317" s="10"/>
      <x:c r="F317" s="10"/>
      <x:c r="G317" s="10"/>
    </x:row>
    <x:row r="318" ht="14.25" customHeight="1">
      <x:c r="A318" s="10"/>
      <x:c r="B318" s="10"/>
      <x:c r="C318" s="10"/>
      <x:c r="D318" s="10"/>
      <x:c r="E318" s="10"/>
      <x:c r="F318" s="10"/>
      <x:c r="G318" s="10"/>
    </x:row>
    <x:row r="319" ht="14.25" customHeight="1">
      <x:c r="A319" s="10"/>
      <x:c r="B319" s="10"/>
      <x:c r="C319" s="10"/>
      <x:c r="D319" s="10"/>
      <x:c r="E319" s="10"/>
      <x:c r="F319" s="10"/>
      <x:c r="G319" s="10"/>
    </x:row>
    <x:row r="320" ht="14.25" customHeight="1">
      <x:c r="A320" s="10"/>
      <x:c r="B320" s="10"/>
      <x:c r="C320" s="10"/>
      <x:c r="D320" s="10"/>
      <x:c r="E320" s="10"/>
      <x:c r="F320" s="10"/>
      <x:c r="G320" s="10"/>
    </x:row>
    <x:row r="321" ht="14.25" customHeight="1">
      <x:c r="A321" s="10"/>
      <x:c r="B321" s="10"/>
      <x:c r="C321" s="10"/>
      <x:c r="D321" s="10"/>
      <x:c r="E321" s="10"/>
      <x:c r="F321" s="10"/>
      <x:c r="G321" s="10"/>
    </x:row>
    <x:row r="322" ht="14.25" customHeight="1">
      <x:c r="A322" s="10"/>
      <x:c r="B322" s="10"/>
      <x:c r="C322" s="10"/>
      <x:c r="D322" s="10"/>
      <x:c r="E322" s="10"/>
      <x:c r="F322" s="10"/>
      <x:c r="G322" s="10"/>
    </x:row>
    <x:row r="323" ht="14.25" customHeight="1">
      <x:c r="A323" s="10"/>
      <x:c r="B323" s="10"/>
      <x:c r="C323" s="10"/>
      <x:c r="D323" s="10"/>
      <x:c r="E323" s="10"/>
      <x:c r="F323" s="10"/>
      <x:c r="G323" s="10"/>
    </x:row>
    <x:row r="324" ht="14.25" customHeight="1">
      <x:c r="A324" s="10"/>
      <x:c r="B324" s="10"/>
      <x:c r="C324" s="10"/>
      <x:c r="D324" s="10"/>
      <x:c r="E324" s="10"/>
      <x:c r="F324" s="10"/>
      <x:c r="G324" s="10"/>
    </x:row>
    <x:row r="325" ht="14.25" customHeight="1">
      <x:c r="A325" s="10"/>
      <x:c r="B325" s="10"/>
      <x:c r="C325" s="10"/>
      <x:c r="D325" s="10"/>
      <x:c r="E325" s="10"/>
      <x:c r="F325" s="10"/>
      <x:c r="G325" s="10"/>
    </x:row>
    <x:row r="326" ht="14.25" customHeight="1">
      <x:c r="A326" s="10"/>
      <x:c r="B326" s="10"/>
      <x:c r="C326" s="10"/>
      <x:c r="D326" s="10"/>
      <x:c r="E326" s="10"/>
      <x:c r="F326" s="10"/>
      <x:c r="G326" s="10"/>
    </x:row>
    <x:row r="327" ht="14.25" customHeight="1">
      <x:c r="A327" s="10"/>
      <x:c r="B327" s="10"/>
      <x:c r="C327" s="10"/>
      <x:c r="D327" s="10"/>
      <x:c r="E327" s="10"/>
      <x:c r="F327" s="10"/>
      <x:c r="G327" s="10"/>
    </x:row>
    <x:row r="328" ht="14.25" customHeight="1">
      <x:c r="A328" s="10"/>
      <x:c r="B328" s="10"/>
      <x:c r="C328" s="10"/>
      <x:c r="D328" s="10"/>
      <x:c r="E328" s="10"/>
      <x:c r="F328" s="10"/>
      <x:c r="G328" s="10"/>
    </x:row>
    <x:row r="329" ht="14.25" customHeight="1">
      <x:c r="A329" s="10"/>
      <x:c r="B329" s="10"/>
      <x:c r="C329" s="10"/>
      <x:c r="D329" s="10"/>
      <x:c r="E329" s="10"/>
      <x:c r="F329" s="10"/>
      <x:c r="G329" s="10"/>
    </x:row>
    <x:row r="330" ht="14.25" customHeight="1">
      <x:c r="A330" s="10"/>
      <x:c r="B330" s="10"/>
      <x:c r="C330" s="10"/>
      <x:c r="D330" s="10"/>
      <x:c r="E330" s="10"/>
      <x:c r="F330" s="10"/>
      <x:c r="G330" s="10"/>
    </x:row>
    <x:row r="331" ht="14.25" customHeight="1">
      <x:c r="A331" s="10"/>
      <x:c r="B331" s="10"/>
      <x:c r="C331" s="10"/>
      <x:c r="D331" s="10"/>
      <x:c r="E331" s="10"/>
      <x:c r="F331" s="10"/>
      <x:c r="G331" s="10"/>
    </x:row>
    <x:row r="332" ht="14.25" customHeight="1">
      <x:c r="A332" s="10"/>
      <x:c r="B332" s="10"/>
      <x:c r="C332" s="10"/>
      <x:c r="D332" s="10"/>
      <x:c r="E332" s="10"/>
      <x:c r="F332" s="10"/>
      <x:c r="G332" s="10"/>
    </x:row>
    <x:row r="333" ht="14.25" customHeight="1">
      <x:c r="A333" s="10"/>
      <x:c r="B333" s="10"/>
      <x:c r="C333" s="10"/>
      <x:c r="D333" s="10"/>
      <x:c r="E333" s="10"/>
      <x:c r="F333" s="10"/>
      <x:c r="G333" s="10"/>
    </x:row>
    <x:row r="334" ht="14.25" customHeight="1">
      <x:c r="A334" s="10"/>
      <x:c r="B334" s="10"/>
      <x:c r="C334" s="10"/>
      <x:c r="D334" s="10"/>
      <x:c r="E334" s="10"/>
      <x:c r="F334" s="10"/>
      <x:c r="G334" s="10"/>
    </x:row>
    <x:row r="335" ht="14.25" customHeight="1">
      <x:c r="A335" s="10"/>
      <x:c r="B335" s="10"/>
      <x:c r="C335" s="10"/>
      <x:c r="D335" s="10"/>
      <x:c r="E335" s="10"/>
      <x:c r="F335" s="10"/>
      <x:c r="G335" s="10"/>
    </x:row>
    <x:row r="336" ht="14.25" customHeight="1">
      <x:c r="A336" s="10"/>
      <x:c r="B336" s="10"/>
      <x:c r="C336" s="10"/>
      <x:c r="D336" s="10"/>
      <x:c r="E336" s="10"/>
      <x:c r="F336" s="10"/>
      <x:c r="G336" s="10"/>
    </x:row>
    <x:row r="337" ht="14.25" customHeight="1">
      <x:c r="A337" s="10"/>
      <x:c r="B337" s="10"/>
      <x:c r="C337" s="10"/>
      <x:c r="D337" s="10"/>
      <x:c r="E337" s="10"/>
      <x:c r="F337" s="10"/>
      <x:c r="G337" s="10"/>
    </x:row>
    <x:row r="338" ht="14.25" customHeight="1">
      <x:c r="A338" s="10"/>
      <x:c r="B338" s="10"/>
      <x:c r="C338" s="10"/>
      <x:c r="D338" s="10"/>
      <x:c r="E338" s="10"/>
      <x:c r="F338" s="10"/>
      <x:c r="G338" s="10"/>
    </x:row>
    <x:row r="339" ht="14.25" customHeight="1">
      <x:c r="A339" s="10"/>
      <x:c r="B339" s="10"/>
      <x:c r="C339" s="10"/>
      <x:c r="D339" s="10"/>
      <x:c r="E339" s="10"/>
      <x:c r="F339" s="10"/>
      <x:c r="G339" s="10"/>
    </x:row>
    <x:row r="340" ht="14.25" customHeight="1">
      <x:c r="A340" s="10"/>
      <x:c r="B340" s="10"/>
      <x:c r="C340" s="10"/>
      <x:c r="D340" s="10"/>
      <x:c r="E340" s="10"/>
      <x:c r="F340" s="10"/>
      <x:c r="G340" s="10"/>
    </x:row>
    <x:row r="341" ht="14.25" customHeight="1">
      <x:c r="A341" s="10"/>
      <x:c r="B341" s="10"/>
      <x:c r="C341" s="10"/>
      <x:c r="D341" s="10"/>
      <x:c r="E341" s="10"/>
      <x:c r="F341" s="10"/>
      <x:c r="G341" s="10"/>
    </x:row>
    <x:row r="342" ht="14.25" customHeight="1">
      <x:c r="A342" s="10"/>
      <x:c r="B342" s="10"/>
      <x:c r="C342" s="10"/>
      <x:c r="D342" s="10"/>
      <x:c r="E342" s="10"/>
      <x:c r="F342" s="10"/>
      <x:c r="G342" s="10"/>
    </x:row>
    <x:row r="343" ht="14.25" customHeight="1">
      <x:c r="A343" s="10"/>
      <x:c r="B343" s="10"/>
      <x:c r="C343" s="10"/>
      <x:c r="D343" s="10"/>
      <x:c r="E343" s="10"/>
      <x:c r="F343" s="10"/>
      <x:c r="G343" s="10"/>
    </x:row>
    <x:row r="344" ht="14.25" customHeight="1">
      <x:c r="A344" s="10"/>
      <x:c r="B344" s="10"/>
      <x:c r="C344" s="10"/>
      <x:c r="D344" s="10"/>
      <x:c r="E344" s="10"/>
      <x:c r="F344" s="10"/>
      <x:c r="G344" s="10"/>
    </x:row>
    <x:row r="345" ht="14.25" customHeight="1">
      <x:c r="A345" s="10"/>
      <x:c r="B345" s="10"/>
      <x:c r="C345" s="10"/>
      <x:c r="D345" s="10"/>
      <x:c r="E345" s="10"/>
      <x:c r="F345" s="10"/>
      <x:c r="G345" s="10"/>
    </x:row>
    <x:row r="346" ht="14.25" customHeight="1">
      <x:c r="A346" s="10"/>
      <x:c r="B346" s="10"/>
      <x:c r="C346" s="10"/>
      <x:c r="D346" s="10"/>
      <x:c r="E346" s="10"/>
      <x:c r="F346" s="10"/>
      <x:c r="G346" s="10"/>
    </x:row>
    <x:row r="347" ht="14.25" customHeight="1">
      <x:c r="A347" s="10"/>
      <x:c r="B347" s="10"/>
      <x:c r="C347" s="10"/>
      <x:c r="D347" s="10"/>
      <x:c r="E347" s="10"/>
      <x:c r="F347" s="10"/>
      <x:c r="G347" s="10"/>
    </x:row>
    <x:row r="348" ht="14.25" customHeight="1">
      <x:c r="A348" s="10"/>
      <x:c r="B348" s="10"/>
      <x:c r="C348" s="10"/>
      <x:c r="D348" s="10"/>
      <x:c r="E348" s="10"/>
      <x:c r="F348" s="10"/>
      <x:c r="G348" s="10"/>
    </x:row>
    <x:row r="349" ht="14.25" customHeight="1">
      <x:c r="A349" s="10"/>
      <x:c r="B349" s="10"/>
      <x:c r="C349" s="10"/>
      <x:c r="D349" s="10"/>
      <x:c r="E349" s="10"/>
      <x:c r="F349" s="10"/>
      <x:c r="G349" s="10"/>
    </x:row>
    <x:row r="350" ht="14.25" customHeight="1">
      <x:c r="A350" s="10"/>
      <x:c r="B350" s="10"/>
      <x:c r="C350" s="10"/>
      <x:c r="D350" s="10"/>
      <x:c r="E350" s="10"/>
      <x:c r="F350" s="10"/>
      <x:c r="G350" s="10"/>
    </x:row>
    <x:row r="351" ht="14.25" customHeight="1">
      <x:c r="A351" s="10"/>
      <x:c r="B351" s="10"/>
      <x:c r="C351" s="10"/>
      <x:c r="D351" s="10"/>
      <x:c r="E351" s="10"/>
      <x:c r="F351" s="10"/>
      <x:c r="G351" s="10"/>
    </x:row>
    <x:row r="352" ht="14.25" customHeight="1">
      <x:c r="A352" s="10"/>
      <x:c r="B352" s="10"/>
      <x:c r="C352" s="10"/>
      <x:c r="D352" s="10"/>
      <x:c r="E352" s="10"/>
      <x:c r="F352" s="10"/>
      <x:c r="G352" s="10"/>
    </x:row>
    <x:row r="353" ht="14.25" customHeight="1">
      <x:c r="A353" s="10"/>
      <x:c r="B353" s="10"/>
      <x:c r="C353" s="10"/>
      <x:c r="D353" s="10"/>
      <x:c r="E353" s="10"/>
      <x:c r="F353" s="10"/>
      <x:c r="G353" s="10"/>
    </x:row>
    <x:row r="354" ht="14.25" customHeight="1">
      <x:c r="A354" s="10"/>
      <x:c r="B354" s="10"/>
      <x:c r="C354" s="10"/>
      <x:c r="D354" s="10"/>
      <x:c r="E354" s="10"/>
      <x:c r="F354" s="10"/>
      <x:c r="G354" s="10"/>
    </x:row>
    <x:row r="355" ht="14.25" customHeight="1">
      <x:c r="A355" s="10"/>
      <x:c r="B355" s="10"/>
      <x:c r="C355" s="10"/>
      <x:c r="D355" s="10"/>
      <x:c r="E355" s="10"/>
      <x:c r="F355" s="10"/>
      <x:c r="G355" s="10"/>
    </x:row>
    <x:row r="356" ht="14.25" customHeight="1">
      <x:c r="A356" s="10"/>
      <x:c r="B356" s="10"/>
      <x:c r="C356" s="10"/>
      <x:c r="D356" s="10"/>
      <x:c r="E356" s="10"/>
      <x:c r="F356" s="10"/>
      <x:c r="G356" s="10"/>
    </x:row>
    <x:row r="357" ht="14.25" customHeight="1">
      <x:c r="A357" s="10"/>
      <x:c r="B357" s="10"/>
      <x:c r="C357" s="10"/>
      <x:c r="D357" s="10"/>
      <x:c r="E357" s="10"/>
      <x:c r="F357" s="10"/>
      <x:c r="G357" s="10"/>
    </x:row>
    <x:row r="358" ht="14.25" customHeight="1">
      <x:c r="A358" s="10"/>
      <x:c r="B358" s="10"/>
      <x:c r="C358" s="10"/>
      <x:c r="D358" s="10"/>
      <x:c r="E358" s="10"/>
      <x:c r="F358" s="10"/>
      <x:c r="G358" s="10"/>
    </x:row>
    <x:row r="359" ht="14.25" customHeight="1">
      <x:c r="A359" s="10"/>
      <x:c r="B359" s="10"/>
      <x:c r="C359" s="10"/>
      <x:c r="D359" s="10"/>
      <x:c r="E359" s="10"/>
      <x:c r="F359" s="10"/>
      <x:c r="G359" s="10"/>
    </x:row>
    <x:row r="360" ht="14.25" customHeight="1">
      <x:c r="A360" s="10"/>
      <x:c r="B360" s="10"/>
      <x:c r="C360" s="10"/>
      <x:c r="D360" s="10"/>
      <x:c r="E360" s="10"/>
      <x:c r="F360" s="10"/>
      <x:c r="G360" s="10"/>
    </x:row>
    <x:row r="361" ht="14.25" customHeight="1">
      <x:c r="A361" s="10"/>
      <x:c r="B361" s="10"/>
      <x:c r="C361" s="10"/>
      <x:c r="D361" s="10"/>
      <x:c r="E361" s="10"/>
      <x:c r="F361" s="10"/>
      <x:c r="G361" s="10"/>
    </x:row>
    <x:row r="362" ht="14.25" customHeight="1">
      <x:c r="A362" s="10"/>
      <x:c r="B362" s="10"/>
      <x:c r="C362" s="10"/>
      <x:c r="D362" s="10"/>
      <x:c r="E362" s="10"/>
      <x:c r="F362" s="10"/>
      <x:c r="G362" s="10"/>
    </x:row>
    <x:row r="363" ht="14.25" customHeight="1">
      <x:c r="A363" s="10"/>
      <x:c r="B363" s="10"/>
      <x:c r="C363" s="10"/>
      <x:c r="D363" s="10"/>
      <x:c r="E363" s="10"/>
      <x:c r="F363" s="10"/>
      <x:c r="G363" s="10"/>
    </x:row>
    <x:row r="364" ht="14.25" customHeight="1">
      <x:c r="A364" s="10"/>
      <x:c r="B364" s="10"/>
      <x:c r="C364" s="10"/>
      <x:c r="D364" s="10"/>
      <x:c r="E364" s="10"/>
      <x:c r="F364" s="10"/>
      <x:c r="G364" s="10"/>
    </x:row>
    <x:row r="365" ht="14.25" customHeight="1">
      <x:c r="A365" s="10"/>
      <x:c r="B365" s="10"/>
      <x:c r="C365" s="10"/>
      <x:c r="D365" s="10"/>
      <x:c r="E365" s="10"/>
      <x:c r="F365" s="10"/>
      <x:c r="G365" s="10"/>
    </x:row>
    <x:row r="366" ht="14.25" customHeight="1">
      <x:c r="A366" s="10"/>
      <x:c r="B366" s="10"/>
      <x:c r="C366" s="10"/>
      <x:c r="D366" s="10"/>
      <x:c r="E366" s="10"/>
      <x:c r="F366" s="10"/>
      <x:c r="G366" s="10"/>
    </x:row>
    <x:row r="367" ht="14.25" customHeight="1">
      <x:c r="A367" s="10"/>
      <x:c r="B367" s="10"/>
      <x:c r="C367" s="10"/>
      <x:c r="D367" s="10"/>
      <x:c r="E367" s="10"/>
      <x:c r="F367" s="10"/>
      <x:c r="G367" s="10"/>
    </x:row>
    <x:row r="368" ht="14.25" customHeight="1">
      <x:c r="A368" s="10"/>
      <x:c r="B368" s="10"/>
      <x:c r="C368" s="10"/>
      <x:c r="D368" s="10"/>
      <x:c r="E368" s="10"/>
      <x:c r="F368" s="10"/>
      <x:c r="G368" s="10"/>
    </x:row>
    <x:row r="369" ht="14.25" customHeight="1">
      <x:c r="A369" s="10"/>
      <x:c r="B369" s="10"/>
      <x:c r="C369" s="10"/>
      <x:c r="D369" s="10"/>
      <x:c r="E369" s="10"/>
      <x:c r="F369" s="10"/>
      <x:c r="G369" s="10"/>
    </x:row>
    <x:row r="370" ht="14.25" customHeight="1">
      <x:c r="A370" s="10"/>
      <x:c r="B370" s="10"/>
      <x:c r="C370" s="10"/>
      <x:c r="D370" s="10"/>
      <x:c r="E370" s="10"/>
      <x:c r="F370" s="10"/>
      <x:c r="G370" s="10"/>
    </x:row>
    <x:row r="371" ht="14.25" customHeight="1">
      <x:c r="A371" s="10"/>
      <x:c r="B371" s="10"/>
      <x:c r="C371" s="10"/>
      <x:c r="D371" s="10"/>
      <x:c r="E371" s="10"/>
      <x:c r="F371" s="10"/>
      <x:c r="G371" s="10"/>
    </x:row>
    <x:row r="372" ht="14.25" customHeight="1">
      <x:c r="A372" s="10"/>
      <x:c r="B372" s="10"/>
      <x:c r="C372" s="10"/>
      <x:c r="D372" s="10"/>
      <x:c r="E372" s="10"/>
      <x:c r="F372" s="10"/>
      <x:c r="G372" s="10"/>
    </x:row>
    <x:row r="373" ht="14.25" customHeight="1">
      <x:c r="A373" s="10"/>
      <x:c r="B373" s="10"/>
      <x:c r="C373" s="10"/>
      <x:c r="D373" s="10"/>
      <x:c r="E373" s="10"/>
      <x:c r="F373" s="10"/>
      <x:c r="G373" s="10"/>
    </x:row>
    <x:row r="374" ht="14.25" customHeight="1">
      <x:c r="A374" s="10"/>
      <x:c r="B374" s="10"/>
      <x:c r="C374" s="10"/>
      <x:c r="D374" s="10"/>
      <x:c r="E374" s="10"/>
      <x:c r="F374" s="10"/>
      <x:c r="G374" s="10"/>
    </x:row>
    <x:row r="375" ht="14.25" customHeight="1">
      <x:c r="A375" s="10"/>
      <x:c r="B375" s="10"/>
      <x:c r="C375" s="10"/>
      <x:c r="D375" s="10"/>
      <x:c r="E375" s="10"/>
      <x:c r="F375" s="10"/>
      <x:c r="G375" s="10"/>
    </x:row>
    <x:row r="376" ht="14.25" customHeight="1">
      <x:c r="A376" s="10"/>
      <x:c r="B376" s="10"/>
      <x:c r="C376" s="10"/>
      <x:c r="D376" s="10"/>
      <x:c r="E376" s="10"/>
      <x:c r="F376" s="10"/>
      <x:c r="G376" s="10"/>
    </x:row>
    <x:row r="377" ht="14.25" customHeight="1">
      <x:c r="A377" s="10"/>
      <x:c r="B377" s="10"/>
      <x:c r="C377" s="10"/>
      <x:c r="D377" s="10"/>
      <x:c r="E377" s="10"/>
      <x:c r="F377" s="10"/>
      <x:c r="G377" s="10"/>
    </x:row>
    <x:row r="378" ht="14.25" customHeight="1">
      <x:c r="A378" s="10"/>
      <x:c r="B378" s="10"/>
      <x:c r="C378" s="10"/>
      <x:c r="D378" s="10"/>
      <x:c r="E378" s="10"/>
      <x:c r="F378" s="10"/>
      <x:c r="G378" s="10"/>
    </x:row>
    <x:row r="379" ht="14.25" customHeight="1">
      <x:c r="A379" s="10"/>
      <x:c r="B379" s="10"/>
      <x:c r="C379" s="10"/>
      <x:c r="D379" s="10"/>
      <x:c r="E379" s="10"/>
      <x:c r="F379" s="10"/>
      <x:c r="G379" s="10"/>
    </x:row>
    <x:row r="380" ht="14.25" customHeight="1">
      <x:c r="A380" s="10"/>
      <x:c r="B380" s="10"/>
      <x:c r="C380" s="10"/>
      <x:c r="D380" s="10"/>
      <x:c r="E380" s="10"/>
      <x:c r="F380" s="10"/>
      <x:c r="G380" s="10"/>
    </x:row>
    <x:row r="381" ht="14.25" customHeight="1">
      <x:c r="A381" s="10"/>
      <x:c r="B381" s="10"/>
      <x:c r="C381" s="10"/>
      <x:c r="D381" s="10"/>
      <x:c r="E381" s="10"/>
      <x:c r="F381" s="10"/>
      <x:c r="G381" s="10"/>
    </x:row>
    <x:row r="382" ht="14.25" customHeight="1">
      <x:c r="A382" s="10"/>
      <x:c r="B382" s="10"/>
      <x:c r="C382" s="10"/>
      <x:c r="D382" s="10"/>
      <x:c r="E382" s="10"/>
      <x:c r="F382" s="10"/>
      <x:c r="G382" s="10"/>
    </x:row>
    <x:row r="383" ht="14.25" customHeight="1">
      <x:c r="A383" s="10"/>
      <x:c r="B383" s="10"/>
      <x:c r="C383" s="10"/>
      <x:c r="D383" s="10"/>
      <x:c r="E383" s="10"/>
      <x:c r="F383" s="10"/>
      <x:c r="G383" s="10"/>
    </x:row>
    <x:row r="384" ht="14.25" customHeight="1">
      <x:c r="A384" s="10"/>
      <x:c r="B384" s="10"/>
      <x:c r="C384" s="10"/>
      <x:c r="D384" s="10"/>
      <x:c r="E384" s="10"/>
      <x:c r="F384" s="10"/>
      <x:c r="G384" s="10"/>
    </x:row>
    <x:row r="385" ht="14.25" customHeight="1">
      <x:c r="A385" s="10"/>
      <x:c r="B385" s="10"/>
      <x:c r="C385" s="10"/>
      <x:c r="D385" s="10"/>
      <x:c r="E385" s="10"/>
      <x:c r="F385" s="10"/>
      <x:c r="G385" s="10"/>
    </x:row>
    <x:row r="386" ht="14.25" customHeight="1">
      <x:c r="A386" s="10"/>
      <x:c r="B386" s="10"/>
      <x:c r="C386" s="10"/>
      <x:c r="D386" s="10"/>
      <x:c r="E386" s="10"/>
      <x:c r="F386" s="10"/>
      <x:c r="G386" s="10"/>
    </x:row>
    <x:row r="387" ht="14.25" customHeight="1">
      <x:c r="A387" s="10"/>
      <x:c r="B387" s="10"/>
      <x:c r="C387" s="10"/>
      <x:c r="D387" s="10"/>
      <x:c r="E387" s="10"/>
      <x:c r="F387" s="10"/>
      <x:c r="G387" s="10"/>
    </x:row>
    <x:row r="388" ht="14.25" customHeight="1">
      <x:c r="A388" s="10"/>
      <x:c r="B388" s="10"/>
      <x:c r="C388" s="10"/>
      <x:c r="D388" s="10"/>
      <x:c r="E388" s="10"/>
      <x:c r="F388" s="10"/>
      <x:c r="G388" s="10"/>
    </x:row>
    <x:row r="389" ht="14.25" customHeight="1">
      <x:c r="A389" s="10"/>
      <x:c r="B389" s="10"/>
      <x:c r="C389" s="10"/>
      <x:c r="D389" s="10"/>
      <x:c r="E389" s="10"/>
      <x:c r="F389" s="10"/>
      <x:c r="G389" s="10"/>
    </x:row>
    <x:row r="390" ht="14.25" customHeight="1">
      <x:c r="A390" s="10"/>
      <x:c r="B390" s="10"/>
      <x:c r="C390" s="10"/>
      <x:c r="D390" s="10"/>
      <x:c r="E390" s="10"/>
      <x:c r="F390" s="10"/>
      <x:c r="G390" s="10"/>
    </x:row>
    <x:row r="391" ht="14.25" customHeight="1">
      <x:c r="A391" s="10"/>
      <x:c r="B391" s="10"/>
      <x:c r="C391" s="10"/>
      <x:c r="D391" s="10"/>
      <x:c r="E391" s="10"/>
      <x:c r="F391" s="10"/>
      <x:c r="G391" s="10"/>
    </x:row>
    <x:row r="392" ht="14.25" customHeight="1">
      <x:c r="A392" s="10"/>
      <x:c r="B392" s="10"/>
      <x:c r="C392" s="10"/>
      <x:c r="D392" s="10"/>
      <x:c r="E392" s="10"/>
      <x:c r="F392" s="10"/>
      <x:c r="G392" s="10"/>
    </x:row>
    <x:row r="393" ht="14.25" customHeight="1">
      <x:c r="A393" s="10"/>
      <x:c r="B393" s="10"/>
      <x:c r="C393" s="10"/>
      <x:c r="D393" s="10"/>
      <x:c r="E393" s="10"/>
      <x:c r="F393" s="10"/>
      <x:c r="G393" s="10"/>
    </x:row>
    <x:row r="394" ht="14.25" customHeight="1">
      <x:c r="A394" s="10"/>
      <x:c r="B394" s="10"/>
      <x:c r="C394" s="10"/>
      <x:c r="D394" s="10"/>
      <x:c r="E394" s="10"/>
      <x:c r="F394" s="10"/>
      <x:c r="G394" s="10"/>
    </x:row>
    <x:row r="395" ht="14.25" customHeight="1">
      <x:c r="A395" s="10"/>
      <x:c r="B395" s="10"/>
      <x:c r="C395" s="10"/>
      <x:c r="D395" s="10"/>
      <x:c r="E395" s="10"/>
      <x:c r="F395" s="10"/>
      <x:c r="G395" s="10"/>
    </x:row>
    <x:row r="396" ht="14.25" customHeight="1">
      <x:c r="A396" s="10"/>
      <x:c r="B396" s="10"/>
      <x:c r="C396" s="10"/>
      <x:c r="D396" s="10"/>
      <x:c r="E396" s="10"/>
      <x:c r="F396" s="10"/>
      <x:c r="G396" s="10"/>
    </x:row>
    <x:row r="397" ht="14.25" customHeight="1">
      <x:c r="A397" s="10"/>
      <x:c r="B397" s="10"/>
      <x:c r="C397" s="10"/>
      <x:c r="D397" s="10"/>
      <x:c r="E397" s="10"/>
      <x:c r="F397" s="10"/>
      <x:c r="G397" s="10"/>
    </x:row>
    <x:row r="398" ht="14.25" customHeight="1">
      <x:c r="A398" s="10"/>
      <x:c r="B398" s="10"/>
      <x:c r="C398" s="10"/>
      <x:c r="D398" s="10"/>
      <x:c r="E398" s="10"/>
      <x:c r="F398" s="10"/>
      <x:c r="G398" s="10"/>
    </x:row>
    <x:row r="399" ht="14.25" customHeight="1">
      <x:c r="A399" s="10"/>
      <x:c r="B399" s="10"/>
      <x:c r="C399" s="10"/>
      <x:c r="D399" s="10"/>
      <x:c r="E399" s="10"/>
      <x:c r="F399" s="10"/>
      <x:c r="G399" s="10"/>
    </x:row>
    <x:row r="400" ht="14.25" customHeight="1">
      <x:c r="A400" s="10"/>
      <x:c r="B400" s="10"/>
      <x:c r="C400" s="10"/>
      <x:c r="D400" s="10"/>
      <x:c r="E400" s="10"/>
      <x:c r="F400" s="10"/>
      <x:c r="G400" s="10"/>
    </x:row>
    <x:row r="401" ht="14.25" customHeight="1">
      <x:c r="A401" s="10"/>
      <x:c r="B401" s="10"/>
      <x:c r="C401" s="10"/>
      <x:c r="D401" s="10"/>
      <x:c r="E401" s="10"/>
      <x:c r="F401" s="10"/>
      <x:c r="G401" s="10"/>
    </x:row>
    <x:row r="402" ht="14.25" customHeight="1">
      <x:c r="A402" s="10"/>
      <x:c r="B402" s="10"/>
      <x:c r="C402" s="10"/>
      <x:c r="D402" s="10"/>
      <x:c r="E402" s="10"/>
      <x:c r="F402" s="10"/>
      <x:c r="G402" s="10"/>
    </x:row>
    <x:row r="403" ht="14.25" customHeight="1">
      <x:c r="A403" s="10"/>
      <x:c r="B403" s="10"/>
      <x:c r="C403" s="10"/>
      <x:c r="D403" s="10"/>
      <x:c r="E403" s="10"/>
      <x:c r="F403" s="10"/>
      <x:c r="G403" s="10"/>
    </x:row>
    <x:row r="404" ht="14.25" customHeight="1">
      <x:c r="A404" s="10"/>
      <x:c r="B404" s="10"/>
      <x:c r="C404" s="10"/>
      <x:c r="D404" s="10"/>
      <x:c r="E404" s="10"/>
      <x:c r="F404" s="10"/>
      <x:c r="G404" s="10"/>
    </x:row>
    <x:row r="405" ht="14.25" customHeight="1">
      <x:c r="A405" s="10"/>
      <x:c r="B405" s="10"/>
      <x:c r="C405" s="10"/>
      <x:c r="D405" s="10"/>
      <x:c r="E405" s="10"/>
      <x:c r="F405" s="10"/>
      <x:c r="G405" s="10"/>
    </x:row>
    <x:row r="406" ht="14.25" customHeight="1">
      <x:c r="A406" s="10"/>
      <x:c r="B406" s="10"/>
      <x:c r="C406" s="10"/>
      <x:c r="D406" s="10"/>
      <x:c r="E406" s="10"/>
      <x:c r="F406" s="10"/>
      <x:c r="G406" s="10"/>
    </x:row>
    <x:row r="407" ht="14.25" customHeight="1">
      <x:c r="A407" s="10"/>
      <x:c r="B407" s="10"/>
      <x:c r="C407" s="10"/>
      <x:c r="D407" s="10"/>
      <x:c r="E407" s="10"/>
      <x:c r="F407" s="10"/>
      <x:c r="G407" s="10"/>
    </x:row>
    <x:row r="408" ht="14.25" customHeight="1">
      <x:c r="A408" s="10"/>
      <x:c r="B408" s="10"/>
      <x:c r="C408" s="10"/>
      <x:c r="D408" s="10"/>
      <x:c r="E408" s="10"/>
      <x:c r="F408" s="10"/>
      <x:c r="G408" s="10"/>
    </x:row>
    <x:row r="409" ht="14.25" customHeight="1">
      <x:c r="A409" s="10"/>
      <x:c r="B409" s="10"/>
      <x:c r="C409" s="10"/>
      <x:c r="D409" s="10"/>
      <x:c r="E409" s="10"/>
      <x:c r="F409" s="10"/>
      <x:c r="G409" s="10"/>
    </x:row>
    <x:row r="410" ht="14.25" customHeight="1">
      <x:c r="A410" s="10"/>
      <x:c r="B410" s="10"/>
      <x:c r="C410" s="10"/>
      <x:c r="D410" s="10"/>
      <x:c r="E410" s="10"/>
      <x:c r="F410" s="10"/>
      <x:c r="G410" s="10"/>
    </x:row>
    <x:row r="411" ht="14.25" customHeight="1">
      <x:c r="A411" s="10"/>
      <x:c r="B411" s="10"/>
      <x:c r="C411" s="10"/>
      <x:c r="D411" s="10"/>
      <x:c r="E411" s="10"/>
      <x:c r="F411" s="10"/>
      <x:c r="G411" s="10"/>
    </x:row>
    <x:row r="412" ht="14.25" customHeight="1">
      <x:c r="A412" s="10"/>
      <x:c r="B412" s="10"/>
      <x:c r="C412" s="10"/>
      <x:c r="D412" s="10"/>
      <x:c r="E412" s="10"/>
      <x:c r="F412" s="10"/>
      <x:c r="G412" s="10"/>
    </x:row>
    <x:row r="413" ht="14.25" customHeight="1">
      <x:c r="A413" s="10"/>
      <x:c r="B413" s="10"/>
      <x:c r="C413" s="10"/>
      <x:c r="D413" s="10"/>
      <x:c r="E413" s="10"/>
      <x:c r="F413" s="10"/>
      <x:c r="G413" s="10"/>
    </x:row>
    <x:row r="414" ht="14.25" customHeight="1">
      <x:c r="A414" s="10"/>
      <x:c r="B414" s="10"/>
      <x:c r="C414" s="10"/>
      <x:c r="D414" s="10"/>
      <x:c r="E414" s="10"/>
      <x:c r="F414" s="10"/>
      <x:c r="G414" s="10"/>
    </x:row>
    <x:row r="415" ht="14.25" customHeight="1">
      <x:c r="A415" s="10"/>
      <x:c r="B415" s="10"/>
      <x:c r="C415" s="10"/>
      <x:c r="D415" s="10"/>
      <x:c r="E415" s="10"/>
      <x:c r="F415" s="10"/>
      <x:c r="G415" s="10"/>
    </x:row>
    <x:row r="416" ht="14.25" customHeight="1">
      <x:c r="A416" s="10"/>
      <x:c r="B416" s="10"/>
      <x:c r="C416" s="10"/>
      <x:c r="D416" s="10"/>
      <x:c r="E416" s="10"/>
      <x:c r="F416" s="10"/>
      <x:c r="G416" s="10"/>
    </x:row>
    <x:row r="417" ht="14.25" customHeight="1">
      <x:c r="A417" s="10"/>
      <x:c r="B417" s="10"/>
      <x:c r="C417" s="10"/>
      <x:c r="D417" s="10"/>
      <x:c r="E417" s="10"/>
      <x:c r="F417" s="10"/>
      <x:c r="G417" s="10"/>
    </x:row>
    <x:row r="418" ht="14.25" customHeight="1">
      <x:c r="A418" s="10"/>
      <x:c r="B418" s="10"/>
      <x:c r="C418" s="10"/>
      <x:c r="D418" s="10"/>
      <x:c r="E418" s="10"/>
      <x:c r="F418" s="10"/>
      <x:c r="G418" s="10"/>
    </x:row>
    <x:row r="419" ht="14.25" customHeight="1">
      <x:c r="A419" s="10"/>
      <x:c r="B419" s="10"/>
      <x:c r="C419" s="10"/>
      <x:c r="D419" s="10"/>
      <x:c r="E419" s="10"/>
      <x:c r="F419" s="10"/>
      <x:c r="G419" s="10"/>
    </x:row>
    <x:row r="420" ht="14.25" customHeight="1">
      <x:c r="A420" s="10"/>
      <x:c r="B420" s="10"/>
      <x:c r="C420" s="10"/>
      <x:c r="D420" s="10"/>
      <x:c r="E420" s="10"/>
      <x:c r="F420" s="10"/>
      <x:c r="G420" s="10"/>
    </x:row>
    <x:row r="421" ht="14.25" customHeight="1">
      <x:c r="A421" s="10"/>
      <x:c r="B421" s="10"/>
      <x:c r="C421" s="10"/>
      <x:c r="D421" s="10"/>
      <x:c r="E421" s="10"/>
      <x:c r="F421" s="10"/>
      <x:c r="G421" s="10"/>
    </x:row>
    <x:row r="422" ht="14.25" customHeight="1">
      <x:c r="A422" s="10"/>
      <x:c r="B422" s="10"/>
      <x:c r="C422" s="10"/>
      <x:c r="D422" s="10"/>
      <x:c r="E422" s="10"/>
      <x:c r="F422" s="10"/>
      <x:c r="G422" s="10"/>
    </x:row>
    <x:row r="423" ht="14.25" customHeight="1">
      <x:c r="A423" s="10"/>
      <x:c r="B423" s="10"/>
      <x:c r="C423" s="10"/>
      <x:c r="D423" s="10"/>
      <x:c r="E423" s="10"/>
      <x:c r="F423" s="10"/>
      <x:c r="G423" s="10"/>
    </x:row>
    <x:row r="424" ht="14.25" customHeight="1">
      <x:c r="A424" s="10"/>
      <x:c r="B424" s="10"/>
      <x:c r="C424" s="10"/>
      <x:c r="D424" s="10"/>
      <x:c r="E424" s="10"/>
      <x:c r="F424" s="10"/>
      <x:c r="G424" s="10"/>
    </x:row>
    <x:row r="425" ht="14.25" customHeight="1">
      <x:c r="A425" s="10"/>
      <x:c r="B425" s="10"/>
      <x:c r="C425" s="10"/>
      <x:c r="D425" s="10"/>
      <x:c r="E425" s="10"/>
      <x:c r="F425" s="10"/>
      <x:c r="G425" s="10"/>
    </x:row>
    <x:row r="426" ht="14.25" customHeight="1">
      <x:c r="A426" s="10"/>
      <x:c r="B426" s="10"/>
      <x:c r="C426" s="10"/>
      <x:c r="D426" s="10"/>
      <x:c r="E426" s="10"/>
      <x:c r="F426" s="10"/>
      <x:c r="G426" s="10"/>
    </x:row>
    <x:row r="427" ht="14.25" customHeight="1">
      <x:c r="A427" s="10"/>
      <x:c r="B427" s="10"/>
      <x:c r="C427" s="10"/>
      <x:c r="D427" s="10"/>
      <x:c r="E427" s="10"/>
      <x:c r="F427" s="10"/>
      <x:c r="G427" s="10"/>
    </x:row>
    <x:row r="428" ht="14.25" customHeight="1">
      <x:c r="A428" s="10"/>
      <x:c r="B428" s="10"/>
      <x:c r="C428" s="10"/>
      <x:c r="D428" s="10"/>
      <x:c r="E428" s="10"/>
      <x:c r="F428" s="10"/>
      <x:c r="G428" s="10"/>
    </x:row>
    <x:row r="429" ht="14.25" customHeight="1">
      <x:c r="A429" s="10"/>
      <x:c r="B429" s="10"/>
      <x:c r="C429" s="10"/>
      <x:c r="D429" s="10"/>
      <x:c r="E429" s="10"/>
      <x:c r="F429" s="10"/>
      <x:c r="G429" s="10"/>
    </x:row>
    <x:row r="430" ht="14.25" customHeight="1">
      <x:c r="A430" s="10"/>
      <x:c r="B430" s="10"/>
      <x:c r="C430" s="10"/>
      <x:c r="D430" s="10"/>
      <x:c r="E430" s="10"/>
      <x:c r="F430" s="10"/>
      <x:c r="G430" s="10"/>
    </x:row>
    <x:row r="431" ht="14.25" customHeight="1">
      <x:c r="A431" s="10"/>
      <x:c r="B431" s="10"/>
      <x:c r="C431" s="10"/>
      <x:c r="D431" s="10"/>
      <x:c r="E431" s="10"/>
      <x:c r="F431" s="10"/>
      <x:c r="G431" s="10"/>
    </x:row>
    <x:row r="432" ht="14.25" customHeight="1">
      <x:c r="A432" s="10"/>
      <x:c r="B432" s="10"/>
      <x:c r="C432" s="10"/>
      <x:c r="D432" s="10"/>
      <x:c r="E432" s="10"/>
      <x:c r="F432" s="10"/>
      <x:c r="G432" s="10"/>
    </x:row>
    <x:row r="433" ht="14.25" customHeight="1">
      <x:c r="A433" s="10"/>
      <x:c r="B433" s="10"/>
      <x:c r="C433" s="10"/>
      <x:c r="D433" s="10"/>
      <x:c r="E433" s="10"/>
      <x:c r="F433" s="10"/>
      <x:c r="G433" s="10"/>
    </x:row>
    <x:row r="434" ht="14.25" customHeight="1">
      <x:c r="A434" s="10"/>
      <x:c r="B434" s="10"/>
      <x:c r="C434" s="10"/>
      <x:c r="D434" s="10"/>
      <x:c r="E434" s="10"/>
      <x:c r="F434" s="10"/>
      <x:c r="G434" s="10"/>
    </x:row>
    <x:row r="435" ht="14.25" customHeight="1">
      <x:c r="A435" s="10"/>
      <x:c r="B435" s="10"/>
      <x:c r="C435" s="10"/>
      <x:c r="D435" s="10"/>
      <x:c r="E435" s="10"/>
      <x:c r="F435" s="10"/>
      <x:c r="G435" s="10"/>
    </x:row>
    <x:row r="436" ht="14.25" customHeight="1">
      <x:c r="A436" s="10"/>
      <x:c r="B436" s="10"/>
      <x:c r="C436" s="10"/>
      <x:c r="D436" s="10"/>
      <x:c r="E436" s="10"/>
      <x:c r="F436" s="10"/>
      <x:c r="G436" s="10"/>
    </x:row>
    <x:row r="437" ht="14.25" customHeight="1">
      <x:c r="A437" s="10"/>
      <x:c r="B437" s="10"/>
      <x:c r="C437" s="10"/>
      <x:c r="D437" s="10"/>
      <x:c r="E437" s="10"/>
      <x:c r="F437" s="10"/>
      <x:c r="G437" s="10"/>
    </x:row>
    <x:row r="438" ht="14.25" customHeight="1">
      <x:c r="A438" s="10"/>
      <x:c r="B438" s="10"/>
      <x:c r="C438" s="10"/>
      <x:c r="D438" s="10"/>
      <x:c r="E438" s="10"/>
      <x:c r="F438" s="10"/>
      <x:c r="G438" s="10"/>
    </x:row>
    <x:row r="439" ht="14.25" customHeight="1">
      <x:c r="A439" s="10"/>
      <x:c r="B439" s="10"/>
      <x:c r="C439" s="10"/>
      <x:c r="D439" s="10"/>
      <x:c r="E439" s="10"/>
      <x:c r="F439" s="10"/>
      <x:c r="G439" s="10"/>
    </x:row>
    <x:row r="440" ht="14.25" customHeight="1">
      <x:c r="A440" s="10"/>
      <x:c r="B440" s="10"/>
      <x:c r="C440" s="10"/>
      <x:c r="D440" s="10"/>
      <x:c r="E440" s="10"/>
      <x:c r="F440" s="10"/>
      <x:c r="G440" s="10"/>
    </x:row>
    <x:row r="441" ht="14.25" customHeight="1">
      <x:c r="A441" s="10"/>
      <x:c r="B441" s="10"/>
      <x:c r="C441" s="10"/>
      <x:c r="D441" s="10"/>
      <x:c r="E441" s="10"/>
      <x:c r="F441" s="10"/>
      <x:c r="G441" s="10"/>
    </x:row>
    <x:row r="442" ht="14.25" customHeight="1">
      <x:c r="A442" s="10"/>
      <x:c r="B442" s="10"/>
      <x:c r="C442" s="10"/>
      <x:c r="D442" s="10"/>
      <x:c r="E442" s="10"/>
      <x:c r="F442" s="10"/>
      <x:c r="G442" s="10"/>
    </x:row>
    <x:row r="443" ht="14.25" customHeight="1">
      <x:c r="A443" s="10"/>
      <x:c r="B443" s="10"/>
      <x:c r="C443" s="10"/>
      <x:c r="D443" s="10"/>
      <x:c r="E443" s="10"/>
      <x:c r="F443" s="10"/>
      <x:c r="G443" s="10"/>
    </x:row>
    <x:row r="444" ht="14.25" customHeight="1">
      <x:c r="A444" s="10"/>
      <x:c r="B444" s="10"/>
      <x:c r="C444" s="10"/>
      <x:c r="D444" s="10"/>
      <x:c r="E444" s="10"/>
      <x:c r="F444" s="10"/>
      <x:c r="G444" s="10"/>
    </x:row>
    <x:row r="445" ht="14.25" customHeight="1">
      <x:c r="A445" s="10"/>
      <x:c r="B445" s="10"/>
      <x:c r="C445" s="10"/>
      <x:c r="D445" s="10"/>
      <x:c r="E445" s="10"/>
      <x:c r="F445" s="10"/>
      <x:c r="G445" s="10"/>
    </x:row>
    <x:row r="446" ht="14.25" customHeight="1">
      <x:c r="A446" s="10"/>
      <x:c r="B446" s="10"/>
      <x:c r="C446" s="10"/>
      <x:c r="D446" s="10"/>
      <x:c r="E446" s="10"/>
      <x:c r="F446" s="10"/>
      <x:c r="G446" s="10"/>
    </x:row>
    <x:row r="447" ht="14.25" customHeight="1">
      <x:c r="A447" s="10"/>
      <x:c r="B447" s="10"/>
      <x:c r="C447" s="10"/>
      <x:c r="D447" s="10"/>
      <x:c r="E447" s="10"/>
      <x:c r="F447" s="10"/>
      <x:c r="G447" s="10"/>
    </x:row>
    <x:row r="448" ht="14.25" customHeight="1">
      <x:c r="A448" s="10"/>
      <x:c r="B448" s="10"/>
      <x:c r="C448" s="10"/>
      <x:c r="D448" s="10"/>
      <x:c r="E448" s="10"/>
      <x:c r="F448" s="10"/>
      <x:c r="G448" s="10"/>
    </x:row>
    <x:row r="449" ht="14.25" customHeight="1">
      <x:c r="A449" s="10"/>
      <x:c r="B449" s="10"/>
      <x:c r="C449" s="10"/>
      <x:c r="D449" s="10"/>
      <x:c r="E449" s="10"/>
      <x:c r="F449" s="10"/>
      <x:c r="G449" s="10"/>
    </x:row>
    <x:row r="450" ht="14.25" customHeight="1">
      <x:c r="A450" s="10"/>
      <x:c r="B450" s="10"/>
      <x:c r="C450" s="10"/>
      <x:c r="D450" s="10"/>
      <x:c r="E450" s="10"/>
      <x:c r="F450" s="10"/>
      <x:c r="G450" s="10"/>
    </x:row>
    <x:row r="451" ht="14.25" customHeight="1">
      <x:c r="A451" s="10"/>
      <x:c r="B451" s="10"/>
      <x:c r="C451" s="10"/>
      <x:c r="D451" s="10"/>
      <x:c r="E451" s="10"/>
      <x:c r="F451" s="10"/>
      <x:c r="G451" s="10"/>
    </x:row>
    <x:row r="452" ht="14.25" customHeight="1">
      <x:c r="A452" s="10"/>
      <x:c r="B452" s="10"/>
      <x:c r="C452" s="10"/>
      <x:c r="D452" s="10"/>
      <x:c r="E452" s="10"/>
      <x:c r="F452" s="10"/>
      <x:c r="G452" s="10"/>
    </x:row>
    <x:row r="453" ht="14.25" customHeight="1">
      <x:c r="A453" s="10"/>
      <x:c r="B453" s="10"/>
      <x:c r="C453" s="10"/>
      <x:c r="D453" s="10"/>
      <x:c r="E453" s="10"/>
      <x:c r="F453" s="10"/>
      <x:c r="G453" s="10"/>
    </x:row>
    <x:row r="454" ht="14.25" customHeight="1">
      <x:c r="A454" s="10"/>
      <x:c r="B454" s="10"/>
      <x:c r="C454" s="10"/>
      <x:c r="D454" s="10"/>
      <x:c r="E454" s="10"/>
      <x:c r="F454" s="10"/>
      <x:c r="G454" s="10"/>
    </x:row>
    <x:row r="455" ht="14.25" customHeight="1">
      <x:c r="A455" s="10"/>
      <x:c r="B455" s="10"/>
      <x:c r="C455" s="10"/>
      <x:c r="D455" s="10"/>
      <x:c r="E455" s="10"/>
      <x:c r="F455" s="10"/>
      <x:c r="G455" s="10"/>
    </x:row>
    <x:row r="456" ht="14.25" customHeight="1">
      <x:c r="A456" s="10"/>
      <x:c r="B456" s="10"/>
      <x:c r="C456" s="10"/>
      <x:c r="D456" s="10"/>
      <x:c r="E456" s="10"/>
      <x:c r="F456" s="10"/>
      <x:c r="G456" s="10"/>
    </x:row>
    <x:row r="457" ht="14.25" customHeight="1">
      <x:c r="A457" s="10"/>
      <x:c r="B457" s="10"/>
      <x:c r="C457" s="10"/>
      <x:c r="D457" s="10"/>
      <x:c r="E457" s="10"/>
      <x:c r="F457" s="10"/>
      <x:c r="G457" s="10"/>
    </x:row>
    <x:row r="458" ht="14.25" customHeight="1">
      <x:c r="A458" s="10"/>
      <x:c r="B458" s="10"/>
      <x:c r="C458" s="10"/>
      <x:c r="D458" s="10"/>
      <x:c r="E458" s="10"/>
      <x:c r="F458" s="10"/>
      <x:c r="G458" s="10"/>
    </x:row>
    <x:row r="459" ht="14.25" customHeight="1">
      <x:c r="A459" s="10"/>
      <x:c r="B459" s="10"/>
      <x:c r="C459" s="10"/>
      <x:c r="D459" s="10"/>
      <x:c r="E459" s="10"/>
      <x:c r="F459" s="10"/>
      <x:c r="G459" s="10"/>
    </x:row>
    <x:row r="460" ht="14.25" customHeight="1">
      <x:c r="A460" s="10"/>
      <x:c r="B460" s="10"/>
      <x:c r="C460" s="10"/>
      <x:c r="D460" s="10"/>
      <x:c r="E460" s="10"/>
      <x:c r="F460" s="10"/>
      <x:c r="G460" s="10"/>
    </x:row>
    <x:row r="461" ht="14.25" customHeight="1">
      <x:c r="A461" s="10"/>
      <x:c r="B461" s="10"/>
      <x:c r="C461" s="10"/>
      <x:c r="D461" s="10"/>
      <x:c r="E461" s="10"/>
      <x:c r="F461" s="10"/>
      <x:c r="G461" s="10"/>
    </x:row>
    <x:row r="462" ht="14.25" customHeight="1">
      <x:c r="A462" s="10"/>
      <x:c r="B462" s="10"/>
      <x:c r="C462" s="10"/>
      <x:c r="D462" s="10"/>
      <x:c r="E462" s="10"/>
      <x:c r="F462" s="10"/>
      <x:c r="G462" s="10"/>
    </x:row>
    <x:row r="463" ht="14.25" customHeight="1">
      <x:c r="A463" s="10"/>
      <x:c r="B463" s="10"/>
      <x:c r="C463" s="10"/>
      <x:c r="D463" s="10"/>
      <x:c r="E463" s="10"/>
      <x:c r="F463" s="10"/>
      <x:c r="G463" s="10"/>
    </x:row>
    <x:row r="464" ht="14.25" customHeight="1">
      <x:c r="A464" s="10"/>
      <x:c r="B464" s="10"/>
      <x:c r="C464" s="10"/>
      <x:c r="D464" s="10"/>
      <x:c r="E464" s="10"/>
      <x:c r="F464" s="10"/>
      <x:c r="G464" s="10"/>
    </x:row>
    <x:row r="465" ht="14.25" customHeight="1">
      <x:c r="A465" s="10"/>
      <x:c r="B465" s="10"/>
      <x:c r="C465" s="10"/>
      <x:c r="D465" s="10"/>
      <x:c r="E465" s="10"/>
      <x:c r="F465" s="10"/>
      <x:c r="G465" s="10"/>
    </x:row>
    <x:row r="466" ht="14.25" customHeight="1">
      <x:c r="A466" s="10"/>
      <x:c r="B466" s="10"/>
      <x:c r="C466" s="10"/>
      <x:c r="D466" s="10"/>
      <x:c r="E466" s="10"/>
      <x:c r="F466" s="10"/>
      <x:c r="G466" s="10"/>
    </x:row>
    <x:row r="467" ht="14.25" customHeight="1">
      <x:c r="A467" s="10"/>
      <x:c r="B467" s="10"/>
      <x:c r="C467" s="10"/>
      <x:c r="D467" s="10"/>
      <x:c r="E467" s="10"/>
      <x:c r="F467" s="10"/>
      <x:c r="G467" s="10"/>
    </x:row>
    <x:row r="468" ht="14.25" customHeight="1">
      <x:c r="A468" s="10"/>
      <x:c r="B468" s="10"/>
      <x:c r="C468" s="10"/>
      <x:c r="D468" s="10"/>
      <x:c r="E468" s="10"/>
      <x:c r="F468" s="10"/>
      <x:c r="G468" s="10"/>
    </x:row>
    <x:row r="469" ht="14.25" customHeight="1">
      <x:c r="A469" s="10"/>
      <x:c r="B469" s="10"/>
      <x:c r="C469" s="10"/>
      <x:c r="D469" s="10"/>
      <x:c r="E469" s="10"/>
      <x:c r="F469" s="10"/>
      <x:c r="G469" s="10"/>
    </x:row>
    <x:row r="470" ht="14.25" customHeight="1">
      <x:c r="A470" s="10"/>
      <x:c r="B470" s="10"/>
      <x:c r="C470" s="10"/>
      <x:c r="D470" s="10"/>
      <x:c r="E470" s="10"/>
      <x:c r="F470" s="10"/>
      <x:c r="G470" s="10"/>
    </x:row>
    <x:row r="471" ht="14.25" customHeight="1">
      <x:c r="A471" s="10"/>
      <x:c r="B471" s="10"/>
      <x:c r="C471" s="10"/>
      <x:c r="D471" s="10"/>
      <x:c r="E471" s="10"/>
      <x:c r="F471" s="10"/>
      <x:c r="G471" s="10"/>
    </x:row>
    <x:row r="472" ht="14.25" customHeight="1">
      <x:c r="A472" s="10"/>
      <x:c r="B472" s="10"/>
      <x:c r="C472" s="10"/>
      <x:c r="D472" s="10"/>
      <x:c r="E472" s="10"/>
      <x:c r="F472" s="10"/>
      <x:c r="G472" s="10"/>
    </x:row>
    <x:row r="473" ht="14.25" customHeight="1">
      <x:c r="A473" s="10"/>
      <x:c r="B473" s="10"/>
      <x:c r="C473" s="10"/>
      <x:c r="D473" s="10"/>
      <x:c r="E473" s="10"/>
      <x:c r="F473" s="10"/>
      <x:c r="G473" s="10"/>
    </x:row>
    <x:row r="474" ht="14.25" customHeight="1">
      <x:c r="A474" s="10"/>
      <x:c r="B474" s="10"/>
      <x:c r="C474" s="10"/>
      <x:c r="D474" s="10"/>
      <x:c r="E474" s="10"/>
      <x:c r="F474" s="10"/>
      <x:c r="G474" s="10"/>
    </x:row>
    <x:row r="475" ht="14.25" customHeight="1">
      <x:c r="A475" s="10"/>
      <x:c r="B475" s="10"/>
      <x:c r="C475" s="10"/>
      <x:c r="D475" s="10"/>
      <x:c r="E475" s="10"/>
      <x:c r="F475" s="10"/>
      <x:c r="G475" s="10"/>
    </x:row>
    <x:row r="476" ht="14.25" customHeight="1">
      <x:c r="A476" s="10"/>
      <x:c r="B476" s="10"/>
      <x:c r="C476" s="10"/>
      <x:c r="D476" s="10"/>
      <x:c r="E476" s="10"/>
      <x:c r="F476" s="10"/>
      <x:c r="G476" s="10"/>
    </x:row>
    <x:row r="477" ht="14.25" customHeight="1">
      <x:c r="A477" s="10"/>
      <x:c r="B477" s="10"/>
      <x:c r="C477" s="10"/>
      <x:c r="D477" s="10"/>
      <x:c r="E477" s="10"/>
      <x:c r="F477" s="10"/>
      <x:c r="G477" s="10"/>
    </x:row>
    <x:row r="478" ht="14.25" customHeight="1">
      <x:c r="A478" s="10"/>
      <x:c r="B478" s="10"/>
      <x:c r="C478" s="10"/>
      <x:c r="D478" s="10"/>
      <x:c r="E478" s="10"/>
      <x:c r="F478" s="10"/>
      <x:c r="G478" s="10"/>
    </x:row>
    <x:row r="479" ht="14.25" customHeight="1">
      <x:c r="A479" s="10"/>
      <x:c r="B479" s="10"/>
      <x:c r="C479" s="10"/>
      <x:c r="D479" s="10"/>
      <x:c r="E479" s="10"/>
      <x:c r="F479" s="10"/>
      <x:c r="G479" s="10"/>
    </x:row>
    <x:row r="480" ht="14.25" customHeight="1">
      <x:c r="A480" s="10"/>
      <x:c r="B480" s="10"/>
      <x:c r="C480" s="10"/>
      <x:c r="D480" s="10"/>
      <x:c r="E480" s="10"/>
      <x:c r="F480" s="10"/>
      <x:c r="G480" s="10"/>
    </x:row>
    <x:row r="481" ht="14.25" customHeight="1">
      <x:c r="A481" s="10"/>
      <x:c r="B481" s="10"/>
      <x:c r="C481" s="10"/>
      <x:c r="D481" s="10"/>
      <x:c r="E481" s="10"/>
      <x:c r="F481" s="10"/>
      <x:c r="G481" s="10"/>
    </x:row>
    <x:row r="482" ht="14.25" customHeight="1">
      <x:c r="A482" s="10"/>
      <x:c r="B482" s="10"/>
      <x:c r="C482" s="10"/>
      <x:c r="D482" s="10"/>
      <x:c r="E482" s="10"/>
      <x:c r="F482" s="10"/>
      <x:c r="G482" s="10"/>
    </x:row>
    <x:row r="483" ht="14.25" customHeight="1">
      <x:c r="A483" s="10"/>
      <x:c r="B483" s="10"/>
      <x:c r="C483" s="10"/>
      <x:c r="D483" s="10"/>
      <x:c r="E483" s="10"/>
      <x:c r="F483" s="10"/>
      <x:c r="G483" s="10"/>
    </x:row>
    <x:row r="484" ht="14.25" customHeight="1">
      <x:c r="A484" s="10"/>
      <x:c r="B484" s="10"/>
      <x:c r="C484" s="10"/>
      <x:c r="D484" s="10"/>
      <x:c r="E484" s="10"/>
      <x:c r="F484" s="10"/>
      <x:c r="G484" s="10"/>
    </x:row>
    <x:row r="485" ht="14.25" customHeight="1">
      <x:c r="A485" s="10"/>
      <x:c r="B485" s="10"/>
      <x:c r="C485" s="10"/>
      <x:c r="D485" s="10"/>
      <x:c r="E485" s="10"/>
      <x:c r="F485" s="10"/>
      <x:c r="G485" s="10"/>
    </x:row>
    <x:row r="486" ht="14.25" customHeight="1">
      <x:c r="A486" s="10"/>
      <x:c r="B486" s="10"/>
      <x:c r="C486" s="10"/>
      <x:c r="D486" s="10"/>
      <x:c r="E486" s="10"/>
      <x:c r="F486" s="10"/>
      <x:c r="G486" s="10"/>
    </x:row>
    <x:row r="487" ht="14.25" customHeight="1">
      <x:c r="A487" s="10"/>
      <x:c r="B487" s="10"/>
      <x:c r="C487" s="10"/>
      <x:c r="D487" s="10"/>
      <x:c r="E487" s="10"/>
      <x:c r="F487" s="10"/>
      <x:c r="G487" s="10"/>
    </x:row>
    <x:row r="488" ht="14.25" customHeight="1">
      <x:c r="A488" s="10"/>
      <x:c r="B488" s="10"/>
      <x:c r="C488" s="10"/>
      <x:c r="D488" s="10"/>
      <x:c r="E488" s="10"/>
      <x:c r="F488" s="10"/>
      <x:c r="G488" s="10"/>
    </x:row>
    <x:row r="489" ht="14.25" customHeight="1">
      <x:c r="A489" s="10"/>
      <x:c r="B489" s="10"/>
      <x:c r="C489" s="10"/>
      <x:c r="D489" s="10"/>
      <x:c r="E489" s="10"/>
      <x:c r="F489" s="10"/>
      <x:c r="G489" s="10"/>
    </x:row>
    <x:row r="490" ht="14.25" customHeight="1">
      <x:c r="A490" s="10"/>
      <x:c r="B490" s="10"/>
      <x:c r="C490" s="10"/>
      <x:c r="D490" s="10"/>
      <x:c r="E490" s="10"/>
      <x:c r="F490" s="10"/>
      <x:c r="G490" s="10"/>
    </x:row>
    <x:row r="491" ht="14.25" customHeight="1">
      <x:c r="A491" s="10"/>
      <x:c r="B491" s="10"/>
      <x:c r="C491" s="10"/>
      <x:c r="D491" s="10"/>
      <x:c r="E491" s="10"/>
      <x:c r="F491" s="10"/>
      <x:c r="G491" s="10"/>
    </x:row>
    <x:row r="492" ht="14.25" customHeight="1">
      <x:c r="A492" s="10"/>
      <x:c r="B492" s="10"/>
      <x:c r="C492" s="10"/>
      <x:c r="D492" s="10"/>
      <x:c r="E492" s="10"/>
      <x:c r="F492" s="10"/>
      <x:c r="G492" s="10"/>
    </x:row>
    <x:row r="493" ht="14.25" customHeight="1">
      <x:c r="A493" s="10"/>
      <x:c r="B493" s="10"/>
      <x:c r="C493" s="10"/>
      <x:c r="D493" s="10"/>
      <x:c r="E493" s="10"/>
      <x:c r="F493" s="10"/>
      <x:c r="G493" s="10"/>
    </x:row>
    <x:row r="494" ht="14.25" customHeight="1">
      <x:c r="A494" s="10"/>
      <x:c r="B494" s="10"/>
      <x:c r="C494" s="10"/>
      <x:c r="D494" s="10"/>
      <x:c r="E494" s="10"/>
      <x:c r="F494" s="10"/>
      <x:c r="G494" s="10"/>
    </x:row>
    <x:row r="495" ht="14.25" customHeight="1">
      <x:c r="A495" s="10"/>
      <x:c r="B495" s="10"/>
      <x:c r="C495" s="10"/>
      <x:c r="D495" s="10"/>
      <x:c r="E495" s="10"/>
      <x:c r="F495" s="10"/>
      <x:c r="G495" s="10"/>
    </x:row>
    <x:row r="496" ht="14.25" customHeight="1">
      <x:c r="A496" s="10"/>
      <x:c r="B496" s="10"/>
      <x:c r="C496" s="10"/>
      <x:c r="D496" s="10"/>
      <x:c r="E496" s="10"/>
      <x:c r="F496" s="10"/>
      <x:c r="G496" s="10"/>
    </x:row>
    <x:row r="497" ht="14.25" customHeight="1">
      <x:c r="A497" s="10"/>
      <x:c r="B497" s="10"/>
      <x:c r="C497" s="10"/>
      <x:c r="D497" s="10"/>
      <x:c r="E497" s="10"/>
      <x:c r="F497" s="10"/>
      <x:c r="G497" s="10"/>
    </x:row>
    <x:row r="498" ht="14.25" customHeight="1">
      <x:c r="A498" s="10"/>
      <x:c r="B498" s="10"/>
      <x:c r="C498" s="10"/>
      <x:c r="D498" s="10"/>
      <x:c r="E498" s="10"/>
      <x:c r="F498" s="10"/>
      <x:c r="G498" s="10"/>
    </x:row>
    <x:row r="499" ht="14.25" customHeight="1">
      <x:c r="A499" s="10"/>
      <x:c r="B499" s="10"/>
      <x:c r="C499" s="10"/>
      <x:c r="D499" s="10"/>
      <x:c r="E499" s="10"/>
      <x:c r="F499" s="10"/>
      <x:c r="G499" s="10"/>
    </x:row>
    <x:row r="500" ht="14.25" customHeight="1">
      <x:c r="A500" s="10"/>
      <x:c r="B500" s="10"/>
      <x:c r="C500" s="10"/>
      <x:c r="D500" s="10"/>
      <x:c r="E500" s="10"/>
      <x:c r="F500" s="10"/>
      <x:c r="G500" s="10"/>
    </x:row>
    <x:row r="501" ht="14.25" customHeight="1">
      <x:c r="A501" s="10"/>
      <x:c r="B501" s="10"/>
      <x:c r="C501" s="10"/>
      <x:c r="D501" s="10"/>
      <x:c r="E501" s="10"/>
      <x:c r="F501" s="10"/>
      <x:c r="G501" s="10"/>
    </x:row>
    <x:row r="502" ht="14.25" customHeight="1">
      <x:c r="A502" s="10"/>
      <x:c r="B502" s="10"/>
      <x:c r="C502" s="10"/>
      <x:c r="D502" s="10"/>
      <x:c r="E502" s="10"/>
      <x:c r="F502" s="10"/>
      <x:c r="G502" s="10"/>
    </x:row>
    <x:row r="503" ht="14.25" customHeight="1">
      <x:c r="A503" s="10"/>
      <x:c r="B503" s="10"/>
      <x:c r="C503" s="10"/>
      <x:c r="D503" s="10"/>
      <x:c r="E503" s="10"/>
      <x:c r="F503" s="10"/>
      <x:c r="G503" s="10"/>
    </x:row>
    <x:row r="504" ht="14.25" customHeight="1">
      <x:c r="A504" s="10"/>
      <x:c r="B504" s="10"/>
      <x:c r="C504" s="10"/>
      <x:c r="D504" s="10"/>
      <x:c r="E504" s="10"/>
      <x:c r="F504" s="10"/>
      <x:c r="G504" s="10"/>
    </x:row>
    <x:row r="505" ht="14.25" customHeight="1">
      <x:c r="A505" s="10"/>
      <x:c r="B505" s="10"/>
      <x:c r="C505" s="10"/>
      <x:c r="D505" s="10"/>
      <x:c r="E505" s="10"/>
      <x:c r="F505" s="10"/>
      <x:c r="G505" s="10"/>
    </x:row>
    <x:row r="506" ht="14.25" customHeight="1">
      <x:c r="A506" s="10"/>
      <x:c r="B506" s="10"/>
      <x:c r="C506" s="10"/>
      <x:c r="D506" s="10"/>
      <x:c r="E506" s="10"/>
      <x:c r="F506" s="10"/>
      <x:c r="G506" s="10"/>
    </x:row>
    <x:row r="507" ht="14.25" customHeight="1">
      <x:c r="A507" s="10"/>
      <x:c r="B507" s="10"/>
      <x:c r="C507" s="10"/>
      <x:c r="D507" s="10"/>
      <x:c r="E507" s="10"/>
      <x:c r="F507" s="10"/>
      <x:c r="G507" s="10"/>
    </x:row>
    <x:row r="508" ht="14.25" customHeight="1">
      <x:c r="A508" s="10"/>
      <x:c r="B508" s="10"/>
      <x:c r="C508" s="10"/>
      <x:c r="D508" s="10"/>
      <x:c r="E508" s="10"/>
      <x:c r="F508" s="10"/>
      <x:c r="G508" s="10"/>
    </x:row>
    <x:row r="509" ht="14.25" customHeight="1">
      <x:c r="A509" s="10"/>
      <x:c r="B509" s="10"/>
      <x:c r="C509" s="10"/>
      <x:c r="D509" s="10"/>
      <x:c r="E509" s="10"/>
      <x:c r="F509" s="10"/>
      <x:c r="G509" s="10"/>
    </x:row>
    <x:row r="510" ht="14.25" customHeight="1">
      <x:c r="A510" s="10"/>
      <x:c r="B510" s="10"/>
      <x:c r="C510" s="10"/>
      <x:c r="D510" s="10"/>
      <x:c r="E510" s="10"/>
      <x:c r="F510" s="10"/>
      <x:c r="G510" s="10"/>
    </x:row>
    <x:row r="511" ht="14.25" customHeight="1">
      <x:c r="A511" s="10"/>
      <x:c r="B511" s="10"/>
      <x:c r="C511" s="10"/>
      <x:c r="D511" s="10"/>
      <x:c r="E511" s="10"/>
      <x:c r="F511" s="10"/>
      <x:c r="G511" s="10"/>
    </x:row>
    <x:row r="512" ht="14.25" customHeight="1">
      <x:c r="A512" s="10"/>
      <x:c r="B512" s="10"/>
      <x:c r="C512" s="10"/>
      <x:c r="D512" s="10"/>
      <x:c r="E512" s="10"/>
      <x:c r="F512" s="10"/>
      <x:c r="G512" s="10"/>
    </x:row>
    <x:row r="513" ht="14.25" customHeight="1">
      <x:c r="A513" s="10"/>
      <x:c r="B513" s="10"/>
      <x:c r="C513" s="10"/>
      <x:c r="D513" s="10"/>
      <x:c r="E513" s="10"/>
      <x:c r="F513" s="10"/>
      <x:c r="G513" s="10"/>
    </x:row>
    <x:row r="514" ht="14.25" customHeight="1">
      <x:c r="A514" s="10"/>
      <x:c r="B514" s="10"/>
      <x:c r="C514" s="10"/>
      <x:c r="D514" s="10"/>
      <x:c r="E514" s="10"/>
      <x:c r="F514" s="10"/>
      <x:c r="G514" s="10"/>
    </x:row>
    <x:row r="515" ht="14.25" customHeight="1">
      <x:c r="A515" s="10"/>
      <x:c r="B515" s="10"/>
      <x:c r="C515" s="10"/>
      <x:c r="D515" s="10"/>
      <x:c r="E515" s="10"/>
      <x:c r="F515" s="10"/>
      <x:c r="G515" s="10"/>
    </x:row>
    <x:row r="516" ht="14.25" customHeight="1">
      <x:c r="A516" s="10"/>
      <x:c r="B516" s="10"/>
      <x:c r="C516" s="10"/>
      <x:c r="D516" s="10"/>
      <x:c r="E516" s="10"/>
      <x:c r="F516" s="10"/>
      <x:c r="G516" s="10"/>
    </x:row>
    <x:row r="517" ht="14.25" customHeight="1">
      <x:c r="A517" s="10"/>
      <x:c r="B517" s="10"/>
      <x:c r="C517" s="10"/>
      <x:c r="D517" s="10"/>
      <x:c r="E517" s="10"/>
      <x:c r="F517" s="10"/>
      <x:c r="G517" s="10"/>
    </x:row>
    <x:row r="518" ht="14.25" customHeight="1">
      <x:c r="A518" s="10"/>
      <x:c r="B518" s="10"/>
      <x:c r="C518" s="10"/>
      <x:c r="D518" s="10"/>
      <x:c r="E518" s="10"/>
      <x:c r="F518" s="10"/>
      <x:c r="G518" s="10"/>
    </x:row>
    <x:row r="519" ht="14.25" customHeight="1">
      <x:c r="A519" s="10"/>
      <x:c r="B519" s="10"/>
      <x:c r="C519" s="10"/>
      <x:c r="D519" s="10"/>
      <x:c r="E519" s="10"/>
      <x:c r="F519" s="10"/>
      <x:c r="G519" s="10"/>
    </x:row>
    <x:row r="520" ht="14.25" customHeight="1">
      <x:c r="A520" s="10"/>
      <x:c r="B520" s="10"/>
      <x:c r="C520" s="10"/>
      <x:c r="D520" s="10"/>
      <x:c r="E520" s="10"/>
      <x:c r="F520" s="10"/>
      <x:c r="G520" s="10"/>
    </x:row>
    <x:row r="521" ht="14.25" customHeight="1">
      <x:c r="A521" s="10"/>
      <x:c r="B521" s="10"/>
      <x:c r="C521" s="10"/>
      <x:c r="D521" s="10"/>
      <x:c r="E521" s="10"/>
      <x:c r="F521" s="10"/>
      <x:c r="G521" s="10"/>
    </x:row>
    <x:row r="522" ht="14.25" customHeight="1">
      <x:c r="A522" s="10"/>
      <x:c r="B522" s="10"/>
      <x:c r="C522" s="10"/>
      <x:c r="D522" s="10"/>
      <x:c r="E522" s="10"/>
      <x:c r="F522" s="10"/>
      <x:c r="G522" s="10"/>
    </x:row>
    <x:row r="523" ht="14.25" customHeight="1">
      <x:c r="A523" s="10"/>
      <x:c r="B523" s="10"/>
      <x:c r="C523" s="10"/>
      <x:c r="D523" s="10"/>
      <x:c r="E523" s="10"/>
      <x:c r="F523" s="10"/>
      <x:c r="G523" s="10"/>
    </x:row>
    <x:row r="524" ht="14.25" customHeight="1">
      <x:c r="A524" s="10"/>
      <x:c r="B524" s="10"/>
      <x:c r="C524" s="10"/>
      <x:c r="D524" s="10"/>
      <x:c r="E524" s="10"/>
      <x:c r="F524" s="10"/>
      <x:c r="G524" s="10"/>
    </x:row>
    <x:row r="525" ht="14.25" customHeight="1">
      <x:c r="A525" s="10"/>
      <x:c r="B525" s="10"/>
      <x:c r="C525" s="10"/>
      <x:c r="D525" s="10"/>
      <x:c r="E525" s="10"/>
      <x:c r="F525" s="10"/>
      <x:c r="G525" s="10"/>
    </x:row>
    <x:row r="526" ht="14.25" customHeight="1">
      <x:c r="A526" s="10"/>
      <x:c r="B526" s="10"/>
      <x:c r="C526" s="10"/>
      <x:c r="D526" s="10"/>
      <x:c r="E526" s="10"/>
      <x:c r="F526" s="10"/>
      <x:c r="G526" s="10"/>
    </x:row>
    <x:row r="527" ht="14.25" customHeight="1">
      <x:c r="A527" s="10"/>
      <x:c r="B527" s="10"/>
      <x:c r="C527" s="10"/>
      <x:c r="D527" s="10"/>
      <x:c r="E527" s="10"/>
      <x:c r="F527" s="10"/>
      <x:c r="G527" s="10"/>
    </x:row>
    <x:row r="528" ht="14.25" customHeight="1">
      <x:c r="A528" s="10"/>
      <x:c r="B528" s="10"/>
      <x:c r="C528" s="10"/>
      <x:c r="D528" s="10"/>
      <x:c r="E528" s="10"/>
      <x:c r="F528" s="10"/>
      <x:c r="G528" s="10"/>
    </x:row>
    <x:row r="529" ht="14.25" customHeight="1">
      <x:c r="A529" s="10"/>
      <x:c r="B529" s="10"/>
      <x:c r="C529" s="10"/>
      <x:c r="D529" s="10"/>
      <x:c r="E529" s="10"/>
      <x:c r="F529" s="10"/>
      <x:c r="G529" s="10"/>
    </x:row>
    <x:row r="530" ht="14.25" customHeight="1">
      <x:c r="A530" s="10"/>
      <x:c r="B530" s="10"/>
      <x:c r="C530" s="10"/>
      <x:c r="D530" s="10"/>
      <x:c r="E530" s="10"/>
      <x:c r="F530" s="10"/>
      <x:c r="G530" s="10"/>
    </x:row>
    <x:row r="531" ht="14.25" customHeight="1">
      <x:c r="A531" s="10"/>
      <x:c r="B531" s="10"/>
      <x:c r="C531" s="10"/>
      <x:c r="D531" s="10"/>
      <x:c r="E531" s="10"/>
      <x:c r="F531" s="10"/>
      <x:c r="G531" s="10"/>
    </x:row>
    <x:row r="532" ht="14.25" customHeight="1">
      <x:c r="A532" s="10"/>
      <x:c r="B532" s="10"/>
      <x:c r="C532" s="10"/>
      <x:c r="D532" s="10"/>
      <x:c r="E532" s="10"/>
      <x:c r="F532" s="10"/>
      <x:c r="G532" s="10"/>
    </x:row>
    <x:row r="533" ht="14.25" customHeight="1">
      <x:c r="A533" s="10"/>
      <x:c r="B533" s="10"/>
      <x:c r="C533" s="10"/>
      <x:c r="D533" s="10"/>
      <x:c r="E533" s="10"/>
      <x:c r="F533" s="10"/>
      <x:c r="G533" s="10"/>
    </x:row>
    <x:row r="534" ht="14.25" customHeight="1">
      <x:c r="A534" s="10"/>
      <x:c r="B534" s="10"/>
      <x:c r="C534" s="10"/>
      <x:c r="D534" s="10"/>
      <x:c r="E534" s="10"/>
      <x:c r="F534" s="10"/>
      <x:c r="G534" s="10"/>
    </x:row>
    <x:row r="535" ht="14.25" customHeight="1">
      <x:c r="A535" s="10"/>
      <x:c r="B535" s="10"/>
      <x:c r="C535" s="10"/>
      <x:c r="D535" s="10"/>
      <x:c r="E535" s="10"/>
      <x:c r="F535" s="10"/>
      <x:c r="G535" s="10"/>
    </x:row>
    <x:row r="536" ht="14.25" customHeight="1">
      <x:c r="A536" s="10"/>
      <x:c r="B536" s="10"/>
      <x:c r="C536" s="10"/>
      <x:c r="D536" s="10"/>
      <x:c r="E536" s="10"/>
      <x:c r="F536" s="10"/>
      <x:c r="G536" s="10"/>
    </x:row>
    <x:row r="537" ht="14.25" customHeight="1">
      <x:c r="A537" s="10"/>
      <x:c r="B537" s="10"/>
      <x:c r="C537" s="10"/>
      <x:c r="D537" s="10"/>
      <x:c r="E537" s="10"/>
      <x:c r="F537" s="10"/>
      <x:c r="G537" s="10"/>
    </x:row>
    <x:row r="538" ht="14.25" customHeight="1">
      <x:c r="A538" s="10"/>
      <x:c r="B538" s="10"/>
      <x:c r="C538" s="10"/>
      <x:c r="D538" s="10"/>
      <x:c r="E538" s="10"/>
      <x:c r="F538" s="10"/>
      <x:c r="G538" s="10"/>
    </x:row>
    <x:row r="539" ht="14.25" customHeight="1">
      <x:c r="A539" s="10"/>
      <x:c r="B539" s="10"/>
      <x:c r="C539" s="10"/>
      <x:c r="D539" s="10"/>
      <x:c r="E539" s="10"/>
      <x:c r="F539" s="10"/>
      <x:c r="G539" s="10"/>
    </x:row>
    <x:row r="540" ht="14.25" customHeight="1">
      <x:c r="A540" s="10"/>
      <x:c r="B540" s="10"/>
      <x:c r="C540" s="10"/>
      <x:c r="D540" s="10"/>
      <x:c r="E540" s="10"/>
      <x:c r="F540" s="10"/>
      <x:c r="G540" s="10"/>
    </x:row>
    <x:row r="541" ht="14.25" customHeight="1">
      <x:c r="A541" s="10"/>
      <x:c r="B541" s="10"/>
      <x:c r="C541" s="10"/>
      <x:c r="D541" s="10"/>
      <x:c r="E541" s="10"/>
      <x:c r="F541" s="10"/>
      <x:c r="G541" s="10"/>
    </x:row>
    <x:row r="542" ht="14.25" customHeight="1">
      <x:c r="A542" s="10"/>
      <x:c r="B542" s="10"/>
      <x:c r="C542" s="10"/>
      <x:c r="D542" s="10"/>
      <x:c r="E542" s="10"/>
      <x:c r="F542" s="10"/>
      <x:c r="G542" s="10"/>
    </x:row>
    <x:row r="543" ht="14.25" customHeight="1">
      <x:c r="A543" s="10"/>
      <x:c r="B543" s="10"/>
      <x:c r="C543" s="10"/>
      <x:c r="D543" s="10"/>
      <x:c r="E543" s="10"/>
      <x:c r="F543" s="10"/>
      <x:c r="G543" s="10"/>
    </x:row>
    <x:row r="544" ht="14.25" customHeight="1">
      <x:c r="A544" s="10"/>
      <x:c r="B544" s="10"/>
      <x:c r="C544" s="10"/>
      <x:c r="D544" s="10"/>
      <x:c r="E544" s="10"/>
      <x:c r="F544" s="10"/>
      <x:c r="G544" s="10"/>
    </x:row>
    <x:row r="545" ht="14.25" customHeight="1">
      <x:c r="A545" s="10"/>
      <x:c r="B545" s="10"/>
      <x:c r="C545" s="10"/>
      <x:c r="D545" s="10"/>
      <x:c r="E545" s="10"/>
      <x:c r="F545" s="10"/>
      <x:c r="G545" s="10"/>
    </x:row>
    <x:row r="546" ht="14.25" customHeight="1">
      <x:c r="A546" s="10"/>
      <x:c r="B546" s="10"/>
      <x:c r="C546" s="10"/>
      <x:c r="D546" s="10"/>
      <x:c r="E546" s="10"/>
      <x:c r="F546" s="10"/>
      <x:c r="G546" s="10"/>
    </x:row>
    <x:row r="547" ht="14.25" customHeight="1">
      <x:c r="A547" s="10"/>
      <x:c r="B547" s="10"/>
      <x:c r="C547" s="10"/>
      <x:c r="D547" s="10"/>
      <x:c r="E547" s="10"/>
      <x:c r="F547" s="10"/>
      <x:c r="G547" s="10"/>
    </x:row>
    <x:row r="548" ht="14.25" customHeight="1">
      <x:c r="A548" s="10"/>
      <x:c r="B548" s="10"/>
      <x:c r="C548" s="10"/>
      <x:c r="D548" s="10"/>
      <x:c r="E548" s="10"/>
      <x:c r="F548" s="10"/>
      <x:c r="G548" s="10"/>
    </x:row>
    <x:row r="549" ht="14.25" customHeight="1">
      <x:c r="A549" s="10"/>
      <x:c r="B549" s="10"/>
      <x:c r="C549" s="10"/>
      <x:c r="D549" s="10"/>
      <x:c r="E549" s="10"/>
      <x:c r="F549" s="10"/>
      <x:c r="G549" s="10"/>
    </x:row>
    <x:row r="550" ht="14.25" customHeight="1">
      <x:c r="A550" s="10"/>
      <x:c r="B550" s="10"/>
      <x:c r="C550" s="10"/>
      <x:c r="D550" s="10"/>
      <x:c r="E550" s="10"/>
      <x:c r="F550" s="10"/>
      <x:c r="G550" s="10"/>
    </x:row>
    <x:row r="551" ht="14.25" customHeight="1">
      <x:c r="A551" s="10"/>
      <x:c r="B551" s="10"/>
      <x:c r="C551" s="10"/>
      <x:c r="D551" s="10"/>
      <x:c r="E551" s="10"/>
      <x:c r="F551" s="10"/>
      <x:c r="G551" s="10"/>
    </x:row>
    <x:row r="552" ht="14.25" customHeight="1">
      <x:c r="A552" s="10"/>
      <x:c r="B552" s="10"/>
      <x:c r="C552" s="10"/>
      <x:c r="D552" s="10"/>
      <x:c r="E552" s="10"/>
      <x:c r="F552" s="10"/>
      <x:c r="G552" s="10"/>
    </x:row>
    <x:row r="553" ht="14.25" customHeight="1">
      <x:c r="A553" s="10"/>
      <x:c r="B553" s="10"/>
      <x:c r="C553" s="10"/>
      <x:c r="D553" s="10"/>
      <x:c r="E553" s="10"/>
      <x:c r="F553" s="10"/>
      <x:c r="G553" s="10"/>
    </x:row>
    <x:row r="554" ht="14.25" customHeight="1">
      <x:c r="A554" s="10"/>
      <x:c r="B554" s="10"/>
      <x:c r="C554" s="10"/>
      <x:c r="D554" s="10"/>
      <x:c r="E554" s="10"/>
      <x:c r="F554" s="10"/>
      <x:c r="G554" s="10"/>
    </x:row>
    <x:row r="555" ht="14.25" customHeight="1">
      <x:c r="A555" s="10"/>
      <x:c r="B555" s="10"/>
      <x:c r="C555" s="10"/>
      <x:c r="D555" s="10"/>
      <x:c r="E555" s="10"/>
      <x:c r="F555" s="10"/>
      <x:c r="G555" s="10"/>
    </x:row>
    <x:row r="556" ht="14.25" customHeight="1">
      <x:c r="A556" s="10"/>
      <x:c r="B556" s="10"/>
      <x:c r="C556" s="10"/>
      <x:c r="D556" s="10"/>
      <x:c r="E556" s="10"/>
      <x:c r="F556" s="10"/>
      <x:c r="G556" s="10"/>
    </x:row>
    <x:row r="557" ht="14.25" customHeight="1">
      <x:c r="A557" s="10"/>
      <x:c r="B557" s="10"/>
      <x:c r="C557" s="10"/>
      <x:c r="D557" s="10"/>
      <x:c r="E557" s="10"/>
      <x:c r="F557" s="10"/>
      <x:c r="G557" s="10"/>
    </x:row>
    <x:row r="558" ht="14.25" customHeight="1">
      <x:c r="A558" s="10"/>
      <x:c r="B558" s="10"/>
      <x:c r="C558" s="10"/>
      <x:c r="D558" s="10"/>
      <x:c r="E558" s="10"/>
      <x:c r="F558" s="10"/>
      <x:c r="G558" s="10"/>
    </x:row>
    <x:row r="559" ht="14.25" customHeight="1">
      <x:c r="A559" s="10"/>
      <x:c r="B559" s="10"/>
      <x:c r="C559" s="10"/>
      <x:c r="D559" s="10"/>
      <x:c r="E559" s="10"/>
      <x:c r="F559" s="10"/>
      <x:c r="G559" s="10"/>
    </x:row>
    <x:row r="560" ht="14.25" customHeight="1">
      <x:c r="A560" s="10"/>
      <x:c r="B560" s="10"/>
      <x:c r="C560" s="10"/>
      <x:c r="D560" s="10"/>
      <x:c r="E560" s="10"/>
      <x:c r="F560" s="10"/>
      <x:c r="G560" s="10"/>
    </x:row>
    <x:row r="561" ht="14.25" customHeight="1">
      <x:c r="A561" s="10"/>
      <x:c r="B561" s="10"/>
      <x:c r="C561" s="10"/>
      <x:c r="D561" s="10"/>
      <x:c r="E561" s="10"/>
      <x:c r="F561" s="10"/>
      <x:c r="G561" s="10"/>
    </x:row>
    <x:row r="562" ht="14.25" customHeight="1">
      <x:c r="A562" s="10"/>
      <x:c r="B562" s="10"/>
      <x:c r="C562" s="10"/>
      <x:c r="D562" s="10"/>
      <x:c r="E562" s="10"/>
      <x:c r="F562" s="10"/>
      <x:c r="G562" s="10"/>
    </x:row>
    <x:row r="563" ht="14.25" customHeight="1">
      <x:c r="A563" s="10"/>
      <x:c r="B563" s="10"/>
      <x:c r="C563" s="10"/>
      <x:c r="D563" s="10"/>
      <x:c r="E563" s="10"/>
      <x:c r="F563" s="10"/>
      <x:c r="G563" s="10"/>
    </x:row>
    <x:row r="564" ht="14.25" customHeight="1">
      <x:c r="A564" s="10"/>
      <x:c r="B564" s="10"/>
      <x:c r="C564" s="10"/>
      <x:c r="D564" s="10"/>
      <x:c r="E564" s="10"/>
      <x:c r="F564" s="10"/>
      <x:c r="G564" s="10"/>
    </x:row>
    <x:row r="565" ht="14.25" customHeight="1">
      <x:c r="A565" s="10"/>
      <x:c r="B565" s="10"/>
      <x:c r="C565" s="10"/>
      <x:c r="D565" s="10"/>
      <x:c r="E565" s="10"/>
      <x:c r="F565" s="10"/>
      <x:c r="G565" s="10"/>
    </x:row>
    <x:row r="566" ht="14.25" customHeight="1">
      <x:c r="A566" s="10"/>
      <x:c r="B566" s="10"/>
      <x:c r="C566" s="10"/>
      <x:c r="D566" s="10"/>
      <x:c r="E566" s="10"/>
      <x:c r="F566" s="10"/>
      <x:c r="G566" s="10"/>
    </x:row>
    <x:row r="567" ht="14.25" customHeight="1">
      <x:c r="A567" s="10"/>
      <x:c r="B567" s="10"/>
      <x:c r="C567" s="10"/>
      <x:c r="D567" s="10"/>
      <x:c r="E567" s="10"/>
      <x:c r="F567" s="10"/>
      <x:c r="G567" s="10"/>
    </x:row>
    <x:row r="568" ht="14.25" customHeight="1">
      <x:c r="A568" s="10"/>
      <x:c r="B568" s="10"/>
      <x:c r="C568" s="10"/>
      <x:c r="D568" s="10"/>
      <x:c r="E568" s="10"/>
      <x:c r="F568" s="10"/>
      <x:c r="G568" s="10"/>
    </x:row>
    <x:row r="569" ht="14.25" customHeight="1">
      <x:c r="A569" s="10"/>
      <x:c r="B569" s="10"/>
      <x:c r="C569" s="10"/>
      <x:c r="D569" s="10"/>
      <x:c r="E569" s="10"/>
      <x:c r="F569" s="10"/>
      <x:c r="G569" s="10"/>
    </x:row>
    <x:row r="570" ht="14.25" customHeight="1">
      <x:c r="A570" s="10"/>
      <x:c r="B570" s="10"/>
      <x:c r="C570" s="10"/>
      <x:c r="D570" s="10"/>
      <x:c r="E570" s="10"/>
      <x:c r="F570" s="10"/>
      <x:c r="G570" s="10"/>
    </x:row>
    <x:row r="571" ht="14.25" customHeight="1">
      <x:c r="A571" s="10"/>
      <x:c r="B571" s="10"/>
      <x:c r="C571" s="10"/>
      <x:c r="D571" s="10"/>
      <x:c r="E571" s="10"/>
      <x:c r="F571" s="10"/>
      <x:c r="G571" s="10"/>
    </x:row>
    <x:row r="572" ht="14.25" customHeight="1">
      <x:c r="A572" s="10"/>
      <x:c r="B572" s="10"/>
      <x:c r="C572" s="10"/>
      <x:c r="D572" s="10"/>
      <x:c r="E572" s="10"/>
      <x:c r="F572" s="10"/>
      <x:c r="G572" s="10"/>
    </x:row>
    <x:row r="573" ht="14.25" customHeight="1">
      <x:c r="A573" s="10"/>
      <x:c r="B573" s="10"/>
      <x:c r="C573" s="10"/>
      <x:c r="D573" s="10"/>
      <x:c r="E573" s="10"/>
      <x:c r="F573" s="10"/>
      <x:c r="G573" s="10"/>
    </x:row>
    <x:row r="574" ht="14.25" customHeight="1">
      <x:c r="A574" s="10"/>
      <x:c r="B574" s="10"/>
      <x:c r="C574" s="10"/>
      <x:c r="D574" s="10"/>
      <x:c r="E574" s="10"/>
      <x:c r="F574" s="10"/>
      <x:c r="G574" s="10"/>
    </x:row>
    <x:row r="575" ht="14.25" customHeight="1">
      <x:c r="A575" s="10"/>
      <x:c r="B575" s="10"/>
      <x:c r="C575" s="10"/>
      <x:c r="D575" s="10"/>
      <x:c r="E575" s="10"/>
      <x:c r="F575" s="10"/>
      <x:c r="G575" s="10"/>
    </x:row>
    <x:row r="576" ht="14.25" customHeight="1">
      <x:c r="A576" s="10"/>
      <x:c r="B576" s="10"/>
      <x:c r="C576" s="10"/>
      <x:c r="D576" s="10"/>
      <x:c r="E576" s="10"/>
      <x:c r="F576" s="10"/>
      <x:c r="G576" s="10"/>
    </x:row>
    <x:row r="577" ht="14.25" customHeight="1">
      <x:c r="A577" s="10"/>
      <x:c r="B577" s="10"/>
      <x:c r="C577" s="10"/>
      <x:c r="D577" s="10"/>
      <x:c r="E577" s="10"/>
      <x:c r="F577" s="10"/>
      <x:c r="G577" s="10"/>
    </x:row>
    <x:row r="578" ht="14.25" customHeight="1">
      <x:c r="A578" s="10"/>
      <x:c r="B578" s="10"/>
      <x:c r="C578" s="10"/>
      <x:c r="D578" s="10"/>
      <x:c r="E578" s="10"/>
      <x:c r="F578" s="10"/>
      <x:c r="G578" s="10"/>
    </x:row>
    <x:row r="579" ht="14.25" customHeight="1">
      <x:c r="A579" s="10"/>
      <x:c r="B579" s="10"/>
      <x:c r="C579" s="10"/>
      <x:c r="D579" s="10"/>
      <x:c r="E579" s="10"/>
      <x:c r="F579" s="10"/>
      <x:c r="G579" s="10"/>
    </x:row>
    <x:row r="580" ht="14.25" customHeight="1">
      <x:c r="A580" s="10"/>
      <x:c r="B580" s="10"/>
      <x:c r="C580" s="10"/>
      <x:c r="D580" s="10"/>
      <x:c r="E580" s="10"/>
      <x:c r="F580" s="10"/>
      <x:c r="G580" s="10"/>
    </x:row>
    <x:row r="581" ht="14.25" customHeight="1">
      <x:c r="A581" s="10"/>
      <x:c r="B581" s="10"/>
      <x:c r="C581" s="10"/>
      <x:c r="D581" s="10"/>
      <x:c r="E581" s="10"/>
      <x:c r="F581" s="10"/>
      <x:c r="G581" s="10"/>
    </x:row>
    <x:row r="582" ht="14.25" customHeight="1">
      <x:c r="A582" s="10"/>
      <x:c r="B582" s="10"/>
      <x:c r="C582" s="10"/>
      <x:c r="D582" s="10"/>
      <x:c r="E582" s="10"/>
      <x:c r="F582" s="10"/>
      <x:c r="G582" s="10"/>
    </x:row>
    <x:row r="583" ht="14.25" customHeight="1">
      <x:c r="A583" s="10"/>
      <x:c r="B583" s="10"/>
      <x:c r="C583" s="10"/>
      <x:c r="D583" s="10"/>
      <x:c r="E583" s="10"/>
      <x:c r="F583" s="10"/>
      <x:c r="G583" s="10"/>
    </x:row>
    <x:row r="584" ht="14.25" customHeight="1">
      <x:c r="A584" s="10"/>
      <x:c r="B584" s="10"/>
      <x:c r="C584" s="10"/>
      <x:c r="D584" s="10"/>
      <x:c r="E584" s="10"/>
      <x:c r="F584" s="10"/>
      <x:c r="G584" s="10"/>
    </x:row>
    <x:row r="585" ht="14.25" customHeight="1">
      <x:c r="A585" s="10"/>
      <x:c r="B585" s="10"/>
      <x:c r="C585" s="10"/>
      <x:c r="D585" s="10"/>
      <x:c r="E585" s="10"/>
      <x:c r="F585" s="10"/>
      <x:c r="G585" s="10"/>
    </x:row>
    <x:row r="586" ht="14.25" customHeight="1">
      <x:c r="A586" s="10"/>
      <x:c r="B586" s="10"/>
      <x:c r="C586" s="10"/>
      <x:c r="D586" s="10"/>
      <x:c r="E586" s="10"/>
      <x:c r="F586" s="10"/>
      <x:c r="G586" s="10"/>
    </x:row>
    <x:row r="587" ht="14.25" customHeight="1">
      <x:c r="A587" s="10"/>
      <x:c r="B587" s="10"/>
      <x:c r="C587" s="10"/>
      <x:c r="D587" s="10"/>
      <x:c r="E587" s="10"/>
      <x:c r="F587" s="10"/>
      <x:c r="G587" s="10"/>
    </x:row>
    <x:row r="588" ht="14.25" customHeight="1">
      <x:c r="A588" s="10"/>
      <x:c r="B588" s="10"/>
      <x:c r="C588" s="10"/>
      <x:c r="D588" s="10"/>
      <x:c r="E588" s="10"/>
      <x:c r="F588" s="10"/>
      <x:c r="G588" s="10"/>
    </x:row>
    <x:row r="589" ht="14.25" customHeight="1">
      <x:c r="A589" s="10"/>
      <x:c r="B589" s="10"/>
      <x:c r="C589" s="10"/>
      <x:c r="D589" s="10"/>
      <x:c r="E589" s="10"/>
      <x:c r="F589" s="10"/>
      <x:c r="G589" s="10"/>
    </x:row>
    <x:row r="590" ht="14.25" customHeight="1">
      <x:c r="A590" s="10"/>
      <x:c r="B590" s="10"/>
      <x:c r="C590" s="10"/>
      <x:c r="D590" s="10"/>
      <x:c r="E590" s="10"/>
      <x:c r="F590" s="10"/>
      <x:c r="G590" s="10"/>
    </x:row>
    <x:row r="591" ht="14.25" customHeight="1">
      <x:c r="A591" s="10"/>
      <x:c r="B591" s="10"/>
      <x:c r="C591" s="10"/>
      <x:c r="D591" s="10"/>
      <x:c r="E591" s="10"/>
      <x:c r="F591" s="10"/>
      <x:c r="G591" s="10"/>
    </x:row>
    <x:row r="592" ht="14.25" customHeight="1">
      <x:c r="A592" s="10"/>
      <x:c r="B592" s="10"/>
      <x:c r="C592" s="10"/>
      <x:c r="D592" s="10"/>
      <x:c r="E592" s="10"/>
      <x:c r="F592" s="10"/>
      <x:c r="G592" s="10"/>
    </x:row>
    <x:row r="593" ht="14.25" customHeight="1">
      <x:c r="A593" s="10"/>
      <x:c r="B593" s="10"/>
      <x:c r="C593" s="10"/>
      <x:c r="D593" s="10"/>
      <x:c r="E593" s="10"/>
      <x:c r="F593" s="10"/>
      <x:c r="G593" s="10"/>
    </x:row>
    <x:row r="594" ht="14.25" customHeight="1">
      <x:c r="A594" s="10"/>
      <x:c r="B594" s="10"/>
      <x:c r="C594" s="10"/>
      <x:c r="D594" s="10"/>
      <x:c r="E594" s="10"/>
      <x:c r="F594" s="10"/>
      <x:c r="G594" s="10"/>
    </x:row>
    <x:row r="595" ht="14.25" customHeight="1">
      <x:c r="A595" s="10"/>
      <x:c r="B595" s="10"/>
      <x:c r="C595" s="10"/>
      <x:c r="D595" s="10"/>
      <x:c r="E595" s="10"/>
      <x:c r="F595" s="10"/>
      <x:c r="G595" s="10"/>
    </x:row>
    <x:row r="596" ht="14.25" customHeight="1">
      <x:c r="A596" s="10"/>
      <x:c r="B596" s="10"/>
      <x:c r="C596" s="10"/>
      <x:c r="D596" s="10"/>
      <x:c r="E596" s="10"/>
      <x:c r="F596" s="10"/>
      <x:c r="G596" s="10"/>
    </x:row>
    <x:row r="597" ht="14.25" customHeight="1">
      <x:c r="A597" s="10"/>
      <x:c r="B597" s="10"/>
      <x:c r="C597" s="10"/>
      <x:c r="D597" s="10"/>
      <x:c r="E597" s="10"/>
      <x:c r="F597" s="10"/>
      <x:c r="G597" s="10"/>
    </x:row>
    <x:row r="598" ht="14.25" customHeight="1">
      <x:c r="A598" s="10"/>
      <x:c r="B598" s="10"/>
      <x:c r="C598" s="10"/>
      <x:c r="D598" s="10"/>
      <x:c r="E598" s="10"/>
      <x:c r="F598" s="10"/>
      <x:c r="G598" s="10"/>
    </x:row>
    <x:row r="599" ht="14.25" customHeight="1">
      <x:c r="A599" s="10"/>
      <x:c r="B599" s="10"/>
      <x:c r="C599" s="10"/>
      <x:c r="D599" s="10"/>
      <x:c r="E599" s="10"/>
      <x:c r="F599" s="10"/>
      <x:c r="G599" s="10"/>
    </x:row>
    <x:row r="600" ht="14.25" customHeight="1">
      <x:c r="A600" s="10"/>
      <x:c r="B600" s="10"/>
      <x:c r="C600" s="10"/>
      <x:c r="D600" s="10"/>
      <x:c r="E600" s="10"/>
      <x:c r="F600" s="10"/>
      <x:c r="G600" s="10"/>
    </x:row>
    <x:row r="601" ht="14.25" customHeight="1">
      <x:c r="A601" s="10"/>
      <x:c r="B601" s="10"/>
      <x:c r="C601" s="10"/>
      <x:c r="D601" s="10"/>
      <x:c r="E601" s="10"/>
      <x:c r="F601" s="10"/>
      <x:c r="G601" s="10"/>
    </x:row>
    <x:row r="602" ht="14.25" customHeight="1">
      <x:c r="A602" s="10"/>
      <x:c r="B602" s="10"/>
      <x:c r="C602" s="10"/>
      <x:c r="D602" s="10"/>
      <x:c r="E602" s="10"/>
      <x:c r="F602" s="10"/>
      <x:c r="G602" s="10"/>
    </x:row>
    <x:row r="603" ht="14.25" customHeight="1">
      <x:c r="A603" s="10"/>
      <x:c r="B603" s="10"/>
      <x:c r="C603" s="10"/>
      <x:c r="D603" s="10"/>
      <x:c r="E603" s="10"/>
      <x:c r="F603" s="10"/>
      <x:c r="G603" s="10"/>
    </x:row>
    <x:row r="604" ht="14.25" customHeight="1">
      <x:c r="A604" s="10"/>
      <x:c r="B604" s="10"/>
      <x:c r="C604" s="10"/>
      <x:c r="D604" s="10"/>
      <x:c r="E604" s="10"/>
      <x:c r="F604" s="10"/>
      <x:c r="G604" s="10"/>
    </x:row>
    <x:row r="605" ht="14.25" customHeight="1">
      <x:c r="A605" s="10"/>
      <x:c r="B605" s="10"/>
      <x:c r="C605" s="10"/>
      <x:c r="D605" s="10"/>
      <x:c r="E605" s="10"/>
      <x:c r="F605" s="10"/>
      <x:c r="G605" s="10"/>
    </x:row>
    <x:row r="606" ht="14.25" customHeight="1">
      <x:c r="A606" s="10"/>
      <x:c r="B606" s="10"/>
      <x:c r="C606" s="10"/>
      <x:c r="D606" s="10"/>
      <x:c r="E606" s="10"/>
      <x:c r="F606" s="10"/>
      <x:c r="G606" s="10"/>
    </x:row>
    <x:row r="607" ht="14.25" customHeight="1">
      <x:c r="A607" s="10"/>
      <x:c r="B607" s="10"/>
      <x:c r="C607" s="10"/>
      <x:c r="D607" s="10"/>
      <x:c r="E607" s="10"/>
      <x:c r="F607" s="10"/>
      <x:c r="G607" s="10"/>
    </x:row>
    <x:row r="608" ht="14.25" customHeight="1">
      <x:c r="A608" s="10"/>
      <x:c r="B608" s="10"/>
      <x:c r="C608" s="10"/>
      <x:c r="D608" s="10"/>
      <x:c r="E608" s="10"/>
      <x:c r="F608" s="10"/>
      <x:c r="G608" s="10"/>
    </x:row>
    <x:row r="609" ht="14.25" customHeight="1">
      <x:c r="A609" s="10"/>
      <x:c r="B609" s="10"/>
      <x:c r="C609" s="10"/>
      <x:c r="D609" s="10"/>
      <x:c r="E609" s="10"/>
      <x:c r="F609" s="10"/>
      <x:c r="G609" s="10"/>
    </x:row>
    <x:row r="610" ht="14.25" customHeight="1">
      <x:c r="A610" s="10"/>
      <x:c r="B610" s="10"/>
      <x:c r="C610" s="10"/>
      <x:c r="D610" s="10"/>
      <x:c r="E610" s="10"/>
      <x:c r="F610" s="10"/>
      <x:c r="G610" s="10"/>
    </x:row>
    <x:row r="611" ht="14.25" customHeight="1">
      <x:c r="A611" s="10"/>
      <x:c r="B611" s="10"/>
      <x:c r="C611" s="10"/>
      <x:c r="D611" s="10"/>
      <x:c r="E611" s="10"/>
      <x:c r="F611" s="10"/>
      <x:c r="G611" s="10"/>
    </x:row>
    <x:row r="612" ht="14.25" customHeight="1">
      <x:c r="A612" s="10"/>
      <x:c r="B612" s="10"/>
      <x:c r="C612" s="10"/>
      <x:c r="D612" s="10"/>
      <x:c r="E612" s="10"/>
      <x:c r="F612" s="10"/>
      <x:c r="G612" s="10"/>
    </x:row>
    <x:row r="613" ht="14.25" customHeight="1">
      <x:c r="A613" s="10"/>
      <x:c r="B613" s="10"/>
      <x:c r="C613" s="10"/>
      <x:c r="D613" s="10"/>
      <x:c r="E613" s="10"/>
      <x:c r="F613" s="10"/>
      <x:c r="G613" s="10"/>
    </x:row>
    <x:row r="614" ht="14.25" customHeight="1">
      <x:c r="A614" s="10"/>
      <x:c r="B614" s="10"/>
      <x:c r="C614" s="10"/>
      <x:c r="D614" s="10"/>
      <x:c r="E614" s="10"/>
      <x:c r="F614" s="10"/>
      <x:c r="G614" s="10"/>
    </x:row>
    <x:row r="615" ht="14.25" customHeight="1">
      <x:c r="A615" s="10"/>
      <x:c r="B615" s="10"/>
      <x:c r="C615" s="10"/>
      <x:c r="D615" s="10"/>
      <x:c r="E615" s="10"/>
      <x:c r="F615" s="10"/>
      <x:c r="G615" s="10"/>
    </x:row>
    <x:row r="616" ht="14.25" customHeight="1">
      <x:c r="A616" s="10"/>
      <x:c r="B616" s="10"/>
      <x:c r="C616" s="10"/>
      <x:c r="D616" s="10"/>
      <x:c r="E616" s="10"/>
      <x:c r="F616" s="10"/>
      <x:c r="G616" s="10"/>
    </x:row>
    <x:row r="617" ht="14.25" customHeight="1">
      <x:c r="A617" s="10"/>
      <x:c r="B617" s="10"/>
      <x:c r="C617" s="10"/>
      <x:c r="D617" s="10"/>
      <x:c r="E617" s="10"/>
      <x:c r="F617" s="10"/>
      <x:c r="G617" s="10"/>
    </x:row>
    <x:row r="618" ht="14.25" customHeight="1">
      <x:c r="A618" s="10"/>
      <x:c r="B618" s="10"/>
      <x:c r="C618" s="10"/>
      <x:c r="D618" s="10"/>
      <x:c r="E618" s="10"/>
      <x:c r="F618" s="10"/>
      <x:c r="G618" s="10"/>
    </x:row>
    <x:row r="619" ht="14.25" customHeight="1">
      <x:c r="A619" s="10"/>
      <x:c r="B619" s="10"/>
      <x:c r="C619" s="10"/>
      <x:c r="D619" s="10"/>
      <x:c r="E619" s="10"/>
      <x:c r="F619" s="10"/>
      <x:c r="G619" s="10"/>
    </x:row>
    <x:row r="620" ht="14.25" customHeight="1">
      <x:c r="A620" s="10"/>
      <x:c r="B620" s="10"/>
      <x:c r="C620" s="10"/>
      <x:c r="D620" s="10"/>
      <x:c r="E620" s="10"/>
      <x:c r="F620" s="10"/>
      <x:c r="G620" s="10"/>
    </x:row>
    <x:row r="621" ht="14.25" customHeight="1">
      <x:c r="A621" s="10"/>
      <x:c r="B621" s="10"/>
      <x:c r="C621" s="10"/>
      <x:c r="D621" s="10"/>
      <x:c r="E621" s="10"/>
      <x:c r="F621" s="10"/>
      <x:c r="G621" s="10"/>
    </x:row>
    <x:row r="622" ht="14.25" customHeight="1">
      <x:c r="A622" s="10"/>
      <x:c r="B622" s="10"/>
      <x:c r="C622" s="10"/>
      <x:c r="D622" s="10"/>
      <x:c r="E622" s="10"/>
      <x:c r="F622" s="10"/>
      <x:c r="G622" s="10"/>
    </x:row>
    <x:row r="623" ht="14.25" customHeight="1">
      <x:c r="A623" s="10"/>
      <x:c r="B623" s="10"/>
      <x:c r="C623" s="10"/>
      <x:c r="D623" s="10"/>
      <x:c r="E623" s="10"/>
      <x:c r="F623" s="10"/>
      <x:c r="G623" s="10"/>
    </x:row>
    <x:row r="624" ht="14.25" customHeight="1">
      <x:c r="A624" s="10"/>
      <x:c r="B624" s="10"/>
      <x:c r="C624" s="10"/>
      <x:c r="D624" s="10"/>
      <x:c r="E624" s="10"/>
      <x:c r="F624" s="10"/>
      <x:c r="G624" s="10"/>
    </x:row>
    <x:row r="625" ht="14.25" customHeight="1">
      <x:c r="A625" s="10"/>
      <x:c r="B625" s="10"/>
      <x:c r="C625" s="10"/>
      <x:c r="D625" s="10"/>
      <x:c r="E625" s="10"/>
      <x:c r="F625" s="10"/>
      <x:c r="G625" s="10"/>
    </x:row>
    <x:row r="626" ht="14.25" customHeight="1">
      <x:c r="A626" s="10"/>
      <x:c r="B626" s="10"/>
      <x:c r="C626" s="10"/>
      <x:c r="D626" s="10"/>
      <x:c r="E626" s="10"/>
      <x:c r="F626" s="10"/>
      <x:c r="G626" s="10"/>
    </x:row>
    <x:row r="627" ht="14.25" customHeight="1">
      <x:c r="A627" s="10"/>
      <x:c r="B627" s="10"/>
      <x:c r="C627" s="10"/>
      <x:c r="D627" s="10"/>
      <x:c r="E627" s="10"/>
      <x:c r="F627" s="10"/>
      <x:c r="G627" s="10"/>
    </x:row>
    <x:row r="628" ht="14.25" customHeight="1">
      <x:c r="A628" s="10"/>
      <x:c r="B628" s="10"/>
      <x:c r="C628" s="10"/>
      <x:c r="D628" s="10"/>
      <x:c r="E628" s="10"/>
      <x:c r="F628" s="10"/>
      <x:c r="G628" s="10"/>
    </x:row>
    <x:row r="629" ht="14.25" customHeight="1">
      <x:c r="A629" s="10"/>
      <x:c r="B629" s="10"/>
      <x:c r="C629" s="10"/>
      <x:c r="D629" s="10"/>
      <x:c r="E629" s="10"/>
      <x:c r="F629" s="10"/>
      <x:c r="G629" s="10"/>
    </x:row>
    <x:row r="630" ht="14.25" customHeight="1">
      <x:c r="A630" s="10"/>
      <x:c r="B630" s="10"/>
      <x:c r="C630" s="10"/>
      <x:c r="D630" s="10"/>
      <x:c r="E630" s="10"/>
      <x:c r="F630" s="10"/>
      <x:c r="G630" s="10"/>
    </x:row>
    <x:row r="631" ht="14.25" customHeight="1">
      <x:c r="A631" s="10"/>
      <x:c r="B631" s="10"/>
      <x:c r="C631" s="10"/>
      <x:c r="D631" s="10"/>
      <x:c r="E631" s="10"/>
      <x:c r="F631" s="10"/>
      <x:c r="G631" s="10"/>
    </x:row>
    <x:row r="632" ht="14.25" customHeight="1">
      <x:c r="A632" s="10"/>
      <x:c r="B632" s="10"/>
      <x:c r="C632" s="10"/>
      <x:c r="D632" s="10"/>
      <x:c r="E632" s="10"/>
      <x:c r="F632" s="10"/>
      <x:c r="G632" s="10"/>
    </x:row>
    <x:row r="633" ht="14.25" customHeight="1">
      <x:c r="A633" s="10"/>
      <x:c r="B633" s="10"/>
      <x:c r="C633" s="10"/>
      <x:c r="D633" s="10"/>
      <x:c r="E633" s="10"/>
      <x:c r="F633" s="10"/>
      <x:c r="G633" s="10"/>
    </x:row>
    <x:row r="634" ht="14.25" customHeight="1">
      <x:c r="A634" s="10"/>
      <x:c r="B634" s="10"/>
      <x:c r="C634" s="10"/>
      <x:c r="D634" s="10"/>
      <x:c r="E634" s="10"/>
      <x:c r="F634" s="10"/>
      <x:c r="G634" s="10"/>
    </x:row>
    <x:row r="635" ht="14.25" customHeight="1">
      <x:c r="A635" s="10"/>
      <x:c r="B635" s="10"/>
      <x:c r="C635" s="10"/>
      <x:c r="D635" s="10"/>
      <x:c r="E635" s="10"/>
      <x:c r="F635" s="10"/>
      <x:c r="G635" s="10"/>
    </x:row>
    <x:row r="636" ht="14.25" customHeight="1">
      <x:c r="A636" s="10"/>
      <x:c r="B636" s="10"/>
      <x:c r="C636" s="10"/>
      <x:c r="D636" s="10"/>
      <x:c r="E636" s="10"/>
      <x:c r="F636" s="10"/>
      <x:c r="G636" s="10"/>
    </x:row>
    <x:row r="637" ht="14.25" customHeight="1">
      <x:c r="A637" s="10"/>
      <x:c r="B637" s="10"/>
      <x:c r="C637" s="10"/>
      <x:c r="D637" s="10"/>
      <x:c r="E637" s="10"/>
      <x:c r="F637" s="10"/>
      <x:c r="G637" s="10"/>
    </x:row>
    <x:row r="638" ht="14.25" customHeight="1">
      <x:c r="A638" s="10"/>
      <x:c r="B638" s="10"/>
      <x:c r="C638" s="10"/>
      <x:c r="D638" s="10"/>
      <x:c r="E638" s="10"/>
      <x:c r="F638" s="10"/>
      <x:c r="G638" s="10"/>
    </x:row>
    <x:row r="639" ht="14.25" customHeight="1">
      <x:c r="A639" s="10"/>
      <x:c r="B639" s="10"/>
      <x:c r="C639" s="10"/>
      <x:c r="D639" s="10"/>
      <x:c r="E639" s="10"/>
      <x:c r="F639" s="10"/>
      <x:c r="G639" s="10"/>
    </x:row>
    <x:row r="640" ht="14.25" customHeight="1">
      <x:c r="A640" s="10"/>
      <x:c r="B640" s="10"/>
      <x:c r="C640" s="10"/>
      <x:c r="D640" s="10"/>
      <x:c r="E640" s="10"/>
      <x:c r="F640" s="10"/>
      <x:c r="G640" s="10"/>
    </x:row>
    <x:row r="641" ht="14.25" customHeight="1">
      <x:c r="A641" s="10"/>
      <x:c r="B641" s="10"/>
      <x:c r="C641" s="10"/>
      <x:c r="D641" s="10"/>
      <x:c r="E641" s="10"/>
      <x:c r="F641" s="10"/>
      <x:c r="G641" s="10"/>
    </x:row>
    <x:row r="642" ht="14.25" customHeight="1">
      <x:c r="A642" s="10"/>
      <x:c r="B642" s="10"/>
      <x:c r="C642" s="10"/>
      <x:c r="D642" s="10"/>
      <x:c r="E642" s="10"/>
      <x:c r="F642" s="10"/>
      <x:c r="G642" s="10"/>
    </x:row>
    <x:row r="643" ht="14.25" customHeight="1">
      <x:c r="A643" s="10"/>
      <x:c r="B643" s="10"/>
      <x:c r="C643" s="10"/>
      <x:c r="D643" s="10"/>
      <x:c r="E643" s="10"/>
      <x:c r="F643" s="10"/>
      <x:c r="G643" s="10"/>
    </x:row>
    <x:row r="644" ht="14.25" customHeight="1">
      <x:c r="A644" s="10"/>
      <x:c r="B644" s="10"/>
      <x:c r="C644" s="10"/>
      <x:c r="D644" s="10"/>
      <x:c r="E644" s="10"/>
      <x:c r="F644" s="10"/>
      <x:c r="G644" s="10"/>
    </x:row>
    <x:row r="645" ht="14.25" customHeight="1">
      <x:c r="A645" s="10"/>
      <x:c r="B645" s="10"/>
      <x:c r="C645" s="10"/>
      <x:c r="D645" s="10"/>
      <x:c r="E645" s="10"/>
      <x:c r="F645" s="10"/>
      <x:c r="G645" s="10"/>
    </x:row>
    <x:row r="646" ht="14.25" customHeight="1">
      <x:c r="A646" s="10"/>
      <x:c r="B646" s="10"/>
      <x:c r="C646" s="10"/>
      <x:c r="D646" s="10"/>
      <x:c r="E646" s="10"/>
      <x:c r="F646" s="10"/>
      <x:c r="G646" s="10"/>
    </x:row>
    <x:row r="647" ht="14.25" customHeight="1">
      <x:c r="A647" s="10"/>
      <x:c r="B647" s="10"/>
      <x:c r="C647" s="10"/>
      <x:c r="D647" s="10"/>
      <x:c r="E647" s="10"/>
      <x:c r="F647" s="10"/>
      <x:c r="G647" s="10"/>
    </x:row>
    <x:row r="648" ht="14.25" customHeight="1">
      <x:c r="A648" s="10"/>
      <x:c r="B648" s="10"/>
      <x:c r="C648" s="10"/>
      <x:c r="D648" s="10"/>
      <x:c r="E648" s="10"/>
      <x:c r="F648" s="10"/>
      <x:c r="G648" s="10"/>
    </x:row>
    <x:row r="649" ht="14.25" customHeight="1">
      <x:c r="A649" s="10"/>
      <x:c r="B649" s="10"/>
      <x:c r="C649" s="10"/>
      <x:c r="D649" s="10"/>
      <x:c r="E649" s="10"/>
      <x:c r="F649" s="10"/>
      <x:c r="G649" s="10"/>
    </x:row>
    <x:row r="650" ht="14.25" customHeight="1">
      <x:c r="A650" s="10"/>
      <x:c r="B650" s="10"/>
      <x:c r="C650" s="10"/>
      <x:c r="D650" s="10"/>
      <x:c r="E650" s="10"/>
      <x:c r="F650" s="10"/>
      <x:c r="G650" s="10"/>
    </x:row>
    <x:row r="651" ht="14.25" customHeight="1">
      <x:c r="A651" s="10"/>
      <x:c r="B651" s="10"/>
      <x:c r="C651" s="10"/>
      <x:c r="D651" s="10"/>
      <x:c r="E651" s="10"/>
      <x:c r="F651" s="10"/>
      <x:c r="G651" s="10"/>
    </x:row>
    <x:row r="652" ht="14.25" customHeight="1">
      <x:c r="A652" s="10"/>
      <x:c r="B652" s="10"/>
      <x:c r="C652" s="10"/>
      <x:c r="D652" s="10"/>
      <x:c r="E652" s="10"/>
      <x:c r="F652" s="10"/>
      <x:c r="G652" s="10"/>
    </x:row>
    <x:row r="653" ht="14.25" customHeight="1">
      <x:c r="A653" s="10"/>
      <x:c r="B653" s="10"/>
      <x:c r="C653" s="10"/>
      <x:c r="D653" s="10"/>
      <x:c r="E653" s="10"/>
      <x:c r="F653" s="10"/>
      <x:c r="G653" s="10"/>
    </x:row>
    <x:row r="654" ht="14.25" customHeight="1">
      <x:c r="A654" s="10"/>
      <x:c r="B654" s="10"/>
      <x:c r="C654" s="10"/>
      <x:c r="D654" s="10"/>
      <x:c r="E654" s="10"/>
      <x:c r="F654" s="10"/>
      <x:c r="G654" s="10"/>
    </x:row>
    <x:row r="655" ht="14.25" customHeight="1">
      <x:c r="A655" s="10"/>
      <x:c r="B655" s="10"/>
      <x:c r="C655" s="10"/>
      <x:c r="D655" s="10"/>
      <x:c r="E655" s="10"/>
      <x:c r="F655" s="10"/>
      <x:c r="G655" s="10"/>
    </x:row>
    <x:row r="656" ht="14.25" customHeight="1">
      <x:c r="A656" s="10"/>
      <x:c r="B656" s="10"/>
      <x:c r="C656" s="10"/>
      <x:c r="D656" s="10"/>
      <x:c r="E656" s="10"/>
      <x:c r="F656" s="10"/>
      <x:c r="G656" s="10"/>
    </x:row>
    <x:row r="657" ht="14.25" customHeight="1">
      <x:c r="A657" s="10"/>
      <x:c r="B657" s="10"/>
      <x:c r="C657" s="10"/>
      <x:c r="D657" s="10"/>
      <x:c r="E657" s="10"/>
      <x:c r="F657" s="10"/>
      <x:c r="G657" s="10"/>
    </x:row>
    <x:row r="658" ht="14.25" customHeight="1">
      <x:c r="A658" s="10"/>
      <x:c r="B658" s="10"/>
      <x:c r="C658" s="10"/>
      <x:c r="D658" s="10"/>
      <x:c r="E658" s="10"/>
      <x:c r="F658" s="10"/>
      <x:c r="G658" s="10"/>
    </x:row>
    <x:row r="659" ht="14.25" customHeight="1">
      <x:c r="A659" s="10"/>
      <x:c r="B659" s="10"/>
      <x:c r="C659" s="10"/>
      <x:c r="D659" s="10"/>
      <x:c r="E659" s="10"/>
      <x:c r="F659" s="10"/>
      <x:c r="G659" s="10"/>
    </x:row>
    <x:row r="660" ht="14.25" customHeight="1">
      <x:c r="A660" s="10"/>
      <x:c r="B660" s="10"/>
      <x:c r="C660" s="10"/>
      <x:c r="D660" s="10"/>
      <x:c r="E660" s="10"/>
      <x:c r="F660" s="10"/>
      <x:c r="G660" s="10"/>
    </x:row>
    <x:row r="661" ht="14.25" customHeight="1">
      <x:c r="A661" s="10"/>
      <x:c r="B661" s="10"/>
      <x:c r="C661" s="10"/>
      <x:c r="D661" s="10"/>
      <x:c r="E661" s="10"/>
      <x:c r="F661" s="10"/>
      <x:c r="G661" s="10"/>
    </x:row>
    <x:row r="662" ht="14.25" customHeight="1">
      <x:c r="A662" s="10"/>
      <x:c r="B662" s="10"/>
      <x:c r="C662" s="10"/>
      <x:c r="D662" s="10"/>
      <x:c r="E662" s="10"/>
      <x:c r="F662" s="10"/>
      <x:c r="G662" s="10"/>
    </x:row>
    <x:row r="663" ht="14.25" customHeight="1">
      <x:c r="A663" s="10"/>
      <x:c r="B663" s="10"/>
      <x:c r="C663" s="10"/>
      <x:c r="D663" s="10"/>
      <x:c r="E663" s="10"/>
      <x:c r="F663" s="10"/>
      <x:c r="G663" s="10"/>
    </x:row>
    <x:row r="664" ht="14.25" customHeight="1">
      <x:c r="A664" s="10"/>
      <x:c r="B664" s="10"/>
      <x:c r="C664" s="10"/>
      <x:c r="D664" s="10"/>
      <x:c r="E664" s="10"/>
      <x:c r="F664" s="10"/>
      <x:c r="G664" s="10"/>
    </x:row>
    <x:row r="665" ht="14.25" customHeight="1">
      <x:c r="A665" s="10"/>
      <x:c r="B665" s="10"/>
      <x:c r="C665" s="10"/>
      <x:c r="D665" s="10"/>
      <x:c r="E665" s="10"/>
      <x:c r="F665" s="10"/>
      <x:c r="G665" s="10"/>
    </x:row>
    <x:row r="666" ht="14.25" customHeight="1">
      <x:c r="A666" s="10"/>
      <x:c r="B666" s="10"/>
      <x:c r="C666" s="10"/>
      <x:c r="D666" s="10"/>
      <x:c r="E666" s="10"/>
      <x:c r="F666" s="10"/>
      <x:c r="G666" s="10"/>
    </x:row>
    <x:row r="667" ht="14.25" customHeight="1">
      <x:c r="A667" s="10"/>
      <x:c r="B667" s="10"/>
      <x:c r="C667" s="10"/>
      <x:c r="D667" s="10"/>
      <x:c r="E667" s="10"/>
      <x:c r="F667" s="10"/>
      <x:c r="G667" s="10"/>
    </x:row>
    <x:row r="668" ht="14.25" customHeight="1">
      <x:c r="A668" s="10"/>
      <x:c r="B668" s="10"/>
      <x:c r="C668" s="10"/>
      <x:c r="D668" s="10"/>
      <x:c r="E668" s="10"/>
      <x:c r="F668" s="10"/>
      <x:c r="G668" s="10"/>
    </x:row>
    <x:row r="669" ht="14.25" customHeight="1">
      <x:c r="A669" s="10"/>
      <x:c r="B669" s="10"/>
      <x:c r="C669" s="10"/>
      <x:c r="D669" s="10"/>
      <x:c r="E669" s="10"/>
      <x:c r="F669" s="10"/>
      <x:c r="G669" s="10"/>
    </x:row>
    <x:row r="670" ht="14.25" customHeight="1">
      <x:c r="A670" s="10"/>
      <x:c r="B670" s="10"/>
      <x:c r="C670" s="10"/>
      <x:c r="D670" s="10"/>
      <x:c r="E670" s="10"/>
      <x:c r="F670" s="10"/>
      <x:c r="G670" s="10"/>
    </x:row>
    <x:row r="671" ht="14.25" customHeight="1">
      <x:c r="A671" s="10"/>
      <x:c r="B671" s="10"/>
      <x:c r="C671" s="10"/>
      <x:c r="D671" s="10"/>
      <x:c r="E671" s="10"/>
      <x:c r="F671" s="10"/>
      <x:c r="G671" s="10"/>
    </x:row>
    <x:row r="672" ht="14.25" customHeight="1">
      <x:c r="A672" s="10"/>
      <x:c r="B672" s="10"/>
      <x:c r="C672" s="10"/>
      <x:c r="D672" s="10"/>
      <x:c r="E672" s="10"/>
      <x:c r="F672" s="10"/>
      <x:c r="G672" s="10"/>
    </x:row>
    <x:row r="673" ht="14.25" customHeight="1">
      <x:c r="A673" s="10"/>
      <x:c r="B673" s="10"/>
      <x:c r="C673" s="10"/>
      <x:c r="D673" s="10"/>
      <x:c r="E673" s="10"/>
      <x:c r="F673" s="10"/>
      <x:c r="G673" s="10"/>
    </x:row>
    <x:row r="674" ht="14.25" customHeight="1">
      <x:c r="A674" s="10"/>
      <x:c r="B674" s="10"/>
      <x:c r="C674" s="10"/>
      <x:c r="D674" s="10"/>
      <x:c r="E674" s="10"/>
      <x:c r="F674" s="10"/>
      <x:c r="G674" s="10"/>
    </x:row>
    <x:row r="675" ht="14.25" customHeight="1">
      <x:c r="A675" s="10"/>
      <x:c r="B675" s="10"/>
      <x:c r="C675" s="10"/>
      <x:c r="D675" s="10"/>
      <x:c r="E675" s="10"/>
      <x:c r="F675" s="10"/>
      <x:c r="G675" s="10"/>
    </x:row>
    <x:row r="676" ht="14.25" customHeight="1">
      <x:c r="A676" s="10"/>
      <x:c r="B676" s="10"/>
      <x:c r="C676" s="10"/>
      <x:c r="D676" s="10"/>
      <x:c r="E676" s="10"/>
      <x:c r="F676" s="10"/>
      <x:c r="G676" s="10"/>
    </x:row>
    <x:row r="677" ht="14.25" customHeight="1">
      <x:c r="A677" s="10"/>
      <x:c r="B677" s="10"/>
      <x:c r="C677" s="10"/>
      <x:c r="D677" s="10"/>
      <x:c r="E677" s="10"/>
      <x:c r="F677" s="10"/>
      <x:c r="G677" s="10"/>
    </x:row>
    <x:row r="678" ht="14.25" customHeight="1">
      <x:c r="A678" s="10"/>
      <x:c r="B678" s="10"/>
      <x:c r="C678" s="10"/>
      <x:c r="D678" s="10"/>
      <x:c r="E678" s="10"/>
      <x:c r="F678" s="10"/>
      <x:c r="G678" s="10"/>
    </x:row>
    <x:row r="679" ht="14.25" customHeight="1">
      <x:c r="A679" s="10"/>
      <x:c r="B679" s="10"/>
      <x:c r="C679" s="10"/>
      <x:c r="D679" s="10"/>
      <x:c r="E679" s="10"/>
      <x:c r="F679" s="10"/>
      <x:c r="G679" s="10"/>
    </x:row>
    <x:row r="680" ht="14.25" customHeight="1">
      <x:c r="A680" s="10"/>
      <x:c r="B680" s="10"/>
      <x:c r="C680" s="10"/>
      <x:c r="D680" s="10"/>
      <x:c r="E680" s="10"/>
      <x:c r="F680" s="10"/>
      <x:c r="G680" s="10"/>
    </x:row>
    <x:row r="681" ht="14.25" customHeight="1">
      <x:c r="A681" s="10"/>
      <x:c r="B681" s="10"/>
      <x:c r="C681" s="10"/>
      <x:c r="D681" s="10"/>
      <x:c r="E681" s="10"/>
      <x:c r="F681" s="10"/>
      <x:c r="G681" s="10"/>
    </x:row>
    <x:row r="682" ht="14.25" customHeight="1">
      <x:c r="A682" s="10"/>
      <x:c r="B682" s="10"/>
      <x:c r="C682" s="10"/>
      <x:c r="D682" s="10"/>
      <x:c r="E682" s="10"/>
      <x:c r="F682" s="10"/>
      <x:c r="G682" s="10"/>
    </x:row>
    <x:row r="683" ht="14.25" customHeight="1">
      <x:c r="A683" s="10"/>
      <x:c r="B683" s="10"/>
      <x:c r="C683" s="10"/>
      <x:c r="D683" s="10"/>
      <x:c r="E683" s="10"/>
      <x:c r="F683" s="10"/>
      <x:c r="G683" s="10"/>
    </x:row>
    <x:row r="684" ht="14.25" customHeight="1">
      <x:c r="A684" s="10"/>
      <x:c r="B684" s="10"/>
      <x:c r="C684" s="10"/>
      <x:c r="D684" s="10"/>
      <x:c r="E684" s="10"/>
      <x:c r="F684" s="10"/>
      <x:c r="G684" s="10"/>
    </x:row>
    <x:row r="685" ht="14.25" customHeight="1">
      <x:c r="A685" s="10"/>
      <x:c r="B685" s="10"/>
      <x:c r="C685" s="10"/>
      <x:c r="D685" s="10"/>
      <x:c r="E685" s="10"/>
      <x:c r="F685" s="10"/>
      <x:c r="G685" s="10"/>
    </x:row>
    <x:row r="686" ht="14.25" customHeight="1">
      <x:c r="A686" s="10"/>
      <x:c r="B686" s="10"/>
      <x:c r="C686" s="10"/>
      <x:c r="D686" s="10"/>
      <x:c r="E686" s="10"/>
      <x:c r="F686" s="10"/>
      <x:c r="G686" s="10"/>
    </x:row>
    <x:row r="687" ht="14.25" customHeight="1">
      <x:c r="A687" s="10"/>
      <x:c r="B687" s="10"/>
      <x:c r="C687" s="10"/>
      <x:c r="D687" s="10"/>
      <x:c r="E687" s="10"/>
      <x:c r="F687" s="10"/>
      <x:c r="G687" s="10"/>
    </x:row>
    <x:row r="688" ht="14.25" customHeight="1">
      <x:c r="A688" s="10"/>
      <x:c r="B688" s="10"/>
      <x:c r="C688" s="10"/>
      <x:c r="D688" s="10"/>
      <x:c r="E688" s="10"/>
      <x:c r="F688" s="10"/>
      <x:c r="G688" s="10"/>
    </x:row>
    <x:row r="689" ht="14.25" customHeight="1">
      <x:c r="A689" s="10"/>
      <x:c r="B689" s="10"/>
      <x:c r="C689" s="10"/>
      <x:c r="D689" s="10"/>
      <x:c r="E689" s="10"/>
      <x:c r="F689" s="10"/>
      <x:c r="G689" s="10"/>
    </x:row>
    <x:row r="690" ht="14.25" customHeight="1">
      <x:c r="A690" s="10"/>
      <x:c r="B690" s="10"/>
      <x:c r="C690" s="10"/>
      <x:c r="D690" s="10"/>
      <x:c r="E690" s="10"/>
      <x:c r="F690" s="10"/>
      <x:c r="G690" s="10"/>
    </x:row>
    <x:row r="691" ht="14.25" customHeight="1">
      <x:c r="A691" s="10"/>
      <x:c r="B691" s="10"/>
      <x:c r="C691" s="10"/>
      <x:c r="D691" s="10"/>
      <x:c r="E691" s="10"/>
      <x:c r="F691" s="10"/>
      <x:c r="G691" s="10"/>
    </x:row>
    <x:row r="692" ht="14.25" customHeight="1">
      <x:c r="A692" s="10"/>
      <x:c r="B692" s="10"/>
      <x:c r="C692" s="10"/>
      <x:c r="D692" s="10"/>
      <x:c r="E692" s="10"/>
      <x:c r="F692" s="10"/>
      <x:c r="G692" s="10"/>
    </x:row>
    <x:row r="693" ht="14.25" customHeight="1">
      <x:c r="A693" s="10"/>
      <x:c r="B693" s="10"/>
      <x:c r="C693" s="10"/>
      <x:c r="D693" s="10"/>
      <x:c r="E693" s="10"/>
      <x:c r="F693" s="10"/>
      <x:c r="G693" s="10"/>
    </x:row>
    <x:row r="694" ht="14.25" customHeight="1">
      <x:c r="A694" s="10"/>
      <x:c r="B694" s="10"/>
      <x:c r="C694" s="10"/>
      <x:c r="D694" s="10"/>
      <x:c r="E694" s="10"/>
      <x:c r="F694" s="10"/>
      <x:c r="G694" s="10"/>
    </x:row>
    <x:row r="695" ht="14.25" customHeight="1">
      <x:c r="A695" s="10"/>
      <x:c r="B695" s="10"/>
      <x:c r="C695" s="10"/>
      <x:c r="D695" s="10"/>
      <x:c r="E695" s="10"/>
      <x:c r="F695" s="10"/>
      <x:c r="G695" s="10"/>
    </x:row>
    <x:row r="696" ht="14.25" customHeight="1">
      <x:c r="A696" s="10"/>
      <x:c r="B696" s="10"/>
      <x:c r="C696" s="10"/>
      <x:c r="D696" s="10"/>
      <x:c r="E696" s="10"/>
      <x:c r="F696" s="10"/>
      <x:c r="G696" s="10"/>
    </x:row>
    <x:row r="697" ht="14.25" customHeight="1">
      <x:c r="A697" s="10"/>
      <x:c r="B697" s="10"/>
      <x:c r="C697" s="10"/>
      <x:c r="D697" s="10"/>
      <x:c r="E697" s="10"/>
      <x:c r="F697" s="10"/>
      <x:c r="G697" s="10"/>
    </x:row>
    <x:row r="698" ht="14.25" customHeight="1">
      <x:c r="A698" s="10"/>
      <x:c r="B698" s="10"/>
      <x:c r="C698" s="10"/>
      <x:c r="D698" s="10"/>
      <x:c r="E698" s="10"/>
      <x:c r="F698" s="10"/>
      <x:c r="G698" s="10"/>
    </x:row>
    <x:row r="699" ht="14.25" customHeight="1">
      <x:c r="A699" s="10"/>
      <x:c r="B699" s="10"/>
      <x:c r="C699" s="10"/>
      <x:c r="D699" s="10"/>
      <x:c r="E699" s="10"/>
      <x:c r="F699" s="10"/>
      <x:c r="G699" s="10"/>
    </x:row>
    <x:row r="700" ht="14.25" customHeight="1">
      <x:c r="A700" s="10"/>
      <x:c r="B700" s="10"/>
      <x:c r="C700" s="10"/>
      <x:c r="D700" s="10"/>
      <x:c r="E700" s="10"/>
      <x:c r="F700" s="10"/>
      <x:c r="G700" s="10"/>
    </x:row>
    <x:row r="701" ht="14.25" customHeight="1">
      <x:c r="A701" s="10"/>
      <x:c r="B701" s="10"/>
      <x:c r="C701" s="10"/>
      <x:c r="D701" s="10"/>
      <x:c r="E701" s="10"/>
      <x:c r="F701" s="10"/>
      <x:c r="G701" s="10"/>
    </x:row>
    <x:row r="702" ht="14.25" customHeight="1">
      <x:c r="A702" s="10"/>
      <x:c r="B702" s="10"/>
      <x:c r="C702" s="10"/>
      <x:c r="D702" s="10"/>
      <x:c r="E702" s="10"/>
      <x:c r="F702" s="10"/>
      <x:c r="G702" s="10"/>
    </x:row>
    <x:row r="703" ht="14.25" customHeight="1">
      <x:c r="A703" s="10"/>
      <x:c r="B703" s="10"/>
      <x:c r="C703" s="10"/>
      <x:c r="D703" s="10"/>
      <x:c r="E703" s="10"/>
      <x:c r="F703" s="10"/>
      <x:c r="G703" s="10"/>
    </x:row>
    <x:row r="704" ht="14.25" customHeight="1">
      <x:c r="A704" s="10"/>
      <x:c r="B704" s="10"/>
      <x:c r="C704" s="10"/>
      <x:c r="D704" s="10"/>
      <x:c r="E704" s="10"/>
      <x:c r="F704" s="10"/>
      <x:c r="G704" s="10"/>
    </x:row>
    <x:row r="705" ht="14.25" customHeight="1">
      <x:c r="A705" s="10"/>
      <x:c r="B705" s="10"/>
      <x:c r="C705" s="10"/>
      <x:c r="D705" s="10"/>
      <x:c r="E705" s="10"/>
      <x:c r="F705" s="10"/>
      <x:c r="G705" s="10"/>
    </x:row>
    <x:row r="706" ht="14.25" customHeight="1">
      <x:c r="A706" s="10"/>
      <x:c r="B706" s="10"/>
      <x:c r="C706" s="10"/>
      <x:c r="D706" s="10"/>
      <x:c r="E706" s="10"/>
      <x:c r="F706" s="10"/>
      <x:c r="G706" s="10"/>
    </x:row>
    <x:row r="707" ht="14.25" customHeight="1">
      <x:c r="A707" s="10"/>
      <x:c r="B707" s="10"/>
      <x:c r="C707" s="10"/>
      <x:c r="D707" s="10"/>
      <x:c r="E707" s="10"/>
      <x:c r="F707" s="10"/>
      <x:c r="G707" s="10"/>
    </x:row>
    <x:row r="708" ht="14.25" customHeight="1">
      <x:c r="A708" s="10"/>
      <x:c r="B708" s="10"/>
      <x:c r="C708" s="10"/>
      <x:c r="D708" s="10"/>
      <x:c r="E708" s="10"/>
      <x:c r="F708" s="10"/>
      <x:c r="G708" s="10"/>
    </x:row>
    <x:row r="709" ht="14.25" customHeight="1">
      <x:c r="A709" s="10"/>
      <x:c r="B709" s="10"/>
      <x:c r="C709" s="10"/>
      <x:c r="D709" s="10"/>
      <x:c r="E709" s="10"/>
      <x:c r="F709" s="10"/>
      <x:c r="G709" s="10"/>
    </x:row>
    <x:row r="710" ht="14.25" customHeight="1">
      <x:c r="A710" s="10"/>
      <x:c r="B710" s="10"/>
      <x:c r="C710" s="10"/>
      <x:c r="D710" s="10"/>
      <x:c r="E710" s="10"/>
      <x:c r="F710" s="10"/>
      <x:c r="G710" s="10"/>
    </x:row>
    <x:row r="711" ht="14.25" customHeight="1">
      <x:c r="A711" s="10"/>
      <x:c r="B711" s="10"/>
      <x:c r="C711" s="10"/>
      <x:c r="D711" s="10"/>
      <x:c r="E711" s="10"/>
      <x:c r="F711" s="10"/>
      <x:c r="G711" s="10"/>
    </x:row>
    <x:row r="712" ht="14.25" customHeight="1">
      <x:c r="A712" s="10"/>
      <x:c r="B712" s="10"/>
      <x:c r="C712" s="10"/>
      <x:c r="D712" s="10"/>
      <x:c r="E712" s="10"/>
      <x:c r="F712" s="10"/>
      <x:c r="G712" s="10"/>
    </x:row>
    <x:row r="713" ht="14.25" customHeight="1">
      <x:c r="A713" s="10"/>
      <x:c r="B713" s="10"/>
      <x:c r="C713" s="10"/>
      <x:c r="D713" s="10"/>
      <x:c r="E713" s="10"/>
      <x:c r="F713" s="10"/>
      <x:c r="G713" s="10"/>
    </x:row>
    <x:row r="714" ht="14.25" customHeight="1">
      <x:c r="A714" s="10"/>
      <x:c r="B714" s="10"/>
      <x:c r="C714" s="10"/>
      <x:c r="D714" s="10"/>
      <x:c r="E714" s="10"/>
      <x:c r="F714" s="10"/>
      <x:c r="G714" s="10"/>
    </x:row>
    <x:row r="715" ht="14.25" customHeight="1">
      <x:c r="A715" s="10"/>
      <x:c r="B715" s="10"/>
      <x:c r="C715" s="10"/>
      <x:c r="D715" s="10"/>
      <x:c r="E715" s="10"/>
      <x:c r="F715" s="10"/>
      <x:c r="G715" s="10"/>
    </x:row>
    <x:row r="716" ht="14.25" customHeight="1">
      <x:c r="A716" s="10"/>
      <x:c r="B716" s="10"/>
      <x:c r="C716" s="10"/>
      <x:c r="D716" s="10"/>
      <x:c r="E716" s="10"/>
      <x:c r="F716" s="10"/>
      <x:c r="G716" s="10"/>
    </x:row>
    <x:row r="717" ht="14.25" customHeight="1">
      <x:c r="A717" s="10"/>
      <x:c r="B717" s="10"/>
      <x:c r="C717" s="10"/>
      <x:c r="D717" s="10"/>
      <x:c r="E717" s="10"/>
      <x:c r="F717" s="10"/>
      <x:c r="G717" s="10"/>
    </x:row>
    <x:row r="718" ht="14.25" customHeight="1">
      <x:c r="A718" s="10"/>
      <x:c r="B718" s="10"/>
      <x:c r="C718" s="10"/>
      <x:c r="D718" s="10"/>
      <x:c r="E718" s="10"/>
      <x:c r="F718" s="10"/>
      <x:c r="G718" s="10"/>
    </x:row>
    <x:row r="719" ht="14.25" customHeight="1">
      <x:c r="A719" s="10"/>
      <x:c r="B719" s="10"/>
      <x:c r="C719" s="10"/>
      <x:c r="D719" s="10"/>
      <x:c r="E719" s="10"/>
      <x:c r="F719" s="10"/>
      <x:c r="G719" s="10"/>
    </x:row>
    <x:row r="720" ht="14.25" customHeight="1">
      <x:c r="A720" s="10"/>
      <x:c r="B720" s="10"/>
      <x:c r="C720" s="10"/>
      <x:c r="D720" s="10"/>
      <x:c r="E720" s="10"/>
      <x:c r="F720" s="10"/>
      <x:c r="G720" s="10"/>
    </x:row>
    <x:row r="721" ht="14.25" customHeight="1">
      <x:c r="A721" s="10"/>
      <x:c r="B721" s="10"/>
      <x:c r="C721" s="10"/>
      <x:c r="D721" s="10"/>
      <x:c r="E721" s="10"/>
      <x:c r="F721" s="10"/>
      <x:c r="G721" s="10"/>
    </x:row>
    <x:row r="722" ht="14.25" customHeight="1">
      <x:c r="A722" s="10"/>
      <x:c r="B722" s="10"/>
      <x:c r="C722" s="10"/>
      <x:c r="D722" s="10"/>
      <x:c r="E722" s="10"/>
      <x:c r="F722" s="10"/>
      <x:c r="G722" s="10"/>
    </x:row>
    <x:row r="723" ht="14.25" customHeight="1">
      <x:c r="A723" s="10"/>
      <x:c r="B723" s="10"/>
      <x:c r="C723" s="10"/>
      <x:c r="D723" s="10"/>
      <x:c r="E723" s="10"/>
      <x:c r="F723" s="10"/>
      <x:c r="G723" s="10"/>
    </x:row>
    <x:row r="724" ht="14.25" customHeight="1">
      <x:c r="A724" s="10"/>
      <x:c r="B724" s="10"/>
      <x:c r="C724" s="10"/>
      <x:c r="D724" s="10"/>
      <x:c r="E724" s="10"/>
      <x:c r="F724" s="10"/>
      <x:c r="G724" s="10"/>
    </x:row>
    <x:row r="725" ht="14.25" customHeight="1">
      <x:c r="A725" s="10"/>
      <x:c r="B725" s="10"/>
      <x:c r="C725" s="10"/>
      <x:c r="D725" s="10"/>
      <x:c r="E725" s="10"/>
      <x:c r="F725" s="10"/>
      <x:c r="G725" s="10"/>
    </x:row>
    <x:row r="726" ht="14.25" customHeight="1">
      <x:c r="A726" s="10"/>
      <x:c r="B726" s="10"/>
      <x:c r="C726" s="10"/>
      <x:c r="D726" s="10"/>
      <x:c r="E726" s="10"/>
      <x:c r="F726" s="10"/>
      <x:c r="G726" s="10"/>
    </x:row>
    <x:row r="727" ht="14.25" customHeight="1">
      <x:c r="A727" s="10"/>
      <x:c r="B727" s="10"/>
      <x:c r="C727" s="10"/>
      <x:c r="D727" s="10"/>
      <x:c r="E727" s="10"/>
      <x:c r="F727" s="10"/>
      <x:c r="G727" s="10"/>
    </x:row>
    <x:row r="728" ht="14.25" customHeight="1">
      <x:c r="A728" s="10"/>
      <x:c r="B728" s="10"/>
      <x:c r="C728" s="10"/>
      <x:c r="D728" s="10"/>
      <x:c r="E728" s="10"/>
      <x:c r="F728" s="10"/>
      <x:c r="G728" s="10"/>
    </x:row>
    <x:row r="729" ht="14.25" customHeight="1">
      <x:c r="A729" s="10"/>
      <x:c r="B729" s="10"/>
      <x:c r="C729" s="10"/>
      <x:c r="D729" s="10"/>
      <x:c r="E729" s="10"/>
      <x:c r="F729" s="10"/>
      <x:c r="G729" s="10"/>
    </x:row>
    <x:row r="730" ht="14.25" customHeight="1">
      <x:c r="A730" s="10"/>
      <x:c r="B730" s="10"/>
      <x:c r="C730" s="10"/>
      <x:c r="D730" s="10"/>
      <x:c r="E730" s="10"/>
      <x:c r="F730" s="10"/>
      <x:c r="G730" s="10"/>
    </x:row>
    <x:row r="731" ht="14.25" customHeight="1">
      <x:c r="A731" s="10"/>
      <x:c r="B731" s="10"/>
      <x:c r="C731" s="10"/>
      <x:c r="D731" s="10"/>
      <x:c r="E731" s="10"/>
      <x:c r="F731" s="10"/>
      <x:c r="G731" s="10"/>
    </x:row>
    <x:row r="732" ht="14.25" customHeight="1">
      <x:c r="A732" s="10"/>
      <x:c r="B732" s="10"/>
      <x:c r="C732" s="10"/>
      <x:c r="D732" s="10"/>
      <x:c r="E732" s="10"/>
      <x:c r="F732" s="10"/>
      <x:c r="G732" s="10"/>
    </x:row>
    <x:row r="733" ht="14.25" customHeight="1">
      <x:c r="A733" s="10"/>
      <x:c r="B733" s="10"/>
      <x:c r="C733" s="10"/>
      <x:c r="D733" s="10"/>
      <x:c r="E733" s="10"/>
      <x:c r="F733" s="10"/>
      <x:c r="G733" s="10"/>
    </x:row>
    <x:row r="734" ht="14.25" customHeight="1">
      <x:c r="A734" s="10"/>
      <x:c r="B734" s="10"/>
      <x:c r="C734" s="10"/>
      <x:c r="D734" s="10"/>
      <x:c r="E734" s="10"/>
      <x:c r="F734" s="10"/>
      <x:c r="G734" s="10"/>
    </x:row>
    <x:row r="735" ht="14.25" customHeight="1">
      <x:c r="A735" s="10"/>
      <x:c r="B735" s="10"/>
      <x:c r="C735" s="10"/>
      <x:c r="D735" s="10"/>
      <x:c r="E735" s="10"/>
      <x:c r="F735" s="10"/>
      <x:c r="G735" s="10"/>
    </x:row>
    <x:row r="736" ht="14.25" customHeight="1">
      <x:c r="A736" s="10"/>
      <x:c r="B736" s="10"/>
      <x:c r="C736" s="10"/>
      <x:c r="D736" s="10"/>
      <x:c r="E736" s="10"/>
      <x:c r="F736" s="10"/>
      <x:c r="G736" s="10"/>
    </x:row>
    <x:row r="737" ht="14.25" customHeight="1">
      <x:c r="A737" s="10"/>
      <x:c r="B737" s="10"/>
      <x:c r="C737" s="10"/>
      <x:c r="D737" s="10"/>
      <x:c r="E737" s="10"/>
      <x:c r="F737" s="10"/>
      <x:c r="G737" s="10"/>
    </x:row>
    <x:row r="738" ht="14.25" customHeight="1">
      <x:c r="A738" s="10"/>
      <x:c r="B738" s="10"/>
      <x:c r="C738" s="10"/>
      <x:c r="D738" s="10"/>
      <x:c r="E738" s="10"/>
      <x:c r="F738" s="10"/>
      <x:c r="G738" s="10"/>
    </x:row>
    <x:row r="739" ht="14.25" customHeight="1">
      <x:c r="A739" s="10"/>
      <x:c r="B739" s="10"/>
      <x:c r="C739" s="10"/>
      <x:c r="D739" s="10"/>
      <x:c r="E739" s="10"/>
      <x:c r="F739" s="10"/>
      <x:c r="G739" s="10"/>
    </x:row>
    <x:row r="740" ht="14.25" customHeight="1">
      <x:c r="A740" s="10"/>
      <x:c r="B740" s="10"/>
      <x:c r="C740" s="10"/>
      <x:c r="D740" s="10"/>
      <x:c r="E740" s="10"/>
      <x:c r="F740" s="10"/>
      <x:c r="G740" s="10"/>
    </x:row>
    <x:row r="741" ht="14.25" customHeight="1">
      <x:c r="A741" s="10"/>
      <x:c r="B741" s="10"/>
      <x:c r="C741" s="10"/>
      <x:c r="D741" s="10"/>
      <x:c r="E741" s="10"/>
      <x:c r="F741" s="10"/>
      <x:c r="G741" s="10"/>
    </x:row>
    <x:row r="742" ht="14.25" customHeight="1">
      <x:c r="A742" s="10"/>
      <x:c r="B742" s="10"/>
      <x:c r="C742" s="10"/>
      <x:c r="D742" s="10"/>
      <x:c r="E742" s="10"/>
      <x:c r="F742" s="10"/>
      <x:c r="G742" s="10"/>
    </x:row>
    <x:row r="743" ht="14.25" customHeight="1">
      <x:c r="A743" s="10"/>
      <x:c r="B743" s="10"/>
      <x:c r="C743" s="10"/>
      <x:c r="D743" s="10"/>
      <x:c r="E743" s="10"/>
      <x:c r="F743" s="10"/>
      <x:c r="G743" s="10"/>
    </x:row>
    <x:row r="744" ht="14.25" customHeight="1">
      <x:c r="A744" s="10"/>
      <x:c r="B744" s="10"/>
      <x:c r="C744" s="10"/>
      <x:c r="D744" s="10"/>
      <x:c r="E744" s="10"/>
      <x:c r="F744" s="10"/>
      <x:c r="G744" s="10"/>
    </x:row>
    <x:row r="745" ht="14.25" customHeight="1">
      <x:c r="A745" s="10"/>
      <x:c r="B745" s="10"/>
      <x:c r="C745" s="10"/>
      <x:c r="D745" s="10"/>
      <x:c r="E745" s="10"/>
      <x:c r="F745" s="10"/>
      <x:c r="G745" s="10"/>
    </x:row>
    <x:row r="746" ht="14.25" customHeight="1">
      <x:c r="A746" s="10"/>
      <x:c r="B746" s="10"/>
      <x:c r="C746" s="10"/>
      <x:c r="D746" s="10"/>
      <x:c r="E746" s="10"/>
      <x:c r="F746" s="10"/>
      <x:c r="G746" s="10"/>
    </x:row>
    <x:row r="747" ht="14.25" customHeight="1">
      <x:c r="A747" s="10"/>
      <x:c r="B747" s="10"/>
      <x:c r="C747" s="10"/>
      <x:c r="D747" s="10"/>
      <x:c r="E747" s="10"/>
      <x:c r="F747" s="10"/>
      <x:c r="G747" s="10"/>
    </x:row>
    <x:row r="748" ht="14.25" customHeight="1">
      <x:c r="A748" s="10"/>
      <x:c r="B748" s="10"/>
      <x:c r="C748" s="10"/>
      <x:c r="D748" s="10"/>
      <x:c r="E748" s="10"/>
      <x:c r="F748" s="10"/>
      <x:c r="G748" s="10"/>
    </x:row>
    <x:row r="749" ht="14.25" customHeight="1">
      <x:c r="A749" s="10"/>
      <x:c r="B749" s="10"/>
      <x:c r="C749" s="10"/>
      <x:c r="D749" s="10"/>
      <x:c r="E749" s="10"/>
      <x:c r="F749" s="10"/>
      <x:c r="G749" s="10"/>
    </x:row>
    <x:row r="750" ht="14.25" customHeight="1">
      <x:c r="A750" s="10"/>
      <x:c r="B750" s="10"/>
      <x:c r="C750" s="10"/>
      <x:c r="D750" s="10"/>
      <x:c r="E750" s="10"/>
      <x:c r="F750" s="10"/>
      <x:c r="G750" s="10"/>
    </x:row>
    <x:row r="751" ht="14.25" customHeight="1">
      <x:c r="A751" s="10"/>
      <x:c r="B751" s="10"/>
      <x:c r="C751" s="10"/>
      <x:c r="D751" s="10"/>
      <x:c r="E751" s="10"/>
      <x:c r="F751" s="10"/>
      <x:c r="G751" s="10"/>
    </x:row>
    <x:row r="752" ht="14.25" customHeight="1">
      <x:c r="A752" s="10"/>
      <x:c r="B752" s="10"/>
      <x:c r="C752" s="10"/>
      <x:c r="D752" s="10"/>
      <x:c r="E752" s="10"/>
      <x:c r="F752" s="10"/>
      <x:c r="G752" s="10"/>
    </x:row>
    <x:row r="753" ht="14.25" customHeight="1">
      <x:c r="A753" s="10"/>
      <x:c r="B753" s="10"/>
      <x:c r="C753" s="10"/>
      <x:c r="D753" s="10"/>
      <x:c r="E753" s="10"/>
      <x:c r="F753" s="10"/>
      <x:c r="G753" s="10"/>
    </x:row>
    <x:row r="754" ht="14.25" customHeight="1">
      <x:c r="A754" s="10"/>
      <x:c r="B754" s="10"/>
      <x:c r="C754" s="10"/>
      <x:c r="D754" s="10"/>
      <x:c r="E754" s="10"/>
      <x:c r="F754" s="10"/>
      <x:c r="G754" s="10"/>
    </x:row>
    <x:row r="755" ht="14.25" customHeight="1">
      <x:c r="A755" s="10"/>
      <x:c r="B755" s="10"/>
      <x:c r="C755" s="10"/>
      <x:c r="D755" s="10"/>
      <x:c r="E755" s="10"/>
      <x:c r="F755" s="10"/>
      <x:c r="G755" s="10"/>
    </x:row>
    <x:row r="756" ht="14.25" customHeight="1">
      <x:c r="A756" s="10"/>
      <x:c r="B756" s="10"/>
      <x:c r="C756" s="10"/>
      <x:c r="D756" s="10"/>
      <x:c r="E756" s="10"/>
      <x:c r="F756" s="10"/>
      <x:c r="G756" s="10"/>
    </x:row>
    <x:row r="757" ht="14.25" customHeight="1">
      <x:c r="A757" s="10"/>
      <x:c r="B757" s="10"/>
      <x:c r="C757" s="10"/>
      <x:c r="D757" s="10"/>
      <x:c r="E757" s="10"/>
      <x:c r="F757" s="10"/>
      <x:c r="G757" s="10"/>
    </x:row>
    <x:row r="758" ht="14.25" customHeight="1">
      <x:c r="A758" s="10"/>
      <x:c r="B758" s="10"/>
      <x:c r="C758" s="10"/>
      <x:c r="D758" s="10"/>
      <x:c r="E758" s="10"/>
      <x:c r="F758" s="10"/>
      <x:c r="G758" s="10"/>
    </x:row>
    <x:row r="759" ht="14.25" customHeight="1">
      <x:c r="A759" s="10"/>
      <x:c r="B759" s="10"/>
      <x:c r="C759" s="10"/>
      <x:c r="D759" s="10"/>
      <x:c r="E759" s="10"/>
      <x:c r="F759" s="10"/>
      <x:c r="G759" s="10"/>
    </x:row>
    <x:row r="760" ht="14.25" customHeight="1">
      <x:c r="A760" s="10"/>
      <x:c r="B760" s="10"/>
      <x:c r="C760" s="10"/>
      <x:c r="D760" s="10"/>
      <x:c r="E760" s="10"/>
      <x:c r="F760" s="10"/>
      <x:c r="G760" s="10"/>
    </x:row>
    <x:row r="761" ht="14.25" customHeight="1">
      <x:c r="A761" s="10"/>
      <x:c r="B761" s="10"/>
      <x:c r="C761" s="10"/>
      <x:c r="D761" s="10"/>
      <x:c r="E761" s="10"/>
      <x:c r="F761" s="10"/>
      <x:c r="G761" s="10"/>
    </x:row>
    <x:row r="762" ht="14.25" customHeight="1">
      <x:c r="A762" s="10"/>
      <x:c r="B762" s="10"/>
      <x:c r="C762" s="10"/>
      <x:c r="D762" s="10"/>
      <x:c r="E762" s="10"/>
      <x:c r="F762" s="10"/>
      <x:c r="G762" s="10"/>
    </x:row>
    <x:row r="763" ht="14.25" customHeight="1">
      <x:c r="A763" s="10"/>
      <x:c r="B763" s="10"/>
      <x:c r="C763" s="10"/>
      <x:c r="D763" s="10"/>
      <x:c r="E763" s="10"/>
      <x:c r="F763" s="10"/>
      <x:c r="G763" s="10"/>
    </x:row>
    <x:row r="764" ht="14.25" customHeight="1">
      <x:c r="A764" s="10"/>
      <x:c r="B764" s="10"/>
      <x:c r="C764" s="10"/>
      <x:c r="D764" s="10"/>
      <x:c r="E764" s="10"/>
      <x:c r="F764" s="10"/>
      <x:c r="G764" s="10"/>
    </x:row>
    <x:row r="765" ht="14.25" customHeight="1">
      <x:c r="A765" s="10"/>
      <x:c r="B765" s="10"/>
      <x:c r="C765" s="10"/>
      <x:c r="D765" s="10"/>
      <x:c r="E765" s="10"/>
      <x:c r="F765" s="10"/>
      <x:c r="G765" s="10"/>
    </x:row>
    <x:row r="766" ht="14.25" customHeight="1">
      <x:c r="A766" s="10"/>
      <x:c r="B766" s="10"/>
      <x:c r="C766" s="10"/>
      <x:c r="D766" s="10"/>
      <x:c r="E766" s="10"/>
      <x:c r="F766" s="10"/>
      <x:c r="G766" s="10"/>
    </x:row>
    <x:row r="767" ht="14.25" customHeight="1">
      <x:c r="A767" s="10"/>
      <x:c r="B767" s="10"/>
      <x:c r="C767" s="10"/>
      <x:c r="D767" s="10"/>
      <x:c r="E767" s="10"/>
      <x:c r="F767" s="10"/>
      <x:c r="G767" s="10"/>
    </x:row>
    <x:row r="768" ht="14.25" customHeight="1">
      <x:c r="A768" s="10"/>
      <x:c r="B768" s="10"/>
      <x:c r="C768" s="10"/>
      <x:c r="D768" s="10"/>
      <x:c r="E768" s="10"/>
      <x:c r="F768" s="10"/>
      <x:c r="G768" s="10"/>
    </x:row>
    <x:row r="769" ht="14.25" customHeight="1">
      <x:c r="A769" s="10"/>
      <x:c r="B769" s="10"/>
      <x:c r="C769" s="10"/>
      <x:c r="D769" s="10"/>
      <x:c r="E769" s="10"/>
      <x:c r="F769" s="10"/>
      <x:c r="G769" s="10"/>
    </x:row>
    <x:row r="770" ht="14.25" customHeight="1">
      <x:c r="A770" s="10"/>
      <x:c r="B770" s="10"/>
      <x:c r="C770" s="10"/>
      <x:c r="D770" s="10"/>
      <x:c r="E770" s="10"/>
      <x:c r="F770" s="10"/>
      <x:c r="G770" s="10"/>
    </x:row>
    <x:row r="771" ht="14.25" customHeight="1">
      <x:c r="A771" s="10"/>
      <x:c r="B771" s="10"/>
      <x:c r="C771" s="10"/>
      <x:c r="D771" s="10"/>
      <x:c r="E771" s="10"/>
      <x:c r="F771" s="10"/>
      <x:c r="G771" s="10"/>
    </x:row>
    <x:row r="772" ht="14.25" customHeight="1">
      <x:c r="A772" s="10"/>
      <x:c r="B772" s="10"/>
      <x:c r="C772" s="10"/>
      <x:c r="D772" s="10"/>
      <x:c r="E772" s="10"/>
      <x:c r="F772" s="10"/>
      <x:c r="G772" s="10"/>
    </x:row>
    <x:row r="773" ht="14.25" customHeight="1">
      <x:c r="A773" s="10"/>
      <x:c r="B773" s="10"/>
      <x:c r="C773" s="10"/>
      <x:c r="D773" s="10"/>
      <x:c r="E773" s="10"/>
      <x:c r="F773" s="10"/>
      <x:c r="G773" s="10"/>
    </x:row>
    <x:row r="774" ht="14.25" customHeight="1">
      <x:c r="A774" s="10"/>
      <x:c r="B774" s="10"/>
      <x:c r="C774" s="10"/>
      <x:c r="D774" s="10"/>
      <x:c r="E774" s="10"/>
      <x:c r="F774" s="10"/>
      <x:c r="G774" s="10"/>
    </x:row>
    <x:row r="775" ht="14.25" customHeight="1">
      <x:c r="A775" s="10"/>
      <x:c r="B775" s="10"/>
      <x:c r="C775" s="10"/>
      <x:c r="D775" s="10"/>
      <x:c r="E775" s="10"/>
      <x:c r="F775" s="10"/>
      <x:c r="G775" s="10"/>
    </x:row>
    <x:row r="776" ht="14.25" customHeight="1">
      <x:c r="A776" s="10"/>
      <x:c r="B776" s="10"/>
      <x:c r="C776" s="10"/>
      <x:c r="D776" s="10"/>
      <x:c r="E776" s="10"/>
      <x:c r="F776" s="10"/>
      <x:c r="G776" s="10"/>
    </x:row>
    <x:row r="777" ht="14.25" customHeight="1">
      <x:c r="A777" s="10"/>
      <x:c r="B777" s="10"/>
      <x:c r="C777" s="10"/>
      <x:c r="D777" s="10"/>
      <x:c r="E777" s="10"/>
      <x:c r="F777" s="10"/>
      <x:c r="G777" s="10"/>
    </x:row>
    <x:row r="778" ht="14.25" customHeight="1">
      <x:c r="A778" s="10"/>
      <x:c r="B778" s="10"/>
      <x:c r="C778" s="10"/>
      <x:c r="D778" s="10"/>
      <x:c r="E778" s="10"/>
      <x:c r="F778" s="10"/>
      <x:c r="G778" s="10"/>
    </x:row>
    <x:row r="779" ht="14.25" customHeight="1">
      <x:c r="A779" s="10"/>
      <x:c r="B779" s="10"/>
      <x:c r="C779" s="10"/>
      <x:c r="D779" s="10"/>
      <x:c r="E779" s="10"/>
      <x:c r="F779" s="10"/>
      <x:c r="G779" s="10"/>
    </x:row>
    <x:row r="780" ht="14.25" customHeight="1">
      <x:c r="A780" s="10"/>
      <x:c r="B780" s="10"/>
      <x:c r="C780" s="10"/>
      <x:c r="D780" s="10"/>
      <x:c r="E780" s="10"/>
      <x:c r="F780" s="10"/>
      <x:c r="G780" s="10"/>
    </x:row>
    <x:row r="781" ht="14.25" customHeight="1">
      <x:c r="A781" s="10"/>
      <x:c r="B781" s="10"/>
      <x:c r="C781" s="10"/>
      <x:c r="D781" s="10"/>
      <x:c r="E781" s="10"/>
      <x:c r="F781" s="10"/>
      <x:c r="G781" s="10"/>
    </x:row>
    <x:row r="782" ht="14.25" customHeight="1">
      <x:c r="A782" s="10"/>
      <x:c r="B782" s="10"/>
      <x:c r="C782" s="10"/>
      <x:c r="D782" s="10"/>
      <x:c r="E782" s="10"/>
      <x:c r="F782" s="10"/>
      <x:c r="G782" s="10"/>
    </x:row>
    <x:row r="783" ht="14.25" customHeight="1">
      <x:c r="A783" s="10"/>
      <x:c r="B783" s="10"/>
      <x:c r="C783" s="10"/>
      <x:c r="D783" s="10"/>
      <x:c r="E783" s="10"/>
      <x:c r="F783" s="10"/>
      <x:c r="G783" s="10"/>
    </x:row>
    <x:row r="784" ht="14.25" customHeight="1">
      <x:c r="A784" s="10"/>
      <x:c r="B784" s="10"/>
      <x:c r="C784" s="10"/>
      <x:c r="D784" s="10"/>
      <x:c r="E784" s="10"/>
      <x:c r="F784" s="10"/>
      <x:c r="G784" s="10"/>
    </x:row>
    <x:row r="785" ht="14.25" customHeight="1">
      <x:c r="A785" s="10"/>
      <x:c r="B785" s="10"/>
      <x:c r="C785" s="10"/>
      <x:c r="D785" s="10"/>
      <x:c r="E785" s="10"/>
      <x:c r="F785" s="10"/>
      <x:c r="G785" s="10"/>
    </x:row>
    <x:row r="786" ht="14.25" customHeight="1">
      <x:c r="A786" s="10"/>
      <x:c r="B786" s="10"/>
      <x:c r="C786" s="10"/>
      <x:c r="D786" s="10"/>
      <x:c r="E786" s="10"/>
      <x:c r="F786" s="10"/>
      <x:c r="G786" s="10"/>
    </x:row>
    <x:row r="787" ht="14.25" customHeight="1">
      <x:c r="A787" s="10"/>
      <x:c r="B787" s="10"/>
      <x:c r="C787" s="10"/>
      <x:c r="D787" s="10"/>
      <x:c r="E787" s="10"/>
      <x:c r="F787" s="10"/>
      <x:c r="G787" s="10"/>
    </x:row>
    <x:row r="788" ht="14.25" customHeight="1">
      <x:c r="A788" s="10"/>
      <x:c r="B788" s="10"/>
      <x:c r="C788" s="10"/>
      <x:c r="D788" s="10"/>
      <x:c r="E788" s="10"/>
      <x:c r="F788" s="10"/>
      <x:c r="G788" s="10"/>
    </x:row>
    <x:row r="789" ht="14.25" customHeight="1">
      <x:c r="A789" s="10"/>
      <x:c r="B789" s="10"/>
      <x:c r="C789" s="10"/>
      <x:c r="D789" s="10"/>
      <x:c r="E789" s="10"/>
      <x:c r="F789" s="10"/>
      <x:c r="G789" s="10"/>
    </x:row>
    <x:row r="790" ht="14.25" customHeight="1">
      <x:c r="A790" s="10"/>
      <x:c r="B790" s="10"/>
      <x:c r="C790" s="10"/>
      <x:c r="D790" s="10"/>
      <x:c r="E790" s="10"/>
      <x:c r="F790" s="10"/>
      <x:c r="G790" s="10"/>
    </x:row>
    <x:row r="791" ht="14.25" customHeight="1">
      <x:c r="A791" s="10"/>
      <x:c r="B791" s="10"/>
      <x:c r="C791" s="10"/>
      <x:c r="D791" s="10"/>
      <x:c r="E791" s="10"/>
      <x:c r="F791" s="10"/>
      <x:c r="G791" s="10"/>
    </x:row>
    <x:row r="792" ht="14.25" customHeight="1">
      <x:c r="A792" s="10"/>
      <x:c r="B792" s="10"/>
      <x:c r="C792" s="10"/>
      <x:c r="D792" s="10"/>
      <x:c r="E792" s="10"/>
      <x:c r="F792" s="10"/>
      <x:c r="G792" s="10"/>
    </x:row>
    <x:row r="793" ht="14.25" customHeight="1">
      <x:c r="A793" s="10"/>
      <x:c r="B793" s="10"/>
      <x:c r="C793" s="10"/>
      <x:c r="D793" s="10"/>
      <x:c r="E793" s="10"/>
      <x:c r="F793" s="10"/>
      <x:c r="G793" s="10"/>
    </x:row>
    <x:row r="794" ht="14.25" customHeight="1">
      <x:c r="A794" s="10"/>
      <x:c r="B794" s="10"/>
      <x:c r="C794" s="10"/>
      <x:c r="D794" s="10"/>
      <x:c r="E794" s="10"/>
      <x:c r="F794" s="10"/>
      <x:c r="G794" s="10"/>
    </x:row>
    <x:row r="795" ht="14.25" customHeight="1">
      <x:c r="A795" s="10"/>
      <x:c r="B795" s="10"/>
      <x:c r="C795" s="10"/>
      <x:c r="D795" s="10"/>
      <x:c r="E795" s="10"/>
      <x:c r="F795" s="10"/>
      <x:c r="G795" s="10"/>
    </x:row>
    <x:row r="796" ht="14.25" customHeight="1">
      <x:c r="A796" s="10"/>
      <x:c r="B796" s="10"/>
      <x:c r="C796" s="10"/>
      <x:c r="D796" s="10"/>
      <x:c r="E796" s="10"/>
      <x:c r="F796" s="10"/>
      <x:c r="G796" s="10"/>
    </x:row>
    <x:row r="797" ht="14.25" customHeight="1">
      <x:c r="A797" s="10"/>
      <x:c r="B797" s="10"/>
      <x:c r="C797" s="10"/>
      <x:c r="D797" s="10"/>
      <x:c r="E797" s="10"/>
      <x:c r="F797" s="10"/>
      <x:c r="G797" s="10"/>
    </x:row>
    <x:row r="798" ht="14.25" customHeight="1">
      <x:c r="A798" s="10"/>
      <x:c r="B798" s="10"/>
      <x:c r="C798" s="10"/>
      <x:c r="D798" s="10"/>
      <x:c r="E798" s="10"/>
      <x:c r="F798" s="10"/>
      <x:c r="G798" s="10"/>
    </x:row>
    <x:row r="799" ht="14.25" customHeight="1">
      <x:c r="A799" s="10"/>
      <x:c r="B799" s="10"/>
      <x:c r="C799" s="10"/>
      <x:c r="D799" s="10"/>
      <x:c r="E799" s="10"/>
      <x:c r="F799" s="10"/>
      <x:c r="G799" s="10"/>
    </x:row>
    <x:row r="800" ht="14.25" customHeight="1">
      <x:c r="A800" s="10"/>
      <x:c r="B800" s="10"/>
      <x:c r="C800" s="10"/>
      <x:c r="D800" s="10"/>
      <x:c r="E800" s="10"/>
      <x:c r="F800" s="10"/>
      <x:c r="G800" s="10"/>
    </x:row>
    <x:row r="801" ht="14.25" customHeight="1">
      <x:c r="A801" s="10"/>
      <x:c r="B801" s="10"/>
      <x:c r="C801" s="10"/>
      <x:c r="D801" s="10"/>
      <x:c r="E801" s="10"/>
      <x:c r="F801" s="10"/>
      <x:c r="G801" s="10"/>
    </x:row>
    <x:row r="802" ht="14.25" customHeight="1">
      <x:c r="A802" s="10"/>
      <x:c r="B802" s="10"/>
      <x:c r="C802" s="10"/>
      <x:c r="D802" s="10"/>
      <x:c r="E802" s="10"/>
      <x:c r="F802" s="10"/>
      <x:c r="G802" s="10"/>
    </x:row>
    <x:row r="803" ht="14.25" customHeight="1">
      <x:c r="A803" s="10"/>
      <x:c r="B803" s="10"/>
      <x:c r="C803" s="10"/>
      <x:c r="D803" s="10"/>
      <x:c r="E803" s="10"/>
      <x:c r="F803" s="10"/>
      <x:c r="G803" s="10"/>
    </x:row>
    <x:row r="804" ht="14.25" customHeight="1">
      <x:c r="A804" s="10"/>
      <x:c r="B804" s="10"/>
      <x:c r="C804" s="10"/>
      <x:c r="D804" s="10"/>
      <x:c r="E804" s="10"/>
      <x:c r="F804" s="10"/>
      <x:c r="G804" s="10"/>
    </x:row>
    <x:row r="805" ht="14.25" customHeight="1">
      <x:c r="A805" s="10"/>
      <x:c r="B805" s="10"/>
      <x:c r="C805" s="10"/>
      <x:c r="D805" s="10"/>
      <x:c r="E805" s="10"/>
      <x:c r="F805" s="10"/>
      <x:c r="G805" s="10"/>
    </x:row>
    <x:row r="806" ht="14.25" customHeight="1">
      <x:c r="A806" s="10"/>
      <x:c r="B806" s="10"/>
      <x:c r="C806" s="10"/>
      <x:c r="D806" s="10"/>
      <x:c r="E806" s="10"/>
      <x:c r="F806" s="10"/>
      <x:c r="G806" s="10"/>
    </x:row>
    <x:row r="807" ht="14.25" customHeight="1">
      <x:c r="A807" s="10"/>
      <x:c r="B807" s="10"/>
      <x:c r="C807" s="10"/>
      <x:c r="D807" s="10"/>
      <x:c r="E807" s="10"/>
      <x:c r="F807" s="10"/>
      <x:c r="G807" s="10"/>
    </x:row>
    <x:row r="808" ht="14.25" customHeight="1">
      <x:c r="A808" s="10"/>
      <x:c r="B808" s="10"/>
      <x:c r="C808" s="10"/>
      <x:c r="D808" s="10"/>
      <x:c r="E808" s="10"/>
      <x:c r="F808" s="10"/>
      <x:c r="G808" s="10"/>
    </x:row>
    <x:row r="809" ht="14.25" customHeight="1">
      <x:c r="A809" s="10"/>
      <x:c r="B809" s="10"/>
      <x:c r="C809" s="10"/>
      <x:c r="D809" s="10"/>
      <x:c r="E809" s="10"/>
      <x:c r="F809" s="10"/>
      <x:c r="G809" s="10"/>
    </x:row>
    <x:row r="810" ht="14.25" customHeight="1">
      <x:c r="A810" s="10"/>
      <x:c r="B810" s="10"/>
      <x:c r="C810" s="10"/>
      <x:c r="D810" s="10"/>
      <x:c r="E810" s="10"/>
      <x:c r="F810" s="10"/>
      <x:c r="G810" s="10"/>
    </x:row>
    <x:row r="811" ht="14.25" customHeight="1">
      <x:c r="A811" s="10"/>
      <x:c r="B811" s="10"/>
      <x:c r="C811" s="10"/>
      <x:c r="D811" s="10"/>
      <x:c r="E811" s="10"/>
      <x:c r="F811" s="10"/>
      <x:c r="G811" s="10"/>
    </x:row>
    <x:row r="812" ht="14.25" customHeight="1">
      <x:c r="A812" s="10"/>
      <x:c r="B812" s="10"/>
      <x:c r="C812" s="10"/>
      <x:c r="D812" s="10"/>
      <x:c r="E812" s="10"/>
      <x:c r="F812" s="10"/>
      <x:c r="G812" s="10"/>
    </x:row>
    <x:row r="813" ht="14.25" customHeight="1">
      <x:c r="A813" s="10"/>
      <x:c r="B813" s="10"/>
      <x:c r="C813" s="10"/>
      <x:c r="D813" s="10"/>
      <x:c r="E813" s="10"/>
      <x:c r="F813" s="10"/>
      <x:c r="G813" s="10"/>
    </x:row>
    <x:row r="814" ht="14.25" customHeight="1">
      <x:c r="A814" s="10"/>
      <x:c r="B814" s="10"/>
      <x:c r="C814" s="10"/>
      <x:c r="D814" s="10"/>
      <x:c r="E814" s="10"/>
      <x:c r="F814" s="10"/>
      <x:c r="G814" s="10"/>
    </x:row>
    <x:row r="815" ht="14.25" customHeight="1">
      <x:c r="A815" s="10"/>
      <x:c r="B815" s="10"/>
      <x:c r="C815" s="10"/>
      <x:c r="D815" s="10"/>
      <x:c r="E815" s="10"/>
      <x:c r="F815" s="10"/>
      <x:c r="G815" s="10"/>
    </x:row>
    <x:row r="816" ht="14.25" customHeight="1">
      <x:c r="A816" s="10"/>
      <x:c r="B816" s="10"/>
      <x:c r="C816" s="10"/>
      <x:c r="D816" s="10"/>
      <x:c r="E816" s="10"/>
      <x:c r="F816" s="10"/>
      <x:c r="G816" s="10"/>
    </x:row>
    <x:row r="817" ht="14.25" customHeight="1">
      <x:c r="A817" s="10"/>
      <x:c r="B817" s="10"/>
      <x:c r="C817" s="10"/>
      <x:c r="D817" s="10"/>
      <x:c r="E817" s="10"/>
      <x:c r="F817" s="10"/>
      <x:c r="G817" s="10"/>
    </x:row>
    <x:row r="818" ht="14.25" customHeight="1">
      <x:c r="A818" s="10"/>
      <x:c r="B818" s="10"/>
      <x:c r="C818" s="10"/>
      <x:c r="D818" s="10"/>
      <x:c r="E818" s="10"/>
      <x:c r="F818" s="10"/>
      <x:c r="G818" s="10"/>
    </x:row>
    <x:row r="819" ht="14.25" customHeight="1">
      <x:c r="A819" s="10"/>
      <x:c r="B819" s="10"/>
      <x:c r="C819" s="10"/>
      <x:c r="D819" s="10"/>
      <x:c r="E819" s="10"/>
      <x:c r="F819" s="10"/>
      <x:c r="G819" s="10"/>
    </x:row>
    <x:row r="820" ht="14.25" customHeight="1">
      <x:c r="A820" s="10"/>
      <x:c r="B820" s="10"/>
      <x:c r="C820" s="10"/>
      <x:c r="D820" s="10"/>
      <x:c r="E820" s="10"/>
      <x:c r="F820" s="10"/>
      <x:c r="G820" s="10"/>
    </x:row>
    <x:row r="821" ht="14.25" customHeight="1">
      <x:c r="A821" s="10"/>
      <x:c r="B821" s="10"/>
      <x:c r="C821" s="10"/>
      <x:c r="D821" s="10"/>
      <x:c r="E821" s="10"/>
      <x:c r="F821" s="10"/>
      <x:c r="G821" s="10"/>
    </x:row>
    <x:row r="822" ht="14.25" customHeight="1">
      <x:c r="A822" s="10"/>
      <x:c r="B822" s="10"/>
      <x:c r="C822" s="10"/>
      <x:c r="D822" s="10"/>
      <x:c r="E822" s="10"/>
      <x:c r="F822" s="10"/>
      <x:c r="G822" s="10"/>
    </x:row>
    <x:row r="823" ht="14.25" customHeight="1">
      <x:c r="A823" s="10"/>
      <x:c r="B823" s="10"/>
      <x:c r="C823" s="10"/>
      <x:c r="D823" s="10"/>
      <x:c r="E823" s="10"/>
      <x:c r="F823" s="10"/>
      <x:c r="G823" s="10"/>
    </x:row>
    <x:row r="824" ht="14.25" customHeight="1">
      <x:c r="A824" s="10"/>
      <x:c r="B824" s="10"/>
      <x:c r="C824" s="10"/>
      <x:c r="D824" s="10"/>
      <x:c r="E824" s="10"/>
      <x:c r="F824" s="10"/>
      <x:c r="G824" s="10"/>
    </x:row>
    <x:row r="825" ht="14.25" customHeight="1">
      <x:c r="A825" s="10"/>
      <x:c r="B825" s="10"/>
      <x:c r="C825" s="10"/>
      <x:c r="D825" s="10"/>
      <x:c r="E825" s="10"/>
      <x:c r="F825" s="10"/>
      <x:c r="G825" s="10"/>
    </x:row>
    <x:row r="826" ht="14.25" customHeight="1">
      <x:c r="A826" s="10"/>
      <x:c r="B826" s="10"/>
      <x:c r="C826" s="10"/>
      <x:c r="D826" s="10"/>
      <x:c r="E826" s="10"/>
      <x:c r="F826" s="10"/>
      <x:c r="G826" s="10"/>
    </x:row>
    <x:row r="827" ht="14.25" customHeight="1">
      <x:c r="A827" s="10"/>
      <x:c r="B827" s="10"/>
      <x:c r="C827" s="10"/>
      <x:c r="D827" s="10"/>
      <x:c r="E827" s="10"/>
      <x:c r="F827" s="10"/>
      <x:c r="G827" s="10"/>
    </x:row>
    <x:row r="828" ht="14.25" customHeight="1">
      <x:c r="A828" s="10"/>
      <x:c r="B828" s="10"/>
      <x:c r="C828" s="10"/>
      <x:c r="D828" s="10"/>
      <x:c r="E828" s="10"/>
      <x:c r="F828" s="10"/>
      <x:c r="G828" s="10"/>
    </x:row>
    <x:row r="829" ht="14.25" customHeight="1">
      <x:c r="A829" s="10"/>
      <x:c r="B829" s="10"/>
      <x:c r="C829" s="10"/>
      <x:c r="D829" s="10"/>
      <x:c r="E829" s="10"/>
      <x:c r="F829" s="10"/>
      <x:c r="G829" s="10"/>
    </x:row>
    <x:row r="830" ht="14.25" customHeight="1">
      <x:c r="A830" s="10"/>
      <x:c r="B830" s="10"/>
      <x:c r="C830" s="10"/>
      <x:c r="D830" s="10"/>
      <x:c r="E830" s="10"/>
      <x:c r="F830" s="10"/>
      <x:c r="G830" s="10"/>
    </x:row>
    <x:row r="831" ht="14.25" customHeight="1">
      <x:c r="A831" s="10"/>
      <x:c r="B831" s="10"/>
      <x:c r="C831" s="10"/>
      <x:c r="D831" s="10"/>
      <x:c r="E831" s="10"/>
      <x:c r="F831" s="10"/>
      <x:c r="G831" s="10"/>
    </x:row>
    <x:row r="832" ht="14.25" customHeight="1">
      <x:c r="A832" s="10"/>
      <x:c r="B832" s="10"/>
      <x:c r="C832" s="10"/>
      <x:c r="D832" s="10"/>
      <x:c r="E832" s="10"/>
      <x:c r="F832" s="10"/>
      <x:c r="G832" s="10"/>
    </x:row>
    <x:row r="833" ht="14.25" customHeight="1">
      <x:c r="A833" s="10"/>
      <x:c r="B833" s="10"/>
      <x:c r="C833" s="10"/>
      <x:c r="D833" s="10"/>
      <x:c r="E833" s="10"/>
      <x:c r="F833" s="10"/>
      <x:c r="G833" s="10"/>
    </x:row>
    <x:row r="834" ht="14.25" customHeight="1">
      <x:c r="A834" s="10"/>
      <x:c r="B834" s="10"/>
      <x:c r="C834" s="10"/>
      <x:c r="D834" s="10"/>
      <x:c r="E834" s="10"/>
      <x:c r="F834" s="10"/>
      <x:c r="G834" s="10"/>
    </x:row>
    <x:row r="835" ht="14.25" customHeight="1">
      <x:c r="A835" s="10"/>
      <x:c r="B835" s="10"/>
      <x:c r="C835" s="10"/>
      <x:c r="D835" s="10"/>
      <x:c r="E835" s="10"/>
      <x:c r="F835" s="10"/>
      <x:c r="G835" s="10"/>
    </x:row>
    <x:row r="836" ht="14.25" customHeight="1">
      <x:c r="A836" s="10"/>
      <x:c r="B836" s="10"/>
      <x:c r="C836" s="10"/>
      <x:c r="D836" s="10"/>
      <x:c r="E836" s="10"/>
      <x:c r="F836" s="10"/>
      <x:c r="G836" s="10"/>
    </x:row>
    <x:row r="837" ht="14.25" customHeight="1">
      <x:c r="A837" s="10"/>
      <x:c r="B837" s="10"/>
      <x:c r="C837" s="10"/>
      <x:c r="D837" s="10"/>
      <x:c r="E837" s="10"/>
      <x:c r="F837" s="10"/>
      <x:c r="G837" s="10"/>
    </x:row>
    <x:row r="838" ht="14.25" customHeight="1">
      <x:c r="A838" s="10"/>
      <x:c r="B838" s="10"/>
      <x:c r="C838" s="10"/>
      <x:c r="D838" s="10"/>
      <x:c r="E838" s="10"/>
      <x:c r="F838" s="10"/>
      <x:c r="G838" s="10"/>
    </x:row>
    <x:row r="839" ht="14.25" customHeight="1">
      <x:c r="A839" s="10"/>
      <x:c r="B839" s="10"/>
      <x:c r="C839" s="10"/>
      <x:c r="D839" s="10"/>
      <x:c r="E839" s="10"/>
      <x:c r="F839" s="10"/>
      <x:c r="G839" s="10"/>
    </x:row>
    <x:row r="840" ht="14.25" customHeight="1">
      <x:c r="A840" s="10"/>
      <x:c r="B840" s="10"/>
      <x:c r="C840" s="10"/>
      <x:c r="D840" s="10"/>
      <x:c r="E840" s="10"/>
      <x:c r="F840" s="10"/>
      <x:c r="G840" s="10"/>
    </x:row>
    <x:row r="841" ht="14.25" customHeight="1">
      <x:c r="A841" s="10"/>
      <x:c r="B841" s="10"/>
      <x:c r="C841" s="10"/>
      <x:c r="D841" s="10"/>
      <x:c r="E841" s="10"/>
      <x:c r="F841" s="10"/>
      <x:c r="G841" s="10"/>
    </x:row>
    <x:row r="842" ht="14.25" customHeight="1">
      <x:c r="A842" s="10"/>
      <x:c r="B842" s="10"/>
      <x:c r="C842" s="10"/>
      <x:c r="D842" s="10"/>
      <x:c r="E842" s="10"/>
      <x:c r="F842" s="10"/>
      <x:c r="G842" s="10"/>
    </x:row>
    <x:row r="843" ht="14.25" customHeight="1">
      <x:c r="A843" s="10"/>
      <x:c r="B843" s="10"/>
      <x:c r="C843" s="10"/>
      <x:c r="D843" s="10"/>
      <x:c r="E843" s="10"/>
      <x:c r="F843" s="10"/>
      <x:c r="G843" s="10"/>
    </x:row>
    <x:row r="844" ht="14.25" customHeight="1">
      <x:c r="A844" s="10"/>
      <x:c r="B844" s="10"/>
      <x:c r="C844" s="10"/>
      <x:c r="D844" s="10"/>
      <x:c r="E844" s="10"/>
      <x:c r="F844" s="10"/>
      <x:c r="G844" s="10"/>
    </x:row>
    <x:row r="845" ht="14.25" customHeight="1">
      <x:c r="A845" s="10"/>
      <x:c r="B845" s="10"/>
      <x:c r="C845" s="10"/>
      <x:c r="D845" s="10"/>
      <x:c r="E845" s="10"/>
      <x:c r="F845" s="10"/>
      <x:c r="G845" s="10"/>
    </x:row>
    <x:row r="846" ht="14.25" customHeight="1">
      <x:c r="A846" s="10"/>
      <x:c r="B846" s="10"/>
      <x:c r="C846" s="10"/>
      <x:c r="D846" s="10"/>
      <x:c r="E846" s="10"/>
      <x:c r="F846" s="10"/>
      <x:c r="G846" s="10"/>
    </x:row>
    <x:row r="847" ht="14.25" customHeight="1">
      <x:c r="A847" s="10"/>
      <x:c r="B847" s="10"/>
      <x:c r="C847" s="10"/>
      <x:c r="D847" s="10"/>
      <x:c r="E847" s="10"/>
      <x:c r="F847" s="10"/>
      <x:c r="G847" s="10"/>
    </x:row>
    <x:row r="848" ht="14.25" customHeight="1">
      <x:c r="A848" s="10"/>
      <x:c r="B848" s="10"/>
      <x:c r="C848" s="10"/>
      <x:c r="D848" s="10"/>
      <x:c r="E848" s="10"/>
      <x:c r="F848" s="10"/>
      <x:c r="G848" s="10"/>
    </x:row>
    <x:row r="849" ht="14.25" customHeight="1">
      <x:c r="A849" s="10"/>
      <x:c r="B849" s="10"/>
      <x:c r="C849" s="10"/>
      <x:c r="D849" s="10"/>
      <x:c r="E849" s="10"/>
      <x:c r="F849" s="10"/>
      <x:c r="G849" s="10"/>
    </x:row>
    <x:row r="850" ht="14.25" customHeight="1">
      <x:c r="A850" s="10"/>
      <x:c r="B850" s="10"/>
      <x:c r="C850" s="10"/>
      <x:c r="D850" s="10"/>
      <x:c r="E850" s="10"/>
      <x:c r="F850" s="10"/>
      <x:c r="G850" s="10"/>
    </x:row>
    <x:row r="851" ht="14.25" customHeight="1">
      <x:c r="A851" s="10"/>
      <x:c r="B851" s="10"/>
      <x:c r="C851" s="10"/>
      <x:c r="D851" s="10"/>
      <x:c r="E851" s="10"/>
      <x:c r="F851" s="10"/>
      <x:c r="G851" s="10"/>
    </x:row>
    <x:row r="852" ht="14.25" customHeight="1">
      <x:c r="A852" s="10"/>
      <x:c r="B852" s="10"/>
      <x:c r="C852" s="10"/>
      <x:c r="D852" s="10"/>
      <x:c r="E852" s="10"/>
      <x:c r="F852" s="10"/>
      <x:c r="G852" s="10"/>
    </x:row>
    <x:row r="853" ht="14.25" customHeight="1">
      <x:c r="A853" s="10"/>
      <x:c r="B853" s="10"/>
      <x:c r="C853" s="10"/>
      <x:c r="D853" s="10"/>
      <x:c r="E853" s="10"/>
      <x:c r="F853" s="10"/>
      <x:c r="G853" s="10"/>
    </x:row>
    <x:row r="854" ht="14.25" customHeight="1">
      <x:c r="A854" s="10"/>
      <x:c r="B854" s="10"/>
      <x:c r="C854" s="10"/>
      <x:c r="D854" s="10"/>
      <x:c r="E854" s="10"/>
      <x:c r="F854" s="10"/>
      <x:c r="G854" s="10"/>
    </x:row>
    <x:row r="855" ht="14.25" customHeight="1">
      <x:c r="A855" s="10"/>
      <x:c r="B855" s="10"/>
      <x:c r="C855" s="10"/>
      <x:c r="D855" s="10"/>
      <x:c r="E855" s="10"/>
      <x:c r="F855" s="10"/>
      <x:c r="G855" s="10"/>
    </x:row>
    <x:row r="856" ht="14.25" customHeight="1">
      <x:c r="A856" s="10"/>
      <x:c r="B856" s="10"/>
      <x:c r="C856" s="10"/>
      <x:c r="D856" s="10"/>
      <x:c r="E856" s="10"/>
      <x:c r="F856" s="10"/>
      <x:c r="G856" s="10"/>
    </x:row>
    <x:row r="857" ht="14.25" customHeight="1">
      <x:c r="A857" s="10"/>
      <x:c r="B857" s="10"/>
      <x:c r="C857" s="10"/>
      <x:c r="D857" s="10"/>
      <x:c r="E857" s="10"/>
      <x:c r="F857" s="10"/>
      <x:c r="G857" s="10"/>
    </x:row>
    <x:row r="858" ht="14.25" customHeight="1">
      <x:c r="A858" s="10"/>
      <x:c r="B858" s="10"/>
      <x:c r="C858" s="10"/>
      <x:c r="D858" s="10"/>
      <x:c r="E858" s="10"/>
      <x:c r="F858" s="10"/>
      <x:c r="G858" s="10"/>
    </x:row>
    <x:row r="859" ht="14.25" customHeight="1">
      <x:c r="A859" s="10"/>
      <x:c r="B859" s="10"/>
      <x:c r="C859" s="10"/>
      <x:c r="D859" s="10"/>
      <x:c r="E859" s="10"/>
      <x:c r="F859" s="10"/>
      <x:c r="G859" s="10"/>
    </x:row>
    <x:row r="860" ht="14.25" customHeight="1">
      <x:c r="A860" s="10"/>
      <x:c r="B860" s="10"/>
      <x:c r="C860" s="10"/>
      <x:c r="D860" s="10"/>
      <x:c r="E860" s="10"/>
      <x:c r="F860" s="10"/>
      <x:c r="G860" s="10"/>
    </x:row>
    <x:row r="861" ht="14.25" customHeight="1">
      <x:c r="A861" s="10"/>
      <x:c r="B861" s="10"/>
      <x:c r="C861" s="10"/>
      <x:c r="D861" s="10"/>
      <x:c r="E861" s="10"/>
      <x:c r="F861" s="10"/>
      <x:c r="G861" s="10"/>
    </x:row>
    <x:row r="862" ht="14.25" customHeight="1">
      <x:c r="A862" s="10"/>
      <x:c r="B862" s="10"/>
      <x:c r="C862" s="10"/>
      <x:c r="D862" s="10"/>
      <x:c r="E862" s="10"/>
      <x:c r="F862" s="10"/>
      <x:c r="G862" s="10"/>
    </x:row>
    <x:row r="863" ht="14.25" customHeight="1">
      <x:c r="A863" s="10"/>
      <x:c r="B863" s="10"/>
      <x:c r="C863" s="10"/>
      <x:c r="D863" s="10"/>
      <x:c r="E863" s="10"/>
      <x:c r="F863" s="10"/>
      <x:c r="G863" s="10"/>
    </x:row>
    <x:row r="864" ht="14.25" customHeight="1">
      <x:c r="A864" s="10"/>
      <x:c r="B864" s="10"/>
      <x:c r="C864" s="10"/>
      <x:c r="D864" s="10"/>
      <x:c r="E864" s="10"/>
      <x:c r="F864" s="10"/>
      <x:c r="G864" s="10"/>
    </x:row>
    <x:row r="865" ht="14.25" customHeight="1">
      <x:c r="A865" s="10"/>
      <x:c r="B865" s="10"/>
      <x:c r="C865" s="10"/>
      <x:c r="D865" s="10"/>
      <x:c r="E865" s="10"/>
      <x:c r="F865" s="10"/>
      <x:c r="G865" s="10"/>
    </x:row>
    <x:row r="866" ht="14.25" customHeight="1">
      <x:c r="A866" s="10"/>
      <x:c r="B866" s="10"/>
      <x:c r="C866" s="10"/>
      <x:c r="D866" s="10"/>
      <x:c r="E866" s="10"/>
      <x:c r="F866" s="10"/>
      <x:c r="G866" s="10"/>
    </x:row>
    <x:row r="867" ht="14.25" customHeight="1">
      <x:c r="A867" s="10"/>
      <x:c r="B867" s="10"/>
      <x:c r="C867" s="10"/>
      <x:c r="D867" s="10"/>
      <x:c r="E867" s="10"/>
      <x:c r="F867" s="10"/>
      <x:c r="G867" s="10"/>
    </x:row>
    <x:row r="868" ht="14.25" customHeight="1">
      <x:c r="A868" s="10"/>
      <x:c r="B868" s="10"/>
      <x:c r="C868" s="10"/>
      <x:c r="D868" s="10"/>
      <x:c r="E868" s="10"/>
      <x:c r="F868" s="10"/>
      <x:c r="G868" s="10"/>
    </x:row>
    <x:row r="869" ht="14.25" customHeight="1">
      <x:c r="A869" s="10"/>
      <x:c r="B869" s="10"/>
      <x:c r="C869" s="10"/>
      <x:c r="D869" s="10"/>
      <x:c r="E869" s="10"/>
      <x:c r="F869" s="10"/>
      <x:c r="G869" s="10"/>
    </x:row>
    <x:row r="870" ht="14.25" customHeight="1">
      <x:c r="A870" s="10"/>
      <x:c r="B870" s="10"/>
      <x:c r="C870" s="10"/>
      <x:c r="D870" s="10"/>
      <x:c r="E870" s="10"/>
      <x:c r="F870" s="10"/>
      <x:c r="G870" s="10"/>
    </x:row>
    <x:row r="871" ht="14.25" customHeight="1">
      <x:c r="A871" s="10"/>
      <x:c r="B871" s="10"/>
      <x:c r="C871" s="10"/>
      <x:c r="D871" s="10"/>
      <x:c r="E871" s="10"/>
      <x:c r="F871" s="10"/>
      <x:c r="G871" s="10"/>
    </x:row>
    <x:row r="872" ht="14.25" customHeight="1">
      <x:c r="A872" s="10"/>
      <x:c r="B872" s="10"/>
      <x:c r="C872" s="10"/>
      <x:c r="D872" s="10"/>
      <x:c r="E872" s="10"/>
      <x:c r="F872" s="10"/>
      <x:c r="G872" s="10"/>
    </x:row>
    <x:row r="873" ht="14.25" customHeight="1">
      <x:c r="A873" s="10"/>
      <x:c r="B873" s="10"/>
      <x:c r="C873" s="10"/>
      <x:c r="D873" s="10"/>
      <x:c r="E873" s="10"/>
      <x:c r="F873" s="10"/>
      <x:c r="G873" s="10"/>
    </x:row>
    <x:row r="874" ht="14.25" customHeight="1">
      <x:c r="A874" s="10"/>
      <x:c r="B874" s="10"/>
      <x:c r="C874" s="10"/>
      <x:c r="D874" s="10"/>
      <x:c r="E874" s="10"/>
      <x:c r="F874" s="10"/>
      <x:c r="G874" s="10"/>
    </x:row>
    <x:row r="875" ht="14.25" customHeight="1">
      <x:c r="A875" s="10"/>
      <x:c r="B875" s="10"/>
      <x:c r="C875" s="10"/>
      <x:c r="D875" s="10"/>
      <x:c r="E875" s="10"/>
      <x:c r="F875" s="10"/>
      <x:c r="G875" s="10"/>
    </x:row>
    <x:row r="876" ht="14.25" customHeight="1">
      <x:c r="A876" s="10"/>
      <x:c r="B876" s="10"/>
      <x:c r="C876" s="10"/>
      <x:c r="D876" s="10"/>
      <x:c r="E876" s="10"/>
      <x:c r="F876" s="10"/>
      <x:c r="G876" s="10"/>
    </x:row>
    <x:row r="877" ht="14.25" customHeight="1">
      <x:c r="A877" s="10"/>
      <x:c r="B877" s="10"/>
      <x:c r="C877" s="10"/>
      <x:c r="D877" s="10"/>
      <x:c r="E877" s="10"/>
      <x:c r="F877" s="10"/>
      <x:c r="G877" s="10"/>
    </x:row>
    <x:row r="878" ht="14.25" customHeight="1">
      <x:c r="A878" s="10"/>
      <x:c r="B878" s="10"/>
      <x:c r="C878" s="10"/>
      <x:c r="D878" s="10"/>
      <x:c r="E878" s="10"/>
      <x:c r="F878" s="10"/>
      <x:c r="G878" s="10"/>
    </x:row>
    <x:row r="879" ht="14.25" customHeight="1">
      <x:c r="A879" s="10"/>
      <x:c r="B879" s="10"/>
      <x:c r="C879" s="10"/>
      <x:c r="D879" s="10"/>
      <x:c r="E879" s="10"/>
      <x:c r="F879" s="10"/>
      <x:c r="G879" s="10"/>
    </x:row>
    <x:row r="880" ht="14.25" customHeight="1">
      <x:c r="A880" s="10"/>
      <x:c r="B880" s="10"/>
      <x:c r="C880" s="10"/>
      <x:c r="D880" s="10"/>
      <x:c r="E880" s="10"/>
      <x:c r="F880" s="10"/>
      <x:c r="G880" s="10"/>
    </x:row>
    <x:row r="881" ht="14.25" customHeight="1">
      <x:c r="A881" s="10"/>
      <x:c r="B881" s="10"/>
      <x:c r="C881" s="10"/>
      <x:c r="D881" s="10"/>
      <x:c r="E881" s="10"/>
      <x:c r="F881" s="10"/>
      <x:c r="G881" s="10"/>
    </x:row>
    <x:row r="882" ht="14.25" customHeight="1">
      <x:c r="A882" s="10"/>
      <x:c r="B882" s="10"/>
      <x:c r="C882" s="10"/>
      <x:c r="D882" s="10"/>
      <x:c r="E882" s="10"/>
      <x:c r="F882" s="10"/>
      <x:c r="G882" s="10"/>
    </x:row>
    <x:row r="883" ht="14.25" customHeight="1">
      <x:c r="A883" s="10"/>
      <x:c r="B883" s="10"/>
      <x:c r="C883" s="10"/>
      <x:c r="D883" s="10"/>
      <x:c r="E883" s="10"/>
      <x:c r="F883" s="10"/>
      <x:c r="G883" s="10"/>
    </x:row>
    <x:row r="884" ht="14.25" customHeight="1">
      <x:c r="A884" s="10"/>
      <x:c r="B884" s="10"/>
      <x:c r="C884" s="10"/>
      <x:c r="D884" s="10"/>
      <x:c r="E884" s="10"/>
      <x:c r="F884" s="10"/>
      <x:c r="G884" s="10"/>
    </x:row>
    <x:row r="885" ht="14.25" customHeight="1">
      <x:c r="A885" s="10"/>
      <x:c r="B885" s="10"/>
      <x:c r="C885" s="10"/>
      <x:c r="D885" s="10"/>
      <x:c r="E885" s="10"/>
      <x:c r="F885" s="10"/>
      <x:c r="G885" s="10"/>
    </x:row>
    <x:row r="886" ht="14.25" customHeight="1">
      <x:c r="A886" s="10"/>
      <x:c r="B886" s="10"/>
      <x:c r="C886" s="10"/>
      <x:c r="D886" s="10"/>
      <x:c r="E886" s="10"/>
      <x:c r="F886" s="10"/>
      <x:c r="G886" s="10"/>
    </x:row>
    <x:row r="887" ht="14.25" customHeight="1">
      <x:c r="A887" s="10"/>
      <x:c r="B887" s="10"/>
      <x:c r="C887" s="10"/>
      <x:c r="D887" s="10"/>
      <x:c r="E887" s="10"/>
      <x:c r="F887" s="10"/>
      <x:c r="G887" s="10"/>
    </x:row>
    <x:row r="888" ht="14.25" customHeight="1">
      <x:c r="A888" s="10"/>
      <x:c r="B888" s="10"/>
      <x:c r="C888" s="10"/>
      <x:c r="D888" s="10"/>
      <x:c r="E888" s="10"/>
      <x:c r="F888" s="10"/>
      <x:c r="G888" s="10"/>
    </x:row>
    <x:row r="889" ht="14.25" customHeight="1">
      <x:c r="A889" s="10"/>
      <x:c r="B889" s="10"/>
      <x:c r="C889" s="10"/>
      <x:c r="D889" s="10"/>
      <x:c r="E889" s="10"/>
      <x:c r="F889" s="10"/>
      <x:c r="G889" s="10"/>
    </x:row>
    <x:row r="890" ht="14.25" customHeight="1">
      <x:c r="A890" s="10"/>
      <x:c r="B890" s="10"/>
      <x:c r="C890" s="10"/>
      <x:c r="D890" s="10"/>
      <x:c r="E890" s="10"/>
      <x:c r="F890" s="10"/>
      <x:c r="G890" s="10"/>
    </x:row>
    <x:row r="891" ht="14.25" customHeight="1">
      <x:c r="A891" s="10"/>
      <x:c r="B891" s="10"/>
      <x:c r="C891" s="10"/>
      <x:c r="D891" s="10"/>
      <x:c r="E891" s="10"/>
      <x:c r="F891" s="10"/>
      <x:c r="G891" s="10"/>
    </x:row>
    <x:row r="892" ht="14.25" customHeight="1">
      <x:c r="A892" s="10"/>
      <x:c r="B892" s="10"/>
      <x:c r="C892" s="10"/>
      <x:c r="D892" s="10"/>
      <x:c r="E892" s="10"/>
      <x:c r="F892" s="10"/>
      <x:c r="G892" s="10"/>
    </x:row>
    <x:row r="893" ht="14.25" customHeight="1">
      <x:c r="A893" s="10"/>
      <x:c r="B893" s="10"/>
      <x:c r="C893" s="10"/>
      <x:c r="D893" s="10"/>
      <x:c r="E893" s="10"/>
      <x:c r="F893" s="10"/>
      <x:c r="G893" s="10"/>
    </x:row>
    <x:row r="894" ht="14.25" customHeight="1">
      <x:c r="A894" s="10"/>
      <x:c r="B894" s="10"/>
      <x:c r="C894" s="10"/>
      <x:c r="D894" s="10"/>
      <x:c r="E894" s="10"/>
      <x:c r="F894" s="10"/>
      <x:c r="G894" s="10"/>
    </x:row>
    <x:row r="895" ht="14.25" customHeight="1">
      <x:c r="A895" s="10"/>
      <x:c r="B895" s="10"/>
      <x:c r="C895" s="10"/>
      <x:c r="D895" s="10"/>
      <x:c r="E895" s="10"/>
      <x:c r="F895" s="10"/>
      <x:c r="G895" s="10"/>
    </x:row>
    <x:row r="896" ht="14.25" customHeight="1">
      <x:c r="A896" s="10"/>
      <x:c r="B896" s="10"/>
      <x:c r="C896" s="10"/>
      <x:c r="D896" s="10"/>
      <x:c r="E896" s="10"/>
      <x:c r="F896" s="10"/>
      <x:c r="G896" s="10"/>
    </x:row>
    <x:row r="897" ht="14.25" customHeight="1">
      <x:c r="A897" s="10"/>
      <x:c r="B897" s="10"/>
      <x:c r="C897" s="10"/>
      <x:c r="D897" s="10"/>
      <x:c r="E897" s="10"/>
      <x:c r="F897" s="10"/>
      <x:c r="G897" s="10"/>
    </x:row>
    <x:row r="898" ht="14.25" customHeight="1">
      <x:c r="A898" s="10"/>
      <x:c r="B898" s="10"/>
      <x:c r="C898" s="10"/>
      <x:c r="D898" s="10"/>
      <x:c r="E898" s="10"/>
      <x:c r="F898" s="10"/>
      <x:c r="G898" s="10"/>
    </x:row>
    <x:row r="899" ht="14.25" customHeight="1">
      <x:c r="A899" s="10"/>
      <x:c r="B899" s="10"/>
      <x:c r="C899" s="10"/>
      <x:c r="D899" s="10"/>
      <x:c r="E899" s="10"/>
      <x:c r="F899" s="10"/>
      <x:c r="G899" s="10"/>
    </x:row>
    <x:row r="900" ht="14.25" customHeight="1">
      <x:c r="A900" s="10"/>
      <x:c r="B900" s="10"/>
      <x:c r="C900" s="10"/>
      <x:c r="D900" s="10"/>
      <x:c r="E900" s="10"/>
      <x:c r="F900" s="10"/>
      <x:c r="G900" s="10"/>
    </x:row>
    <x:row r="901" ht="14.25" customHeight="1">
      <x:c r="A901" s="10"/>
      <x:c r="B901" s="10"/>
      <x:c r="C901" s="10"/>
      <x:c r="D901" s="10"/>
      <x:c r="E901" s="10"/>
      <x:c r="F901" s="10"/>
      <x:c r="G901" s="10"/>
    </x:row>
    <x:row r="902" ht="14.25" customHeight="1">
      <x:c r="A902" s="10"/>
      <x:c r="B902" s="10"/>
      <x:c r="C902" s="10"/>
      <x:c r="D902" s="10"/>
      <x:c r="E902" s="10"/>
      <x:c r="F902" s="10"/>
      <x:c r="G902" s="10"/>
    </x:row>
    <x:row r="903" ht="14.25" customHeight="1">
      <x:c r="A903" s="10"/>
      <x:c r="B903" s="10"/>
      <x:c r="C903" s="10"/>
      <x:c r="D903" s="10"/>
      <x:c r="E903" s="10"/>
      <x:c r="F903" s="10"/>
      <x:c r="G903" s="10"/>
    </x:row>
    <x:row r="904" ht="14.25" customHeight="1">
      <x:c r="A904" s="10"/>
      <x:c r="B904" s="10"/>
      <x:c r="C904" s="10"/>
      <x:c r="D904" s="10"/>
      <x:c r="E904" s="10"/>
      <x:c r="F904" s="10"/>
      <x:c r="G904" s="10"/>
    </x:row>
    <x:row r="905" ht="14.25" customHeight="1">
      <x:c r="A905" s="10"/>
      <x:c r="B905" s="10"/>
      <x:c r="C905" s="10"/>
      <x:c r="D905" s="10"/>
      <x:c r="E905" s="10"/>
      <x:c r="F905" s="10"/>
      <x:c r="G905" s="10"/>
    </x:row>
    <x:row r="906" ht="14.25" customHeight="1">
      <x:c r="A906" s="10"/>
      <x:c r="B906" s="10"/>
      <x:c r="C906" s="10"/>
      <x:c r="D906" s="10"/>
      <x:c r="E906" s="10"/>
      <x:c r="F906" s="10"/>
      <x:c r="G906" s="10"/>
    </x:row>
    <x:row r="907" ht="14.25" customHeight="1">
      <x:c r="A907" s="10"/>
      <x:c r="B907" s="10"/>
      <x:c r="C907" s="10"/>
      <x:c r="D907" s="10"/>
      <x:c r="E907" s="10"/>
      <x:c r="F907" s="10"/>
      <x:c r="G907" s="10"/>
    </x:row>
    <x:row r="908" ht="14.25" customHeight="1">
      <x:c r="A908" s="10"/>
      <x:c r="B908" s="10"/>
      <x:c r="C908" s="10"/>
      <x:c r="D908" s="10"/>
      <x:c r="E908" s="10"/>
      <x:c r="F908" s="10"/>
      <x:c r="G908" s="10"/>
    </x:row>
    <x:row r="909" ht="14.25" customHeight="1">
      <x:c r="A909" s="10"/>
      <x:c r="B909" s="10"/>
      <x:c r="C909" s="10"/>
      <x:c r="D909" s="10"/>
      <x:c r="E909" s="10"/>
      <x:c r="F909" s="10"/>
      <x:c r="G909" s="10"/>
    </x:row>
    <x:row r="910" ht="14.25" customHeight="1">
      <x:c r="A910" s="10"/>
      <x:c r="B910" s="10"/>
      <x:c r="C910" s="10"/>
      <x:c r="D910" s="10"/>
      <x:c r="E910" s="10"/>
      <x:c r="F910" s="10"/>
      <x:c r="G910" s="10"/>
    </x:row>
    <x:row r="911" ht="14.25" customHeight="1">
      <x:c r="A911" s="10"/>
      <x:c r="B911" s="10"/>
      <x:c r="C911" s="10"/>
      <x:c r="D911" s="10"/>
      <x:c r="E911" s="10"/>
      <x:c r="F911" s="10"/>
      <x:c r="G911" s="10"/>
    </x:row>
    <x:row r="912" ht="14.25" customHeight="1">
      <x:c r="A912" s="10"/>
      <x:c r="B912" s="10"/>
      <x:c r="C912" s="10"/>
      <x:c r="D912" s="10"/>
      <x:c r="E912" s="10"/>
      <x:c r="F912" s="10"/>
      <x:c r="G912" s="10"/>
    </x:row>
    <x:row r="913" ht="14.25" customHeight="1">
      <x:c r="A913" s="10"/>
      <x:c r="B913" s="10"/>
      <x:c r="C913" s="10"/>
      <x:c r="D913" s="10"/>
      <x:c r="E913" s="10"/>
      <x:c r="F913" s="10"/>
      <x:c r="G913" s="10"/>
    </x:row>
    <x:row r="914" ht="14.25" customHeight="1">
      <x:c r="A914" s="10"/>
      <x:c r="B914" s="10"/>
      <x:c r="C914" s="10"/>
      <x:c r="D914" s="10"/>
      <x:c r="E914" s="10"/>
      <x:c r="F914" s="10"/>
      <x:c r="G914" s="10"/>
    </x:row>
    <x:row r="915" ht="14.25" customHeight="1">
      <x:c r="A915" s="10"/>
      <x:c r="B915" s="10"/>
      <x:c r="C915" s="10"/>
      <x:c r="D915" s="10"/>
      <x:c r="E915" s="10"/>
      <x:c r="F915" s="10"/>
      <x:c r="G915" s="10"/>
    </x:row>
    <x:row r="916" ht="14.25" customHeight="1">
      <x:c r="A916" s="10"/>
      <x:c r="B916" s="10"/>
      <x:c r="C916" s="10"/>
      <x:c r="D916" s="10"/>
      <x:c r="E916" s="10"/>
      <x:c r="F916" s="10"/>
      <x:c r="G916" s="10"/>
    </x:row>
    <x:row r="917" ht="14.25" customHeight="1">
      <x:c r="A917" s="10"/>
      <x:c r="B917" s="10"/>
      <x:c r="C917" s="10"/>
      <x:c r="D917" s="10"/>
      <x:c r="E917" s="10"/>
      <x:c r="F917" s="10"/>
      <x:c r="G917" s="10"/>
    </x:row>
    <x:row r="918" ht="14.25" customHeight="1">
      <x:c r="A918" s="10"/>
      <x:c r="B918" s="10"/>
      <x:c r="C918" s="10"/>
      <x:c r="D918" s="10"/>
      <x:c r="E918" s="10"/>
      <x:c r="F918" s="10"/>
      <x:c r="G918" s="10"/>
    </x:row>
    <x:row r="919" ht="14.25" customHeight="1">
      <x:c r="A919" s="10"/>
      <x:c r="B919" s="10"/>
      <x:c r="C919" s="10"/>
      <x:c r="D919" s="10"/>
      <x:c r="E919" s="10"/>
      <x:c r="F919" s="10"/>
      <x:c r="G919" s="10"/>
    </x:row>
    <x:row r="920" ht="14.25" customHeight="1">
      <x:c r="A920" s="10"/>
      <x:c r="B920" s="10"/>
      <x:c r="C920" s="10"/>
      <x:c r="D920" s="10"/>
      <x:c r="E920" s="10"/>
      <x:c r="F920" s="10"/>
      <x:c r="G920" s="10"/>
    </x:row>
    <x:row r="921" ht="14.25" customHeight="1">
      <x:c r="A921" s="10"/>
      <x:c r="B921" s="10"/>
      <x:c r="C921" s="10"/>
      <x:c r="D921" s="10"/>
      <x:c r="E921" s="10"/>
      <x:c r="F921" s="10"/>
      <x:c r="G921" s="10"/>
    </x:row>
    <x:row r="922" ht="14.25" customHeight="1">
      <x:c r="A922" s="10"/>
      <x:c r="B922" s="10"/>
      <x:c r="C922" s="10"/>
      <x:c r="D922" s="10"/>
      <x:c r="E922" s="10"/>
      <x:c r="F922" s="10"/>
      <x:c r="G922" s="10"/>
    </x:row>
    <x:row r="923" ht="14.25" customHeight="1">
      <x:c r="A923" s="10"/>
      <x:c r="B923" s="10"/>
      <x:c r="C923" s="10"/>
      <x:c r="D923" s="10"/>
      <x:c r="E923" s="10"/>
      <x:c r="F923" s="10"/>
      <x:c r="G923" s="10"/>
    </x:row>
    <x:row r="924" ht="14.25" customHeight="1">
      <x:c r="A924" s="10"/>
      <x:c r="B924" s="10"/>
      <x:c r="C924" s="10"/>
      <x:c r="D924" s="10"/>
      <x:c r="E924" s="10"/>
      <x:c r="F924" s="10"/>
      <x:c r="G924" s="10"/>
    </x:row>
    <x:row r="925" ht="14.25" customHeight="1">
      <x:c r="A925" s="10"/>
      <x:c r="B925" s="10"/>
      <x:c r="C925" s="10"/>
      <x:c r="D925" s="10"/>
      <x:c r="E925" s="10"/>
      <x:c r="F925" s="10"/>
      <x:c r="G925" s="10"/>
    </x:row>
    <x:row r="926" ht="14.25" customHeight="1">
      <x:c r="A926" s="10"/>
      <x:c r="B926" s="10"/>
      <x:c r="C926" s="10"/>
      <x:c r="D926" s="10"/>
      <x:c r="E926" s="10"/>
      <x:c r="F926" s="10"/>
      <x:c r="G926" s="10"/>
    </x:row>
    <x:row r="927" ht="14.25" customHeight="1">
      <x:c r="A927" s="10"/>
      <x:c r="B927" s="10"/>
      <x:c r="C927" s="10"/>
      <x:c r="D927" s="10"/>
      <x:c r="E927" s="10"/>
      <x:c r="F927" s="10"/>
      <x:c r="G927" s="10"/>
    </x:row>
    <x:row r="928" ht="14.25" customHeight="1">
      <x:c r="A928" s="10"/>
      <x:c r="B928" s="10"/>
      <x:c r="C928" s="10"/>
      <x:c r="D928" s="10"/>
      <x:c r="E928" s="10"/>
      <x:c r="F928" s="10"/>
      <x:c r="G928" s="10"/>
    </x:row>
    <x:row r="929" ht="14.25" customHeight="1">
      <x:c r="A929" s="10"/>
      <x:c r="B929" s="10"/>
      <x:c r="C929" s="10"/>
      <x:c r="D929" s="10"/>
      <x:c r="E929" s="10"/>
      <x:c r="F929" s="10"/>
      <x:c r="G929" s="10"/>
    </x:row>
    <x:row r="930" ht="14.25" customHeight="1">
      <x:c r="A930" s="10"/>
      <x:c r="B930" s="10"/>
      <x:c r="C930" s="10"/>
      <x:c r="D930" s="10"/>
      <x:c r="E930" s="10"/>
      <x:c r="F930" s="10"/>
      <x:c r="G930" s="10"/>
    </x:row>
    <x:row r="931" ht="14.25" customHeight="1">
      <x:c r="A931" s="10"/>
      <x:c r="B931" s="10"/>
      <x:c r="C931" s="10"/>
      <x:c r="D931" s="10"/>
      <x:c r="E931" s="10"/>
      <x:c r="F931" s="10"/>
      <x:c r="G931" s="10"/>
    </x:row>
    <x:row r="932" ht="14.25" customHeight="1">
      <x:c r="A932" s="10"/>
      <x:c r="B932" s="10"/>
      <x:c r="C932" s="10"/>
      <x:c r="D932" s="10"/>
      <x:c r="E932" s="10"/>
      <x:c r="F932" s="10"/>
      <x:c r="G932" s="10"/>
    </x:row>
    <x:row r="933" ht="14.25" customHeight="1">
      <x:c r="A933" s="10"/>
      <x:c r="B933" s="10"/>
      <x:c r="C933" s="10"/>
      <x:c r="D933" s="10"/>
      <x:c r="E933" s="10"/>
      <x:c r="F933" s="10"/>
      <x:c r="G933" s="10"/>
    </x:row>
    <x:row r="934" ht="14.25" customHeight="1">
      <x:c r="A934" s="10"/>
      <x:c r="B934" s="10"/>
      <x:c r="C934" s="10"/>
      <x:c r="D934" s="10"/>
      <x:c r="E934" s="10"/>
      <x:c r="F934" s="10"/>
      <x:c r="G934" s="10"/>
    </x:row>
    <x:row r="935" ht="14.25" customHeight="1">
      <x:c r="A935" s="10"/>
      <x:c r="B935" s="10"/>
      <x:c r="C935" s="10"/>
      <x:c r="D935" s="10"/>
      <x:c r="E935" s="10"/>
      <x:c r="F935" s="10"/>
      <x:c r="G935" s="10"/>
    </x:row>
    <x:row r="936" ht="14.25" customHeight="1">
      <x:c r="A936" s="10"/>
      <x:c r="B936" s="10"/>
      <x:c r="C936" s="10"/>
      <x:c r="D936" s="10"/>
      <x:c r="E936" s="10"/>
      <x:c r="F936" s="10"/>
      <x:c r="G936" s="10"/>
    </x:row>
    <x:row r="937" ht="14.25" customHeight="1">
      <x:c r="A937" s="10"/>
      <x:c r="B937" s="10"/>
      <x:c r="C937" s="10"/>
      <x:c r="D937" s="10"/>
      <x:c r="E937" s="10"/>
      <x:c r="F937" s="10"/>
      <x:c r="G937" s="10"/>
    </x:row>
    <x:row r="938" ht="14.25" customHeight="1">
      <x:c r="A938" s="10"/>
      <x:c r="B938" s="10"/>
      <x:c r="C938" s="10"/>
      <x:c r="D938" s="10"/>
      <x:c r="E938" s="10"/>
      <x:c r="F938" s="10"/>
      <x:c r="G938" s="10"/>
    </x:row>
    <x:row r="939" ht="14.25" customHeight="1">
      <x:c r="A939" s="10"/>
      <x:c r="B939" s="10"/>
      <x:c r="C939" s="10"/>
      <x:c r="D939" s="10"/>
      <x:c r="E939" s="10"/>
      <x:c r="F939" s="10"/>
      <x:c r="G939" s="10"/>
    </x:row>
    <x:row r="940" ht="14.25" customHeight="1">
      <x:c r="A940" s="10"/>
      <x:c r="B940" s="10"/>
      <x:c r="C940" s="10"/>
      <x:c r="D940" s="10"/>
      <x:c r="E940" s="10"/>
      <x:c r="F940" s="10"/>
      <x:c r="G940" s="10"/>
    </x:row>
    <x:row r="941" ht="14.25" customHeight="1">
      <x:c r="A941" s="10"/>
      <x:c r="B941" s="10"/>
      <x:c r="C941" s="10"/>
      <x:c r="D941" s="10"/>
      <x:c r="E941" s="10"/>
      <x:c r="F941" s="10"/>
      <x:c r="G941" s="10"/>
    </x:row>
    <x:row r="942" ht="14.25" customHeight="1">
      <x:c r="A942" s="10"/>
      <x:c r="B942" s="10"/>
      <x:c r="C942" s="10"/>
      <x:c r="D942" s="10"/>
      <x:c r="E942" s="10"/>
      <x:c r="F942" s="10"/>
      <x:c r="G942" s="10"/>
    </x:row>
    <x:row r="943" ht="14.25" customHeight="1">
      <x:c r="A943" s="10"/>
      <x:c r="B943" s="10"/>
      <x:c r="C943" s="10"/>
      <x:c r="D943" s="10"/>
      <x:c r="E943" s="10"/>
      <x:c r="F943" s="10"/>
      <x:c r="G943" s="10"/>
    </x:row>
    <x:row r="944" ht="14.25" customHeight="1">
      <x:c r="A944" s="10"/>
      <x:c r="B944" s="10"/>
      <x:c r="C944" s="10"/>
      <x:c r="D944" s="10"/>
      <x:c r="E944" s="10"/>
      <x:c r="F944" s="10"/>
      <x:c r="G944" s="10"/>
    </x:row>
    <x:row r="945" ht="14.25" customHeight="1">
      <x:c r="A945" s="10"/>
      <x:c r="B945" s="10"/>
      <x:c r="C945" s="10"/>
      <x:c r="D945" s="10"/>
      <x:c r="E945" s="10"/>
      <x:c r="F945" s="10"/>
      <x:c r="G945" s="10"/>
    </x:row>
    <x:row r="946" ht="14.25" customHeight="1">
      <x:c r="A946" s="10"/>
      <x:c r="B946" s="10"/>
      <x:c r="C946" s="10"/>
      <x:c r="D946" s="10"/>
      <x:c r="E946" s="10"/>
      <x:c r="F946" s="10"/>
      <x:c r="G946" s="10"/>
    </x:row>
    <x:row r="947" ht="14.25" customHeight="1">
      <x:c r="A947" s="10"/>
      <x:c r="B947" s="10"/>
      <x:c r="C947" s="10"/>
      <x:c r="D947" s="10"/>
      <x:c r="E947" s="10"/>
      <x:c r="F947" s="10"/>
      <x:c r="G947" s="10"/>
    </x:row>
    <x:row r="948" ht="14.25" customHeight="1">
      <x:c r="A948" s="10"/>
      <x:c r="B948" s="10"/>
      <x:c r="C948" s="10"/>
      <x:c r="D948" s="10"/>
      <x:c r="E948" s="10"/>
      <x:c r="F948" s="10"/>
      <x:c r="G948" s="10"/>
    </x:row>
    <x:row r="949" ht="14.25" customHeight="1">
      <x:c r="A949" s="10"/>
      <x:c r="B949" s="10"/>
      <x:c r="C949" s="10"/>
      <x:c r="D949" s="10"/>
      <x:c r="E949" s="10"/>
      <x:c r="F949" s="10"/>
      <x:c r="G949" s="10"/>
    </x:row>
    <x:row r="950" ht="14.25" customHeight="1">
      <x:c r="A950" s="10"/>
      <x:c r="B950" s="10"/>
      <x:c r="C950" s="10"/>
      <x:c r="D950" s="10"/>
      <x:c r="E950" s="10"/>
      <x:c r="F950" s="10"/>
      <x:c r="G950" s="10"/>
    </x:row>
    <x:row r="951" ht="14.25" customHeight="1">
      <x:c r="A951" s="10"/>
      <x:c r="B951" s="10"/>
      <x:c r="C951" s="10"/>
      <x:c r="D951" s="10"/>
      <x:c r="E951" s="10"/>
      <x:c r="F951" s="10"/>
      <x:c r="G951" s="10"/>
    </x:row>
    <x:row r="952" ht="14.25" customHeight="1">
      <x:c r="A952" s="10"/>
      <x:c r="B952" s="10"/>
      <x:c r="C952" s="10"/>
      <x:c r="D952" s="10"/>
      <x:c r="E952" s="10"/>
      <x:c r="F952" s="10"/>
      <x:c r="G952" s="10"/>
    </x:row>
    <x:row r="953" ht="14.25" customHeight="1">
      <x:c r="A953" s="10"/>
      <x:c r="B953" s="10"/>
      <x:c r="C953" s="10"/>
      <x:c r="D953" s="10"/>
      <x:c r="E953" s="10"/>
      <x:c r="F953" s="10"/>
      <x:c r="G953" s="10"/>
    </x:row>
    <x:row r="954" ht="14.25" customHeight="1">
      <x:c r="A954" s="10"/>
      <x:c r="B954" s="10"/>
      <x:c r="C954" s="10"/>
      <x:c r="D954" s="10"/>
      <x:c r="E954" s="10"/>
      <x:c r="F954" s="10"/>
      <x:c r="G954" s="10"/>
    </x:row>
    <x:row r="955" ht="14.25" customHeight="1">
      <x:c r="A955" s="10"/>
      <x:c r="B955" s="10"/>
      <x:c r="C955" s="10"/>
      <x:c r="D955" s="10"/>
      <x:c r="E955" s="10"/>
      <x:c r="F955" s="10"/>
      <x:c r="G955" s="10"/>
    </x:row>
    <x:row r="956" ht="14.25" customHeight="1">
      <x:c r="A956" s="10"/>
      <x:c r="B956" s="10"/>
      <x:c r="C956" s="10"/>
      <x:c r="D956" s="10"/>
      <x:c r="E956" s="10"/>
      <x:c r="F956" s="10"/>
      <x:c r="G956" s="10"/>
    </x:row>
    <x:row r="957" ht="14.25" customHeight="1">
      <x:c r="A957" s="10"/>
      <x:c r="B957" s="10"/>
      <x:c r="C957" s="10"/>
      <x:c r="D957" s="10"/>
      <x:c r="E957" s="10"/>
      <x:c r="F957" s="10"/>
      <x:c r="G957" s="10"/>
    </x:row>
    <x:row r="958" ht="14.25" customHeight="1">
      <x:c r="A958" s="10"/>
      <x:c r="B958" s="10"/>
      <x:c r="C958" s="10"/>
      <x:c r="D958" s="10"/>
      <x:c r="E958" s="10"/>
      <x:c r="F958" s="10"/>
      <x:c r="G958" s="10"/>
    </x:row>
    <x:row r="959" ht="14.25" customHeight="1">
      <x:c r="A959" s="10"/>
      <x:c r="B959" s="10"/>
      <x:c r="C959" s="10"/>
      <x:c r="D959" s="10"/>
      <x:c r="E959" s="10"/>
      <x:c r="F959" s="10"/>
      <x:c r="G959" s="10"/>
    </x:row>
    <x:row r="960" ht="14.25" customHeight="1">
      <x:c r="A960" s="10"/>
      <x:c r="B960" s="10"/>
      <x:c r="C960" s="10"/>
      <x:c r="D960" s="10"/>
      <x:c r="E960" s="10"/>
      <x:c r="F960" s="10"/>
      <x:c r="G960" s="10"/>
    </x:row>
    <x:row r="961" ht="14.25" customHeight="1">
      <x:c r="A961" s="10"/>
      <x:c r="B961" s="10"/>
      <x:c r="C961" s="10"/>
      <x:c r="D961" s="10"/>
      <x:c r="E961" s="10"/>
      <x:c r="F961" s="10"/>
      <x:c r="G961" s="10"/>
    </x:row>
    <x:row r="962" ht="14.25" customHeight="1">
      <x:c r="A962" s="10"/>
      <x:c r="B962" s="10"/>
      <x:c r="C962" s="10"/>
      <x:c r="D962" s="10"/>
      <x:c r="E962" s="10"/>
      <x:c r="F962" s="10"/>
      <x:c r="G962" s="10"/>
    </x:row>
    <x:row r="963" ht="14.25" customHeight="1">
      <x:c r="A963" s="10"/>
      <x:c r="B963" s="10"/>
      <x:c r="C963" s="10"/>
      <x:c r="D963" s="10"/>
      <x:c r="E963" s="10"/>
      <x:c r="F963" s="10"/>
      <x:c r="G963" s="10"/>
    </x:row>
    <x:row r="964" ht="14.25" customHeight="1">
      <x:c r="A964" s="10"/>
      <x:c r="B964" s="10"/>
      <x:c r="C964" s="10"/>
      <x:c r="D964" s="10"/>
      <x:c r="E964" s="10"/>
      <x:c r="F964" s="10"/>
      <x:c r="G964" s="10"/>
    </x:row>
    <x:row r="965" ht="14.25" customHeight="1">
      <x:c r="A965" s="10"/>
      <x:c r="B965" s="10"/>
      <x:c r="C965" s="10"/>
      <x:c r="D965" s="10"/>
      <x:c r="E965" s="10"/>
      <x:c r="F965" s="10"/>
      <x:c r="G965" s="10"/>
    </x:row>
    <x:row r="966" ht="14.25" customHeight="1">
      <x:c r="A966" s="10"/>
      <x:c r="B966" s="10"/>
      <x:c r="C966" s="10"/>
      <x:c r="D966" s="10"/>
      <x:c r="E966" s="10"/>
      <x:c r="F966" s="10"/>
      <x:c r="G966" s="10"/>
    </x:row>
    <x:row r="967" ht="14.25" customHeight="1">
      <x:c r="A967" s="10"/>
      <x:c r="B967" s="10"/>
      <x:c r="C967" s="10"/>
      <x:c r="D967" s="10"/>
      <x:c r="E967" s="10"/>
      <x:c r="F967" s="10"/>
      <x:c r="G967" s="10"/>
    </x:row>
    <x:row r="968" ht="14.25" customHeight="1">
      <x:c r="A968" s="10"/>
      <x:c r="B968" s="10"/>
      <x:c r="C968" s="10"/>
      <x:c r="D968" s="10"/>
      <x:c r="E968" s="10"/>
      <x:c r="F968" s="10"/>
      <x:c r="G968" s="10"/>
    </x:row>
    <x:row r="969" ht="14.25" customHeight="1">
      <x:c r="A969" s="10"/>
      <x:c r="B969" s="10"/>
      <x:c r="C969" s="10"/>
      <x:c r="D969" s="10"/>
      <x:c r="E969" s="10"/>
      <x:c r="F969" s="10"/>
      <x:c r="G969" s="10"/>
    </x:row>
    <x:row r="970" ht="14.25" customHeight="1">
      <x:c r="A970" s="10"/>
      <x:c r="B970" s="10"/>
      <x:c r="C970" s="10"/>
      <x:c r="D970" s="10"/>
      <x:c r="E970" s="10"/>
      <x:c r="F970" s="10"/>
      <x:c r="G970" s="10"/>
    </x:row>
    <x:row r="971" ht="14.25" customHeight="1">
      <x:c r="A971" s="10"/>
      <x:c r="B971" s="10"/>
      <x:c r="C971" s="10"/>
      <x:c r="D971" s="10"/>
      <x:c r="E971" s="10"/>
      <x:c r="F971" s="10"/>
      <x:c r="G971" s="10"/>
    </x:row>
    <x:row r="972" ht="14.25" customHeight="1">
      <x:c r="A972" s="10"/>
      <x:c r="B972" s="10"/>
      <x:c r="C972" s="10"/>
      <x:c r="D972" s="10"/>
      <x:c r="E972" s="10"/>
      <x:c r="F972" s="10"/>
      <x:c r="G972" s="10"/>
    </x:row>
    <x:row r="973" ht="14.25" customHeight="1">
      <x:c r="A973" s="10"/>
      <x:c r="B973" s="10"/>
      <x:c r="C973" s="10"/>
      <x:c r="D973" s="10"/>
      <x:c r="E973" s="10"/>
      <x:c r="F973" s="10"/>
      <x:c r="G973" s="10"/>
    </x:row>
    <x:row r="974" ht="14.25" customHeight="1">
      <x:c r="A974" s="10"/>
      <x:c r="B974" s="10"/>
      <x:c r="C974" s="10"/>
      <x:c r="D974" s="10"/>
      <x:c r="E974" s="10"/>
      <x:c r="F974" s="10"/>
      <x:c r="G974" s="10"/>
    </x:row>
    <x:row r="975" ht="14.25" customHeight="1">
      <x:c r="A975" s="10"/>
      <x:c r="B975" s="10"/>
      <x:c r="C975" s="10"/>
      <x:c r="D975" s="10"/>
      <x:c r="E975" s="10"/>
      <x:c r="F975" s="10"/>
      <x:c r="G975" s="10"/>
    </x:row>
    <x:row r="976" ht="14.25" customHeight="1">
      <x:c r="A976" s="10"/>
      <x:c r="B976" s="10"/>
      <x:c r="C976" s="10"/>
      <x:c r="D976" s="10"/>
      <x:c r="E976" s="10"/>
      <x:c r="F976" s="10"/>
      <x:c r="G976" s="10"/>
    </x:row>
    <x:row r="977" ht="14.25" customHeight="1">
      <x:c r="A977" s="10"/>
      <x:c r="B977" s="10"/>
      <x:c r="C977" s="10"/>
      <x:c r="D977" s="10"/>
      <x:c r="E977" s="10"/>
      <x:c r="F977" s="10"/>
      <x:c r="G977" s="10"/>
    </x:row>
    <x:row r="978" ht="14.25" customHeight="1">
      <x:c r="A978" s="10"/>
      <x:c r="B978" s="10"/>
      <x:c r="C978" s="10"/>
      <x:c r="D978" s="10"/>
      <x:c r="E978" s="10"/>
      <x:c r="F978" s="10"/>
      <x:c r="G978" s="10"/>
    </x:row>
    <x:row r="979" ht="14.25" customHeight="1">
      <x:c r="A979" s="10"/>
      <x:c r="B979" s="10"/>
      <x:c r="C979" s="10"/>
      <x:c r="D979" s="10"/>
      <x:c r="E979" s="10"/>
      <x:c r="F979" s="10"/>
      <x:c r="G979" s="10"/>
    </x:row>
    <x:row r="980" ht="14.25" customHeight="1">
      <x:c r="A980" s="10"/>
      <x:c r="B980" s="10"/>
      <x:c r="C980" s="10"/>
      <x:c r="D980" s="10"/>
      <x:c r="E980" s="10"/>
      <x:c r="F980" s="10"/>
      <x:c r="G980" s="10"/>
    </x:row>
    <x:row r="981" ht="14.25" customHeight="1">
      <x:c r="A981" s="10"/>
      <x:c r="B981" s="10"/>
      <x:c r="C981" s="10"/>
      <x:c r="D981" s="10"/>
      <x:c r="E981" s="10"/>
      <x:c r="F981" s="10"/>
      <x:c r="G981" s="10"/>
    </x:row>
    <x:row r="982" ht="14.25" customHeight="1">
      <x:c r="A982" s="10"/>
      <x:c r="B982" s="10"/>
      <x:c r="C982" s="10"/>
      <x:c r="D982" s="10"/>
      <x:c r="E982" s="10"/>
      <x:c r="F982" s="10"/>
      <x:c r="G982" s="10"/>
    </x:row>
    <x:row r="983" ht="14.25" customHeight="1">
      <x:c r="A983" s="10"/>
      <x:c r="B983" s="10"/>
      <x:c r="C983" s="10"/>
      <x:c r="D983" s="10"/>
      <x:c r="E983" s="10"/>
      <x:c r="F983" s="10"/>
      <x:c r="G983" s="10"/>
    </x:row>
    <x:row r="984" ht="14.25" customHeight="1">
      <x:c r="A984" s="10"/>
      <x:c r="B984" s="10"/>
      <x:c r="C984" s="10"/>
      <x:c r="D984" s="10"/>
      <x:c r="E984" s="10"/>
      <x:c r="F984" s="10"/>
      <x:c r="G984" s="10"/>
    </x:row>
    <x:row r="985" ht="14.25" customHeight="1">
      <x:c r="A985" s="10"/>
      <x:c r="B985" s="10"/>
      <x:c r="C985" s="10"/>
      <x:c r="D985" s="10"/>
      <x:c r="E985" s="10"/>
      <x:c r="F985" s="10"/>
      <x:c r="G985" s="10"/>
    </x:row>
    <x:row r="986" ht="14.25" customHeight="1">
      <x:c r="A986" s="10"/>
      <x:c r="B986" s="10"/>
      <x:c r="C986" s="10"/>
      <x:c r="D986" s="10"/>
      <x:c r="E986" s="10"/>
      <x:c r="F986" s="10"/>
      <x:c r="G986" s="10"/>
    </x:row>
    <x:row r="987" ht="14.25" customHeight="1">
      <x:c r="A987" s="10"/>
      <x:c r="B987" s="10"/>
      <x:c r="C987" s="10"/>
      <x:c r="D987" s="10"/>
      <x:c r="E987" s="10"/>
      <x:c r="F987" s="10"/>
      <x:c r="G987" s="10"/>
    </x:row>
    <x:row r="988" ht="14.25" customHeight="1">
      <x:c r="A988" s="10"/>
      <x:c r="B988" s="10"/>
      <x:c r="C988" s="10"/>
      <x:c r="D988" s="10"/>
      <x:c r="E988" s="10"/>
      <x:c r="F988" s="10"/>
      <x:c r="G988" s="10"/>
    </x:row>
    <x:row r="989" ht="14.25" customHeight="1">
      <x:c r="A989" s="10"/>
      <x:c r="B989" s="10"/>
      <x:c r="C989" s="10"/>
      <x:c r="D989" s="10"/>
      <x:c r="E989" s="10"/>
      <x:c r="F989" s="10"/>
      <x:c r="G989" s="10"/>
    </x:row>
    <x:row r="990" ht="14.25" customHeight="1">
      <x:c r="A990" s="10"/>
      <x:c r="B990" s="10"/>
      <x:c r="C990" s="10"/>
      <x:c r="D990" s="10"/>
      <x:c r="E990" s="10"/>
      <x:c r="F990" s="10"/>
      <x:c r="G990" s="10"/>
    </x:row>
    <x:row r="991" ht="14.25" customHeight="1">
      <x:c r="A991" s="10"/>
      <x:c r="B991" s="10"/>
      <x:c r="C991" s="10"/>
      <x:c r="D991" s="10"/>
      <x:c r="E991" s="10"/>
      <x:c r="F991" s="10"/>
      <x:c r="G991" s="10"/>
    </x:row>
    <x:row r="992" ht="14.25" customHeight="1">
      <x:c r="A992" s="10"/>
      <x:c r="B992" s="10"/>
      <x:c r="C992" s="10"/>
      <x:c r="D992" s="10"/>
      <x:c r="E992" s="10"/>
      <x:c r="F992" s="10"/>
      <x:c r="G992" s="10"/>
    </x:row>
    <x:row r="993" ht="14.25" customHeight="1">
      <x:c r="A993" s="10"/>
      <x:c r="B993" s="10"/>
      <x:c r="C993" s="10"/>
      <x:c r="D993" s="10"/>
      <x:c r="E993" s="10"/>
      <x:c r="F993" s="10"/>
      <x:c r="G993" s="10"/>
    </x:row>
    <x:row r="994" ht="14.25" customHeight="1">
      <x:c r="A994" s="10"/>
      <x:c r="B994" s="10"/>
      <x:c r="C994" s="10"/>
      <x:c r="D994" s="10"/>
      <x:c r="E994" s="10"/>
      <x:c r="F994" s="10"/>
      <x:c r="G994" s="10"/>
    </x:row>
    <x:row r="995" ht="14.25" customHeight="1">
      <x:c r="A995" s="10"/>
      <x:c r="B995" s="10"/>
      <x:c r="C995" s="10"/>
      <x:c r="D995" s="10"/>
      <x:c r="E995" s="10"/>
      <x:c r="F995" s="10"/>
      <x:c r="G995" s="10"/>
    </x:row>
    <x:row r="996" ht="14.25" customHeight="1">
      <x:c r="A996" s="10"/>
      <x:c r="B996" s="10"/>
      <x:c r="C996" s="10"/>
      <x:c r="D996" s="10"/>
      <x:c r="E996" s="10"/>
      <x:c r="F996" s="10"/>
      <x:c r="G996" s="10"/>
    </x:row>
    <x:row r="997" ht="14.25" customHeight="1">
      <x:c r="A997" s="10"/>
      <x:c r="B997" s="10"/>
      <x:c r="C997" s="10"/>
      <x:c r="D997" s="10"/>
      <x:c r="E997" s="10"/>
      <x:c r="F997" s="10"/>
      <x:c r="G997" s="10"/>
    </x:row>
    <x:row r="998" ht="14.25" customHeight="1">
      <x:c r="A998" s="10"/>
      <x:c r="B998" s="10"/>
      <x:c r="C998" s="10"/>
      <x:c r="D998" s="10"/>
      <x:c r="E998" s="10"/>
      <x:c r="F998" s="10"/>
      <x:c r="G998" s="10"/>
    </x:row>
    <x:row r="999" ht="14.25" customHeight="1">
      <x:c r="A999" s="10"/>
      <x:c r="B999" s="10"/>
      <x:c r="C999" s="10"/>
      <x:c r="D999" s="10"/>
      <x:c r="E999" s="10"/>
      <x:c r="F999" s="10"/>
      <x:c r="G999" s="10"/>
    </x:row>
    <x:row r="1000" ht="14.25" customHeight="1">
      <x:c r="A1000" s="10"/>
      <x:c r="B1000" s="10"/>
      <x:c r="C1000" s="10"/>
      <x:c r="D1000" s="10"/>
      <x:c r="E1000" s="10"/>
      <x:c r="F1000" s="10"/>
      <x:c r="G1000" s="10"/>
    </x:row>
  </x:sheetData>
  <x:pageMargins left="0.7" right="0.7" top="0.75" bottom="0.75" header="0.3" footer="0.3"/>
</x:worksheet>
</file>

<file path=xl/worksheets/sheet3.xml><?xml version="1.0" encoding="utf-8"?>
<x:worksheet xmlns:x="http://schemas.openxmlformats.org/spreadsheetml/2006/main">
  <x:sheetFormatPr defaultColWidth="14.453125" defaultRowHeight="15"/>
  <x:cols>
    <x:col min="1" max="1" width="18" customWidth="1"/>
    <x:col min="2" max="7" width="11" customWidth="1"/>
    <x:col min="8" max="26" width="8.54296875" customWidth="1"/>
  </x:cols>
  <x:sheetData>
    <x:row r="1" ht="14.25" customHeight="1">
      <x:c r="A1" s="11" t="s">
        <x:v>909</x:v>
      </x:c>
    </x:row>
    <x:row r="2" ht="27.75" customHeight="1">
      <x:c r="A2" s="30" t="s">
        <x:v>910</x:v>
      </x:c>
      <x:c r="B2" s="31"/>
      <x:c r="C2" s="31"/>
      <x:c r="D2" s="31"/>
      <x:c r="E2" s="31"/>
      <x:c r="F2" s="31"/>
    </x:row>
    <x:row r="3" ht="14.25" customHeight="1"/>
    <x:row r="4" ht="14.25" customHeight="1">
      <x:c r="A4" s="13" t="s">
        <x:v>911</x:v>
      </x:c>
    </x:row>
    <x:row r="5" ht="14.25" customHeight="1">
      <x:c r="A5" s="14" t="s">
        <x:v>5</x:v>
      </x:c>
      <x:c r="B5" s="14" t="s">
        <x:v>902</x:v>
      </x:c>
      <x:c r="C5" s="14" t="s">
        <x:v>903</x:v>
      </x:c>
      <x:c r="D5" s="14" t="s">
        <x:v>904</x:v>
      </x:c>
      <x:c r="E5" s="14" t="s">
        <x:v>905</x:v>
      </x:c>
      <x:c r="F5" s="14" t="s">
        <x:v>906</x:v>
      </x:c>
    </x:row>
    <x:row r="6" ht="14.25" customHeight="1">
      <x:c r="A6" s="20" t="s">
        <x:v>14</x:v>
      </x:c>
      <x:c r="B6" s="16" t="n">
        <x:f>COUNTIFS('Data (parsed)'!$E$2:$E$235,$A6,'Data (parsed)'!$B$2:$B$235,B$5)</x:f>
        <x:v>48</x:v>
      </x:c>
      <x:c r="C6" s="16" t="n">
        <x:f>COUNTIFS('Data (parsed)'!$E$2:$E$235,$A6,'Data (parsed)'!$B$2:$B$235,C$5)</x:f>
        <x:v>24</x:v>
      </x:c>
      <x:c r="D6" s="16" t="n">
        <x:f>COUNTIFS('Data (parsed)'!$E$2:$E$235,$A6,'Data (parsed)'!$B$2:$B$235,D$5)</x:f>
        <x:v>31</x:v>
      </x:c>
      <x:c r="E6" s="16" t="n">
        <x:f>COUNTIFS('Data (parsed)'!$E$2:$E$235,$A6,'Data (parsed)'!$B$2:$B$235,E$5)</x:f>
        <x:v>9</x:v>
      </x:c>
      <x:c r="F6" s="18" t="n">
        <x:f t="shared" ref="F6:F10" si="0">SUM(B6:E6)</x:f>
        <x:v>112</x:v>
      </x:c>
    </x:row>
    <x:row r="7" ht="14.25" customHeight="1">
      <x:c r="A7" s="20" t="s">
        <x:v>95</x:v>
      </x:c>
      <x:c r="B7" s="16" t="n">
        <x:f>COUNTIFS('Data (parsed)'!$E$2:$E$235,$A7,'Data (parsed)'!$B$2:$B$235,B$5)</x:f>
        <x:v>7</x:v>
      </x:c>
      <x:c r="C7" s="16" t="n">
        <x:f>COUNTIFS('Data (parsed)'!$E$2:$E$235,$A7,'Data (parsed)'!$B$2:$B$235,C$5)</x:f>
        <x:v>0</x:v>
      </x:c>
      <x:c r="D7" s="16" t="n">
        <x:f>COUNTIFS('Data (parsed)'!$E$2:$E$235,$A7,'Data (parsed)'!$B$2:$B$235,D$5)</x:f>
        <x:v>0</x:v>
      </x:c>
      <x:c r="E7" s="16" t="n">
        <x:f>COUNTIFS('Data (parsed)'!$E$2:$E$235,$A7,'Data (parsed)'!$B$2:$B$235,E$5)</x:f>
        <x:v>28</x:v>
      </x:c>
      <x:c r="F7" s="18">
        <x:f t="shared" si="0"/>
        <x:v>35</x:v>
      </x:c>
    </x:row>
    <x:row r="8" ht="14.25" customHeight="1">
      <x:c r="A8" s="20" t="s">
        <x:v>84</x:v>
      </x:c>
      <x:c r="B8" s="16" t="n">
        <x:f>COUNTIFS('Data (parsed)'!$E$2:$E$235,$A8,'Data (parsed)'!$B$2:$B$235,B$5)</x:f>
        <x:v>20</x:v>
      </x:c>
      <x:c r="C8" s="16" t="n">
        <x:f>COUNTIFS('Data (parsed)'!$E$2:$E$235,$A8,'Data (parsed)'!$B$2:$B$235,C$5)</x:f>
        <x:v>0</x:v>
      </x:c>
      <x:c r="D8" s="16" t="n">
        <x:f>COUNTIFS('Data (parsed)'!$E$2:$E$235,$A8,'Data (parsed)'!$B$2:$B$235,D$5)</x:f>
        <x:v>2</x:v>
      </x:c>
      <x:c r="E8" s="16" t="n">
        <x:f>COUNTIFS('Data (parsed)'!$E$2:$E$235,$A8,'Data (parsed)'!$B$2:$B$235,E$5)</x:f>
        <x:v>8</x:v>
      </x:c>
      <x:c r="F8" s="18">
        <x:f t="shared" si="0"/>
        <x:v>30</x:v>
      </x:c>
    </x:row>
    <x:row r="9" ht="14.25" customHeight="1">
      <x:c r="A9" s="20" t="s">
        <x:v>89</x:v>
      </x:c>
      <x:c r="B9" s="16" t="n">
        <x:f>COUNTIFS('Data (parsed)'!$E$2:$E$235,$A9,'Data (parsed)'!$B$2:$B$235,B$5)</x:f>
        <x:v>8</x:v>
      </x:c>
      <x:c r="C9" s="16" t="n">
        <x:f>COUNTIFS('Data (parsed)'!$E$2:$E$235,$A9,'Data (parsed)'!$B$2:$B$235,C$5)</x:f>
        <x:v>3</x:v>
      </x:c>
      <x:c r="D9" s="16" t="n">
        <x:f>COUNTIFS('Data (parsed)'!$E$2:$E$235,$A9,'Data (parsed)'!$B$2:$B$235,D$5)</x:f>
        <x:v>1</x:v>
      </x:c>
      <x:c r="E9" s="16" t="n">
        <x:f>COUNTIFS('Data (parsed)'!$E$2:$E$235,$A9,'Data (parsed)'!$B$2:$B$235,E$5)</x:f>
        <x:v>1</x:v>
      </x:c>
      <x:c r="F9" s="18">
        <x:f t="shared" si="0"/>
        <x:v>13</x:v>
      </x:c>
    </x:row>
    <x:row r="10" ht="14.25" customHeight="1">
      <x:c r="A10" s="21" t="s">
        <x:v>912</x:v>
      </x:c>
      <x:c r="B10" s="18" t="n">
        <x:f>SUMIFS('Data (parsed)'!$I$2:$I$235,'Data (parsed)'!$J$2:$J$235,1,'Data (parsed)'!$B$2:$B$235,B$5)</x:f>
        <x:v>82</x:v>
      </x:c>
      <x:c r="C10" s="18" t="n">
        <x:f>SUMIFS('Data (parsed)'!$I$2:$I$235,'Data (parsed)'!$J$2:$J$235,1,'Data (parsed)'!$B$2:$B$235,C$5)</x:f>
        <x:v>26</x:v>
      </x:c>
      <x:c r="D10" s="18" t="n">
        <x:f>SUMIFS('Data (parsed)'!$I$2:$I$235,'Data (parsed)'!$J$2:$J$235,1,'Data (parsed)'!$B$2:$B$235,D$5)</x:f>
        <x:v>34</x:v>
      </x:c>
      <x:c r="E10" s="18" t="n">
        <x:f>SUMIFS('Data (parsed)'!$I$2:$I$235,'Data (parsed)'!$J$2:$J$235,1,'Data (parsed)'!$B$2:$B$235,E$5)</x:f>
        <x:v>45</x:v>
      </x:c>
      <x:c r="F10" s="18">
        <x:f t="shared" si="0"/>
        <x:v>187</x:v>
      </x:c>
    </x:row>
    <x:row r="11" ht="14.25" customHeight="1"/>
    <x:row r="12" ht="14.25" customHeight="1">
      <x:c r="A12" s="13" t="s">
        <x:v>913</x:v>
      </x:c>
    </x:row>
    <x:row r="13" ht="14.25" customHeight="1">
      <x:c r="A13" s="14" t="s">
        <x:v>5</x:v>
      </x:c>
      <x:c r="B13" s="14" t="s">
        <x:v>11</x:v>
      </x:c>
      <x:c r="C13" s="14" t="s">
        <x:v>92</x:v>
      </x:c>
      <x:c r="D13" s="14" t="s">
        <x:v>22</x:v>
      </x:c>
      <x:c r="E13" s="14" t="s">
        <x:v>37</x:v>
      </x:c>
      <x:c r="F13" s="14" t="s">
        <x:v>62</x:v>
      </x:c>
      <x:c r="G13" s="14" t="s">
        <x:v>906</x:v>
      </x:c>
    </x:row>
    <x:row r="14" ht="14.25" customHeight="1">
      <x:c r="A14" s="20" t="s">
        <x:v>14</x:v>
      </x:c>
      <x:c r="B14" s="16" t="n">
        <x:f>COUNTIFS('Data (parsed)'!$E$2:$E$235,$A14,'Data (parsed)'!$D$2:$D$235,B$13)</x:f>
        <x:v>8</x:v>
      </x:c>
      <x:c r="C14" s="16" t="n">
        <x:f>COUNTIFS('Data (parsed)'!$E$2:$E$235,$A14,'Data (parsed)'!$D$2:$D$235,C$13)</x:f>
        <x:v>16</x:v>
      </x:c>
      <x:c r="D14" s="16" t="n">
        <x:f>COUNTIFS('Data (parsed)'!$E$2:$E$235,$A14,'Data (parsed)'!$D$2:$D$235,D$13)</x:f>
        <x:v>14</x:v>
      </x:c>
      <x:c r="E14" s="16" t="n">
        <x:f>COUNTIFS('Data (parsed)'!$E$2:$E$235,$A14,'Data (parsed)'!$D$2:$D$235,E$13)</x:f>
        <x:v>42</x:v>
      </x:c>
      <x:c r="F14" s="16" t="n">
        <x:f>COUNTIFS('Data (parsed)'!$E$2:$E$235,$A14,'Data (parsed)'!$D$2:$D$235,F$13)</x:f>
        <x:v>32</x:v>
      </x:c>
      <x:c r="G14" s="18" t="n">
        <x:f t="shared" ref="G14:G17" si="1">SUM(B14:F14)</x:f>
        <x:v>112</x:v>
      </x:c>
    </x:row>
    <x:row r="15" ht="14.25" customHeight="1">
      <x:c r="A15" s="20" t="s">
        <x:v>95</x:v>
      </x:c>
      <x:c r="B15" s="16" t="n">
        <x:f>COUNTIFS('Data (parsed)'!$E$2:$E$235,$A15,'Data (parsed)'!$D$2:$D$235,B$13)</x:f>
        <x:v>0</x:v>
      </x:c>
      <x:c r="C15" s="16" t="n">
        <x:f>COUNTIFS('Data (parsed)'!$E$2:$E$235,$A15,'Data (parsed)'!$D$2:$D$235,C$13)</x:f>
        <x:v>3</x:v>
      </x:c>
      <x:c r="D15" s="16" t="n">
        <x:f>COUNTIFS('Data (parsed)'!$E$2:$E$235,$A15,'Data (parsed)'!$D$2:$D$235,D$13)</x:f>
        <x:v>1</x:v>
      </x:c>
      <x:c r="E15" s="16" t="n">
        <x:f>COUNTIFS('Data (parsed)'!$E$2:$E$235,$A15,'Data (parsed)'!$D$2:$D$235,E$13)</x:f>
        <x:v>17</x:v>
      </x:c>
      <x:c r="F15" s="16" t="n">
        <x:f>COUNTIFS('Data (parsed)'!$E$2:$E$235,$A15,'Data (parsed)'!$D$2:$D$235,F$13)</x:f>
        <x:v>14</x:v>
      </x:c>
      <x:c r="G15" s="18">
        <x:f t="shared" si="1"/>
        <x:v>35</x:v>
      </x:c>
    </x:row>
    <x:row r="16" ht="14.25" customHeight="1">
      <x:c r="A16" s="20" t="s">
        <x:v>84</x:v>
      </x:c>
      <x:c r="B16" s="16" t="n">
        <x:f>COUNTIFS('Data (parsed)'!$E$2:$E$235,$A16,'Data (parsed)'!$D$2:$D$235,B$13)</x:f>
        <x:v>0</x:v>
      </x:c>
      <x:c r="C16" s="16" t="n">
        <x:f>COUNTIFS('Data (parsed)'!$E$2:$E$235,$A16,'Data (parsed)'!$D$2:$D$235,C$13)</x:f>
        <x:v>2</x:v>
      </x:c>
      <x:c r="D16" s="16" t="n">
        <x:f>COUNTIFS('Data (parsed)'!$E$2:$E$235,$A16,'Data (parsed)'!$D$2:$D$235,D$13)</x:f>
        <x:v>3</x:v>
      </x:c>
      <x:c r="E16" s="16" t="n">
        <x:f>COUNTIFS('Data (parsed)'!$E$2:$E$235,$A16,'Data (parsed)'!$D$2:$D$235,E$13)</x:f>
        <x:v>14</x:v>
      </x:c>
      <x:c r="F16" s="16" t="n">
        <x:f>COUNTIFS('Data (parsed)'!$E$2:$E$235,$A16,'Data (parsed)'!$D$2:$D$235,F$13)</x:f>
        <x:v>11</x:v>
      </x:c>
      <x:c r="G16" s="18">
        <x:f t="shared" si="1"/>
        <x:v>30</x:v>
      </x:c>
    </x:row>
    <x:row r="17" ht="14.25" customHeight="1">
      <x:c r="A17" s="20" t="s">
        <x:v>89</x:v>
      </x:c>
      <x:c r="B17" s="16" t="n">
        <x:f>COUNTIFS('Data (parsed)'!$E$2:$E$235,$A17,'Data (parsed)'!$D$2:$D$235,B$13)</x:f>
        <x:v>0</x:v>
      </x:c>
      <x:c r="C17" s="16" t="n">
        <x:f>COUNTIFS('Data (parsed)'!$E$2:$E$235,$A17,'Data (parsed)'!$D$2:$D$235,C$13)</x:f>
        <x:v>4</x:v>
      </x:c>
      <x:c r="D17" s="16" t="n">
        <x:f>COUNTIFS('Data (parsed)'!$E$2:$E$235,$A17,'Data (parsed)'!$D$2:$D$235,D$13)</x:f>
        <x:v>3</x:v>
      </x:c>
      <x:c r="E17" s="16" t="n">
        <x:f>COUNTIFS('Data (parsed)'!$E$2:$E$235,$A17,'Data (parsed)'!$D$2:$D$235,E$13)</x:f>
        <x:v>1</x:v>
      </x:c>
      <x:c r="F17" s="16" t="n">
        <x:f>COUNTIFS('Data (parsed)'!$E$2:$E$235,$A17,'Data (parsed)'!$D$2:$D$235,F$13)</x:f>
        <x:v>5</x:v>
      </x:c>
      <x:c r="G17" s="18">
        <x:f t="shared" si="1"/>
        <x:v>13</x:v>
      </x:c>
    </x:row>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A2:F2"/>
  </x:mergeCells>
  <x:pageMargins left="0.7" right="0.7" top="0.75" bottom="0.75" header="0.3" footer="0.3"/>
</x:worksheet>
</file>

<file path=xl/worksheets/sheet4.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914</x:v>
      </x:c>
      <x:c r="B1" s="10"/>
      <x:c r="C1" s="10"/>
      <x:c r="D1" s="10"/>
      <x:c r="E1" s="10"/>
      <x:c r="F1" s="10"/>
      <x:c r="G1" s="10"/>
      <x:c r="H1" s="10"/>
    </x:row>
    <x:row r="2" ht="14.25" customHeight="1">
      <x:c r="A2" s="10"/>
      <x:c r="B2" s="10"/>
      <x:c r="C2" s="10"/>
      <x:c r="D2" s="10"/>
      <x:c r="E2" s="10"/>
      <x:c r="F2" s="10"/>
      <x:c r="G2" s="10"/>
      <x:c r="H2" s="10"/>
    </x:row>
    <x:row r="3" ht="15" customHeight="1">
      <x:c r="A3" s="13" t="s">
        <x:v>915</x:v>
      </x:c>
      <x:c r="B3" s="10"/>
      <x:c r="C3" s="10"/>
      <x:c r="D3" s="10"/>
      <x:c r="E3" s="10"/>
      <x:c r="F3" s="10"/>
      <x:c r="G3" s="10"/>
      <x:c r="H3" s="10"/>
    </x:row>
    <x:row r="4" ht="15" customHeight="1">
      <x:c r="A4" s="14" t="s">
        <x:v>916</x:v>
      </x:c>
      <x:c r="B4" s="14" t="s">
        <x:v>11</x:v>
      </x:c>
      <x:c r="C4" s="14" t="s">
        <x:v>92</x:v>
      </x:c>
      <x:c r="D4" s="14" t="s">
        <x:v>22</x:v>
      </x:c>
      <x:c r="E4" s="14" t="s">
        <x:v>37</x:v>
      </x:c>
      <x:c r="F4" s="14" t="s">
        <x:v>62</x:v>
      </x:c>
      <x:c r="G4" s="14" t="s">
        <x:v>906</x:v>
      </x:c>
      <x:c r="H4" s="10"/>
    </x:row>
    <x:row r="5" ht="15" customHeight="1">
      <x:c r="A5" s="22" t="s">
        <x:v>917</x:v>
      </x:c>
      <x:c r="B5" s="16" t="n">
        <x:f>SUMIFS('Data (parsed)'!$I$2:$I$235,'Data (parsed)'!$B$2:$B$235,"Shame",'Data (parsed)'!$C$2:$C$235,$A5,'Data (parsed)'!$D$2:$D$235,B$4)</x:f>
        <x:v>2</x:v>
      </x:c>
      <x:c r="C5" s="16" t="n">
        <x:f>SUMIFS('Data (parsed)'!$I$2:$I$235,'Data (parsed)'!$B$2:$B$235,"Shame",'Data (parsed)'!$C$2:$C$235,$A5,'Data (parsed)'!$D$2:$D$235,C$4)</x:f>
        <x:v>1</x:v>
      </x:c>
      <x:c r="D5" s="16" t="n">
        <x:f>SUMIFS('Data (parsed)'!$I$2:$I$235,'Data (parsed)'!$B$2:$B$235,"Shame",'Data (parsed)'!$C$2:$C$235,$A5,'Data (parsed)'!$D$2:$D$235,D$4)</x:f>
        <x:v>6</x:v>
      </x:c>
      <x:c r="E5" s="16" t="n">
        <x:f>SUMIFS('Data (parsed)'!$I$2:$I$235,'Data (parsed)'!$B$2:$B$235,"Shame",'Data (parsed)'!$C$2:$C$235,$A5,'Data (parsed)'!$D$2:$D$235,E$4)</x:f>
        <x:v>9</x:v>
      </x:c>
      <x:c r="F5" s="16" t="n">
        <x:f>SUMIFS('Data (parsed)'!$I$2:$I$235,'Data (parsed)'!$B$2:$B$235,"Shame",'Data (parsed)'!$C$2:$C$235,$A5,'Data (parsed)'!$D$2:$D$235,F$4)</x:f>
        <x:v>7</x:v>
      </x:c>
      <x:c r="G5" s="18" t="n">
        <x:f t="shared" ref="G5:G15" si="0">SUM(B5:F5)</x:f>
        <x:v>25</x:v>
      </x:c>
      <x:c r="H5" s="10"/>
    </x:row>
    <x:row r="6" ht="15" customHeight="1">
      <x:c r="A6" s="22" t="s">
        <x:v>918</x:v>
      </x:c>
      <x:c r="B6" s="16" t="n">
        <x:f>SUMIFS('Data (parsed)'!$I$2:$I$235,'Data (parsed)'!$B$2:$B$235,"Shame",'Data (parsed)'!$C$2:$C$235,$A6,'Data (parsed)'!$D$2:$D$235,B$4)</x:f>
        <x:v>2</x:v>
      </x:c>
      <x:c r="C6" s="16" t="n">
        <x:f>SUMIFS('Data (parsed)'!$I$2:$I$235,'Data (parsed)'!$B$2:$B$235,"Shame",'Data (parsed)'!$C$2:$C$235,$A6,'Data (parsed)'!$D$2:$D$235,C$4)</x:f>
        <x:v>4</x:v>
      </x:c>
      <x:c r="D6" s="16" t="n">
        <x:f>SUMIFS('Data (parsed)'!$I$2:$I$235,'Data (parsed)'!$B$2:$B$235,"Shame",'Data (parsed)'!$C$2:$C$235,$A6,'Data (parsed)'!$D$2:$D$235,D$4)</x:f>
        <x:v>1</x:v>
      </x:c>
      <x:c r="E6" s="16" t="n">
        <x:f>SUMIFS('Data (parsed)'!$I$2:$I$235,'Data (parsed)'!$B$2:$B$235,"Shame",'Data (parsed)'!$C$2:$C$235,$A6,'Data (parsed)'!$D$2:$D$235,E$4)</x:f>
        <x:v>6</x:v>
      </x:c>
      <x:c r="F6" s="16" t="n">
        <x:f>SUMIFS('Data (parsed)'!$I$2:$I$235,'Data (parsed)'!$B$2:$B$235,"Shame",'Data (parsed)'!$C$2:$C$235,$A6,'Data (parsed)'!$D$2:$D$235,F$4)</x:f>
        <x:v>6</x:v>
      </x:c>
      <x:c r="G6" s="18">
        <x:f t="shared" si="0"/>
        <x:v>19</x:v>
      </x:c>
      <x:c r="H6" s="10"/>
    </x:row>
    <x:row r="7" ht="15" customHeight="1">
      <x:c r="A7" s="22" t="s">
        <x:v>919</x:v>
      </x:c>
      <x:c r="B7" s="16" t="n">
        <x:f>SUMIFS('Data (parsed)'!$I$2:$I$235,'Data (parsed)'!$B$2:$B$235,"Shame",'Data (parsed)'!$C$2:$C$235,$A7,'Data (parsed)'!$D$2:$D$235,B$4)</x:f>
        <x:v>0</x:v>
      </x:c>
      <x:c r="C7" s="16" t="n">
        <x:f>SUMIFS('Data (parsed)'!$I$2:$I$235,'Data (parsed)'!$B$2:$B$235,"Shame",'Data (parsed)'!$C$2:$C$235,$A7,'Data (parsed)'!$D$2:$D$235,C$4)</x:f>
        <x:v>3</x:v>
      </x:c>
      <x:c r="D7" s="16" t="n">
        <x:f>SUMIFS('Data (parsed)'!$I$2:$I$235,'Data (parsed)'!$B$2:$B$235,"Shame",'Data (parsed)'!$C$2:$C$235,$A7,'Data (parsed)'!$D$2:$D$235,D$4)</x:f>
        <x:v>3</x:v>
      </x:c>
      <x:c r="E7" s="16" t="n">
        <x:f>SUMIFS('Data (parsed)'!$I$2:$I$235,'Data (parsed)'!$B$2:$B$235,"Shame",'Data (parsed)'!$C$2:$C$235,$A7,'Data (parsed)'!$D$2:$D$235,E$4)</x:f>
        <x:v>6</x:v>
      </x:c>
      <x:c r="F7" s="16" t="n">
        <x:f>SUMIFS('Data (parsed)'!$I$2:$I$235,'Data (parsed)'!$B$2:$B$235,"Shame",'Data (parsed)'!$C$2:$C$235,$A7,'Data (parsed)'!$D$2:$D$235,F$4)</x:f>
        <x:v>5</x:v>
      </x:c>
      <x:c r="G7" s="18">
        <x:f t="shared" si="0"/>
        <x:v>17</x:v>
      </x:c>
      <x:c r="H7" s="10"/>
    </x:row>
    <x:row r="8" ht="15" customHeight="1">
      <x:c r="A8" s="22" t="s">
        <x:v>920</x:v>
      </x:c>
      <x:c r="B8" s="16" t="n">
        <x:f>SUMIFS('Data (parsed)'!$I$2:$I$235,'Data (parsed)'!$B$2:$B$235,"Shame",'Data (parsed)'!$C$2:$C$235,$A8,'Data (parsed)'!$D$2:$D$235,B$4)</x:f>
        <x:v>0</x:v>
      </x:c>
      <x:c r="C8" s="16" t="n">
        <x:f>SUMIFS('Data (parsed)'!$I$2:$I$235,'Data (parsed)'!$B$2:$B$235,"Shame",'Data (parsed)'!$C$2:$C$235,$A8,'Data (parsed)'!$D$2:$D$235,C$4)</x:f>
        <x:v>4</x:v>
      </x:c>
      <x:c r="D8" s="16" t="n">
        <x:f>SUMIFS('Data (parsed)'!$I$2:$I$235,'Data (parsed)'!$B$2:$B$235,"Shame",'Data (parsed)'!$C$2:$C$235,$A8,'Data (parsed)'!$D$2:$D$235,D$4)</x:f>
        <x:v>1</x:v>
      </x:c>
      <x:c r="E8" s="16" t="n">
        <x:f>SUMIFS('Data (parsed)'!$I$2:$I$235,'Data (parsed)'!$B$2:$B$235,"Shame",'Data (parsed)'!$C$2:$C$235,$A8,'Data (parsed)'!$D$2:$D$235,E$4)</x:f>
        <x:v>2</x:v>
      </x:c>
      <x:c r="F8" s="16" t="n">
        <x:f>SUMIFS('Data (parsed)'!$I$2:$I$235,'Data (parsed)'!$B$2:$B$235,"Shame",'Data (parsed)'!$C$2:$C$235,$A8,'Data (parsed)'!$D$2:$D$235,F$4)</x:f>
        <x:v>5</x:v>
      </x:c>
      <x:c r="G8" s="18">
        <x:f t="shared" si="0"/>
        <x:v>12</x:v>
      </x:c>
      <x:c r="H8" s="10"/>
    </x:row>
    <x:row r="9" ht="15" customHeight="1">
      <x:c r="A9" s="22" t="s">
        <x:v>921</x:v>
      </x:c>
      <x:c r="B9" s="16" t="n">
        <x:f>SUMIFS('Data (parsed)'!$I$2:$I$235,'Data (parsed)'!$B$2:$B$235,"Shame",'Data (parsed)'!$C$2:$C$235,$A9,'Data (parsed)'!$D$2:$D$235,B$4)</x:f>
        <x:v>0</x:v>
      </x:c>
      <x:c r="C9" s="16" t="n">
        <x:f>SUMIFS('Data (parsed)'!$I$2:$I$235,'Data (parsed)'!$B$2:$B$235,"Shame",'Data (parsed)'!$C$2:$C$235,$A9,'Data (parsed)'!$D$2:$D$235,C$4)</x:f>
        <x:v>0</x:v>
      </x:c>
      <x:c r="D9" s="16" t="n">
        <x:f>SUMIFS('Data (parsed)'!$I$2:$I$235,'Data (parsed)'!$B$2:$B$235,"Shame",'Data (parsed)'!$C$2:$C$235,$A9,'Data (parsed)'!$D$2:$D$235,D$4)</x:f>
        <x:v>1</x:v>
      </x:c>
      <x:c r="E9" s="16" t="n">
        <x:f>SUMIFS('Data (parsed)'!$I$2:$I$235,'Data (parsed)'!$B$2:$B$235,"Shame",'Data (parsed)'!$C$2:$C$235,$A9,'Data (parsed)'!$D$2:$D$235,E$4)</x:f>
        <x:v>3</x:v>
      </x:c>
      <x:c r="F9" s="16" t="n">
        <x:f>SUMIFS('Data (parsed)'!$I$2:$I$235,'Data (parsed)'!$B$2:$B$235,"Shame",'Data (parsed)'!$C$2:$C$235,$A9,'Data (parsed)'!$D$2:$D$235,F$4)</x:f>
        <x:v>5</x:v>
      </x:c>
      <x:c r="G9" s="18">
        <x:f t="shared" si="0"/>
        <x:v>9</x:v>
      </x:c>
      <x:c r="H9" s="10"/>
    </x:row>
    <x:row r="10" ht="15" customHeight="1">
      <x:c r="A10" s="22" t="s">
        <x:v>922</x:v>
      </x:c>
      <x:c r="B10" s="16" t="n">
        <x:f>SUMIFS('Data (parsed)'!$I$2:$I$235,'Data (parsed)'!$B$2:$B$235,"Shame",'Data (parsed)'!$C$2:$C$235,$A10,'Data (parsed)'!$D$2:$D$235,B$4)</x:f>
        <x:v>0</x:v>
      </x:c>
      <x:c r="C10" s="16" t="n">
        <x:f>SUMIFS('Data (parsed)'!$I$2:$I$235,'Data (parsed)'!$B$2:$B$235,"Shame",'Data (parsed)'!$C$2:$C$235,$A10,'Data (parsed)'!$D$2:$D$235,C$4)</x:f>
        <x:v>0</x:v>
      </x:c>
      <x:c r="D10" s="16" t="n">
        <x:f>SUMIFS('Data (parsed)'!$I$2:$I$235,'Data (parsed)'!$B$2:$B$235,"Shame",'Data (parsed)'!$C$2:$C$235,$A10,'Data (parsed)'!$D$2:$D$235,D$4)</x:f>
        <x:v>3</x:v>
      </x:c>
      <x:c r="E10" s="16" t="n">
        <x:f>SUMIFS('Data (parsed)'!$I$2:$I$235,'Data (parsed)'!$B$2:$B$235,"Shame",'Data (parsed)'!$C$2:$C$235,$A10,'Data (parsed)'!$D$2:$D$235,E$4)</x:f>
        <x:v>3</x:v>
      </x:c>
      <x:c r="F10" s="16" t="n">
        <x:f>SUMIFS('Data (parsed)'!$I$2:$I$235,'Data (parsed)'!$B$2:$B$235,"Shame",'Data (parsed)'!$C$2:$C$235,$A10,'Data (parsed)'!$D$2:$D$235,F$4)</x:f>
        <x:v>1</x:v>
      </x:c>
      <x:c r="G10" s="18">
        <x:f t="shared" si="0"/>
        <x:v>7</x:v>
      </x:c>
      <x:c r="H10" s="10"/>
    </x:row>
    <x:row r="11" ht="26.25" customHeight="1">
      <x:c r="A11" s="22" t="s">
        <x:v>923</x:v>
      </x:c>
      <x:c r="B11" s="16" t="n">
        <x:f>SUMIFS('Data (parsed)'!$I$2:$I$235,'Data (parsed)'!$B$2:$B$235,"Shame",'Data (parsed)'!$C$2:$C$235,$A11,'Data (parsed)'!$D$2:$D$235,B$4)</x:f>
        <x:v>0</x:v>
      </x:c>
      <x:c r="C11" s="16" t="n">
        <x:f>SUMIFS('Data (parsed)'!$I$2:$I$235,'Data (parsed)'!$B$2:$B$235,"Shame",'Data (parsed)'!$C$2:$C$235,$A11,'Data (parsed)'!$D$2:$D$235,C$4)</x:f>
        <x:v>1</x:v>
      </x:c>
      <x:c r="D11" s="16" t="n">
        <x:f>SUMIFS('Data (parsed)'!$I$2:$I$235,'Data (parsed)'!$B$2:$B$235,"Shame",'Data (parsed)'!$C$2:$C$235,$A11,'Data (parsed)'!$D$2:$D$235,D$4)</x:f>
        <x:v>1</x:v>
      </x:c>
      <x:c r="E11" s="16" t="n">
        <x:f>SUMIFS('Data (parsed)'!$I$2:$I$235,'Data (parsed)'!$B$2:$B$235,"Shame",'Data (parsed)'!$C$2:$C$235,$A11,'Data (parsed)'!$D$2:$D$235,E$4)</x:f>
        <x:v>2</x:v>
      </x:c>
      <x:c r="F11" s="16" t="n">
        <x:f>SUMIFS('Data (parsed)'!$I$2:$I$235,'Data (parsed)'!$B$2:$B$235,"Shame",'Data (parsed)'!$C$2:$C$235,$A11,'Data (parsed)'!$D$2:$D$235,F$4)</x:f>
        <x:v>0</x:v>
      </x:c>
      <x:c r="G11" s="18">
        <x:f t="shared" si="0"/>
        <x:v>4</x:v>
      </x:c>
      <x:c r="H11" s="10"/>
    </x:row>
    <x:row r="12" ht="15" customHeight="1">
      <x:c r="A12" s="22" t="s">
        <x:v>924</x:v>
      </x:c>
      <x:c r="B12" s="16" t="n">
        <x:f>SUMIFS('Data (parsed)'!$I$2:$I$235,'Data (parsed)'!$B$2:$B$235,"Shame",'Data (parsed)'!$C$2:$C$235,$A12,'Data (parsed)'!$D$2:$D$235,B$4)</x:f>
        <x:v>0</x:v>
      </x:c>
      <x:c r="C12" s="16" t="n">
        <x:f>SUMIFS('Data (parsed)'!$I$2:$I$235,'Data (parsed)'!$B$2:$B$235,"Shame",'Data (parsed)'!$C$2:$C$235,$A12,'Data (parsed)'!$D$2:$D$235,C$4)</x:f>
        <x:v>0</x:v>
      </x:c>
      <x:c r="D12" s="16" t="n">
        <x:f>SUMIFS('Data (parsed)'!$I$2:$I$235,'Data (parsed)'!$B$2:$B$235,"Shame",'Data (parsed)'!$C$2:$C$235,$A12,'Data (parsed)'!$D$2:$D$235,D$4)</x:f>
        <x:v>1</x:v>
      </x:c>
      <x:c r="E12" s="16" t="n">
        <x:f>SUMIFS('Data (parsed)'!$I$2:$I$235,'Data (parsed)'!$B$2:$B$235,"Shame",'Data (parsed)'!$C$2:$C$235,$A12,'Data (parsed)'!$D$2:$D$235,E$4)</x:f>
        <x:v>3</x:v>
      </x:c>
      <x:c r="F12" s="16" t="n">
        <x:f>SUMIFS('Data (parsed)'!$I$2:$I$235,'Data (parsed)'!$B$2:$B$235,"Shame",'Data (parsed)'!$C$2:$C$235,$A12,'Data (parsed)'!$D$2:$D$235,F$4)</x:f>
        <x:v>0</x:v>
      </x:c>
      <x:c r="G12" s="18">
        <x:f t="shared" si="0"/>
        <x:v>4</x:v>
      </x:c>
      <x:c r="H12" s="10"/>
    </x:row>
    <x:row r="13" ht="15" customHeight="1">
      <x:c r="A13" s="22" t="s">
        <x:v>925</x:v>
      </x:c>
      <x:c r="B13" s="16" t="n">
        <x:f>SUMIFS('Data (parsed)'!$I$2:$I$235,'Data (parsed)'!$B$2:$B$235,"Shame",'Data (parsed)'!$C$2:$C$235,$A13,'Data (parsed)'!$D$2:$D$235,B$4)</x:f>
        <x:v>0</x:v>
      </x:c>
      <x:c r="C13" s="16" t="n">
        <x:f>SUMIFS('Data (parsed)'!$I$2:$I$235,'Data (parsed)'!$B$2:$B$235,"Shame",'Data (parsed)'!$C$2:$C$235,$A13,'Data (parsed)'!$D$2:$D$235,C$4)</x:f>
        <x:v>1</x:v>
      </x:c>
      <x:c r="D13" s="16" t="n">
        <x:f>SUMIFS('Data (parsed)'!$I$2:$I$235,'Data (parsed)'!$B$2:$B$235,"Shame",'Data (parsed)'!$C$2:$C$235,$A13,'Data (parsed)'!$D$2:$D$235,D$4)</x:f>
        <x:v>0</x:v>
      </x:c>
      <x:c r="E13" s="16" t="n">
        <x:f>SUMIFS('Data (parsed)'!$I$2:$I$235,'Data (parsed)'!$B$2:$B$235,"Shame",'Data (parsed)'!$C$2:$C$235,$A13,'Data (parsed)'!$D$2:$D$235,E$4)</x:f>
        <x:v>1</x:v>
      </x:c>
      <x:c r="F13" s="16" t="n">
        <x:f>SUMIFS('Data (parsed)'!$I$2:$I$235,'Data (parsed)'!$B$2:$B$235,"Shame",'Data (parsed)'!$C$2:$C$235,$A13,'Data (parsed)'!$D$2:$D$235,F$4)</x:f>
        <x:v>1</x:v>
      </x:c>
      <x:c r="G13" s="18">
        <x:f t="shared" si="0"/>
        <x:v>3</x:v>
      </x:c>
      <x:c r="H13" s="10"/>
    </x:row>
    <x:row r="14" ht="26.25" customHeight="1">
      <x:c r="A14" s="22" t="s">
        <x:v>926</x:v>
      </x:c>
      <x:c r="B14" s="16" t="n">
        <x:f>SUMIFS('Data (parsed)'!$I$2:$I$235,'Data (parsed)'!$B$2:$B$235,"Shame",'Data (parsed)'!$C$2:$C$235,$A14,'Data (parsed)'!$D$2:$D$235,B$4)</x:f>
        <x:v>2</x:v>
      </x:c>
      <x:c r="C14" s="16" t="n">
        <x:f>SUMIFS('Data (parsed)'!$I$2:$I$235,'Data (parsed)'!$B$2:$B$235,"Shame",'Data (parsed)'!$C$2:$C$235,$A14,'Data (parsed)'!$D$2:$D$235,C$4)</x:f>
        <x:v>0</x:v>
      </x:c>
      <x:c r="D14" s="16" t="n">
        <x:f>SUMIFS('Data (parsed)'!$I$2:$I$235,'Data (parsed)'!$B$2:$B$235,"Shame",'Data (parsed)'!$C$2:$C$235,$A14,'Data (parsed)'!$D$2:$D$235,D$4)</x:f>
        <x:v>0</x:v>
      </x:c>
      <x:c r="E14" s="16" t="n">
        <x:f>SUMIFS('Data (parsed)'!$I$2:$I$235,'Data (parsed)'!$B$2:$B$235,"Shame",'Data (parsed)'!$C$2:$C$235,$A14,'Data (parsed)'!$D$2:$D$235,E$4)</x:f>
        <x:v>0</x:v>
      </x:c>
      <x:c r="F14" s="16" t="n">
        <x:f>SUMIFS('Data (parsed)'!$I$2:$I$235,'Data (parsed)'!$B$2:$B$235,"Shame",'Data (parsed)'!$C$2:$C$235,$A14,'Data (parsed)'!$D$2:$D$235,F$4)</x:f>
        <x:v>0</x:v>
      </x:c>
      <x:c r="G14" s="18">
        <x:f t="shared" si="0"/>
        <x:v>2</x:v>
      </x:c>
      <x:c r="H14" s="10"/>
    </x:row>
    <x:row r="15" ht="15" customHeight="1">
      <x:c r="A15" s="22" t="s">
        <x:v>927</x:v>
      </x:c>
      <x:c r="B15" s="16" t="n">
        <x:f>SUMIFS('Data (parsed)'!$I$2:$I$235,'Data (parsed)'!$B$2:$B$235,"Shame",'Data (parsed)'!$C$2:$C$235,$A15,'Data (parsed)'!$D$2:$D$235,B$4)</x:f>
        <x:v>0</x:v>
      </x:c>
      <x:c r="C15" s="16" t="n">
        <x:f>SUMIFS('Data (parsed)'!$I$2:$I$235,'Data (parsed)'!$B$2:$B$235,"Shame",'Data (parsed)'!$C$2:$C$235,$A15,'Data (parsed)'!$D$2:$D$235,C$4)</x:f>
        <x:v>0</x:v>
      </x:c>
      <x:c r="D15" s="16" t="n">
        <x:f>SUMIFS('Data (parsed)'!$I$2:$I$235,'Data (parsed)'!$B$2:$B$235,"Shame",'Data (parsed)'!$C$2:$C$235,$A15,'Data (parsed)'!$D$2:$D$235,D$4)</x:f>
        <x:v>0</x:v>
      </x:c>
      <x:c r="E15" s="16" t="n">
        <x:f>SUMIFS('Data (parsed)'!$I$2:$I$235,'Data (parsed)'!$B$2:$B$235,"Shame",'Data (parsed)'!$C$2:$C$235,$A15,'Data (parsed)'!$D$2:$D$235,E$4)</x:f>
        <x:v>2</x:v>
      </x:c>
      <x:c r="F15" s="16" t="n">
        <x:f>SUMIFS('Data (parsed)'!$I$2:$I$235,'Data (parsed)'!$B$2:$B$235,"Shame",'Data (parsed)'!$C$2:$C$235,$A15,'Data (parsed)'!$D$2:$D$235,F$4)</x:f>
        <x:v>0</x:v>
      </x:c>
      <x:c r="G15" s="18">
        <x:f t="shared" si="0"/>
        <x:v>2</x:v>
      </x:c>
      <x:c r="H15" s="10"/>
    </x:row>
    <x:row r="16" ht="15" customHeight="1">
      <x:c r="A16" s="17" t="s">
        <x:v>906</x:v>
      </x:c>
      <x:c r="B16" s="18" t="n">
        <x:f t="shared" ref="B16:G16" si="1">SUM(B5:B15)</x:f>
        <x:v>6</x:v>
      </x:c>
      <x:c r="C16" s="18">
        <x:f t="shared" si="1"/>
        <x:v>14</x:v>
      </x:c>
      <x:c r="D16" s="18">
        <x:f t="shared" si="1"/>
        <x:v>17</x:v>
      </x:c>
      <x:c r="E16" s="18">
        <x:f t="shared" si="1"/>
        <x:v>37</x:v>
      </x:c>
      <x:c r="F16" s="18">
        <x:f t="shared" si="1"/>
        <x:v>30</x:v>
      </x:c>
      <x:c r="G16" s="18">
        <x:f t="shared" si="1"/>
        <x:v>104</x:v>
      </x:c>
      <x:c r="H16" s="10"/>
    </x:row>
    <x:row r="17" ht="14.25" customHeight="1">
      <x:c r="A17" s="10"/>
      <x:c r="B17" s="10"/>
      <x:c r="C17" s="10"/>
      <x:c r="D17" s="10"/>
      <x:c r="E17" s="10"/>
      <x:c r="F17" s="10"/>
      <x:c r="G17" s="10"/>
      <x:c r="H17" s="10"/>
    </x:row>
    <x:row r="18" ht="15" customHeight="1">
      <x:c r="A18" s="13" t="s">
        <x:v>928</x:v>
      </x:c>
      <x:c r="B18" s="10"/>
      <x:c r="C18" s="10"/>
      <x:c r="D18" s="10"/>
      <x:c r="E18" s="10"/>
      <x:c r="F18" s="10"/>
      <x:c r="G18" s="10"/>
      <x:c r="H18" s="10"/>
    </x:row>
    <x:row r="19" ht="15" customHeight="1">
      <x:c r="A19" s="14" t="s">
        <x:v>916</x:v>
      </x:c>
      <x:c r="B19" s="14" t="s">
        <x:v>14</x:v>
      </x:c>
      <x:c r="C19" s="14" t="s">
        <x:v>95</x:v>
      </x:c>
      <x:c r="D19" s="14" t="s">
        <x:v>84</x:v>
      </x:c>
      <x:c r="E19" s="14" t="s">
        <x:v>89</x:v>
      </x:c>
      <x:c r="F19" s="14" t="s">
        <x:v>929</x:v>
      </x:c>
      <x:c r="G19" s="14" t="s">
        <x:v>901</x:v>
      </x:c>
      <x:c r="H19" s="10"/>
    </x:row>
    <x:row r="20" ht="15" customHeight="1">
      <x:c r="A20" s="22" t="s">
        <x:v>917</x:v>
      </x:c>
      <x:c r="B20" s="16" t="n">
        <x:f>COUNTIFS('Data (parsed)'!$E$2:$E$235,B$19,'Data (parsed)'!$B$2:$B$235,"Shame",'Data (parsed)'!$C$2:$C$235,$A20)</x:f>
        <x:v>18</x:v>
      </x:c>
      <x:c r="C20" s="16" t="n">
        <x:f>COUNTIFS('Data (parsed)'!$E$2:$E$235,C$19,'Data (parsed)'!$B$2:$B$235,"Shame",'Data (parsed)'!$C$2:$C$235,$A20)</x:f>
        <x:v>4</x:v>
      </x:c>
      <x:c r="D20" s="16" t="n">
        <x:f>COUNTIFS('Data (parsed)'!$E$2:$E$235,D$19,'Data (parsed)'!$B$2:$B$235,"Shame",'Data (parsed)'!$C$2:$C$235,$A20)</x:f>
        <x:v>1</x:v>
      </x:c>
      <x:c r="E20" s="16" t="n">
        <x:f>COUNTIFS('Data (parsed)'!$E$2:$E$235,E$19,'Data (parsed)'!$B$2:$B$235,"Shame",'Data (parsed)'!$C$2:$C$235,$A20)</x:f>
        <x:v>1</x:v>
      </x:c>
      <x:c r="F20" s="16" t="n">
        <x:f>SUMIFS('Data (parsed)'!$I$2:$I$235,'Data (parsed)'!$B$2:$B$235,"Shame",'Data (parsed)'!$C$2:$C$235,$A20,'Data (parsed)'!$J$2:$J$235,0)</x:f>
        <x:v>2</x:v>
      </x:c>
      <x:c r="G20" s="18" t="n">
        <x:f>SUMIFS('Data (parsed)'!$I$2:$I$235,'Data (parsed)'!$B$2:$B$235,"Shame",'Data (parsed)'!$C$2:$C$235,$A20)</x:f>
        <x:v>25</x:v>
      </x:c>
      <x:c r="H20" s="10"/>
    </x:row>
    <x:row r="21" ht="15" customHeight="1">
      <x:c r="A21" s="22" t="s">
        <x:v>918</x:v>
      </x:c>
      <x:c r="B21" s="16" t="n">
        <x:f>COUNTIFS('Data (parsed)'!$E$2:$E$235,B$19,'Data (parsed)'!$B$2:$B$235,"Shame",'Data (parsed)'!$C$2:$C$235,$A21)</x:f>
        <x:v>9</x:v>
      </x:c>
      <x:c r="C21" s="16" t="n">
        <x:f>COUNTIFS('Data (parsed)'!$E$2:$E$235,C$19,'Data (parsed)'!$B$2:$B$235,"Shame",'Data (parsed)'!$C$2:$C$235,$A21)</x:f>
        <x:v>2</x:v>
      </x:c>
      <x:c r="D21" s="16" t="n">
        <x:f>COUNTIFS('Data (parsed)'!$E$2:$E$235,D$19,'Data (parsed)'!$B$2:$B$235,"Shame",'Data (parsed)'!$C$2:$C$235,$A21)</x:f>
        <x:v>0</x:v>
      </x:c>
      <x:c r="E21" s="16" t="n">
        <x:f>COUNTIFS('Data (parsed)'!$E$2:$E$235,E$19,'Data (parsed)'!$B$2:$B$235,"Shame",'Data (parsed)'!$C$2:$C$235,$A21)</x:f>
        <x:v>0</x:v>
      </x:c>
      <x:c r="F21" s="16" t="n">
        <x:f>SUMIFS('Data (parsed)'!$I$2:$I$235,'Data (parsed)'!$B$2:$B$235,"Shame",'Data (parsed)'!$C$2:$C$235,$A21,'Data (parsed)'!$J$2:$J$235,0)</x:f>
        <x:v>8</x:v>
      </x:c>
      <x:c r="G21" s="18" t="n">
        <x:f>SUMIFS('Data (parsed)'!$I$2:$I$235,'Data (parsed)'!$B$2:$B$235,"Shame",'Data (parsed)'!$C$2:$C$235,$A21)</x:f>
        <x:v>19</x:v>
      </x:c>
      <x:c r="H21" s="10"/>
    </x:row>
    <x:row r="22" ht="15" customHeight="1">
      <x:c r="A22" s="22" t="s">
        <x:v>919</x:v>
      </x:c>
      <x:c r="B22" s="16" t="n">
        <x:f>COUNTIFS('Data (parsed)'!$E$2:$E$235,B$19,'Data (parsed)'!$B$2:$B$235,"Shame",'Data (parsed)'!$C$2:$C$235,$A22)</x:f>
        <x:v>6</x:v>
      </x:c>
      <x:c r="C22" s="16" t="n">
        <x:f>COUNTIFS('Data (parsed)'!$E$2:$E$235,C$19,'Data (parsed)'!$B$2:$B$235,"Shame",'Data (parsed)'!$C$2:$C$235,$A22)</x:f>
        <x:v>1</x:v>
      </x:c>
      <x:c r="D22" s="16" t="n">
        <x:f>COUNTIFS('Data (parsed)'!$E$2:$E$235,D$19,'Data (parsed)'!$B$2:$B$235,"Shame",'Data (parsed)'!$C$2:$C$235,$A22)</x:f>
        <x:v>1</x:v>
      </x:c>
      <x:c r="E22" s="16" t="n">
        <x:f>COUNTIFS('Data (parsed)'!$E$2:$E$235,E$19,'Data (parsed)'!$B$2:$B$235,"Shame",'Data (parsed)'!$C$2:$C$235,$A22)</x:f>
        <x:v>2</x:v>
      </x:c>
      <x:c r="F22" s="16" t="n">
        <x:f>SUMIFS('Data (parsed)'!$I$2:$I$235,'Data (parsed)'!$B$2:$B$235,"Shame",'Data (parsed)'!$C$2:$C$235,$A22,'Data (parsed)'!$J$2:$J$235,0)</x:f>
        <x:v>7</x:v>
      </x:c>
      <x:c r="G22" s="18" t="n">
        <x:f>SUMIFS('Data (parsed)'!$I$2:$I$235,'Data (parsed)'!$B$2:$B$235,"Shame",'Data (parsed)'!$C$2:$C$235,$A22)</x:f>
        <x:v>17</x:v>
      </x:c>
      <x:c r="H22" s="10"/>
    </x:row>
    <x:row r="23" ht="15" customHeight="1">
      <x:c r="A23" s="22" t="s">
        <x:v>920</x:v>
      </x:c>
      <x:c r="B23" s="16" t="n">
        <x:f>COUNTIFS('Data (parsed)'!$E$2:$E$235,B$19,'Data (parsed)'!$B$2:$B$235,"Shame",'Data (parsed)'!$C$2:$C$235,$A23)</x:f>
        <x:v>1</x:v>
      </x:c>
      <x:c r="C23" s="16" t="n">
        <x:f>COUNTIFS('Data (parsed)'!$E$2:$E$235,C$19,'Data (parsed)'!$B$2:$B$235,"Shame",'Data (parsed)'!$C$2:$C$235,$A23)</x:f>
        <x:v>0</x:v>
      </x:c>
      <x:c r="D23" s="16" t="n">
        <x:f>COUNTIFS('Data (parsed)'!$E$2:$E$235,D$19,'Data (parsed)'!$B$2:$B$235,"Shame",'Data (parsed)'!$C$2:$C$235,$A23)</x:f>
        <x:v>9</x:v>
      </x:c>
      <x:c r="E23" s="16" t="n">
        <x:f>COUNTIFS('Data (parsed)'!$E$2:$E$235,E$19,'Data (parsed)'!$B$2:$B$235,"Shame",'Data (parsed)'!$C$2:$C$235,$A23)</x:f>
        <x:v>2</x:v>
      </x:c>
      <x:c r="F23" s="16" t="n">
        <x:f>SUMIFS('Data (parsed)'!$I$2:$I$235,'Data (parsed)'!$B$2:$B$235,"Shame",'Data (parsed)'!$C$2:$C$235,$A23,'Data (parsed)'!$J$2:$J$235,0)</x:f>
        <x:v>0</x:v>
      </x:c>
      <x:c r="G23" s="18" t="n">
        <x:f>SUMIFS('Data (parsed)'!$I$2:$I$235,'Data (parsed)'!$B$2:$B$235,"Shame",'Data (parsed)'!$C$2:$C$235,$A23)</x:f>
        <x:v>12</x:v>
      </x:c>
      <x:c r="H23" s="10"/>
    </x:row>
    <x:row r="24" ht="15" customHeight="1">
      <x:c r="A24" s="22" t="s">
        <x:v>921</x:v>
      </x:c>
      <x:c r="B24" s="16" t="n">
        <x:f>COUNTIFS('Data (parsed)'!$E$2:$E$235,B$19,'Data (parsed)'!$B$2:$B$235,"Shame",'Data (parsed)'!$C$2:$C$235,$A24)</x:f>
        <x:v>0</x:v>
      </x:c>
      <x:c r="C24" s="16" t="n">
        <x:f>COUNTIFS('Data (parsed)'!$E$2:$E$235,C$19,'Data (parsed)'!$B$2:$B$235,"Shame",'Data (parsed)'!$C$2:$C$235,$A24)</x:f>
        <x:v>0</x:v>
      </x:c>
      <x:c r="D24" s="16" t="n">
        <x:f>COUNTIFS('Data (parsed)'!$E$2:$E$235,D$19,'Data (parsed)'!$B$2:$B$235,"Shame",'Data (parsed)'!$C$2:$C$235,$A24)</x:f>
        <x:v>9</x:v>
      </x:c>
      <x:c r="E24" s="16" t="n">
        <x:f>COUNTIFS('Data (parsed)'!$E$2:$E$235,E$19,'Data (parsed)'!$B$2:$B$235,"Shame",'Data (parsed)'!$C$2:$C$235,$A24)</x:f>
        <x:v>0</x:v>
      </x:c>
      <x:c r="F24" s="16" t="n">
        <x:f>SUMIFS('Data (parsed)'!$I$2:$I$235,'Data (parsed)'!$B$2:$B$235,"Shame",'Data (parsed)'!$C$2:$C$235,$A24,'Data (parsed)'!$J$2:$J$235,0)</x:f>
        <x:v>0</x:v>
      </x:c>
      <x:c r="G24" s="18" t="n">
        <x:f>SUMIFS('Data (parsed)'!$I$2:$I$235,'Data (parsed)'!$B$2:$B$235,"Shame",'Data (parsed)'!$C$2:$C$235,$A24)</x:f>
        <x:v>9</x:v>
      </x:c>
      <x:c r="H24" s="10"/>
    </x:row>
    <x:row r="25" ht="15" customHeight="1">
      <x:c r="A25" s="22" t="s">
        <x:v>922</x:v>
      </x:c>
      <x:c r="B25" s="16" t="n">
        <x:f>COUNTIFS('Data (parsed)'!$E$2:$E$235,B$19,'Data (parsed)'!$B$2:$B$235,"Shame",'Data (parsed)'!$C$2:$C$235,$A25)</x:f>
        <x:v>2</x:v>
      </x:c>
      <x:c r="C25" s="16" t="n">
        <x:f>COUNTIFS('Data (parsed)'!$E$2:$E$235,C$19,'Data (parsed)'!$B$2:$B$235,"Shame",'Data (parsed)'!$C$2:$C$235,$A25)</x:f>
        <x:v>0</x:v>
      </x:c>
      <x:c r="D25" s="16" t="n">
        <x:f>COUNTIFS('Data (parsed)'!$E$2:$E$235,D$19,'Data (parsed)'!$B$2:$B$235,"Shame",'Data (parsed)'!$C$2:$C$235,$A25)</x:f>
        <x:v>0</x:v>
      </x:c>
      <x:c r="E25" s="16" t="n">
        <x:f>COUNTIFS('Data (parsed)'!$E$2:$E$235,E$19,'Data (parsed)'!$B$2:$B$235,"Shame",'Data (parsed)'!$C$2:$C$235,$A25)</x:f>
        <x:v>2</x:v>
      </x:c>
      <x:c r="F25" s="16" t="n">
        <x:f>SUMIFS('Data (parsed)'!$I$2:$I$235,'Data (parsed)'!$B$2:$B$235,"Shame",'Data (parsed)'!$C$2:$C$235,$A25,'Data (parsed)'!$J$2:$J$235,0)</x:f>
        <x:v>3</x:v>
      </x:c>
      <x:c r="G25" s="18" t="n">
        <x:f>SUMIFS('Data (parsed)'!$I$2:$I$235,'Data (parsed)'!$B$2:$B$235,"Shame",'Data (parsed)'!$C$2:$C$235,$A25)</x:f>
        <x:v>7</x:v>
      </x:c>
      <x:c r="H25" s="10"/>
    </x:row>
    <x:row r="26" ht="26.25" customHeight="1">
      <x:c r="A26" s="22" t="s">
        <x:v>923</x:v>
      </x:c>
      <x:c r="B26" s="16" t="n">
        <x:f>COUNTIFS('Data (parsed)'!$E$2:$E$235,B$19,'Data (parsed)'!$B$2:$B$235,"Shame",'Data (parsed)'!$C$2:$C$235,$A26)</x:f>
        <x:v>4</x:v>
      </x:c>
      <x:c r="C26" s="16" t="n">
        <x:f>COUNTIFS('Data (parsed)'!$E$2:$E$235,C$19,'Data (parsed)'!$B$2:$B$235,"Shame",'Data (parsed)'!$C$2:$C$235,$A26)</x:f>
        <x:v>0</x:v>
      </x:c>
      <x:c r="D26" s="16" t="n">
        <x:f>COUNTIFS('Data (parsed)'!$E$2:$E$235,D$19,'Data (parsed)'!$B$2:$B$235,"Shame",'Data (parsed)'!$C$2:$C$235,$A26)</x:f>
        <x:v>0</x:v>
      </x:c>
      <x:c r="E26" s="16" t="n">
        <x:f>COUNTIFS('Data (parsed)'!$E$2:$E$235,E$19,'Data (parsed)'!$B$2:$B$235,"Shame",'Data (parsed)'!$C$2:$C$235,$A26)</x:f>
        <x:v>0</x:v>
      </x:c>
      <x:c r="F26" s="16" t="n">
        <x:f>SUMIFS('Data (parsed)'!$I$2:$I$235,'Data (parsed)'!$B$2:$B$235,"Shame",'Data (parsed)'!$C$2:$C$235,$A26,'Data (parsed)'!$J$2:$J$235,0)</x:f>
        <x:v>0</x:v>
      </x:c>
      <x:c r="G26" s="18" t="n">
        <x:f>SUMIFS('Data (parsed)'!$I$2:$I$235,'Data (parsed)'!$B$2:$B$235,"Shame",'Data (parsed)'!$C$2:$C$235,$A26)</x:f>
        <x:v>4</x:v>
      </x:c>
      <x:c r="H26" s="10"/>
    </x:row>
    <x:row r="27" ht="15" customHeight="1">
      <x:c r="A27" s="22" t="s">
        <x:v>924</x:v>
      </x:c>
      <x:c r="B27" s="16" t="n">
        <x:f>COUNTIFS('Data (parsed)'!$E$2:$E$235,B$19,'Data (parsed)'!$B$2:$B$235,"Shame",'Data (parsed)'!$C$2:$C$235,$A27)</x:f>
        <x:v>3</x:v>
      </x:c>
      <x:c r="C27" s="16" t="n">
        <x:f>COUNTIFS('Data (parsed)'!$E$2:$E$235,C$19,'Data (parsed)'!$B$2:$B$235,"Shame",'Data (parsed)'!$C$2:$C$235,$A27)</x:f>
        <x:v>0</x:v>
      </x:c>
      <x:c r="D27" s="16" t="n">
        <x:f>COUNTIFS('Data (parsed)'!$E$2:$E$235,D$19,'Data (parsed)'!$B$2:$B$235,"Shame",'Data (parsed)'!$C$2:$C$235,$A27)</x:f>
        <x:v>0</x:v>
      </x:c>
      <x:c r="E27" s="16" t="n">
        <x:f>COUNTIFS('Data (parsed)'!$E$2:$E$235,E$19,'Data (parsed)'!$B$2:$B$235,"Shame",'Data (parsed)'!$C$2:$C$235,$A27)</x:f>
        <x:v>1</x:v>
      </x:c>
      <x:c r="F27" s="16" t="n">
        <x:f>SUMIFS('Data (parsed)'!$I$2:$I$235,'Data (parsed)'!$B$2:$B$235,"Shame",'Data (parsed)'!$C$2:$C$235,$A27,'Data (parsed)'!$J$2:$J$235,0)</x:f>
        <x:v>0</x:v>
      </x:c>
      <x:c r="G27" s="18" t="n">
        <x:f>SUMIFS('Data (parsed)'!$I$2:$I$235,'Data (parsed)'!$B$2:$B$235,"Shame",'Data (parsed)'!$C$2:$C$235,$A27)</x:f>
        <x:v>4</x:v>
      </x:c>
      <x:c r="H27" s="10"/>
    </x:row>
    <x:row r="28" ht="15" customHeight="1">
      <x:c r="A28" s="22" t="s">
        <x:v>925</x:v>
      </x:c>
      <x:c r="B28" s="16" t="n">
        <x:f>COUNTIFS('Data (parsed)'!$E$2:$E$235,B$19,'Data (parsed)'!$B$2:$B$235,"Shame",'Data (parsed)'!$C$2:$C$235,$A28)</x:f>
        <x:v>3</x:v>
      </x:c>
      <x:c r="C28" s="16" t="n">
        <x:f>COUNTIFS('Data (parsed)'!$E$2:$E$235,C$19,'Data (parsed)'!$B$2:$B$235,"Shame",'Data (parsed)'!$C$2:$C$235,$A28)</x:f>
        <x:v>0</x:v>
      </x:c>
      <x:c r="D28" s="16" t="n">
        <x:f>COUNTIFS('Data (parsed)'!$E$2:$E$235,D$19,'Data (parsed)'!$B$2:$B$235,"Shame",'Data (parsed)'!$C$2:$C$235,$A28)</x:f>
        <x:v>0</x:v>
      </x:c>
      <x:c r="E28" s="16" t="n">
        <x:f>COUNTIFS('Data (parsed)'!$E$2:$E$235,E$19,'Data (parsed)'!$B$2:$B$235,"Shame",'Data (parsed)'!$C$2:$C$235,$A28)</x:f>
        <x:v>0</x:v>
      </x:c>
      <x:c r="F28" s="16" t="n">
        <x:f>SUMIFS('Data (parsed)'!$I$2:$I$235,'Data (parsed)'!$B$2:$B$235,"Shame",'Data (parsed)'!$C$2:$C$235,$A28,'Data (parsed)'!$J$2:$J$235,0)</x:f>
        <x:v>0</x:v>
      </x:c>
      <x:c r="G28" s="18" t="n">
        <x:f>SUMIFS('Data (parsed)'!$I$2:$I$235,'Data (parsed)'!$B$2:$B$235,"Shame",'Data (parsed)'!$C$2:$C$235,$A28)</x:f>
        <x:v>3</x:v>
      </x:c>
      <x:c r="H28" s="10"/>
    </x:row>
    <x:row r="29" ht="26.25" customHeight="1">
      <x:c r="A29" s="22" t="s">
        <x:v>926</x:v>
      </x:c>
      <x:c r="B29" s="16" t="n">
        <x:f>COUNTIFS('Data (parsed)'!$E$2:$E$235,B$19,'Data (parsed)'!$B$2:$B$235,"Shame",'Data (parsed)'!$C$2:$C$235,$A29)</x:f>
        <x:v>2</x:v>
      </x:c>
      <x:c r="C29" s="16" t="n">
        <x:f>COUNTIFS('Data (parsed)'!$E$2:$E$235,C$19,'Data (parsed)'!$B$2:$B$235,"Shame",'Data (parsed)'!$C$2:$C$235,$A29)</x:f>
        <x:v>0</x:v>
      </x:c>
      <x:c r="D29" s="16" t="n">
        <x:f>COUNTIFS('Data (parsed)'!$E$2:$E$235,D$19,'Data (parsed)'!$B$2:$B$235,"Shame",'Data (parsed)'!$C$2:$C$235,$A29)</x:f>
        <x:v>0</x:v>
      </x:c>
      <x:c r="E29" s="16" t="n">
        <x:f>COUNTIFS('Data (parsed)'!$E$2:$E$235,E$19,'Data (parsed)'!$B$2:$B$235,"Shame",'Data (parsed)'!$C$2:$C$235,$A29)</x:f>
        <x:v>0</x:v>
      </x:c>
      <x:c r="F29" s="16" t="n">
        <x:f>SUMIFS('Data (parsed)'!$I$2:$I$235,'Data (parsed)'!$B$2:$B$235,"Shame",'Data (parsed)'!$C$2:$C$235,$A29,'Data (parsed)'!$J$2:$J$235,0)</x:f>
        <x:v>0</x:v>
      </x:c>
      <x:c r="G29" s="18" t="n">
        <x:f>SUMIFS('Data (parsed)'!$I$2:$I$235,'Data (parsed)'!$B$2:$B$235,"Shame",'Data (parsed)'!$C$2:$C$235,$A29)</x:f>
        <x:v>2</x:v>
      </x:c>
      <x:c r="H29" s="10"/>
    </x:row>
    <x:row r="30" ht="15" customHeight="1">
      <x:c r="A30" s="22" t="s">
        <x:v>927</x:v>
      </x:c>
      <x:c r="B30" s="16" t="n">
        <x:f>COUNTIFS('Data (parsed)'!$E$2:$E$235,B$19,'Data (parsed)'!$B$2:$B$235,"Shame",'Data (parsed)'!$C$2:$C$235,$A30)</x:f>
        <x:v>0</x:v>
      </x:c>
      <x:c r="C30" s="16" t="n">
        <x:f>COUNTIFS('Data (parsed)'!$E$2:$E$235,C$19,'Data (parsed)'!$B$2:$B$235,"Shame",'Data (parsed)'!$C$2:$C$235,$A30)</x:f>
        <x:v>0</x:v>
      </x:c>
      <x:c r="D30" s="16" t="n">
        <x:f>COUNTIFS('Data (parsed)'!$E$2:$E$235,D$19,'Data (parsed)'!$B$2:$B$235,"Shame",'Data (parsed)'!$C$2:$C$235,$A30)</x:f>
        <x:v>0</x:v>
      </x:c>
      <x:c r="E30" s="16" t="n">
        <x:f>COUNTIFS('Data (parsed)'!$E$2:$E$235,E$19,'Data (parsed)'!$B$2:$B$235,"Shame",'Data (parsed)'!$C$2:$C$235,$A30)</x:f>
        <x:v>0</x:v>
      </x:c>
      <x:c r="F30" s="16" t="n">
        <x:f>SUMIFS('Data (parsed)'!$I$2:$I$235,'Data (parsed)'!$B$2:$B$235,"Shame",'Data (parsed)'!$C$2:$C$235,$A30,'Data (parsed)'!$J$2:$J$235,0)</x:f>
        <x:v>2</x:v>
      </x:c>
      <x:c r="G30" s="18" t="n">
        <x:f>SUMIFS('Data (parsed)'!$I$2:$I$235,'Data (parsed)'!$B$2:$B$235,"Shame",'Data (parsed)'!$C$2:$C$235,$A30)</x:f>
        <x:v>2</x:v>
      </x:c>
      <x:c r="H30" s="10"/>
    </x:row>
    <x:row r="31" ht="15" customHeight="1">
      <x:c r="A31" s="17" t="s">
        <x:v>906</x:v>
      </x:c>
      <x:c r="B31" s="18" t="n">
        <x:f t="shared" ref="B31:G31" si="2">SUM(B20:B30)</x:f>
        <x:v>48</x:v>
      </x:c>
      <x:c r="C31" s="18">
        <x:f t="shared" si="2"/>
        <x:v>7</x:v>
      </x:c>
      <x:c r="D31" s="18">
        <x:f t="shared" si="2"/>
        <x:v>20</x:v>
      </x:c>
      <x:c r="E31" s="18">
        <x:f t="shared" si="2"/>
        <x:v>8</x:v>
      </x:c>
      <x:c r="F31" s="18">
        <x:f t="shared" si="2"/>
        <x:v>22</x:v>
      </x:c>
      <x:c r="G31" s="18">
        <x:f t="shared" si="2"/>
        <x:v>104</x:v>
      </x:c>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5.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930</x:v>
      </x:c>
      <x:c r="B1" s="10"/>
      <x:c r="C1" s="10"/>
      <x:c r="D1" s="10"/>
      <x:c r="E1" s="10"/>
      <x:c r="F1" s="10"/>
      <x:c r="G1" s="10"/>
      <x:c r="H1" s="10"/>
    </x:row>
    <x:row r="2" ht="14.25" customHeight="1">
      <x:c r="A2" s="10"/>
      <x:c r="B2" s="10"/>
      <x:c r="C2" s="10"/>
      <x:c r="D2" s="10"/>
      <x:c r="E2" s="10"/>
      <x:c r="F2" s="10"/>
      <x:c r="G2" s="10"/>
      <x:c r="H2" s="10"/>
    </x:row>
    <x:row r="3" ht="15" customHeight="1">
      <x:c r="A3" s="13" t="s">
        <x:v>931</x:v>
      </x:c>
      <x:c r="B3" s="10"/>
      <x:c r="C3" s="10"/>
      <x:c r="D3" s="10"/>
      <x:c r="E3" s="10"/>
      <x:c r="F3" s="10"/>
      <x:c r="G3" s="10"/>
      <x:c r="H3" s="10"/>
    </x:row>
    <x:row r="4" ht="15" customHeight="1">
      <x:c r="A4" s="14" t="s">
        <x:v>916</x:v>
      </x:c>
      <x:c r="B4" s="14" t="s">
        <x:v>11</x:v>
      </x:c>
      <x:c r="C4" s="14" t="s">
        <x:v>92</x:v>
      </x:c>
      <x:c r="D4" s="14" t="s">
        <x:v>22</x:v>
      </x:c>
      <x:c r="E4" s="14" t="s">
        <x:v>37</x:v>
      </x:c>
      <x:c r="F4" s="14" t="s">
        <x:v>62</x:v>
      </x:c>
      <x:c r="G4" s="14" t="s">
        <x:v>906</x:v>
      </x:c>
      <x:c r="H4" s="10"/>
    </x:row>
    <x:row r="5" ht="15" customHeight="1">
      <x:c r="A5" s="22" t="s">
        <x:v>932</x:v>
      </x:c>
      <x:c r="B5" s="16" t="n">
        <x:f>SUMIFS('Data (parsed)'!$I$2:$I$235,'Data (parsed)'!$B$2:$B$235,"Guilt",'Data (parsed)'!$C$2:$C$235,$A5,'Data (parsed)'!$D$2:$D$235,B$4)</x:f>
        <x:v>2</x:v>
      </x:c>
      <x:c r="C5" s="16" t="n">
        <x:f>SUMIFS('Data (parsed)'!$I$2:$I$235,'Data (parsed)'!$B$2:$B$235,"Guilt",'Data (parsed)'!$C$2:$C$235,$A5,'Data (parsed)'!$D$2:$D$235,C$4)</x:f>
        <x:v>3</x:v>
      </x:c>
      <x:c r="D5" s="16" t="n">
        <x:f>SUMIFS('Data (parsed)'!$I$2:$I$235,'Data (parsed)'!$B$2:$B$235,"Guilt",'Data (parsed)'!$C$2:$C$235,$A5,'Data (parsed)'!$D$2:$D$235,D$4)</x:f>
        <x:v>2</x:v>
      </x:c>
      <x:c r="E5" s="16" t="n">
        <x:f>SUMIFS('Data (parsed)'!$I$2:$I$235,'Data (parsed)'!$B$2:$B$235,"Guilt",'Data (parsed)'!$C$2:$C$235,$A5,'Data (parsed)'!$D$2:$D$235,E$4)</x:f>
        <x:v>3</x:v>
      </x:c>
      <x:c r="F5" s="16" t="n">
        <x:f>SUMIFS('Data (parsed)'!$I$2:$I$235,'Data (parsed)'!$B$2:$B$235,"Guilt",'Data (parsed)'!$C$2:$C$235,$A5,'Data (parsed)'!$D$2:$D$235,F$4)</x:f>
        <x:v>7</x:v>
      </x:c>
      <x:c r="G5" s="18" t="n">
        <x:f t="shared" ref="G5:G10" si="0">SUM(B5:F5)</x:f>
        <x:v>17</x:v>
      </x:c>
      <x:c r="H5" s="10"/>
    </x:row>
    <x:row r="6" ht="15" customHeight="1">
      <x:c r="A6" s="22" t="s">
        <x:v>933</x:v>
      </x:c>
      <x:c r="B6" s="16" t="n">
        <x:f>SUMIFS('Data (parsed)'!$I$2:$I$235,'Data (parsed)'!$B$2:$B$235,"Guilt",'Data (parsed)'!$C$2:$C$235,$A6,'Data (parsed)'!$D$2:$D$235,B$4)</x:f>
        <x:v>0</x:v>
      </x:c>
      <x:c r="C6" s="16" t="n">
        <x:f>SUMIFS('Data (parsed)'!$I$2:$I$235,'Data (parsed)'!$B$2:$B$235,"Guilt",'Data (parsed)'!$C$2:$C$235,$A6,'Data (parsed)'!$D$2:$D$235,C$4)</x:f>
        <x:v>1</x:v>
      </x:c>
      <x:c r="D6" s="16" t="n">
        <x:f>SUMIFS('Data (parsed)'!$I$2:$I$235,'Data (parsed)'!$B$2:$B$235,"Guilt",'Data (parsed)'!$C$2:$C$235,$A6,'Data (parsed)'!$D$2:$D$235,D$4)</x:f>
        <x:v>0</x:v>
      </x:c>
      <x:c r="E6" s="16" t="n">
        <x:f>SUMIFS('Data (parsed)'!$I$2:$I$235,'Data (parsed)'!$B$2:$B$235,"Guilt",'Data (parsed)'!$C$2:$C$235,$A6,'Data (parsed)'!$D$2:$D$235,E$4)</x:f>
        <x:v>0</x:v>
      </x:c>
      <x:c r="F6" s="16" t="n">
        <x:f>SUMIFS('Data (parsed)'!$I$2:$I$235,'Data (parsed)'!$B$2:$B$235,"Guilt",'Data (parsed)'!$C$2:$C$235,$A6,'Data (parsed)'!$D$2:$D$235,F$4)</x:f>
        <x:v>4</x:v>
      </x:c>
      <x:c r="G6" s="18">
        <x:f t="shared" si="0"/>
        <x:v>5</x:v>
      </x:c>
      <x:c r="H6" s="10"/>
    </x:row>
    <x:row r="7" ht="15" customHeight="1">
      <x:c r="A7" s="22" t="s">
        <x:v>934</x:v>
      </x:c>
      <x:c r="B7" s="16" t="n">
        <x:f>SUMIFS('Data (parsed)'!$I$2:$I$235,'Data (parsed)'!$B$2:$B$235,"Guilt",'Data (parsed)'!$C$2:$C$235,$A7,'Data (parsed)'!$D$2:$D$235,B$4)</x:f>
        <x:v>2</x:v>
      </x:c>
      <x:c r="C7" s="16" t="n">
        <x:f>SUMIFS('Data (parsed)'!$I$2:$I$235,'Data (parsed)'!$B$2:$B$235,"Guilt",'Data (parsed)'!$C$2:$C$235,$A7,'Data (parsed)'!$D$2:$D$235,C$4)</x:f>
        <x:v>0</x:v>
      </x:c>
      <x:c r="D7" s="16" t="n">
        <x:f>SUMIFS('Data (parsed)'!$I$2:$I$235,'Data (parsed)'!$B$2:$B$235,"Guilt",'Data (parsed)'!$C$2:$C$235,$A7,'Data (parsed)'!$D$2:$D$235,D$4)</x:f>
        <x:v>0</x:v>
      </x:c>
      <x:c r="E7" s="16" t="n">
        <x:f>SUMIFS('Data (parsed)'!$I$2:$I$235,'Data (parsed)'!$B$2:$B$235,"Guilt",'Data (parsed)'!$C$2:$C$235,$A7,'Data (parsed)'!$D$2:$D$235,E$4)</x:f>
        <x:v>1</x:v>
      </x:c>
      <x:c r="F7" s="16" t="n">
        <x:f>SUMIFS('Data (parsed)'!$I$2:$I$235,'Data (parsed)'!$B$2:$B$235,"Guilt",'Data (parsed)'!$C$2:$C$235,$A7,'Data (parsed)'!$D$2:$D$235,F$4)</x:f>
        <x:v>0</x:v>
      </x:c>
      <x:c r="G7" s="18">
        <x:f t="shared" si="0"/>
        <x:v>3</x:v>
      </x:c>
      <x:c r="H7" s="10"/>
    </x:row>
    <x:row r="8" ht="15" customHeight="1">
      <x:c r="A8" s="22" t="s">
        <x:v>935</x:v>
      </x:c>
      <x:c r="B8" s="16" t="n">
        <x:f>SUMIFS('Data (parsed)'!$I$2:$I$235,'Data (parsed)'!$B$2:$B$235,"Guilt",'Data (parsed)'!$C$2:$C$235,$A8,'Data (parsed)'!$D$2:$D$235,B$4)</x:f>
        <x:v>0</x:v>
      </x:c>
      <x:c r="C8" s="16" t="n">
        <x:f>SUMIFS('Data (parsed)'!$I$2:$I$235,'Data (parsed)'!$B$2:$B$235,"Guilt",'Data (parsed)'!$C$2:$C$235,$A8,'Data (parsed)'!$D$2:$D$235,C$4)</x:f>
        <x:v>1</x:v>
      </x:c>
      <x:c r="D8" s="16" t="n">
        <x:f>SUMIFS('Data (parsed)'!$I$2:$I$235,'Data (parsed)'!$B$2:$B$235,"Guilt",'Data (parsed)'!$C$2:$C$235,$A8,'Data (parsed)'!$D$2:$D$235,D$4)</x:f>
        <x:v>0</x:v>
      </x:c>
      <x:c r="E8" s="16" t="n">
        <x:f>SUMIFS('Data (parsed)'!$I$2:$I$235,'Data (parsed)'!$B$2:$B$235,"Guilt",'Data (parsed)'!$C$2:$C$235,$A8,'Data (parsed)'!$D$2:$D$235,E$4)</x:f>
        <x:v>0</x:v>
      </x:c>
      <x:c r="F8" s="16" t="n">
        <x:f>SUMIFS('Data (parsed)'!$I$2:$I$235,'Data (parsed)'!$B$2:$B$235,"Guilt",'Data (parsed)'!$C$2:$C$235,$A8,'Data (parsed)'!$D$2:$D$235,F$4)</x:f>
        <x:v>2</x:v>
      </x:c>
      <x:c r="G8" s="18">
        <x:f t="shared" si="0"/>
        <x:v>3</x:v>
      </x:c>
      <x:c r="H8" s="10"/>
    </x:row>
    <x:row r="9" ht="15" customHeight="1">
      <x:c r="A9" s="22" t="s">
        <x:v>936</x:v>
      </x:c>
      <x:c r="B9" s="16" t="n">
        <x:f>SUMIFS('Data (parsed)'!$I$2:$I$235,'Data (parsed)'!$B$2:$B$235,"Guilt",'Data (parsed)'!$C$2:$C$235,$A9,'Data (parsed)'!$D$2:$D$235,B$4)</x:f>
        <x:v>0</x:v>
      </x:c>
      <x:c r="C9" s="16" t="n">
        <x:f>SUMIFS('Data (parsed)'!$I$2:$I$235,'Data (parsed)'!$B$2:$B$235,"Guilt",'Data (parsed)'!$C$2:$C$235,$A9,'Data (parsed)'!$D$2:$D$235,C$4)</x:f>
        <x:v>2</x:v>
      </x:c>
      <x:c r="D9" s="16" t="n">
        <x:f>SUMIFS('Data (parsed)'!$I$2:$I$235,'Data (parsed)'!$B$2:$B$235,"Guilt",'Data (parsed)'!$C$2:$C$235,$A9,'Data (parsed)'!$D$2:$D$235,D$4)</x:f>
        <x:v>0</x:v>
      </x:c>
      <x:c r="E9" s="16" t="n">
        <x:f>SUMIFS('Data (parsed)'!$I$2:$I$235,'Data (parsed)'!$B$2:$B$235,"Guilt",'Data (parsed)'!$C$2:$C$235,$A9,'Data (parsed)'!$D$2:$D$235,E$4)</x:f>
        <x:v>0</x:v>
      </x:c>
      <x:c r="F9" s="16" t="n">
        <x:f>SUMIFS('Data (parsed)'!$I$2:$I$235,'Data (parsed)'!$B$2:$B$235,"Guilt",'Data (parsed)'!$C$2:$C$235,$A9,'Data (parsed)'!$D$2:$D$235,F$4)</x:f>
        <x:v>0</x:v>
      </x:c>
      <x:c r="G9" s="18">
        <x:f t="shared" si="0"/>
        <x:v>2</x:v>
      </x:c>
      <x:c r="H9" s="10"/>
    </x:row>
    <x:row r="10" ht="15" customHeight="1">
      <x:c r="A10" s="22" t="s">
        <x:v>937</x:v>
      </x:c>
      <x:c r="B10" s="16" t="n">
        <x:f>SUMIFS('Data (parsed)'!$I$2:$I$235,'Data (parsed)'!$B$2:$B$235,"Guilt",'Data (parsed)'!$C$2:$C$235,$A10,'Data (parsed)'!$D$2:$D$235,B$4)</x:f>
        <x:v>0</x:v>
      </x:c>
      <x:c r="C10" s="16" t="n">
        <x:f>SUMIFS('Data (parsed)'!$I$2:$I$235,'Data (parsed)'!$B$2:$B$235,"Guilt",'Data (parsed)'!$C$2:$C$235,$A10,'Data (parsed)'!$D$2:$D$235,C$4)</x:f>
        <x:v>0</x:v>
      </x:c>
      <x:c r="D10" s="16" t="n">
        <x:f>SUMIFS('Data (parsed)'!$I$2:$I$235,'Data (parsed)'!$B$2:$B$235,"Guilt",'Data (parsed)'!$C$2:$C$235,$A10,'Data (parsed)'!$D$2:$D$235,D$4)</x:f>
        <x:v>0</x:v>
      </x:c>
      <x:c r="E10" s="16" t="n">
        <x:f>SUMIFS('Data (parsed)'!$I$2:$I$235,'Data (parsed)'!$B$2:$B$235,"Guilt",'Data (parsed)'!$C$2:$C$235,$A10,'Data (parsed)'!$D$2:$D$235,E$4)</x:f>
        <x:v>1</x:v>
      </x:c>
      <x:c r="F10" s="16" t="n">
        <x:f>SUMIFS('Data (parsed)'!$I$2:$I$235,'Data (parsed)'!$B$2:$B$235,"Guilt",'Data (parsed)'!$C$2:$C$235,$A10,'Data (parsed)'!$D$2:$D$235,F$4)</x:f>
        <x:v>0</x:v>
      </x:c>
      <x:c r="G10" s="18">
        <x:f t="shared" si="0"/>
        <x:v>1</x:v>
      </x:c>
      <x:c r="H10" s="10"/>
    </x:row>
    <x:row r="11" ht="15" customHeight="1">
      <x:c r="A11" s="17" t="s">
        <x:v>906</x:v>
      </x:c>
      <x:c r="B11" s="18" t="n">
        <x:f t="shared" ref="B11:G11" si="1">SUM(B5:B10)</x:f>
        <x:v>4</x:v>
      </x:c>
      <x:c r="C11" s="18">
        <x:f t="shared" si="1"/>
        <x:v>7</x:v>
      </x:c>
      <x:c r="D11" s="18">
        <x:f t="shared" si="1"/>
        <x:v>2</x:v>
      </x:c>
      <x:c r="E11" s="18">
        <x:f t="shared" si="1"/>
        <x:v>5</x:v>
      </x:c>
      <x:c r="F11" s="18">
        <x:f t="shared" si="1"/>
        <x:v>13</x:v>
      </x:c>
      <x:c r="G11" s="18">
        <x:f t="shared" si="1"/>
        <x:v>31</x:v>
      </x:c>
      <x:c r="H11" s="10"/>
    </x:row>
    <x:row r="12" ht="14.25" customHeight="1">
      <x:c r="A12" s="10"/>
      <x:c r="B12" s="10"/>
      <x:c r="C12" s="10"/>
      <x:c r="D12" s="10"/>
      <x:c r="E12" s="10"/>
      <x:c r="F12" s="10"/>
      <x:c r="G12" s="10"/>
      <x:c r="H12" s="10"/>
    </x:row>
    <x:row r="13" ht="15" customHeight="1">
      <x:c r="A13" s="13" t="s">
        <x:v>938</x:v>
      </x:c>
      <x:c r="B13" s="10"/>
      <x:c r="C13" s="10"/>
      <x:c r="D13" s="10"/>
      <x:c r="E13" s="10"/>
      <x:c r="F13" s="10"/>
      <x:c r="G13" s="10"/>
      <x:c r="H13" s="10"/>
    </x:row>
    <x:row r="14" ht="15" customHeight="1">
      <x:c r="A14" s="14" t="s">
        <x:v>916</x:v>
      </x:c>
      <x:c r="B14" s="14" t="s">
        <x:v>14</x:v>
      </x:c>
      <x:c r="C14" s="14" t="s">
        <x:v>95</x:v>
      </x:c>
      <x:c r="D14" s="14" t="s">
        <x:v>84</x:v>
      </x:c>
      <x:c r="E14" s="14" t="s">
        <x:v>89</x:v>
      </x:c>
      <x:c r="F14" s="14" t="s">
        <x:v>929</x:v>
      </x:c>
      <x:c r="G14" s="14" t="s">
        <x:v>901</x:v>
      </x:c>
      <x:c r="H14" s="10"/>
    </x:row>
    <x:row r="15" ht="15" customHeight="1">
      <x:c r="A15" s="22" t="s">
        <x:v>932</x:v>
      </x:c>
      <x:c r="B15" s="16" t="n">
        <x:f>COUNTIFS('Data (parsed)'!$E$2:$E$235,B$14,'Data (parsed)'!$B$2:$B$235,"Guilt",'Data (parsed)'!$C$2:$C$235,$A15)</x:f>
        <x:v>12</x:v>
      </x:c>
      <x:c r="C15" s="16" t="n">
        <x:f>COUNTIFS('Data (parsed)'!$E$2:$E$235,C$14,'Data (parsed)'!$B$2:$B$235,"Guilt",'Data (parsed)'!$C$2:$C$235,$A15)</x:f>
        <x:v>0</x:v>
      </x:c>
      <x:c r="D15" s="16" t="n">
        <x:f>COUNTIFS('Data (parsed)'!$E$2:$E$235,D$14,'Data (parsed)'!$B$2:$B$235,"Guilt",'Data (parsed)'!$C$2:$C$235,$A15)</x:f>
        <x:v>0</x:v>
      </x:c>
      <x:c r="E15" s="16" t="n">
        <x:f>COUNTIFS('Data (parsed)'!$E$2:$E$235,E$14,'Data (parsed)'!$B$2:$B$235,"Guilt",'Data (parsed)'!$C$2:$C$235,$A15)</x:f>
        <x:v>2</x:v>
      </x:c>
      <x:c r="F15" s="16" t="n">
        <x:f>SUMIFS('Data (parsed)'!$I$2:$I$235,'Data (parsed)'!$B$2:$B$235,"Guilt",'Data (parsed)'!$C$2:$C$235,$A15,'Data (parsed)'!$J$2:$J$235,0)</x:f>
        <x:v>4</x:v>
      </x:c>
      <x:c r="G15" s="18" t="n">
        <x:f>SUMIFS('Data (parsed)'!$I$2:$I$235,'Data (parsed)'!$B$2:$B$235,"Guilt",'Data (parsed)'!$C$2:$C$235,$A15)</x:f>
        <x:v>17</x:v>
      </x:c>
      <x:c r="H15" s="10"/>
    </x:row>
    <x:row r="16" ht="15" customHeight="1">
      <x:c r="A16" s="22" t="s">
        <x:v>933</x:v>
      </x:c>
      <x:c r="B16" s="16" t="n">
        <x:f>COUNTIFS('Data (parsed)'!$E$2:$E$235,B$14,'Data (parsed)'!$B$2:$B$235,"Guilt",'Data (parsed)'!$C$2:$C$235,$A16)</x:f>
        <x:v>4</x:v>
      </x:c>
      <x:c r="C16" s="16" t="n">
        <x:f>COUNTIFS('Data (parsed)'!$E$2:$E$235,C$14,'Data (parsed)'!$B$2:$B$235,"Guilt",'Data (parsed)'!$C$2:$C$235,$A16)</x:f>
        <x:v>0</x:v>
      </x:c>
      <x:c r="D16" s="16" t="n">
        <x:f>COUNTIFS('Data (parsed)'!$E$2:$E$235,D$14,'Data (parsed)'!$B$2:$B$235,"Guilt",'Data (parsed)'!$C$2:$C$235,$A16)</x:f>
        <x:v>0</x:v>
      </x:c>
      <x:c r="E16" s="16" t="n">
        <x:f>COUNTIFS('Data (parsed)'!$E$2:$E$235,E$14,'Data (parsed)'!$B$2:$B$235,"Guilt",'Data (parsed)'!$C$2:$C$235,$A16)</x:f>
        <x:v>1</x:v>
      </x:c>
      <x:c r="F16" s="16" t="n">
        <x:f>SUMIFS('Data (parsed)'!$I$2:$I$235,'Data (parsed)'!$B$2:$B$235,"Guilt",'Data (parsed)'!$C$2:$C$235,$A16,'Data (parsed)'!$J$2:$J$235,0)</x:f>
        <x:v>0</x:v>
      </x:c>
      <x:c r="G16" s="18" t="n">
        <x:f>SUMIFS('Data (parsed)'!$I$2:$I$235,'Data (parsed)'!$B$2:$B$235,"Guilt",'Data (parsed)'!$C$2:$C$235,$A16)</x:f>
        <x:v>5</x:v>
      </x:c>
      <x:c r="H16" s="10"/>
    </x:row>
    <x:row r="17" ht="15" customHeight="1">
      <x:c r="A17" s="22" t="s">
        <x:v>934</x:v>
      </x:c>
      <x:c r="B17" s="16" t="n">
        <x:f>COUNTIFS('Data (parsed)'!$E$2:$E$235,B$14,'Data (parsed)'!$B$2:$B$235,"Guilt",'Data (parsed)'!$C$2:$C$235,$A17)</x:f>
        <x:v>2</x:v>
      </x:c>
      <x:c r="C17" s="16" t="n">
        <x:f>COUNTIFS('Data (parsed)'!$E$2:$E$235,C$14,'Data (parsed)'!$B$2:$B$235,"Guilt",'Data (parsed)'!$C$2:$C$235,$A17)</x:f>
        <x:v>0</x:v>
      </x:c>
      <x:c r="D17" s="16" t="n">
        <x:f>COUNTIFS('Data (parsed)'!$E$2:$E$235,D$14,'Data (parsed)'!$B$2:$B$235,"Guilt",'Data (parsed)'!$C$2:$C$235,$A17)</x:f>
        <x:v>0</x:v>
      </x:c>
      <x:c r="E17" s="16" t="n">
        <x:f>COUNTIFS('Data (parsed)'!$E$2:$E$235,E$14,'Data (parsed)'!$B$2:$B$235,"Guilt",'Data (parsed)'!$C$2:$C$235,$A17)</x:f>
        <x:v>0</x:v>
      </x:c>
      <x:c r="F17" s="16" t="n">
        <x:f>SUMIFS('Data (parsed)'!$I$2:$I$235,'Data (parsed)'!$B$2:$B$235,"Guilt",'Data (parsed)'!$C$2:$C$235,$A17,'Data (parsed)'!$J$2:$J$235,0)</x:f>
        <x:v>1</x:v>
      </x:c>
      <x:c r="G17" s="18" t="n">
        <x:f>SUMIFS('Data (parsed)'!$I$2:$I$235,'Data (parsed)'!$B$2:$B$235,"Guilt",'Data (parsed)'!$C$2:$C$235,$A17)</x:f>
        <x:v>3</x:v>
      </x:c>
      <x:c r="H17" s="10"/>
    </x:row>
    <x:row r="18" ht="15" customHeight="1">
      <x:c r="A18" s="22" t="s">
        <x:v>935</x:v>
      </x:c>
      <x:c r="B18" s="16" t="n">
        <x:f>COUNTIFS('Data (parsed)'!$E$2:$E$235,B$14,'Data (parsed)'!$B$2:$B$235,"Guilt",'Data (parsed)'!$C$2:$C$235,$A18)</x:f>
        <x:v>3</x:v>
      </x:c>
      <x:c r="C18" s="16" t="n">
        <x:f>COUNTIFS('Data (parsed)'!$E$2:$E$235,C$14,'Data (parsed)'!$B$2:$B$235,"Guilt",'Data (parsed)'!$C$2:$C$235,$A18)</x:f>
        <x:v>0</x:v>
      </x:c>
      <x:c r="D18" s="16" t="n">
        <x:f>COUNTIFS('Data (parsed)'!$E$2:$E$235,D$14,'Data (parsed)'!$B$2:$B$235,"Guilt",'Data (parsed)'!$C$2:$C$235,$A18)</x:f>
        <x:v>0</x:v>
      </x:c>
      <x:c r="E18" s="16" t="n">
        <x:f>COUNTIFS('Data (parsed)'!$E$2:$E$235,E$14,'Data (parsed)'!$B$2:$B$235,"Guilt",'Data (parsed)'!$C$2:$C$235,$A18)</x:f>
        <x:v>0</x:v>
      </x:c>
      <x:c r="F18" s="16" t="n">
        <x:f>SUMIFS('Data (parsed)'!$I$2:$I$235,'Data (parsed)'!$B$2:$B$235,"Guilt",'Data (parsed)'!$C$2:$C$235,$A18,'Data (parsed)'!$J$2:$J$235,0)</x:f>
        <x:v>0</x:v>
      </x:c>
      <x:c r="G18" s="18" t="n">
        <x:f>SUMIFS('Data (parsed)'!$I$2:$I$235,'Data (parsed)'!$B$2:$B$235,"Guilt",'Data (parsed)'!$C$2:$C$235,$A18)</x:f>
        <x:v>3</x:v>
      </x:c>
      <x:c r="H18" s="10"/>
    </x:row>
    <x:row r="19" ht="15" customHeight="1">
      <x:c r="A19" s="22" t="s">
        <x:v>936</x:v>
      </x:c>
      <x:c r="B19" s="16" t="n">
        <x:f>COUNTIFS('Data (parsed)'!$E$2:$E$235,B$14,'Data (parsed)'!$B$2:$B$235,"Guilt",'Data (parsed)'!$C$2:$C$235,$A19)</x:f>
        <x:v>2</x:v>
      </x:c>
      <x:c r="C19" s="16" t="n">
        <x:f>COUNTIFS('Data (parsed)'!$E$2:$E$235,C$14,'Data (parsed)'!$B$2:$B$235,"Guilt",'Data (parsed)'!$C$2:$C$235,$A19)</x:f>
        <x:v>0</x:v>
      </x:c>
      <x:c r="D19" s="16" t="n">
        <x:f>COUNTIFS('Data (parsed)'!$E$2:$E$235,D$14,'Data (parsed)'!$B$2:$B$235,"Guilt",'Data (parsed)'!$C$2:$C$235,$A19)</x:f>
        <x:v>0</x:v>
      </x:c>
      <x:c r="E19" s="16" t="n">
        <x:f>COUNTIFS('Data (parsed)'!$E$2:$E$235,E$14,'Data (parsed)'!$B$2:$B$235,"Guilt",'Data (parsed)'!$C$2:$C$235,$A19)</x:f>
        <x:v>0</x:v>
      </x:c>
      <x:c r="F19" s="16" t="n">
        <x:f>SUMIFS('Data (parsed)'!$I$2:$I$235,'Data (parsed)'!$B$2:$B$235,"Guilt",'Data (parsed)'!$C$2:$C$235,$A19,'Data (parsed)'!$J$2:$J$235,0)</x:f>
        <x:v>0</x:v>
      </x:c>
      <x:c r="G19" s="18" t="n">
        <x:f>SUMIFS('Data (parsed)'!$I$2:$I$235,'Data (parsed)'!$B$2:$B$235,"Guilt",'Data (parsed)'!$C$2:$C$235,$A19)</x:f>
        <x:v>2</x:v>
      </x:c>
      <x:c r="H19" s="10"/>
    </x:row>
    <x:row r="20" ht="15" customHeight="1">
      <x:c r="A20" s="22" t="s">
        <x:v>937</x:v>
      </x:c>
      <x:c r="B20" s="16" t="n">
        <x:f>COUNTIFS('Data (parsed)'!$E$2:$E$235,B$14,'Data (parsed)'!$B$2:$B$235,"Guilt",'Data (parsed)'!$C$2:$C$235,$A20)</x:f>
        <x:v>1</x:v>
      </x:c>
      <x:c r="C20" s="16" t="n">
        <x:f>COUNTIFS('Data (parsed)'!$E$2:$E$235,C$14,'Data (parsed)'!$B$2:$B$235,"Guilt",'Data (parsed)'!$C$2:$C$235,$A20)</x:f>
        <x:v>0</x:v>
      </x:c>
      <x:c r="D20" s="16" t="n">
        <x:f>COUNTIFS('Data (parsed)'!$E$2:$E$235,D$14,'Data (parsed)'!$B$2:$B$235,"Guilt",'Data (parsed)'!$C$2:$C$235,$A20)</x:f>
        <x:v>0</x:v>
      </x:c>
      <x:c r="E20" s="16" t="n">
        <x:f>COUNTIFS('Data (parsed)'!$E$2:$E$235,E$14,'Data (parsed)'!$B$2:$B$235,"Guilt",'Data (parsed)'!$C$2:$C$235,$A20)</x:f>
        <x:v>0</x:v>
      </x:c>
      <x:c r="F20" s="16" t="n">
        <x:f>SUMIFS('Data (parsed)'!$I$2:$I$235,'Data (parsed)'!$B$2:$B$235,"Guilt",'Data (parsed)'!$C$2:$C$235,$A20,'Data (parsed)'!$J$2:$J$235,0)</x:f>
        <x:v>0</x:v>
      </x:c>
      <x:c r="G20" s="18" t="n">
        <x:f>SUMIFS('Data (parsed)'!$I$2:$I$235,'Data (parsed)'!$B$2:$B$235,"Guilt",'Data (parsed)'!$C$2:$C$235,$A20)</x:f>
        <x:v>1</x:v>
      </x:c>
      <x:c r="H20" s="10"/>
    </x:row>
    <x:row r="21" ht="15" customHeight="1">
      <x:c r="A21" s="17" t="s">
        <x:v>906</x:v>
      </x:c>
      <x:c r="B21" s="18" t="n">
        <x:f t="shared" ref="B21:G21" si="2">SUM(B15:B20)</x:f>
        <x:v>24</x:v>
      </x:c>
      <x:c r="C21" s="18">
        <x:f t="shared" si="2"/>
        <x:v>0</x:v>
      </x:c>
      <x:c r="D21" s="18">
        <x:f t="shared" si="2"/>
        <x:v>0</x:v>
      </x:c>
      <x:c r="E21" s="18">
        <x:f t="shared" si="2"/>
        <x:v>3</x:v>
      </x:c>
      <x:c r="F21" s="18">
        <x:f t="shared" si="2"/>
        <x:v>5</x:v>
      </x:c>
      <x:c r="G21" s="18">
        <x:f t="shared" si="2"/>
        <x:v>31</x:v>
      </x:c>
      <x:c r="H21" s="10"/>
    </x:row>
    <x:row r="22" ht="14.25" customHeight="1">
      <x:c r="A22" s="10"/>
      <x:c r="B22" s="10"/>
      <x:c r="C22" s="10"/>
      <x:c r="D22" s="10"/>
      <x:c r="E22" s="10"/>
      <x:c r="F22" s="10"/>
      <x:c r="G22" s="10"/>
      <x:c r="H22" s="10"/>
    </x:row>
    <x:row r="23" ht="14.25" customHeight="1">
      <x:c r="A23" s="10"/>
      <x:c r="B23" s="10"/>
      <x:c r="C23" s="10"/>
      <x:c r="D23" s="10"/>
      <x:c r="E23" s="10"/>
      <x:c r="F23" s="10"/>
      <x:c r="G23" s="10"/>
      <x:c r="H23" s="10"/>
    </x:row>
    <x:row r="24" ht="14.25" customHeight="1">
      <x:c r="A24" s="10"/>
      <x:c r="B24" s="10"/>
      <x:c r="C24" s="10"/>
      <x:c r="D24" s="10"/>
      <x:c r="E24" s="10"/>
      <x:c r="F24" s="10"/>
      <x:c r="G24" s="10"/>
      <x:c r="H24" s="10"/>
    </x:row>
    <x:row r="25" ht="14.25" customHeight="1">
      <x:c r="A25" s="10"/>
      <x:c r="B25" s="10"/>
      <x:c r="C25" s="10"/>
      <x:c r="D25" s="10"/>
      <x:c r="E25" s="10"/>
      <x:c r="F25" s="10"/>
      <x:c r="G25" s="10"/>
      <x:c r="H25" s="10"/>
    </x:row>
    <x:row r="26" ht="14.25" customHeight="1">
      <x:c r="A26" s="10"/>
      <x:c r="B26" s="10"/>
      <x:c r="C26" s="10"/>
      <x:c r="D26" s="10"/>
      <x:c r="E26" s="10"/>
      <x:c r="F26" s="10"/>
      <x:c r="G26" s="10"/>
      <x:c r="H26" s="10"/>
    </x:row>
    <x:row r="27" ht="14.25" customHeight="1">
      <x:c r="A27" s="10"/>
      <x:c r="B27" s="10"/>
      <x:c r="C27" s="10"/>
      <x:c r="D27" s="10"/>
      <x:c r="E27" s="10"/>
      <x:c r="F27" s="10"/>
      <x:c r="G27" s="10"/>
      <x:c r="H27" s="10"/>
    </x:row>
    <x:row r="28" ht="14.25" customHeight="1">
      <x:c r="A28" s="10"/>
      <x:c r="B28" s="10"/>
      <x:c r="C28" s="10"/>
      <x:c r="D28" s="10"/>
      <x:c r="E28" s="10"/>
      <x:c r="F28" s="10"/>
      <x:c r="G28" s="10"/>
      <x:c r="H28" s="10"/>
    </x:row>
    <x:row r="29" ht="14.25" customHeight="1">
      <x:c r="A29" s="10"/>
      <x:c r="B29" s="10"/>
      <x:c r="C29" s="10"/>
      <x:c r="D29" s="10"/>
      <x:c r="E29" s="10"/>
      <x:c r="F29" s="10"/>
      <x:c r="G29" s="10"/>
      <x:c r="H29" s="10"/>
    </x:row>
    <x:row r="30" ht="14.25" customHeight="1">
      <x:c r="A30" s="10"/>
      <x:c r="B30" s="10"/>
      <x:c r="C30" s="10"/>
      <x:c r="D30" s="10"/>
      <x:c r="E30" s="10"/>
      <x:c r="F30" s="10"/>
      <x:c r="G30" s="10"/>
      <x:c r="H30" s="10"/>
    </x:row>
    <x:row r="31" ht="14.25" customHeight="1">
      <x:c r="A31" s="10"/>
      <x:c r="B31" s="10"/>
      <x:c r="C31" s="10"/>
      <x:c r="D31" s="10"/>
      <x:c r="E31" s="10"/>
      <x:c r="F31" s="10"/>
      <x:c r="G31" s="10"/>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6.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939</x:v>
      </x:c>
      <x:c r="B1" s="10"/>
      <x:c r="C1" s="10"/>
      <x:c r="D1" s="10"/>
      <x:c r="E1" s="10"/>
      <x:c r="F1" s="10"/>
      <x:c r="G1" s="10"/>
      <x:c r="H1" s="10"/>
    </x:row>
    <x:row r="2" ht="14.25" customHeight="1">
      <x:c r="A2" s="10"/>
      <x:c r="B2" s="10"/>
      <x:c r="C2" s="10"/>
      <x:c r="D2" s="10"/>
      <x:c r="E2" s="10"/>
      <x:c r="F2" s="10"/>
      <x:c r="G2" s="10"/>
      <x:c r="H2" s="10"/>
    </x:row>
    <x:row r="3" ht="15" customHeight="1">
      <x:c r="A3" s="13" t="s">
        <x:v>940</x:v>
      </x:c>
      <x:c r="B3" s="10"/>
      <x:c r="C3" s="10"/>
      <x:c r="D3" s="10"/>
      <x:c r="E3" s="10"/>
      <x:c r="F3" s="10"/>
      <x:c r="G3" s="10"/>
      <x:c r="H3" s="10"/>
    </x:row>
    <x:row r="4" ht="15" customHeight="1">
      <x:c r="A4" s="14" t="s">
        <x:v>916</x:v>
      </x:c>
      <x:c r="B4" s="14" t="s">
        <x:v>11</x:v>
      </x:c>
      <x:c r="C4" s="14" t="s">
        <x:v>92</x:v>
      </x:c>
      <x:c r="D4" s="14" t="s">
        <x:v>22</x:v>
      </x:c>
      <x:c r="E4" s="14" t="s">
        <x:v>37</x:v>
      </x:c>
      <x:c r="F4" s="14" t="s">
        <x:v>62</x:v>
      </x:c>
      <x:c r="G4" s="14" t="s">
        <x:v>906</x:v>
      </x:c>
      <x:c r="H4" s="10"/>
    </x:row>
    <x:row r="5" ht="26.25" customHeight="1">
      <x:c r="A5" s="22" t="s">
        <x:v>941</x:v>
      </x:c>
      <x:c r="B5" s="16" t="n">
        <x:f>SUMIFS('Data (parsed)'!$I$2:$I$235,'Data (parsed)'!$B$2:$B$235,"Conscience",'Data (parsed)'!$C$2:$C$235,$A5,'Data (parsed)'!$D$2:$D$235,B$4)</x:f>
        <x:v>1</x:v>
      </x:c>
      <x:c r="C5" s="16" t="n">
        <x:f>SUMIFS('Data (parsed)'!$I$2:$I$235,'Data (parsed)'!$B$2:$B$235,"Conscience",'Data (parsed)'!$C$2:$C$235,$A5,'Data (parsed)'!$D$2:$D$235,C$4)</x:f>
        <x:v>2</x:v>
      </x:c>
      <x:c r="D5" s="16" t="n">
        <x:f>SUMIFS('Data (parsed)'!$I$2:$I$235,'Data (parsed)'!$B$2:$B$235,"Conscience",'Data (parsed)'!$C$2:$C$235,$A5,'Data (parsed)'!$D$2:$D$235,D$4)</x:f>
        <x:v>0</x:v>
      </x:c>
      <x:c r="E5" s="16" t="n">
        <x:f>SUMIFS('Data (parsed)'!$I$2:$I$235,'Data (parsed)'!$B$2:$B$235,"Conscience",'Data (parsed)'!$C$2:$C$235,$A5,'Data (parsed)'!$D$2:$D$235,E$4)</x:f>
        <x:v>4</x:v>
      </x:c>
      <x:c r="F5" s="16" t="n">
        <x:f>SUMIFS('Data (parsed)'!$I$2:$I$235,'Data (parsed)'!$B$2:$B$235,"Conscience",'Data (parsed)'!$C$2:$C$235,$A5,'Data (parsed)'!$D$2:$D$235,F$4)</x:f>
        <x:v>2</x:v>
      </x:c>
      <x:c r="G5" s="18" t="n">
        <x:f t="shared" ref="G5:G15" si="0">SUM(B5:F5)</x:f>
        <x:v>9</x:v>
      </x:c>
      <x:c r="H5" s="10"/>
    </x:row>
    <x:row r="6" ht="15" customHeight="1">
      <x:c r="A6" s="22" t="s">
        <x:v>942</x:v>
      </x:c>
      <x:c r="B6" s="16" t="n">
        <x:f>SUMIFS('Data (parsed)'!$I$2:$I$235,'Data (parsed)'!$B$2:$B$235,"Conscience",'Data (parsed)'!$C$2:$C$235,$A6,'Data (parsed)'!$D$2:$D$235,B$4)</x:f>
        <x:v>0</x:v>
      </x:c>
      <x:c r="C6" s="16" t="n">
        <x:f>SUMIFS('Data (parsed)'!$I$2:$I$235,'Data (parsed)'!$B$2:$B$235,"Conscience",'Data (parsed)'!$C$2:$C$235,$A6,'Data (parsed)'!$D$2:$D$235,C$4)</x:f>
        <x:v>0</x:v>
      </x:c>
      <x:c r="D6" s="16" t="n">
        <x:f>SUMIFS('Data (parsed)'!$I$2:$I$235,'Data (parsed)'!$B$2:$B$235,"Conscience",'Data (parsed)'!$C$2:$C$235,$A6,'Data (parsed)'!$D$2:$D$235,D$4)</x:f>
        <x:v>1</x:v>
      </x:c>
      <x:c r="E6" s="16" t="n">
        <x:f>SUMIFS('Data (parsed)'!$I$2:$I$235,'Data (parsed)'!$B$2:$B$235,"Conscience",'Data (parsed)'!$C$2:$C$235,$A6,'Data (parsed)'!$D$2:$D$235,E$4)</x:f>
        <x:v>6</x:v>
      </x:c>
      <x:c r="F6" s="16" t="n">
        <x:f>SUMIFS('Data (parsed)'!$I$2:$I$235,'Data (parsed)'!$B$2:$B$235,"Conscience",'Data (parsed)'!$C$2:$C$235,$A6,'Data (parsed)'!$D$2:$D$235,F$4)</x:f>
        <x:v>1</x:v>
      </x:c>
      <x:c r="G6" s="18">
        <x:f t="shared" si="0"/>
        <x:v>8</x:v>
      </x:c>
      <x:c r="H6" s="10"/>
    </x:row>
    <x:row r="7" ht="15" customHeight="1">
      <x:c r="A7" s="22" t="s">
        <x:v>943</x:v>
      </x:c>
      <x:c r="B7" s="16" t="n">
        <x:f>SUMIFS('Data (parsed)'!$I$2:$I$235,'Data (parsed)'!$B$2:$B$235,"Conscience",'Data (parsed)'!$C$2:$C$235,$A7,'Data (parsed)'!$D$2:$D$235,B$4)</x:f>
        <x:v>0</x:v>
      </x:c>
      <x:c r="C7" s="16" t="n">
        <x:f>SUMIFS('Data (parsed)'!$I$2:$I$235,'Data (parsed)'!$B$2:$B$235,"Conscience",'Data (parsed)'!$C$2:$C$235,$A7,'Data (parsed)'!$D$2:$D$235,C$4)</x:f>
        <x:v>2</x:v>
      </x:c>
      <x:c r="D7" s="16" t="n">
        <x:f>SUMIFS('Data (parsed)'!$I$2:$I$235,'Data (parsed)'!$B$2:$B$235,"Conscience",'Data (parsed)'!$C$2:$C$235,$A7,'Data (parsed)'!$D$2:$D$235,D$4)</x:f>
        <x:v>2</x:v>
      </x:c>
      <x:c r="E7" s="16" t="n">
        <x:f>SUMIFS('Data (parsed)'!$I$2:$I$235,'Data (parsed)'!$B$2:$B$235,"Conscience",'Data (parsed)'!$C$2:$C$235,$A7,'Data (parsed)'!$D$2:$D$235,E$4)</x:f>
        <x:v>0</x:v>
      </x:c>
      <x:c r="F7" s="16" t="n">
        <x:f>SUMIFS('Data (parsed)'!$I$2:$I$235,'Data (parsed)'!$B$2:$B$235,"Conscience",'Data (parsed)'!$C$2:$C$235,$A7,'Data (parsed)'!$D$2:$D$235,F$4)</x:f>
        <x:v>3</x:v>
      </x:c>
      <x:c r="G7" s="18">
        <x:f t="shared" si="0"/>
        <x:v>7</x:v>
      </x:c>
      <x:c r="H7" s="10"/>
    </x:row>
    <x:row r="8" ht="15" customHeight="1">
      <x:c r="A8" s="22" t="s">
        <x:v>944</x:v>
      </x:c>
      <x:c r="B8" s="16" t="n">
        <x:f>SUMIFS('Data (parsed)'!$I$2:$I$235,'Data (parsed)'!$B$2:$B$235,"Conscience",'Data (parsed)'!$C$2:$C$235,$A8,'Data (parsed)'!$D$2:$D$235,B$4)</x:f>
        <x:v>0</x:v>
      </x:c>
      <x:c r="C8" s="16" t="n">
        <x:f>SUMIFS('Data (parsed)'!$I$2:$I$235,'Data (parsed)'!$B$2:$B$235,"Conscience",'Data (parsed)'!$C$2:$C$235,$A8,'Data (parsed)'!$D$2:$D$235,C$4)</x:f>
        <x:v>0</x:v>
      </x:c>
      <x:c r="D8" s="16" t="n">
        <x:f>SUMIFS('Data (parsed)'!$I$2:$I$235,'Data (parsed)'!$B$2:$B$235,"Conscience",'Data (parsed)'!$C$2:$C$235,$A8,'Data (parsed)'!$D$2:$D$235,D$4)</x:f>
        <x:v>0</x:v>
      </x:c>
      <x:c r="E8" s="16" t="n">
        <x:f>SUMIFS('Data (parsed)'!$I$2:$I$235,'Data (parsed)'!$B$2:$B$235,"Conscience",'Data (parsed)'!$C$2:$C$235,$A8,'Data (parsed)'!$D$2:$D$235,E$4)</x:f>
        <x:v>3</x:v>
      </x:c>
      <x:c r="F8" s="16" t="n">
        <x:f>SUMIFS('Data (parsed)'!$I$2:$I$235,'Data (parsed)'!$B$2:$B$235,"Conscience",'Data (parsed)'!$C$2:$C$235,$A8,'Data (parsed)'!$D$2:$D$235,F$4)</x:f>
        <x:v>1</x:v>
      </x:c>
      <x:c r="G8" s="18">
        <x:f t="shared" si="0"/>
        <x:v>4</x:v>
      </x:c>
      <x:c r="H8" s="10"/>
    </x:row>
    <x:row r="9" ht="15" customHeight="1">
      <x:c r="A9" s="22" t="s">
        <x:v>945</x:v>
      </x:c>
      <x:c r="B9" s="16" t="n">
        <x:f>SUMIFS('Data (parsed)'!$I$2:$I$235,'Data (parsed)'!$B$2:$B$235,"Conscience",'Data (parsed)'!$C$2:$C$235,$A9,'Data (parsed)'!$D$2:$D$235,B$4)</x:f>
        <x:v>0</x:v>
      </x:c>
      <x:c r="C9" s="16" t="n">
        <x:f>SUMIFS('Data (parsed)'!$I$2:$I$235,'Data (parsed)'!$B$2:$B$235,"Conscience",'Data (parsed)'!$C$2:$C$235,$A9,'Data (parsed)'!$D$2:$D$235,C$4)</x:f>
        <x:v>1</x:v>
      </x:c>
      <x:c r="D9" s="16" t="n">
        <x:f>SUMIFS('Data (parsed)'!$I$2:$I$235,'Data (parsed)'!$B$2:$B$235,"Conscience",'Data (parsed)'!$C$2:$C$235,$A9,'Data (parsed)'!$D$2:$D$235,D$4)</x:f>
        <x:v>0</x:v>
      </x:c>
      <x:c r="E9" s="16" t="n">
        <x:f>SUMIFS('Data (parsed)'!$I$2:$I$235,'Data (parsed)'!$B$2:$B$235,"Conscience",'Data (parsed)'!$C$2:$C$235,$A9,'Data (parsed)'!$D$2:$D$235,E$4)</x:f>
        <x:v>1</x:v>
      </x:c>
      <x:c r="F9" s="16" t="n">
        <x:f>SUMIFS('Data (parsed)'!$I$2:$I$235,'Data (parsed)'!$B$2:$B$235,"Conscience",'Data (parsed)'!$C$2:$C$235,$A9,'Data (parsed)'!$D$2:$D$235,F$4)</x:f>
        <x:v>1</x:v>
      </x:c>
      <x:c r="G9" s="18">
        <x:f t="shared" si="0"/>
        <x:v>3</x:v>
      </x:c>
      <x:c r="H9" s="10"/>
    </x:row>
    <x:row r="10" ht="15" customHeight="1">
      <x:c r="A10" s="22" t="s">
        <x:v>946</x:v>
      </x:c>
      <x:c r="B10" s="16" t="n">
        <x:f>SUMIFS('Data (parsed)'!$I$2:$I$235,'Data (parsed)'!$B$2:$B$235,"Conscience",'Data (parsed)'!$C$2:$C$235,$A10,'Data (parsed)'!$D$2:$D$235,B$4)</x:f>
        <x:v>0</x:v>
      </x:c>
      <x:c r="C10" s="16" t="n">
        <x:f>SUMIFS('Data (parsed)'!$I$2:$I$235,'Data (parsed)'!$B$2:$B$235,"Conscience",'Data (parsed)'!$C$2:$C$235,$A10,'Data (parsed)'!$D$2:$D$235,C$4)</x:f>
        <x:v>0</x:v>
      </x:c>
      <x:c r="D10" s="16" t="n">
        <x:f>SUMIFS('Data (parsed)'!$I$2:$I$235,'Data (parsed)'!$B$2:$B$235,"Conscience",'Data (parsed)'!$C$2:$C$235,$A10,'Data (parsed)'!$D$2:$D$235,D$4)</x:f>
        <x:v>0</x:v>
      </x:c>
      <x:c r="E10" s="16" t="n">
        <x:f>SUMIFS('Data (parsed)'!$I$2:$I$235,'Data (parsed)'!$B$2:$B$235,"Conscience",'Data (parsed)'!$C$2:$C$235,$A10,'Data (parsed)'!$D$2:$D$235,E$4)</x:f>
        <x:v>2</x:v>
      </x:c>
      <x:c r="F10" s="16" t="n">
        <x:f>SUMIFS('Data (parsed)'!$I$2:$I$235,'Data (parsed)'!$B$2:$B$235,"Conscience",'Data (parsed)'!$C$2:$C$235,$A10,'Data (parsed)'!$D$2:$D$235,F$4)</x:f>
        <x:v>0</x:v>
      </x:c>
      <x:c r="G10" s="18">
        <x:f t="shared" si="0"/>
        <x:v>2</x:v>
      </x:c>
      <x:c r="H10" s="10"/>
    </x:row>
    <x:row r="11" ht="15" customHeight="1">
      <x:c r="A11" s="22" t="s">
        <x:v>649</x:v>
      </x:c>
      <x:c r="B11" s="16" t="n">
        <x:f>SUMIFS('Data (parsed)'!$I$2:$I$235,'Data (parsed)'!$B$2:$B$235,"Conscience",'Data (parsed)'!$C$2:$C$235,$A11,'Data (parsed)'!$D$2:$D$235,B$4)</x:f>
        <x:v>1</x:v>
      </x:c>
      <x:c r="C11" s="16" t="n">
        <x:f>SUMIFS('Data (parsed)'!$I$2:$I$235,'Data (parsed)'!$B$2:$B$235,"Conscience",'Data (parsed)'!$C$2:$C$235,$A11,'Data (parsed)'!$D$2:$D$235,C$4)</x:f>
        <x:v>1</x:v>
      </x:c>
      <x:c r="D11" s="16" t="n">
        <x:f>SUMIFS('Data (parsed)'!$I$2:$I$235,'Data (parsed)'!$B$2:$B$235,"Conscience",'Data (parsed)'!$C$2:$C$235,$A11,'Data (parsed)'!$D$2:$D$235,D$4)</x:f>
        <x:v>0</x:v>
      </x:c>
      <x:c r="E11" s="16" t="n">
        <x:f>SUMIFS('Data (parsed)'!$I$2:$I$235,'Data (parsed)'!$B$2:$B$235,"Conscience",'Data (parsed)'!$C$2:$C$235,$A11,'Data (parsed)'!$D$2:$D$235,E$4)</x:f>
        <x:v>0</x:v>
      </x:c>
      <x:c r="F11" s="16" t="n">
        <x:f>SUMIFS('Data (parsed)'!$I$2:$I$235,'Data (parsed)'!$B$2:$B$235,"Conscience",'Data (parsed)'!$C$2:$C$235,$A11,'Data (parsed)'!$D$2:$D$235,F$4)</x:f>
        <x:v>0</x:v>
      </x:c>
      <x:c r="G11" s="18">
        <x:f t="shared" si="0"/>
        <x:v>2</x:v>
      </x:c>
      <x:c r="H11" s="10"/>
    </x:row>
    <x:row r="12" ht="15" customHeight="1">
      <x:c r="A12" s="22" t="s">
        <x:v>947</x:v>
      </x:c>
      <x:c r="B12" s="16" t="n">
        <x:f>SUMIFS('Data (parsed)'!$I$2:$I$235,'Data (parsed)'!$B$2:$B$235,"Conscience",'Data (parsed)'!$C$2:$C$235,$A12,'Data (parsed)'!$D$2:$D$235,B$4)</x:f>
        <x:v>0</x:v>
      </x:c>
      <x:c r="C12" s="16" t="n">
        <x:f>SUMIFS('Data (parsed)'!$I$2:$I$235,'Data (parsed)'!$B$2:$B$235,"Conscience",'Data (parsed)'!$C$2:$C$235,$A12,'Data (parsed)'!$D$2:$D$235,C$4)</x:f>
        <x:v>0</x:v>
      </x:c>
      <x:c r="D12" s="16" t="n">
        <x:f>SUMIFS('Data (parsed)'!$I$2:$I$235,'Data (parsed)'!$B$2:$B$235,"Conscience",'Data (parsed)'!$C$2:$C$235,$A12,'Data (parsed)'!$D$2:$D$235,D$4)</x:f>
        <x:v>1</x:v>
      </x:c>
      <x:c r="E12" s="16" t="n">
        <x:f>SUMIFS('Data (parsed)'!$I$2:$I$235,'Data (parsed)'!$B$2:$B$235,"Conscience",'Data (parsed)'!$C$2:$C$235,$A12,'Data (parsed)'!$D$2:$D$235,E$4)</x:f>
        <x:v>0</x:v>
      </x:c>
      <x:c r="F12" s="16" t="n">
        <x:f>SUMIFS('Data (parsed)'!$I$2:$I$235,'Data (parsed)'!$B$2:$B$235,"Conscience",'Data (parsed)'!$C$2:$C$235,$A12,'Data (parsed)'!$D$2:$D$235,F$4)</x:f>
        <x:v>0</x:v>
      </x:c>
      <x:c r="G12" s="18">
        <x:f t="shared" si="0"/>
        <x:v>1</x:v>
      </x:c>
      <x:c r="H12" s="10"/>
    </x:row>
    <x:row r="13" ht="15" customHeight="1">
      <x:c r="A13" s="22" t="s">
        <x:v>948</x:v>
      </x:c>
      <x:c r="B13" s="16" t="n">
        <x:f>SUMIFS('Data (parsed)'!$I$2:$I$235,'Data (parsed)'!$B$2:$B$235,"Conscience",'Data (parsed)'!$C$2:$C$235,$A13,'Data (parsed)'!$D$2:$D$235,B$4)</x:f>
        <x:v>0</x:v>
      </x:c>
      <x:c r="C13" s="16" t="n">
        <x:f>SUMIFS('Data (parsed)'!$I$2:$I$235,'Data (parsed)'!$B$2:$B$235,"Conscience",'Data (parsed)'!$C$2:$C$235,$A13,'Data (parsed)'!$D$2:$D$235,C$4)</x:f>
        <x:v>0</x:v>
      </x:c>
      <x:c r="D13" s="16" t="n">
        <x:f>SUMIFS('Data (parsed)'!$I$2:$I$235,'Data (parsed)'!$B$2:$B$235,"Conscience",'Data (parsed)'!$C$2:$C$235,$A13,'Data (parsed)'!$D$2:$D$235,D$4)</x:f>
        <x:v>0</x:v>
      </x:c>
      <x:c r="E13" s="16" t="n">
        <x:f>SUMIFS('Data (parsed)'!$I$2:$I$235,'Data (parsed)'!$B$2:$B$235,"Conscience",'Data (parsed)'!$C$2:$C$235,$A13,'Data (parsed)'!$D$2:$D$235,E$4)</x:f>
        <x:v>1</x:v>
      </x:c>
      <x:c r="F13" s="16" t="n">
        <x:f>SUMIFS('Data (parsed)'!$I$2:$I$235,'Data (parsed)'!$B$2:$B$235,"Conscience",'Data (parsed)'!$C$2:$C$235,$A13,'Data (parsed)'!$D$2:$D$235,F$4)</x:f>
        <x:v>0</x:v>
      </x:c>
      <x:c r="G13" s="18">
        <x:f t="shared" si="0"/>
        <x:v>1</x:v>
      </x:c>
      <x:c r="H13" s="10"/>
    </x:row>
    <x:row r="14" ht="15" customHeight="1">
      <x:c r="A14" s="22" t="s">
        <x:v>949</x:v>
      </x:c>
      <x:c r="B14" s="16" t="n">
        <x:f>SUMIFS('Data (parsed)'!$I$2:$I$235,'Data (parsed)'!$B$2:$B$235,"Conscience",'Data (parsed)'!$C$2:$C$235,$A14,'Data (parsed)'!$D$2:$D$235,B$4)</x:f>
        <x:v>1</x:v>
      </x:c>
      <x:c r="C14" s="16" t="n">
        <x:f>SUMIFS('Data (parsed)'!$I$2:$I$235,'Data (parsed)'!$B$2:$B$235,"Conscience",'Data (parsed)'!$C$2:$C$235,$A14,'Data (parsed)'!$D$2:$D$235,C$4)</x:f>
        <x:v>0</x:v>
      </x:c>
      <x:c r="D14" s="16" t="n">
        <x:f>SUMIFS('Data (parsed)'!$I$2:$I$235,'Data (parsed)'!$B$2:$B$235,"Conscience",'Data (parsed)'!$C$2:$C$235,$A14,'Data (parsed)'!$D$2:$D$235,D$4)</x:f>
        <x:v>0</x:v>
      </x:c>
      <x:c r="E14" s="16" t="n">
        <x:f>SUMIFS('Data (parsed)'!$I$2:$I$235,'Data (parsed)'!$B$2:$B$235,"Conscience",'Data (parsed)'!$C$2:$C$235,$A14,'Data (parsed)'!$D$2:$D$235,E$4)</x:f>
        <x:v>0</x:v>
      </x:c>
      <x:c r="F14" s="16" t="n">
        <x:f>SUMIFS('Data (parsed)'!$I$2:$I$235,'Data (parsed)'!$B$2:$B$235,"Conscience",'Data (parsed)'!$C$2:$C$235,$A14,'Data (parsed)'!$D$2:$D$235,F$4)</x:f>
        <x:v>0</x:v>
      </x:c>
      <x:c r="G14" s="18">
        <x:f t="shared" si="0"/>
        <x:v>1</x:v>
      </x:c>
      <x:c r="H14" s="10"/>
    </x:row>
    <x:row r="15" ht="15" customHeight="1">
      <x:c r="A15" s="22" t="s">
        <x:v>950</x:v>
      </x:c>
      <x:c r="B15" s="16" t="n">
        <x:f>SUMIFS('Data (parsed)'!$I$2:$I$235,'Data (parsed)'!$B$2:$B$235,"Conscience",'Data (parsed)'!$C$2:$C$235,$A15,'Data (parsed)'!$D$2:$D$235,B$4)</x:f>
        <x:v>0</x:v>
      </x:c>
      <x:c r="C15" s="16" t="n">
        <x:f>SUMIFS('Data (parsed)'!$I$2:$I$235,'Data (parsed)'!$B$2:$B$235,"Conscience",'Data (parsed)'!$C$2:$C$235,$A15,'Data (parsed)'!$D$2:$D$235,C$4)</x:f>
        <x:v>0</x:v>
      </x:c>
      <x:c r="D15" s="16" t="n">
        <x:f>SUMIFS('Data (parsed)'!$I$2:$I$235,'Data (parsed)'!$B$2:$B$235,"Conscience",'Data (parsed)'!$C$2:$C$235,$A15,'Data (parsed)'!$D$2:$D$235,D$4)</x:f>
        <x:v>1</x:v>
      </x:c>
      <x:c r="E15" s="16" t="n">
        <x:f>SUMIFS('Data (parsed)'!$I$2:$I$235,'Data (parsed)'!$B$2:$B$235,"Conscience",'Data (parsed)'!$C$2:$C$235,$A15,'Data (parsed)'!$D$2:$D$235,E$4)</x:f>
        <x:v>0</x:v>
      </x:c>
      <x:c r="F15" s="16" t="n">
        <x:f>SUMIFS('Data (parsed)'!$I$2:$I$235,'Data (parsed)'!$B$2:$B$235,"Conscience",'Data (parsed)'!$C$2:$C$235,$A15,'Data (parsed)'!$D$2:$D$235,F$4)</x:f>
        <x:v>0</x:v>
      </x:c>
      <x:c r="G15" s="18">
        <x:f t="shared" si="0"/>
        <x:v>1</x:v>
      </x:c>
      <x:c r="H15" s="10"/>
    </x:row>
    <x:row r="16" ht="15" customHeight="1">
      <x:c r="A16" s="17" t="s">
        <x:v>906</x:v>
      </x:c>
      <x:c r="B16" s="18" t="n">
        <x:f t="shared" ref="B16:G16" si="1">SUM(B5:B15)</x:f>
        <x:v>3</x:v>
      </x:c>
      <x:c r="C16" s="18">
        <x:f t="shared" si="1"/>
        <x:v>6</x:v>
      </x:c>
      <x:c r="D16" s="18">
        <x:f t="shared" si="1"/>
        <x:v>5</x:v>
      </x:c>
      <x:c r="E16" s="18">
        <x:f t="shared" si="1"/>
        <x:v>17</x:v>
      </x:c>
      <x:c r="F16" s="18">
        <x:f t="shared" si="1"/>
        <x:v>8</x:v>
      </x:c>
      <x:c r="G16" s="18">
        <x:f t="shared" si="1"/>
        <x:v>39</x:v>
      </x:c>
      <x:c r="H16" s="10"/>
    </x:row>
    <x:row r="17" ht="14.25" customHeight="1">
      <x:c r="A17" s="10"/>
      <x:c r="B17" s="10"/>
      <x:c r="C17" s="10"/>
      <x:c r="D17" s="10"/>
      <x:c r="E17" s="10"/>
      <x:c r="F17" s="10"/>
      <x:c r="G17" s="10"/>
      <x:c r="H17" s="10"/>
    </x:row>
    <x:row r="18" ht="15" customHeight="1">
      <x:c r="A18" s="13" t="s">
        <x:v>951</x:v>
      </x:c>
      <x:c r="B18" s="10"/>
      <x:c r="C18" s="10"/>
      <x:c r="D18" s="10"/>
      <x:c r="E18" s="10"/>
      <x:c r="F18" s="10"/>
      <x:c r="G18" s="10"/>
      <x:c r="H18" s="10"/>
    </x:row>
    <x:row r="19" ht="15" customHeight="1">
      <x:c r="A19" s="14" t="s">
        <x:v>916</x:v>
      </x:c>
      <x:c r="B19" s="14" t="s">
        <x:v>14</x:v>
      </x:c>
      <x:c r="C19" s="14" t="s">
        <x:v>95</x:v>
      </x:c>
      <x:c r="D19" s="14" t="s">
        <x:v>84</x:v>
      </x:c>
      <x:c r="E19" s="14" t="s">
        <x:v>89</x:v>
      </x:c>
      <x:c r="F19" s="14" t="s">
        <x:v>929</x:v>
      </x:c>
      <x:c r="G19" s="14" t="s">
        <x:v>901</x:v>
      </x:c>
      <x:c r="H19" s="10"/>
    </x:row>
    <x:row r="20" ht="26.25" customHeight="1">
      <x:c r="A20" s="22" t="s">
        <x:v>941</x:v>
      </x:c>
      <x:c r="B20" s="16" t="n">
        <x:f>COUNTIFS('Data (parsed)'!$E$2:$E$235,B$19,'Data (parsed)'!$B$2:$B$235,"Conscience",'Data (parsed)'!$C$2:$C$235,$A20)</x:f>
        <x:v>6</x:v>
      </x:c>
      <x:c r="C20" s="16" t="n">
        <x:f>COUNTIFS('Data (parsed)'!$E$2:$E$235,C$19,'Data (parsed)'!$B$2:$B$235,"Conscience",'Data (parsed)'!$C$2:$C$235,$A20)</x:f>
        <x:v>0</x:v>
      </x:c>
      <x:c r="D20" s="16" t="n">
        <x:f>COUNTIFS('Data (parsed)'!$E$2:$E$235,D$19,'Data (parsed)'!$B$2:$B$235,"Conscience",'Data (parsed)'!$C$2:$C$235,$A20)</x:f>
        <x:v>0</x:v>
      </x:c>
      <x:c r="E20" s="16" t="n">
        <x:f>COUNTIFS('Data (parsed)'!$E$2:$E$235,E$19,'Data (parsed)'!$B$2:$B$235,"Conscience",'Data (parsed)'!$C$2:$C$235,$A20)</x:f>
        <x:v>0</x:v>
      </x:c>
      <x:c r="F20" s="16" t="n">
        <x:f>SUMIFS('Data (parsed)'!$I$2:$I$235,'Data (parsed)'!$B$2:$B$235,"Conscience",'Data (parsed)'!$C$2:$C$235,$A20,'Data (parsed)'!$J$2:$J$235,0)</x:f>
        <x:v>3</x:v>
      </x:c>
      <x:c r="G20" s="18" t="n">
        <x:f>SUMIFS('Data (parsed)'!$I$2:$I$235,'Data (parsed)'!$B$2:$B$235,"Conscience",'Data (parsed)'!$C$2:$C$235,$A20)</x:f>
        <x:v>9</x:v>
      </x:c>
      <x:c r="H20" s="10"/>
    </x:row>
    <x:row r="21" ht="15" customHeight="1">
      <x:c r="A21" s="22" t="s">
        <x:v>942</x:v>
      </x:c>
      <x:c r="B21" s="16" t="n">
        <x:f>COUNTIFS('Data (parsed)'!$E$2:$E$235,B$19,'Data (parsed)'!$B$2:$B$235,"Conscience",'Data (parsed)'!$C$2:$C$235,$A21)</x:f>
        <x:v>5</x:v>
      </x:c>
      <x:c r="C21" s="16" t="n">
        <x:f>COUNTIFS('Data (parsed)'!$E$2:$E$235,C$19,'Data (parsed)'!$B$2:$B$235,"Conscience",'Data (parsed)'!$C$2:$C$235,$A21)</x:f>
        <x:v>0</x:v>
      </x:c>
      <x:c r="D21" s="16" t="n">
        <x:f>COUNTIFS('Data (parsed)'!$E$2:$E$235,D$19,'Data (parsed)'!$B$2:$B$235,"Conscience",'Data (parsed)'!$C$2:$C$235,$A21)</x:f>
        <x:v>2</x:v>
      </x:c>
      <x:c r="E21" s="16" t="n">
        <x:f>COUNTIFS('Data (parsed)'!$E$2:$E$235,E$19,'Data (parsed)'!$B$2:$B$235,"Conscience",'Data (parsed)'!$C$2:$C$235,$A21)</x:f>
        <x:v>0</x:v>
      </x:c>
      <x:c r="F21" s="16" t="n">
        <x:f>SUMIFS('Data (parsed)'!$I$2:$I$235,'Data (parsed)'!$B$2:$B$235,"Conscience",'Data (parsed)'!$C$2:$C$235,$A21,'Data (parsed)'!$J$2:$J$235,0)</x:f>
        <x:v>1</x:v>
      </x:c>
      <x:c r="G21" s="18" t="n">
        <x:f>SUMIFS('Data (parsed)'!$I$2:$I$235,'Data (parsed)'!$B$2:$B$235,"Conscience",'Data (parsed)'!$C$2:$C$235,$A21)</x:f>
        <x:v>8</x:v>
      </x:c>
      <x:c r="H21" s="10"/>
    </x:row>
    <x:row r="22" ht="15" customHeight="1">
      <x:c r="A22" s="22" t="s">
        <x:v>943</x:v>
      </x:c>
      <x:c r="B22" s="16" t="n">
        <x:f>COUNTIFS('Data (parsed)'!$E$2:$E$235,B$19,'Data (parsed)'!$B$2:$B$235,"Conscience",'Data (parsed)'!$C$2:$C$235,$A22)</x:f>
        <x:v>6</x:v>
      </x:c>
      <x:c r="C22" s="16" t="n">
        <x:f>COUNTIFS('Data (parsed)'!$E$2:$E$235,C$19,'Data (parsed)'!$B$2:$B$235,"Conscience",'Data (parsed)'!$C$2:$C$235,$A22)</x:f>
        <x:v>0</x:v>
      </x:c>
      <x:c r="D22" s="16" t="n">
        <x:f>COUNTIFS('Data (parsed)'!$E$2:$E$235,D$19,'Data (parsed)'!$B$2:$B$235,"Conscience",'Data (parsed)'!$C$2:$C$235,$A22)</x:f>
        <x:v>0</x:v>
      </x:c>
      <x:c r="E22" s="16" t="n">
        <x:f>COUNTIFS('Data (parsed)'!$E$2:$E$235,E$19,'Data (parsed)'!$B$2:$B$235,"Conscience",'Data (parsed)'!$C$2:$C$235,$A22)</x:f>
        <x:v>1</x:v>
      </x:c>
      <x:c r="F22" s="16" t="n">
        <x:f>SUMIFS('Data (parsed)'!$I$2:$I$235,'Data (parsed)'!$B$2:$B$235,"Conscience",'Data (parsed)'!$C$2:$C$235,$A22,'Data (parsed)'!$J$2:$J$235,0)</x:f>
        <x:v>0</x:v>
      </x:c>
      <x:c r="G22" s="18" t="n">
        <x:f>SUMIFS('Data (parsed)'!$I$2:$I$235,'Data (parsed)'!$B$2:$B$235,"Conscience",'Data (parsed)'!$C$2:$C$235,$A22)</x:f>
        <x:v>7</x:v>
      </x:c>
      <x:c r="H22" s="10"/>
    </x:row>
    <x:row r="23" ht="15" customHeight="1">
      <x:c r="A23" s="22" t="s">
        <x:v>944</x:v>
      </x:c>
      <x:c r="B23" s="16" t="n">
        <x:f>COUNTIFS('Data (parsed)'!$E$2:$E$235,B$19,'Data (parsed)'!$B$2:$B$235,"Conscience",'Data (parsed)'!$C$2:$C$235,$A23)</x:f>
        <x:v>3</x:v>
      </x:c>
      <x:c r="C23" s="16" t="n">
        <x:f>COUNTIFS('Data (parsed)'!$E$2:$E$235,C$19,'Data (parsed)'!$B$2:$B$235,"Conscience",'Data (parsed)'!$C$2:$C$235,$A23)</x:f>
        <x:v>0</x:v>
      </x:c>
      <x:c r="D23" s="16" t="n">
        <x:f>COUNTIFS('Data (parsed)'!$E$2:$E$235,D$19,'Data (parsed)'!$B$2:$B$235,"Conscience",'Data (parsed)'!$C$2:$C$235,$A23)</x:f>
        <x:v>0</x:v>
      </x:c>
      <x:c r="E23" s="16" t="n">
        <x:f>COUNTIFS('Data (parsed)'!$E$2:$E$235,E$19,'Data (parsed)'!$B$2:$B$235,"Conscience",'Data (parsed)'!$C$2:$C$235,$A23)</x:f>
        <x:v>0</x:v>
      </x:c>
      <x:c r="F23" s="16" t="n">
        <x:f>SUMIFS('Data (parsed)'!$I$2:$I$235,'Data (parsed)'!$B$2:$B$235,"Conscience",'Data (parsed)'!$C$2:$C$235,$A23,'Data (parsed)'!$J$2:$J$235,0)</x:f>
        <x:v>1</x:v>
      </x:c>
      <x:c r="G23" s="18" t="n">
        <x:f>SUMIFS('Data (parsed)'!$I$2:$I$235,'Data (parsed)'!$B$2:$B$235,"Conscience",'Data (parsed)'!$C$2:$C$235,$A23)</x:f>
        <x:v>4</x:v>
      </x:c>
      <x:c r="H23" s="10"/>
    </x:row>
    <x:row r="24" ht="15" customHeight="1">
      <x:c r="A24" s="22" t="s">
        <x:v>945</x:v>
      </x:c>
      <x:c r="B24" s="16" t="n">
        <x:f>COUNTIFS('Data (parsed)'!$E$2:$E$235,B$19,'Data (parsed)'!$B$2:$B$235,"Conscience",'Data (parsed)'!$C$2:$C$235,$A24)</x:f>
        <x:v>3</x:v>
      </x:c>
      <x:c r="C24" s="16" t="n">
        <x:f>COUNTIFS('Data (parsed)'!$E$2:$E$235,C$19,'Data (parsed)'!$B$2:$B$235,"Conscience",'Data (parsed)'!$C$2:$C$235,$A24)</x:f>
        <x:v>0</x:v>
      </x:c>
      <x:c r="D24" s="16" t="n">
        <x:f>COUNTIFS('Data (parsed)'!$E$2:$E$235,D$19,'Data (parsed)'!$B$2:$B$235,"Conscience",'Data (parsed)'!$C$2:$C$235,$A24)</x:f>
        <x:v>0</x:v>
      </x:c>
      <x:c r="E24" s="16" t="n">
        <x:f>COUNTIFS('Data (parsed)'!$E$2:$E$235,E$19,'Data (parsed)'!$B$2:$B$235,"Conscience",'Data (parsed)'!$C$2:$C$235,$A24)</x:f>
        <x:v>0</x:v>
      </x:c>
      <x:c r="F24" s="16" t="n">
        <x:f>SUMIFS('Data (parsed)'!$I$2:$I$235,'Data (parsed)'!$B$2:$B$235,"Conscience",'Data (parsed)'!$C$2:$C$235,$A24,'Data (parsed)'!$J$2:$J$235,0)</x:f>
        <x:v>0</x:v>
      </x:c>
      <x:c r="G24" s="18" t="n">
        <x:f>SUMIFS('Data (parsed)'!$I$2:$I$235,'Data (parsed)'!$B$2:$B$235,"Conscience",'Data (parsed)'!$C$2:$C$235,$A24)</x:f>
        <x:v>3</x:v>
      </x:c>
      <x:c r="H24" s="10"/>
    </x:row>
    <x:row r="25" ht="15" customHeight="1">
      <x:c r="A25" s="22" t="s">
        <x:v>946</x:v>
      </x:c>
      <x:c r="B25" s="16" t="n">
        <x:f>COUNTIFS('Data (parsed)'!$E$2:$E$235,B$19,'Data (parsed)'!$B$2:$B$235,"Conscience",'Data (parsed)'!$C$2:$C$235,$A25)</x:f>
        <x:v>2</x:v>
      </x:c>
      <x:c r="C25" s="16" t="n">
        <x:f>COUNTIFS('Data (parsed)'!$E$2:$E$235,C$19,'Data (parsed)'!$B$2:$B$235,"Conscience",'Data (parsed)'!$C$2:$C$235,$A25)</x:f>
        <x:v>0</x:v>
      </x:c>
      <x:c r="D25" s="16" t="n">
        <x:f>COUNTIFS('Data (parsed)'!$E$2:$E$235,D$19,'Data (parsed)'!$B$2:$B$235,"Conscience",'Data (parsed)'!$C$2:$C$235,$A25)</x:f>
        <x:v>0</x:v>
      </x:c>
      <x:c r="E25" s="16" t="n">
        <x:f>COUNTIFS('Data (parsed)'!$E$2:$E$235,E$19,'Data (parsed)'!$B$2:$B$235,"Conscience",'Data (parsed)'!$C$2:$C$235,$A25)</x:f>
        <x:v>0</x:v>
      </x:c>
      <x:c r="F25" s="16" t="n">
        <x:f>SUMIFS('Data (parsed)'!$I$2:$I$235,'Data (parsed)'!$B$2:$B$235,"Conscience",'Data (parsed)'!$C$2:$C$235,$A25,'Data (parsed)'!$J$2:$J$235,0)</x:f>
        <x:v>0</x:v>
      </x:c>
      <x:c r="G25" s="18" t="n">
        <x:f>SUMIFS('Data (parsed)'!$I$2:$I$235,'Data (parsed)'!$B$2:$B$235,"Conscience",'Data (parsed)'!$C$2:$C$235,$A25)</x:f>
        <x:v>2</x:v>
      </x:c>
      <x:c r="H25" s="10"/>
    </x:row>
    <x:row r="26" ht="15" customHeight="1">
      <x:c r="A26" s="22" t="s">
        <x:v>649</x:v>
      </x:c>
      <x:c r="B26" s="16" t="n">
        <x:f>COUNTIFS('Data (parsed)'!$E$2:$E$235,B$19,'Data (parsed)'!$B$2:$B$235,"Conscience",'Data (parsed)'!$C$2:$C$235,$A26)</x:f>
        <x:v>2</x:v>
      </x:c>
      <x:c r="C26" s="16" t="n">
        <x:f>COUNTIFS('Data (parsed)'!$E$2:$E$235,C$19,'Data (parsed)'!$B$2:$B$235,"Conscience",'Data (parsed)'!$C$2:$C$235,$A26)</x:f>
        <x:v>0</x:v>
      </x:c>
      <x:c r="D26" s="16" t="n">
        <x:f>COUNTIFS('Data (parsed)'!$E$2:$E$235,D$19,'Data (parsed)'!$B$2:$B$235,"Conscience",'Data (parsed)'!$C$2:$C$235,$A26)</x:f>
        <x:v>0</x:v>
      </x:c>
      <x:c r="E26" s="16" t="n">
        <x:f>COUNTIFS('Data (parsed)'!$E$2:$E$235,E$19,'Data (parsed)'!$B$2:$B$235,"Conscience",'Data (parsed)'!$C$2:$C$235,$A26)</x:f>
        <x:v>0</x:v>
      </x:c>
      <x:c r="F26" s="16" t="n">
        <x:f>SUMIFS('Data (parsed)'!$I$2:$I$235,'Data (parsed)'!$B$2:$B$235,"Conscience",'Data (parsed)'!$C$2:$C$235,$A26,'Data (parsed)'!$J$2:$J$235,0)</x:f>
        <x:v>0</x:v>
      </x:c>
      <x:c r="G26" s="18" t="n">
        <x:f>SUMIFS('Data (parsed)'!$I$2:$I$235,'Data (parsed)'!$B$2:$B$235,"Conscience",'Data (parsed)'!$C$2:$C$235,$A26)</x:f>
        <x:v>2</x:v>
      </x:c>
      <x:c r="H26" s="10"/>
    </x:row>
    <x:row r="27" ht="15" customHeight="1">
      <x:c r="A27" s="22" t="s">
        <x:v>947</x:v>
      </x:c>
      <x:c r="B27" s="16" t="n">
        <x:f>COUNTIFS('Data (parsed)'!$E$2:$E$235,B$19,'Data (parsed)'!$B$2:$B$235,"Conscience",'Data (parsed)'!$C$2:$C$235,$A27)</x:f>
        <x:v>1</x:v>
      </x:c>
      <x:c r="C27" s="16" t="n">
        <x:f>COUNTIFS('Data (parsed)'!$E$2:$E$235,C$19,'Data (parsed)'!$B$2:$B$235,"Conscience",'Data (parsed)'!$C$2:$C$235,$A27)</x:f>
        <x:v>0</x:v>
      </x:c>
      <x:c r="D27" s="16" t="n">
        <x:f>COUNTIFS('Data (parsed)'!$E$2:$E$235,D$19,'Data (parsed)'!$B$2:$B$235,"Conscience",'Data (parsed)'!$C$2:$C$235,$A27)</x:f>
        <x:v>0</x:v>
      </x:c>
      <x:c r="E27" s="16" t="n">
        <x:f>COUNTIFS('Data (parsed)'!$E$2:$E$235,E$19,'Data (parsed)'!$B$2:$B$235,"Conscience",'Data (parsed)'!$C$2:$C$235,$A27)</x:f>
        <x:v>0</x:v>
      </x:c>
      <x:c r="F27" s="16" t="n">
        <x:f>SUMIFS('Data (parsed)'!$I$2:$I$235,'Data (parsed)'!$B$2:$B$235,"Conscience",'Data (parsed)'!$C$2:$C$235,$A27,'Data (parsed)'!$J$2:$J$235,0)</x:f>
        <x:v>0</x:v>
      </x:c>
      <x:c r="G27" s="18" t="n">
        <x:f>SUMIFS('Data (parsed)'!$I$2:$I$235,'Data (parsed)'!$B$2:$B$235,"Conscience",'Data (parsed)'!$C$2:$C$235,$A27)</x:f>
        <x:v>1</x:v>
      </x:c>
      <x:c r="H27" s="10"/>
    </x:row>
    <x:row r="28" ht="15" customHeight="1">
      <x:c r="A28" s="22" t="s">
        <x:v>948</x:v>
      </x:c>
      <x:c r="B28" s="16" t="n">
        <x:f>COUNTIFS('Data (parsed)'!$E$2:$E$235,B$19,'Data (parsed)'!$B$2:$B$235,"Conscience",'Data (parsed)'!$C$2:$C$235,$A28)</x:f>
        <x:v>1</x:v>
      </x:c>
      <x:c r="C28" s="16" t="n">
        <x:f>COUNTIFS('Data (parsed)'!$E$2:$E$235,C$19,'Data (parsed)'!$B$2:$B$235,"Conscience",'Data (parsed)'!$C$2:$C$235,$A28)</x:f>
        <x:v>0</x:v>
      </x:c>
      <x:c r="D28" s="16" t="n">
        <x:f>COUNTIFS('Data (parsed)'!$E$2:$E$235,D$19,'Data (parsed)'!$B$2:$B$235,"Conscience",'Data (parsed)'!$C$2:$C$235,$A28)</x:f>
        <x:v>0</x:v>
      </x:c>
      <x:c r="E28" s="16" t="n">
        <x:f>COUNTIFS('Data (parsed)'!$E$2:$E$235,E$19,'Data (parsed)'!$B$2:$B$235,"Conscience",'Data (parsed)'!$C$2:$C$235,$A28)</x:f>
        <x:v>0</x:v>
      </x:c>
      <x:c r="F28" s="16" t="n">
        <x:f>SUMIFS('Data (parsed)'!$I$2:$I$235,'Data (parsed)'!$B$2:$B$235,"Conscience",'Data (parsed)'!$C$2:$C$235,$A28,'Data (parsed)'!$J$2:$J$235,0)</x:f>
        <x:v>0</x:v>
      </x:c>
      <x:c r="G28" s="18" t="n">
        <x:f>SUMIFS('Data (parsed)'!$I$2:$I$235,'Data (parsed)'!$B$2:$B$235,"Conscience",'Data (parsed)'!$C$2:$C$235,$A28)</x:f>
        <x:v>1</x:v>
      </x:c>
      <x:c r="H28" s="10"/>
    </x:row>
    <x:row r="29" ht="15" customHeight="1">
      <x:c r="A29" s="22" t="s">
        <x:v>949</x:v>
      </x:c>
      <x:c r="B29" s="16" t="n">
        <x:f>COUNTIFS('Data (parsed)'!$E$2:$E$235,B$19,'Data (parsed)'!$B$2:$B$235,"Conscience",'Data (parsed)'!$C$2:$C$235,$A29)</x:f>
        <x:v>1</x:v>
      </x:c>
      <x:c r="C29" s="16" t="n">
        <x:f>COUNTIFS('Data (parsed)'!$E$2:$E$235,C$19,'Data (parsed)'!$B$2:$B$235,"Conscience",'Data (parsed)'!$C$2:$C$235,$A29)</x:f>
        <x:v>0</x:v>
      </x:c>
      <x:c r="D29" s="16" t="n">
        <x:f>COUNTIFS('Data (parsed)'!$E$2:$E$235,D$19,'Data (parsed)'!$B$2:$B$235,"Conscience",'Data (parsed)'!$C$2:$C$235,$A29)</x:f>
        <x:v>0</x:v>
      </x:c>
      <x:c r="E29" s="16" t="n">
        <x:f>COUNTIFS('Data (parsed)'!$E$2:$E$235,E$19,'Data (parsed)'!$B$2:$B$235,"Conscience",'Data (parsed)'!$C$2:$C$235,$A29)</x:f>
        <x:v>0</x:v>
      </x:c>
      <x:c r="F29" s="16" t="n">
        <x:f>SUMIFS('Data (parsed)'!$I$2:$I$235,'Data (parsed)'!$B$2:$B$235,"Conscience",'Data (parsed)'!$C$2:$C$235,$A29,'Data (parsed)'!$J$2:$J$235,0)</x:f>
        <x:v>0</x:v>
      </x:c>
      <x:c r="G29" s="18" t="n">
        <x:f>SUMIFS('Data (parsed)'!$I$2:$I$235,'Data (parsed)'!$B$2:$B$235,"Conscience",'Data (parsed)'!$C$2:$C$235,$A29)</x:f>
        <x:v>1</x:v>
      </x:c>
      <x:c r="H29" s="10"/>
    </x:row>
    <x:row r="30" ht="15" customHeight="1">
      <x:c r="A30" s="22" t="s">
        <x:v>950</x:v>
      </x:c>
      <x:c r="B30" s="16" t="n">
        <x:f>COUNTIFS('Data (parsed)'!$E$2:$E$235,B$19,'Data (parsed)'!$B$2:$B$235,"Conscience",'Data (parsed)'!$C$2:$C$235,$A30)</x:f>
        <x:v>1</x:v>
      </x:c>
      <x:c r="C30" s="16" t="n">
        <x:f>COUNTIFS('Data (parsed)'!$E$2:$E$235,C$19,'Data (parsed)'!$B$2:$B$235,"Conscience",'Data (parsed)'!$C$2:$C$235,$A30)</x:f>
        <x:v>0</x:v>
      </x:c>
      <x:c r="D30" s="16" t="n">
        <x:f>COUNTIFS('Data (parsed)'!$E$2:$E$235,D$19,'Data (parsed)'!$B$2:$B$235,"Conscience",'Data (parsed)'!$C$2:$C$235,$A30)</x:f>
        <x:v>0</x:v>
      </x:c>
      <x:c r="E30" s="16" t="n">
        <x:f>COUNTIFS('Data (parsed)'!$E$2:$E$235,E$19,'Data (parsed)'!$B$2:$B$235,"Conscience",'Data (parsed)'!$C$2:$C$235,$A30)</x:f>
        <x:v>0</x:v>
      </x:c>
      <x:c r="F30" s="16" t="n">
        <x:f>SUMIFS('Data (parsed)'!$I$2:$I$235,'Data (parsed)'!$B$2:$B$235,"Conscience",'Data (parsed)'!$C$2:$C$235,$A30,'Data (parsed)'!$J$2:$J$235,0)</x:f>
        <x:v>0</x:v>
      </x:c>
      <x:c r="G30" s="18" t="n">
        <x:f>SUMIFS('Data (parsed)'!$I$2:$I$235,'Data (parsed)'!$B$2:$B$235,"Conscience",'Data (parsed)'!$C$2:$C$235,$A30)</x:f>
        <x:v>1</x:v>
      </x:c>
      <x:c r="H30" s="10"/>
    </x:row>
    <x:row r="31" ht="15" customHeight="1">
      <x:c r="A31" s="17" t="s">
        <x:v>906</x:v>
      </x:c>
      <x:c r="B31" s="18" t="n">
        <x:f t="shared" ref="B31:G31" si="2">SUM(B20:B30)</x:f>
        <x:v>31</x:v>
      </x:c>
      <x:c r="C31" s="18">
        <x:f t="shared" si="2"/>
        <x:v>0</x:v>
      </x:c>
      <x:c r="D31" s="18">
        <x:f t="shared" si="2"/>
        <x:v>2</x:v>
      </x:c>
      <x:c r="E31" s="18">
        <x:f t="shared" si="2"/>
        <x:v>1</x:v>
      </x:c>
      <x:c r="F31" s="18">
        <x:f t="shared" si="2"/>
        <x:v>5</x:v>
      </x:c>
      <x:c r="G31" s="18">
        <x:f t="shared" si="2"/>
        <x:v>39</x:v>
      </x:c>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7.xml><?xml version="1.0" encoding="utf-8"?>
<x:worksheet xmlns:x="http://schemas.openxmlformats.org/spreadsheetml/2006/main">
  <x:sheetFormatPr defaultColWidth="14.453125" defaultRowHeight="15"/>
  <x:cols>
    <x:col min="1" max="1" width="34" customWidth="1"/>
    <x:col min="2" max="7" width="10" customWidth="1"/>
    <x:col min="8" max="26" width="8.54296875" customWidth="1"/>
  </x:cols>
  <x:sheetData>
    <x:row r="1" ht="15.75" customHeight="1">
      <x:c r="A1" s="11" t="s">
        <x:v>952</x:v>
      </x:c>
      <x:c r="B1" s="10"/>
      <x:c r="C1" s="10"/>
      <x:c r="D1" s="10"/>
      <x:c r="E1" s="10"/>
      <x:c r="F1" s="10"/>
      <x:c r="G1" s="10"/>
      <x:c r="H1" s="10"/>
    </x:row>
    <x:row r="2" ht="14.25" customHeight="1">
      <x:c r="A2" s="10"/>
      <x:c r="B2" s="10"/>
      <x:c r="C2" s="10"/>
      <x:c r="D2" s="10"/>
      <x:c r="E2" s="10"/>
      <x:c r="F2" s="10"/>
      <x:c r="G2" s="10"/>
      <x:c r="H2" s="10"/>
    </x:row>
    <x:row r="3" ht="15" customHeight="1">
      <x:c r="A3" s="13" t="s">
        <x:v>953</x:v>
      </x:c>
      <x:c r="B3" s="10"/>
      <x:c r="C3" s="10"/>
      <x:c r="D3" s="10"/>
      <x:c r="E3" s="10"/>
      <x:c r="F3" s="10"/>
      <x:c r="G3" s="10"/>
      <x:c r="H3" s="10"/>
    </x:row>
    <x:row r="4" ht="15" customHeight="1">
      <x:c r="A4" s="14" t="s">
        <x:v>916</x:v>
      </x:c>
      <x:c r="B4" s="14" t="s">
        <x:v>11</x:v>
      </x:c>
      <x:c r="C4" s="14" t="s">
        <x:v>92</x:v>
      </x:c>
      <x:c r="D4" s="14" t="s">
        <x:v>22</x:v>
      </x:c>
      <x:c r="E4" s="14" t="s">
        <x:v>37</x:v>
      </x:c>
      <x:c r="F4" s="14" t="s">
        <x:v>62</x:v>
      </x:c>
      <x:c r="G4" s="14" t="s">
        <x:v>906</x:v>
      </x:c>
      <x:c r="H4" s="10"/>
    </x:row>
    <x:row r="5" ht="15" customHeight="1">
      <x:c r="A5" s="22" t="s">
        <x:v>742</x:v>
      </x:c>
      <x:c r="B5" s="16" t="n">
        <x:f>SUMIFS('Data (parsed)'!$I$2:$I$235,'Data (parsed)'!$B$2:$B$235,"Honor",'Data (parsed)'!$C$2:$C$235,$A5,'Data (parsed)'!$D$2:$D$235,B$4)</x:f>
        <x:v>0</x:v>
      </x:c>
      <x:c r="C5" s="16" t="n">
        <x:f>SUMIFS('Data (parsed)'!$I$2:$I$235,'Data (parsed)'!$B$2:$B$235,"Honor",'Data (parsed)'!$C$2:$C$235,$A5,'Data (parsed)'!$D$2:$D$235,C$4)</x:f>
        <x:v>1</x:v>
      </x:c>
      <x:c r="D5" s="16" t="n">
        <x:f>SUMIFS('Data (parsed)'!$I$2:$I$235,'Data (parsed)'!$B$2:$B$235,"Honor",'Data (parsed)'!$C$2:$C$235,$A5,'Data (parsed)'!$D$2:$D$235,D$4)</x:f>
        <x:v>2</x:v>
      </x:c>
      <x:c r="E5" s="16" t="n">
        <x:f>SUMIFS('Data (parsed)'!$I$2:$I$235,'Data (parsed)'!$B$2:$B$235,"Honor",'Data (parsed)'!$C$2:$C$235,$A5,'Data (parsed)'!$D$2:$D$235,E$4)</x:f>
        <x:v>17</x:v>
      </x:c>
      <x:c r="F5" s="16" t="n">
        <x:f>SUMIFS('Data (parsed)'!$I$2:$I$235,'Data (parsed)'!$B$2:$B$235,"Honor",'Data (parsed)'!$C$2:$C$235,$A5,'Data (parsed)'!$D$2:$D$235,F$4)</x:f>
        <x:v>7</x:v>
      </x:c>
      <x:c r="G5" s="18" t="n">
        <x:f t="shared" ref="G5:G11" si="0">SUM(B5:F5)</x:f>
        <x:v>27</x:v>
      </x:c>
      <x:c r="H5" s="10"/>
    </x:row>
    <x:row r="6" ht="15" customHeight="1">
      <x:c r="A6" s="22" t="s">
        <x:v>954</x:v>
      </x:c>
      <x:c r="B6" s="16" t="n">
        <x:f>SUMIFS('Data (parsed)'!$I$2:$I$235,'Data (parsed)'!$B$2:$B$235,"Honor",'Data (parsed)'!$C$2:$C$235,$A6,'Data (parsed)'!$D$2:$D$235,B$4)</x:f>
        <x:v>2</x:v>
      </x:c>
      <x:c r="C6" s="16" t="n">
        <x:f>SUMIFS('Data (parsed)'!$I$2:$I$235,'Data (parsed)'!$B$2:$B$235,"Honor",'Data (parsed)'!$C$2:$C$235,$A6,'Data (parsed)'!$D$2:$D$235,C$4)</x:f>
        <x:v>1</x:v>
      </x:c>
      <x:c r="D6" s="16" t="n">
        <x:f>SUMIFS('Data (parsed)'!$I$2:$I$235,'Data (parsed)'!$B$2:$B$235,"Honor",'Data (parsed)'!$C$2:$C$235,$A6,'Data (parsed)'!$D$2:$D$235,D$4)</x:f>
        <x:v>0</x:v>
      </x:c>
      <x:c r="E6" s="16" t="n">
        <x:f>SUMIFS('Data (parsed)'!$I$2:$I$235,'Data (parsed)'!$B$2:$B$235,"Honor",'Data (parsed)'!$C$2:$C$235,$A6,'Data (parsed)'!$D$2:$D$235,E$4)</x:f>
        <x:v>5</x:v>
      </x:c>
      <x:c r="F6" s="16" t="n">
        <x:f>SUMIFS('Data (parsed)'!$I$2:$I$235,'Data (parsed)'!$B$2:$B$235,"Honor",'Data (parsed)'!$C$2:$C$235,$A6,'Data (parsed)'!$D$2:$D$235,F$4)</x:f>
        <x:v>3</x:v>
      </x:c>
      <x:c r="G6" s="18">
        <x:f t="shared" si="0"/>
        <x:v>11</x:v>
      </x:c>
      <x:c r="H6" s="10"/>
    </x:row>
    <x:row r="7" ht="15" customHeight="1">
      <x:c r="A7" s="22" t="s">
        <x:v>955</x:v>
      </x:c>
      <x:c r="B7" s="16" t="n">
        <x:f>SUMIFS('Data (parsed)'!$I$2:$I$235,'Data (parsed)'!$B$2:$B$235,"Honor",'Data (parsed)'!$C$2:$C$235,$A7,'Data (parsed)'!$D$2:$D$235,B$4)</x:f>
        <x:v>3</x:v>
      </x:c>
      <x:c r="C7" s="16" t="n">
        <x:f>SUMIFS('Data (parsed)'!$I$2:$I$235,'Data (parsed)'!$B$2:$B$235,"Honor",'Data (parsed)'!$C$2:$C$235,$A7,'Data (parsed)'!$D$2:$D$235,C$4)</x:f>
        <x:v>2</x:v>
      </x:c>
      <x:c r="D7" s="16" t="n">
        <x:f>SUMIFS('Data (parsed)'!$I$2:$I$235,'Data (parsed)'!$B$2:$B$235,"Honor",'Data (parsed)'!$C$2:$C$235,$A7,'Data (parsed)'!$D$2:$D$235,D$4)</x:f>
        <x:v>0</x:v>
      </x:c>
      <x:c r="E7" s="16" t="n">
        <x:f>SUMIFS('Data (parsed)'!$I$2:$I$235,'Data (parsed)'!$B$2:$B$235,"Honor",'Data (parsed)'!$C$2:$C$235,$A7,'Data (parsed)'!$D$2:$D$235,E$4)</x:f>
        <x:v>1</x:v>
      </x:c>
      <x:c r="F7" s="16" t="n">
        <x:f>SUMIFS('Data (parsed)'!$I$2:$I$235,'Data (parsed)'!$B$2:$B$235,"Honor",'Data (parsed)'!$C$2:$C$235,$A7,'Data (parsed)'!$D$2:$D$235,F$4)</x:f>
        <x:v>0</x:v>
      </x:c>
      <x:c r="G7" s="18">
        <x:f t="shared" si="0"/>
        <x:v>6</x:v>
      </x:c>
      <x:c r="H7" s="10"/>
    </x:row>
    <x:row r="8" ht="15" customHeight="1">
      <x:c r="A8" s="22" t="s">
        <x:v>956</x:v>
      </x:c>
      <x:c r="B8" s="16" t="n">
        <x:f>SUMIFS('Data (parsed)'!$I$2:$I$235,'Data (parsed)'!$B$2:$B$235,"Honor",'Data (parsed)'!$C$2:$C$235,$A8,'Data (parsed)'!$D$2:$D$235,B$4)</x:f>
        <x:v>0</x:v>
      </x:c>
      <x:c r="C8" s="16" t="n">
        <x:f>SUMIFS('Data (parsed)'!$I$2:$I$235,'Data (parsed)'!$B$2:$B$235,"Honor",'Data (parsed)'!$C$2:$C$235,$A8,'Data (parsed)'!$D$2:$D$235,C$4)</x:f>
        <x:v>1</x:v>
      </x:c>
      <x:c r="D8" s="16" t="n">
        <x:f>SUMIFS('Data (parsed)'!$I$2:$I$235,'Data (parsed)'!$B$2:$B$235,"Honor",'Data (parsed)'!$C$2:$C$235,$A8,'Data (parsed)'!$D$2:$D$235,D$4)</x:f>
        <x:v>0</x:v>
      </x:c>
      <x:c r="E8" s="16" t="n">
        <x:f>SUMIFS('Data (parsed)'!$I$2:$I$235,'Data (parsed)'!$B$2:$B$235,"Honor",'Data (parsed)'!$C$2:$C$235,$A8,'Data (parsed)'!$D$2:$D$235,E$4)</x:f>
        <x:v>4</x:v>
      </x:c>
      <x:c r="F8" s="16" t="n">
        <x:f>SUMIFS('Data (parsed)'!$I$2:$I$235,'Data (parsed)'!$B$2:$B$235,"Honor",'Data (parsed)'!$C$2:$C$235,$A8,'Data (parsed)'!$D$2:$D$235,F$4)</x:f>
        <x:v>0</x:v>
      </x:c>
      <x:c r="G8" s="18">
        <x:f t="shared" si="0"/>
        <x:v>5</x:v>
      </x:c>
      <x:c r="H8" s="10"/>
    </x:row>
    <x:row r="9" ht="15" customHeight="1">
      <x:c r="A9" s="22" t="s">
        <x:v>957</x:v>
      </x:c>
      <x:c r="B9" s="16" t="n">
        <x:f>SUMIFS('Data (parsed)'!$I$2:$I$235,'Data (parsed)'!$B$2:$B$235,"Honor",'Data (parsed)'!$C$2:$C$235,$A9,'Data (parsed)'!$D$2:$D$235,B$4)</x:f>
        <x:v>1</x:v>
      </x:c>
      <x:c r="C9" s="16" t="n">
        <x:f>SUMIFS('Data (parsed)'!$I$2:$I$235,'Data (parsed)'!$B$2:$B$235,"Honor",'Data (parsed)'!$C$2:$C$235,$A9,'Data (parsed)'!$D$2:$D$235,C$4)</x:f>
        <x:v>0</x:v>
      </x:c>
      <x:c r="D9" s="16" t="n">
        <x:f>SUMIFS('Data (parsed)'!$I$2:$I$235,'Data (parsed)'!$B$2:$B$235,"Honor",'Data (parsed)'!$C$2:$C$235,$A9,'Data (parsed)'!$D$2:$D$235,D$4)</x:f>
        <x:v>0</x:v>
      </x:c>
      <x:c r="E9" s="16" t="n">
        <x:f>SUMIFS('Data (parsed)'!$I$2:$I$235,'Data (parsed)'!$B$2:$B$235,"Honor",'Data (parsed)'!$C$2:$C$235,$A9,'Data (parsed)'!$D$2:$D$235,E$4)</x:f>
        <x:v>2</x:v>
      </x:c>
      <x:c r="F9" s="16" t="n">
        <x:f>SUMIFS('Data (parsed)'!$I$2:$I$235,'Data (parsed)'!$B$2:$B$235,"Honor",'Data (parsed)'!$C$2:$C$235,$A9,'Data (parsed)'!$D$2:$D$235,F$4)</x:f>
        <x:v>2</x:v>
      </x:c>
      <x:c r="G9" s="18">
        <x:f t="shared" si="0"/>
        <x:v>5</x:v>
      </x:c>
      <x:c r="H9" s="10"/>
    </x:row>
    <x:row r="10" ht="15" customHeight="1">
      <x:c r="A10" s="22" t="s">
        <x:v>890</x:v>
      </x:c>
      <x:c r="B10" s="16" t="n">
        <x:f>SUMIFS('Data (parsed)'!$I$2:$I$235,'Data (parsed)'!$B$2:$B$235,"Honor",'Data (parsed)'!$C$2:$C$235,$A10,'Data (parsed)'!$D$2:$D$235,B$4)</x:f>
        <x:v>0</x:v>
      </x:c>
      <x:c r="C10" s="16" t="n">
        <x:f>SUMIFS('Data (parsed)'!$I$2:$I$235,'Data (parsed)'!$B$2:$B$235,"Honor",'Data (parsed)'!$C$2:$C$235,$A10,'Data (parsed)'!$D$2:$D$235,C$4)</x:f>
        <x:v>0</x:v>
      </x:c>
      <x:c r="D10" s="16" t="n">
        <x:f>SUMIFS('Data (parsed)'!$I$2:$I$235,'Data (parsed)'!$B$2:$B$235,"Honor",'Data (parsed)'!$C$2:$C$235,$A10,'Data (parsed)'!$D$2:$D$235,D$4)</x:f>
        <x:v>0</x:v>
      </x:c>
      <x:c r="E10" s="16" t="n">
        <x:f>SUMIFS('Data (parsed)'!$I$2:$I$235,'Data (parsed)'!$B$2:$B$235,"Honor",'Data (parsed)'!$C$2:$C$235,$A10,'Data (parsed)'!$D$2:$D$235,E$4)</x:f>
        <x:v>2</x:v>
      </x:c>
      <x:c r="F10" s="16" t="n">
        <x:f>SUMIFS('Data (parsed)'!$I$2:$I$235,'Data (parsed)'!$B$2:$B$235,"Honor",'Data (parsed)'!$C$2:$C$235,$A10,'Data (parsed)'!$D$2:$D$235,F$4)</x:f>
        <x:v>0</x:v>
      </x:c>
      <x:c r="G10" s="18">
        <x:f t="shared" si="0"/>
        <x:v>2</x:v>
      </x:c>
      <x:c r="H10" s="10"/>
    </x:row>
    <x:row r="11" ht="15" customHeight="1">
      <x:c r="A11" s="22" t="s">
        <x:v>958</x:v>
      </x:c>
      <x:c r="B11" s="16" t="n">
        <x:f>SUMIFS('Data (parsed)'!$I$2:$I$235,'Data (parsed)'!$B$2:$B$235,"Honor",'Data (parsed)'!$C$2:$C$235,$A11,'Data (parsed)'!$D$2:$D$235,B$4)</x:f>
        <x:v>0</x:v>
      </x:c>
      <x:c r="C11" s="16" t="n">
        <x:f>SUMIFS('Data (parsed)'!$I$2:$I$235,'Data (parsed)'!$B$2:$B$235,"Honor",'Data (parsed)'!$C$2:$C$235,$A11,'Data (parsed)'!$D$2:$D$235,C$4)</x:f>
        <x:v>0</x:v>
      </x:c>
      <x:c r="D11" s="16" t="n">
        <x:f>SUMIFS('Data (parsed)'!$I$2:$I$235,'Data (parsed)'!$B$2:$B$235,"Honor",'Data (parsed)'!$C$2:$C$235,$A11,'Data (parsed)'!$D$2:$D$235,D$4)</x:f>
        <x:v>0</x:v>
      </x:c>
      <x:c r="E11" s="16" t="n">
        <x:f>SUMIFS('Data (parsed)'!$I$2:$I$235,'Data (parsed)'!$B$2:$B$235,"Honor",'Data (parsed)'!$C$2:$C$235,$A11,'Data (parsed)'!$D$2:$D$235,E$4)</x:f>
        <x:v>0</x:v>
      </x:c>
      <x:c r="F11" s="16" t="n">
        <x:f>SUMIFS('Data (parsed)'!$I$2:$I$235,'Data (parsed)'!$B$2:$B$235,"Honor",'Data (parsed)'!$C$2:$C$235,$A11,'Data (parsed)'!$D$2:$D$235,F$4)</x:f>
        <x:v>1</x:v>
      </x:c>
      <x:c r="G11" s="18">
        <x:f t="shared" si="0"/>
        <x:v>1</x:v>
      </x:c>
      <x:c r="H11" s="10"/>
    </x:row>
    <x:row r="12" ht="15" customHeight="1">
      <x:c r="A12" s="17" t="s">
        <x:v>906</x:v>
      </x:c>
      <x:c r="B12" s="18" t="n">
        <x:f t="shared" ref="B12:G12" si="1">SUM(B5:B11)</x:f>
        <x:v>6</x:v>
      </x:c>
      <x:c r="C12" s="18">
        <x:f t="shared" si="1"/>
        <x:v>5</x:v>
      </x:c>
      <x:c r="D12" s="18">
        <x:f t="shared" si="1"/>
        <x:v>2</x:v>
      </x:c>
      <x:c r="E12" s="18">
        <x:f t="shared" si="1"/>
        <x:v>31</x:v>
      </x:c>
      <x:c r="F12" s="18">
        <x:f t="shared" si="1"/>
        <x:v>13</x:v>
      </x:c>
      <x:c r="G12" s="18">
        <x:f t="shared" si="1"/>
        <x:v>57</x:v>
      </x:c>
      <x:c r="H12" s="10"/>
    </x:row>
    <x:row r="13" ht="14.25" customHeight="1">
      <x:c r="A13" s="10"/>
      <x:c r="B13" s="10"/>
      <x:c r="C13" s="10"/>
      <x:c r="D13" s="10"/>
      <x:c r="E13" s="10"/>
      <x:c r="F13" s="10"/>
      <x:c r="G13" s="10"/>
      <x:c r="H13" s="10"/>
    </x:row>
    <x:row r="14" ht="15" customHeight="1">
      <x:c r="A14" s="13" t="s">
        <x:v>959</x:v>
      </x:c>
      <x:c r="B14" s="10"/>
      <x:c r="C14" s="10"/>
      <x:c r="D14" s="10"/>
      <x:c r="E14" s="10"/>
      <x:c r="F14" s="10"/>
      <x:c r="G14" s="10"/>
      <x:c r="H14" s="10"/>
    </x:row>
    <x:row r="15" ht="15" customHeight="1">
      <x:c r="A15" s="14" t="s">
        <x:v>916</x:v>
      </x:c>
      <x:c r="B15" s="14" t="s">
        <x:v>14</x:v>
      </x:c>
      <x:c r="C15" s="14" t="s">
        <x:v>95</x:v>
      </x:c>
      <x:c r="D15" s="14" t="s">
        <x:v>84</x:v>
      </x:c>
      <x:c r="E15" s="14" t="s">
        <x:v>89</x:v>
      </x:c>
      <x:c r="F15" s="14" t="s">
        <x:v>929</x:v>
      </x:c>
      <x:c r="G15" s="14" t="s">
        <x:v>901</x:v>
      </x:c>
      <x:c r="H15" s="10"/>
    </x:row>
    <x:row r="16" ht="15" customHeight="1">
      <x:c r="A16" s="22" t="s">
        <x:v>742</x:v>
      </x:c>
      <x:c r="B16" s="16" t="n">
        <x:f>COUNTIFS('Data (parsed)'!$E$2:$E$235,B$15,'Data (parsed)'!$B$2:$B$235,"Honor",'Data (parsed)'!$C$2:$C$235,$A16)</x:f>
        <x:v>6</x:v>
      </x:c>
      <x:c r="C16" s="16" t="n">
        <x:f>COUNTIFS('Data (parsed)'!$E$2:$E$235,C$15,'Data (parsed)'!$B$2:$B$235,"Honor",'Data (parsed)'!$C$2:$C$235,$A16)</x:f>
        <x:v>18</x:v>
      </x:c>
      <x:c r="D16" s="16" t="n">
        <x:f>COUNTIFS('Data (parsed)'!$E$2:$E$235,D$15,'Data (parsed)'!$B$2:$B$235,"Honor",'Data (parsed)'!$C$2:$C$235,$A16)</x:f>
        <x:v>2</x:v>
      </x:c>
      <x:c r="E16" s="16" t="n">
        <x:f>COUNTIFS('Data (parsed)'!$E$2:$E$235,E$15,'Data (parsed)'!$B$2:$B$235,"Honor",'Data (parsed)'!$C$2:$C$235,$A16)</x:f>
        <x:v>0</x:v>
      </x:c>
      <x:c r="F16" s="16" t="n">
        <x:f>SUMIFS('Data (parsed)'!$I$2:$I$235,'Data (parsed)'!$B$2:$B$235,"Honor",'Data (parsed)'!$C$2:$C$235,$A16,'Data (parsed)'!$J$2:$J$235,0)</x:f>
        <x:v>1</x:v>
      </x:c>
      <x:c r="G16" s="18" t="n">
        <x:f>SUMIFS('Data (parsed)'!$I$2:$I$235,'Data (parsed)'!$B$2:$B$235,"Honor",'Data (parsed)'!$C$2:$C$235,$A16)</x:f>
        <x:v>27</x:v>
      </x:c>
      <x:c r="H16" s="10"/>
    </x:row>
    <x:row r="17" ht="15" customHeight="1">
      <x:c r="A17" s="22" t="s">
        <x:v>954</x:v>
      </x:c>
      <x:c r="B17" s="16" t="n">
        <x:f>COUNTIFS('Data (parsed)'!$E$2:$E$235,B$15,'Data (parsed)'!$B$2:$B$235,"Honor",'Data (parsed)'!$C$2:$C$235,$A17)</x:f>
        <x:v>2</x:v>
      </x:c>
      <x:c r="C17" s="16" t="n">
        <x:f>COUNTIFS('Data (parsed)'!$E$2:$E$235,C$15,'Data (parsed)'!$B$2:$B$235,"Honor",'Data (parsed)'!$C$2:$C$235,$A17)</x:f>
        <x:v>3</x:v>
      </x:c>
      <x:c r="D17" s="16" t="n">
        <x:f>COUNTIFS('Data (parsed)'!$E$2:$E$235,D$15,'Data (parsed)'!$B$2:$B$235,"Honor",'Data (parsed)'!$C$2:$C$235,$A17)</x:f>
        <x:v>1</x:v>
      </x:c>
      <x:c r="E17" s="16" t="n">
        <x:f>COUNTIFS('Data (parsed)'!$E$2:$E$235,E$15,'Data (parsed)'!$B$2:$B$235,"Honor",'Data (parsed)'!$C$2:$C$235,$A17)</x:f>
        <x:v>0</x:v>
      </x:c>
      <x:c r="F17" s="16" t="n">
        <x:f>SUMIFS('Data (parsed)'!$I$2:$I$235,'Data (parsed)'!$B$2:$B$235,"Honor",'Data (parsed)'!$C$2:$C$235,$A17,'Data (parsed)'!$J$2:$J$235,0)</x:f>
        <x:v>5</x:v>
      </x:c>
      <x:c r="G17" s="18" t="n">
        <x:f>SUMIFS('Data (parsed)'!$I$2:$I$235,'Data (parsed)'!$B$2:$B$235,"Honor",'Data (parsed)'!$C$2:$C$235,$A17)</x:f>
        <x:v>11</x:v>
      </x:c>
      <x:c r="H17" s="10"/>
    </x:row>
    <x:row r="18" ht="15" customHeight="1">
      <x:c r="A18" s="22" t="s">
        <x:v>955</x:v>
      </x:c>
      <x:c r="B18" s="16" t="n">
        <x:f>COUNTIFS('Data (parsed)'!$E$2:$E$235,B$15,'Data (parsed)'!$B$2:$B$235,"Honor",'Data (parsed)'!$C$2:$C$235,$A18)</x:f>
        <x:v>0</x:v>
      </x:c>
      <x:c r="C18" s="16" t="n">
        <x:f>COUNTIFS('Data (parsed)'!$E$2:$E$235,C$15,'Data (parsed)'!$B$2:$B$235,"Honor",'Data (parsed)'!$C$2:$C$235,$A18)</x:f>
        <x:v>1</x:v>
      </x:c>
      <x:c r="D18" s="16" t="n">
        <x:f>COUNTIFS('Data (parsed)'!$E$2:$E$235,D$15,'Data (parsed)'!$B$2:$B$235,"Honor",'Data (parsed)'!$C$2:$C$235,$A18)</x:f>
        <x:v>1</x:v>
      </x:c>
      <x:c r="E18" s="16" t="n">
        <x:f>COUNTIFS('Data (parsed)'!$E$2:$E$235,E$15,'Data (parsed)'!$B$2:$B$235,"Honor",'Data (parsed)'!$C$2:$C$235,$A18)</x:f>
        <x:v>0</x:v>
      </x:c>
      <x:c r="F18" s="16" t="n">
        <x:f>SUMIFS('Data (parsed)'!$I$2:$I$235,'Data (parsed)'!$B$2:$B$235,"Honor",'Data (parsed)'!$C$2:$C$235,$A18,'Data (parsed)'!$J$2:$J$235,0)</x:f>
        <x:v>4</x:v>
      </x:c>
      <x:c r="G18" s="18" t="n">
        <x:f>SUMIFS('Data (parsed)'!$I$2:$I$235,'Data (parsed)'!$B$2:$B$235,"Honor",'Data (parsed)'!$C$2:$C$235,$A18)</x:f>
        <x:v>6</x:v>
      </x:c>
      <x:c r="H18" s="10"/>
    </x:row>
    <x:row r="19" ht="15" customHeight="1">
      <x:c r="A19" s="22" t="s">
        <x:v>956</x:v>
      </x:c>
      <x:c r="B19" s="16" t="n">
        <x:f>COUNTIFS('Data (parsed)'!$E$2:$E$235,B$15,'Data (parsed)'!$B$2:$B$235,"Honor",'Data (parsed)'!$C$2:$C$235,$A19)</x:f>
        <x:v>0</x:v>
      </x:c>
      <x:c r="C19" s="16" t="n">
        <x:f>COUNTIFS('Data (parsed)'!$E$2:$E$235,C$15,'Data (parsed)'!$B$2:$B$235,"Honor",'Data (parsed)'!$C$2:$C$235,$A19)</x:f>
        <x:v>3</x:v>
      </x:c>
      <x:c r="D19" s="16" t="n">
        <x:f>COUNTIFS('Data (parsed)'!$E$2:$E$235,D$15,'Data (parsed)'!$B$2:$B$235,"Honor",'Data (parsed)'!$C$2:$C$235,$A19)</x:f>
        <x:v>1</x:v>
      </x:c>
      <x:c r="E19" s="16" t="n">
        <x:f>COUNTIFS('Data (parsed)'!$E$2:$E$235,E$15,'Data (parsed)'!$B$2:$B$235,"Honor",'Data (parsed)'!$C$2:$C$235,$A19)</x:f>
        <x:v>0</x:v>
      </x:c>
      <x:c r="F19" s="16" t="n">
        <x:f>SUMIFS('Data (parsed)'!$I$2:$I$235,'Data (parsed)'!$B$2:$B$235,"Honor",'Data (parsed)'!$C$2:$C$235,$A19,'Data (parsed)'!$J$2:$J$235,0)</x:f>
        <x:v>1</x:v>
      </x:c>
      <x:c r="G19" s="18" t="n">
        <x:f>SUMIFS('Data (parsed)'!$I$2:$I$235,'Data (parsed)'!$B$2:$B$235,"Honor",'Data (parsed)'!$C$2:$C$235,$A19)</x:f>
        <x:v>5</x:v>
      </x:c>
      <x:c r="H19" s="10"/>
    </x:row>
    <x:row r="20" ht="15" customHeight="1">
      <x:c r="A20" s="22" t="s">
        <x:v>957</x:v>
      </x:c>
      <x:c r="B20" s="16" t="n">
        <x:f>COUNTIFS('Data (parsed)'!$E$2:$E$235,B$15,'Data (parsed)'!$B$2:$B$235,"Honor",'Data (parsed)'!$C$2:$C$235,$A20)</x:f>
        <x:v>1</x:v>
      </x:c>
      <x:c r="C20" s="16" t="n">
        <x:f>COUNTIFS('Data (parsed)'!$E$2:$E$235,C$15,'Data (parsed)'!$B$2:$B$235,"Honor",'Data (parsed)'!$C$2:$C$235,$A20)</x:f>
        <x:v>2</x:v>
      </x:c>
      <x:c r="D20" s="16" t="n">
        <x:f>COUNTIFS('Data (parsed)'!$E$2:$E$235,D$15,'Data (parsed)'!$B$2:$B$235,"Honor",'Data (parsed)'!$C$2:$C$235,$A20)</x:f>
        <x:v>2</x:v>
      </x:c>
      <x:c r="E20" s="16" t="n">
        <x:f>COUNTIFS('Data (parsed)'!$E$2:$E$235,E$15,'Data (parsed)'!$B$2:$B$235,"Honor",'Data (parsed)'!$C$2:$C$235,$A20)</x:f>
        <x:v>0</x:v>
      </x:c>
      <x:c r="F20" s="16" t="n">
        <x:f>SUMIFS('Data (parsed)'!$I$2:$I$235,'Data (parsed)'!$B$2:$B$235,"Honor",'Data (parsed)'!$C$2:$C$235,$A20,'Data (parsed)'!$J$2:$J$235,0)</x:f>
        <x:v>1</x:v>
      </x:c>
      <x:c r="G20" s="18" t="n">
        <x:f>SUMIFS('Data (parsed)'!$I$2:$I$235,'Data (parsed)'!$B$2:$B$235,"Honor",'Data (parsed)'!$C$2:$C$235,$A20)</x:f>
        <x:v>5</x:v>
      </x:c>
      <x:c r="H20" s="10"/>
    </x:row>
    <x:row r="21" ht="15" customHeight="1">
      <x:c r="A21" s="22" t="s">
        <x:v>890</x:v>
      </x:c>
      <x:c r="B21" s="16" t="n">
        <x:f>COUNTIFS('Data (parsed)'!$E$2:$E$235,B$15,'Data (parsed)'!$B$2:$B$235,"Honor",'Data (parsed)'!$C$2:$C$235,$A21)</x:f>
        <x:v>0</x:v>
      </x:c>
      <x:c r="C21" s="16" t="n">
        <x:f>COUNTIFS('Data (parsed)'!$E$2:$E$235,C$15,'Data (parsed)'!$B$2:$B$235,"Honor",'Data (parsed)'!$C$2:$C$235,$A21)</x:f>
        <x:v>1</x:v>
      </x:c>
      <x:c r="D21" s="16" t="n">
        <x:f>COUNTIFS('Data (parsed)'!$E$2:$E$235,D$15,'Data (parsed)'!$B$2:$B$235,"Honor",'Data (parsed)'!$C$2:$C$235,$A21)</x:f>
        <x:v>1</x:v>
      </x:c>
      <x:c r="E21" s="16" t="n">
        <x:f>COUNTIFS('Data (parsed)'!$E$2:$E$235,E$15,'Data (parsed)'!$B$2:$B$235,"Honor",'Data (parsed)'!$C$2:$C$235,$A21)</x:f>
        <x:v>0</x:v>
      </x:c>
      <x:c r="F21" s="16" t="n">
        <x:f>SUMIFS('Data (parsed)'!$I$2:$I$235,'Data (parsed)'!$B$2:$B$235,"Honor",'Data (parsed)'!$C$2:$C$235,$A21,'Data (parsed)'!$J$2:$J$235,0)</x:f>
        <x:v>0</x:v>
      </x:c>
      <x:c r="G21" s="18" t="n">
        <x:f>SUMIFS('Data (parsed)'!$I$2:$I$235,'Data (parsed)'!$B$2:$B$235,"Honor",'Data (parsed)'!$C$2:$C$235,$A21)</x:f>
        <x:v>2</x:v>
      </x:c>
      <x:c r="H21" s="10"/>
    </x:row>
    <x:row r="22" ht="15" customHeight="1">
      <x:c r="A22" s="22" t="s">
        <x:v>958</x:v>
      </x:c>
      <x:c r="B22" s="16" t="n">
        <x:f>COUNTIFS('Data (parsed)'!$E$2:$E$235,B$15,'Data (parsed)'!$B$2:$B$235,"Honor",'Data (parsed)'!$C$2:$C$235,$A22)</x:f>
        <x:v>0</x:v>
      </x:c>
      <x:c r="C22" s="16" t="n">
        <x:f>COUNTIFS('Data (parsed)'!$E$2:$E$235,C$15,'Data (parsed)'!$B$2:$B$235,"Honor",'Data (parsed)'!$C$2:$C$235,$A22)</x:f>
        <x:v>0</x:v>
      </x:c>
      <x:c r="D22" s="16" t="n">
        <x:f>COUNTIFS('Data (parsed)'!$E$2:$E$235,D$15,'Data (parsed)'!$B$2:$B$235,"Honor",'Data (parsed)'!$C$2:$C$235,$A22)</x:f>
        <x:v>0</x:v>
      </x:c>
      <x:c r="E22" s="16" t="n">
        <x:f>COUNTIFS('Data (parsed)'!$E$2:$E$235,E$15,'Data (parsed)'!$B$2:$B$235,"Honor",'Data (parsed)'!$C$2:$C$235,$A22)</x:f>
        <x:v>1</x:v>
      </x:c>
      <x:c r="F22" s="16" t="n">
        <x:f>SUMIFS('Data (parsed)'!$I$2:$I$235,'Data (parsed)'!$B$2:$B$235,"Honor",'Data (parsed)'!$C$2:$C$235,$A22,'Data (parsed)'!$J$2:$J$235,0)</x:f>
        <x:v>0</x:v>
      </x:c>
      <x:c r="G22" s="18" t="n">
        <x:f>SUMIFS('Data (parsed)'!$I$2:$I$235,'Data (parsed)'!$B$2:$B$235,"Honor",'Data (parsed)'!$C$2:$C$235,$A22)</x:f>
        <x:v>1</x:v>
      </x:c>
      <x:c r="H22" s="10"/>
    </x:row>
    <x:row r="23" ht="15" customHeight="1">
      <x:c r="A23" s="17" t="s">
        <x:v>906</x:v>
      </x:c>
      <x:c r="B23" s="18" t="n">
        <x:f t="shared" ref="B23:G23" si="2">SUM(B16:B22)</x:f>
        <x:v>9</x:v>
      </x:c>
      <x:c r="C23" s="18">
        <x:f t="shared" si="2"/>
        <x:v>28</x:v>
      </x:c>
      <x:c r="D23" s="18">
        <x:f t="shared" si="2"/>
        <x:v>8</x:v>
      </x:c>
      <x:c r="E23" s="18">
        <x:f t="shared" si="2"/>
        <x:v>1</x:v>
      </x:c>
      <x:c r="F23" s="18">
        <x:f t="shared" si="2"/>
        <x:v>12</x:v>
      </x:c>
      <x:c r="G23" s="18">
        <x:f t="shared" si="2"/>
        <x:v>57</x:v>
      </x:c>
      <x:c r="H23" s="10"/>
    </x:row>
    <x:row r="24" ht="14.25" customHeight="1">
      <x:c r="A24" s="10"/>
      <x:c r="B24" s="10"/>
      <x:c r="C24" s="10"/>
      <x:c r="D24" s="10"/>
      <x:c r="E24" s="10"/>
      <x:c r="F24" s="10"/>
      <x:c r="G24" s="10"/>
      <x:c r="H24" s="10"/>
    </x:row>
    <x:row r="25" ht="14.25" customHeight="1">
      <x:c r="A25" s="10"/>
      <x:c r="B25" s="10"/>
      <x:c r="C25" s="10"/>
      <x:c r="D25" s="10"/>
      <x:c r="E25" s="10"/>
      <x:c r="F25" s="10"/>
      <x:c r="G25" s="10"/>
      <x:c r="H25" s="10"/>
    </x:row>
    <x:row r="26" ht="14.25" customHeight="1">
      <x:c r="A26" s="10"/>
      <x:c r="B26" s="10"/>
      <x:c r="C26" s="10"/>
      <x:c r="D26" s="10"/>
      <x:c r="E26" s="10"/>
      <x:c r="F26" s="10"/>
      <x:c r="G26" s="10"/>
      <x:c r="H26" s="10"/>
    </x:row>
    <x:row r="27" ht="14.25" customHeight="1">
      <x:c r="A27" s="10"/>
      <x:c r="B27" s="10"/>
      <x:c r="C27" s="10"/>
      <x:c r="D27" s="10"/>
      <x:c r="E27" s="10"/>
      <x:c r="F27" s="10"/>
      <x:c r="G27" s="10"/>
      <x:c r="H27" s="10"/>
    </x:row>
    <x:row r="28" ht="14.25" customHeight="1">
      <x:c r="A28" s="10"/>
      <x:c r="B28" s="10"/>
      <x:c r="C28" s="10"/>
      <x:c r="D28" s="10"/>
      <x:c r="E28" s="10"/>
      <x:c r="F28" s="10"/>
      <x:c r="G28" s="10"/>
      <x:c r="H28" s="10"/>
    </x:row>
    <x:row r="29" ht="14.25" customHeight="1">
      <x:c r="A29" s="10"/>
      <x:c r="B29" s="10"/>
      <x:c r="C29" s="10"/>
      <x:c r="D29" s="10"/>
      <x:c r="E29" s="10"/>
      <x:c r="F29" s="10"/>
      <x:c r="G29" s="10"/>
      <x:c r="H29" s="10"/>
    </x:row>
    <x:row r="30" ht="14.25" customHeight="1">
      <x:c r="A30" s="10"/>
      <x:c r="B30" s="10"/>
      <x:c r="C30" s="10"/>
      <x:c r="D30" s="10"/>
      <x:c r="E30" s="10"/>
      <x:c r="F30" s="10"/>
      <x:c r="G30" s="10"/>
      <x:c r="H30" s="10"/>
    </x:row>
    <x:row r="31" ht="14.25" customHeight="1">
      <x:c r="A31" s="10"/>
      <x:c r="B31" s="10"/>
      <x:c r="C31" s="10"/>
      <x:c r="D31" s="10"/>
      <x:c r="E31" s="10"/>
      <x:c r="F31" s="10"/>
      <x:c r="G31" s="10"/>
      <x:c r="H31" s="10"/>
    </x:row>
    <x:row r="32" ht="14.25" customHeight="1">
      <x:c r="A32" s="10"/>
      <x:c r="B32" s="10"/>
      <x:c r="C32" s="10"/>
      <x:c r="D32" s="10"/>
      <x:c r="E32" s="10"/>
      <x:c r="F32" s="10"/>
      <x:c r="G32" s="10"/>
      <x:c r="H32" s="10"/>
    </x:row>
    <x:row r="33" ht="14.25" customHeight="1">
      <x:c r="A33" s="10"/>
      <x:c r="B33" s="10"/>
      <x:c r="C33" s="10"/>
      <x:c r="D33" s="10"/>
      <x:c r="E33" s="10"/>
      <x:c r="F33" s="10"/>
      <x:c r="G33" s="10"/>
      <x:c r="H33" s="10"/>
    </x:row>
    <x:row r="34" ht="14.25" customHeight="1">
      <x:c r="A34" s="10"/>
      <x:c r="B34" s="10"/>
      <x:c r="C34" s="10"/>
      <x:c r="D34" s="10"/>
      <x:c r="E34" s="10"/>
      <x:c r="F34" s="10"/>
      <x:c r="G34" s="10"/>
      <x:c r="H34" s="10"/>
    </x:row>
    <x:row r="35" ht="14.25" customHeight="1">
      <x:c r="A35" s="10"/>
      <x:c r="B35" s="10"/>
      <x:c r="C35" s="10"/>
      <x:c r="D35" s="10"/>
      <x:c r="E35" s="10"/>
      <x:c r="F35" s="10"/>
      <x:c r="G35" s="10"/>
      <x:c r="H35" s="10"/>
    </x:row>
    <x:row r="36" ht="14.25" customHeight="1">
      <x:c r="A36" s="10"/>
      <x:c r="B36" s="10"/>
      <x:c r="C36" s="10"/>
      <x:c r="D36" s="10"/>
      <x:c r="E36" s="10"/>
      <x:c r="F36" s="10"/>
      <x:c r="G36" s="10"/>
      <x:c r="H36" s="10"/>
    </x:row>
    <x:row r="37" ht="14.25" customHeight="1">
      <x:c r="A37" s="10"/>
      <x:c r="B37" s="10"/>
      <x:c r="C37" s="10"/>
      <x:c r="D37" s="10"/>
      <x:c r="E37" s="10"/>
      <x:c r="F37" s="10"/>
      <x:c r="G37" s="10"/>
      <x:c r="H37" s="10"/>
    </x:row>
    <x:row r="38" ht="14.25" customHeight="1">
      <x:c r="A38" s="10"/>
      <x:c r="B38" s="10"/>
      <x:c r="C38" s="10"/>
      <x:c r="D38" s="10"/>
      <x:c r="E38" s="10"/>
      <x:c r="F38" s="10"/>
      <x:c r="G38" s="10"/>
      <x:c r="H38" s="10"/>
    </x:row>
    <x:row r="39" ht="14.25" customHeight="1">
      <x:c r="A39" s="10"/>
      <x:c r="B39" s="10"/>
      <x:c r="C39" s="10"/>
      <x:c r="D39" s="10"/>
      <x:c r="E39" s="10"/>
      <x:c r="F39" s="10"/>
      <x:c r="G39" s="10"/>
      <x:c r="H39" s="10"/>
    </x:row>
    <x:row r="40" ht="14.25" customHeight="1">
      <x:c r="A40" s="10"/>
      <x:c r="B40" s="10"/>
      <x:c r="C40" s="10"/>
      <x:c r="D40" s="10"/>
      <x:c r="E40" s="10"/>
      <x:c r="F40" s="10"/>
      <x:c r="G40" s="10"/>
      <x:c r="H40" s="10"/>
    </x:row>
    <x:row r="41" ht="14.25" customHeight="1">
      <x:c r="A41" s="10"/>
      <x:c r="B41" s="10"/>
      <x:c r="C41" s="10"/>
      <x:c r="D41" s="10"/>
      <x:c r="E41" s="10"/>
      <x:c r="F41" s="10"/>
      <x:c r="G41" s="10"/>
      <x:c r="H41" s="10"/>
    </x:row>
    <x:row r="42" ht="14.25" customHeight="1">
      <x:c r="A42" s="10"/>
      <x:c r="B42" s="10"/>
      <x:c r="C42" s="10"/>
      <x:c r="D42" s="10"/>
      <x:c r="E42" s="10"/>
      <x:c r="F42" s="10"/>
      <x:c r="G42" s="10"/>
      <x:c r="H42" s="10"/>
    </x:row>
    <x:row r="43" ht="14.25" customHeight="1">
      <x:c r="A43" s="10"/>
      <x:c r="B43" s="10"/>
      <x:c r="C43" s="10"/>
      <x:c r="D43" s="10"/>
      <x:c r="E43" s="10"/>
      <x:c r="F43" s="10"/>
      <x:c r="G43" s="10"/>
      <x:c r="H43" s="10"/>
    </x:row>
    <x:row r="44" ht="14.25" customHeight="1">
      <x:c r="A44" s="10"/>
      <x:c r="B44" s="10"/>
      <x:c r="C44" s="10"/>
      <x:c r="D44" s="10"/>
      <x:c r="E44" s="10"/>
      <x:c r="F44" s="10"/>
      <x:c r="G44" s="10"/>
      <x:c r="H44" s="10"/>
    </x:row>
    <x:row r="45" ht="14.25" customHeight="1">
      <x:c r="A45" s="10"/>
      <x:c r="B45" s="10"/>
      <x:c r="C45" s="10"/>
      <x:c r="D45" s="10"/>
      <x:c r="E45" s="10"/>
      <x:c r="F45" s="10"/>
      <x:c r="G45" s="10"/>
      <x:c r="H45" s="10"/>
    </x:row>
    <x:row r="46" ht="14.25" customHeight="1">
      <x:c r="A46" s="10"/>
      <x:c r="B46" s="10"/>
      <x:c r="C46" s="10"/>
      <x:c r="D46" s="10"/>
      <x:c r="E46" s="10"/>
      <x:c r="F46" s="10"/>
      <x:c r="G46" s="10"/>
      <x:c r="H46" s="10"/>
    </x:row>
    <x:row r="47" ht="14.25" customHeight="1">
      <x:c r="A47" s="10"/>
      <x:c r="B47" s="10"/>
      <x:c r="C47" s="10"/>
      <x:c r="D47" s="10"/>
      <x:c r="E47" s="10"/>
      <x:c r="F47" s="10"/>
      <x:c r="G47" s="10"/>
      <x:c r="H47" s="10"/>
    </x:row>
    <x:row r="48" ht="14.25" customHeight="1">
      <x:c r="A48" s="10"/>
      <x:c r="B48" s="10"/>
      <x:c r="C48" s="10"/>
      <x:c r="D48" s="10"/>
      <x:c r="E48" s="10"/>
      <x:c r="F48" s="10"/>
      <x:c r="G48" s="10"/>
      <x:c r="H48" s="10"/>
    </x:row>
    <x:row r="49" ht="14.25" customHeight="1">
      <x:c r="A49" s="10"/>
      <x:c r="B49" s="10"/>
      <x:c r="C49" s="10"/>
      <x:c r="D49" s="10"/>
      <x:c r="E49" s="10"/>
      <x:c r="F49" s="10"/>
      <x:c r="G49" s="10"/>
      <x:c r="H49" s="10"/>
    </x:row>
    <x:row r="50" ht="14.25" customHeight="1">
      <x:c r="A50" s="10"/>
      <x:c r="B50" s="10"/>
      <x:c r="C50" s="10"/>
      <x:c r="D50" s="10"/>
      <x:c r="E50" s="10"/>
      <x:c r="F50" s="10"/>
      <x:c r="G50" s="10"/>
      <x:c r="H50" s="10"/>
    </x:row>
    <x:row r="51" ht="14.25" customHeight="1">
      <x:c r="A51" s="10"/>
      <x:c r="B51" s="10"/>
      <x:c r="C51" s="10"/>
      <x:c r="D51" s="10"/>
      <x:c r="E51" s="10"/>
      <x:c r="F51" s="10"/>
      <x:c r="G51" s="10"/>
      <x:c r="H51" s="10"/>
    </x:row>
    <x:row r="52" ht="14.25" customHeight="1">
      <x:c r="A52" s="10"/>
      <x:c r="B52" s="10"/>
      <x:c r="C52" s="10"/>
      <x:c r="D52" s="10"/>
      <x:c r="E52" s="10"/>
      <x:c r="F52" s="10"/>
      <x:c r="G52" s="10"/>
      <x:c r="H52" s="10"/>
    </x:row>
    <x:row r="53" ht="14.25" customHeight="1">
      <x:c r="A53" s="10"/>
      <x:c r="B53" s="10"/>
      <x:c r="C53" s="10"/>
      <x:c r="D53" s="10"/>
      <x:c r="E53" s="10"/>
      <x:c r="F53" s="10"/>
      <x:c r="G53" s="10"/>
      <x:c r="H53" s="10"/>
    </x:row>
    <x:row r="54" ht="14.25" customHeight="1">
      <x:c r="A54" s="10"/>
      <x:c r="B54" s="10"/>
      <x:c r="C54" s="10"/>
      <x:c r="D54" s="10"/>
      <x:c r="E54" s="10"/>
      <x:c r="F54" s="10"/>
      <x:c r="G54" s="10"/>
      <x:c r="H54" s="10"/>
    </x:row>
    <x:row r="55" ht="14.25" customHeight="1">
      <x:c r="A55" s="10"/>
      <x:c r="B55" s="10"/>
      <x:c r="C55" s="10"/>
      <x:c r="D55" s="10"/>
      <x:c r="E55" s="10"/>
      <x:c r="F55" s="10"/>
      <x:c r="G55" s="10"/>
      <x:c r="H55" s="10"/>
    </x:row>
    <x:row r="56" ht="14.25" customHeight="1">
      <x:c r="A56" s="10"/>
      <x:c r="B56" s="10"/>
      <x:c r="C56" s="10"/>
      <x:c r="D56" s="10"/>
      <x:c r="E56" s="10"/>
      <x:c r="F56" s="10"/>
      <x:c r="G56" s="10"/>
      <x:c r="H56" s="10"/>
    </x:row>
    <x:row r="57" ht="14.25" customHeight="1">
      <x:c r="A57" s="10"/>
      <x:c r="B57" s="10"/>
      <x:c r="C57" s="10"/>
      <x:c r="D57" s="10"/>
      <x:c r="E57" s="10"/>
      <x:c r="F57" s="10"/>
      <x:c r="G57" s="10"/>
      <x:c r="H57" s="10"/>
    </x:row>
    <x:row r="58" ht="14.25" customHeight="1">
      <x:c r="A58" s="10"/>
      <x:c r="B58" s="10"/>
      <x:c r="C58" s="10"/>
      <x:c r="D58" s="10"/>
      <x:c r="E58" s="10"/>
      <x:c r="F58" s="10"/>
      <x:c r="G58" s="10"/>
      <x:c r="H58" s="10"/>
    </x:row>
    <x:row r="59" ht="14.25" customHeight="1">
      <x:c r="A59" s="10"/>
      <x:c r="B59" s="10"/>
      <x:c r="C59" s="10"/>
      <x:c r="D59" s="10"/>
      <x:c r="E59" s="10"/>
      <x:c r="F59" s="10"/>
      <x:c r="G59" s="10"/>
      <x:c r="H59" s="10"/>
    </x:row>
    <x:row r="60" ht="14.25" customHeight="1">
      <x:c r="A60" s="10"/>
      <x:c r="B60" s="10"/>
      <x:c r="C60" s="10"/>
      <x:c r="D60" s="10"/>
      <x:c r="E60" s="10"/>
      <x:c r="F60" s="10"/>
      <x:c r="G60" s="10"/>
      <x:c r="H60" s="10"/>
    </x:row>
    <x:row r="61" ht="14.25" customHeight="1">
      <x:c r="A61" s="10"/>
      <x:c r="B61" s="10"/>
      <x:c r="C61" s="10"/>
      <x:c r="D61" s="10"/>
      <x:c r="E61" s="10"/>
      <x:c r="F61" s="10"/>
      <x:c r="G61" s="10"/>
      <x:c r="H61" s="10"/>
    </x:row>
    <x:row r="62" ht="14.25" customHeight="1">
      <x:c r="A62" s="10"/>
      <x:c r="B62" s="10"/>
      <x:c r="C62" s="10"/>
      <x:c r="D62" s="10"/>
      <x:c r="E62" s="10"/>
      <x:c r="F62" s="10"/>
      <x:c r="G62" s="10"/>
      <x:c r="H62" s="10"/>
    </x:row>
    <x:row r="63" ht="14.25" customHeight="1">
      <x:c r="A63" s="10"/>
      <x:c r="B63" s="10"/>
      <x:c r="C63" s="10"/>
      <x:c r="D63" s="10"/>
      <x:c r="E63" s="10"/>
      <x:c r="F63" s="10"/>
      <x:c r="G63" s="10"/>
      <x:c r="H63" s="10"/>
    </x:row>
    <x:row r="64" ht="14.25" customHeight="1">
      <x:c r="A64" s="10"/>
      <x:c r="B64" s="10"/>
      <x:c r="C64" s="10"/>
      <x:c r="D64" s="10"/>
      <x:c r="E64" s="10"/>
      <x:c r="F64" s="10"/>
      <x:c r="G64" s="10"/>
      <x:c r="H64" s="10"/>
    </x:row>
    <x:row r="65" ht="14.25" customHeight="1">
      <x:c r="A65" s="10"/>
      <x:c r="B65" s="10"/>
      <x:c r="C65" s="10"/>
      <x:c r="D65" s="10"/>
      <x:c r="E65" s="10"/>
      <x:c r="F65" s="10"/>
      <x:c r="G65" s="10"/>
      <x:c r="H65" s="10"/>
    </x:row>
    <x:row r="66" ht="14.25" customHeight="1">
      <x:c r="A66" s="10"/>
      <x:c r="B66" s="10"/>
      <x:c r="C66" s="10"/>
      <x:c r="D66" s="10"/>
      <x:c r="E66" s="10"/>
      <x:c r="F66" s="10"/>
      <x:c r="G66" s="10"/>
      <x:c r="H66" s="10"/>
    </x:row>
    <x:row r="67" ht="14.25" customHeight="1">
      <x:c r="A67" s="10"/>
      <x:c r="B67" s="10"/>
      <x:c r="C67" s="10"/>
      <x:c r="D67" s="10"/>
      <x:c r="E67" s="10"/>
      <x:c r="F67" s="10"/>
      <x:c r="G67" s="10"/>
      <x:c r="H67" s="10"/>
    </x:row>
    <x:row r="68" ht="14.25" customHeight="1">
      <x:c r="A68" s="10"/>
      <x:c r="B68" s="10"/>
      <x:c r="C68" s="10"/>
      <x:c r="D68" s="10"/>
      <x:c r="E68" s="10"/>
      <x:c r="F68" s="10"/>
      <x:c r="G68" s="10"/>
      <x:c r="H68" s="10"/>
    </x:row>
    <x:row r="69" ht="14.25" customHeight="1">
      <x:c r="A69" s="10"/>
      <x:c r="B69" s="10"/>
      <x:c r="C69" s="10"/>
      <x:c r="D69" s="10"/>
      <x:c r="E69" s="10"/>
      <x:c r="F69" s="10"/>
      <x:c r="G69" s="10"/>
      <x:c r="H69" s="10"/>
    </x:row>
    <x:row r="70" ht="14.25" customHeight="1">
      <x:c r="A70" s="10"/>
      <x:c r="B70" s="10"/>
      <x:c r="C70" s="10"/>
      <x:c r="D70" s="10"/>
      <x:c r="E70" s="10"/>
      <x:c r="F70" s="10"/>
      <x:c r="G70" s="10"/>
      <x:c r="H70" s="10"/>
    </x:row>
    <x:row r="71" ht="14.25" customHeight="1">
      <x:c r="A71" s="10"/>
      <x:c r="B71" s="10"/>
      <x:c r="C71" s="10"/>
      <x:c r="D71" s="10"/>
      <x:c r="E71" s="10"/>
      <x:c r="F71" s="10"/>
      <x:c r="G71" s="10"/>
      <x:c r="H71" s="10"/>
    </x:row>
    <x:row r="72" ht="14.25" customHeight="1">
      <x:c r="A72" s="10"/>
      <x:c r="B72" s="10"/>
      <x:c r="C72" s="10"/>
      <x:c r="D72" s="10"/>
      <x:c r="E72" s="10"/>
      <x:c r="F72" s="10"/>
      <x:c r="G72" s="10"/>
      <x:c r="H72" s="10"/>
    </x:row>
    <x:row r="73" ht="14.25" customHeight="1">
      <x:c r="A73" s="10"/>
      <x:c r="B73" s="10"/>
      <x:c r="C73" s="10"/>
      <x:c r="D73" s="10"/>
      <x:c r="E73" s="10"/>
      <x:c r="F73" s="10"/>
      <x:c r="G73" s="10"/>
      <x:c r="H73" s="10"/>
    </x:row>
    <x:row r="74" ht="14.25" customHeight="1">
      <x:c r="A74" s="10"/>
      <x:c r="B74" s="10"/>
      <x:c r="C74" s="10"/>
      <x:c r="D74" s="10"/>
      <x:c r="E74" s="10"/>
      <x:c r="F74" s="10"/>
      <x:c r="G74" s="10"/>
      <x:c r="H74" s="10"/>
    </x:row>
    <x:row r="75" ht="14.25" customHeight="1">
      <x:c r="A75" s="10"/>
      <x:c r="B75" s="10"/>
      <x:c r="C75" s="10"/>
      <x:c r="D75" s="10"/>
      <x:c r="E75" s="10"/>
      <x:c r="F75" s="10"/>
      <x:c r="G75" s="10"/>
      <x:c r="H75" s="10"/>
    </x:row>
    <x:row r="76" ht="14.25" customHeight="1">
      <x:c r="A76" s="10"/>
      <x:c r="B76" s="10"/>
      <x:c r="C76" s="10"/>
      <x:c r="D76" s="10"/>
      <x:c r="E76" s="10"/>
      <x:c r="F76" s="10"/>
      <x:c r="G76" s="10"/>
      <x:c r="H76" s="10"/>
    </x:row>
    <x:row r="77" ht="14.25" customHeight="1">
      <x:c r="A77" s="10"/>
      <x:c r="B77" s="10"/>
      <x:c r="C77" s="10"/>
      <x:c r="D77" s="10"/>
      <x:c r="E77" s="10"/>
      <x:c r="F77" s="10"/>
      <x:c r="G77" s="10"/>
      <x:c r="H77" s="10"/>
    </x:row>
    <x:row r="78" ht="14.25" customHeight="1">
      <x:c r="A78" s="10"/>
      <x:c r="B78" s="10"/>
      <x:c r="C78" s="10"/>
      <x:c r="D78" s="10"/>
      <x:c r="E78" s="10"/>
      <x:c r="F78" s="10"/>
      <x:c r="G78" s="10"/>
      <x:c r="H78" s="10"/>
    </x:row>
    <x:row r="79" ht="14.25" customHeight="1">
      <x:c r="A79" s="10"/>
      <x:c r="B79" s="10"/>
      <x:c r="C79" s="10"/>
      <x:c r="D79" s="10"/>
      <x:c r="E79" s="10"/>
      <x:c r="F79" s="10"/>
      <x:c r="G79" s="10"/>
      <x:c r="H79" s="10"/>
    </x:row>
    <x:row r="80" ht="14.25" customHeight="1">
      <x:c r="A80" s="10"/>
      <x:c r="B80" s="10"/>
      <x:c r="C80" s="10"/>
      <x:c r="D80" s="10"/>
      <x:c r="E80" s="10"/>
      <x:c r="F80" s="10"/>
      <x:c r="G80" s="10"/>
      <x:c r="H80" s="10"/>
    </x:row>
    <x:row r="81" ht="14.25" customHeight="1">
      <x:c r="A81" s="10"/>
      <x:c r="B81" s="10"/>
      <x:c r="C81" s="10"/>
      <x:c r="D81" s="10"/>
      <x:c r="E81" s="10"/>
      <x:c r="F81" s="10"/>
      <x:c r="G81" s="10"/>
      <x:c r="H81" s="10"/>
    </x:row>
    <x:row r="82" ht="14.25" customHeight="1">
      <x:c r="A82" s="10"/>
      <x:c r="B82" s="10"/>
      <x:c r="C82" s="10"/>
      <x:c r="D82" s="10"/>
      <x:c r="E82" s="10"/>
      <x:c r="F82" s="10"/>
      <x:c r="G82" s="10"/>
      <x:c r="H82" s="10"/>
    </x:row>
    <x:row r="83" ht="14.25" customHeight="1">
      <x:c r="A83" s="10"/>
      <x:c r="B83" s="10"/>
      <x:c r="C83" s="10"/>
      <x:c r="D83" s="10"/>
      <x:c r="E83" s="10"/>
      <x:c r="F83" s="10"/>
      <x:c r="G83" s="10"/>
      <x:c r="H83" s="10"/>
    </x:row>
    <x:row r="84" ht="14.25" customHeight="1">
      <x:c r="A84" s="10"/>
      <x:c r="B84" s="10"/>
      <x:c r="C84" s="10"/>
      <x:c r="D84" s="10"/>
      <x:c r="E84" s="10"/>
      <x:c r="F84" s="10"/>
      <x:c r="G84" s="10"/>
      <x:c r="H84" s="10"/>
    </x:row>
    <x:row r="85" ht="14.25" customHeight="1">
      <x:c r="A85" s="10"/>
      <x:c r="B85" s="10"/>
      <x:c r="C85" s="10"/>
      <x:c r="D85" s="10"/>
      <x:c r="E85" s="10"/>
      <x:c r="F85" s="10"/>
      <x:c r="G85" s="10"/>
      <x:c r="H85" s="10"/>
    </x:row>
    <x:row r="86" ht="14.25" customHeight="1">
      <x:c r="A86" s="10"/>
      <x:c r="B86" s="10"/>
      <x:c r="C86" s="10"/>
      <x:c r="D86" s="10"/>
      <x:c r="E86" s="10"/>
      <x:c r="F86" s="10"/>
      <x:c r="G86" s="10"/>
      <x:c r="H86" s="10"/>
    </x:row>
    <x:row r="87" ht="14.25" customHeight="1">
      <x:c r="A87" s="10"/>
      <x:c r="B87" s="10"/>
      <x:c r="C87" s="10"/>
      <x:c r="D87" s="10"/>
      <x:c r="E87" s="10"/>
      <x:c r="F87" s="10"/>
      <x:c r="G87" s="10"/>
      <x:c r="H87" s="10"/>
    </x:row>
    <x:row r="88" ht="14.25" customHeight="1">
      <x:c r="A88" s="10"/>
      <x:c r="B88" s="10"/>
      <x:c r="C88" s="10"/>
      <x:c r="D88" s="10"/>
      <x:c r="E88" s="10"/>
      <x:c r="F88" s="10"/>
      <x:c r="G88" s="10"/>
      <x:c r="H88" s="10"/>
    </x:row>
    <x:row r="89" ht="14.25" customHeight="1">
      <x:c r="A89" s="10"/>
      <x:c r="B89" s="10"/>
      <x:c r="C89" s="10"/>
      <x:c r="D89" s="10"/>
      <x:c r="E89" s="10"/>
      <x:c r="F89" s="10"/>
      <x:c r="G89" s="10"/>
      <x:c r="H89" s="10"/>
    </x:row>
    <x:row r="90" ht="14.25" customHeight="1">
      <x:c r="A90" s="10"/>
      <x:c r="B90" s="10"/>
      <x:c r="C90" s="10"/>
      <x:c r="D90" s="10"/>
      <x:c r="E90" s="10"/>
      <x:c r="F90" s="10"/>
      <x:c r="G90" s="10"/>
      <x:c r="H90" s="10"/>
    </x:row>
    <x:row r="91" ht="14.25" customHeight="1">
      <x:c r="A91" s="10"/>
      <x:c r="B91" s="10"/>
      <x:c r="C91" s="10"/>
      <x:c r="D91" s="10"/>
      <x:c r="E91" s="10"/>
      <x:c r="F91" s="10"/>
      <x:c r="G91" s="10"/>
      <x:c r="H91" s="10"/>
    </x:row>
    <x:row r="92" ht="14.25" customHeight="1">
      <x:c r="A92" s="10"/>
      <x:c r="B92" s="10"/>
      <x:c r="C92" s="10"/>
      <x:c r="D92" s="10"/>
      <x:c r="E92" s="10"/>
      <x:c r="F92" s="10"/>
      <x:c r="G92" s="10"/>
      <x:c r="H92" s="10"/>
    </x:row>
    <x:row r="93" ht="14.25" customHeight="1">
      <x:c r="A93" s="10"/>
      <x:c r="B93" s="10"/>
      <x:c r="C93" s="10"/>
      <x:c r="D93" s="10"/>
      <x:c r="E93" s="10"/>
      <x:c r="F93" s="10"/>
      <x:c r="G93" s="10"/>
      <x:c r="H93" s="10"/>
    </x:row>
    <x:row r="94" ht="14.25" customHeight="1">
      <x:c r="A94" s="10"/>
      <x:c r="B94" s="10"/>
      <x:c r="C94" s="10"/>
      <x:c r="D94" s="10"/>
      <x:c r="E94" s="10"/>
      <x:c r="F94" s="10"/>
      <x:c r="G94" s="10"/>
      <x:c r="H94" s="10"/>
    </x:row>
    <x:row r="95" ht="14.25" customHeight="1">
      <x:c r="A95" s="10"/>
      <x:c r="B95" s="10"/>
      <x:c r="C95" s="10"/>
      <x:c r="D95" s="10"/>
      <x:c r="E95" s="10"/>
      <x:c r="F95" s="10"/>
      <x:c r="G95" s="10"/>
      <x:c r="H95" s="10"/>
    </x:row>
    <x:row r="96" ht="14.25" customHeight="1">
      <x:c r="A96" s="10"/>
      <x:c r="B96" s="10"/>
      <x:c r="C96" s="10"/>
      <x:c r="D96" s="10"/>
      <x:c r="E96" s="10"/>
      <x:c r="F96" s="10"/>
      <x:c r="G96" s="10"/>
      <x:c r="H96" s="10"/>
    </x:row>
    <x:row r="97" ht="14.25" customHeight="1">
      <x:c r="A97" s="10"/>
      <x:c r="B97" s="10"/>
      <x:c r="C97" s="10"/>
      <x:c r="D97" s="10"/>
      <x:c r="E97" s="10"/>
      <x:c r="F97" s="10"/>
      <x:c r="G97" s="10"/>
      <x:c r="H97" s="10"/>
    </x:row>
    <x:row r="98" ht="14.25" customHeight="1">
      <x:c r="A98" s="10"/>
      <x:c r="B98" s="10"/>
      <x:c r="C98" s="10"/>
      <x:c r="D98" s="10"/>
      <x:c r="E98" s="10"/>
      <x:c r="F98" s="10"/>
      <x:c r="G98" s="10"/>
      <x:c r="H98" s="10"/>
    </x:row>
    <x:row r="99" ht="14.25" customHeight="1">
      <x:c r="A99" s="10"/>
      <x:c r="B99" s="10"/>
      <x:c r="C99" s="10"/>
      <x:c r="D99" s="10"/>
      <x:c r="E99" s="10"/>
      <x:c r="F99" s="10"/>
      <x:c r="G99" s="10"/>
      <x:c r="H99" s="10"/>
    </x:row>
    <x:row r="100" ht="14.25" customHeight="1">
      <x:c r="A100" s="10"/>
      <x:c r="B100" s="10"/>
      <x:c r="C100" s="10"/>
      <x:c r="D100" s="10"/>
      <x:c r="E100" s="10"/>
      <x:c r="F100" s="10"/>
      <x:c r="G100" s="10"/>
      <x:c r="H100" s="10"/>
    </x:row>
    <x:row r="101" ht="14.25" customHeight="1">
      <x:c r="A101" s="10"/>
      <x:c r="B101" s="10"/>
      <x:c r="C101" s="10"/>
      <x:c r="D101" s="10"/>
      <x:c r="E101" s="10"/>
      <x:c r="F101" s="10"/>
      <x:c r="G101" s="10"/>
      <x:c r="H101" s="10"/>
    </x:row>
    <x:row r="102" ht="14.25" customHeight="1">
      <x:c r="A102" s="10"/>
      <x:c r="B102" s="10"/>
      <x:c r="C102" s="10"/>
      <x:c r="D102" s="10"/>
      <x:c r="E102" s="10"/>
      <x:c r="F102" s="10"/>
      <x:c r="G102" s="10"/>
      <x:c r="H102" s="10"/>
    </x:row>
    <x:row r="103" ht="14.25" customHeight="1">
      <x:c r="A103" s="10"/>
      <x:c r="B103" s="10"/>
      <x:c r="C103" s="10"/>
      <x:c r="D103" s="10"/>
      <x:c r="E103" s="10"/>
      <x:c r="F103" s="10"/>
      <x:c r="G103" s="10"/>
      <x:c r="H103" s="10"/>
    </x:row>
    <x:row r="104" ht="14.25" customHeight="1">
      <x:c r="A104" s="10"/>
      <x:c r="B104" s="10"/>
      <x:c r="C104" s="10"/>
      <x:c r="D104" s="10"/>
      <x:c r="E104" s="10"/>
      <x:c r="F104" s="10"/>
      <x:c r="G104" s="10"/>
      <x:c r="H104" s="10"/>
    </x:row>
    <x:row r="105" ht="14.25" customHeight="1">
      <x:c r="A105" s="10"/>
      <x:c r="B105" s="10"/>
      <x:c r="C105" s="10"/>
      <x:c r="D105" s="10"/>
      <x:c r="E105" s="10"/>
      <x:c r="F105" s="10"/>
      <x:c r="G105" s="10"/>
      <x:c r="H105" s="10"/>
    </x:row>
    <x:row r="106" ht="14.25" customHeight="1">
      <x:c r="A106" s="10"/>
      <x:c r="B106" s="10"/>
      <x:c r="C106" s="10"/>
      <x:c r="D106" s="10"/>
      <x:c r="E106" s="10"/>
      <x:c r="F106" s="10"/>
      <x:c r="G106" s="10"/>
      <x:c r="H106" s="10"/>
    </x:row>
    <x:row r="107" ht="14.25" customHeight="1">
      <x:c r="A107" s="10"/>
      <x:c r="B107" s="10"/>
      <x:c r="C107" s="10"/>
      <x:c r="D107" s="10"/>
      <x:c r="E107" s="10"/>
      <x:c r="F107" s="10"/>
      <x:c r="G107" s="10"/>
      <x:c r="H107" s="10"/>
    </x:row>
    <x:row r="108" ht="14.25" customHeight="1">
      <x:c r="A108" s="10"/>
      <x:c r="B108" s="10"/>
      <x:c r="C108" s="10"/>
      <x:c r="D108" s="10"/>
      <x:c r="E108" s="10"/>
      <x:c r="F108" s="10"/>
      <x:c r="G108" s="10"/>
      <x:c r="H108" s="10"/>
    </x:row>
    <x:row r="109" ht="14.25" customHeight="1">
      <x:c r="A109" s="10"/>
      <x:c r="B109" s="10"/>
      <x:c r="C109" s="10"/>
      <x:c r="D109" s="10"/>
      <x:c r="E109" s="10"/>
      <x:c r="F109" s="10"/>
      <x:c r="G109" s="10"/>
      <x:c r="H109" s="10"/>
    </x:row>
    <x:row r="110" ht="14.25" customHeight="1">
      <x:c r="A110" s="10"/>
      <x:c r="B110" s="10"/>
      <x:c r="C110" s="10"/>
      <x:c r="D110" s="10"/>
      <x:c r="E110" s="10"/>
      <x:c r="F110" s="10"/>
      <x:c r="G110" s="10"/>
      <x:c r="H110" s="10"/>
    </x:row>
    <x:row r="111" ht="14.25" customHeight="1">
      <x:c r="A111" s="10"/>
      <x:c r="B111" s="10"/>
      <x:c r="C111" s="10"/>
      <x:c r="D111" s="10"/>
      <x:c r="E111" s="10"/>
      <x:c r="F111" s="10"/>
      <x:c r="G111" s="10"/>
      <x:c r="H111" s="10"/>
    </x:row>
    <x:row r="112" ht="14.25" customHeight="1">
      <x:c r="A112" s="10"/>
      <x:c r="B112" s="10"/>
      <x:c r="C112" s="10"/>
      <x:c r="D112" s="10"/>
      <x:c r="E112" s="10"/>
      <x:c r="F112" s="10"/>
      <x:c r="G112" s="10"/>
      <x:c r="H112" s="10"/>
    </x:row>
    <x:row r="113" ht="14.25" customHeight="1">
      <x:c r="A113" s="10"/>
      <x:c r="B113" s="10"/>
      <x:c r="C113" s="10"/>
      <x:c r="D113" s="10"/>
      <x:c r="E113" s="10"/>
      <x:c r="F113" s="10"/>
      <x:c r="G113" s="10"/>
      <x:c r="H113" s="10"/>
    </x:row>
    <x:row r="114" ht="14.25" customHeight="1">
      <x:c r="A114" s="10"/>
      <x:c r="B114" s="10"/>
      <x:c r="C114" s="10"/>
      <x:c r="D114" s="10"/>
      <x:c r="E114" s="10"/>
      <x:c r="F114" s="10"/>
      <x:c r="G114" s="10"/>
      <x:c r="H114" s="10"/>
    </x:row>
    <x:row r="115" ht="14.25" customHeight="1">
      <x:c r="A115" s="10"/>
      <x:c r="B115" s="10"/>
      <x:c r="C115" s="10"/>
      <x:c r="D115" s="10"/>
      <x:c r="E115" s="10"/>
      <x:c r="F115" s="10"/>
      <x:c r="G115" s="10"/>
      <x:c r="H115" s="10"/>
    </x:row>
    <x:row r="116" ht="14.25" customHeight="1">
      <x:c r="A116" s="10"/>
      <x:c r="B116" s="10"/>
      <x:c r="C116" s="10"/>
      <x:c r="D116" s="10"/>
      <x:c r="E116" s="10"/>
      <x:c r="F116" s="10"/>
      <x:c r="G116" s="10"/>
      <x:c r="H116" s="10"/>
    </x:row>
    <x:row r="117" ht="14.25" customHeight="1">
      <x:c r="A117" s="10"/>
      <x:c r="B117" s="10"/>
      <x:c r="C117" s="10"/>
      <x:c r="D117" s="10"/>
      <x:c r="E117" s="10"/>
      <x:c r="F117" s="10"/>
      <x:c r="G117" s="10"/>
      <x:c r="H117" s="10"/>
    </x:row>
    <x:row r="118" ht="14.25" customHeight="1">
      <x:c r="A118" s="10"/>
      <x:c r="B118" s="10"/>
      <x:c r="C118" s="10"/>
      <x:c r="D118" s="10"/>
      <x:c r="E118" s="10"/>
      <x:c r="F118" s="10"/>
      <x:c r="G118" s="10"/>
      <x:c r="H118" s="10"/>
    </x:row>
    <x:row r="119" ht="14.25" customHeight="1">
      <x:c r="A119" s="10"/>
      <x:c r="B119" s="10"/>
      <x:c r="C119" s="10"/>
      <x:c r="D119" s="10"/>
      <x:c r="E119" s="10"/>
      <x:c r="F119" s="10"/>
      <x:c r="G119" s="10"/>
      <x:c r="H119" s="10"/>
    </x:row>
    <x:row r="120" ht="14.25" customHeight="1">
      <x:c r="A120" s="10"/>
      <x:c r="B120" s="10"/>
      <x:c r="C120" s="10"/>
      <x:c r="D120" s="10"/>
      <x:c r="E120" s="10"/>
      <x:c r="F120" s="10"/>
      <x:c r="G120" s="10"/>
      <x:c r="H120" s="10"/>
    </x:row>
    <x:row r="121" ht="14.25" customHeight="1">
      <x:c r="A121" s="10"/>
      <x:c r="B121" s="10"/>
      <x:c r="C121" s="10"/>
      <x:c r="D121" s="10"/>
      <x:c r="E121" s="10"/>
      <x:c r="F121" s="10"/>
      <x:c r="G121" s="10"/>
      <x:c r="H121" s="10"/>
    </x:row>
    <x:row r="122" ht="14.25" customHeight="1">
      <x:c r="A122" s="10"/>
      <x:c r="B122" s="10"/>
      <x:c r="C122" s="10"/>
      <x:c r="D122" s="10"/>
      <x:c r="E122" s="10"/>
      <x:c r="F122" s="10"/>
      <x:c r="G122" s="10"/>
      <x:c r="H122" s="10"/>
    </x:row>
    <x:row r="123" ht="14.25" customHeight="1">
      <x:c r="A123" s="10"/>
      <x:c r="B123" s="10"/>
      <x:c r="C123" s="10"/>
      <x:c r="D123" s="10"/>
      <x:c r="E123" s="10"/>
      <x:c r="F123" s="10"/>
      <x:c r="G123" s="10"/>
      <x:c r="H123" s="10"/>
    </x:row>
    <x:row r="124" ht="14.25" customHeight="1">
      <x:c r="A124" s="10"/>
      <x:c r="B124" s="10"/>
      <x:c r="C124" s="10"/>
      <x:c r="D124" s="10"/>
      <x:c r="E124" s="10"/>
      <x:c r="F124" s="10"/>
      <x:c r="G124" s="10"/>
      <x:c r="H124" s="10"/>
    </x:row>
    <x:row r="125" ht="14.25" customHeight="1">
      <x:c r="A125" s="10"/>
      <x:c r="B125" s="10"/>
      <x:c r="C125" s="10"/>
      <x:c r="D125" s="10"/>
      <x:c r="E125" s="10"/>
      <x:c r="F125" s="10"/>
      <x:c r="G125" s="10"/>
      <x:c r="H125" s="10"/>
    </x:row>
    <x:row r="126" ht="14.25" customHeight="1">
      <x:c r="A126" s="10"/>
      <x:c r="B126" s="10"/>
      <x:c r="C126" s="10"/>
      <x:c r="D126" s="10"/>
      <x:c r="E126" s="10"/>
      <x:c r="F126" s="10"/>
      <x:c r="G126" s="10"/>
      <x:c r="H126" s="10"/>
    </x:row>
    <x:row r="127" ht="14.25" customHeight="1">
      <x:c r="A127" s="10"/>
      <x:c r="B127" s="10"/>
      <x:c r="C127" s="10"/>
      <x:c r="D127" s="10"/>
      <x:c r="E127" s="10"/>
      <x:c r="F127" s="10"/>
      <x:c r="G127" s="10"/>
      <x:c r="H127" s="10"/>
    </x:row>
    <x:row r="128" ht="14.25" customHeight="1">
      <x:c r="A128" s="10"/>
      <x:c r="B128" s="10"/>
      <x:c r="C128" s="10"/>
      <x:c r="D128" s="10"/>
      <x:c r="E128" s="10"/>
      <x:c r="F128" s="10"/>
      <x:c r="G128" s="10"/>
      <x:c r="H128" s="10"/>
    </x:row>
    <x:row r="129" ht="14.25" customHeight="1">
      <x:c r="A129" s="10"/>
      <x:c r="B129" s="10"/>
      <x:c r="C129" s="10"/>
      <x:c r="D129" s="10"/>
      <x:c r="E129" s="10"/>
      <x:c r="F129" s="10"/>
      <x:c r="G129" s="10"/>
      <x:c r="H129" s="10"/>
    </x:row>
    <x:row r="130" ht="14.25" customHeight="1">
      <x:c r="A130" s="10"/>
      <x:c r="B130" s="10"/>
      <x:c r="C130" s="10"/>
      <x:c r="D130" s="10"/>
      <x:c r="E130" s="10"/>
      <x:c r="F130" s="10"/>
      <x:c r="G130" s="10"/>
      <x:c r="H130" s="10"/>
    </x:row>
    <x:row r="131" ht="14.25" customHeight="1">
      <x:c r="A131" s="10"/>
      <x:c r="B131" s="10"/>
      <x:c r="C131" s="10"/>
      <x:c r="D131" s="10"/>
      <x:c r="E131" s="10"/>
      <x:c r="F131" s="10"/>
      <x:c r="G131" s="10"/>
      <x:c r="H131" s="10"/>
    </x:row>
    <x:row r="132" ht="14.25" customHeight="1">
      <x:c r="A132" s="10"/>
      <x:c r="B132" s="10"/>
      <x:c r="C132" s="10"/>
      <x:c r="D132" s="10"/>
      <x:c r="E132" s="10"/>
      <x:c r="F132" s="10"/>
      <x:c r="G132" s="10"/>
      <x:c r="H132" s="10"/>
    </x:row>
    <x:row r="133" ht="14.25" customHeight="1">
      <x:c r="A133" s="10"/>
      <x:c r="B133" s="10"/>
      <x:c r="C133" s="10"/>
      <x:c r="D133" s="10"/>
      <x:c r="E133" s="10"/>
      <x:c r="F133" s="10"/>
      <x:c r="G133" s="10"/>
      <x:c r="H133" s="10"/>
    </x:row>
    <x:row r="134" ht="14.25" customHeight="1">
      <x:c r="A134" s="10"/>
      <x:c r="B134" s="10"/>
      <x:c r="C134" s="10"/>
      <x:c r="D134" s="10"/>
      <x:c r="E134" s="10"/>
      <x:c r="F134" s="10"/>
      <x:c r="G134" s="10"/>
      <x:c r="H134" s="10"/>
    </x:row>
    <x:row r="135" ht="14.25" customHeight="1">
      <x:c r="A135" s="10"/>
      <x:c r="B135" s="10"/>
      <x:c r="C135" s="10"/>
      <x:c r="D135" s="10"/>
      <x:c r="E135" s="10"/>
      <x:c r="F135" s="10"/>
      <x:c r="G135" s="10"/>
      <x:c r="H135" s="10"/>
    </x:row>
    <x:row r="136" ht="14.25" customHeight="1">
      <x:c r="A136" s="10"/>
      <x:c r="B136" s="10"/>
      <x:c r="C136" s="10"/>
      <x:c r="D136" s="10"/>
      <x:c r="E136" s="10"/>
      <x:c r="F136" s="10"/>
      <x:c r="G136" s="10"/>
      <x:c r="H136" s="10"/>
    </x:row>
    <x:row r="137" ht="14.25" customHeight="1">
      <x:c r="A137" s="10"/>
      <x:c r="B137" s="10"/>
      <x:c r="C137" s="10"/>
      <x:c r="D137" s="10"/>
      <x:c r="E137" s="10"/>
      <x:c r="F137" s="10"/>
      <x:c r="G137" s="10"/>
      <x:c r="H137" s="10"/>
    </x:row>
    <x:row r="138" ht="14.25" customHeight="1">
      <x:c r="A138" s="10"/>
      <x:c r="B138" s="10"/>
      <x:c r="C138" s="10"/>
      <x:c r="D138" s="10"/>
      <x:c r="E138" s="10"/>
      <x:c r="F138" s="10"/>
      <x:c r="G138" s="10"/>
      <x:c r="H138" s="10"/>
    </x:row>
    <x:row r="139" ht="14.25" customHeight="1">
      <x:c r="A139" s="10"/>
      <x:c r="B139" s="10"/>
      <x:c r="C139" s="10"/>
      <x:c r="D139" s="10"/>
      <x:c r="E139" s="10"/>
      <x:c r="F139" s="10"/>
      <x:c r="G139" s="10"/>
      <x:c r="H139" s="10"/>
    </x:row>
    <x:row r="140" ht="14.25" customHeight="1">
      <x:c r="A140" s="10"/>
      <x:c r="B140" s="10"/>
      <x:c r="C140" s="10"/>
      <x:c r="D140" s="10"/>
      <x:c r="E140" s="10"/>
      <x:c r="F140" s="10"/>
      <x:c r="G140" s="10"/>
      <x:c r="H140" s="10"/>
    </x:row>
    <x:row r="141" ht="14.25" customHeight="1">
      <x:c r="A141" s="10"/>
      <x:c r="B141" s="10"/>
      <x:c r="C141" s="10"/>
      <x:c r="D141" s="10"/>
      <x:c r="E141" s="10"/>
      <x:c r="F141" s="10"/>
      <x:c r="G141" s="10"/>
      <x:c r="H141" s="10"/>
    </x:row>
    <x:row r="142" ht="14.25" customHeight="1">
      <x:c r="A142" s="10"/>
      <x:c r="B142" s="10"/>
      <x:c r="C142" s="10"/>
      <x:c r="D142" s="10"/>
      <x:c r="E142" s="10"/>
      <x:c r="F142" s="10"/>
      <x:c r="G142" s="10"/>
      <x:c r="H142" s="10"/>
    </x:row>
    <x:row r="143" ht="14.25" customHeight="1">
      <x:c r="A143" s="10"/>
      <x:c r="B143" s="10"/>
      <x:c r="C143" s="10"/>
      <x:c r="D143" s="10"/>
      <x:c r="E143" s="10"/>
      <x:c r="F143" s="10"/>
      <x:c r="G143" s="10"/>
      <x:c r="H143" s="10"/>
    </x:row>
    <x:row r="144" ht="14.25" customHeight="1">
      <x:c r="A144" s="10"/>
      <x:c r="B144" s="10"/>
      <x:c r="C144" s="10"/>
      <x:c r="D144" s="10"/>
      <x:c r="E144" s="10"/>
      <x:c r="F144" s="10"/>
      <x:c r="G144" s="10"/>
      <x:c r="H144" s="10"/>
    </x:row>
    <x:row r="145" ht="14.25" customHeight="1">
      <x:c r="A145" s="10"/>
      <x:c r="B145" s="10"/>
      <x:c r="C145" s="10"/>
      <x:c r="D145" s="10"/>
      <x:c r="E145" s="10"/>
      <x:c r="F145" s="10"/>
      <x:c r="G145" s="10"/>
      <x:c r="H145" s="10"/>
    </x:row>
    <x:row r="146" ht="14.25" customHeight="1">
      <x:c r="A146" s="10"/>
      <x:c r="B146" s="10"/>
      <x:c r="C146" s="10"/>
      <x:c r="D146" s="10"/>
      <x:c r="E146" s="10"/>
      <x:c r="F146" s="10"/>
      <x:c r="G146" s="10"/>
      <x:c r="H146" s="10"/>
    </x:row>
    <x:row r="147" ht="14.25" customHeight="1">
      <x:c r="A147" s="10"/>
      <x:c r="B147" s="10"/>
      <x:c r="C147" s="10"/>
      <x:c r="D147" s="10"/>
      <x:c r="E147" s="10"/>
      <x:c r="F147" s="10"/>
      <x:c r="G147" s="10"/>
      <x:c r="H147" s="10"/>
    </x:row>
    <x:row r="148" ht="14.25" customHeight="1">
      <x:c r="A148" s="10"/>
      <x:c r="B148" s="10"/>
      <x:c r="C148" s="10"/>
      <x:c r="D148" s="10"/>
      <x:c r="E148" s="10"/>
      <x:c r="F148" s="10"/>
      <x:c r="G148" s="10"/>
      <x:c r="H148" s="10"/>
    </x:row>
    <x:row r="149" ht="14.25" customHeight="1">
      <x:c r="A149" s="10"/>
      <x:c r="B149" s="10"/>
      <x:c r="C149" s="10"/>
      <x:c r="D149" s="10"/>
      <x:c r="E149" s="10"/>
      <x:c r="F149" s="10"/>
      <x:c r="G149" s="10"/>
      <x:c r="H149" s="10"/>
    </x:row>
    <x:row r="150" ht="14.25" customHeight="1">
      <x:c r="A150" s="10"/>
      <x:c r="B150" s="10"/>
      <x:c r="C150" s="10"/>
      <x:c r="D150" s="10"/>
      <x:c r="E150" s="10"/>
      <x:c r="F150" s="10"/>
      <x:c r="G150" s="10"/>
      <x:c r="H150" s="10"/>
    </x:row>
    <x:row r="151" ht="14.25" customHeight="1">
      <x:c r="A151" s="10"/>
      <x:c r="B151" s="10"/>
      <x:c r="C151" s="10"/>
      <x:c r="D151" s="10"/>
      <x:c r="E151" s="10"/>
      <x:c r="F151" s="10"/>
      <x:c r="G151" s="10"/>
      <x:c r="H151" s="10"/>
    </x:row>
    <x:row r="152" ht="14.25" customHeight="1">
      <x:c r="A152" s="10"/>
      <x:c r="B152" s="10"/>
      <x:c r="C152" s="10"/>
      <x:c r="D152" s="10"/>
      <x:c r="E152" s="10"/>
      <x:c r="F152" s="10"/>
      <x:c r="G152" s="10"/>
      <x:c r="H152" s="10"/>
    </x:row>
    <x:row r="153" ht="14.25" customHeight="1">
      <x:c r="A153" s="10"/>
      <x:c r="B153" s="10"/>
      <x:c r="C153" s="10"/>
      <x:c r="D153" s="10"/>
      <x:c r="E153" s="10"/>
      <x:c r="F153" s="10"/>
      <x:c r="G153" s="10"/>
      <x:c r="H153" s="10"/>
    </x:row>
    <x:row r="154" ht="14.25" customHeight="1">
      <x:c r="A154" s="10"/>
      <x:c r="B154" s="10"/>
      <x:c r="C154" s="10"/>
      <x:c r="D154" s="10"/>
      <x:c r="E154" s="10"/>
      <x:c r="F154" s="10"/>
      <x:c r="G154" s="10"/>
      <x:c r="H154" s="10"/>
    </x:row>
    <x:row r="155" ht="14.25" customHeight="1">
      <x:c r="A155" s="10"/>
      <x:c r="B155" s="10"/>
      <x:c r="C155" s="10"/>
      <x:c r="D155" s="10"/>
      <x:c r="E155" s="10"/>
      <x:c r="F155" s="10"/>
      <x:c r="G155" s="10"/>
      <x:c r="H155" s="10"/>
    </x:row>
    <x:row r="156" ht="14.25" customHeight="1">
      <x:c r="A156" s="10"/>
      <x:c r="B156" s="10"/>
      <x:c r="C156" s="10"/>
      <x:c r="D156" s="10"/>
      <x:c r="E156" s="10"/>
      <x:c r="F156" s="10"/>
      <x:c r="G156" s="10"/>
      <x:c r="H156" s="10"/>
    </x:row>
    <x:row r="157" ht="14.25" customHeight="1">
      <x:c r="A157" s="10"/>
      <x:c r="B157" s="10"/>
      <x:c r="C157" s="10"/>
      <x:c r="D157" s="10"/>
      <x:c r="E157" s="10"/>
      <x:c r="F157" s="10"/>
      <x:c r="G157" s="10"/>
      <x:c r="H157" s="10"/>
    </x:row>
    <x:row r="158" ht="14.25" customHeight="1">
      <x:c r="A158" s="10"/>
      <x:c r="B158" s="10"/>
      <x:c r="C158" s="10"/>
      <x:c r="D158" s="10"/>
      <x:c r="E158" s="10"/>
      <x:c r="F158" s="10"/>
      <x:c r="G158" s="10"/>
      <x:c r="H158" s="10"/>
    </x:row>
    <x:row r="159" ht="14.25" customHeight="1">
      <x:c r="A159" s="10"/>
      <x:c r="B159" s="10"/>
      <x:c r="C159" s="10"/>
      <x:c r="D159" s="10"/>
      <x:c r="E159" s="10"/>
      <x:c r="F159" s="10"/>
      <x:c r="G159" s="10"/>
      <x:c r="H159" s="10"/>
    </x:row>
    <x:row r="160" ht="14.25" customHeight="1">
      <x:c r="A160" s="10"/>
      <x:c r="B160" s="10"/>
      <x:c r="C160" s="10"/>
      <x:c r="D160" s="10"/>
      <x:c r="E160" s="10"/>
      <x:c r="F160" s="10"/>
      <x:c r="G160" s="10"/>
      <x:c r="H160" s="10"/>
    </x:row>
    <x:row r="161" ht="14.25" customHeight="1">
      <x:c r="A161" s="10"/>
      <x:c r="B161" s="10"/>
      <x:c r="C161" s="10"/>
      <x:c r="D161" s="10"/>
      <x:c r="E161" s="10"/>
      <x:c r="F161" s="10"/>
      <x:c r="G161" s="10"/>
      <x:c r="H161" s="10"/>
    </x:row>
    <x:row r="162" ht="14.25" customHeight="1">
      <x:c r="A162" s="10"/>
      <x:c r="B162" s="10"/>
      <x:c r="C162" s="10"/>
      <x:c r="D162" s="10"/>
      <x:c r="E162" s="10"/>
      <x:c r="F162" s="10"/>
      <x:c r="G162" s="10"/>
      <x:c r="H162" s="10"/>
    </x:row>
    <x:row r="163" ht="14.25" customHeight="1">
      <x:c r="A163" s="10"/>
      <x:c r="B163" s="10"/>
      <x:c r="C163" s="10"/>
      <x:c r="D163" s="10"/>
      <x:c r="E163" s="10"/>
      <x:c r="F163" s="10"/>
      <x:c r="G163" s="10"/>
      <x:c r="H163" s="10"/>
    </x:row>
    <x:row r="164" ht="14.25" customHeight="1">
      <x:c r="A164" s="10"/>
      <x:c r="B164" s="10"/>
      <x:c r="C164" s="10"/>
      <x:c r="D164" s="10"/>
      <x:c r="E164" s="10"/>
      <x:c r="F164" s="10"/>
      <x:c r="G164" s="10"/>
      <x:c r="H164" s="10"/>
    </x:row>
    <x:row r="165" ht="14.25" customHeight="1">
      <x:c r="A165" s="10"/>
      <x:c r="B165" s="10"/>
      <x:c r="C165" s="10"/>
      <x:c r="D165" s="10"/>
      <x:c r="E165" s="10"/>
      <x:c r="F165" s="10"/>
      <x:c r="G165" s="10"/>
      <x:c r="H165" s="10"/>
    </x:row>
    <x:row r="166" ht="14.25" customHeight="1">
      <x:c r="A166" s="10"/>
      <x:c r="B166" s="10"/>
      <x:c r="C166" s="10"/>
      <x:c r="D166" s="10"/>
      <x:c r="E166" s="10"/>
      <x:c r="F166" s="10"/>
      <x:c r="G166" s="10"/>
      <x:c r="H166" s="10"/>
    </x:row>
    <x:row r="167" ht="14.25" customHeight="1">
      <x:c r="A167" s="10"/>
      <x:c r="B167" s="10"/>
      <x:c r="C167" s="10"/>
      <x:c r="D167" s="10"/>
      <x:c r="E167" s="10"/>
      <x:c r="F167" s="10"/>
      <x:c r="G167" s="10"/>
      <x:c r="H167" s="10"/>
    </x:row>
    <x:row r="168" ht="14.25" customHeight="1">
      <x:c r="A168" s="10"/>
      <x:c r="B168" s="10"/>
      <x:c r="C168" s="10"/>
      <x:c r="D168" s="10"/>
      <x:c r="E168" s="10"/>
      <x:c r="F168" s="10"/>
      <x:c r="G168" s="10"/>
      <x:c r="H168" s="10"/>
    </x:row>
    <x:row r="169" ht="14.25" customHeight="1">
      <x:c r="A169" s="10"/>
      <x:c r="B169" s="10"/>
      <x:c r="C169" s="10"/>
      <x:c r="D169" s="10"/>
      <x:c r="E169" s="10"/>
      <x:c r="F169" s="10"/>
      <x:c r="G169" s="10"/>
      <x:c r="H169" s="10"/>
    </x:row>
    <x:row r="170" ht="14.25" customHeight="1">
      <x:c r="A170" s="10"/>
      <x:c r="B170" s="10"/>
      <x:c r="C170" s="10"/>
      <x:c r="D170" s="10"/>
      <x:c r="E170" s="10"/>
      <x:c r="F170" s="10"/>
      <x:c r="G170" s="10"/>
      <x:c r="H170" s="10"/>
    </x:row>
    <x:row r="171" ht="14.25" customHeight="1">
      <x:c r="A171" s="10"/>
      <x:c r="B171" s="10"/>
      <x:c r="C171" s="10"/>
      <x:c r="D171" s="10"/>
      <x:c r="E171" s="10"/>
      <x:c r="F171" s="10"/>
      <x:c r="G171" s="10"/>
      <x:c r="H171" s="10"/>
    </x:row>
    <x:row r="172" ht="14.25" customHeight="1">
      <x:c r="A172" s="10"/>
      <x:c r="B172" s="10"/>
      <x:c r="C172" s="10"/>
      <x:c r="D172" s="10"/>
      <x:c r="E172" s="10"/>
      <x:c r="F172" s="10"/>
      <x:c r="G172" s="10"/>
      <x:c r="H172" s="10"/>
    </x:row>
    <x:row r="173" ht="14.25" customHeight="1">
      <x:c r="A173" s="10"/>
      <x:c r="B173" s="10"/>
      <x:c r="C173" s="10"/>
      <x:c r="D173" s="10"/>
      <x:c r="E173" s="10"/>
      <x:c r="F173" s="10"/>
      <x:c r="G173" s="10"/>
      <x:c r="H173" s="10"/>
    </x:row>
    <x:row r="174" ht="14.25" customHeight="1">
      <x:c r="A174" s="10"/>
      <x:c r="B174" s="10"/>
      <x:c r="C174" s="10"/>
      <x:c r="D174" s="10"/>
      <x:c r="E174" s="10"/>
      <x:c r="F174" s="10"/>
      <x:c r="G174" s="10"/>
      <x:c r="H174" s="10"/>
    </x:row>
    <x:row r="175" ht="14.25" customHeight="1">
      <x:c r="A175" s="10"/>
      <x:c r="B175" s="10"/>
      <x:c r="C175" s="10"/>
      <x:c r="D175" s="10"/>
      <x:c r="E175" s="10"/>
      <x:c r="F175" s="10"/>
      <x:c r="G175" s="10"/>
      <x:c r="H175" s="10"/>
    </x:row>
    <x:row r="176" ht="14.25" customHeight="1">
      <x:c r="A176" s="10"/>
      <x:c r="B176" s="10"/>
      <x:c r="C176" s="10"/>
      <x:c r="D176" s="10"/>
      <x:c r="E176" s="10"/>
      <x:c r="F176" s="10"/>
      <x:c r="G176" s="10"/>
      <x:c r="H176" s="10"/>
    </x:row>
    <x:row r="177" ht="14.25" customHeight="1">
      <x:c r="A177" s="10"/>
      <x:c r="B177" s="10"/>
      <x:c r="C177" s="10"/>
      <x:c r="D177" s="10"/>
      <x:c r="E177" s="10"/>
      <x:c r="F177" s="10"/>
      <x:c r="G177" s="10"/>
      <x:c r="H177" s="10"/>
    </x:row>
    <x:row r="178" ht="14.25" customHeight="1">
      <x:c r="A178" s="10"/>
      <x:c r="B178" s="10"/>
      <x:c r="C178" s="10"/>
      <x:c r="D178" s="10"/>
      <x:c r="E178" s="10"/>
      <x:c r="F178" s="10"/>
      <x:c r="G178" s="10"/>
      <x:c r="H178" s="10"/>
    </x:row>
    <x:row r="179" ht="14.25" customHeight="1">
      <x:c r="A179" s="10"/>
      <x:c r="B179" s="10"/>
      <x:c r="C179" s="10"/>
      <x:c r="D179" s="10"/>
      <x:c r="E179" s="10"/>
      <x:c r="F179" s="10"/>
      <x:c r="G179" s="10"/>
      <x:c r="H179" s="10"/>
    </x:row>
    <x:row r="180" ht="14.25" customHeight="1">
      <x:c r="A180" s="10"/>
      <x:c r="B180" s="10"/>
      <x:c r="C180" s="10"/>
      <x:c r="D180" s="10"/>
      <x:c r="E180" s="10"/>
      <x:c r="F180" s="10"/>
      <x:c r="G180" s="10"/>
      <x:c r="H180" s="10"/>
    </x:row>
    <x:row r="181" ht="14.25" customHeight="1">
      <x:c r="A181" s="10"/>
      <x:c r="B181" s="10"/>
      <x:c r="C181" s="10"/>
      <x:c r="D181" s="10"/>
      <x:c r="E181" s="10"/>
      <x:c r="F181" s="10"/>
      <x:c r="G181" s="10"/>
      <x:c r="H181" s="10"/>
    </x:row>
    <x:row r="182" ht="14.25" customHeight="1">
      <x:c r="A182" s="10"/>
      <x:c r="B182" s="10"/>
      <x:c r="C182" s="10"/>
      <x:c r="D182" s="10"/>
      <x:c r="E182" s="10"/>
      <x:c r="F182" s="10"/>
      <x:c r="G182" s="10"/>
      <x:c r="H182" s="10"/>
    </x:row>
    <x:row r="183" ht="14.25" customHeight="1">
      <x:c r="A183" s="10"/>
      <x:c r="B183" s="10"/>
      <x:c r="C183" s="10"/>
      <x:c r="D183" s="10"/>
      <x:c r="E183" s="10"/>
      <x:c r="F183" s="10"/>
      <x:c r="G183" s="10"/>
      <x:c r="H183" s="10"/>
    </x:row>
    <x:row r="184" ht="14.25" customHeight="1">
      <x:c r="A184" s="10"/>
      <x:c r="B184" s="10"/>
      <x:c r="C184" s="10"/>
      <x:c r="D184" s="10"/>
      <x:c r="E184" s="10"/>
      <x:c r="F184" s="10"/>
      <x:c r="G184" s="10"/>
      <x:c r="H184" s="10"/>
    </x:row>
    <x:row r="185" ht="14.25" customHeight="1">
      <x:c r="A185" s="10"/>
      <x:c r="B185" s="10"/>
      <x:c r="C185" s="10"/>
      <x:c r="D185" s="10"/>
      <x:c r="E185" s="10"/>
      <x:c r="F185" s="10"/>
      <x:c r="G185" s="10"/>
      <x:c r="H185" s="10"/>
    </x:row>
    <x:row r="186" ht="14.25" customHeight="1">
      <x:c r="A186" s="10"/>
      <x:c r="B186" s="10"/>
      <x:c r="C186" s="10"/>
      <x:c r="D186" s="10"/>
      <x:c r="E186" s="10"/>
      <x:c r="F186" s="10"/>
      <x:c r="G186" s="10"/>
      <x:c r="H186" s="10"/>
    </x:row>
    <x:row r="187" ht="14.25" customHeight="1">
      <x:c r="A187" s="10"/>
      <x:c r="B187" s="10"/>
      <x:c r="C187" s="10"/>
      <x:c r="D187" s="10"/>
      <x:c r="E187" s="10"/>
      <x:c r="F187" s="10"/>
      <x:c r="G187" s="10"/>
      <x:c r="H187" s="10"/>
    </x:row>
    <x:row r="188" ht="14.25" customHeight="1">
      <x:c r="A188" s="10"/>
      <x:c r="B188" s="10"/>
      <x:c r="C188" s="10"/>
      <x:c r="D188" s="10"/>
      <x:c r="E188" s="10"/>
      <x:c r="F188" s="10"/>
      <x:c r="G188" s="10"/>
      <x:c r="H188" s="10"/>
    </x:row>
    <x:row r="189" ht="14.25" customHeight="1">
      <x:c r="A189" s="10"/>
      <x:c r="B189" s="10"/>
      <x:c r="C189" s="10"/>
      <x:c r="D189" s="10"/>
      <x:c r="E189" s="10"/>
      <x:c r="F189" s="10"/>
      <x:c r="G189" s="10"/>
      <x:c r="H189" s="10"/>
    </x:row>
    <x:row r="190" ht="14.25" customHeight="1">
      <x:c r="A190" s="10"/>
      <x:c r="B190" s="10"/>
      <x:c r="C190" s="10"/>
      <x:c r="D190" s="10"/>
      <x:c r="E190" s="10"/>
      <x:c r="F190" s="10"/>
      <x:c r="G190" s="10"/>
      <x:c r="H190" s="10"/>
    </x:row>
    <x:row r="191" ht="14.25" customHeight="1">
      <x:c r="A191" s="10"/>
      <x:c r="B191" s="10"/>
      <x:c r="C191" s="10"/>
      <x:c r="D191" s="10"/>
      <x:c r="E191" s="10"/>
      <x:c r="F191" s="10"/>
      <x:c r="G191" s="10"/>
      <x:c r="H191" s="10"/>
    </x:row>
    <x:row r="192" ht="14.25" customHeight="1">
      <x:c r="A192" s="10"/>
      <x:c r="B192" s="10"/>
      <x:c r="C192" s="10"/>
      <x:c r="D192" s="10"/>
      <x:c r="E192" s="10"/>
      <x:c r="F192" s="10"/>
      <x:c r="G192" s="10"/>
      <x:c r="H192" s="10"/>
    </x:row>
    <x:row r="193" ht="14.25" customHeight="1">
      <x:c r="A193" s="10"/>
      <x:c r="B193" s="10"/>
      <x:c r="C193" s="10"/>
      <x:c r="D193" s="10"/>
      <x:c r="E193" s="10"/>
      <x:c r="F193" s="10"/>
      <x:c r="G193" s="10"/>
      <x:c r="H193" s="10"/>
    </x:row>
    <x:row r="194" ht="14.25" customHeight="1">
      <x:c r="A194" s="10"/>
      <x:c r="B194" s="10"/>
      <x:c r="C194" s="10"/>
      <x:c r="D194" s="10"/>
      <x:c r="E194" s="10"/>
      <x:c r="F194" s="10"/>
      <x:c r="G194" s="10"/>
      <x:c r="H194" s="10"/>
    </x:row>
    <x:row r="195" ht="14.25" customHeight="1">
      <x:c r="A195" s="10"/>
      <x:c r="B195" s="10"/>
      <x:c r="C195" s="10"/>
      <x:c r="D195" s="10"/>
      <x:c r="E195" s="10"/>
      <x:c r="F195" s="10"/>
      <x:c r="G195" s="10"/>
      <x:c r="H195" s="10"/>
    </x:row>
    <x:row r="196" ht="14.25" customHeight="1">
      <x:c r="A196" s="10"/>
      <x:c r="B196" s="10"/>
      <x:c r="C196" s="10"/>
      <x:c r="D196" s="10"/>
      <x:c r="E196" s="10"/>
      <x:c r="F196" s="10"/>
      <x:c r="G196" s="10"/>
      <x:c r="H196" s="10"/>
    </x:row>
    <x:row r="197" ht="14.25" customHeight="1">
      <x:c r="A197" s="10"/>
      <x:c r="B197" s="10"/>
      <x:c r="C197" s="10"/>
      <x:c r="D197" s="10"/>
      <x:c r="E197" s="10"/>
      <x:c r="F197" s="10"/>
      <x:c r="G197" s="10"/>
      <x:c r="H197" s="10"/>
    </x:row>
    <x:row r="198" ht="14.25" customHeight="1">
      <x:c r="A198" s="10"/>
      <x:c r="B198" s="10"/>
      <x:c r="C198" s="10"/>
      <x:c r="D198" s="10"/>
      <x:c r="E198" s="10"/>
      <x:c r="F198" s="10"/>
      <x:c r="G198" s="10"/>
      <x:c r="H198" s="10"/>
    </x:row>
    <x:row r="199" ht="14.25" customHeight="1">
      <x:c r="A199" s="10"/>
      <x:c r="B199" s="10"/>
      <x:c r="C199" s="10"/>
      <x:c r="D199" s="10"/>
      <x:c r="E199" s="10"/>
      <x:c r="F199" s="10"/>
      <x:c r="G199" s="10"/>
      <x:c r="H199" s="10"/>
    </x:row>
    <x:row r="200" ht="14.25" customHeight="1">
      <x:c r="A200" s="10"/>
      <x:c r="B200" s="10"/>
      <x:c r="C200" s="10"/>
      <x:c r="D200" s="10"/>
      <x:c r="E200" s="10"/>
      <x:c r="F200" s="10"/>
      <x:c r="G200" s="10"/>
      <x:c r="H200" s="10"/>
    </x:row>
    <x:row r="201" ht="14.25" customHeight="1">
      <x:c r="A201" s="10"/>
      <x:c r="B201" s="10"/>
      <x:c r="C201" s="10"/>
      <x:c r="D201" s="10"/>
      <x:c r="E201" s="10"/>
      <x:c r="F201" s="10"/>
      <x:c r="G201" s="10"/>
      <x:c r="H201" s="10"/>
    </x:row>
    <x:row r="202" ht="14.25" customHeight="1">
      <x:c r="A202" s="10"/>
      <x:c r="B202" s="10"/>
      <x:c r="C202" s="10"/>
      <x:c r="D202" s="10"/>
      <x:c r="E202" s="10"/>
      <x:c r="F202" s="10"/>
      <x:c r="G202" s="10"/>
      <x:c r="H202" s="10"/>
    </x:row>
    <x:row r="203" ht="14.25" customHeight="1">
      <x:c r="A203" s="10"/>
      <x:c r="B203" s="10"/>
      <x:c r="C203" s="10"/>
      <x:c r="D203" s="10"/>
      <x:c r="E203" s="10"/>
      <x:c r="F203" s="10"/>
      <x:c r="G203" s="10"/>
      <x:c r="H203" s="10"/>
    </x:row>
    <x:row r="204" ht="14.25" customHeight="1">
      <x:c r="A204" s="10"/>
      <x:c r="B204" s="10"/>
      <x:c r="C204" s="10"/>
      <x:c r="D204" s="10"/>
      <x:c r="E204" s="10"/>
      <x:c r="F204" s="10"/>
      <x:c r="G204" s="10"/>
      <x:c r="H204" s="10"/>
    </x:row>
    <x:row r="205" ht="14.25" customHeight="1">
      <x:c r="A205" s="10"/>
      <x:c r="B205" s="10"/>
      <x:c r="C205" s="10"/>
      <x:c r="D205" s="10"/>
      <x:c r="E205" s="10"/>
      <x:c r="F205" s="10"/>
      <x:c r="G205" s="10"/>
      <x:c r="H205" s="10"/>
    </x:row>
    <x:row r="206" ht="14.25" customHeight="1">
      <x:c r="A206" s="10"/>
      <x:c r="B206" s="10"/>
      <x:c r="C206" s="10"/>
      <x:c r="D206" s="10"/>
      <x:c r="E206" s="10"/>
      <x:c r="F206" s="10"/>
      <x:c r="G206" s="10"/>
      <x:c r="H206" s="10"/>
    </x:row>
    <x:row r="207" ht="14.25" customHeight="1">
      <x:c r="A207" s="10"/>
      <x:c r="B207" s="10"/>
      <x:c r="C207" s="10"/>
      <x:c r="D207" s="10"/>
      <x:c r="E207" s="10"/>
      <x:c r="F207" s="10"/>
      <x:c r="G207" s="10"/>
      <x:c r="H207" s="10"/>
    </x:row>
    <x:row r="208" ht="14.25" customHeight="1">
      <x:c r="A208" s="10"/>
      <x:c r="B208" s="10"/>
      <x:c r="C208" s="10"/>
      <x:c r="D208" s="10"/>
      <x:c r="E208" s="10"/>
      <x:c r="F208" s="10"/>
      <x:c r="G208" s="10"/>
      <x:c r="H208" s="10"/>
    </x:row>
    <x:row r="209" ht="14.25" customHeight="1">
      <x:c r="A209" s="10"/>
      <x:c r="B209" s="10"/>
      <x:c r="C209" s="10"/>
      <x:c r="D209" s="10"/>
      <x:c r="E209" s="10"/>
      <x:c r="F209" s="10"/>
      <x:c r="G209" s="10"/>
      <x:c r="H209" s="10"/>
    </x:row>
    <x:row r="210" ht="14.25" customHeight="1">
      <x:c r="A210" s="10"/>
      <x:c r="B210" s="10"/>
      <x:c r="C210" s="10"/>
      <x:c r="D210" s="10"/>
      <x:c r="E210" s="10"/>
      <x:c r="F210" s="10"/>
      <x:c r="G210" s="10"/>
      <x:c r="H210" s="10"/>
    </x:row>
    <x:row r="211" ht="14.25" customHeight="1">
      <x:c r="A211" s="10"/>
      <x:c r="B211" s="10"/>
      <x:c r="C211" s="10"/>
      <x:c r="D211" s="10"/>
      <x:c r="E211" s="10"/>
      <x:c r="F211" s="10"/>
      <x:c r="G211" s="10"/>
      <x:c r="H211" s="10"/>
    </x:row>
    <x:row r="212" ht="14.25" customHeight="1">
      <x:c r="A212" s="10"/>
      <x:c r="B212" s="10"/>
      <x:c r="C212" s="10"/>
      <x:c r="D212" s="10"/>
      <x:c r="E212" s="10"/>
      <x:c r="F212" s="10"/>
      <x:c r="G212" s="10"/>
      <x:c r="H212" s="10"/>
    </x:row>
    <x:row r="213" ht="14.25" customHeight="1">
      <x:c r="A213" s="10"/>
      <x:c r="B213" s="10"/>
      <x:c r="C213" s="10"/>
      <x:c r="D213" s="10"/>
      <x:c r="E213" s="10"/>
      <x:c r="F213" s="10"/>
      <x:c r="G213" s="10"/>
      <x:c r="H213" s="10"/>
    </x:row>
    <x:row r="214" ht="14.25" customHeight="1">
      <x:c r="A214" s="10"/>
      <x:c r="B214" s="10"/>
      <x:c r="C214" s="10"/>
      <x:c r="D214" s="10"/>
      <x:c r="E214" s="10"/>
      <x:c r="F214" s="10"/>
      <x:c r="G214" s="10"/>
      <x:c r="H214" s="10"/>
    </x:row>
    <x:row r="215" ht="14.25" customHeight="1">
      <x:c r="A215" s="10"/>
      <x:c r="B215" s="10"/>
      <x:c r="C215" s="10"/>
      <x:c r="D215" s="10"/>
      <x:c r="E215" s="10"/>
      <x:c r="F215" s="10"/>
      <x:c r="G215" s="10"/>
      <x:c r="H215" s="10"/>
    </x:row>
    <x:row r="216" ht="14.25" customHeight="1">
      <x:c r="A216" s="10"/>
      <x:c r="B216" s="10"/>
      <x:c r="C216" s="10"/>
      <x:c r="D216" s="10"/>
      <x:c r="E216" s="10"/>
      <x:c r="F216" s="10"/>
      <x:c r="G216" s="10"/>
      <x:c r="H216" s="10"/>
    </x:row>
    <x:row r="217" ht="14.25" customHeight="1">
      <x:c r="A217" s="10"/>
      <x:c r="B217" s="10"/>
      <x:c r="C217" s="10"/>
      <x:c r="D217" s="10"/>
      <x:c r="E217" s="10"/>
      <x:c r="F217" s="10"/>
      <x:c r="G217" s="10"/>
      <x:c r="H217" s="10"/>
    </x:row>
    <x:row r="218" ht="14.25" customHeight="1">
      <x:c r="A218" s="10"/>
      <x:c r="B218" s="10"/>
      <x:c r="C218" s="10"/>
      <x:c r="D218" s="10"/>
      <x:c r="E218" s="10"/>
      <x:c r="F218" s="10"/>
      <x:c r="G218" s="10"/>
      <x:c r="H218" s="10"/>
    </x:row>
    <x:row r="219" ht="14.25" customHeight="1">
      <x:c r="A219" s="10"/>
      <x:c r="B219" s="10"/>
      <x:c r="C219" s="10"/>
      <x:c r="D219" s="10"/>
      <x:c r="E219" s="10"/>
      <x:c r="F219" s="10"/>
      <x:c r="G219" s="10"/>
      <x:c r="H219" s="10"/>
    </x:row>
    <x:row r="220" ht="14.25" customHeight="1">
      <x:c r="A220" s="10"/>
      <x:c r="B220" s="10"/>
      <x:c r="C220" s="10"/>
      <x:c r="D220" s="10"/>
      <x:c r="E220" s="10"/>
      <x:c r="F220" s="10"/>
      <x:c r="G220" s="10"/>
      <x:c r="H220" s="10"/>
    </x:row>
    <x:row r="221" ht="14.25" customHeight="1">
      <x:c r="A221" s="10"/>
      <x:c r="B221" s="10"/>
      <x:c r="C221" s="10"/>
      <x:c r="D221" s="10"/>
      <x:c r="E221" s="10"/>
      <x:c r="F221" s="10"/>
      <x:c r="G221" s="10"/>
      <x:c r="H221" s="10"/>
    </x:row>
    <x:row r="222" ht="14.25" customHeight="1">
      <x:c r="A222" s="10"/>
      <x:c r="B222" s="10"/>
      <x:c r="C222" s="10"/>
      <x:c r="D222" s="10"/>
      <x:c r="E222" s="10"/>
      <x:c r="F222" s="10"/>
      <x:c r="G222" s="10"/>
      <x:c r="H222" s="10"/>
    </x:row>
    <x:row r="223" ht="14.25" customHeight="1">
      <x:c r="A223" s="10"/>
      <x:c r="B223" s="10"/>
      <x:c r="C223" s="10"/>
      <x:c r="D223" s="10"/>
      <x:c r="E223" s="10"/>
      <x:c r="F223" s="10"/>
      <x:c r="G223" s="10"/>
      <x:c r="H223" s="10"/>
    </x:row>
    <x:row r="224" ht="14.25" customHeight="1">
      <x:c r="A224" s="10"/>
      <x:c r="B224" s="10"/>
      <x:c r="C224" s="10"/>
      <x:c r="D224" s="10"/>
      <x:c r="E224" s="10"/>
      <x:c r="F224" s="10"/>
      <x:c r="G224" s="10"/>
      <x:c r="H224" s="10"/>
    </x:row>
    <x:row r="225" ht="14.25" customHeight="1">
      <x:c r="A225" s="10"/>
      <x:c r="B225" s="10"/>
      <x:c r="C225" s="10"/>
      <x:c r="D225" s="10"/>
      <x:c r="E225" s="10"/>
      <x:c r="F225" s="10"/>
      <x:c r="G225" s="10"/>
      <x:c r="H225" s="10"/>
    </x:row>
    <x:row r="226" ht="14.25" customHeight="1">
      <x:c r="A226" s="10"/>
      <x:c r="B226" s="10"/>
      <x:c r="C226" s="10"/>
      <x:c r="D226" s="10"/>
      <x:c r="E226" s="10"/>
      <x:c r="F226" s="10"/>
      <x:c r="G226" s="10"/>
      <x:c r="H226" s="10"/>
    </x:row>
    <x:row r="227" ht="14.25" customHeight="1">
      <x:c r="A227" s="10"/>
      <x:c r="B227" s="10"/>
      <x:c r="C227" s="10"/>
      <x:c r="D227" s="10"/>
      <x:c r="E227" s="10"/>
      <x:c r="F227" s="10"/>
      <x:c r="G227" s="10"/>
      <x:c r="H227" s="10"/>
    </x:row>
    <x:row r="228" ht="14.25" customHeight="1">
      <x:c r="A228" s="10"/>
      <x:c r="B228" s="10"/>
      <x:c r="C228" s="10"/>
      <x:c r="D228" s="10"/>
      <x:c r="E228" s="10"/>
      <x:c r="F228" s="10"/>
      <x:c r="G228" s="10"/>
      <x:c r="H228" s="10"/>
    </x:row>
    <x:row r="229" ht="14.25" customHeight="1">
      <x:c r="A229" s="10"/>
      <x:c r="B229" s="10"/>
      <x:c r="C229" s="10"/>
      <x:c r="D229" s="10"/>
      <x:c r="E229" s="10"/>
      <x:c r="F229" s="10"/>
      <x:c r="G229" s="10"/>
      <x:c r="H229" s="10"/>
    </x:row>
    <x:row r="230" ht="14.25" customHeight="1">
      <x:c r="A230" s="10"/>
      <x:c r="B230" s="10"/>
      <x:c r="C230" s="10"/>
      <x:c r="D230" s="10"/>
      <x:c r="E230" s="10"/>
      <x:c r="F230" s="10"/>
      <x:c r="G230" s="10"/>
      <x:c r="H230" s="10"/>
    </x:row>
    <x:row r="231" ht="14.25" customHeight="1">
      <x:c r="A231" s="10"/>
      <x:c r="B231" s="10"/>
      <x:c r="C231" s="10"/>
      <x:c r="D231" s="10"/>
      <x:c r="E231" s="10"/>
      <x:c r="F231" s="10"/>
      <x:c r="G231" s="10"/>
      <x:c r="H231" s="10"/>
    </x:row>
    <x:row r="232" ht="14.25" customHeight="1">
      <x:c r="A232" s="10"/>
      <x:c r="B232" s="10"/>
      <x:c r="C232" s="10"/>
      <x:c r="D232" s="10"/>
      <x:c r="E232" s="10"/>
      <x:c r="F232" s="10"/>
      <x:c r="G232" s="10"/>
      <x:c r="H232" s="10"/>
    </x:row>
    <x:row r="233" ht="14.25" customHeight="1">
      <x:c r="A233" s="10"/>
      <x:c r="B233" s="10"/>
      <x:c r="C233" s="10"/>
      <x:c r="D233" s="10"/>
      <x:c r="E233" s="10"/>
      <x:c r="F233" s="10"/>
      <x:c r="G233" s="10"/>
      <x:c r="H233" s="10"/>
    </x:row>
    <x:row r="234" ht="14.25" customHeight="1">
      <x:c r="A234" s="10"/>
      <x:c r="B234" s="10"/>
      <x:c r="C234" s="10"/>
      <x:c r="D234" s="10"/>
      <x:c r="E234" s="10"/>
      <x:c r="F234" s="10"/>
      <x:c r="G234" s="10"/>
      <x:c r="H234" s="10"/>
    </x:row>
    <x:row r="235" ht="14.25" customHeight="1">
      <x:c r="A235" s="10"/>
      <x:c r="B235" s="10"/>
      <x:c r="C235" s="10"/>
      <x:c r="D235" s="10"/>
      <x:c r="E235" s="10"/>
      <x:c r="F235" s="10"/>
      <x:c r="G235" s="10"/>
      <x:c r="H235" s="10"/>
    </x:row>
    <x:row r="236" ht="14.25" customHeight="1">
      <x:c r="A236" s="10"/>
      <x:c r="B236" s="10"/>
      <x:c r="C236" s="10"/>
      <x:c r="D236" s="10"/>
      <x:c r="E236" s="10"/>
      <x:c r="F236" s="10"/>
      <x:c r="G236" s="10"/>
      <x:c r="H236" s="10"/>
    </x:row>
    <x:row r="237" ht="14.25" customHeight="1">
      <x:c r="A237" s="10"/>
      <x:c r="B237" s="10"/>
      <x:c r="C237" s="10"/>
      <x:c r="D237" s="10"/>
      <x:c r="E237" s="10"/>
      <x:c r="F237" s="10"/>
      <x:c r="G237" s="10"/>
      <x:c r="H237" s="10"/>
    </x:row>
    <x:row r="238" ht="14.25" customHeight="1">
      <x:c r="A238" s="10"/>
      <x:c r="B238" s="10"/>
      <x:c r="C238" s="10"/>
      <x:c r="D238" s="10"/>
      <x:c r="E238" s="10"/>
      <x:c r="F238" s="10"/>
      <x:c r="G238" s="10"/>
      <x:c r="H238" s="10"/>
    </x:row>
    <x:row r="239" ht="14.25" customHeight="1">
      <x:c r="A239" s="10"/>
      <x:c r="B239" s="10"/>
      <x:c r="C239" s="10"/>
      <x:c r="D239" s="10"/>
      <x:c r="E239" s="10"/>
      <x:c r="F239" s="10"/>
      <x:c r="G239" s="10"/>
      <x:c r="H239" s="10"/>
    </x:row>
    <x:row r="240" ht="14.25" customHeight="1">
      <x:c r="A240" s="10"/>
      <x:c r="B240" s="10"/>
      <x:c r="C240" s="10"/>
      <x:c r="D240" s="10"/>
      <x:c r="E240" s="10"/>
      <x:c r="F240" s="10"/>
      <x:c r="G240" s="10"/>
      <x:c r="H240" s="10"/>
    </x:row>
    <x:row r="241" ht="14.25" customHeight="1">
      <x:c r="A241" s="10"/>
      <x:c r="B241" s="10"/>
      <x:c r="C241" s="10"/>
      <x:c r="D241" s="10"/>
      <x:c r="E241" s="10"/>
      <x:c r="F241" s="10"/>
      <x:c r="G241" s="10"/>
      <x:c r="H241" s="10"/>
    </x:row>
    <x:row r="242" ht="14.25" customHeight="1">
      <x:c r="A242" s="10"/>
      <x:c r="B242" s="10"/>
      <x:c r="C242" s="10"/>
      <x:c r="D242" s="10"/>
      <x:c r="E242" s="10"/>
      <x:c r="F242" s="10"/>
      <x:c r="G242" s="10"/>
      <x:c r="H242" s="10"/>
    </x:row>
    <x:row r="243" ht="14.25" customHeight="1">
      <x:c r="A243" s="10"/>
      <x:c r="B243" s="10"/>
      <x:c r="C243" s="10"/>
      <x:c r="D243" s="10"/>
      <x:c r="E243" s="10"/>
      <x:c r="F243" s="10"/>
      <x:c r="G243" s="10"/>
      <x:c r="H243" s="10"/>
    </x:row>
    <x:row r="244" ht="14.25" customHeight="1">
      <x:c r="A244" s="10"/>
      <x:c r="B244" s="10"/>
      <x:c r="C244" s="10"/>
      <x:c r="D244" s="10"/>
      <x:c r="E244" s="10"/>
      <x:c r="F244" s="10"/>
      <x:c r="G244" s="10"/>
      <x:c r="H244" s="10"/>
    </x:row>
    <x:row r="245" ht="14.25" customHeight="1">
      <x:c r="A245" s="10"/>
      <x:c r="B245" s="10"/>
      <x:c r="C245" s="10"/>
      <x:c r="D245" s="10"/>
      <x:c r="E245" s="10"/>
      <x:c r="F245" s="10"/>
      <x:c r="G245" s="10"/>
      <x:c r="H245" s="10"/>
    </x:row>
    <x:row r="246" ht="14.25" customHeight="1">
      <x:c r="A246" s="10"/>
      <x:c r="B246" s="10"/>
      <x:c r="C246" s="10"/>
      <x:c r="D246" s="10"/>
      <x:c r="E246" s="10"/>
      <x:c r="F246" s="10"/>
      <x:c r="G246" s="10"/>
      <x:c r="H246" s="10"/>
    </x:row>
    <x:row r="247" ht="14.25" customHeight="1">
      <x:c r="A247" s="10"/>
      <x:c r="B247" s="10"/>
      <x:c r="C247" s="10"/>
      <x:c r="D247" s="10"/>
      <x:c r="E247" s="10"/>
      <x:c r="F247" s="10"/>
      <x:c r="G247" s="10"/>
      <x:c r="H247" s="10"/>
    </x:row>
    <x:row r="248" ht="14.25" customHeight="1">
      <x:c r="A248" s="10"/>
      <x:c r="B248" s="10"/>
      <x:c r="C248" s="10"/>
      <x:c r="D248" s="10"/>
      <x:c r="E248" s="10"/>
      <x:c r="F248" s="10"/>
      <x:c r="G248" s="10"/>
      <x:c r="H248" s="10"/>
    </x:row>
    <x:row r="249" ht="14.25" customHeight="1">
      <x:c r="A249" s="10"/>
      <x:c r="B249" s="10"/>
      <x:c r="C249" s="10"/>
      <x:c r="D249" s="10"/>
      <x:c r="E249" s="10"/>
      <x:c r="F249" s="10"/>
      <x:c r="G249" s="10"/>
      <x:c r="H249" s="10"/>
    </x:row>
    <x:row r="250" ht="14.25" customHeight="1">
      <x:c r="A250" s="10"/>
      <x:c r="B250" s="10"/>
      <x:c r="C250" s="10"/>
      <x:c r="D250" s="10"/>
      <x:c r="E250" s="10"/>
      <x:c r="F250" s="10"/>
      <x:c r="G250" s="10"/>
      <x:c r="H250" s="10"/>
    </x:row>
    <x:row r="251" ht="14.25" customHeight="1">
      <x:c r="A251" s="10"/>
      <x:c r="B251" s="10"/>
      <x:c r="C251" s="10"/>
      <x:c r="D251" s="10"/>
      <x:c r="E251" s="10"/>
      <x:c r="F251" s="10"/>
      <x:c r="G251" s="10"/>
      <x:c r="H251" s="10"/>
    </x:row>
    <x:row r="252" ht="14.25" customHeight="1">
      <x:c r="A252" s="10"/>
      <x:c r="B252" s="10"/>
      <x:c r="C252" s="10"/>
      <x:c r="D252" s="10"/>
      <x:c r="E252" s="10"/>
      <x:c r="F252" s="10"/>
      <x:c r="G252" s="10"/>
      <x:c r="H252" s="10"/>
    </x:row>
    <x:row r="253" ht="14.25" customHeight="1">
      <x:c r="A253" s="10"/>
      <x:c r="B253" s="10"/>
      <x:c r="C253" s="10"/>
      <x:c r="D253" s="10"/>
      <x:c r="E253" s="10"/>
      <x:c r="F253" s="10"/>
      <x:c r="G253" s="10"/>
      <x:c r="H253" s="10"/>
    </x:row>
    <x:row r="254" ht="14.25" customHeight="1">
      <x:c r="A254" s="10"/>
      <x:c r="B254" s="10"/>
      <x:c r="C254" s="10"/>
      <x:c r="D254" s="10"/>
      <x:c r="E254" s="10"/>
      <x:c r="F254" s="10"/>
      <x:c r="G254" s="10"/>
      <x:c r="H254" s="10"/>
    </x:row>
    <x:row r="255" ht="14.25" customHeight="1">
      <x:c r="A255" s="10"/>
      <x:c r="B255" s="10"/>
      <x:c r="C255" s="10"/>
      <x:c r="D255" s="10"/>
      <x:c r="E255" s="10"/>
      <x:c r="F255" s="10"/>
      <x:c r="G255" s="10"/>
      <x:c r="H255" s="10"/>
    </x:row>
    <x:row r="256" ht="14.25" customHeight="1">
      <x:c r="A256" s="10"/>
      <x:c r="B256" s="10"/>
      <x:c r="C256" s="10"/>
      <x:c r="D256" s="10"/>
      <x:c r="E256" s="10"/>
      <x:c r="F256" s="10"/>
      <x:c r="G256" s="10"/>
      <x:c r="H256" s="10"/>
    </x:row>
    <x:row r="257" ht="14.25" customHeight="1">
      <x:c r="A257" s="10"/>
      <x:c r="B257" s="10"/>
      <x:c r="C257" s="10"/>
      <x:c r="D257" s="10"/>
      <x:c r="E257" s="10"/>
      <x:c r="F257" s="10"/>
      <x:c r="G257" s="10"/>
      <x:c r="H257" s="10"/>
    </x:row>
    <x:row r="258" ht="14.25" customHeight="1">
      <x:c r="A258" s="10"/>
      <x:c r="B258" s="10"/>
      <x:c r="C258" s="10"/>
      <x:c r="D258" s="10"/>
      <x:c r="E258" s="10"/>
      <x:c r="F258" s="10"/>
      <x:c r="G258" s="10"/>
      <x:c r="H258" s="10"/>
    </x:row>
    <x:row r="259" ht="14.25" customHeight="1">
      <x:c r="A259" s="10"/>
      <x:c r="B259" s="10"/>
      <x:c r="C259" s="10"/>
      <x:c r="D259" s="10"/>
      <x:c r="E259" s="10"/>
      <x:c r="F259" s="10"/>
      <x:c r="G259" s="10"/>
      <x:c r="H259" s="10"/>
    </x:row>
    <x:row r="260" ht="14.25" customHeight="1">
      <x:c r="A260" s="10"/>
      <x:c r="B260" s="10"/>
      <x:c r="C260" s="10"/>
      <x:c r="D260" s="10"/>
      <x:c r="E260" s="10"/>
      <x:c r="F260" s="10"/>
      <x:c r="G260" s="10"/>
      <x:c r="H260" s="10"/>
    </x:row>
    <x:row r="261" ht="14.25" customHeight="1">
      <x:c r="A261" s="10"/>
      <x:c r="B261" s="10"/>
      <x:c r="C261" s="10"/>
      <x:c r="D261" s="10"/>
      <x:c r="E261" s="10"/>
      <x:c r="F261" s="10"/>
      <x:c r="G261" s="10"/>
      <x:c r="H261" s="10"/>
    </x:row>
    <x:row r="262" ht="14.25" customHeight="1">
      <x:c r="A262" s="10"/>
      <x:c r="B262" s="10"/>
      <x:c r="C262" s="10"/>
      <x:c r="D262" s="10"/>
      <x:c r="E262" s="10"/>
      <x:c r="F262" s="10"/>
      <x:c r="G262" s="10"/>
      <x:c r="H262" s="10"/>
    </x:row>
    <x:row r="263" ht="14.25" customHeight="1">
      <x:c r="A263" s="10"/>
      <x:c r="B263" s="10"/>
      <x:c r="C263" s="10"/>
      <x:c r="D263" s="10"/>
      <x:c r="E263" s="10"/>
      <x:c r="F263" s="10"/>
      <x:c r="G263" s="10"/>
      <x:c r="H263" s="10"/>
    </x:row>
    <x:row r="264" ht="14.25" customHeight="1">
      <x:c r="A264" s="10"/>
      <x:c r="B264" s="10"/>
      <x:c r="C264" s="10"/>
      <x:c r="D264" s="10"/>
      <x:c r="E264" s="10"/>
      <x:c r="F264" s="10"/>
      <x:c r="G264" s="10"/>
      <x:c r="H264" s="10"/>
    </x:row>
    <x:row r="265" ht="14.25" customHeight="1">
      <x:c r="A265" s="10"/>
      <x:c r="B265" s="10"/>
      <x:c r="C265" s="10"/>
      <x:c r="D265" s="10"/>
      <x:c r="E265" s="10"/>
      <x:c r="F265" s="10"/>
      <x:c r="G265" s="10"/>
      <x:c r="H265" s="10"/>
    </x:row>
    <x:row r="266" ht="14.25" customHeight="1">
      <x:c r="A266" s="10"/>
      <x:c r="B266" s="10"/>
      <x:c r="C266" s="10"/>
      <x:c r="D266" s="10"/>
      <x:c r="E266" s="10"/>
      <x:c r="F266" s="10"/>
      <x:c r="G266" s="10"/>
      <x:c r="H266" s="10"/>
    </x:row>
    <x:row r="267" ht="14.25" customHeight="1">
      <x:c r="A267" s="10"/>
      <x:c r="B267" s="10"/>
      <x:c r="C267" s="10"/>
      <x:c r="D267" s="10"/>
      <x:c r="E267" s="10"/>
      <x:c r="F267" s="10"/>
      <x:c r="G267" s="10"/>
      <x:c r="H267" s="10"/>
    </x:row>
    <x:row r="268" ht="14.25" customHeight="1">
      <x:c r="A268" s="10"/>
      <x:c r="B268" s="10"/>
      <x:c r="C268" s="10"/>
      <x:c r="D268" s="10"/>
      <x:c r="E268" s="10"/>
      <x:c r="F268" s="10"/>
      <x:c r="G268" s="10"/>
      <x:c r="H268" s="10"/>
    </x:row>
    <x:row r="269" ht="14.25" customHeight="1">
      <x:c r="A269" s="10"/>
      <x:c r="B269" s="10"/>
      <x:c r="C269" s="10"/>
      <x:c r="D269" s="10"/>
      <x:c r="E269" s="10"/>
      <x:c r="F269" s="10"/>
      <x:c r="G269" s="10"/>
      <x:c r="H269" s="10"/>
    </x:row>
    <x:row r="270" ht="14.25" customHeight="1">
      <x:c r="A270" s="10"/>
      <x:c r="B270" s="10"/>
      <x:c r="C270" s="10"/>
      <x:c r="D270" s="10"/>
      <x:c r="E270" s="10"/>
      <x:c r="F270" s="10"/>
      <x:c r="G270" s="10"/>
      <x:c r="H270" s="10"/>
    </x:row>
    <x:row r="271" ht="14.25" customHeight="1">
      <x:c r="A271" s="10"/>
      <x:c r="B271" s="10"/>
      <x:c r="C271" s="10"/>
      <x:c r="D271" s="10"/>
      <x:c r="E271" s="10"/>
      <x:c r="F271" s="10"/>
      <x:c r="G271" s="10"/>
      <x:c r="H271" s="10"/>
    </x:row>
    <x:row r="272" ht="14.25" customHeight="1">
      <x:c r="A272" s="10"/>
      <x:c r="B272" s="10"/>
      <x:c r="C272" s="10"/>
      <x:c r="D272" s="10"/>
      <x:c r="E272" s="10"/>
      <x:c r="F272" s="10"/>
      <x:c r="G272" s="10"/>
      <x:c r="H272" s="10"/>
    </x:row>
    <x:row r="273" ht="14.25" customHeight="1">
      <x:c r="A273" s="10"/>
      <x:c r="B273" s="10"/>
      <x:c r="C273" s="10"/>
      <x:c r="D273" s="10"/>
      <x:c r="E273" s="10"/>
      <x:c r="F273" s="10"/>
      <x:c r="G273" s="10"/>
      <x:c r="H273" s="10"/>
    </x:row>
    <x:row r="274" ht="14.25" customHeight="1">
      <x:c r="A274" s="10"/>
      <x:c r="B274" s="10"/>
      <x:c r="C274" s="10"/>
      <x:c r="D274" s="10"/>
      <x:c r="E274" s="10"/>
      <x:c r="F274" s="10"/>
      <x:c r="G274" s="10"/>
      <x:c r="H274" s="10"/>
    </x:row>
    <x:row r="275" ht="14.25" customHeight="1">
      <x:c r="A275" s="10"/>
      <x:c r="B275" s="10"/>
      <x:c r="C275" s="10"/>
      <x:c r="D275" s="10"/>
      <x:c r="E275" s="10"/>
      <x:c r="F275" s="10"/>
      <x:c r="G275" s="10"/>
      <x:c r="H275" s="10"/>
    </x:row>
    <x:row r="276" ht="14.25" customHeight="1">
      <x:c r="A276" s="10"/>
      <x:c r="B276" s="10"/>
      <x:c r="C276" s="10"/>
      <x:c r="D276" s="10"/>
      <x:c r="E276" s="10"/>
      <x:c r="F276" s="10"/>
      <x:c r="G276" s="10"/>
      <x:c r="H276" s="10"/>
    </x:row>
    <x:row r="277" ht="14.25" customHeight="1">
      <x:c r="A277" s="10"/>
      <x:c r="B277" s="10"/>
      <x:c r="C277" s="10"/>
      <x:c r="D277" s="10"/>
      <x:c r="E277" s="10"/>
      <x:c r="F277" s="10"/>
      <x:c r="G277" s="10"/>
      <x:c r="H277" s="10"/>
    </x:row>
    <x:row r="278" ht="14.25" customHeight="1">
      <x:c r="A278" s="10"/>
      <x:c r="B278" s="10"/>
      <x:c r="C278" s="10"/>
      <x:c r="D278" s="10"/>
      <x:c r="E278" s="10"/>
      <x:c r="F278" s="10"/>
      <x:c r="G278" s="10"/>
      <x:c r="H278" s="10"/>
    </x:row>
    <x:row r="279" ht="14.25" customHeight="1">
      <x:c r="A279" s="10"/>
      <x:c r="B279" s="10"/>
      <x:c r="C279" s="10"/>
      <x:c r="D279" s="10"/>
      <x:c r="E279" s="10"/>
      <x:c r="F279" s="10"/>
      <x:c r="G279" s="10"/>
      <x:c r="H279" s="10"/>
    </x:row>
    <x:row r="280" ht="14.25" customHeight="1">
      <x:c r="A280" s="10"/>
      <x:c r="B280" s="10"/>
      <x:c r="C280" s="10"/>
      <x:c r="D280" s="10"/>
      <x:c r="E280" s="10"/>
      <x:c r="F280" s="10"/>
      <x:c r="G280" s="10"/>
      <x:c r="H280" s="10"/>
    </x:row>
    <x:row r="281" ht="14.25" customHeight="1">
      <x:c r="A281" s="10"/>
      <x:c r="B281" s="10"/>
      <x:c r="C281" s="10"/>
      <x:c r="D281" s="10"/>
      <x:c r="E281" s="10"/>
      <x:c r="F281" s="10"/>
      <x:c r="G281" s="10"/>
      <x:c r="H281" s="10"/>
    </x:row>
    <x:row r="282" ht="14.25" customHeight="1">
      <x:c r="A282" s="10"/>
      <x:c r="B282" s="10"/>
      <x:c r="C282" s="10"/>
      <x:c r="D282" s="10"/>
      <x:c r="E282" s="10"/>
      <x:c r="F282" s="10"/>
      <x:c r="G282" s="10"/>
      <x:c r="H282" s="10"/>
    </x:row>
    <x:row r="283" ht="14.25" customHeight="1">
      <x:c r="A283" s="10"/>
      <x:c r="B283" s="10"/>
      <x:c r="C283" s="10"/>
      <x:c r="D283" s="10"/>
      <x:c r="E283" s="10"/>
      <x:c r="F283" s="10"/>
      <x:c r="G283" s="10"/>
      <x:c r="H283" s="10"/>
    </x:row>
    <x:row r="284" ht="14.25" customHeight="1">
      <x:c r="A284" s="10"/>
      <x:c r="B284" s="10"/>
      <x:c r="C284" s="10"/>
      <x:c r="D284" s="10"/>
      <x:c r="E284" s="10"/>
      <x:c r="F284" s="10"/>
      <x:c r="G284" s="10"/>
      <x:c r="H284" s="10"/>
    </x:row>
    <x:row r="285" ht="14.25" customHeight="1">
      <x:c r="A285" s="10"/>
      <x:c r="B285" s="10"/>
      <x:c r="C285" s="10"/>
      <x:c r="D285" s="10"/>
      <x:c r="E285" s="10"/>
      <x:c r="F285" s="10"/>
      <x:c r="G285" s="10"/>
      <x:c r="H285" s="10"/>
    </x:row>
    <x:row r="286" ht="14.25" customHeight="1">
      <x:c r="A286" s="10"/>
      <x:c r="B286" s="10"/>
      <x:c r="C286" s="10"/>
      <x:c r="D286" s="10"/>
      <x:c r="E286" s="10"/>
      <x:c r="F286" s="10"/>
      <x:c r="G286" s="10"/>
      <x:c r="H286" s="10"/>
    </x:row>
    <x:row r="287" ht="14.25" customHeight="1">
      <x:c r="A287" s="10"/>
      <x:c r="B287" s="10"/>
      <x:c r="C287" s="10"/>
      <x:c r="D287" s="10"/>
      <x:c r="E287" s="10"/>
      <x:c r="F287" s="10"/>
      <x:c r="G287" s="10"/>
      <x:c r="H287" s="10"/>
    </x:row>
    <x:row r="288" ht="14.25" customHeight="1">
      <x:c r="A288" s="10"/>
      <x:c r="B288" s="10"/>
      <x:c r="C288" s="10"/>
      <x:c r="D288" s="10"/>
      <x:c r="E288" s="10"/>
      <x:c r="F288" s="10"/>
      <x:c r="G288" s="10"/>
      <x:c r="H288" s="10"/>
    </x:row>
    <x:row r="289" ht="14.25" customHeight="1">
      <x:c r="A289" s="10"/>
      <x:c r="B289" s="10"/>
      <x:c r="C289" s="10"/>
      <x:c r="D289" s="10"/>
      <x:c r="E289" s="10"/>
      <x:c r="F289" s="10"/>
      <x:c r="G289" s="10"/>
      <x:c r="H289" s="10"/>
    </x:row>
    <x:row r="290" ht="14.25" customHeight="1">
      <x:c r="A290" s="10"/>
      <x:c r="B290" s="10"/>
      <x:c r="C290" s="10"/>
      <x:c r="D290" s="10"/>
      <x:c r="E290" s="10"/>
      <x:c r="F290" s="10"/>
      <x:c r="G290" s="10"/>
      <x:c r="H290" s="10"/>
    </x:row>
    <x:row r="291" ht="14.25" customHeight="1">
      <x:c r="A291" s="10"/>
      <x:c r="B291" s="10"/>
      <x:c r="C291" s="10"/>
      <x:c r="D291" s="10"/>
      <x:c r="E291" s="10"/>
      <x:c r="F291" s="10"/>
      <x:c r="G291" s="10"/>
      <x:c r="H291" s="10"/>
    </x:row>
    <x:row r="292" ht="14.25" customHeight="1">
      <x:c r="A292" s="10"/>
      <x:c r="B292" s="10"/>
      <x:c r="C292" s="10"/>
      <x:c r="D292" s="10"/>
      <x:c r="E292" s="10"/>
      <x:c r="F292" s="10"/>
      <x:c r="G292" s="10"/>
      <x:c r="H292" s="10"/>
    </x:row>
    <x:row r="293" ht="14.25" customHeight="1">
      <x:c r="A293" s="10"/>
      <x:c r="B293" s="10"/>
      <x:c r="C293" s="10"/>
      <x:c r="D293" s="10"/>
      <x:c r="E293" s="10"/>
      <x:c r="F293" s="10"/>
      <x:c r="G293" s="10"/>
      <x:c r="H293" s="10"/>
    </x:row>
    <x:row r="294" ht="14.25" customHeight="1">
      <x:c r="A294" s="10"/>
      <x:c r="B294" s="10"/>
      <x:c r="C294" s="10"/>
      <x:c r="D294" s="10"/>
      <x:c r="E294" s="10"/>
      <x:c r="F294" s="10"/>
      <x:c r="G294" s="10"/>
      <x:c r="H294" s="10"/>
    </x:row>
    <x:row r="295" ht="14.25" customHeight="1">
      <x:c r="A295" s="10"/>
      <x:c r="B295" s="10"/>
      <x:c r="C295" s="10"/>
      <x:c r="D295" s="10"/>
      <x:c r="E295" s="10"/>
      <x:c r="F295" s="10"/>
      <x:c r="G295" s="10"/>
      <x:c r="H295" s="10"/>
    </x:row>
    <x:row r="296" ht="14.25" customHeight="1">
      <x:c r="A296" s="10"/>
      <x:c r="B296" s="10"/>
      <x:c r="C296" s="10"/>
      <x:c r="D296" s="10"/>
      <x:c r="E296" s="10"/>
      <x:c r="F296" s="10"/>
      <x:c r="G296" s="10"/>
      <x:c r="H296" s="10"/>
    </x:row>
    <x:row r="297" ht="14.25" customHeight="1">
      <x:c r="A297" s="10"/>
      <x:c r="B297" s="10"/>
      <x:c r="C297" s="10"/>
      <x:c r="D297" s="10"/>
      <x:c r="E297" s="10"/>
      <x:c r="F297" s="10"/>
      <x:c r="G297" s="10"/>
      <x:c r="H297" s="10"/>
    </x:row>
    <x:row r="298" ht="14.25" customHeight="1">
      <x:c r="A298" s="10"/>
      <x:c r="B298" s="10"/>
      <x:c r="C298" s="10"/>
      <x:c r="D298" s="10"/>
      <x:c r="E298" s="10"/>
      <x:c r="F298" s="10"/>
      <x:c r="G298" s="10"/>
      <x:c r="H298" s="10"/>
    </x:row>
    <x:row r="299" ht="14.25" customHeight="1">
      <x:c r="A299" s="10"/>
      <x:c r="B299" s="10"/>
      <x:c r="C299" s="10"/>
      <x:c r="D299" s="10"/>
      <x:c r="E299" s="10"/>
      <x:c r="F299" s="10"/>
      <x:c r="G299" s="10"/>
      <x:c r="H299" s="10"/>
    </x:row>
    <x:row r="300" ht="14.25" customHeight="1">
      <x:c r="A300" s="10"/>
      <x:c r="B300" s="10"/>
      <x:c r="C300" s="10"/>
      <x:c r="D300" s="10"/>
      <x:c r="E300" s="10"/>
      <x:c r="F300" s="10"/>
      <x:c r="G300" s="10"/>
      <x:c r="H300" s="10"/>
    </x:row>
    <x:row r="301" ht="14.25" customHeight="1">
      <x:c r="A301" s="10"/>
      <x:c r="B301" s="10"/>
      <x:c r="C301" s="10"/>
      <x:c r="D301" s="10"/>
      <x:c r="E301" s="10"/>
      <x:c r="F301" s="10"/>
      <x:c r="G301" s="10"/>
      <x:c r="H301" s="10"/>
    </x:row>
    <x:row r="302" ht="14.25" customHeight="1">
      <x:c r="A302" s="10"/>
      <x:c r="B302" s="10"/>
      <x:c r="C302" s="10"/>
      <x:c r="D302" s="10"/>
      <x:c r="E302" s="10"/>
      <x:c r="F302" s="10"/>
      <x:c r="G302" s="10"/>
      <x:c r="H302" s="10"/>
    </x:row>
    <x:row r="303" ht="14.25" customHeight="1">
      <x:c r="A303" s="10"/>
      <x:c r="B303" s="10"/>
      <x:c r="C303" s="10"/>
      <x:c r="D303" s="10"/>
      <x:c r="E303" s="10"/>
      <x:c r="F303" s="10"/>
      <x:c r="G303" s="10"/>
      <x:c r="H303" s="10"/>
    </x:row>
    <x:row r="304" ht="14.25" customHeight="1">
      <x:c r="A304" s="10"/>
      <x:c r="B304" s="10"/>
      <x:c r="C304" s="10"/>
      <x:c r="D304" s="10"/>
      <x:c r="E304" s="10"/>
      <x:c r="F304" s="10"/>
      <x:c r="G304" s="10"/>
      <x:c r="H304" s="10"/>
    </x:row>
    <x:row r="305" ht="14.25" customHeight="1">
      <x:c r="A305" s="10"/>
      <x:c r="B305" s="10"/>
      <x:c r="C305" s="10"/>
      <x:c r="D305" s="10"/>
      <x:c r="E305" s="10"/>
      <x:c r="F305" s="10"/>
      <x:c r="G305" s="10"/>
      <x:c r="H305" s="10"/>
    </x:row>
    <x:row r="306" ht="14.25" customHeight="1">
      <x:c r="A306" s="10"/>
      <x:c r="B306" s="10"/>
      <x:c r="C306" s="10"/>
      <x:c r="D306" s="10"/>
      <x:c r="E306" s="10"/>
      <x:c r="F306" s="10"/>
      <x:c r="G306" s="10"/>
      <x:c r="H306" s="10"/>
    </x:row>
    <x:row r="307" ht="14.25" customHeight="1">
      <x:c r="A307" s="10"/>
      <x:c r="B307" s="10"/>
      <x:c r="C307" s="10"/>
      <x:c r="D307" s="10"/>
      <x:c r="E307" s="10"/>
      <x:c r="F307" s="10"/>
      <x:c r="G307" s="10"/>
      <x:c r="H307" s="10"/>
    </x:row>
    <x:row r="308" ht="14.25" customHeight="1">
      <x:c r="A308" s="10"/>
      <x:c r="B308" s="10"/>
      <x:c r="C308" s="10"/>
      <x:c r="D308" s="10"/>
      <x:c r="E308" s="10"/>
      <x:c r="F308" s="10"/>
      <x:c r="G308" s="10"/>
      <x:c r="H308" s="10"/>
    </x:row>
    <x:row r="309" ht="14.25" customHeight="1">
      <x:c r="A309" s="10"/>
      <x:c r="B309" s="10"/>
      <x:c r="C309" s="10"/>
      <x:c r="D309" s="10"/>
      <x:c r="E309" s="10"/>
      <x:c r="F309" s="10"/>
      <x:c r="G309" s="10"/>
      <x:c r="H309" s="10"/>
    </x:row>
    <x:row r="310" ht="14.25" customHeight="1">
      <x:c r="A310" s="10"/>
      <x:c r="B310" s="10"/>
      <x:c r="C310" s="10"/>
      <x:c r="D310" s="10"/>
      <x:c r="E310" s="10"/>
      <x:c r="F310" s="10"/>
      <x:c r="G310" s="10"/>
      <x:c r="H310" s="10"/>
    </x:row>
    <x:row r="311" ht="14.25" customHeight="1">
      <x:c r="A311" s="10"/>
      <x:c r="B311" s="10"/>
      <x:c r="C311" s="10"/>
      <x:c r="D311" s="10"/>
      <x:c r="E311" s="10"/>
      <x:c r="F311" s="10"/>
      <x:c r="G311" s="10"/>
      <x:c r="H311" s="10"/>
    </x:row>
    <x:row r="312" ht="14.25" customHeight="1">
      <x:c r="A312" s="10"/>
      <x:c r="B312" s="10"/>
      <x:c r="C312" s="10"/>
      <x:c r="D312" s="10"/>
      <x:c r="E312" s="10"/>
      <x:c r="F312" s="10"/>
      <x:c r="G312" s="10"/>
      <x:c r="H312" s="10"/>
    </x:row>
    <x:row r="313" ht="14.25" customHeight="1">
      <x:c r="A313" s="10"/>
      <x:c r="B313" s="10"/>
      <x:c r="C313" s="10"/>
      <x:c r="D313" s="10"/>
      <x:c r="E313" s="10"/>
      <x:c r="F313" s="10"/>
      <x:c r="G313" s="10"/>
      <x:c r="H313" s="10"/>
    </x:row>
    <x:row r="314" ht="14.25" customHeight="1">
      <x:c r="A314" s="10"/>
      <x:c r="B314" s="10"/>
      <x:c r="C314" s="10"/>
      <x:c r="D314" s="10"/>
      <x:c r="E314" s="10"/>
      <x:c r="F314" s="10"/>
      <x:c r="G314" s="10"/>
      <x:c r="H314" s="10"/>
    </x:row>
    <x:row r="315" ht="14.25" customHeight="1">
      <x:c r="A315" s="10"/>
      <x:c r="B315" s="10"/>
      <x:c r="C315" s="10"/>
      <x:c r="D315" s="10"/>
      <x:c r="E315" s="10"/>
      <x:c r="F315" s="10"/>
      <x:c r="G315" s="10"/>
      <x:c r="H315" s="10"/>
    </x:row>
    <x:row r="316" ht="14.25" customHeight="1">
      <x:c r="A316" s="10"/>
      <x:c r="B316" s="10"/>
      <x:c r="C316" s="10"/>
      <x:c r="D316" s="10"/>
      <x:c r="E316" s="10"/>
      <x:c r="F316" s="10"/>
      <x:c r="G316" s="10"/>
      <x:c r="H316" s="10"/>
    </x:row>
    <x:row r="317" ht="14.25" customHeight="1">
      <x:c r="A317" s="10"/>
      <x:c r="B317" s="10"/>
      <x:c r="C317" s="10"/>
      <x:c r="D317" s="10"/>
      <x:c r="E317" s="10"/>
      <x:c r="F317" s="10"/>
      <x:c r="G317" s="10"/>
      <x:c r="H317" s="10"/>
    </x:row>
    <x:row r="318" ht="14.25" customHeight="1">
      <x:c r="A318" s="10"/>
      <x:c r="B318" s="10"/>
      <x:c r="C318" s="10"/>
      <x:c r="D318" s="10"/>
      <x:c r="E318" s="10"/>
      <x:c r="F318" s="10"/>
      <x:c r="G318" s="10"/>
      <x:c r="H318" s="10"/>
    </x:row>
    <x:row r="319" ht="14.25" customHeight="1">
      <x:c r="A319" s="10"/>
      <x:c r="B319" s="10"/>
      <x:c r="C319" s="10"/>
      <x:c r="D319" s="10"/>
      <x:c r="E319" s="10"/>
      <x:c r="F319" s="10"/>
      <x:c r="G319" s="10"/>
      <x:c r="H319" s="10"/>
    </x:row>
    <x:row r="320" ht="14.25" customHeight="1">
      <x:c r="A320" s="10"/>
      <x:c r="B320" s="10"/>
      <x:c r="C320" s="10"/>
      <x:c r="D320" s="10"/>
      <x:c r="E320" s="10"/>
      <x:c r="F320" s="10"/>
      <x:c r="G320" s="10"/>
      <x:c r="H320" s="10"/>
    </x:row>
    <x:row r="321" ht="14.25" customHeight="1">
      <x:c r="A321" s="10"/>
      <x:c r="B321" s="10"/>
      <x:c r="C321" s="10"/>
      <x:c r="D321" s="10"/>
      <x:c r="E321" s="10"/>
      <x:c r="F321" s="10"/>
      <x:c r="G321" s="10"/>
      <x:c r="H321" s="10"/>
    </x:row>
    <x:row r="322" ht="14.25" customHeight="1">
      <x:c r="A322" s="10"/>
      <x:c r="B322" s="10"/>
      <x:c r="C322" s="10"/>
      <x:c r="D322" s="10"/>
      <x:c r="E322" s="10"/>
      <x:c r="F322" s="10"/>
      <x:c r="G322" s="10"/>
      <x:c r="H322" s="10"/>
    </x:row>
    <x:row r="323" ht="14.25" customHeight="1">
      <x:c r="A323" s="10"/>
      <x:c r="B323" s="10"/>
      <x:c r="C323" s="10"/>
      <x:c r="D323" s="10"/>
      <x:c r="E323" s="10"/>
      <x:c r="F323" s="10"/>
      <x:c r="G323" s="10"/>
      <x:c r="H323" s="10"/>
    </x:row>
    <x:row r="324" ht="14.25" customHeight="1">
      <x:c r="A324" s="10"/>
      <x:c r="B324" s="10"/>
      <x:c r="C324" s="10"/>
      <x:c r="D324" s="10"/>
      <x:c r="E324" s="10"/>
      <x:c r="F324" s="10"/>
      <x:c r="G324" s="10"/>
      <x:c r="H324" s="10"/>
    </x:row>
    <x:row r="325" ht="14.25" customHeight="1">
      <x:c r="A325" s="10"/>
      <x:c r="B325" s="10"/>
      <x:c r="C325" s="10"/>
      <x:c r="D325" s="10"/>
      <x:c r="E325" s="10"/>
      <x:c r="F325" s="10"/>
      <x:c r="G325" s="10"/>
      <x:c r="H325" s="10"/>
    </x:row>
    <x:row r="326" ht="14.25" customHeight="1">
      <x:c r="A326" s="10"/>
      <x:c r="B326" s="10"/>
      <x:c r="C326" s="10"/>
      <x:c r="D326" s="10"/>
      <x:c r="E326" s="10"/>
      <x:c r="F326" s="10"/>
      <x:c r="G326" s="10"/>
      <x:c r="H326" s="10"/>
    </x:row>
    <x:row r="327" ht="14.25" customHeight="1">
      <x:c r="A327" s="10"/>
      <x:c r="B327" s="10"/>
      <x:c r="C327" s="10"/>
      <x:c r="D327" s="10"/>
      <x:c r="E327" s="10"/>
      <x:c r="F327" s="10"/>
      <x:c r="G327" s="10"/>
      <x:c r="H327" s="10"/>
    </x:row>
    <x:row r="328" ht="14.25" customHeight="1">
      <x:c r="A328" s="10"/>
      <x:c r="B328" s="10"/>
      <x:c r="C328" s="10"/>
      <x:c r="D328" s="10"/>
      <x:c r="E328" s="10"/>
      <x:c r="F328" s="10"/>
      <x:c r="G328" s="10"/>
      <x:c r="H328" s="10"/>
    </x:row>
    <x:row r="329" ht="14.25" customHeight="1">
      <x:c r="A329" s="10"/>
      <x:c r="B329" s="10"/>
      <x:c r="C329" s="10"/>
      <x:c r="D329" s="10"/>
      <x:c r="E329" s="10"/>
      <x:c r="F329" s="10"/>
      <x:c r="G329" s="10"/>
      <x:c r="H329" s="10"/>
    </x:row>
    <x:row r="330" ht="14.25" customHeight="1">
      <x:c r="A330" s="10"/>
      <x:c r="B330" s="10"/>
      <x:c r="C330" s="10"/>
      <x:c r="D330" s="10"/>
      <x:c r="E330" s="10"/>
      <x:c r="F330" s="10"/>
      <x:c r="G330" s="10"/>
      <x:c r="H330" s="10"/>
    </x:row>
    <x:row r="331" ht="14.25" customHeight="1">
      <x:c r="A331" s="10"/>
      <x:c r="B331" s="10"/>
      <x:c r="C331" s="10"/>
      <x:c r="D331" s="10"/>
      <x:c r="E331" s="10"/>
      <x:c r="F331" s="10"/>
      <x:c r="G331" s="10"/>
      <x:c r="H331" s="10"/>
    </x:row>
    <x:row r="332" ht="14.25" customHeight="1">
      <x:c r="A332" s="10"/>
      <x:c r="B332" s="10"/>
      <x:c r="C332" s="10"/>
      <x:c r="D332" s="10"/>
      <x:c r="E332" s="10"/>
      <x:c r="F332" s="10"/>
      <x:c r="G332" s="10"/>
      <x:c r="H332" s="10"/>
    </x:row>
    <x:row r="333" ht="14.25" customHeight="1">
      <x:c r="A333" s="10"/>
      <x:c r="B333" s="10"/>
      <x:c r="C333" s="10"/>
      <x:c r="D333" s="10"/>
      <x:c r="E333" s="10"/>
      <x:c r="F333" s="10"/>
      <x:c r="G333" s="10"/>
      <x:c r="H333" s="10"/>
    </x:row>
    <x:row r="334" ht="14.25" customHeight="1">
      <x:c r="A334" s="10"/>
      <x:c r="B334" s="10"/>
      <x:c r="C334" s="10"/>
      <x:c r="D334" s="10"/>
      <x:c r="E334" s="10"/>
      <x:c r="F334" s="10"/>
      <x:c r="G334" s="10"/>
      <x:c r="H334" s="10"/>
    </x:row>
    <x:row r="335" ht="14.25" customHeight="1">
      <x:c r="A335" s="10"/>
      <x:c r="B335" s="10"/>
      <x:c r="C335" s="10"/>
      <x:c r="D335" s="10"/>
      <x:c r="E335" s="10"/>
      <x:c r="F335" s="10"/>
      <x:c r="G335" s="10"/>
      <x:c r="H335" s="10"/>
    </x:row>
    <x:row r="336" ht="14.25" customHeight="1">
      <x:c r="A336" s="10"/>
      <x:c r="B336" s="10"/>
      <x:c r="C336" s="10"/>
      <x:c r="D336" s="10"/>
      <x:c r="E336" s="10"/>
      <x:c r="F336" s="10"/>
      <x:c r="G336" s="10"/>
      <x:c r="H336" s="10"/>
    </x:row>
    <x:row r="337" ht="14.25" customHeight="1">
      <x:c r="A337" s="10"/>
      <x:c r="B337" s="10"/>
      <x:c r="C337" s="10"/>
      <x:c r="D337" s="10"/>
      <x:c r="E337" s="10"/>
      <x:c r="F337" s="10"/>
      <x:c r="G337" s="10"/>
      <x:c r="H337" s="10"/>
    </x:row>
    <x:row r="338" ht="14.25" customHeight="1">
      <x:c r="A338" s="10"/>
      <x:c r="B338" s="10"/>
      <x:c r="C338" s="10"/>
      <x:c r="D338" s="10"/>
      <x:c r="E338" s="10"/>
      <x:c r="F338" s="10"/>
      <x:c r="G338" s="10"/>
      <x:c r="H338" s="10"/>
    </x:row>
    <x:row r="339" ht="14.25" customHeight="1">
      <x:c r="A339" s="10"/>
      <x:c r="B339" s="10"/>
      <x:c r="C339" s="10"/>
      <x:c r="D339" s="10"/>
      <x:c r="E339" s="10"/>
      <x:c r="F339" s="10"/>
      <x:c r="G339" s="10"/>
      <x:c r="H339" s="10"/>
    </x:row>
    <x:row r="340" ht="14.25" customHeight="1">
      <x:c r="A340" s="10"/>
      <x:c r="B340" s="10"/>
      <x:c r="C340" s="10"/>
      <x:c r="D340" s="10"/>
      <x:c r="E340" s="10"/>
      <x:c r="F340" s="10"/>
      <x:c r="G340" s="10"/>
      <x:c r="H340" s="10"/>
    </x:row>
    <x:row r="341" ht="14.25" customHeight="1">
      <x:c r="A341" s="10"/>
      <x:c r="B341" s="10"/>
      <x:c r="C341" s="10"/>
      <x:c r="D341" s="10"/>
      <x:c r="E341" s="10"/>
      <x:c r="F341" s="10"/>
      <x:c r="G341" s="10"/>
      <x:c r="H341" s="10"/>
    </x:row>
    <x:row r="342" ht="14.25" customHeight="1">
      <x:c r="A342" s="10"/>
      <x:c r="B342" s="10"/>
      <x:c r="C342" s="10"/>
      <x:c r="D342" s="10"/>
      <x:c r="E342" s="10"/>
      <x:c r="F342" s="10"/>
      <x:c r="G342" s="10"/>
      <x:c r="H342" s="10"/>
    </x:row>
    <x:row r="343" ht="14.25" customHeight="1">
      <x:c r="A343" s="10"/>
      <x:c r="B343" s="10"/>
      <x:c r="C343" s="10"/>
      <x:c r="D343" s="10"/>
      <x:c r="E343" s="10"/>
      <x:c r="F343" s="10"/>
      <x:c r="G343" s="10"/>
      <x:c r="H343" s="10"/>
    </x:row>
    <x:row r="344" ht="14.25" customHeight="1">
      <x:c r="A344" s="10"/>
      <x:c r="B344" s="10"/>
      <x:c r="C344" s="10"/>
      <x:c r="D344" s="10"/>
      <x:c r="E344" s="10"/>
      <x:c r="F344" s="10"/>
      <x:c r="G344" s="10"/>
      <x:c r="H344" s="10"/>
    </x:row>
    <x:row r="345" ht="14.25" customHeight="1">
      <x:c r="A345" s="10"/>
      <x:c r="B345" s="10"/>
      <x:c r="C345" s="10"/>
      <x:c r="D345" s="10"/>
      <x:c r="E345" s="10"/>
      <x:c r="F345" s="10"/>
      <x:c r="G345" s="10"/>
      <x:c r="H345" s="10"/>
    </x:row>
    <x:row r="346" ht="14.25" customHeight="1">
      <x:c r="A346" s="10"/>
      <x:c r="B346" s="10"/>
      <x:c r="C346" s="10"/>
      <x:c r="D346" s="10"/>
      <x:c r="E346" s="10"/>
      <x:c r="F346" s="10"/>
      <x:c r="G346" s="10"/>
      <x:c r="H346" s="10"/>
    </x:row>
    <x:row r="347" ht="14.25" customHeight="1">
      <x:c r="A347" s="10"/>
      <x:c r="B347" s="10"/>
      <x:c r="C347" s="10"/>
      <x:c r="D347" s="10"/>
      <x:c r="E347" s="10"/>
      <x:c r="F347" s="10"/>
      <x:c r="G347" s="10"/>
      <x:c r="H347" s="10"/>
    </x:row>
    <x:row r="348" ht="14.25" customHeight="1">
      <x:c r="A348" s="10"/>
      <x:c r="B348" s="10"/>
      <x:c r="C348" s="10"/>
      <x:c r="D348" s="10"/>
      <x:c r="E348" s="10"/>
      <x:c r="F348" s="10"/>
      <x:c r="G348" s="10"/>
      <x:c r="H348" s="10"/>
    </x:row>
    <x:row r="349" ht="14.25" customHeight="1">
      <x:c r="A349" s="10"/>
      <x:c r="B349" s="10"/>
      <x:c r="C349" s="10"/>
      <x:c r="D349" s="10"/>
      <x:c r="E349" s="10"/>
      <x:c r="F349" s="10"/>
      <x:c r="G349" s="10"/>
      <x:c r="H349" s="10"/>
    </x:row>
    <x:row r="350" ht="14.25" customHeight="1">
      <x:c r="A350" s="10"/>
      <x:c r="B350" s="10"/>
      <x:c r="C350" s="10"/>
      <x:c r="D350" s="10"/>
      <x:c r="E350" s="10"/>
      <x:c r="F350" s="10"/>
      <x:c r="G350" s="10"/>
      <x:c r="H350" s="10"/>
    </x:row>
    <x:row r="351" ht="14.25" customHeight="1">
      <x:c r="A351" s="10"/>
      <x:c r="B351" s="10"/>
      <x:c r="C351" s="10"/>
      <x:c r="D351" s="10"/>
      <x:c r="E351" s="10"/>
      <x:c r="F351" s="10"/>
      <x:c r="G351" s="10"/>
      <x:c r="H351" s="10"/>
    </x:row>
    <x:row r="352" ht="14.25" customHeight="1">
      <x:c r="A352" s="10"/>
      <x:c r="B352" s="10"/>
      <x:c r="C352" s="10"/>
      <x:c r="D352" s="10"/>
      <x:c r="E352" s="10"/>
      <x:c r="F352" s="10"/>
      <x:c r="G352" s="10"/>
      <x:c r="H352" s="10"/>
    </x:row>
    <x:row r="353" ht="14.25" customHeight="1">
      <x:c r="A353" s="10"/>
      <x:c r="B353" s="10"/>
      <x:c r="C353" s="10"/>
      <x:c r="D353" s="10"/>
      <x:c r="E353" s="10"/>
      <x:c r="F353" s="10"/>
      <x:c r="G353" s="10"/>
      <x:c r="H353" s="10"/>
    </x:row>
    <x:row r="354" ht="14.25" customHeight="1">
      <x:c r="A354" s="10"/>
      <x:c r="B354" s="10"/>
      <x:c r="C354" s="10"/>
      <x:c r="D354" s="10"/>
      <x:c r="E354" s="10"/>
      <x:c r="F354" s="10"/>
      <x:c r="G354" s="10"/>
      <x:c r="H354" s="10"/>
    </x:row>
    <x:row r="355" ht="14.25" customHeight="1">
      <x:c r="A355" s="10"/>
      <x:c r="B355" s="10"/>
      <x:c r="C355" s="10"/>
      <x:c r="D355" s="10"/>
      <x:c r="E355" s="10"/>
      <x:c r="F355" s="10"/>
      <x:c r="G355" s="10"/>
      <x:c r="H355" s="10"/>
    </x:row>
    <x:row r="356" ht="14.25" customHeight="1">
      <x:c r="A356" s="10"/>
      <x:c r="B356" s="10"/>
      <x:c r="C356" s="10"/>
      <x:c r="D356" s="10"/>
      <x:c r="E356" s="10"/>
      <x:c r="F356" s="10"/>
      <x:c r="G356" s="10"/>
      <x:c r="H356" s="10"/>
    </x:row>
    <x:row r="357" ht="14.25" customHeight="1">
      <x:c r="A357" s="10"/>
      <x:c r="B357" s="10"/>
      <x:c r="C357" s="10"/>
      <x:c r="D357" s="10"/>
      <x:c r="E357" s="10"/>
      <x:c r="F357" s="10"/>
      <x:c r="G357" s="10"/>
      <x:c r="H357" s="10"/>
    </x:row>
    <x:row r="358" ht="14.25" customHeight="1">
      <x:c r="A358" s="10"/>
      <x:c r="B358" s="10"/>
      <x:c r="C358" s="10"/>
      <x:c r="D358" s="10"/>
      <x:c r="E358" s="10"/>
      <x:c r="F358" s="10"/>
      <x:c r="G358" s="10"/>
      <x:c r="H358" s="10"/>
    </x:row>
    <x:row r="359" ht="14.25" customHeight="1">
      <x:c r="A359" s="10"/>
      <x:c r="B359" s="10"/>
      <x:c r="C359" s="10"/>
      <x:c r="D359" s="10"/>
      <x:c r="E359" s="10"/>
      <x:c r="F359" s="10"/>
      <x:c r="G359" s="10"/>
      <x:c r="H359" s="10"/>
    </x:row>
    <x:row r="360" ht="14.25" customHeight="1">
      <x:c r="A360" s="10"/>
      <x:c r="B360" s="10"/>
      <x:c r="C360" s="10"/>
      <x:c r="D360" s="10"/>
      <x:c r="E360" s="10"/>
      <x:c r="F360" s="10"/>
      <x:c r="G360" s="10"/>
      <x:c r="H360" s="10"/>
    </x:row>
    <x:row r="361" ht="14.25" customHeight="1">
      <x:c r="A361" s="10"/>
      <x:c r="B361" s="10"/>
      <x:c r="C361" s="10"/>
      <x:c r="D361" s="10"/>
      <x:c r="E361" s="10"/>
      <x:c r="F361" s="10"/>
      <x:c r="G361" s="10"/>
      <x:c r="H361" s="10"/>
    </x:row>
    <x:row r="362" ht="14.25" customHeight="1">
      <x:c r="A362" s="10"/>
      <x:c r="B362" s="10"/>
      <x:c r="C362" s="10"/>
      <x:c r="D362" s="10"/>
      <x:c r="E362" s="10"/>
      <x:c r="F362" s="10"/>
      <x:c r="G362" s="10"/>
      <x:c r="H362" s="10"/>
    </x:row>
    <x:row r="363" ht="14.25" customHeight="1">
      <x:c r="A363" s="10"/>
      <x:c r="B363" s="10"/>
      <x:c r="C363" s="10"/>
      <x:c r="D363" s="10"/>
      <x:c r="E363" s="10"/>
      <x:c r="F363" s="10"/>
      <x:c r="G363" s="10"/>
      <x:c r="H363" s="10"/>
    </x:row>
    <x:row r="364" ht="14.25" customHeight="1">
      <x:c r="A364" s="10"/>
      <x:c r="B364" s="10"/>
      <x:c r="C364" s="10"/>
      <x:c r="D364" s="10"/>
      <x:c r="E364" s="10"/>
      <x:c r="F364" s="10"/>
      <x:c r="G364" s="10"/>
      <x:c r="H364" s="10"/>
    </x:row>
    <x:row r="365" ht="14.25" customHeight="1">
      <x:c r="A365" s="10"/>
      <x:c r="B365" s="10"/>
      <x:c r="C365" s="10"/>
      <x:c r="D365" s="10"/>
      <x:c r="E365" s="10"/>
      <x:c r="F365" s="10"/>
      <x:c r="G365" s="10"/>
      <x:c r="H365" s="10"/>
    </x:row>
    <x:row r="366" ht="14.25" customHeight="1">
      <x:c r="A366" s="10"/>
      <x:c r="B366" s="10"/>
      <x:c r="C366" s="10"/>
      <x:c r="D366" s="10"/>
      <x:c r="E366" s="10"/>
      <x:c r="F366" s="10"/>
      <x:c r="G366" s="10"/>
      <x:c r="H366" s="10"/>
    </x:row>
    <x:row r="367" ht="14.25" customHeight="1">
      <x:c r="A367" s="10"/>
      <x:c r="B367" s="10"/>
      <x:c r="C367" s="10"/>
      <x:c r="D367" s="10"/>
      <x:c r="E367" s="10"/>
      <x:c r="F367" s="10"/>
      <x:c r="G367" s="10"/>
      <x:c r="H367" s="10"/>
    </x:row>
    <x:row r="368" ht="14.25" customHeight="1">
      <x:c r="A368" s="10"/>
      <x:c r="B368" s="10"/>
      <x:c r="C368" s="10"/>
      <x:c r="D368" s="10"/>
      <x:c r="E368" s="10"/>
      <x:c r="F368" s="10"/>
      <x:c r="G368" s="10"/>
      <x:c r="H368" s="10"/>
    </x:row>
    <x:row r="369" ht="14.25" customHeight="1">
      <x:c r="A369" s="10"/>
      <x:c r="B369" s="10"/>
      <x:c r="C369" s="10"/>
      <x:c r="D369" s="10"/>
      <x:c r="E369" s="10"/>
      <x:c r="F369" s="10"/>
      <x:c r="G369" s="10"/>
      <x:c r="H369" s="10"/>
    </x:row>
    <x:row r="370" ht="14.25" customHeight="1">
      <x:c r="A370" s="10"/>
      <x:c r="B370" s="10"/>
      <x:c r="C370" s="10"/>
      <x:c r="D370" s="10"/>
      <x:c r="E370" s="10"/>
      <x:c r="F370" s="10"/>
      <x:c r="G370" s="10"/>
      <x:c r="H370" s="10"/>
    </x:row>
    <x:row r="371" ht="14.25" customHeight="1">
      <x:c r="A371" s="10"/>
      <x:c r="B371" s="10"/>
      <x:c r="C371" s="10"/>
      <x:c r="D371" s="10"/>
      <x:c r="E371" s="10"/>
      <x:c r="F371" s="10"/>
      <x:c r="G371" s="10"/>
      <x:c r="H371" s="10"/>
    </x:row>
    <x:row r="372" ht="14.25" customHeight="1">
      <x:c r="A372" s="10"/>
      <x:c r="B372" s="10"/>
      <x:c r="C372" s="10"/>
      <x:c r="D372" s="10"/>
      <x:c r="E372" s="10"/>
      <x:c r="F372" s="10"/>
      <x:c r="G372" s="10"/>
      <x:c r="H372" s="10"/>
    </x:row>
    <x:row r="373" ht="14.25" customHeight="1">
      <x:c r="A373" s="10"/>
      <x:c r="B373" s="10"/>
      <x:c r="C373" s="10"/>
      <x:c r="D373" s="10"/>
      <x:c r="E373" s="10"/>
      <x:c r="F373" s="10"/>
      <x:c r="G373" s="10"/>
      <x:c r="H373" s="10"/>
    </x:row>
    <x:row r="374" ht="14.25" customHeight="1">
      <x:c r="A374" s="10"/>
      <x:c r="B374" s="10"/>
      <x:c r="C374" s="10"/>
      <x:c r="D374" s="10"/>
      <x:c r="E374" s="10"/>
      <x:c r="F374" s="10"/>
      <x:c r="G374" s="10"/>
      <x:c r="H374" s="10"/>
    </x:row>
    <x:row r="375" ht="14.25" customHeight="1">
      <x:c r="A375" s="10"/>
      <x:c r="B375" s="10"/>
      <x:c r="C375" s="10"/>
      <x:c r="D375" s="10"/>
      <x:c r="E375" s="10"/>
      <x:c r="F375" s="10"/>
      <x:c r="G375" s="10"/>
      <x:c r="H375" s="10"/>
    </x:row>
    <x:row r="376" ht="14.25" customHeight="1">
      <x:c r="A376" s="10"/>
      <x:c r="B376" s="10"/>
      <x:c r="C376" s="10"/>
      <x:c r="D376" s="10"/>
      <x:c r="E376" s="10"/>
      <x:c r="F376" s="10"/>
      <x:c r="G376" s="10"/>
      <x:c r="H376" s="10"/>
    </x:row>
    <x:row r="377" ht="14.25" customHeight="1">
      <x:c r="A377" s="10"/>
      <x:c r="B377" s="10"/>
      <x:c r="C377" s="10"/>
      <x:c r="D377" s="10"/>
      <x:c r="E377" s="10"/>
      <x:c r="F377" s="10"/>
      <x:c r="G377" s="10"/>
      <x:c r="H377" s="10"/>
    </x:row>
    <x:row r="378" ht="14.25" customHeight="1">
      <x:c r="A378" s="10"/>
      <x:c r="B378" s="10"/>
      <x:c r="C378" s="10"/>
      <x:c r="D378" s="10"/>
      <x:c r="E378" s="10"/>
      <x:c r="F378" s="10"/>
      <x:c r="G378" s="10"/>
      <x:c r="H378" s="10"/>
    </x:row>
    <x:row r="379" ht="14.25" customHeight="1">
      <x:c r="A379" s="10"/>
      <x:c r="B379" s="10"/>
      <x:c r="C379" s="10"/>
      <x:c r="D379" s="10"/>
      <x:c r="E379" s="10"/>
      <x:c r="F379" s="10"/>
      <x:c r="G379" s="10"/>
      <x:c r="H379" s="10"/>
    </x:row>
    <x:row r="380" ht="14.25" customHeight="1">
      <x:c r="A380" s="10"/>
      <x:c r="B380" s="10"/>
      <x:c r="C380" s="10"/>
      <x:c r="D380" s="10"/>
      <x:c r="E380" s="10"/>
      <x:c r="F380" s="10"/>
      <x:c r="G380" s="10"/>
      <x:c r="H380" s="10"/>
    </x:row>
    <x:row r="381" ht="14.25" customHeight="1">
      <x:c r="A381" s="10"/>
      <x:c r="B381" s="10"/>
      <x:c r="C381" s="10"/>
      <x:c r="D381" s="10"/>
      <x:c r="E381" s="10"/>
      <x:c r="F381" s="10"/>
      <x:c r="G381" s="10"/>
      <x:c r="H381" s="10"/>
    </x:row>
    <x:row r="382" ht="14.25" customHeight="1">
      <x:c r="A382" s="10"/>
      <x:c r="B382" s="10"/>
      <x:c r="C382" s="10"/>
      <x:c r="D382" s="10"/>
      <x:c r="E382" s="10"/>
      <x:c r="F382" s="10"/>
      <x:c r="G382" s="10"/>
      <x:c r="H382" s="10"/>
    </x:row>
    <x:row r="383" ht="14.25" customHeight="1">
      <x:c r="A383" s="10"/>
      <x:c r="B383" s="10"/>
      <x:c r="C383" s="10"/>
      <x:c r="D383" s="10"/>
      <x:c r="E383" s="10"/>
      <x:c r="F383" s="10"/>
      <x:c r="G383" s="10"/>
      <x:c r="H383" s="10"/>
    </x:row>
    <x:row r="384" ht="14.25" customHeight="1">
      <x:c r="A384" s="10"/>
      <x:c r="B384" s="10"/>
      <x:c r="C384" s="10"/>
      <x:c r="D384" s="10"/>
      <x:c r="E384" s="10"/>
      <x:c r="F384" s="10"/>
      <x:c r="G384" s="10"/>
      <x:c r="H384" s="10"/>
    </x:row>
    <x:row r="385" ht="14.25" customHeight="1">
      <x:c r="A385" s="10"/>
      <x:c r="B385" s="10"/>
      <x:c r="C385" s="10"/>
      <x:c r="D385" s="10"/>
      <x:c r="E385" s="10"/>
      <x:c r="F385" s="10"/>
      <x:c r="G385" s="10"/>
      <x:c r="H385" s="10"/>
    </x:row>
    <x:row r="386" ht="14.25" customHeight="1">
      <x:c r="A386" s="10"/>
      <x:c r="B386" s="10"/>
      <x:c r="C386" s="10"/>
      <x:c r="D386" s="10"/>
      <x:c r="E386" s="10"/>
      <x:c r="F386" s="10"/>
      <x:c r="G386" s="10"/>
      <x:c r="H386" s="10"/>
    </x:row>
    <x:row r="387" ht="14.25" customHeight="1">
      <x:c r="A387" s="10"/>
      <x:c r="B387" s="10"/>
      <x:c r="C387" s="10"/>
      <x:c r="D387" s="10"/>
      <x:c r="E387" s="10"/>
      <x:c r="F387" s="10"/>
      <x:c r="G387" s="10"/>
      <x:c r="H387" s="10"/>
    </x:row>
    <x:row r="388" ht="14.25" customHeight="1">
      <x:c r="A388" s="10"/>
      <x:c r="B388" s="10"/>
      <x:c r="C388" s="10"/>
      <x:c r="D388" s="10"/>
      <x:c r="E388" s="10"/>
      <x:c r="F388" s="10"/>
      <x:c r="G388" s="10"/>
      <x:c r="H388" s="10"/>
    </x:row>
    <x:row r="389" ht="14.25" customHeight="1">
      <x:c r="A389" s="10"/>
      <x:c r="B389" s="10"/>
      <x:c r="C389" s="10"/>
      <x:c r="D389" s="10"/>
      <x:c r="E389" s="10"/>
      <x:c r="F389" s="10"/>
      <x:c r="G389" s="10"/>
      <x:c r="H389" s="10"/>
    </x:row>
    <x:row r="390" ht="14.25" customHeight="1">
      <x:c r="A390" s="10"/>
      <x:c r="B390" s="10"/>
      <x:c r="C390" s="10"/>
      <x:c r="D390" s="10"/>
      <x:c r="E390" s="10"/>
      <x:c r="F390" s="10"/>
      <x:c r="G390" s="10"/>
      <x:c r="H390" s="10"/>
    </x:row>
    <x:row r="391" ht="14.25" customHeight="1">
      <x:c r="A391" s="10"/>
      <x:c r="B391" s="10"/>
      <x:c r="C391" s="10"/>
      <x:c r="D391" s="10"/>
      <x:c r="E391" s="10"/>
      <x:c r="F391" s="10"/>
      <x:c r="G391" s="10"/>
      <x:c r="H391" s="10"/>
    </x:row>
    <x:row r="392" ht="14.25" customHeight="1">
      <x:c r="A392" s="10"/>
      <x:c r="B392" s="10"/>
      <x:c r="C392" s="10"/>
      <x:c r="D392" s="10"/>
      <x:c r="E392" s="10"/>
      <x:c r="F392" s="10"/>
      <x:c r="G392" s="10"/>
      <x:c r="H392" s="10"/>
    </x:row>
    <x:row r="393" ht="14.25" customHeight="1">
      <x:c r="A393" s="10"/>
      <x:c r="B393" s="10"/>
      <x:c r="C393" s="10"/>
      <x:c r="D393" s="10"/>
      <x:c r="E393" s="10"/>
      <x:c r="F393" s="10"/>
      <x:c r="G393" s="10"/>
      <x:c r="H393" s="10"/>
    </x:row>
    <x:row r="394" ht="14.25" customHeight="1">
      <x:c r="A394" s="10"/>
      <x:c r="B394" s="10"/>
      <x:c r="C394" s="10"/>
      <x:c r="D394" s="10"/>
      <x:c r="E394" s="10"/>
      <x:c r="F394" s="10"/>
      <x:c r="G394" s="10"/>
      <x:c r="H394" s="10"/>
    </x:row>
    <x:row r="395" ht="14.25" customHeight="1">
      <x:c r="A395" s="10"/>
      <x:c r="B395" s="10"/>
      <x:c r="C395" s="10"/>
      <x:c r="D395" s="10"/>
      <x:c r="E395" s="10"/>
      <x:c r="F395" s="10"/>
      <x:c r="G395" s="10"/>
      <x:c r="H395" s="10"/>
    </x:row>
    <x:row r="396" ht="14.25" customHeight="1">
      <x:c r="A396" s="10"/>
      <x:c r="B396" s="10"/>
      <x:c r="C396" s="10"/>
      <x:c r="D396" s="10"/>
      <x:c r="E396" s="10"/>
      <x:c r="F396" s="10"/>
      <x:c r="G396" s="10"/>
      <x:c r="H396" s="10"/>
    </x:row>
    <x:row r="397" ht="14.25" customHeight="1">
      <x:c r="A397" s="10"/>
      <x:c r="B397" s="10"/>
      <x:c r="C397" s="10"/>
      <x:c r="D397" s="10"/>
      <x:c r="E397" s="10"/>
      <x:c r="F397" s="10"/>
      <x:c r="G397" s="10"/>
      <x:c r="H397" s="10"/>
    </x:row>
    <x:row r="398" ht="14.25" customHeight="1">
      <x:c r="A398" s="10"/>
      <x:c r="B398" s="10"/>
      <x:c r="C398" s="10"/>
      <x:c r="D398" s="10"/>
      <x:c r="E398" s="10"/>
      <x:c r="F398" s="10"/>
      <x:c r="G398" s="10"/>
      <x:c r="H398" s="10"/>
    </x:row>
    <x:row r="399" ht="14.25" customHeight="1">
      <x:c r="A399" s="10"/>
      <x:c r="B399" s="10"/>
      <x:c r="C399" s="10"/>
      <x:c r="D399" s="10"/>
      <x:c r="E399" s="10"/>
      <x:c r="F399" s="10"/>
      <x:c r="G399" s="10"/>
      <x:c r="H399" s="10"/>
    </x:row>
    <x:row r="400" ht="14.25" customHeight="1">
      <x:c r="A400" s="10"/>
      <x:c r="B400" s="10"/>
      <x:c r="C400" s="10"/>
      <x:c r="D400" s="10"/>
      <x:c r="E400" s="10"/>
      <x:c r="F400" s="10"/>
      <x:c r="G400" s="10"/>
      <x:c r="H400" s="10"/>
    </x:row>
    <x:row r="401" ht="14.25" customHeight="1">
      <x:c r="A401" s="10"/>
      <x:c r="B401" s="10"/>
      <x:c r="C401" s="10"/>
      <x:c r="D401" s="10"/>
      <x:c r="E401" s="10"/>
      <x:c r="F401" s="10"/>
      <x:c r="G401" s="10"/>
      <x:c r="H401" s="10"/>
    </x:row>
    <x:row r="402" ht="14.25" customHeight="1">
      <x:c r="A402" s="10"/>
      <x:c r="B402" s="10"/>
      <x:c r="C402" s="10"/>
      <x:c r="D402" s="10"/>
      <x:c r="E402" s="10"/>
      <x:c r="F402" s="10"/>
      <x:c r="G402" s="10"/>
      <x:c r="H402" s="10"/>
    </x:row>
    <x:row r="403" ht="14.25" customHeight="1">
      <x:c r="A403" s="10"/>
      <x:c r="B403" s="10"/>
      <x:c r="C403" s="10"/>
      <x:c r="D403" s="10"/>
      <x:c r="E403" s="10"/>
      <x:c r="F403" s="10"/>
      <x:c r="G403" s="10"/>
      <x:c r="H403" s="10"/>
    </x:row>
    <x:row r="404" ht="14.25" customHeight="1">
      <x:c r="A404" s="10"/>
      <x:c r="B404" s="10"/>
      <x:c r="C404" s="10"/>
      <x:c r="D404" s="10"/>
      <x:c r="E404" s="10"/>
      <x:c r="F404" s="10"/>
      <x:c r="G404" s="10"/>
      <x:c r="H404" s="10"/>
    </x:row>
    <x:row r="405" ht="14.25" customHeight="1">
      <x:c r="A405" s="10"/>
      <x:c r="B405" s="10"/>
      <x:c r="C405" s="10"/>
      <x:c r="D405" s="10"/>
      <x:c r="E405" s="10"/>
      <x:c r="F405" s="10"/>
      <x:c r="G405" s="10"/>
      <x:c r="H405" s="10"/>
    </x:row>
    <x:row r="406" ht="14.25" customHeight="1">
      <x:c r="A406" s="10"/>
      <x:c r="B406" s="10"/>
      <x:c r="C406" s="10"/>
      <x:c r="D406" s="10"/>
      <x:c r="E406" s="10"/>
      <x:c r="F406" s="10"/>
      <x:c r="G406" s="10"/>
      <x:c r="H406" s="10"/>
    </x:row>
    <x:row r="407" ht="14.25" customHeight="1">
      <x:c r="A407" s="10"/>
      <x:c r="B407" s="10"/>
      <x:c r="C407" s="10"/>
      <x:c r="D407" s="10"/>
      <x:c r="E407" s="10"/>
      <x:c r="F407" s="10"/>
      <x:c r="G407" s="10"/>
      <x:c r="H407" s="10"/>
    </x:row>
    <x:row r="408" ht="14.25" customHeight="1">
      <x:c r="A408" s="10"/>
      <x:c r="B408" s="10"/>
      <x:c r="C408" s="10"/>
      <x:c r="D408" s="10"/>
      <x:c r="E408" s="10"/>
      <x:c r="F408" s="10"/>
      <x:c r="G408" s="10"/>
      <x:c r="H408" s="10"/>
    </x:row>
    <x:row r="409" ht="14.25" customHeight="1">
      <x:c r="A409" s="10"/>
      <x:c r="B409" s="10"/>
      <x:c r="C409" s="10"/>
      <x:c r="D409" s="10"/>
      <x:c r="E409" s="10"/>
      <x:c r="F409" s="10"/>
      <x:c r="G409" s="10"/>
      <x:c r="H409" s="10"/>
    </x:row>
    <x:row r="410" ht="14.25" customHeight="1">
      <x:c r="A410" s="10"/>
      <x:c r="B410" s="10"/>
      <x:c r="C410" s="10"/>
      <x:c r="D410" s="10"/>
      <x:c r="E410" s="10"/>
      <x:c r="F410" s="10"/>
      <x:c r="G410" s="10"/>
      <x:c r="H410" s="10"/>
    </x:row>
    <x:row r="411" ht="14.25" customHeight="1">
      <x:c r="A411" s="10"/>
      <x:c r="B411" s="10"/>
      <x:c r="C411" s="10"/>
      <x:c r="D411" s="10"/>
      <x:c r="E411" s="10"/>
      <x:c r="F411" s="10"/>
      <x:c r="G411" s="10"/>
      <x:c r="H411" s="10"/>
    </x:row>
    <x:row r="412" ht="14.25" customHeight="1">
      <x:c r="A412" s="10"/>
      <x:c r="B412" s="10"/>
      <x:c r="C412" s="10"/>
      <x:c r="D412" s="10"/>
      <x:c r="E412" s="10"/>
      <x:c r="F412" s="10"/>
      <x:c r="G412" s="10"/>
      <x:c r="H412" s="10"/>
    </x:row>
    <x:row r="413" ht="14.25" customHeight="1">
      <x:c r="A413" s="10"/>
      <x:c r="B413" s="10"/>
      <x:c r="C413" s="10"/>
      <x:c r="D413" s="10"/>
      <x:c r="E413" s="10"/>
      <x:c r="F413" s="10"/>
      <x:c r="G413" s="10"/>
      <x:c r="H413" s="10"/>
    </x:row>
    <x:row r="414" ht="14.25" customHeight="1">
      <x:c r="A414" s="10"/>
      <x:c r="B414" s="10"/>
      <x:c r="C414" s="10"/>
      <x:c r="D414" s="10"/>
      <x:c r="E414" s="10"/>
      <x:c r="F414" s="10"/>
      <x:c r="G414" s="10"/>
      <x:c r="H414" s="10"/>
    </x:row>
    <x:row r="415" ht="14.25" customHeight="1">
      <x:c r="A415" s="10"/>
      <x:c r="B415" s="10"/>
      <x:c r="C415" s="10"/>
      <x:c r="D415" s="10"/>
      <x:c r="E415" s="10"/>
      <x:c r="F415" s="10"/>
      <x:c r="G415" s="10"/>
      <x:c r="H415" s="10"/>
    </x:row>
    <x:row r="416" ht="14.25" customHeight="1">
      <x:c r="A416" s="10"/>
      <x:c r="B416" s="10"/>
      <x:c r="C416" s="10"/>
      <x:c r="D416" s="10"/>
      <x:c r="E416" s="10"/>
      <x:c r="F416" s="10"/>
      <x:c r="G416" s="10"/>
      <x:c r="H416" s="10"/>
    </x:row>
    <x:row r="417" ht="14.25" customHeight="1">
      <x:c r="A417" s="10"/>
      <x:c r="B417" s="10"/>
      <x:c r="C417" s="10"/>
      <x:c r="D417" s="10"/>
      <x:c r="E417" s="10"/>
      <x:c r="F417" s="10"/>
      <x:c r="G417" s="10"/>
      <x:c r="H417" s="10"/>
    </x:row>
    <x:row r="418" ht="14.25" customHeight="1">
      <x:c r="A418" s="10"/>
      <x:c r="B418" s="10"/>
      <x:c r="C418" s="10"/>
      <x:c r="D418" s="10"/>
      <x:c r="E418" s="10"/>
      <x:c r="F418" s="10"/>
      <x:c r="G418" s="10"/>
      <x:c r="H418" s="10"/>
    </x:row>
    <x:row r="419" ht="14.25" customHeight="1">
      <x:c r="A419" s="10"/>
      <x:c r="B419" s="10"/>
      <x:c r="C419" s="10"/>
      <x:c r="D419" s="10"/>
      <x:c r="E419" s="10"/>
      <x:c r="F419" s="10"/>
      <x:c r="G419" s="10"/>
      <x:c r="H419" s="10"/>
    </x:row>
    <x:row r="420" ht="14.25" customHeight="1">
      <x:c r="A420" s="10"/>
      <x:c r="B420" s="10"/>
      <x:c r="C420" s="10"/>
      <x:c r="D420" s="10"/>
      <x:c r="E420" s="10"/>
      <x:c r="F420" s="10"/>
      <x:c r="G420" s="10"/>
      <x:c r="H420" s="10"/>
    </x:row>
    <x:row r="421" ht="14.25" customHeight="1">
      <x:c r="A421" s="10"/>
      <x:c r="B421" s="10"/>
      <x:c r="C421" s="10"/>
      <x:c r="D421" s="10"/>
      <x:c r="E421" s="10"/>
      <x:c r="F421" s="10"/>
      <x:c r="G421" s="10"/>
      <x:c r="H421" s="10"/>
    </x:row>
    <x:row r="422" ht="14.25" customHeight="1">
      <x:c r="A422" s="10"/>
      <x:c r="B422" s="10"/>
      <x:c r="C422" s="10"/>
      <x:c r="D422" s="10"/>
      <x:c r="E422" s="10"/>
      <x:c r="F422" s="10"/>
      <x:c r="G422" s="10"/>
      <x:c r="H422" s="10"/>
    </x:row>
    <x:row r="423" ht="14.25" customHeight="1">
      <x:c r="A423" s="10"/>
      <x:c r="B423" s="10"/>
      <x:c r="C423" s="10"/>
      <x:c r="D423" s="10"/>
      <x:c r="E423" s="10"/>
      <x:c r="F423" s="10"/>
      <x:c r="G423" s="10"/>
      <x:c r="H423" s="10"/>
    </x:row>
    <x:row r="424" ht="14.25" customHeight="1">
      <x:c r="A424" s="10"/>
      <x:c r="B424" s="10"/>
      <x:c r="C424" s="10"/>
      <x:c r="D424" s="10"/>
      <x:c r="E424" s="10"/>
      <x:c r="F424" s="10"/>
      <x:c r="G424" s="10"/>
      <x:c r="H424" s="10"/>
    </x:row>
    <x:row r="425" ht="14.25" customHeight="1">
      <x:c r="A425" s="10"/>
      <x:c r="B425" s="10"/>
      <x:c r="C425" s="10"/>
      <x:c r="D425" s="10"/>
      <x:c r="E425" s="10"/>
      <x:c r="F425" s="10"/>
      <x:c r="G425" s="10"/>
      <x:c r="H425" s="10"/>
    </x:row>
    <x:row r="426" ht="14.25" customHeight="1">
      <x:c r="A426" s="10"/>
      <x:c r="B426" s="10"/>
      <x:c r="C426" s="10"/>
      <x:c r="D426" s="10"/>
      <x:c r="E426" s="10"/>
      <x:c r="F426" s="10"/>
      <x:c r="G426" s="10"/>
      <x:c r="H426" s="10"/>
    </x:row>
    <x:row r="427" ht="14.25" customHeight="1">
      <x:c r="A427" s="10"/>
      <x:c r="B427" s="10"/>
      <x:c r="C427" s="10"/>
      <x:c r="D427" s="10"/>
      <x:c r="E427" s="10"/>
      <x:c r="F427" s="10"/>
      <x:c r="G427" s="10"/>
      <x:c r="H427" s="10"/>
    </x:row>
    <x:row r="428" ht="14.25" customHeight="1">
      <x:c r="A428" s="10"/>
      <x:c r="B428" s="10"/>
      <x:c r="C428" s="10"/>
      <x:c r="D428" s="10"/>
      <x:c r="E428" s="10"/>
      <x:c r="F428" s="10"/>
      <x:c r="G428" s="10"/>
      <x:c r="H428" s="10"/>
    </x:row>
    <x:row r="429" ht="14.25" customHeight="1">
      <x:c r="A429" s="10"/>
      <x:c r="B429" s="10"/>
      <x:c r="C429" s="10"/>
      <x:c r="D429" s="10"/>
      <x:c r="E429" s="10"/>
      <x:c r="F429" s="10"/>
      <x:c r="G429" s="10"/>
      <x:c r="H429" s="10"/>
    </x:row>
    <x:row r="430" ht="14.25" customHeight="1">
      <x:c r="A430" s="10"/>
      <x:c r="B430" s="10"/>
      <x:c r="C430" s="10"/>
      <x:c r="D430" s="10"/>
      <x:c r="E430" s="10"/>
      <x:c r="F430" s="10"/>
      <x:c r="G430" s="10"/>
      <x:c r="H430" s="10"/>
    </x:row>
    <x:row r="431" ht="14.25" customHeight="1">
      <x:c r="A431" s="10"/>
      <x:c r="B431" s="10"/>
      <x:c r="C431" s="10"/>
      <x:c r="D431" s="10"/>
      <x:c r="E431" s="10"/>
      <x:c r="F431" s="10"/>
      <x:c r="G431" s="10"/>
      <x:c r="H431" s="10"/>
    </x:row>
    <x:row r="432" ht="14.25" customHeight="1">
      <x:c r="A432" s="10"/>
      <x:c r="B432" s="10"/>
      <x:c r="C432" s="10"/>
      <x:c r="D432" s="10"/>
      <x:c r="E432" s="10"/>
      <x:c r="F432" s="10"/>
      <x:c r="G432" s="10"/>
      <x:c r="H432" s="10"/>
    </x:row>
    <x:row r="433" ht="14.25" customHeight="1">
      <x:c r="A433" s="10"/>
      <x:c r="B433" s="10"/>
      <x:c r="C433" s="10"/>
      <x:c r="D433" s="10"/>
      <x:c r="E433" s="10"/>
      <x:c r="F433" s="10"/>
      <x:c r="G433" s="10"/>
      <x:c r="H433" s="10"/>
    </x:row>
    <x:row r="434" ht="14.25" customHeight="1">
      <x:c r="A434" s="10"/>
      <x:c r="B434" s="10"/>
      <x:c r="C434" s="10"/>
      <x:c r="D434" s="10"/>
      <x:c r="E434" s="10"/>
      <x:c r="F434" s="10"/>
      <x:c r="G434" s="10"/>
      <x:c r="H434" s="10"/>
    </x:row>
    <x:row r="435" ht="14.25" customHeight="1">
      <x:c r="A435" s="10"/>
      <x:c r="B435" s="10"/>
      <x:c r="C435" s="10"/>
      <x:c r="D435" s="10"/>
      <x:c r="E435" s="10"/>
      <x:c r="F435" s="10"/>
      <x:c r="G435" s="10"/>
      <x:c r="H435" s="10"/>
    </x:row>
    <x:row r="436" ht="14.25" customHeight="1">
      <x:c r="A436" s="10"/>
      <x:c r="B436" s="10"/>
      <x:c r="C436" s="10"/>
      <x:c r="D436" s="10"/>
      <x:c r="E436" s="10"/>
      <x:c r="F436" s="10"/>
      <x:c r="G436" s="10"/>
      <x:c r="H436" s="10"/>
    </x:row>
    <x:row r="437" ht="14.25" customHeight="1">
      <x:c r="A437" s="10"/>
      <x:c r="B437" s="10"/>
      <x:c r="C437" s="10"/>
      <x:c r="D437" s="10"/>
      <x:c r="E437" s="10"/>
      <x:c r="F437" s="10"/>
      <x:c r="G437" s="10"/>
      <x:c r="H437" s="10"/>
    </x:row>
    <x:row r="438" ht="14.25" customHeight="1">
      <x:c r="A438" s="10"/>
      <x:c r="B438" s="10"/>
      <x:c r="C438" s="10"/>
      <x:c r="D438" s="10"/>
      <x:c r="E438" s="10"/>
      <x:c r="F438" s="10"/>
      <x:c r="G438" s="10"/>
      <x:c r="H438" s="10"/>
    </x:row>
    <x:row r="439" ht="14.25" customHeight="1">
      <x:c r="A439" s="10"/>
      <x:c r="B439" s="10"/>
      <x:c r="C439" s="10"/>
      <x:c r="D439" s="10"/>
      <x:c r="E439" s="10"/>
      <x:c r="F439" s="10"/>
      <x:c r="G439" s="10"/>
      <x:c r="H439" s="10"/>
    </x:row>
    <x:row r="440" ht="14.25" customHeight="1">
      <x:c r="A440" s="10"/>
      <x:c r="B440" s="10"/>
      <x:c r="C440" s="10"/>
      <x:c r="D440" s="10"/>
      <x:c r="E440" s="10"/>
      <x:c r="F440" s="10"/>
      <x:c r="G440" s="10"/>
      <x:c r="H440" s="10"/>
    </x:row>
    <x:row r="441" ht="14.25" customHeight="1">
      <x:c r="A441" s="10"/>
      <x:c r="B441" s="10"/>
      <x:c r="C441" s="10"/>
      <x:c r="D441" s="10"/>
      <x:c r="E441" s="10"/>
      <x:c r="F441" s="10"/>
      <x:c r="G441" s="10"/>
      <x:c r="H441" s="10"/>
    </x:row>
    <x:row r="442" ht="14.25" customHeight="1">
      <x:c r="A442" s="10"/>
      <x:c r="B442" s="10"/>
      <x:c r="C442" s="10"/>
      <x:c r="D442" s="10"/>
      <x:c r="E442" s="10"/>
      <x:c r="F442" s="10"/>
      <x:c r="G442" s="10"/>
      <x:c r="H442" s="10"/>
    </x:row>
    <x:row r="443" ht="14.25" customHeight="1">
      <x:c r="A443" s="10"/>
      <x:c r="B443" s="10"/>
      <x:c r="C443" s="10"/>
      <x:c r="D443" s="10"/>
      <x:c r="E443" s="10"/>
      <x:c r="F443" s="10"/>
      <x:c r="G443" s="10"/>
      <x:c r="H443" s="10"/>
    </x:row>
    <x:row r="444" ht="14.25" customHeight="1">
      <x:c r="A444" s="10"/>
      <x:c r="B444" s="10"/>
      <x:c r="C444" s="10"/>
      <x:c r="D444" s="10"/>
      <x:c r="E444" s="10"/>
      <x:c r="F444" s="10"/>
      <x:c r="G444" s="10"/>
      <x:c r="H444" s="10"/>
    </x:row>
    <x:row r="445" ht="14.25" customHeight="1">
      <x:c r="A445" s="10"/>
      <x:c r="B445" s="10"/>
      <x:c r="C445" s="10"/>
      <x:c r="D445" s="10"/>
      <x:c r="E445" s="10"/>
      <x:c r="F445" s="10"/>
      <x:c r="G445" s="10"/>
      <x:c r="H445" s="10"/>
    </x:row>
    <x:row r="446" ht="14.25" customHeight="1">
      <x:c r="A446" s="10"/>
      <x:c r="B446" s="10"/>
      <x:c r="C446" s="10"/>
      <x:c r="D446" s="10"/>
      <x:c r="E446" s="10"/>
      <x:c r="F446" s="10"/>
      <x:c r="G446" s="10"/>
      <x:c r="H446" s="10"/>
    </x:row>
    <x:row r="447" ht="14.25" customHeight="1">
      <x:c r="A447" s="10"/>
      <x:c r="B447" s="10"/>
      <x:c r="C447" s="10"/>
      <x:c r="D447" s="10"/>
      <x:c r="E447" s="10"/>
      <x:c r="F447" s="10"/>
      <x:c r="G447" s="10"/>
      <x:c r="H447" s="10"/>
    </x:row>
    <x:row r="448" ht="14.25" customHeight="1">
      <x:c r="A448" s="10"/>
      <x:c r="B448" s="10"/>
      <x:c r="C448" s="10"/>
      <x:c r="D448" s="10"/>
      <x:c r="E448" s="10"/>
      <x:c r="F448" s="10"/>
      <x:c r="G448" s="10"/>
      <x:c r="H448" s="10"/>
    </x:row>
    <x:row r="449" ht="14.25" customHeight="1">
      <x:c r="A449" s="10"/>
      <x:c r="B449" s="10"/>
      <x:c r="C449" s="10"/>
      <x:c r="D449" s="10"/>
      <x:c r="E449" s="10"/>
      <x:c r="F449" s="10"/>
      <x:c r="G449" s="10"/>
      <x:c r="H449" s="10"/>
    </x:row>
    <x:row r="450" ht="14.25" customHeight="1">
      <x:c r="A450" s="10"/>
      <x:c r="B450" s="10"/>
      <x:c r="C450" s="10"/>
      <x:c r="D450" s="10"/>
      <x:c r="E450" s="10"/>
      <x:c r="F450" s="10"/>
      <x:c r="G450" s="10"/>
      <x:c r="H450" s="10"/>
    </x:row>
    <x:row r="451" ht="14.25" customHeight="1">
      <x:c r="A451" s="10"/>
      <x:c r="B451" s="10"/>
      <x:c r="C451" s="10"/>
      <x:c r="D451" s="10"/>
      <x:c r="E451" s="10"/>
      <x:c r="F451" s="10"/>
      <x:c r="G451" s="10"/>
      <x:c r="H451" s="10"/>
    </x:row>
    <x:row r="452" ht="14.25" customHeight="1">
      <x:c r="A452" s="10"/>
      <x:c r="B452" s="10"/>
      <x:c r="C452" s="10"/>
      <x:c r="D452" s="10"/>
      <x:c r="E452" s="10"/>
      <x:c r="F452" s="10"/>
      <x:c r="G452" s="10"/>
      <x:c r="H452" s="10"/>
    </x:row>
    <x:row r="453" ht="14.25" customHeight="1">
      <x:c r="A453" s="10"/>
      <x:c r="B453" s="10"/>
      <x:c r="C453" s="10"/>
      <x:c r="D453" s="10"/>
      <x:c r="E453" s="10"/>
      <x:c r="F453" s="10"/>
      <x:c r="G453" s="10"/>
      <x:c r="H453" s="10"/>
    </x:row>
    <x:row r="454" ht="14.25" customHeight="1">
      <x:c r="A454" s="10"/>
      <x:c r="B454" s="10"/>
      <x:c r="C454" s="10"/>
      <x:c r="D454" s="10"/>
      <x:c r="E454" s="10"/>
      <x:c r="F454" s="10"/>
      <x:c r="G454" s="10"/>
      <x:c r="H454" s="10"/>
    </x:row>
    <x:row r="455" ht="14.25" customHeight="1">
      <x:c r="A455" s="10"/>
      <x:c r="B455" s="10"/>
      <x:c r="C455" s="10"/>
      <x:c r="D455" s="10"/>
      <x:c r="E455" s="10"/>
      <x:c r="F455" s="10"/>
      <x:c r="G455" s="10"/>
      <x:c r="H455" s="10"/>
    </x:row>
    <x:row r="456" ht="14.25" customHeight="1">
      <x:c r="A456" s="10"/>
      <x:c r="B456" s="10"/>
      <x:c r="C456" s="10"/>
      <x:c r="D456" s="10"/>
      <x:c r="E456" s="10"/>
      <x:c r="F456" s="10"/>
      <x:c r="G456" s="10"/>
      <x:c r="H456" s="10"/>
    </x:row>
    <x:row r="457" ht="14.25" customHeight="1">
      <x:c r="A457" s="10"/>
      <x:c r="B457" s="10"/>
      <x:c r="C457" s="10"/>
      <x:c r="D457" s="10"/>
      <x:c r="E457" s="10"/>
      <x:c r="F457" s="10"/>
      <x:c r="G457" s="10"/>
      <x:c r="H457" s="10"/>
    </x:row>
    <x:row r="458" ht="14.25" customHeight="1">
      <x:c r="A458" s="10"/>
      <x:c r="B458" s="10"/>
      <x:c r="C458" s="10"/>
      <x:c r="D458" s="10"/>
      <x:c r="E458" s="10"/>
      <x:c r="F458" s="10"/>
      <x:c r="G458" s="10"/>
      <x:c r="H458" s="10"/>
    </x:row>
    <x:row r="459" ht="14.25" customHeight="1">
      <x:c r="A459" s="10"/>
      <x:c r="B459" s="10"/>
      <x:c r="C459" s="10"/>
      <x:c r="D459" s="10"/>
      <x:c r="E459" s="10"/>
      <x:c r="F459" s="10"/>
      <x:c r="G459" s="10"/>
      <x:c r="H459" s="10"/>
    </x:row>
    <x:row r="460" ht="14.25" customHeight="1">
      <x:c r="A460" s="10"/>
      <x:c r="B460" s="10"/>
      <x:c r="C460" s="10"/>
      <x:c r="D460" s="10"/>
      <x:c r="E460" s="10"/>
      <x:c r="F460" s="10"/>
      <x:c r="G460" s="10"/>
      <x:c r="H460" s="10"/>
    </x:row>
    <x:row r="461" ht="14.25" customHeight="1">
      <x:c r="A461" s="10"/>
      <x:c r="B461" s="10"/>
      <x:c r="C461" s="10"/>
      <x:c r="D461" s="10"/>
      <x:c r="E461" s="10"/>
      <x:c r="F461" s="10"/>
      <x:c r="G461" s="10"/>
      <x:c r="H461" s="10"/>
    </x:row>
    <x:row r="462" ht="14.25" customHeight="1">
      <x:c r="A462" s="10"/>
      <x:c r="B462" s="10"/>
      <x:c r="C462" s="10"/>
      <x:c r="D462" s="10"/>
      <x:c r="E462" s="10"/>
      <x:c r="F462" s="10"/>
      <x:c r="G462" s="10"/>
      <x:c r="H462" s="10"/>
    </x:row>
    <x:row r="463" ht="14.25" customHeight="1">
      <x:c r="A463" s="10"/>
      <x:c r="B463" s="10"/>
      <x:c r="C463" s="10"/>
      <x:c r="D463" s="10"/>
      <x:c r="E463" s="10"/>
      <x:c r="F463" s="10"/>
      <x:c r="G463" s="10"/>
      <x:c r="H463" s="10"/>
    </x:row>
    <x:row r="464" ht="14.25" customHeight="1">
      <x:c r="A464" s="10"/>
      <x:c r="B464" s="10"/>
      <x:c r="C464" s="10"/>
      <x:c r="D464" s="10"/>
      <x:c r="E464" s="10"/>
      <x:c r="F464" s="10"/>
      <x:c r="G464" s="10"/>
      <x:c r="H464" s="10"/>
    </x:row>
    <x:row r="465" ht="14.25" customHeight="1">
      <x:c r="A465" s="10"/>
      <x:c r="B465" s="10"/>
      <x:c r="C465" s="10"/>
      <x:c r="D465" s="10"/>
      <x:c r="E465" s="10"/>
      <x:c r="F465" s="10"/>
      <x:c r="G465" s="10"/>
      <x:c r="H465" s="10"/>
    </x:row>
    <x:row r="466" ht="14.25" customHeight="1">
      <x:c r="A466" s="10"/>
      <x:c r="B466" s="10"/>
      <x:c r="C466" s="10"/>
      <x:c r="D466" s="10"/>
      <x:c r="E466" s="10"/>
      <x:c r="F466" s="10"/>
      <x:c r="G466" s="10"/>
      <x:c r="H466" s="10"/>
    </x:row>
    <x:row r="467" ht="14.25" customHeight="1">
      <x:c r="A467" s="10"/>
      <x:c r="B467" s="10"/>
      <x:c r="C467" s="10"/>
      <x:c r="D467" s="10"/>
      <x:c r="E467" s="10"/>
      <x:c r="F467" s="10"/>
      <x:c r="G467" s="10"/>
      <x:c r="H467" s="10"/>
    </x:row>
    <x:row r="468" ht="14.25" customHeight="1">
      <x:c r="A468" s="10"/>
      <x:c r="B468" s="10"/>
      <x:c r="C468" s="10"/>
      <x:c r="D468" s="10"/>
      <x:c r="E468" s="10"/>
      <x:c r="F468" s="10"/>
      <x:c r="G468" s="10"/>
      <x:c r="H468" s="10"/>
    </x:row>
    <x:row r="469" ht="14.25" customHeight="1">
      <x:c r="A469" s="10"/>
      <x:c r="B469" s="10"/>
      <x:c r="C469" s="10"/>
      <x:c r="D469" s="10"/>
      <x:c r="E469" s="10"/>
      <x:c r="F469" s="10"/>
      <x:c r="G469" s="10"/>
      <x:c r="H469" s="10"/>
    </x:row>
    <x:row r="470" ht="14.25" customHeight="1">
      <x:c r="A470" s="10"/>
      <x:c r="B470" s="10"/>
      <x:c r="C470" s="10"/>
      <x:c r="D470" s="10"/>
      <x:c r="E470" s="10"/>
      <x:c r="F470" s="10"/>
      <x:c r="G470" s="10"/>
      <x:c r="H470" s="10"/>
    </x:row>
    <x:row r="471" ht="14.25" customHeight="1">
      <x:c r="A471" s="10"/>
      <x:c r="B471" s="10"/>
      <x:c r="C471" s="10"/>
      <x:c r="D471" s="10"/>
      <x:c r="E471" s="10"/>
      <x:c r="F471" s="10"/>
      <x:c r="G471" s="10"/>
      <x:c r="H471" s="10"/>
    </x:row>
    <x:row r="472" ht="14.25" customHeight="1">
      <x:c r="A472" s="10"/>
      <x:c r="B472" s="10"/>
      <x:c r="C472" s="10"/>
      <x:c r="D472" s="10"/>
      <x:c r="E472" s="10"/>
      <x:c r="F472" s="10"/>
      <x:c r="G472" s="10"/>
      <x:c r="H472" s="10"/>
    </x:row>
    <x:row r="473" ht="14.25" customHeight="1">
      <x:c r="A473" s="10"/>
      <x:c r="B473" s="10"/>
      <x:c r="C473" s="10"/>
      <x:c r="D473" s="10"/>
      <x:c r="E473" s="10"/>
      <x:c r="F473" s="10"/>
      <x:c r="G473" s="10"/>
      <x:c r="H473" s="10"/>
    </x:row>
    <x:row r="474" ht="14.25" customHeight="1">
      <x:c r="A474" s="10"/>
      <x:c r="B474" s="10"/>
      <x:c r="C474" s="10"/>
      <x:c r="D474" s="10"/>
      <x:c r="E474" s="10"/>
      <x:c r="F474" s="10"/>
      <x:c r="G474" s="10"/>
      <x:c r="H474" s="10"/>
    </x:row>
    <x:row r="475" ht="14.25" customHeight="1">
      <x:c r="A475" s="10"/>
      <x:c r="B475" s="10"/>
      <x:c r="C475" s="10"/>
      <x:c r="D475" s="10"/>
      <x:c r="E475" s="10"/>
      <x:c r="F475" s="10"/>
      <x:c r="G475" s="10"/>
      <x:c r="H475" s="10"/>
    </x:row>
    <x:row r="476" ht="14.25" customHeight="1">
      <x:c r="A476" s="10"/>
      <x:c r="B476" s="10"/>
      <x:c r="C476" s="10"/>
      <x:c r="D476" s="10"/>
      <x:c r="E476" s="10"/>
      <x:c r="F476" s="10"/>
      <x:c r="G476" s="10"/>
      <x:c r="H476" s="10"/>
    </x:row>
    <x:row r="477" ht="14.25" customHeight="1">
      <x:c r="A477" s="10"/>
      <x:c r="B477" s="10"/>
      <x:c r="C477" s="10"/>
      <x:c r="D477" s="10"/>
      <x:c r="E477" s="10"/>
      <x:c r="F477" s="10"/>
      <x:c r="G477" s="10"/>
      <x:c r="H477" s="10"/>
    </x:row>
    <x:row r="478" ht="14.25" customHeight="1">
      <x:c r="A478" s="10"/>
      <x:c r="B478" s="10"/>
      <x:c r="C478" s="10"/>
      <x:c r="D478" s="10"/>
      <x:c r="E478" s="10"/>
      <x:c r="F478" s="10"/>
      <x:c r="G478" s="10"/>
      <x:c r="H478" s="10"/>
    </x:row>
    <x:row r="479" ht="14.25" customHeight="1">
      <x:c r="A479" s="10"/>
      <x:c r="B479" s="10"/>
      <x:c r="C479" s="10"/>
      <x:c r="D479" s="10"/>
      <x:c r="E479" s="10"/>
      <x:c r="F479" s="10"/>
      <x:c r="G479" s="10"/>
      <x:c r="H479" s="10"/>
    </x:row>
    <x:row r="480" ht="14.25" customHeight="1">
      <x:c r="A480" s="10"/>
      <x:c r="B480" s="10"/>
      <x:c r="C480" s="10"/>
      <x:c r="D480" s="10"/>
      <x:c r="E480" s="10"/>
      <x:c r="F480" s="10"/>
      <x:c r="G480" s="10"/>
      <x:c r="H480" s="10"/>
    </x:row>
    <x:row r="481" ht="14.25" customHeight="1">
      <x:c r="A481" s="10"/>
      <x:c r="B481" s="10"/>
      <x:c r="C481" s="10"/>
      <x:c r="D481" s="10"/>
      <x:c r="E481" s="10"/>
      <x:c r="F481" s="10"/>
      <x:c r="G481" s="10"/>
      <x:c r="H481" s="10"/>
    </x:row>
    <x:row r="482" ht="14.25" customHeight="1">
      <x:c r="A482" s="10"/>
      <x:c r="B482" s="10"/>
      <x:c r="C482" s="10"/>
      <x:c r="D482" s="10"/>
      <x:c r="E482" s="10"/>
      <x:c r="F482" s="10"/>
      <x:c r="G482" s="10"/>
      <x:c r="H482" s="10"/>
    </x:row>
    <x:row r="483" ht="14.25" customHeight="1">
      <x:c r="A483" s="10"/>
      <x:c r="B483" s="10"/>
      <x:c r="C483" s="10"/>
      <x:c r="D483" s="10"/>
      <x:c r="E483" s="10"/>
      <x:c r="F483" s="10"/>
      <x:c r="G483" s="10"/>
      <x:c r="H483" s="10"/>
    </x:row>
    <x:row r="484" ht="14.25" customHeight="1">
      <x:c r="A484" s="10"/>
      <x:c r="B484" s="10"/>
      <x:c r="C484" s="10"/>
      <x:c r="D484" s="10"/>
      <x:c r="E484" s="10"/>
      <x:c r="F484" s="10"/>
      <x:c r="G484" s="10"/>
      <x:c r="H484" s="10"/>
    </x:row>
    <x:row r="485" ht="14.25" customHeight="1">
      <x:c r="A485" s="10"/>
      <x:c r="B485" s="10"/>
      <x:c r="C485" s="10"/>
      <x:c r="D485" s="10"/>
      <x:c r="E485" s="10"/>
      <x:c r="F485" s="10"/>
      <x:c r="G485" s="10"/>
      <x:c r="H485" s="10"/>
    </x:row>
    <x:row r="486" ht="14.25" customHeight="1">
      <x:c r="A486" s="10"/>
      <x:c r="B486" s="10"/>
      <x:c r="C486" s="10"/>
      <x:c r="D486" s="10"/>
      <x:c r="E486" s="10"/>
      <x:c r="F486" s="10"/>
      <x:c r="G486" s="10"/>
      <x:c r="H486" s="10"/>
    </x:row>
    <x:row r="487" ht="14.25" customHeight="1">
      <x:c r="A487" s="10"/>
      <x:c r="B487" s="10"/>
      <x:c r="C487" s="10"/>
      <x:c r="D487" s="10"/>
      <x:c r="E487" s="10"/>
      <x:c r="F487" s="10"/>
      <x:c r="G487" s="10"/>
      <x:c r="H487" s="10"/>
    </x:row>
    <x:row r="488" ht="14.25" customHeight="1">
      <x:c r="A488" s="10"/>
      <x:c r="B488" s="10"/>
      <x:c r="C488" s="10"/>
      <x:c r="D488" s="10"/>
      <x:c r="E488" s="10"/>
      <x:c r="F488" s="10"/>
      <x:c r="G488" s="10"/>
      <x:c r="H488" s="10"/>
    </x:row>
    <x:row r="489" ht="14.25" customHeight="1">
      <x:c r="A489" s="10"/>
      <x:c r="B489" s="10"/>
      <x:c r="C489" s="10"/>
      <x:c r="D489" s="10"/>
      <x:c r="E489" s="10"/>
      <x:c r="F489" s="10"/>
      <x:c r="G489" s="10"/>
      <x:c r="H489" s="10"/>
    </x:row>
    <x:row r="490" ht="14.25" customHeight="1">
      <x:c r="A490" s="10"/>
      <x:c r="B490" s="10"/>
      <x:c r="C490" s="10"/>
      <x:c r="D490" s="10"/>
      <x:c r="E490" s="10"/>
      <x:c r="F490" s="10"/>
      <x:c r="G490" s="10"/>
      <x:c r="H490" s="10"/>
    </x:row>
    <x:row r="491" ht="14.25" customHeight="1">
      <x:c r="A491" s="10"/>
      <x:c r="B491" s="10"/>
      <x:c r="C491" s="10"/>
      <x:c r="D491" s="10"/>
      <x:c r="E491" s="10"/>
      <x:c r="F491" s="10"/>
      <x:c r="G491" s="10"/>
      <x:c r="H491" s="10"/>
    </x:row>
    <x:row r="492" ht="14.25" customHeight="1">
      <x:c r="A492" s="10"/>
      <x:c r="B492" s="10"/>
      <x:c r="C492" s="10"/>
      <x:c r="D492" s="10"/>
      <x:c r="E492" s="10"/>
      <x:c r="F492" s="10"/>
      <x:c r="G492" s="10"/>
      <x:c r="H492" s="10"/>
    </x:row>
    <x:row r="493" ht="14.25" customHeight="1">
      <x:c r="A493" s="10"/>
      <x:c r="B493" s="10"/>
      <x:c r="C493" s="10"/>
      <x:c r="D493" s="10"/>
      <x:c r="E493" s="10"/>
      <x:c r="F493" s="10"/>
      <x:c r="G493" s="10"/>
      <x:c r="H493" s="10"/>
    </x:row>
    <x:row r="494" ht="14.25" customHeight="1">
      <x:c r="A494" s="10"/>
      <x:c r="B494" s="10"/>
      <x:c r="C494" s="10"/>
      <x:c r="D494" s="10"/>
      <x:c r="E494" s="10"/>
      <x:c r="F494" s="10"/>
      <x:c r="G494" s="10"/>
      <x:c r="H494" s="10"/>
    </x:row>
    <x:row r="495" ht="14.25" customHeight="1">
      <x:c r="A495" s="10"/>
      <x:c r="B495" s="10"/>
      <x:c r="C495" s="10"/>
      <x:c r="D495" s="10"/>
      <x:c r="E495" s="10"/>
      <x:c r="F495" s="10"/>
      <x:c r="G495" s="10"/>
      <x:c r="H495" s="10"/>
    </x:row>
    <x:row r="496" ht="14.25" customHeight="1">
      <x:c r="A496" s="10"/>
      <x:c r="B496" s="10"/>
      <x:c r="C496" s="10"/>
      <x:c r="D496" s="10"/>
      <x:c r="E496" s="10"/>
      <x:c r="F496" s="10"/>
      <x:c r="G496" s="10"/>
      <x:c r="H496" s="10"/>
    </x:row>
    <x:row r="497" ht="14.25" customHeight="1">
      <x:c r="A497" s="10"/>
      <x:c r="B497" s="10"/>
      <x:c r="C497" s="10"/>
      <x:c r="D497" s="10"/>
      <x:c r="E497" s="10"/>
      <x:c r="F497" s="10"/>
      <x:c r="G497" s="10"/>
      <x:c r="H497" s="10"/>
    </x:row>
    <x:row r="498" ht="14.25" customHeight="1">
      <x:c r="A498" s="10"/>
      <x:c r="B498" s="10"/>
      <x:c r="C498" s="10"/>
      <x:c r="D498" s="10"/>
      <x:c r="E498" s="10"/>
      <x:c r="F498" s="10"/>
      <x:c r="G498" s="10"/>
      <x:c r="H498" s="10"/>
    </x:row>
    <x:row r="499" ht="14.25" customHeight="1">
      <x:c r="A499" s="10"/>
      <x:c r="B499" s="10"/>
      <x:c r="C499" s="10"/>
      <x:c r="D499" s="10"/>
      <x:c r="E499" s="10"/>
      <x:c r="F499" s="10"/>
      <x:c r="G499" s="10"/>
      <x:c r="H499" s="10"/>
    </x:row>
    <x:row r="500" ht="14.25" customHeight="1">
      <x:c r="A500" s="10"/>
      <x:c r="B500" s="10"/>
      <x:c r="C500" s="10"/>
      <x:c r="D500" s="10"/>
      <x:c r="E500" s="10"/>
      <x:c r="F500" s="10"/>
      <x:c r="G500" s="10"/>
      <x:c r="H500" s="10"/>
    </x:row>
    <x:row r="501" ht="14.25" customHeight="1">
      <x:c r="A501" s="10"/>
      <x:c r="B501" s="10"/>
      <x:c r="C501" s="10"/>
      <x:c r="D501" s="10"/>
      <x:c r="E501" s="10"/>
      <x:c r="F501" s="10"/>
      <x:c r="G501" s="10"/>
      <x:c r="H501" s="10"/>
    </x:row>
    <x:row r="502" ht="14.25" customHeight="1">
      <x:c r="A502" s="10"/>
      <x:c r="B502" s="10"/>
      <x:c r="C502" s="10"/>
      <x:c r="D502" s="10"/>
      <x:c r="E502" s="10"/>
      <x:c r="F502" s="10"/>
      <x:c r="G502" s="10"/>
      <x:c r="H502" s="10"/>
    </x:row>
    <x:row r="503" ht="14.25" customHeight="1">
      <x:c r="A503" s="10"/>
      <x:c r="B503" s="10"/>
      <x:c r="C503" s="10"/>
      <x:c r="D503" s="10"/>
      <x:c r="E503" s="10"/>
      <x:c r="F503" s="10"/>
      <x:c r="G503" s="10"/>
      <x:c r="H503" s="10"/>
    </x:row>
    <x:row r="504" ht="14.25" customHeight="1">
      <x:c r="A504" s="10"/>
      <x:c r="B504" s="10"/>
      <x:c r="C504" s="10"/>
      <x:c r="D504" s="10"/>
      <x:c r="E504" s="10"/>
      <x:c r="F504" s="10"/>
      <x:c r="G504" s="10"/>
      <x:c r="H504" s="10"/>
    </x:row>
    <x:row r="505" ht="14.25" customHeight="1">
      <x:c r="A505" s="10"/>
      <x:c r="B505" s="10"/>
      <x:c r="C505" s="10"/>
      <x:c r="D505" s="10"/>
      <x:c r="E505" s="10"/>
      <x:c r="F505" s="10"/>
      <x:c r="G505" s="10"/>
      <x:c r="H505" s="10"/>
    </x:row>
    <x:row r="506" ht="14.25" customHeight="1">
      <x:c r="A506" s="10"/>
      <x:c r="B506" s="10"/>
      <x:c r="C506" s="10"/>
      <x:c r="D506" s="10"/>
      <x:c r="E506" s="10"/>
      <x:c r="F506" s="10"/>
      <x:c r="G506" s="10"/>
      <x:c r="H506" s="10"/>
    </x:row>
    <x:row r="507" ht="14.25" customHeight="1">
      <x:c r="A507" s="10"/>
      <x:c r="B507" s="10"/>
      <x:c r="C507" s="10"/>
      <x:c r="D507" s="10"/>
      <x:c r="E507" s="10"/>
      <x:c r="F507" s="10"/>
      <x:c r="G507" s="10"/>
      <x:c r="H507" s="10"/>
    </x:row>
    <x:row r="508" ht="14.25" customHeight="1">
      <x:c r="A508" s="10"/>
      <x:c r="B508" s="10"/>
      <x:c r="C508" s="10"/>
      <x:c r="D508" s="10"/>
      <x:c r="E508" s="10"/>
      <x:c r="F508" s="10"/>
      <x:c r="G508" s="10"/>
      <x:c r="H508" s="10"/>
    </x:row>
    <x:row r="509" ht="14.25" customHeight="1">
      <x:c r="A509" s="10"/>
      <x:c r="B509" s="10"/>
      <x:c r="C509" s="10"/>
      <x:c r="D509" s="10"/>
      <x:c r="E509" s="10"/>
      <x:c r="F509" s="10"/>
      <x:c r="G509" s="10"/>
      <x:c r="H509" s="10"/>
    </x:row>
    <x:row r="510" ht="14.25" customHeight="1">
      <x:c r="A510" s="10"/>
      <x:c r="B510" s="10"/>
      <x:c r="C510" s="10"/>
      <x:c r="D510" s="10"/>
      <x:c r="E510" s="10"/>
      <x:c r="F510" s="10"/>
      <x:c r="G510" s="10"/>
      <x:c r="H510" s="10"/>
    </x:row>
    <x:row r="511" ht="14.25" customHeight="1">
      <x:c r="A511" s="10"/>
      <x:c r="B511" s="10"/>
      <x:c r="C511" s="10"/>
      <x:c r="D511" s="10"/>
      <x:c r="E511" s="10"/>
      <x:c r="F511" s="10"/>
      <x:c r="G511" s="10"/>
      <x:c r="H511" s="10"/>
    </x:row>
    <x:row r="512" ht="14.25" customHeight="1">
      <x:c r="A512" s="10"/>
      <x:c r="B512" s="10"/>
      <x:c r="C512" s="10"/>
      <x:c r="D512" s="10"/>
      <x:c r="E512" s="10"/>
      <x:c r="F512" s="10"/>
      <x:c r="G512" s="10"/>
      <x:c r="H512" s="10"/>
    </x:row>
    <x:row r="513" ht="14.25" customHeight="1">
      <x:c r="A513" s="10"/>
      <x:c r="B513" s="10"/>
      <x:c r="C513" s="10"/>
      <x:c r="D513" s="10"/>
      <x:c r="E513" s="10"/>
      <x:c r="F513" s="10"/>
      <x:c r="G513" s="10"/>
      <x:c r="H513" s="10"/>
    </x:row>
    <x:row r="514" ht="14.25" customHeight="1">
      <x:c r="A514" s="10"/>
      <x:c r="B514" s="10"/>
      <x:c r="C514" s="10"/>
      <x:c r="D514" s="10"/>
      <x:c r="E514" s="10"/>
      <x:c r="F514" s="10"/>
      <x:c r="G514" s="10"/>
      <x:c r="H514" s="10"/>
    </x:row>
    <x:row r="515" ht="14.25" customHeight="1">
      <x:c r="A515" s="10"/>
      <x:c r="B515" s="10"/>
      <x:c r="C515" s="10"/>
      <x:c r="D515" s="10"/>
      <x:c r="E515" s="10"/>
      <x:c r="F515" s="10"/>
      <x:c r="G515" s="10"/>
      <x:c r="H515" s="10"/>
    </x:row>
    <x:row r="516" ht="14.25" customHeight="1">
      <x:c r="A516" s="10"/>
      <x:c r="B516" s="10"/>
      <x:c r="C516" s="10"/>
      <x:c r="D516" s="10"/>
      <x:c r="E516" s="10"/>
      <x:c r="F516" s="10"/>
      <x:c r="G516" s="10"/>
      <x:c r="H516" s="10"/>
    </x:row>
    <x:row r="517" ht="14.25" customHeight="1">
      <x:c r="A517" s="10"/>
      <x:c r="B517" s="10"/>
      <x:c r="C517" s="10"/>
      <x:c r="D517" s="10"/>
      <x:c r="E517" s="10"/>
      <x:c r="F517" s="10"/>
      <x:c r="G517" s="10"/>
      <x:c r="H517" s="10"/>
    </x:row>
    <x:row r="518" ht="14.25" customHeight="1">
      <x:c r="A518" s="10"/>
      <x:c r="B518" s="10"/>
      <x:c r="C518" s="10"/>
      <x:c r="D518" s="10"/>
      <x:c r="E518" s="10"/>
      <x:c r="F518" s="10"/>
      <x:c r="G518" s="10"/>
      <x:c r="H518" s="10"/>
    </x:row>
    <x:row r="519" ht="14.25" customHeight="1">
      <x:c r="A519" s="10"/>
      <x:c r="B519" s="10"/>
      <x:c r="C519" s="10"/>
      <x:c r="D519" s="10"/>
      <x:c r="E519" s="10"/>
      <x:c r="F519" s="10"/>
      <x:c r="G519" s="10"/>
      <x:c r="H519" s="10"/>
    </x:row>
    <x:row r="520" ht="14.25" customHeight="1">
      <x:c r="A520" s="10"/>
      <x:c r="B520" s="10"/>
      <x:c r="C520" s="10"/>
      <x:c r="D520" s="10"/>
      <x:c r="E520" s="10"/>
      <x:c r="F520" s="10"/>
      <x:c r="G520" s="10"/>
      <x:c r="H520" s="10"/>
    </x:row>
    <x:row r="521" ht="14.25" customHeight="1">
      <x:c r="A521" s="10"/>
      <x:c r="B521" s="10"/>
      <x:c r="C521" s="10"/>
      <x:c r="D521" s="10"/>
      <x:c r="E521" s="10"/>
      <x:c r="F521" s="10"/>
      <x:c r="G521" s="10"/>
      <x:c r="H521" s="10"/>
    </x:row>
    <x:row r="522" ht="14.25" customHeight="1">
      <x:c r="A522" s="10"/>
      <x:c r="B522" s="10"/>
      <x:c r="C522" s="10"/>
      <x:c r="D522" s="10"/>
      <x:c r="E522" s="10"/>
      <x:c r="F522" s="10"/>
      <x:c r="G522" s="10"/>
      <x:c r="H522" s="10"/>
    </x:row>
    <x:row r="523" ht="14.25" customHeight="1">
      <x:c r="A523" s="10"/>
      <x:c r="B523" s="10"/>
      <x:c r="C523" s="10"/>
      <x:c r="D523" s="10"/>
      <x:c r="E523" s="10"/>
      <x:c r="F523" s="10"/>
      <x:c r="G523" s="10"/>
      <x:c r="H523" s="10"/>
    </x:row>
    <x:row r="524" ht="14.25" customHeight="1">
      <x:c r="A524" s="10"/>
      <x:c r="B524" s="10"/>
      <x:c r="C524" s="10"/>
      <x:c r="D524" s="10"/>
      <x:c r="E524" s="10"/>
      <x:c r="F524" s="10"/>
      <x:c r="G524" s="10"/>
      <x:c r="H524" s="10"/>
    </x:row>
    <x:row r="525" ht="14.25" customHeight="1">
      <x:c r="A525" s="10"/>
      <x:c r="B525" s="10"/>
      <x:c r="C525" s="10"/>
      <x:c r="D525" s="10"/>
      <x:c r="E525" s="10"/>
      <x:c r="F525" s="10"/>
      <x:c r="G525" s="10"/>
      <x:c r="H525" s="10"/>
    </x:row>
    <x:row r="526" ht="14.25" customHeight="1">
      <x:c r="A526" s="10"/>
      <x:c r="B526" s="10"/>
      <x:c r="C526" s="10"/>
      <x:c r="D526" s="10"/>
      <x:c r="E526" s="10"/>
      <x:c r="F526" s="10"/>
      <x:c r="G526" s="10"/>
      <x:c r="H526" s="10"/>
    </x:row>
    <x:row r="527" ht="14.25" customHeight="1">
      <x:c r="A527" s="10"/>
      <x:c r="B527" s="10"/>
      <x:c r="C527" s="10"/>
      <x:c r="D527" s="10"/>
      <x:c r="E527" s="10"/>
      <x:c r="F527" s="10"/>
      <x:c r="G527" s="10"/>
      <x:c r="H527" s="10"/>
    </x:row>
    <x:row r="528" ht="14.25" customHeight="1">
      <x:c r="A528" s="10"/>
      <x:c r="B528" s="10"/>
      <x:c r="C528" s="10"/>
      <x:c r="D528" s="10"/>
      <x:c r="E528" s="10"/>
      <x:c r="F528" s="10"/>
      <x:c r="G528" s="10"/>
      <x:c r="H528" s="10"/>
    </x:row>
    <x:row r="529" ht="14.25" customHeight="1">
      <x:c r="A529" s="10"/>
      <x:c r="B529" s="10"/>
      <x:c r="C529" s="10"/>
      <x:c r="D529" s="10"/>
      <x:c r="E529" s="10"/>
      <x:c r="F529" s="10"/>
      <x:c r="G529" s="10"/>
      <x:c r="H529" s="10"/>
    </x:row>
    <x:row r="530" ht="14.25" customHeight="1">
      <x:c r="A530" s="10"/>
      <x:c r="B530" s="10"/>
      <x:c r="C530" s="10"/>
      <x:c r="D530" s="10"/>
      <x:c r="E530" s="10"/>
      <x:c r="F530" s="10"/>
      <x:c r="G530" s="10"/>
      <x:c r="H530" s="10"/>
    </x:row>
    <x:row r="531" ht="14.25" customHeight="1">
      <x:c r="A531" s="10"/>
      <x:c r="B531" s="10"/>
      <x:c r="C531" s="10"/>
      <x:c r="D531" s="10"/>
      <x:c r="E531" s="10"/>
      <x:c r="F531" s="10"/>
      <x:c r="G531" s="10"/>
      <x:c r="H531" s="10"/>
    </x:row>
    <x:row r="532" ht="14.25" customHeight="1">
      <x:c r="A532" s="10"/>
      <x:c r="B532" s="10"/>
      <x:c r="C532" s="10"/>
      <x:c r="D532" s="10"/>
      <x:c r="E532" s="10"/>
      <x:c r="F532" s="10"/>
      <x:c r="G532" s="10"/>
      <x:c r="H532" s="10"/>
    </x:row>
    <x:row r="533" ht="14.25" customHeight="1">
      <x:c r="A533" s="10"/>
      <x:c r="B533" s="10"/>
      <x:c r="C533" s="10"/>
      <x:c r="D533" s="10"/>
      <x:c r="E533" s="10"/>
      <x:c r="F533" s="10"/>
      <x:c r="G533" s="10"/>
      <x:c r="H533" s="10"/>
    </x:row>
    <x:row r="534" ht="14.25" customHeight="1">
      <x:c r="A534" s="10"/>
      <x:c r="B534" s="10"/>
      <x:c r="C534" s="10"/>
      <x:c r="D534" s="10"/>
      <x:c r="E534" s="10"/>
      <x:c r="F534" s="10"/>
      <x:c r="G534" s="10"/>
      <x:c r="H534" s="10"/>
    </x:row>
    <x:row r="535" ht="14.25" customHeight="1">
      <x:c r="A535" s="10"/>
      <x:c r="B535" s="10"/>
      <x:c r="C535" s="10"/>
      <x:c r="D535" s="10"/>
      <x:c r="E535" s="10"/>
      <x:c r="F535" s="10"/>
      <x:c r="G535" s="10"/>
      <x:c r="H535" s="10"/>
    </x:row>
    <x:row r="536" ht="14.25" customHeight="1">
      <x:c r="A536" s="10"/>
      <x:c r="B536" s="10"/>
      <x:c r="C536" s="10"/>
      <x:c r="D536" s="10"/>
      <x:c r="E536" s="10"/>
      <x:c r="F536" s="10"/>
      <x:c r="G536" s="10"/>
      <x:c r="H536" s="10"/>
    </x:row>
    <x:row r="537" ht="14.25" customHeight="1">
      <x:c r="A537" s="10"/>
      <x:c r="B537" s="10"/>
      <x:c r="C537" s="10"/>
      <x:c r="D537" s="10"/>
      <x:c r="E537" s="10"/>
      <x:c r="F537" s="10"/>
      <x:c r="G537" s="10"/>
      <x:c r="H537" s="10"/>
    </x:row>
    <x:row r="538" ht="14.25" customHeight="1">
      <x:c r="A538" s="10"/>
      <x:c r="B538" s="10"/>
      <x:c r="C538" s="10"/>
      <x:c r="D538" s="10"/>
      <x:c r="E538" s="10"/>
      <x:c r="F538" s="10"/>
      <x:c r="G538" s="10"/>
      <x:c r="H538" s="10"/>
    </x:row>
    <x:row r="539" ht="14.25" customHeight="1">
      <x:c r="A539" s="10"/>
      <x:c r="B539" s="10"/>
      <x:c r="C539" s="10"/>
      <x:c r="D539" s="10"/>
      <x:c r="E539" s="10"/>
      <x:c r="F539" s="10"/>
      <x:c r="G539" s="10"/>
      <x:c r="H539" s="10"/>
    </x:row>
    <x:row r="540" ht="14.25" customHeight="1">
      <x:c r="A540" s="10"/>
      <x:c r="B540" s="10"/>
      <x:c r="C540" s="10"/>
      <x:c r="D540" s="10"/>
      <x:c r="E540" s="10"/>
      <x:c r="F540" s="10"/>
      <x:c r="G540" s="10"/>
      <x:c r="H540" s="10"/>
    </x:row>
    <x:row r="541" ht="14.25" customHeight="1">
      <x:c r="A541" s="10"/>
      <x:c r="B541" s="10"/>
      <x:c r="C541" s="10"/>
      <x:c r="D541" s="10"/>
      <x:c r="E541" s="10"/>
      <x:c r="F541" s="10"/>
      <x:c r="G541" s="10"/>
      <x:c r="H541" s="10"/>
    </x:row>
    <x:row r="542" ht="14.25" customHeight="1">
      <x:c r="A542" s="10"/>
      <x:c r="B542" s="10"/>
      <x:c r="C542" s="10"/>
      <x:c r="D542" s="10"/>
      <x:c r="E542" s="10"/>
      <x:c r="F542" s="10"/>
      <x:c r="G542" s="10"/>
      <x:c r="H542" s="10"/>
    </x:row>
    <x:row r="543" ht="14.25" customHeight="1">
      <x:c r="A543" s="10"/>
      <x:c r="B543" s="10"/>
      <x:c r="C543" s="10"/>
      <x:c r="D543" s="10"/>
      <x:c r="E543" s="10"/>
      <x:c r="F543" s="10"/>
      <x:c r="G543" s="10"/>
      <x:c r="H543" s="10"/>
    </x:row>
    <x:row r="544" ht="14.25" customHeight="1">
      <x:c r="A544" s="10"/>
      <x:c r="B544" s="10"/>
      <x:c r="C544" s="10"/>
      <x:c r="D544" s="10"/>
      <x:c r="E544" s="10"/>
      <x:c r="F544" s="10"/>
      <x:c r="G544" s="10"/>
      <x:c r="H544" s="10"/>
    </x:row>
    <x:row r="545" ht="14.25" customHeight="1">
      <x:c r="A545" s="10"/>
      <x:c r="B545" s="10"/>
      <x:c r="C545" s="10"/>
      <x:c r="D545" s="10"/>
      <x:c r="E545" s="10"/>
      <x:c r="F545" s="10"/>
      <x:c r="G545" s="10"/>
      <x:c r="H545" s="10"/>
    </x:row>
    <x:row r="546" ht="14.25" customHeight="1">
      <x:c r="A546" s="10"/>
      <x:c r="B546" s="10"/>
      <x:c r="C546" s="10"/>
      <x:c r="D546" s="10"/>
      <x:c r="E546" s="10"/>
      <x:c r="F546" s="10"/>
      <x:c r="G546" s="10"/>
      <x:c r="H546" s="10"/>
    </x:row>
    <x:row r="547" ht="14.25" customHeight="1">
      <x:c r="A547" s="10"/>
      <x:c r="B547" s="10"/>
      <x:c r="C547" s="10"/>
      <x:c r="D547" s="10"/>
      <x:c r="E547" s="10"/>
      <x:c r="F547" s="10"/>
      <x:c r="G547" s="10"/>
      <x:c r="H547" s="10"/>
    </x:row>
    <x:row r="548" ht="14.25" customHeight="1">
      <x:c r="A548" s="10"/>
      <x:c r="B548" s="10"/>
      <x:c r="C548" s="10"/>
      <x:c r="D548" s="10"/>
      <x:c r="E548" s="10"/>
      <x:c r="F548" s="10"/>
      <x:c r="G548" s="10"/>
      <x:c r="H548" s="10"/>
    </x:row>
    <x:row r="549" ht="14.25" customHeight="1">
      <x:c r="A549" s="10"/>
      <x:c r="B549" s="10"/>
      <x:c r="C549" s="10"/>
      <x:c r="D549" s="10"/>
      <x:c r="E549" s="10"/>
      <x:c r="F549" s="10"/>
      <x:c r="G549" s="10"/>
      <x:c r="H549" s="10"/>
    </x:row>
    <x:row r="550" ht="14.25" customHeight="1">
      <x:c r="A550" s="10"/>
      <x:c r="B550" s="10"/>
      <x:c r="C550" s="10"/>
      <x:c r="D550" s="10"/>
      <x:c r="E550" s="10"/>
      <x:c r="F550" s="10"/>
      <x:c r="G550" s="10"/>
      <x:c r="H550" s="10"/>
    </x:row>
    <x:row r="551" ht="14.25" customHeight="1">
      <x:c r="A551" s="10"/>
      <x:c r="B551" s="10"/>
      <x:c r="C551" s="10"/>
      <x:c r="D551" s="10"/>
      <x:c r="E551" s="10"/>
      <x:c r="F551" s="10"/>
      <x:c r="G551" s="10"/>
      <x:c r="H551" s="10"/>
    </x:row>
    <x:row r="552" ht="14.25" customHeight="1">
      <x:c r="A552" s="10"/>
      <x:c r="B552" s="10"/>
      <x:c r="C552" s="10"/>
      <x:c r="D552" s="10"/>
      <x:c r="E552" s="10"/>
      <x:c r="F552" s="10"/>
      <x:c r="G552" s="10"/>
      <x:c r="H552" s="10"/>
    </x:row>
    <x:row r="553" ht="14.25" customHeight="1">
      <x:c r="A553" s="10"/>
      <x:c r="B553" s="10"/>
      <x:c r="C553" s="10"/>
      <x:c r="D553" s="10"/>
      <x:c r="E553" s="10"/>
      <x:c r="F553" s="10"/>
      <x:c r="G553" s="10"/>
      <x:c r="H553" s="10"/>
    </x:row>
    <x:row r="554" ht="14.25" customHeight="1">
      <x:c r="A554" s="10"/>
      <x:c r="B554" s="10"/>
      <x:c r="C554" s="10"/>
      <x:c r="D554" s="10"/>
      <x:c r="E554" s="10"/>
      <x:c r="F554" s="10"/>
      <x:c r="G554" s="10"/>
      <x:c r="H554" s="10"/>
    </x:row>
    <x:row r="555" ht="14.25" customHeight="1">
      <x:c r="A555" s="10"/>
      <x:c r="B555" s="10"/>
      <x:c r="C555" s="10"/>
      <x:c r="D555" s="10"/>
      <x:c r="E555" s="10"/>
      <x:c r="F555" s="10"/>
      <x:c r="G555" s="10"/>
      <x:c r="H555" s="10"/>
    </x:row>
    <x:row r="556" ht="14.25" customHeight="1">
      <x:c r="A556" s="10"/>
      <x:c r="B556" s="10"/>
      <x:c r="C556" s="10"/>
      <x:c r="D556" s="10"/>
      <x:c r="E556" s="10"/>
      <x:c r="F556" s="10"/>
      <x:c r="G556" s="10"/>
      <x:c r="H556" s="10"/>
    </x:row>
    <x:row r="557" ht="14.25" customHeight="1">
      <x:c r="A557" s="10"/>
      <x:c r="B557" s="10"/>
      <x:c r="C557" s="10"/>
      <x:c r="D557" s="10"/>
      <x:c r="E557" s="10"/>
      <x:c r="F557" s="10"/>
      <x:c r="G557" s="10"/>
      <x:c r="H557" s="10"/>
    </x:row>
    <x:row r="558" ht="14.25" customHeight="1">
      <x:c r="A558" s="10"/>
      <x:c r="B558" s="10"/>
      <x:c r="C558" s="10"/>
      <x:c r="D558" s="10"/>
      <x:c r="E558" s="10"/>
      <x:c r="F558" s="10"/>
      <x:c r="G558" s="10"/>
      <x:c r="H558" s="10"/>
    </x:row>
    <x:row r="559" ht="14.25" customHeight="1">
      <x:c r="A559" s="10"/>
      <x:c r="B559" s="10"/>
      <x:c r="C559" s="10"/>
      <x:c r="D559" s="10"/>
      <x:c r="E559" s="10"/>
      <x:c r="F559" s="10"/>
      <x:c r="G559" s="10"/>
      <x:c r="H559" s="10"/>
    </x:row>
    <x:row r="560" ht="14.25" customHeight="1">
      <x:c r="A560" s="10"/>
      <x:c r="B560" s="10"/>
      <x:c r="C560" s="10"/>
      <x:c r="D560" s="10"/>
      <x:c r="E560" s="10"/>
      <x:c r="F560" s="10"/>
      <x:c r="G560" s="10"/>
      <x:c r="H560" s="10"/>
    </x:row>
    <x:row r="561" ht="14.25" customHeight="1">
      <x:c r="A561" s="10"/>
      <x:c r="B561" s="10"/>
      <x:c r="C561" s="10"/>
      <x:c r="D561" s="10"/>
      <x:c r="E561" s="10"/>
      <x:c r="F561" s="10"/>
      <x:c r="G561" s="10"/>
      <x:c r="H561" s="10"/>
    </x:row>
    <x:row r="562" ht="14.25" customHeight="1">
      <x:c r="A562" s="10"/>
      <x:c r="B562" s="10"/>
      <x:c r="C562" s="10"/>
      <x:c r="D562" s="10"/>
      <x:c r="E562" s="10"/>
      <x:c r="F562" s="10"/>
      <x:c r="G562" s="10"/>
      <x:c r="H562" s="10"/>
    </x:row>
    <x:row r="563" ht="14.25" customHeight="1">
      <x:c r="A563" s="10"/>
      <x:c r="B563" s="10"/>
      <x:c r="C563" s="10"/>
      <x:c r="D563" s="10"/>
      <x:c r="E563" s="10"/>
      <x:c r="F563" s="10"/>
      <x:c r="G563" s="10"/>
      <x:c r="H563" s="10"/>
    </x:row>
    <x:row r="564" ht="14.25" customHeight="1">
      <x:c r="A564" s="10"/>
      <x:c r="B564" s="10"/>
      <x:c r="C564" s="10"/>
      <x:c r="D564" s="10"/>
      <x:c r="E564" s="10"/>
      <x:c r="F564" s="10"/>
      <x:c r="G564" s="10"/>
      <x:c r="H564" s="10"/>
    </x:row>
    <x:row r="565" ht="14.25" customHeight="1">
      <x:c r="A565" s="10"/>
      <x:c r="B565" s="10"/>
      <x:c r="C565" s="10"/>
      <x:c r="D565" s="10"/>
      <x:c r="E565" s="10"/>
      <x:c r="F565" s="10"/>
      <x:c r="G565" s="10"/>
      <x:c r="H565" s="10"/>
    </x:row>
    <x:row r="566" ht="14.25" customHeight="1">
      <x:c r="A566" s="10"/>
      <x:c r="B566" s="10"/>
      <x:c r="C566" s="10"/>
      <x:c r="D566" s="10"/>
      <x:c r="E566" s="10"/>
      <x:c r="F566" s="10"/>
      <x:c r="G566" s="10"/>
      <x:c r="H566" s="10"/>
    </x:row>
    <x:row r="567" ht="14.25" customHeight="1">
      <x:c r="A567" s="10"/>
      <x:c r="B567" s="10"/>
      <x:c r="C567" s="10"/>
      <x:c r="D567" s="10"/>
      <x:c r="E567" s="10"/>
      <x:c r="F567" s="10"/>
      <x:c r="G567" s="10"/>
      <x:c r="H567" s="10"/>
    </x:row>
    <x:row r="568" ht="14.25" customHeight="1">
      <x:c r="A568" s="10"/>
      <x:c r="B568" s="10"/>
      <x:c r="C568" s="10"/>
      <x:c r="D568" s="10"/>
      <x:c r="E568" s="10"/>
      <x:c r="F568" s="10"/>
      <x:c r="G568" s="10"/>
      <x:c r="H568" s="10"/>
    </x:row>
    <x:row r="569" ht="14.25" customHeight="1">
      <x:c r="A569" s="10"/>
      <x:c r="B569" s="10"/>
      <x:c r="C569" s="10"/>
      <x:c r="D569" s="10"/>
      <x:c r="E569" s="10"/>
      <x:c r="F569" s="10"/>
      <x:c r="G569" s="10"/>
      <x:c r="H569" s="10"/>
    </x:row>
    <x:row r="570" ht="14.25" customHeight="1">
      <x:c r="A570" s="10"/>
      <x:c r="B570" s="10"/>
      <x:c r="C570" s="10"/>
      <x:c r="D570" s="10"/>
      <x:c r="E570" s="10"/>
      <x:c r="F570" s="10"/>
      <x:c r="G570" s="10"/>
      <x:c r="H570" s="10"/>
    </x:row>
    <x:row r="571" ht="14.25" customHeight="1">
      <x:c r="A571" s="10"/>
      <x:c r="B571" s="10"/>
      <x:c r="C571" s="10"/>
      <x:c r="D571" s="10"/>
      <x:c r="E571" s="10"/>
      <x:c r="F571" s="10"/>
      <x:c r="G571" s="10"/>
      <x:c r="H571" s="10"/>
    </x:row>
    <x:row r="572" ht="14.25" customHeight="1">
      <x:c r="A572" s="10"/>
      <x:c r="B572" s="10"/>
      <x:c r="C572" s="10"/>
      <x:c r="D572" s="10"/>
      <x:c r="E572" s="10"/>
      <x:c r="F572" s="10"/>
      <x:c r="G572" s="10"/>
      <x:c r="H572" s="10"/>
    </x:row>
    <x:row r="573" ht="14.25" customHeight="1">
      <x:c r="A573" s="10"/>
      <x:c r="B573" s="10"/>
      <x:c r="C573" s="10"/>
      <x:c r="D573" s="10"/>
      <x:c r="E573" s="10"/>
      <x:c r="F573" s="10"/>
      <x:c r="G573" s="10"/>
      <x:c r="H573" s="10"/>
    </x:row>
    <x:row r="574" ht="14.25" customHeight="1">
      <x:c r="A574" s="10"/>
      <x:c r="B574" s="10"/>
      <x:c r="C574" s="10"/>
      <x:c r="D574" s="10"/>
      <x:c r="E574" s="10"/>
      <x:c r="F574" s="10"/>
      <x:c r="G574" s="10"/>
      <x:c r="H574" s="10"/>
    </x:row>
    <x:row r="575" ht="14.25" customHeight="1">
      <x:c r="A575" s="10"/>
      <x:c r="B575" s="10"/>
      <x:c r="C575" s="10"/>
      <x:c r="D575" s="10"/>
      <x:c r="E575" s="10"/>
      <x:c r="F575" s="10"/>
      <x:c r="G575" s="10"/>
      <x:c r="H575" s="10"/>
    </x:row>
    <x:row r="576" ht="14.25" customHeight="1">
      <x:c r="A576" s="10"/>
      <x:c r="B576" s="10"/>
      <x:c r="C576" s="10"/>
      <x:c r="D576" s="10"/>
      <x:c r="E576" s="10"/>
      <x:c r="F576" s="10"/>
      <x:c r="G576" s="10"/>
      <x:c r="H576" s="10"/>
    </x:row>
    <x:row r="577" ht="14.25" customHeight="1">
      <x:c r="A577" s="10"/>
      <x:c r="B577" s="10"/>
      <x:c r="C577" s="10"/>
      <x:c r="D577" s="10"/>
      <x:c r="E577" s="10"/>
      <x:c r="F577" s="10"/>
      <x:c r="G577" s="10"/>
      <x:c r="H577" s="10"/>
    </x:row>
    <x:row r="578" ht="14.25" customHeight="1">
      <x:c r="A578" s="10"/>
      <x:c r="B578" s="10"/>
      <x:c r="C578" s="10"/>
      <x:c r="D578" s="10"/>
      <x:c r="E578" s="10"/>
      <x:c r="F578" s="10"/>
      <x:c r="G578" s="10"/>
      <x:c r="H578" s="10"/>
    </x:row>
    <x:row r="579" ht="14.25" customHeight="1">
      <x:c r="A579" s="10"/>
      <x:c r="B579" s="10"/>
      <x:c r="C579" s="10"/>
      <x:c r="D579" s="10"/>
      <x:c r="E579" s="10"/>
      <x:c r="F579" s="10"/>
      <x:c r="G579" s="10"/>
      <x:c r="H579" s="10"/>
    </x:row>
    <x:row r="580" ht="14.25" customHeight="1">
      <x:c r="A580" s="10"/>
      <x:c r="B580" s="10"/>
      <x:c r="C580" s="10"/>
      <x:c r="D580" s="10"/>
      <x:c r="E580" s="10"/>
      <x:c r="F580" s="10"/>
      <x:c r="G580" s="10"/>
      <x:c r="H580" s="10"/>
    </x:row>
    <x:row r="581" ht="14.25" customHeight="1">
      <x:c r="A581" s="10"/>
      <x:c r="B581" s="10"/>
      <x:c r="C581" s="10"/>
      <x:c r="D581" s="10"/>
      <x:c r="E581" s="10"/>
      <x:c r="F581" s="10"/>
      <x:c r="G581" s="10"/>
      <x:c r="H581" s="10"/>
    </x:row>
    <x:row r="582" ht="14.25" customHeight="1">
      <x:c r="A582" s="10"/>
      <x:c r="B582" s="10"/>
      <x:c r="C582" s="10"/>
      <x:c r="D582" s="10"/>
      <x:c r="E582" s="10"/>
      <x:c r="F582" s="10"/>
      <x:c r="G582" s="10"/>
      <x:c r="H582" s="10"/>
    </x:row>
    <x:row r="583" ht="14.25" customHeight="1">
      <x:c r="A583" s="10"/>
      <x:c r="B583" s="10"/>
      <x:c r="C583" s="10"/>
      <x:c r="D583" s="10"/>
      <x:c r="E583" s="10"/>
      <x:c r="F583" s="10"/>
      <x:c r="G583" s="10"/>
      <x:c r="H583" s="10"/>
    </x:row>
    <x:row r="584" ht="14.25" customHeight="1">
      <x:c r="A584" s="10"/>
      <x:c r="B584" s="10"/>
      <x:c r="C584" s="10"/>
      <x:c r="D584" s="10"/>
      <x:c r="E584" s="10"/>
      <x:c r="F584" s="10"/>
      <x:c r="G584" s="10"/>
      <x:c r="H584" s="10"/>
    </x:row>
    <x:row r="585" ht="14.25" customHeight="1">
      <x:c r="A585" s="10"/>
      <x:c r="B585" s="10"/>
      <x:c r="C585" s="10"/>
      <x:c r="D585" s="10"/>
      <x:c r="E585" s="10"/>
      <x:c r="F585" s="10"/>
      <x:c r="G585" s="10"/>
      <x:c r="H585" s="10"/>
    </x:row>
    <x:row r="586" ht="14.25" customHeight="1">
      <x:c r="A586" s="10"/>
      <x:c r="B586" s="10"/>
      <x:c r="C586" s="10"/>
      <x:c r="D586" s="10"/>
      <x:c r="E586" s="10"/>
      <x:c r="F586" s="10"/>
      <x:c r="G586" s="10"/>
      <x:c r="H586" s="10"/>
    </x:row>
    <x:row r="587" ht="14.25" customHeight="1">
      <x:c r="A587" s="10"/>
      <x:c r="B587" s="10"/>
      <x:c r="C587" s="10"/>
      <x:c r="D587" s="10"/>
      <x:c r="E587" s="10"/>
      <x:c r="F587" s="10"/>
      <x:c r="G587" s="10"/>
      <x:c r="H587" s="10"/>
    </x:row>
    <x:row r="588" ht="14.25" customHeight="1">
      <x:c r="A588" s="10"/>
      <x:c r="B588" s="10"/>
      <x:c r="C588" s="10"/>
      <x:c r="D588" s="10"/>
      <x:c r="E588" s="10"/>
      <x:c r="F588" s="10"/>
      <x:c r="G588" s="10"/>
      <x:c r="H588" s="10"/>
    </x:row>
    <x:row r="589" ht="14.25" customHeight="1">
      <x:c r="A589" s="10"/>
      <x:c r="B589" s="10"/>
      <x:c r="C589" s="10"/>
      <x:c r="D589" s="10"/>
      <x:c r="E589" s="10"/>
      <x:c r="F589" s="10"/>
      <x:c r="G589" s="10"/>
      <x:c r="H589" s="10"/>
    </x:row>
    <x:row r="590" ht="14.25" customHeight="1">
      <x:c r="A590" s="10"/>
      <x:c r="B590" s="10"/>
      <x:c r="C590" s="10"/>
      <x:c r="D590" s="10"/>
      <x:c r="E590" s="10"/>
      <x:c r="F590" s="10"/>
      <x:c r="G590" s="10"/>
      <x:c r="H590" s="10"/>
    </x:row>
    <x:row r="591" ht="14.25" customHeight="1">
      <x:c r="A591" s="10"/>
      <x:c r="B591" s="10"/>
      <x:c r="C591" s="10"/>
      <x:c r="D591" s="10"/>
      <x:c r="E591" s="10"/>
      <x:c r="F591" s="10"/>
      <x:c r="G591" s="10"/>
      <x:c r="H591" s="10"/>
    </x:row>
    <x:row r="592" ht="14.25" customHeight="1">
      <x:c r="A592" s="10"/>
      <x:c r="B592" s="10"/>
      <x:c r="C592" s="10"/>
      <x:c r="D592" s="10"/>
      <x:c r="E592" s="10"/>
      <x:c r="F592" s="10"/>
      <x:c r="G592" s="10"/>
      <x:c r="H592" s="10"/>
    </x:row>
    <x:row r="593" ht="14.25" customHeight="1">
      <x:c r="A593" s="10"/>
      <x:c r="B593" s="10"/>
      <x:c r="C593" s="10"/>
      <x:c r="D593" s="10"/>
      <x:c r="E593" s="10"/>
      <x:c r="F593" s="10"/>
      <x:c r="G593" s="10"/>
      <x:c r="H593" s="10"/>
    </x:row>
    <x:row r="594" ht="14.25" customHeight="1">
      <x:c r="A594" s="10"/>
      <x:c r="B594" s="10"/>
      <x:c r="C594" s="10"/>
      <x:c r="D594" s="10"/>
      <x:c r="E594" s="10"/>
      <x:c r="F594" s="10"/>
      <x:c r="G594" s="10"/>
      <x:c r="H594" s="10"/>
    </x:row>
    <x:row r="595" ht="14.25" customHeight="1">
      <x:c r="A595" s="10"/>
      <x:c r="B595" s="10"/>
      <x:c r="C595" s="10"/>
      <x:c r="D595" s="10"/>
      <x:c r="E595" s="10"/>
      <x:c r="F595" s="10"/>
      <x:c r="G595" s="10"/>
      <x:c r="H595" s="10"/>
    </x:row>
    <x:row r="596" ht="14.25" customHeight="1">
      <x:c r="A596" s="10"/>
      <x:c r="B596" s="10"/>
      <x:c r="C596" s="10"/>
      <x:c r="D596" s="10"/>
      <x:c r="E596" s="10"/>
      <x:c r="F596" s="10"/>
      <x:c r="G596" s="10"/>
      <x:c r="H596" s="10"/>
    </x:row>
    <x:row r="597" ht="14.25" customHeight="1">
      <x:c r="A597" s="10"/>
      <x:c r="B597" s="10"/>
      <x:c r="C597" s="10"/>
      <x:c r="D597" s="10"/>
      <x:c r="E597" s="10"/>
      <x:c r="F597" s="10"/>
      <x:c r="G597" s="10"/>
      <x:c r="H597" s="10"/>
    </x:row>
    <x:row r="598" ht="14.25" customHeight="1">
      <x:c r="A598" s="10"/>
      <x:c r="B598" s="10"/>
      <x:c r="C598" s="10"/>
      <x:c r="D598" s="10"/>
      <x:c r="E598" s="10"/>
      <x:c r="F598" s="10"/>
      <x:c r="G598" s="10"/>
      <x:c r="H598" s="10"/>
    </x:row>
    <x:row r="599" ht="14.25" customHeight="1">
      <x:c r="A599" s="10"/>
      <x:c r="B599" s="10"/>
      <x:c r="C599" s="10"/>
      <x:c r="D599" s="10"/>
      <x:c r="E599" s="10"/>
      <x:c r="F599" s="10"/>
      <x:c r="G599" s="10"/>
      <x:c r="H599" s="10"/>
    </x:row>
    <x:row r="600" ht="14.25" customHeight="1">
      <x:c r="A600" s="10"/>
      <x:c r="B600" s="10"/>
      <x:c r="C600" s="10"/>
      <x:c r="D600" s="10"/>
      <x:c r="E600" s="10"/>
      <x:c r="F600" s="10"/>
      <x:c r="G600" s="10"/>
      <x:c r="H600" s="10"/>
    </x:row>
    <x:row r="601" ht="14.25" customHeight="1">
      <x:c r="A601" s="10"/>
      <x:c r="B601" s="10"/>
      <x:c r="C601" s="10"/>
      <x:c r="D601" s="10"/>
      <x:c r="E601" s="10"/>
      <x:c r="F601" s="10"/>
      <x:c r="G601" s="10"/>
      <x:c r="H601" s="10"/>
    </x:row>
    <x:row r="602" ht="14.25" customHeight="1">
      <x:c r="A602" s="10"/>
      <x:c r="B602" s="10"/>
      <x:c r="C602" s="10"/>
      <x:c r="D602" s="10"/>
      <x:c r="E602" s="10"/>
      <x:c r="F602" s="10"/>
      <x:c r="G602" s="10"/>
      <x:c r="H602" s="10"/>
    </x:row>
    <x:row r="603" ht="14.25" customHeight="1">
      <x:c r="A603" s="10"/>
      <x:c r="B603" s="10"/>
      <x:c r="C603" s="10"/>
      <x:c r="D603" s="10"/>
      <x:c r="E603" s="10"/>
      <x:c r="F603" s="10"/>
      <x:c r="G603" s="10"/>
      <x:c r="H603" s="10"/>
    </x:row>
    <x:row r="604" ht="14.25" customHeight="1">
      <x:c r="A604" s="10"/>
      <x:c r="B604" s="10"/>
      <x:c r="C604" s="10"/>
      <x:c r="D604" s="10"/>
      <x:c r="E604" s="10"/>
      <x:c r="F604" s="10"/>
      <x:c r="G604" s="10"/>
      <x:c r="H604" s="10"/>
    </x:row>
    <x:row r="605" ht="14.25" customHeight="1">
      <x:c r="A605" s="10"/>
      <x:c r="B605" s="10"/>
      <x:c r="C605" s="10"/>
      <x:c r="D605" s="10"/>
      <x:c r="E605" s="10"/>
      <x:c r="F605" s="10"/>
      <x:c r="G605" s="10"/>
      <x:c r="H605" s="10"/>
    </x:row>
    <x:row r="606" ht="14.25" customHeight="1">
      <x:c r="A606" s="10"/>
      <x:c r="B606" s="10"/>
      <x:c r="C606" s="10"/>
      <x:c r="D606" s="10"/>
      <x:c r="E606" s="10"/>
      <x:c r="F606" s="10"/>
      <x:c r="G606" s="10"/>
      <x:c r="H606" s="10"/>
    </x:row>
    <x:row r="607" ht="14.25" customHeight="1">
      <x:c r="A607" s="10"/>
      <x:c r="B607" s="10"/>
      <x:c r="C607" s="10"/>
      <x:c r="D607" s="10"/>
      <x:c r="E607" s="10"/>
      <x:c r="F607" s="10"/>
      <x:c r="G607" s="10"/>
      <x:c r="H607" s="10"/>
    </x:row>
    <x:row r="608" ht="14.25" customHeight="1">
      <x:c r="A608" s="10"/>
      <x:c r="B608" s="10"/>
      <x:c r="C608" s="10"/>
      <x:c r="D608" s="10"/>
      <x:c r="E608" s="10"/>
      <x:c r="F608" s="10"/>
      <x:c r="G608" s="10"/>
      <x:c r="H608" s="10"/>
    </x:row>
    <x:row r="609" ht="14.25" customHeight="1">
      <x:c r="A609" s="10"/>
      <x:c r="B609" s="10"/>
      <x:c r="C609" s="10"/>
      <x:c r="D609" s="10"/>
      <x:c r="E609" s="10"/>
      <x:c r="F609" s="10"/>
      <x:c r="G609" s="10"/>
      <x:c r="H609" s="10"/>
    </x:row>
    <x:row r="610" ht="14.25" customHeight="1">
      <x:c r="A610" s="10"/>
      <x:c r="B610" s="10"/>
      <x:c r="C610" s="10"/>
      <x:c r="D610" s="10"/>
      <x:c r="E610" s="10"/>
      <x:c r="F610" s="10"/>
      <x:c r="G610" s="10"/>
      <x:c r="H610" s="10"/>
    </x:row>
    <x:row r="611" ht="14.25" customHeight="1">
      <x:c r="A611" s="10"/>
      <x:c r="B611" s="10"/>
      <x:c r="C611" s="10"/>
      <x:c r="D611" s="10"/>
      <x:c r="E611" s="10"/>
      <x:c r="F611" s="10"/>
      <x:c r="G611" s="10"/>
      <x:c r="H611" s="10"/>
    </x:row>
    <x:row r="612" ht="14.25" customHeight="1">
      <x:c r="A612" s="10"/>
      <x:c r="B612" s="10"/>
      <x:c r="C612" s="10"/>
      <x:c r="D612" s="10"/>
      <x:c r="E612" s="10"/>
      <x:c r="F612" s="10"/>
      <x:c r="G612" s="10"/>
      <x:c r="H612" s="10"/>
    </x:row>
    <x:row r="613" ht="14.25" customHeight="1">
      <x:c r="A613" s="10"/>
      <x:c r="B613" s="10"/>
      <x:c r="C613" s="10"/>
      <x:c r="D613" s="10"/>
      <x:c r="E613" s="10"/>
      <x:c r="F613" s="10"/>
      <x:c r="G613" s="10"/>
      <x:c r="H613" s="10"/>
    </x:row>
    <x:row r="614" ht="14.25" customHeight="1">
      <x:c r="A614" s="10"/>
      <x:c r="B614" s="10"/>
      <x:c r="C614" s="10"/>
      <x:c r="D614" s="10"/>
      <x:c r="E614" s="10"/>
      <x:c r="F614" s="10"/>
      <x:c r="G614" s="10"/>
      <x:c r="H614" s="10"/>
    </x:row>
    <x:row r="615" ht="14.25" customHeight="1">
      <x:c r="A615" s="10"/>
      <x:c r="B615" s="10"/>
      <x:c r="C615" s="10"/>
      <x:c r="D615" s="10"/>
      <x:c r="E615" s="10"/>
      <x:c r="F615" s="10"/>
      <x:c r="G615" s="10"/>
      <x:c r="H615" s="10"/>
    </x:row>
    <x:row r="616" ht="14.25" customHeight="1">
      <x:c r="A616" s="10"/>
      <x:c r="B616" s="10"/>
      <x:c r="C616" s="10"/>
      <x:c r="D616" s="10"/>
      <x:c r="E616" s="10"/>
      <x:c r="F616" s="10"/>
      <x:c r="G616" s="10"/>
      <x:c r="H616" s="10"/>
    </x:row>
    <x:row r="617" ht="14.25" customHeight="1">
      <x:c r="A617" s="10"/>
      <x:c r="B617" s="10"/>
      <x:c r="C617" s="10"/>
      <x:c r="D617" s="10"/>
      <x:c r="E617" s="10"/>
      <x:c r="F617" s="10"/>
      <x:c r="G617" s="10"/>
      <x:c r="H617" s="10"/>
    </x:row>
    <x:row r="618" ht="14.25" customHeight="1">
      <x:c r="A618" s="10"/>
      <x:c r="B618" s="10"/>
      <x:c r="C618" s="10"/>
      <x:c r="D618" s="10"/>
      <x:c r="E618" s="10"/>
      <x:c r="F618" s="10"/>
      <x:c r="G618" s="10"/>
      <x:c r="H618" s="10"/>
    </x:row>
    <x:row r="619" ht="14.25" customHeight="1">
      <x:c r="A619" s="10"/>
      <x:c r="B619" s="10"/>
      <x:c r="C619" s="10"/>
      <x:c r="D619" s="10"/>
      <x:c r="E619" s="10"/>
      <x:c r="F619" s="10"/>
      <x:c r="G619" s="10"/>
      <x:c r="H619" s="10"/>
    </x:row>
    <x:row r="620" ht="14.25" customHeight="1">
      <x:c r="A620" s="10"/>
      <x:c r="B620" s="10"/>
      <x:c r="C620" s="10"/>
      <x:c r="D620" s="10"/>
      <x:c r="E620" s="10"/>
      <x:c r="F620" s="10"/>
      <x:c r="G620" s="10"/>
      <x:c r="H620" s="10"/>
    </x:row>
    <x:row r="621" ht="14.25" customHeight="1">
      <x:c r="A621" s="10"/>
      <x:c r="B621" s="10"/>
      <x:c r="C621" s="10"/>
      <x:c r="D621" s="10"/>
      <x:c r="E621" s="10"/>
      <x:c r="F621" s="10"/>
      <x:c r="G621" s="10"/>
      <x:c r="H621" s="10"/>
    </x:row>
    <x:row r="622" ht="14.25" customHeight="1">
      <x:c r="A622" s="10"/>
      <x:c r="B622" s="10"/>
      <x:c r="C622" s="10"/>
      <x:c r="D622" s="10"/>
      <x:c r="E622" s="10"/>
      <x:c r="F622" s="10"/>
      <x:c r="G622" s="10"/>
      <x:c r="H622" s="10"/>
    </x:row>
    <x:row r="623" ht="14.25" customHeight="1">
      <x:c r="A623" s="10"/>
      <x:c r="B623" s="10"/>
      <x:c r="C623" s="10"/>
      <x:c r="D623" s="10"/>
      <x:c r="E623" s="10"/>
      <x:c r="F623" s="10"/>
      <x:c r="G623" s="10"/>
      <x:c r="H623" s="10"/>
    </x:row>
    <x:row r="624" ht="14.25" customHeight="1">
      <x:c r="A624" s="10"/>
      <x:c r="B624" s="10"/>
      <x:c r="C624" s="10"/>
      <x:c r="D624" s="10"/>
      <x:c r="E624" s="10"/>
      <x:c r="F624" s="10"/>
      <x:c r="G624" s="10"/>
      <x:c r="H624" s="10"/>
    </x:row>
    <x:row r="625" ht="14.25" customHeight="1">
      <x:c r="A625" s="10"/>
      <x:c r="B625" s="10"/>
      <x:c r="C625" s="10"/>
      <x:c r="D625" s="10"/>
      <x:c r="E625" s="10"/>
      <x:c r="F625" s="10"/>
      <x:c r="G625" s="10"/>
      <x:c r="H625" s="10"/>
    </x:row>
    <x:row r="626" ht="14.25" customHeight="1">
      <x:c r="A626" s="10"/>
      <x:c r="B626" s="10"/>
      <x:c r="C626" s="10"/>
      <x:c r="D626" s="10"/>
      <x:c r="E626" s="10"/>
      <x:c r="F626" s="10"/>
      <x:c r="G626" s="10"/>
      <x:c r="H626" s="10"/>
    </x:row>
    <x:row r="627" ht="14.25" customHeight="1">
      <x:c r="A627" s="10"/>
      <x:c r="B627" s="10"/>
      <x:c r="C627" s="10"/>
      <x:c r="D627" s="10"/>
      <x:c r="E627" s="10"/>
      <x:c r="F627" s="10"/>
      <x:c r="G627" s="10"/>
      <x:c r="H627" s="10"/>
    </x:row>
    <x:row r="628" ht="14.25" customHeight="1">
      <x:c r="A628" s="10"/>
      <x:c r="B628" s="10"/>
      <x:c r="C628" s="10"/>
      <x:c r="D628" s="10"/>
      <x:c r="E628" s="10"/>
      <x:c r="F628" s="10"/>
      <x:c r="G628" s="10"/>
      <x:c r="H628" s="10"/>
    </x:row>
    <x:row r="629" ht="14.25" customHeight="1">
      <x:c r="A629" s="10"/>
      <x:c r="B629" s="10"/>
      <x:c r="C629" s="10"/>
      <x:c r="D629" s="10"/>
      <x:c r="E629" s="10"/>
      <x:c r="F629" s="10"/>
      <x:c r="G629" s="10"/>
      <x:c r="H629" s="10"/>
    </x:row>
    <x:row r="630" ht="14.25" customHeight="1">
      <x:c r="A630" s="10"/>
      <x:c r="B630" s="10"/>
      <x:c r="C630" s="10"/>
      <x:c r="D630" s="10"/>
      <x:c r="E630" s="10"/>
      <x:c r="F630" s="10"/>
      <x:c r="G630" s="10"/>
      <x:c r="H630" s="10"/>
    </x:row>
    <x:row r="631" ht="14.25" customHeight="1">
      <x:c r="A631" s="10"/>
      <x:c r="B631" s="10"/>
      <x:c r="C631" s="10"/>
      <x:c r="D631" s="10"/>
      <x:c r="E631" s="10"/>
      <x:c r="F631" s="10"/>
      <x:c r="G631" s="10"/>
      <x:c r="H631" s="10"/>
    </x:row>
    <x:row r="632" ht="14.25" customHeight="1">
      <x:c r="A632" s="10"/>
      <x:c r="B632" s="10"/>
      <x:c r="C632" s="10"/>
      <x:c r="D632" s="10"/>
      <x:c r="E632" s="10"/>
      <x:c r="F632" s="10"/>
      <x:c r="G632" s="10"/>
      <x:c r="H632" s="10"/>
    </x:row>
    <x:row r="633" ht="14.25" customHeight="1">
      <x:c r="A633" s="10"/>
      <x:c r="B633" s="10"/>
      <x:c r="C633" s="10"/>
      <x:c r="D633" s="10"/>
      <x:c r="E633" s="10"/>
      <x:c r="F633" s="10"/>
      <x:c r="G633" s="10"/>
      <x:c r="H633" s="10"/>
    </x:row>
    <x:row r="634" ht="14.25" customHeight="1">
      <x:c r="A634" s="10"/>
      <x:c r="B634" s="10"/>
      <x:c r="C634" s="10"/>
      <x:c r="D634" s="10"/>
      <x:c r="E634" s="10"/>
      <x:c r="F634" s="10"/>
      <x:c r="G634" s="10"/>
      <x:c r="H634" s="10"/>
    </x:row>
    <x:row r="635" ht="14.25" customHeight="1">
      <x:c r="A635" s="10"/>
      <x:c r="B635" s="10"/>
      <x:c r="C635" s="10"/>
      <x:c r="D635" s="10"/>
      <x:c r="E635" s="10"/>
      <x:c r="F635" s="10"/>
      <x:c r="G635" s="10"/>
      <x:c r="H635" s="10"/>
    </x:row>
    <x:row r="636" ht="14.25" customHeight="1">
      <x:c r="A636" s="10"/>
      <x:c r="B636" s="10"/>
      <x:c r="C636" s="10"/>
      <x:c r="D636" s="10"/>
      <x:c r="E636" s="10"/>
      <x:c r="F636" s="10"/>
      <x:c r="G636" s="10"/>
      <x:c r="H636" s="10"/>
    </x:row>
    <x:row r="637" ht="14.25" customHeight="1">
      <x:c r="A637" s="10"/>
      <x:c r="B637" s="10"/>
      <x:c r="C637" s="10"/>
      <x:c r="D637" s="10"/>
      <x:c r="E637" s="10"/>
      <x:c r="F637" s="10"/>
      <x:c r="G637" s="10"/>
      <x:c r="H637" s="10"/>
    </x:row>
    <x:row r="638" ht="14.25" customHeight="1">
      <x:c r="A638" s="10"/>
      <x:c r="B638" s="10"/>
      <x:c r="C638" s="10"/>
      <x:c r="D638" s="10"/>
      <x:c r="E638" s="10"/>
      <x:c r="F638" s="10"/>
      <x:c r="G638" s="10"/>
      <x:c r="H638" s="10"/>
    </x:row>
    <x:row r="639" ht="14.25" customHeight="1">
      <x:c r="A639" s="10"/>
      <x:c r="B639" s="10"/>
      <x:c r="C639" s="10"/>
      <x:c r="D639" s="10"/>
      <x:c r="E639" s="10"/>
      <x:c r="F639" s="10"/>
      <x:c r="G639" s="10"/>
      <x:c r="H639" s="10"/>
    </x:row>
    <x:row r="640" ht="14.25" customHeight="1">
      <x:c r="A640" s="10"/>
      <x:c r="B640" s="10"/>
      <x:c r="C640" s="10"/>
      <x:c r="D640" s="10"/>
      <x:c r="E640" s="10"/>
      <x:c r="F640" s="10"/>
      <x:c r="G640" s="10"/>
      <x:c r="H640" s="10"/>
    </x:row>
    <x:row r="641" ht="14.25" customHeight="1">
      <x:c r="A641" s="10"/>
      <x:c r="B641" s="10"/>
      <x:c r="C641" s="10"/>
      <x:c r="D641" s="10"/>
      <x:c r="E641" s="10"/>
      <x:c r="F641" s="10"/>
      <x:c r="G641" s="10"/>
      <x:c r="H641" s="10"/>
    </x:row>
    <x:row r="642" ht="14.25" customHeight="1">
      <x:c r="A642" s="10"/>
      <x:c r="B642" s="10"/>
      <x:c r="C642" s="10"/>
      <x:c r="D642" s="10"/>
      <x:c r="E642" s="10"/>
      <x:c r="F642" s="10"/>
      <x:c r="G642" s="10"/>
      <x:c r="H642" s="10"/>
    </x:row>
    <x:row r="643" ht="14.25" customHeight="1">
      <x:c r="A643" s="10"/>
      <x:c r="B643" s="10"/>
      <x:c r="C643" s="10"/>
      <x:c r="D643" s="10"/>
      <x:c r="E643" s="10"/>
      <x:c r="F643" s="10"/>
      <x:c r="G643" s="10"/>
      <x:c r="H643" s="10"/>
    </x:row>
    <x:row r="644" ht="14.25" customHeight="1">
      <x:c r="A644" s="10"/>
      <x:c r="B644" s="10"/>
      <x:c r="C644" s="10"/>
      <x:c r="D644" s="10"/>
      <x:c r="E644" s="10"/>
      <x:c r="F644" s="10"/>
      <x:c r="G644" s="10"/>
      <x:c r="H644" s="10"/>
    </x:row>
    <x:row r="645" ht="14.25" customHeight="1">
      <x:c r="A645" s="10"/>
      <x:c r="B645" s="10"/>
      <x:c r="C645" s="10"/>
      <x:c r="D645" s="10"/>
      <x:c r="E645" s="10"/>
      <x:c r="F645" s="10"/>
      <x:c r="G645" s="10"/>
      <x:c r="H645" s="10"/>
    </x:row>
    <x:row r="646" ht="14.25" customHeight="1">
      <x:c r="A646" s="10"/>
      <x:c r="B646" s="10"/>
      <x:c r="C646" s="10"/>
      <x:c r="D646" s="10"/>
      <x:c r="E646" s="10"/>
      <x:c r="F646" s="10"/>
      <x:c r="G646" s="10"/>
      <x:c r="H646" s="10"/>
    </x:row>
    <x:row r="647" ht="14.25" customHeight="1">
      <x:c r="A647" s="10"/>
      <x:c r="B647" s="10"/>
      <x:c r="C647" s="10"/>
      <x:c r="D647" s="10"/>
      <x:c r="E647" s="10"/>
      <x:c r="F647" s="10"/>
      <x:c r="G647" s="10"/>
      <x:c r="H647" s="10"/>
    </x:row>
    <x:row r="648" ht="14.25" customHeight="1">
      <x:c r="A648" s="10"/>
      <x:c r="B648" s="10"/>
      <x:c r="C648" s="10"/>
      <x:c r="D648" s="10"/>
      <x:c r="E648" s="10"/>
      <x:c r="F648" s="10"/>
      <x:c r="G648" s="10"/>
      <x:c r="H648" s="10"/>
    </x:row>
    <x:row r="649" ht="14.25" customHeight="1">
      <x:c r="A649" s="10"/>
      <x:c r="B649" s="10"/>
      <x:c r="C649" s="10"/>
      <x:c r="D649" s="10"/>
      <x:c r="E649" s="10"/>
      <x:c r="F649" s="10"/>
      <x:c r="G649" s="10"/>
      <x:c r="H649" s="10"/>
    </x:row>
    <x:row r="650" ht="14.25" customHeight="1">
      <x:c r="A650" s="10"/>
      <x:c r="B650" s="10"/>
      <x:c r="C650" s="10"/>
      <x:c r="D650" s="10"/>
      <x:c r="E650" s="10"/>
      <x:c r="F650" s="10"/>
      <x:c r="G650" s="10"/>
      <x:c r="H650" s="10"/>
    </x:row>
    <x:row r="651" ht="14.25" customHeight="1">
      <x:c r="A651" s="10"/>
      <x:c r="B651" s="10"/>
      <x:c r="C651" s="10"/>
      <x:c r="D651" s="10"/>
      <x:c r="E651" s="10"/>
      <x:c r="F651" s="10"/>
      <x:c r="G651" s="10"/>
      <x:c r="H651" s="10"/>
    </x:row>
    <x:row r="652" ht="14.25" customHeight="1">
      <x:c r="A652" s="10"/>
      <x:c r="B652" s="10"/>
      <x:c r="C652" s="10"/>
      <x:c r="D652" s="10"/>
      <x:c r="E652" s="10"/>
      <x:c r="F652" s="10"/>
      <x:c r="G652" s="10"/>
      <x:c r="H652" s="10"/>
    </x:row>
    <x:row r="653" ht="14.25" customHeight="1">
      <x:c r="A653" s="10"/>
      <x:c r="B653" s="10"/>
      <x:c r="C653" s="10"/>
      <x:c r="D653" s="10"/>
      <x:c r="E653" s="10"/>
      <x:c r="F653" s="10"/>
      <x:c r="G653" s="10"/>
      <x:c r="H653" s="10"/>
    </x:row>
    <x:row r="654" ht="14.25" customHeight="1">
      <x:c r="A654" s="10"/>
      <x:c r="B654" s="10"/>
      <x:c r="C654" s="10"/>
      <x:c r="D654" s="10"/>
      <x:c r="E654" s="10"/>
      <x:c r="F654" s="10"/>
      <x:c r="G654" s="10"/>
      <x:c r="H654" s="10"/>
    </x:row>
    <x:row r="655" ht="14.25" customHeight="1">
      <x:c r="A655" s="10"/>
      <x:c r="B655" s="10"/>
      <x:c r="C655" s="10"/>
      <x:c r="D655" s="10"/>
      <x:c r="E655" s="10"/>
      <x:c r="F655" s="10"/>
      <x:c r="G655" s="10"/>
      <x:c r="H655" s="10"/>
    </x:row>
    <x:row r="656" ht="14.25" customHeight="1">
      <x:c r="A656" s="10"/>
      <x:c r="B656" s="10"/>
      <x:c r="C656" s="10"/>
      <x:c r="D656" s="10"/>
      <x:c r="E656" s="10"/>
      <x:c r="F656" s="10"/>
      <x:c r="G656" s="10"/>
      <x:c r="H656" s="10"/>
    </x:row>
    <x:row r="657" ht="14.25" customHeight="1">
      <x:c r="A657" s="10"/>
      <x:c r="B657" s="10"/>
      <x:c r="C657" s="10"/>
      <x:c r="D657" s="10"/>
      <x:c r="E657" s="10"/>
      <x:c r="F657" s="10"/>
      <x:c r="G657" s="10"/>
      <x:c r="H657" s="10"/>
    </x:row>
    <x:row r="658" ht="14.25" customHeight="1">
      <x:c r="A658" s="10"/>
      <x:c r="B658" s="10"/>
      <x:c r="C658" s="10"/>
      <x:c r="D658" s="10"/>
      <x:c r="E658" s="10"/>
      <x:c r="F658" s="10"/>
      <x:c r="G658" s="10"/>
      <x:c r="H658" s="10"/>
    </x:row>
    <x:row r="659" ht="14.25" customHeight="1">
      <x:c r="A659" s="10"/>
      <x:c r="B659" s="10"/>
      <x:c r="C659" s="10"/>
      <x:c r="D659" s="10"/>
      <x:c r="E659" s="10"/>
      <x:c r="F659" s="10"/>
      <x:c r="G659" s="10"/>
      <x:c r="H659" s="10"/>
    </x:row>
    <x:row r="660" ht="14.25" customHeight="1">
      <x:c r="A660" s="10"/>
      <x:c r="B660" s="10"/>
      <x:c r="C660" s="10"/>
      <x:c r="D660" s="10"/>
      <x:c r="E660" s="10"/>
      <x:c r="F660" s="10"/>
      <x:c r="G660" s="10"/>
      <x:c r="H660" s="10"/>
    </x:row>
    <x:row r="661" ht="14.25" customHeight="1">
      <x:c r="A661" s="10"/>
      <x:c r="B661" s="10"/>
      <x:c r="C661" s="10"/>
      <x:c r="D661" s="10"/>
      <x:c r="E661" s="10"/>
      <x:c r="F661" s="10"/>
      <x:c r="G661" s="10"/>
      <x:c r="H661" s="10"/>
    </x:row>
    <x:row r="662" ht="14.25" customHeight="1">
      <x:c r="A662" s="10"/>
      <x:c r="B662" s="10"/>
      <x:c r="C662" s="10"/>
      <x:c r="D662" s="10"/>
      <x:c r="E662" s="10"/>
      <x:c r="F662" s="10"/>
      <x:c r="G662" s="10"/>
      <x:c r="H662" s="10"/>
    </x:row>
    <x:row r="663" ht="14.25" customHeight="1">
      <x:c r="A663" s="10"/>
      <x:c r="B663" s="10"/>
      <x:c r="C663" s="10"/>
      <x:c r="D663" s="10"/>
      <x:c r="E663" s="10"/>
      <x:c r="F663" s="10"/>
      <x:c r="G663" s="10"/>
      <x:c r="H663" s="10"/>
    </x:row>
    <x:row r="664" ht="14.25" customHeight="1">
      <x:c r="A664" s="10"/>
      <x:c r="B664" s="10"/>
      <x:c r="C664" s="10"/>
      <x:c r="D664" s="10"/>
      <x:c r="E664" s="10"/>
      <x:c r="F664" s="10"/>
      <x:c r="G664" s="10"/>
      <x:c r="H664" s="10"/>
    </x:row>
    <x:row r="665" ht="14.25" customHeight="1">
      <x:c r="A665" s="10"/>
      <x:c r="B665" s="10"/>
      <x:c r="C665" s="10"/>
      <x:c r="D665" s="10"/>
      <x:c r="E665" s="10"/>
      <x:c r="F665" s="10"/>
      <x:c r="G665" s="10"/>
      <x:c r="H665" s="10"/>
    </x:row>
    <x:row r="666" ht="14.25" customHeight="1">
      <x:c r="A666" s="10"/>
      <x:c r="B666" s="10"/>
      <x:c r="C666" s="10"/>
      <x:c r="D666" s="10"/>
      <x:c r="E666" s="10"/>
      <x:c r="F666" s="10"/>
      <x:c r="G666" s="10"/>
      <x:c r="H666" s="10"/>
    </x:row>
    <x:row r="667" ht="14.25" customHeight="1">
      <x:c r="A667" s="10"/>
      <x:c r="B667" s="10"/>
      <x:c r="C667" s="10"/>
      <x:c r="D667" s="10"/>
      <x:c r="E667" s="10"/>
      <x:c r="F667" s="10"/>
      <x:c r="G667" s="10"/>
      <x:c r="H667" s="10"/>
    </x:row>
    <x:row r="668" ht="14.25" customHeight="1">
      <x:c r="A668" s="10"/>
      <x:c r="B668" s="10"/>
      <x:c r="C668" s="10"/>
      <x:c r="D668" s="10"/>
      <x:c r="E668" s="10"/>
      <x:c r="F668" s="10"/>
      <x:c r="G668" s="10"/>
      <x:c r="H668" s="10"/>
    </x:row>
    <x:row r="669" ht="14.25" customHeight="1">
      <x:c r="A669" s="10"/>
      <x:c r="B669" s="10"/>
      <x:c r="C669" s="10"/>
      <x:c r="D669" s="10"/>
      <x:c r="E669" s="10"/>
      <x:c r="F669" s="10"/>
      <x:c r="G669" s="10"/>
      <x:c r="H669" s="10"/>
    </x:row>
    <x:row r="670" ht="14.25" customHeight="1">
      <x:c r="A670" s="10"/>
      <x:c r="B670" s="10"/>
      <x:c r="C670" s="10"/>
      <x:c r="D670" s="10"/>
      <x:c r="E670" s="10"/>
      <x:c r="F670" s="10"/>
      <x:c r="G670" s="10"/>
      <x:c r="H670" s="10"/>
    </x:row>
    <x:row r="671" ht="14.25" customHeight="1">
      <x:c r="A671" s="10"/>
      <x:c r="B671" s="10"/>
      <x:c r="C671" s="10"/>
      <x:c r="D671" s="10"/>
      <x:c r="E671" s="10"/>
      <x:c r="F671" s="10"/>
      <x:c r="G671" s="10"/>
      <x:c r="H671" s="10"/>
    </x:row>
    <x:row r="672" ht="14.25" customHeight="1">
      <x:c r="A672" s="10"/>
      <x:c r="B672" s="10"/>
      <x:c r="C672" s="10"/>
      <x:c r="D672" s="10"/>
      <x:c r="E672" s="10"/>
      <x:c r="F672" s="10"/>
      <x:c r="G672" s="10"/>
      <x:c r="H672" s="10"/>
    </x:row>
    <x:row r="673" ht="14.25" customHeight="1">
      <x:c r="A673" s="10"/>
      <x:c r="B673" s="10"/>
      <x:c r="C673" s="10"/>
      <x:c r="D673" s="10"/>
      <x:c r="E673" s="10"/>
      <x:c r="F673" s="10"/>
      <x:c r="G673" s="10"/>
      <x:c r="H673" s="10"/>
    </x:row>
    <x:row r="674" ht="14.25" customHeight="1">
      <x:c r="A674" s="10"/>
      <x:c r="B674" s="10"/>
      <x:c r="C674" s="10"/>
      <x:c r="D674" s="10"/>
      <x:c r="E674" s="10"/>
      <x:c r="F674" s="10"/>
      <x:c r="G674" s="10"/>
      <x:c r="H674" s="10"/>
    </x:row>
    <x:row r="675" ht="14.25" customHeight="1">
      <x:c r="A675" s="10"/>
      <x:c r="B675" s="10"/>
      <x:c r="C675" s="10"/>
      <x:c r="D675" s="10"/>
      <x:c r="E675" s="10"/>
      <x:c r="F675" s="10"/>
      <x:c r="G675" s="10"/>
      <x:c r="H675" s="10"/>
    </x:row>
    <x:row r="676" ht="14.25" customHeight="1">
      <x:c r="A676" s="10"/>
      <x:c r="B676" s="10"/>
      <x:c r="C676" s="10"/>
      <x:c r="D676" s="10"/>
      <x:c r="E676" s="10"/>
      <x:c r="F676" s="10"/>
      <x:c r="G676" s="10"/>
      <x:c r="H676" s="10"/>
    </x:row>
    <x:row r="677" ht="14.25" customHeight="1">
      <x:c r="A677" s="10"/>
      <x:c r="B677" s="10"/>
      <x:c r="C677" s="10"/>
      <x:c r="D677" s="10"/>
      <x:c r="E677" s="10"/>
      <x:c r="F677" s="10"/>
      <x:c r="G677" s="10"/>
      <x:c r="H677" s="10"/>
    </x:row>
    <x:row r="678" ht="14.25" customHeight="1">
      <x:c r="A678" s="10"/>
      <x:c r="B678" s="10"/>
      <x:c r="C678" s="10"/>
      <x:c r="D678" s="10"/>
      <x:c r="E678" s="10"/>
      <x:c r="F678" s="10"/>
      <x:c r="G678" s="10"/>
      <x:c r="H678" s="10"/>
    </x:row>
    <x:row r="679" ht="14.25" customHeight="1">
      <x:c r="A679" s="10"/>
      <x:c r="B679" s="10"/>
      <x:c r="C679" s="10"/>
      <x:c r="D679" s="10"/>
      <x:c r="E679" s="10"/>
      <x:c r="F679" s="10"/>
      <x:c r="G679" s="10"/>
      <x:c r="H679" s="10"/>
    </x:row>
    <x:row r="680" ht="14.25" customHeight="1">
      <x:c r="A680" s="10"/>
      <x:c r="B680" s="10"/>
      <x:c r="C680" s="10"/>
      <x:c r="D680" s="10"/>
      <x:c r="E680" s="10"/>
      <x:c r="F680" s="10"/>
      <x:c r="G680" s="10"/>
      <x:c r="H680" s="10"/>
    </x:row>
    <x:row r="681" ht="14.25" customHeight="1">
      <x:c r="A681" s="10"/>
      <x:c r="B681" s="10"/>
      <x:c r="C681" s="10"/>
      <x:c r="D681" s="10"/>
      <x:c r="E681" s="10"/>
      <x:c r="F681" s="10"/>
      <x:c r="G681" s="10"/>
      <x:c r="H681" s="10"/>
    </x:row>
    <x:row r="682" ht="14.25" customHeight="1">
      <x:c r="A682" s="10"/>
      <x:c r="B682" s="10"/>
      <x:c r="C682" s="10"/>
      <x:c r="D682" s="10"/>
      <x:c r="E682" s="10"/>
      <x:c r="F682" s="10"/>
      <x:c r="G682" s="10"/>
      <x:c r="H682" s="10"/>
    </x:row>
    <x:row r="683" ht="14.25" customHeight="1">
      <x:c r="A683" s="10"/>
      <x:c r="B683" s="10"/>
      <x:c r="C683" s="10"/>
      <x:c r="D683" s="10"/>
      <x:c r="E683" s="10"/>
      <x:c r="F683" s="10"/>
      <x:c r="G683" s="10"/>
      <x:c r="H683" s="10"/>
    </x:row>
    <x:row r="684" ht="14.25" customHeight="1">
      <x:c r="A684" s="10"/>
      <x:c r="B684" s="10"/>
      <x:c r="C684" s="10"/>
      <x:c r="D684" s="10"/>
      <x:c r="E684" s="10"/>
      <x:c r="F684" s="10"/>
      <x:c r="G684" s="10"/>
      <x:c r="H684" s="10"/>
    </x:row>
    <x:row r="685" ht="14.25" customHeight="1">
      <x:c r="A685" s="10"/>
      <x:c r="B685" s="10"/>
      <x:c r="C685" s="10"/>
      <x:c r="D685" s="10"/>
      <x:c r="E685" s="10"/>
      <x:c r="F685" s="10"/>
      <x:c r="G685" s="10"/>
      <x:c r="H685" s="10"/>
    </x:row>
    <x:row r="686" ht="14.25" customHeight="1">
      <x:c r="A686" s="10"/>
      <x:c r="B686" s="10"/>
      <x:c r="C686" s="10"/>
      <x:c r="D686" s="10"/>
      <x:c r="E686" s="10"/>
      <x:c r="F686" s="10"/>
      <x:c r="G686" s="10"/>
      <x:c r="H686" s="10"/>
    </x:row>
    <x:row r="687" ht="14.25" customHeight="1">
      <x:c r="A687" s="10"/>
      <x:c r="B687" s="10"/>
      <x:c r="C687" s="10"/>
      <x:c r="D687" s="10"/>
      <x:c r="E687" s="10"/>
      <x:c r="F687" s="10"/>
      <x:c r="G687" s="10"/>
      <x:c r="H687" s="10"/>
    </x:row>
    <x:row r="688" ht="14.25" customHeight="1">
      <x:c r="A688" s="10"/>
      <x:c r="B688" s="10"/>
      <x:c r="C688" s="10"/>
      <x:c r="D688" s="10"/>
      <x:c r="E688" s="10"/>
      <x:c r="F688" s="10"/>
      <x:c r="G688" s="10"/>
      <x:c r="H688" s="10"/>
    </x:row>
    <x:row r="689" ht="14.25" customHeight="1">
      <x:c r="A689" s="10"/>
      <x:c r="B689" s="10"/>
      <x:c r="C689" s="10"/>
      <x:c r="D689" s="10"/>
      <x:c r="E689" s="10"/>
      <x:c r="F689" s="10"/>
      <x:c r="G689" s="10"/>
      <x:c r="H689" s="10"/>
    </x:row>
    <x:row r="690" ht="14.25" customHeight="1">
      <x:c r="A690" s="10"/>
      <x:c r="B690" s="10"/>
      <x:c r="C690" s="10"/>
      <x:c r="D690" s="10"/>
      <x:c r="E690" s="10"/>
      <x:c r="F690" s="10"/>
      <x:c r="G690" s="10"/>
      <x:c r="H690" s="10"/>
    </x:row>
    <x:row r="691" ht="14.25" customHeight="1">
      <x:c r="A691" s="10"/>
      <x:c r="B691" s="10"/>
      <x:c r="C691" s="10"/>
      <x:c r="D691" s="10"/>
      <x:c r="E691" s="10"/>
      <x:c r="F691" s="10"/>
      <x:c r="G691" s="10"/>
      <x:c r="H691" s="10"/>
    </x:row>
    <x:row r="692" ht="14.25" customHeight="1">
      <x:c r="A692" s="10"/>
      <x:c r="B692" s="10"/>
      <x:c r="C692" s="10"/>
      <x:c r="D692" s="10"/>
      <x:c r="E692" s="10"/>
      <x:c r="F692" s="10"/>
      <x:c r="G692" s="10"/>
      <x:c r="H692" s="10"/>
    </x:row>
    <x:row r="693" ht="14.25" customHeight="1">
      <x:c r="A693" s="10"/>
      <x:c r="B693" s="10"/>
      <x:c r="C693" s="10"/>
      <x:c r="D693" s="10"/>
      <x:c r="E693" s="10"/>
      <x:c r="F693" s="10"/>
      <x:c r="G693" s="10"/>
      <x:c r="H693" s="10"/>
    </x:row>
    <x:row r="694" ht="14.25" customHeight="1">
      <x:c r="A694" s="10"/>
      <x:c r="B694" s="10"/>
      <x:c r="C694" s="10"/>
      <x:c r="D694" s="10"/>
      <x:c r="E694" s="10"/>
      <x:c r="F694" s="10"/>
      <x:c r="G694" s="10"/>
      <x:c r="H694" s="10"/>
    </x:row>
    <x:row r="695" ht="14.25" customHeight="1">
      <x:c r="A695" s="10"/>
      <x:c r="B695" s="10"/>
      <x:c r="C695" s="10"/>
      <x:c r="D695" s="10"/>
      <x:c r="E695" s="10"/>
      <x:c r="F695" s="10"/>
      <x:c r="G695" s="10"/>
      <x:c r="H695" s="10"/>
    </x:row>
    <x:row r="696" ht="14.25" customHeight="1">
      <x:c r="A696" s="10"/>
      <x:c r="B696" s="10"/>
      <x:c r="C696" s="10"/>
      <x:c r="D696" s="10"/>
      <x:c r="E696" s="10"/>
      <x:c r="F696" s="10"/>
      <x:c r="G696" s="10"/>
      <x:c r="H696" s="10"/>
    </x:row>
    <x:row r="697" ht="14.25" customHeight="1">
      <x:c r="A697" s="10"/>
      <x:c r="B697" s="10"/>
      <x:c r="C697" s="10"/>
      <x:c r="D697" s="10"/>
      <x:c r="E697" s="10"/>
      <x:c r="F697" s="10"/>
      <x:c r="G697" s="10"/>
      <x:c r="H697" s="10"/>
    </x:row>
    <x:row r="698" ht="14.25" customHeight="1">
      <x:c r="A698" s="10"/>
      <x:c r="B698" s="10"/>
      <x:c r="C698" s="10"/>
      <x:c r="D698" s="10"/>
      <x:c r="E698" s="10"/>
      <x:c r="F698" s="10"/>
      <x:c r="G698" s="10"/>
      <x:c r="H698" s="10"/>
    </x:row>
    <x:row r="699" ht="14.25" customHeight="1">
      <x:c r="A699" s="10"/>
      <x:c r="B699" s="10"/>
      <x:c r="C699" s="10"/>
      <x:c r="D699" s="10"/>
      <x:c r="E699" s="10"/>
      <x:c r="F699" s="10"/>
      <x:c r="G699" s="10"/>
      <x:c r="H699" s="10"/>
    </x:row>
    <x:row r="700" ht="14.25" customHeight="1">
      <x:c r="A700" s="10"/>
      <x:c r="B700" s="10"/>
      <x:c r="C700" s="10"/>
      <x:c r="D700" s="10"/>
      <x:c r="E700" s="10"/>
      <x:c r="F700" s="10"/>
      <x:c r="G700" s="10"/>
      <x:c r="H700" s="10"/>
    </x:row>
    <x:row r="701" ht="14.25" customHeight="1">
      <x:c r="A701" s="10"/>
      <x:c r="B701" s="10"/>
      <x:c r="C701" s="10"/>
      <x:c r="D701" s="10"/>
      <x:c r="E701" s="10"/>
      <x:c r="F701" s="10"/>
      <x:c r="G701" s="10"/>
      <x:c r="H701" s="10"/>
    </x:row>
    <x:row r="702" ht="14.25" customHeight="1">
      <x:c r="A702" s="10"/>
      <x:c r="B702" s="10"/>
      <x:c r="C702" s="10"/>
      <x:c r="D702" s="10"/>
      <x:c r="E702" s="10"/>
      <x:c r="F702" s="10"/>
      <x:c r="G702" s="10"/>
      <x:c r="H702" s="10"/>
    </x:row>
    <x:row r="703" ht="14.25" customHeight="1">
      <x:c r="A703" s="10"/>
      <x:c r="B703" s="10"/>
      <x:c r="C703" s="10"/>
      <x:c r="D703" s="10"/>
      <x:c r="E703" s="10"/>
      <x:c r="F703" s="10"/>
      <x:c r="G703" s="10"/>
      <x:c r="H703" s="10"/>
    </x:row>
    <x:row r="704" ht="14.25" customHeight="1">
      <x:c r="A704" s="10"/>
      <x:c r="B704" s="10"/>
      <x:c r="C704" s="10"/>
      <x:c r="D704" s="10"/>
      <x:c r="E704" s="10"/>
      <x:c r="F704" s="10"/>
      <x:c r="G704" s="10"/>
      <x:c r="H704" s="10"/>
    </x:row>
    <x:row r="705" ht="14.25" customHeight="1">
      <x:c r="A705" s="10"/>
      <x:c r="B705" s="10"/>
      <x:c r="C705" s="10"/>
      <x:c r="D705" s="10"/>
      <x:c r="E705" s="10"/>
      <x:c r="F705" s="10"/>
      <x:c r="G705" s="10"/>
      <x:c r="H705" s="10"/>
    </x:row>
    <x:row r="706" ht="14.25" customHeight="1">
      <x:c r="A706" s="10"/>
      <x:c r="B706" s="10"/>
      <x:c r="C706" s="10"/>
      <x:c r="D706" s="10"/>
      <x:c r="E706" s="10"/>
      <x:c r="F706" s="10"/>
      <x:c r="G706" s="10"/>
      <x:c r="H706" s="10"/>
    </x:row>
    <x:row r="707" ht="14.25" customHeight="1">
      <x:c r="A707" s="10"/>
      <x:c r="B707" s="10"/>
      <x:c r="C707" s="10"/>
      <x:c r="D707" s="10"/>
      <x:c r="E707" s="10"/>
      <x:c r="F707" s="10"/>
      <x:c r="G707" s="10"/>
      <x:c r="H707" s="10"/>
    </x:row>
    <x:row r="708" ht="14.25" customHeight="1">
      <x:c r="A708" s="10"/>
      <x:c r="B708" s="10"/>
      <x:c r="C708" s="10"/>
      <x:c r="D708" s="10"/>
      <x:c r="E708" s="10"/>
      <x:c r="F708" s="10"/>
      <x:c r="G708" s="10"/>
      <x:c r="H708" s="10"/>
    </x:row>
    <x:row r="709" ht="14.25" customHeight="1">
      <x:c r="A709" s="10"/>
      <x:c r="B709" s="10"/>
      <x:c r="C709" s="10"/>
      <x:c r="D709" s="10"/>
      <x:c r="E709" s="10"/>
      <x:c r="F709" s="10"/>
      <x:c r="G709" s="10"/>
      <x:c r="H709" s="10"/>
    </x:row>
    <x:row r="710" ht="14.25" customHeight="1">
      <x:c r="A710" s="10"/>
      <x:c r="B710" s="10"/>
      <x:c r="C710" s="10"/>
      <x:c r="D710" s="10"/>
      <x:c r="E710" s="10"/>
      <x:c r="F710" s="10"/>
      <x:c r="G710" s="10"/>
      <x:c r="H710" s="10"/>
    </x:row>
    <x:row r="711" ht="14.25" customHeight="1">
      <x:c r="A711" s="10"/>
      <x:c r="B711" s="10"/>
      <x:c r="C711" s="10"/>
      <x:c r="D711" s="10"/>
      <x:c r="E711" s="10"/>
      <x:c r="F711" s="10"/>
      <x:c r="G711" s="10"/>
      <x:c r="H711" s="10"/>
    </x:row>
    <x:row r="712" ht="14.25" customHeight="1">
      <x:c r="A712" s="10"/>
      <x:c r="B712" s="10"/>
      <x:c r="C712" s="10"/>
      <x:c r="D712" s="10"/>
      <x:c r="E712" s="10"/>
      <x:c r="F712" s="10"/>
      <x:c r="G712" s="10"/>
      <x:c r="H712" s="10"/>
    </x:row>
    <x:row r="713" ht="14.25" customHeight="1">
      <x:c r="A713" s="10"/>
      <x:c r="B713" s="10"/>
      <x:c r="C713" s="10"/>
      <x:c r="D713" s="10"/>
      <x:c r="E713" s="10"/>
      <x:c r="F713" s="10"/>
      <x:c r="G713" s="10"/>
      <x:c r="H713" s="10"/>
    </x:row>
    <x:row r="714" ht="14.25" customHeight="1">
      <x:c r="A714" s="10"/>
      <x:c r="B714" s="10"/>
      <x:c r="C714" s="10"/>
      <x:c r="D714" s="10"/>
      <x:c r="E714" s="10"/>
      <x:c r="F714" s="10"/>
      <x:c r="G714" s="10"/>
      <x:c r="H714" s="10"/>
    </x:row>
    <x:row r="715" ht="14.25" customHeight="1">
      <x:c r="A715" s="10"/>
      <x:c r="B715" s="10"/>
      <x:c r="C715" s="10"/>
      <x:c r="D715" s="10"/>
      <x:c r="E715" s="10"/>
      <x:c r="F715" s="10"/>
      <x:c r="G715" s="10"/>
      <x:c r="H715" s="10"/>
    </x:row>
    <x:row r="716" ht="14.25" customHeight="1">
      <x:c r="A716" s="10"/>
      <x:c r="B716" s="10"/>
      <x:c r="C716" s="10"/>
      <x:c r="D716" s="10"/>
      <x:c r="E716" s="10"/>
      <x:c r="F716" s="10"/>
      <x:c r="G716" s="10"/>
      <x:c r="H716" s="10"/>
    </x:row>
    <x:row r="717" ht="14.25" customHeight="1">
      <x:c r="A717" s="10"/>
      <x:c r="B717" s="10"/>
      <x:c r="C717" s="10"/>
      <x:c r="D717" s="10"/>
      <x:c r="E717" s="10"/>
      <x:c r="F717" s="10"/>
      <x:c r="G717" s="10"/>
      <x:c r="H717" s="10"/>
    </x:row>
    <x:row r="718" ht="14.25" customHeight="1">
      <x:c r="A718" s="10"/>
      <x:c r="B718" s="10"/>
      <x:c r="C718" s="10"/>
      <x:c r="D718" s="10"/>
      <x:c r="E718" s="10"/>
      <x:c r="F718" s="10"/>
      <x:c r="G718" s="10"/>
      <x:c r="H718" s="10"/>
    </x:row>
    <x:row r="719" ht="14.25" customHeight="1">
      <x:c r="A719" s="10"/>
      <x:c r="B719" s="10"/>
      <x:c r="C719" s="10"/>
      <x:c r="D719" s="10"/>
      <x:c r="E719" s="10"/>
      <x:c r="F719" s="10"/>
      <x:c r="G719" s="10"/>
      <x:c r="H719" s="10"/>
    </x:row>
    <x:row r="720" ht="14.25" customHeight="1">
      <x:c r="A720" s="10"/>
      <x:c r="B720" s="10"/>
      <x:c r="C720" s="10"/>
      <x:c r="D720" s="10"/>
      <x:c r="E720" s="10"/>
      <x:c r="F720" s="10"/>
      <x:c r="G720" s="10"/>
      <x:c r="H720" s="10"/>
    </x:row>
    <x:row r="721" ht="14.25" customHeight="1">
      <x:c r="A721" s="10"/>
      <x:c r="B721" s="10"/>
      <x:c r="C721" s="10"/>
      <x:c r="D721" s="10"/>
      <x:c r="E721" s="10"/>
      <x:c r="F721" s="10"/>
      <x:c r="G721" s="10"/>
      <x:c r="H721" s="10"/>
    </x:row>
    <x:row r="722" ht="14.25" customHeight="1">
      <x:c r="A722" s="10"/>
      <x:c r="B722" s="10"/>
      <x:c r="C722" s="10"/>
      <x:c r="D722" s="10"/>
      <x:c r="E722" s="10"/>
      <x:c r="F722" s="10"/>
      <x:c r="G722" s="10"/>
      <x:c r="H722" s="10"/>
    </x:row>
    <x:row r="723" ht="14.25" customHeight="1">
      <x:c r="A723" s="10"/>
      <x:c r="B723" s="10"/>
      <x:c r="C723" s="10"/>
      <x:c r="D723" s="10"/>
      <x:c r="E723" s="10"/>
      <x:c r="F723" s="10"/>
      <x:c r="G723" s="10"/>
      <x:c r="H723" s="10"/>
    </x:row>
    <x:row r="724" ht="14.25" customHeight="1">
      <x:c r="A724" s="10"/>
      <x:c r="B724" s="10"/>
      <x:c r="C724" s="10"/>
      <x:c r="D724" s="10"/>
      <x:c r="E724" s="10"/>
      <x:c r="F724" s="10"/>
      <x:c r="G724" s="10"/>
      <x:c r="H724" s="10"/>
    </x:row>
    <x:row r="725" ht="14.25" customHeight="1">
      <x:c r="A725" s="10"/>
      <x:c r="B725" s="10"/>
      <x:c r="C725" s="10"/>
      <x:c r="D725" s="10"/>
      <x:c r="E725" s="10"/>
      <x:c r="F725" s="10"/>
      <x:c r="G725" s="10"/>
      <x:c r="H725" s="10"/>
    </x:row>
    <x:row r="726" ht="14.25" customHeight="1">
      <x:c r="A726" s="10"/>
      <x:c r="B726" s="10"/>
      <x:c r="C726" s="10"/>
      <x:c r="D726" s="10"/>
      <x:c r="E726" s="10"/>
      <x:c r="F726" s="10"/>
      <x:c r="G726" s="10"/>
      <x:c r="H726" s="10"/>
    </x:row>
    <x:row r="727" ht="14.25" customHeight="1">
      <x:c r="A727" s="10"/>
      <x:c r="B727" s="10"/>
      <x:c r="C727" s="10"/>
      <x:c r="D727" s="10"/>
      <x:c r="E727" s="10"/>
      <x:c r="F727" s="10"/>
      <x:c r="G727" s="10"/>
      <x:c r="H727" s="10"/>
    </x:row>
    <x:row r="728" ht="14.25" customHeight="1">
      <x:c r="A728" s="10"/>
      <x:c r="B728" s="10"/>
      <x:c r="C728" s="10"/>
      <x:c r="D728" s="10"/>
      <x:c r="E728" s="10"/>
      <x:c r="F728" s="10"/>
      <x:c r="G728" s="10"/>
      <x:c r="H728" s="10"/>
    </x:row>
    <x:row r="729" ht="14.25" customHeight="1">
      <x:c r="A729" s="10"/>
      <x:c r="B729" s="10"/>
      <x:c r="C729" s="10"/>
      <x:c r="D729" s="10"/>
      <x:c r="E729" s="10"/>
      <x:c r="F729" s="10"/>
      <x:c r="G729" s="10"/>
      <x:c r="H729" s="10"/>
    </x:row>
    <x:row r="730" ht="14.25" customHeight="1">
      <x:c r="A730" s="10"/>
      <x:c r="B730" s="10"/>
      <x:c r="C730" s="10"/>
      <x:c r="D730" s="10"/>
      <x:c r="E730" s="10"/>
      <x:c r="F730" s="10"/>
      <x:c r="G730" s="10"/>
      <x:c r="H730" s="10"/>
    </x:row>
    <x:row r="731" ht="14.25" customHeight="1">
      <x:c r="A731" s="10"/>
      <x:c r="B731" s="10"/>
      <x:c r="C731" s="10"/>
      <x:c r="D731" s="10"/>
      <x:c r="E731" s="10"/>
      <x:c r="F731" s="10"/>
      <x:c r="G731" s="10"/>
      <x:c r="H731" s="10"/>
    </x:row>
    <x:row r="732" ht="14.25" customHeight="1">
      <x:c r="A732" s="10"/>
      <x:c r="B732" s="10"/>
      <x:c r="C732" s="10"/>
      <x:c r="D732" s="10"/>
      <x:c r="E732" s="10"/>
      <x:c r="F732" s="10"/>
      <x:c r="G732" s="10"/>
      <x:c r="H732" s="10"/>
    </x:row>
    <x:row r="733" ht="14.25" customHeight="1">
      <x:c r="A733" s="10"/>
      <x:c r="B733" s="10"/>
      <x:c r="C733" s="10"/>
      <x:c r="D733" s="10"/>
      <x:c r="E733" s="10"/>
      <x:c r="F733" s="10"/>
      <x:c r="G733" s="10"/>
      <x:c r="H733" s="10"/>
    </x:row>
    <x:row r="734" ht="14.25" customHeight="1">
      <x:c r="A734" s="10"/>
      <x:c r="B734" s="10"/>
      <x:c r="C734" s="10"/>
      <x:c r="D734" s="10"/>
      <x:c r="E734" s="10"/>
      <x:c r="F734" s="10"/>
      <x:c r="G734" s="10"/>
      <x:c r="H734" s="10"/>
    </x:row>
    <x:row r="735" ht="14.25" customHeight="1">
      <x:c r="A735" s="10"/>
      <x:c r="B735" s="10"/>
      <x:c r="C735" s="10"/>
      <x:c r="D735" s="10"/>
      <x:c r="E735" s="10"/>
      <x:c r="F735" s="10"/>
      <x:c r="G735" s="10"/>
      <x:c r="H735" s="10"/>
    </x:row>
    <x:row r="736" ht="14.25" customHeight="1">
      <x:c r="A736" s="10"/>
      <x:c r="B736" s="10"/>
      <x:c r="C736" s="10"/>
      <x:c r="D736" s="10"/>
      <x:c r="E736" s="10"/>
      <x:c r="F736" s="10"/>
      <x:c r="G736" s="10"/>
      <x:c r="H736" s="10"/>
    </x:row>
    <x:row r="737" ht="14.25" customHeight="1">
      <x:c r="A737" s="10"/>
      <x:c r="B737" s="10"/>
      <x:c r="C737" s="10"/>
      <x:c r="D737" s="10"/>
      <x:c r="E737" s="10"/>
      <x:c r="F737" s="10"/>
      <x:c r="G737" s="10"/>
      <x:c r="H737" s="10"/>
    </x:row>
    <x:row r="738" ht="14.25" customHeight="1">
      <x:c r="A738" s="10"/>
      <x:c r="B738" s="10"/>
      <x:c r="C738" s="10"/>
      <x:c r="D738" s="10"/>
      <x:c r="E738" s="10"/>
      <x:c r="F738" s="10"/>
      <x:c r="G738" s="10"/>
      <x:c r="H738" s="10"/>
    </x:row>
    <x:row r="739" ht="14.25" customHeight="1">
      <x:c r="A739" s="10"/>
      <x:c r="B739" s="10"/>
      <x:c r="C739" s="10"/>
      <x:c r="D739" s="10"/>
      <x:c r="E739" s="10"/>
      <x:c r="F739" s="10"/>
      <x:c r="G739" s="10"/>
      <x:c r="H739" s="10"/>
    </x:row>
    <x:row r="740" ht="14.25" customHeight="1">
      <x:c r="A740" s="10"/>
      <x:c r="B740" s="10"/>
      <x:c r="C740" s="10"/>
      <x:c r="D740" s="10"/>
      <x:c r="E740" s="10"/>
      <x:c r="F740" s="10"/>
      <x:c r="G740" s="10"/>
      <x:c r="H740" s="10"/>
    </x:row>
    <x:row r="741" ht="14.25" customHeight="1">
      <x:c r="A741" s="10"/>
      <x:c r="B741" s="10"/>
      <x:c r="C741" s="10"/>
      <x:c r="D741" s="10"/>
      <x:c r="E741" s="10"/>
      <x:c r="F741" s="10"/>
      <x:c r="G741" s="10"/>
      <x:c r="H741" s="10"/>
    </x:row>
    <x:row r="742" ht="14.25" customHeight="1">
      <x:c r="A742" s="10"/>
      <x:c r="B742" s="10"/>
      <x:c r="C742" s="10"/>
      <x:c r="D742" s="10"/>
      <x:c r="E742" s="10"/>
      <x:c r="F742" s="10"/>
      <x:c r="G742" s="10"/>
      <x:c r="H742" s="10"/>
    </x:row>
    <x:row r="743" ht="14.25" customHeight="1">
      <x:c r="A743" s="10"/>
      <x:c r="B743" s="10"/>
      <x:c r="C743" s="10"/>
      <x:c r="D743" s="10"/>
      <x:c r="E743" s="10"/>
      <x:c r="F743" s="10"/>
      <x:c r="G743" s="10"/>
      <x:c r="H743" s="10"/>
    </x:row>
    <x:row r="744" ht="14.25" customHeight="1">
      <x:c r="A744" s="10"/>
      <x:c r="B744" s="10"/>
      <x:c r="C744" s="10"/>
      <x:c r="D744" s="10"/>
      <x:c r="E744" s="10"/>
      <x:c r="F744" s="10"/>
      <x:c r="G744" s="10"/>
      <x:c r="H744" s="10"/>
    </x:row>
    <x:row r="745" ht="14.25" customHeight="1">
      <x:c r="A745" s="10"/>
      <x:c r="B745" s="10"/>
      <x:c r="C745" s="10"/>
      <x:c r="D745" s="10"/>
      <x:c r="E745" s="10"/>
      <x:c r="F745" s="10"/>
      <x:c r="G745" s="10"/>
      <x:c r="H745" s="10"/>
    </x:row>
    <x:row r="746" ht="14.25" customHeight="1">
      <x:c r="A746" s="10"/>
      <x:c r="B746" s="10"/>
      <x:c r="C746" s="10"/>
      <x:c r="D746" s="10"/>
      <x:c r="E746" s="10"/>
      <x:c r="F746" s="10"/>
      <x:c r="G746" s="10"/>
      <x:c r="H746" s="10"/>
    </x:row>
    <x:row r="747" ht="14.25" customHeight="1">
      <x:c r="A747" s="10"/>
      <x:c r="B747" s="10"/>
      <x:c r="C747" s="10"/>
      <x:c r="D747" s="10"/>
      <x:c r="E747" s="10"/>
      <x:c r="F747" s="10"/>
      <x:c r="G747" s="10"/>
      <x:c r="H747" s="10"/>
    </x:row>
    <x:row r="748" ht="14.25" customHeight="1">
      <x:c r="A748" s="10"/>
      <x:c r="B748" s="10"/>
      <x:c r="C748" s="10"/>
      <x:c r="D748" s="10"/>
      <x:c r="E748" s="10"/>
      <x:c r="F748" s="10"/>
      <x:c r="G748" s="10"/>
      <x:c r="H748" s="10"/>
    </x:row>
    <x:row r="749" ht="14.25" customHeight="1">
      <x:c r="A749" s="10"/>
      <x:c r="B749" s="10"/>
      <x:c r="C749" s="10"/>
      <x:c r="D749" s="10"/>
      <x:c r="E749" s="10"/>
      <x:c r="F749" s="10"/>
      <x:c r="G749" s="10"/>
      <x:c r="H749" s="10"/>
    </x:row>
    <x:row r="750" ht="14.25" customHeight="1">
      <x:c r="A750" s="10"/>
      <x:c r="B750" s="10"/>
      <x:c r="C750" s="10"/>
      <x:c r="D750" s="10"/>
      <x:c r="E750" s="10"/>
      <x:c r="F750" s="10"/>
      <x:c r="G750" s="10"/>
      <x:c r="H750" s="10"/>
    </x:row>
    <x:row r="751" ht="14.25" customHeight="1">
      <x:c r="A751" s="10"/>
      <x:c r="B751" s="10"/>
      <x:c r="C751" s="10"/>
      <x:c r="D751" s="10"/>
      <x:c r="E751" s="10"/>
      <x:c r="F751" s="10"/>
      <x:c r="G751" s="10"/>
      <x:c r="H751" s="10"/>
    </x:row>
    <x:row r="752" ht="14.25" customHeight="1">
      <x:c r="A752" s="10"/>
      <x:c r="B752" s="10"/>
      <x:c r="C752" s="10"/>
      <x:c r="D752" s="10"/>
      <x:c r="E752" s="10"/>
      <x:c r="F752" s="10"/>
      <x:c r="G752" s="10"/>
      <x:c r="H752" s="10"/>
    </x:row>
    <x:row r="753" ht="14.25" customHeight="1">
      <x:c r="A753" s="10"/>
      <x:c r="B753" s="10"/>
      <x:c r="C753" s="10"/>
      <x:c r="D753" s="10"/>
      <x:c r="E753" s="10"/>
      <x:c r="F753" s="10"/>
      <x:c r="G753" s="10"/>
      <x:c r="H753" s="10"/>
    </x:row>
    <x:row r="754" ht="14.25" customHeight="1">
      <x:c r="A754" s="10"/>
      <x:c r="B754" s="10"/>
      <x:c r="C754" s="10"/>
      <x:c r="D754" s="10"/>
      <x:c r="E754" s="10"/>
      <x:c r="F754" s="10"/>
      <x:c r="G754" s="10"/>
      <x:c r="H754" s="10"/>
    </x:row>
    <x:row r="755" ht="14.25" customHeight="1">
      <x:c r="A755" s="10"/>
      <x:c r="B755" s="10"/>
      <x:c r="C755" s="10"/>
      <x:c r="D755" s="10"/>
      <x:c r="E755" s="10"/>
      <x:c r="F755" s="10"/>
      <x:c r="G755" s="10"/>
      <x:c r="H755" s="10"/>
    </x:row>
    <x:row r="756" ht="14.25" customHeight="1">
      <x:c r="A756" s="10"/>
      <x:c r="B756" s="10"/>
      <x:c r="C756" s="10"/>
      <x:c r="D756" s="10"/>
      <x:c r="E756" s="10"/>
      <x:c r="F756" s="10"/>
      <x:c r="G756" s="10"/>
      <x:c r="H756" s="10"/>
    </x:row>
    <x:row r="757" ht="14.25" customHeight="1">
      <x:c r="A757" s="10"/>
      <x:c r="B757" s="10"/>
      <x:c r="C757" s="10"/>
      <x:c r="D757" s="10"/>
      <x:c r="E757" s="10"/>
      <x:c r="F757" s="10"/>
      <x:c r="G757" s="10"/>
      <x:c r="H757" s="10"/>
    </x:row>
    <x:row r="758" ht="14.25" customHeight="1">
      <x:c r="A758" s="10"/>
      <x:c r="B758" s="10"/>
      <x:c r="C758" s="10"/>
      <x:c r="D758" s="10"/>
      <x:c r="E758" s="10"/>
      <x:c r="F758" s="10"/>
      <x:c r="G758" s="10"/>
      <x:c r="H758" s="10"/>
    </x:row>
    <x:row r="759" ht="14.25" customHeight="1">
      <x:c r="A759" s="10"/>
      <x:c r="B759" s="10"/>
      <x:c r="C759" s="10"/>
      <x:c r="D759" s="10"/>
      <x:c r="E759" s="10"/>
      <x:c r="F759" s="10"/>
      <x:c r="G759" s="10"/>
      <x:c r="H759" s="10"/>
    </x:row>
    <x:row r="760" ht="14.25" customHeight="1">
      <x:c r="A760" s="10"/>
      <x:c r="B760" s="10"/>
      <x:c r="C760" s="10"/>
      <x:c r="D760" s="10"/>
      <x:c r="E760" s="10"/>
      <x:c r="F760" s="10"/>
      <x:c r="G760" s="10"/>
      <x:c r="H760" s="10"/>
    </x:row>
    <x:row r="761" ht="14.25" customHeight="1">
      <x:c r="A761" s="10"/>
      <x:c r="B761" s="10"/>
      <x:c r="C761" s="10"/>
      <x:c r="D761" s="10"/>
      <x:c r="E761" s="10"/>
      <x:c r="F761" s="10"/>
      <x:c r="G761" s="10"/>
      <x:c r="H761" s="10"/>
    </x:row>
    <x:row r="762" ht="14.25" customHeight="1">
      <x:c r="A762" s="10"/>
      <x:c r="B762" s="10"/>
      <x:c r="C762" s="10"/>
      <x:c r="D762" s="10"/>
      <x:c r="E762" s="10"/>
      <x:c r="F762" s="10"/>
      <x:c r="G762" s="10"/>
      <x:c r="H762" s="10"/>
    </x:row>
    <x:row r="763" ht="14.25" customHeight="1">
      <x:c r="A763" s="10"/>
      <x:c r="B763" s="10"/>
      <x:c r="C763" s="10"/>
      <x:c r="D763" s="10"/>
      <x:c r="E763" s="10"/>
      <x:c r="F763" s="10"/>
      <x:c r="G763" s="10"/>
      <x:c r="H763" s="10"/>
    </x:row>
    <x:row r="764" ht="14.25" customHeight="1">
      <x:c r="A764" s="10"/>
      <x:c r="B764" s="10"/>
      <x:c r="C764" s="10"/>
      <x:c r="D764" s="10"/>
      <x:c r="E764" s="10"/>
      <x:c r="F764" s="10"/>
      <x:c r="G764" s="10"/>
      <x:c r="H764" s="10"/>
    </x:row>
    <x:row r="765" ht="14.25" customHeight="1">
      <x:c r="A765" s="10"/>
      <x:c r="B765" s="10"/>
      <x:c r="C765" s="10"/>
      <x:c r="D765" s="10"/>
      <x:c r="E765" s="10"/>
      <x:c r="F765" s="10"/>
      <x:c r="G765" s="10"/>
      <x:c r="H765" s="10"/>
    </x:row>
    <x:row r="766" ht="14.25" customHeight="1">
      <x:c r="A766" s="10"/>
      <x:c r="B766" s="10"/>
      <x:c r="C766" s="10"/>
      <x:c r="D766" s="10"/>
      <x:c r="E766" s="10"/>
      <x:c r="F766" s="10"/>
      <x:c r="G766" s="10"/>
      <x:c r="H766" s="10"/>
    </x:row>
    <x:row r="767" ht="14.25" customHeight="1">
      <x:c r="A767" s="10"/>
      <x:c r="B767" s="10"/>
      <x:c r="C767" s="10"/>
      <x:c r="D767" s="10"/>
      <x:c r="E767" s="10"/>
      <x:c r="F767" s="10"/>
      <x:c r="G767" s="10"/>
      <x:c r="H767" s="10"/>
    </x:row>
    <x:row r="768" ht="14.25" customHeight="1">
      <x:c r="A768" s="10"/>
      <x:c r="B768" s="10"/>
      <x:c r="C768" s="10"/>
      <x:c r="D768" s="10"/>
      <x:c r="E768" s="10"/>
      <x:c r="F768" s="10"/>
      <x:c r="G768" s="10"/>
      <x:c r="H768" s="10"/>
    </x:row>
    <x:row r="769" ht="14.25" customHeight="1">
      <x:c r="A769" s="10"/>
      <x:c r="B769" s="10"/>
      <x:c r="C769" s="10"/>
      <x:c r="D769" s="10"/>
      <x:c r="E769" s="10"/>
      <x:c r="F769" s="10"/>
      <x:c r="G769" s="10"/>
      <x:c r="H769" s="10"/>
    </x:row>
    <x:row r="770" ht="14.25" customHeight="1">
      <x:c r="A770" s="10"/>
      <x:c r="B770" s="10"/>
      <x:c r="C770" s="10"/>
      <x:c r="D770" s="10"/>
      <x:c r="E770" s="10"/>
      <x:c r="F770" s="10"/>
      <x:c r="G770" s="10"/>
      <x:c r="H770" s="10"/>
    </x:row>
    <x:row r="771" ht="14.25" customHeight="1">
      <x:c r="A771" s="10"/>
      <x:c r="B771" s="10"/>
      <x:c r="C771" s="10"/>
      <x:c r="D771" s="10"/>
      <x:c r="E771" s="10"/>
      <x:c r="F771" s="10"/>
      <x:c r="G771" s="10"/>
      <x:c r="H771" s="10"/>
    </x:row>
    <x:row r="772" ht="14.25" customHeight="1">
      <x:c r="A772" s="10"/>
      <x:c r="B772" s="10"/>
      <x:c r="C772" s="10"/>
      <x:c r="D772" s="10"/>
      <x:c r="E772" s="10"/>
      <x:c r="F772" s="10"/>
      <x:c r="G772" s="10"/>
      <x:c r="H772" s="10"/>
    </x:row>
    <x:row r="773" ht="14.25" customHeight="1">
      <x:c r="A773" s="10"/>
      <x:c r="B773" s="10"/>
      <x:c r="C773" s="10"/>
      <x:c r="D773" s="10"/>
      <x:c r="E773" s="10"/>
      <x:c r="F773" s="10"/>
      <x:c r="G773" s="10"/>
      <x:c r="H773" s="10"/>
    </x:row>
    <x:row r="774" ht="14.25" customHeight="1">
      <x:c r="A774" s="10"/>
      <x:c r="B774" s="10"/>
      <x:c r="C774" s="10"/>
      <x:c r="D774" s="10"/>
      <x:c r="E774" s="10"/>
      <x:c r="F774" s="10"/>
      <x:c r="G774" s="10"/>
      <x:c r="H774" s="10"/>
    </x:row>
    <x:row r="775" ht="14.25" customHeight="1">
      <x:c r="A775" s="10"/>
      <x:c r="B775" s="10"/>
      <x:c r="C775" s="10"/>
      <x:c r="D775" s="10"/>
      <x:c r="E775" s="10"/>
      <x:c r="F775" s="10"/>
      <x:c r="G775" s="10"/>
      <x:c r="H775" s="10"/>
    </x:row>
    <x:row r="776" ht="14.25" customHeight="1">
      <x:c r="A776" s="10"/>
      <x:c r="B776" s="10"/>
      <x:c r="C776" s="10"/>
      <x:c r="D776" s="10"/>
      <x:c r="E776" s="10"/>
      <x:c r="F776" s="10"/>
      <x:c r="G776" s="10"/>
      <x:c r="H776" s="10"/>
    </x:row>
    <x:row r="777" ht="14.25" customHeight="1">
      <x:c r="A777" s="10"/>
      <x:c r="B777" s="10"/>
      <x:c r="C777" s="10"/>
      <x:c r="D777" s="10"/>
      <x:c r="E777" s="10"/>
      <x:c r="F777" s="10"/>
      <x:c r="G777" s="10"/>
      <x:c r="H777" s="10"/>
    </x:row>
    <x:row r="778" ht="14.25" customHeight="1">
      <x:c r="A778" s="10"/>
      <x:c r="B778" s="10"/>
      <x:c r="C778" s="10"/>
      <x:c r="D778" s="10"/>
      <x:c r="E778" s="10"/>
      <x:c r="F778" s="10"/>
      <x:c r="G778" s="10"/>
      <x:c r="H778" s="10"/>
    </x:row>
    <x:row r="779" ht="14.25" customHeight="1">
      <x:c r="A779" s="10"/>
      <x:c r="B779" s="10"/>
      <x:c r="C779" s="10"/>
      <x:c r="D779" s="10"/>
      <x:c r="E779" s="10"/>
      <x:c r="F779" s="10"/>
      <x:c r="G779" s="10"/>
      <x:c r="H779" s="10"/>
    </x:row>
    <x:row r="780" ht="14.25" customHeight="1">
      <x:c r="A780" s="10"/>
      <x:c r="B780" s="10"/>
      <x:c r="C780" s="10"/>
      <x:c r="D780" s="10"/>
      <x:c r="E780" s="10"/>
      <x:c r="F780" s="10"/>
      <x:c r="G780" s="10"/>
      <x:c r="H780" s="10"/>
    </x:row>
    <x:row r="781" ht="14.25" customHeight="1">
      <x:c r="A781" s="10"/>
      <x:c r="B781" s="10"/>
      <x:c r="C781" s="10"/>
      <x:c r="D781" s="10"/>
      <x:c r="E781" s="10"/>
      <x:c r="F781" s="10"/>
      <x:c r="G781" s="10"/>
      <x:c r="H781" s="10"/>
    </x:row>
    <x:row r="782" ht="14.25" customHeight="1">
      <x:c r="A782" s="10"/>
      <x:c r="B782" s="10"/>
      <x:c r="C782" s="10"/>
      <x:c r="D782" s="10"/>
      <x:c r="E782" s="10"/>
      <x:c r="F782" s="10"/>
      <x:c r="G782" s="10"/>
      <x:c r="H782" s="10"/>
    </x:row>
    <x:row r="783" ht="14.25" customHeight="1">
      <x:c r="A783" s="10"/>
      <x:c r="B783" s="10"/>
      <x:c r="C783" s="10"/>
      <x:c r="D783" s="10"/>
      <x:c r="E783" s="10"/>
      <x:c r="F783" s="10"/>
      <x:c r="G783" s="10"/>
      <x:c r="H783" s="10"/>
    </x:row>
    <x:row r="784" ht="14.25" customHeight="1">
      <x:c r="A784" s="10"/>
      <x:c r="B784" s="10"/>
      <x:c r="C784" s="10"/>
      <x:c r="D784" s="10"/>
      <x:c r="E784" s="10"/>
      <x:c r="F784" s="10"/>
      <x:c r="G784" s="10"/>
      <x:c r="H784" s="10"/>
    </x:row>
    <x:row r="785" ht="14.25" customHeight="1">
      <x:c r="A785" s="10"/>
      <x:c r="B785" s="10"/>
      <x:c r="C785" s="10"/>
      <x:c r="D785" s="10"/>
      <x:c r="E785" s="10"/>
      <x:c r="F785" s="10"/>
      <x:c r="G785" s="10"/>
      <x:c r="H785" s="10"/>
    </x:row>
    <x:row r="786" ht="14.25" customHeight="1">
      <x:c r="A786" s="10"/>
      <x:c r="B786" s="10"/>
      <x:c r="C786" s="10"/>
      <x:c r="D786" s="10"/>
      <x:c r="E786" s="10"/>
      <x:c r="F786" s="10"/>
      <x:c r="G786" s="10"/>
      <x:c r="H786" s="10"/>
    </x:row>
    <x:row r="787" ht="14.25" customHeight="1">
      <x:c r="A787" s="10"/>
      <x:c r="B787" s="10"/>
      <x:c r="C787" s="10"/>
      <x:c r="D787" s="10"/>
      <x:c r="E787" s="10"/>
      <x:c r="F787" s="10"/>
      <x:c r="G787" s="10"/>
      <x:c r="H787" s="10"/>
    </x:row>
    <x:row r="788" ht="14.25" customHeight="1">
      <x:c r="A788" s="10"/>
      <x:c r="B788" s="10"/>
      <x:c r="C788" s="10"/>
      <x:c r="D788" s="10"/>
      <x:c r="E788" s="10"/>
      <x:c r="F788" s="10"/>
      <x:c r="G788" s="10"/>
      <x:c r="H788" s="10"/>
    </x:row>
    <x:row r="789" ht="14.25" customHeight="1">
      <x:c r="A789" s="10"/>
      <x:c r="B789" s="10"/>
      <x:c r="C789" s="10"/>
      <x:c r="D789" s="10"/>
      <x:c r="E789" s="10"/>
      <x:c r="F789" s="10"/>
      <x:c r="G789" s="10"/>
      <x:c r="H789" s="10"/>
    </x:row>
    <x:row r="790" ht="14.25" customHeight="1">
      <x:c r="A790" s="10"/>
      <x:c r="B790" s="10"/>
      <x:c r="C790" s="10"/>
      <x:c r="D790" s="10"/>
      <x:c r="E790" s="10"/>
      <x:c r="F790" s="10"/>
      <x:c r="G790" s="10"/>
      <x:c r="H790" s="10"/>
    </x:row>
    <x:row r="791" ht="14.25" customHeight="1">
      <x:c r="A791" s="10"/>
      <x:c r="B791" s="10"/>
      <x:c r="C791" s="10"/>
      <x:c r="D791" s="10"/>
      <x:c r="E791" s="10"/>
      <x:c r="F791" s="10"/>
      <x:c r="G791" s="10"/>
      <x:c r="H791" s="10"/>
    </x:row>
    <x:row r="792" ht="14.25" customHeight="1">
      <x:c r="A792" s="10"/>
      <x:c r="B792" s="10"/>
      <x:c r="C792" s="10"/>
      <x:c r="D792" s="10"/>
      <x:c r="E792" s="10"/>
      <x:c r="F792" s="10"/>
      <x:c r="G792" s="10"/>
      <x:c r="H792" s="10"/>
    </x:row>
    <x:row r="793" ht="14.25" customHeight="1">
      <x:c r="A793" s="10"/>
      <x:c r="B793" s="10"/>
      <x:c r="C793" s="10"/>
      <x:c r="D793" s="10"/>
      <x:c r="E793" s="10"/>
      <x:c r="F793" s="10"/>
      <x:c r="G793" s="10"/>
      <x:c r="H793" s="10"/>
    </x:row>
    <x:row r="794" ht="14.25" customHeight="1">
      <x:c r="A794" s="10"/>
      <x:c r="B794" s="10"/>
      <x:c r="C794" s="10"/>
      <x:c r="D794" s="10"/>
      <x:c r="E794" s="10"/>
      <x:c r="F794" s="10"/>
      <x:c r="G794" s="10"/>
      <x:c r="H794" s="10"/>
    </x:row>
    <x:row r="795" ht="14.25" customHeight="1">
      <x:c r="A795" s="10"/>
      <x:c r="B795" s="10"/>
      <x:c r="C795" s="10"/>
      <x:c r="D795" s="10"/>
      <x:c r="E795" s="10"/>
      <x:c r="F795" s="10"/>
      <x:c r="G795" s="10"/>
      <x:c r="H795" s="10"/>
    </x:row>
    <x:row r="796" ht="14.25" customHeight="1">
      <x:c r="A796" s="10"/>
      <x:c r="B796" s="10"/>
      <x:c r="C796" s="10"/>
      <x:c r="D796" s="10"/>
      <x:c r="E796" s="10"/>
      <x:c r="F796" s="10"/>
      <x:c r="G796" s="10"/>
      <x:c r="H796" s="10"/>
    </x:row>
    <x:row r="797" ht="14.25" customHeight="1">
      <x:c r="A797" s="10"/>
      <x:c r="B797" s="10"/>
      <x:c r="C797" s="10"/>
      <x:c r="D797" s="10"/>
      <x:c r="E797" s="10"/>
      <x:c r="F797" s="10"/>
      <x:c r="G797" s="10"/>
      <x:c r="H797" s="10"/>
    </x:row>
    <x:row r="798" ht="14.25" customHeight="1">
      <x:c r="A798" s="10"/>
      <x:c r="B798" s="10"/>
      <x:c r="C798" s="10"/>
      <x:c r="D798" s="10"/>
      <x:c r="E798" s="10"/>
      <x:c r="F798" s="10"/>
      <x:c r="G798" s="10"/>
      <x:c r="H798" s="10"/>
    </x:row>
    <x:row r="799" ht="14.25" customHeight="1">
      <x:c r="A799" s="10"/>
      <x:c r="B799" s="10"/>
      <x:c r="C799" s="10"/>
      <x:c r="D799" s="10"/>
      <x:c r="E799" s="10"/>
      <x:c r="F799" s="10"/>
      <x:c r="G799" s="10"/>
      <x:c r="H799" s="10"/>
    </x:row>
    <x:row r="800" ht="14.25" customHeight="1">
      <x:c r="A800" s="10"/>
      <x:c r="B800" s="10"/>
      <x:c r="C800" s="10"/>
      <x:c r="D800" s="10"/>
      <x:c r="E800" s="10"/>
      <x:c r="F800" s="10"/>
      <x:c r="G800" s="10"/>
      <x:c r="H800" s="10"/>
    </x:row>
    <x:row r="801" ht="14.25" customHeight="1">
      <x:c r="A801" s="10"/>
      <x:c r="B801" s="10"/>
      <x:c r="C801" s="10"/>
      <x:c r="D801" s="10"/>
      <x:c r="E801" s="10"/>
      <x:c r="F801" s="10"/>
      <x:c r="G801" s="10"/>
      <x:c r="H801" s="10"/>
    </x:row>
    <x:row r="802" ht="14.25" customHeight="1">
      <x:c r="A802" s="10"/>
      <x:c r="B802" s="10"/>
      <x:c r="C802" s="10"/>
      <x:c r="D802" s="10"/>
      <x:c r="E802" s="10"/>
      <x:c r="F802" s="10"/>
      <x:c r="G802" s="10"/>
      <x:c r="H802" s="10"/>
    </x:row>
    <x:row r="803" ht="14.25" customHeight="1">
      <x:c r="A803" s="10"/>
      <x:c r="B803" s="10"/>
      <x:c r="C803" s="10"/>
      <x:c r="D803" s="10"/>
      <x:c r="E803" s="10"/>
      <x:c r="F803" s="10"/>
      <x:c r="G803" s="10"/>
      <x:c r="H803" s="10"/>
    </x:row>
    <x:row r="804" ht="14.25" customHeight="1">
      <x:c r="A804" s="10"/>
      <x:c r="B804" s="10"/>
      <x:c r="C804" s="10"/>
      <x:c r="D804" s="10"/>
      <x:c r="E804" s="10"/>
      <x:c r="F804" s="10"/>
      <x:c r="G804" s="10"/>
      <x:c r="H804" s="10"/>
    </x:row>
    <x:row r="805" ht="14.25" customHeight="1">
      <x:c r="A805" s="10"/>
      <x:c r="B805" s="10"/>
      <x:c r="C805" s="10"/>
      <x:c r="D805" s="10"/>
      <x:c r="E805" s="10"/>
      <x:c r="F805" s="10"/>
      <x:c r="G805" s="10"/>
      <x:c r="H805" s="10"/>
    </x:row>
    <x:row r="806" ht="14.25" customHeight="1">
      <x:c r="A806" s="10"/>
      <x:c r="B806" s="10"/>
      <x:c r="C806" s="10"/>
      <x:c r="D806" s="10"/>
      <x:c r="E806" s="10"/>
      <x:c r="F806" s="10"/>
      <x:c r="G806" s="10"/>
      <x:c r="H806" s="10"/>
    </x:row>
    <x:row r="807" ht="14.25" customHeight="1">
      <x:c r="A807" s="10"/>
      <x:c r="B807" s="10"/>
      <x:c r="C807" s="10"/>
      <x:c r="D807" s="10"/>
      <x:c r="E807" s="10"/>
      <x:c r="F807" s="10"/>
      <x:c r="G807" s="10"/>
      <x:c r="H807" s="10"/>
    </x:row>
    <x:row r="808" ht="14.25" customHeight="1">
      <x:c r="A808" s="10"/>
      <x:c r="B808" s="10"/>
      <x:c r="C808" s="10"/>
      <x:c r="D808" s="10"/>
      <x:c r="E808" s="10"/>
      <x:c r="F808" s="10"/>
      <x:c r="G808" s="10"/>
      <x:c r="H808" s="10"/>
    </x:row>
    <x:row r="809" ht="14.25" customHeight="1">
      <x:c r="A809" s="10"/>
      <x:c r="B809" s="10"/>
      <x:c r="C809" s="10"/>
      <x:c r="D809" s="10"/>
      <x:c r="E809" s="10"/>
      <x:c r="F809" s="10"/>
      <x:c r="G809" s="10"/>
      <x:c r="H809" s="10"/>
    </x:row>
    <x:row r="810" ht="14.25" customHeight="1">
      <x:c r="A810" s="10"/>
      <x:c r="B810" s="10"/>
      <x:c r="C810" s="10"/>
      <x:c r="D810" s="10"/>
      <x:c r="E810" s="10"/>
      <x:c r="F810" s="10"/>
      <x:c r="G810" s="10"/>
      <x:c r="H810" s="10"/>
    </x:row>
    <x:row r="811" ht="14.25" customHeight="1">
      <x:c r="A811" s="10"/>
      <x:c r="B811" s="10"/>
      <x:c r="C811" s="10"/>
      <x:c r="D811" s="10"/>
      <x:c r="E811" s="10"/>
      <x:c r="F811" s="10"/>
      <x:c r="G811" s="10"/>
      <x:c r="H811" s="10"/>
    </x:row>
    <x:row r="812" ht="14.25" customHeight="1">
      <x:c r="A812" s="10"/>
      <x:c r="B812" s="10"/>
      <x:c r="C812" s="10"/>
      <x:c r="D812" s="10"/>
      <x:c r="E812" s="10"/>
      <x:c r="F812" s="10"/>
      <x:c r="G812" s="10"/>
      <x:c r="H812" s="10"/>
    </x:row>
    <x:row r="813" ht="14.25" customHeight="1">
      <x:c r="A813" s="10"/>
      <x:c r="B813" s="10"/>
      <x:c r="C813" s="10"/>
      <x:c r="D813" s="10"/>
      <x:c r="E813" s="10"/>
      <x:c r="F813" s="10"/>
      <x:c r="G813" s="10"/>
      <x:c r="H813" s="10"/>
    </x:row>
    <x:row r="814" ht="14.25" customHeight="1">
      <x:c r="A814" s="10"/>
      <x:c r="B814" s="10"/>
      <x:c r="C814" s="10"/>
      <x:c r="D814" s="10"/>
      <x:c r="E814" s="10"/>
      <x:c r="F814" s="10"/>
      <x:c r="G814" s="10"/>
      <x:c r="H814" s="10"/>
    </x:row>
    <x:row r="815" ht="14.25" customHeight="1">
      <x:c r="A815" s="10"/>
      <x:c r="B815" s="10"/>
      <x:c r="C815" s="10"/>
      <x:c r="D815" s="10"/>
      <x:c r="E815" s="10"/>
      <x:c r="F815" s="10"/>
      <x:c r="G815" s="10"/>
      <x:c r="H815" s="10"/>
    </x:row>
    <x:row r="816" ht="14.25" customHeight="1">
      <x:c r="A816" s="10"/>
      <x:c r="B816" s="10"/>
      <x:c r="C816" s="10"/>
      <x:c r="D816" s="10"/>
      <x:c r="E816" s="10"/>
      <x:c r="F816" s="10"/>
      <x:c r="G816" s="10"/>
      <x:c r="H816" s="10"/>
    </x:row>
    <x:row r="817" ht="14.25" customHeight="1">
      <x:c r="A817" s="10"/>
      <x:c r="B817" s="10"/>
      <x:c r="C817" s="10"/>
      <x:c r="D817" s="10"/>
      <x:c r="E817" s="10"/>
      <x:c r="F817" s="10"/>
      <x:c r="G817" s="10"/>
      <x:c r="H817" s="10"/>
    </x:row>
    <x:row r="818" ht="14.25" customHeight="1">
      <x:c r="A818" s="10"/>
      <x:c r="B818" s="10"/>
      <x:c r="C818" s="10"/>
      <x:c r="D818" s="10"/>
      <x:c r="E818" s="10"/>
      <x:c r="F818" s="10"/>
      <x:c r="G818" s="10"/>
      <x:c r="H818" s="10"/>
    </x:row>
    <x:row r="819" ht="14.25" customHeight="1">
      <x:c r="A819" s="10"/>
      <x:c r="B819" s="10"/>
      <x:c r="C819" s="10"/>
      <x:c r="D819" s="10"/>
      <x:c r="E819" s="10"/>
      <x:c r="F819" s="10"/>
      <x:c r="G819" s="10"/>
      <x:c r="H819" s="10"/>
    </x:row>
    <x:row r="820" ht="14.25" customHeight="1">
      <x:c r="A820" s="10"/>
      <x:c r="B820" s="10"/>
      <x:c r="C820" s="10"/>
      <x:c r="D820" s="10"/>
      <x:c r="E820" s="10"/>
      <x:c r="F820" s="10"/>
      <x:c r="G820" s="10"/>
      <x:c r="H820" s="10"/>
    </x:row>
    <x:row r="821" ht="14.25" customHeight="1">
      <x:c r="A821" s="10"/>
      <x:c r="B821" s="10"/>
      <x:c r="C821" s="10"/>
      <x:c r="D821" s="10"/>
      <x:c r="E821" s="10"/>
      <x:c r="F821" s="10"/>
      <x:c r="G821" s="10"/>
      <x:c r="H821" s="10"/>
    </x:row>
    <x:row r="822" ht="14.25" customHeight="1">
      <x:c r="A822" s="10"/>
      <x:c r="B822" s="10"/>
      <x:c r="C822" s="10"/>
      <x:c r="D822" s="10"/>
      <x:c r="E822" s="10"/>
      <x:c r="F822" s="10"/>
      <x:c r="G822" s="10"/>
      <x:c r="H822" s="10"/>
    </x:row>
    <x:row r="823" ht="14.25" customHeight="1">
      <x:c r="A823" s="10"/>
      <x:c r="B823" s="10"/>
      <x:c r="C823" s="10"/>
      <x:c r="D823" s="10"/>
      <x:c r="E823" s="10"/>
      <x:c r="F823" s="10"/>
      <x:c r="G823" s="10"/>
      <x:c r="H823" s="10"/>
    </x:row>
    <x:row r="824" ht="14.25" customHeight="1">
      <x:c r="A824" s="10"/>
      <x:c r="B824" s="10"/>
      <x:c r="C824" s="10"/>
      <x:c r="D824" s="10"/>
      <x:c r="E824" s="10"/>
      <x:c r="F824" s="10"/>
      <x:c r="G824" s="10"/>
      <x:c r="H824" s="10"/>
    </x:row>
    <x:row r="825" ht="14.25" customHeight="1">
      <x:c r="A825" s="10"/>
      <x:c r="B825" s="10"/>
      <x:c r="C825" s="10"/>
      <x:c r="D825" s="10"/>
      <x:c r="E825" s="10"/>
      <x:c r="F825" s="10"/>
      <x:c r="G825" s="10"/>
      <x:c r="H825" s="10"/>
    </x:row>
    <x:row r="826" ht="14.25" customHeight="1">
      <x:c r="A826" s="10"/>
      <x:c r="B826" s="10"/>
      <x:c r="C826" s="10"/>
      <x:c r="D826" s="10"/>
      <x:c r="E826" s="10"/>
      <x:c r="F826" s="10"/>
      <x:c r="G826" s="10"/>
      <x:c r="H826" s="10"/>
    </x:row>
    <x:row r="827" ht="14.25" customHeight="1">
      <x:c r="A827" s="10"/>
      <x:c r="B827" s="10"/>
      <x:c r="C827" s="10"/>
      <x:c r="D827" s="10"/>
      <x:c r="E827" s="10"/>
      <x:c r="F827" s="10"/>
      <x:c r="G827" s="10"/>
      <x:c r="H827" s="10"/>
    </x:row>
    <x:row r="828" ht="14.25" customHeight="1">
      <x:c r="A828" s="10"/>
      <x:c r="B828" s="10"/>
      <x:c r="C828" s="10"/>
      <x:c r="D828" s="10"/>
      <x:c r="E828" s="10"/>
      <x:c r="F828" s="10"/>
      <x:c r="G828" s="10"/>
      <x:c r="H828" s="10"/>
    </x:row>
    <x:row r="829" ht="14.25" customHeight="1">
      <x:c r="A829" s="10"/>
      <x:c r="B829" s="10"/>
      <x:c r="C829" s="10"/>
      <x:c r="D829" s="10"/>
      <x:c r="E829" s="10"/>
      <x:c r="F829" s="10"/>
      <x:c r="G829" s="10"/>
      <x:c r="H829" s="10"/>
    </x:row>
    <x:row r="830" ht="14.25" customHeight="1">
      <x:c r="A830" s="10"/>
      <x:c r="B830" s="10"/>
      <x:c r="C830" s="10"/>
      <x:c r="D830" s="10"/>
      <x:c r="E830" s="10"/>
      <x:c r="F830" s="10"/>
      <x:c r="G830" s="10"/>
      <x:c r="H830" s="10"/>
    </x:row>
    <x:row r="831" ht="14.25" customHeight="1">
      <x:c r="A831" s="10"/>
      <x:c r="B831" s="10"/>
      <x:c r="C831" s="10"/>
      <x:c r="D831" s="10"/>
      <x:c r="E831" s="10"/>
      <x:c r="F831" s="10"/>
      <x:c r="G831" s="10"/>
      <x:c r="H831" s="10"/>
    </x:row>
    <x:row r="832" ht="14.25" customHeight="1">
      <x:c r="A832" s="10"/>
      <x:c r="B832" s="10"/>
      <x:c r="C832" s="10"/>
      <x:c r="D832" s="10"/>
      <x:c r="E832" s="10"/>
      <x:c r="F832" s="10"/>
      <x:c r="G832" s="10"/>
      <x:c r="H832" s="10"/>
    </x:row>
    <x:row r="833" ht="14.25" customHeight="1">
      <x:c r="A833" s="10"/>
      <x:c r="B833" s="10"/>
      <x:c r="C833" s="10"/>
      <x:c r="D833" s="10"/>
      <x:c r="E833" s="10"/>
      <x:c r="F833" s="10"/>
      <x:c r="G833" s="10"/>
      <x:c r="H833" s="10"/>
    </x:row>
    <x:row r="834" ht="14.25" customHeight="1">
      <x:c r="A834" s="10"/>
      <x:c r="B834" s="10"/>
      <x:c r="C834" s="10"/>
      <x:c r="D834" s="10"/>
      <x:c r="E834" s="10"/>
      <x:c r="F834" s="10"/>
      <x:c r="G834" s="10"/>
      <x:c r="H834" s="10"/>
    </x:row>
    <x:row r="835" ht="14.25" customHeight="1">
      <x:c r="A835" s="10"/>
      <x:c r="B835" s="10"/>
      <x:c r="C835" s="10"/>
      <x:c r="D835" s="10"/>
      <x:c r="E835" s="10"/>
      <x:c r="F835" s="10"/>
      <x:c r="G835" s="10"/>
      <x:c r="H835" s="10"/>
    </x:row>
    <x:row r="836" ht="14.25" customHeight="1">
      <x:c r="A836" s="10"/>
      <x:c r="B836" s="10"/>
      <x:c r="C836" s="10"/>
      <x:c r="D836" s="10"/>
      <x:c r="E836" s="10"/>
      <x:c r="F836" s="10"/>
      <x:c r="G836" s="10"/>
      <x:c r="H836" s="10"/>
    </x:row>
    <x:row r="837" ht="14.25" customHeight="1">
      <x:c r="A837" s="10"/>
      <x:c r="B837" s="10"/>
      <x:c r="C837" s="10"/>
      <x:c r="D837" s="10"/>
      <x:c r="E837" s="10"/>
      <x:c r="F837" s="10"/>
      <x:c r="G837" s="10"/>
      <x:c r="H837" s="10"/>
    </x:row>
    <x:row r="838" ht="14.25" customHeight="1">
      <x:c r="A838" s="10"/>
      <x:c r="B838" s="10"/>
      <x:c r="C838" s="10"/>
      <x:c r="D838" s="10"/>
      <x:c r="E838" s="10"/>
      <x:c r="F838" s="10"/>
      <x:c r="G838" s="10"/>
      <x:c r="H838" s="10"/>
    </x:row>
    <x:row r="839" ht="14.25" customHeight="1">
      <x:c r="A839" s="10"/>
      <x:c r="B839" s="10"/>
      <x:c r="C839" s="10"/>
      <x:c r="D839" s="10"/>
      <x:c r="E839" s="10"/>
      <x:c r="F839" s="10"/>
      <x:c r="G839" s="10"/>
      <x:c r="H839" s="10"/>
    </x:row>
    <x:row r="840" ht="14.25" customHeight="1">
      <x:c r="A840" s="10"/>
      <x:c r="B840" s="10"/>
      <x:c r="C840" s="10"/>
      <x:c r="D840" s="10"/>
      <x:c r="E840" s="10"/>
      <x:c r="F840" s="10"/>
      <x:c r="G840" s="10"/>
      <x:c r="H840" s="10"/>
    </x:row>
    <x:row r="841" ht="14.25" customHeight="1">
      <x:c r="A841" s="10"/>
      <x:c r="B841" s="10"/>
      <x:c r="C841" s="10"/>
      <x:c r="D841" s="10"/>
      <x:c r="E841" s="10"/>
      <x:c r="F841" s="10"/>
      <x:c r="G841" s="10"/>
      <x:c r="H841" s="10"/>
    </x:row>
    <x:row r="842" ht="14.25" customHeight="1">
      <x:c r="A842" s="10"/>
      <x:c r="B842" s="10"/>
      <x:c r="C842" s="10"/>
      <x:c r="D842" s="10"/>
      <x:c r="E842" s="10"/>
      <x:c r="F842" s="10"/>
      <x:c r="G842" s="10"/>
      <x:c r="H842" s="10"/>
    </x:row>
    <x:row r="843" ht="14.25" customHeight="1">
      <x:c r="A843" s="10"/>
      <x:c r="B843" s="10"/>
      <x:c r="C843" s="10"/>
      <x:c r="D843" s="10"/>
      <x:c r="E843" s="10"/>
      <x:c r="F843" s="10"/>
      <x:c r="G843" s="10"/>
      <x:c r="H843" s="10"/>
    </x:row>
    <x:row r="844" ht="14.25" customHeight="1">
      <x:c r="A844" s="10"/>
      <x:c r="B844" s="10"/>
      <x:c r="C844" s="10"/>
      <x:c r="D844" s="10"/>
      <x:c r="E844" s="10"/>
      <x:c r="F844" s="10"/>
      <x:c r="G844" s="10"/>
      <x:c r="H844" s="10"/>
    </x:row>
    <x:row r="845" ht="14.25" customHeight="1">
      <x:c r="A845" s="10"/>
      <x:c r="B845" s="10"/>
      <x:c r="C845" s="10"/>
      <x:c r="D845" s="10"/>
      <x:c r="E845" s="10"/>
      <x:c r="F845" s="10"/>
      <x:c r="G845" s="10"/>
      <x:c r="H845" s="10"/>
    </x:row>
    <x:row r="846" ht="14.25" customHeight="1">
      <x:c r="A846" s="10"/>
      <x:c r="B846" s="10"/>
      <x:c r="C846" s="10"/>
      <x:c r="D846" s="10"/>
      <x:c r="E846" s="10"/>
      <x:c r="F846" s="10"/>
      <x:c r="G846" s="10"/>
      <x:c r="H846" s="10"/>
    </x:row>
    <x:row r="847" ht="14.25" customHeight="1">
      <x:c r="A847" s="10"/>
      <x:c r="B847" s="10"/>
      <x:c r="C847" s="10"/>
      <x:c r="D847" s="10"/>
      <x:c r="E847" s="10"/>
      <x:c r="F847" s="10"/>
      <x:c r="G847" s="10"/>
      <x:c r="H847" s="10"/>
    </x:row>
    <x:row r="848" ht="14.25" customHeight="1">
      <x:c r="A848" s="10"/>
      <x:c r="B848" s="10"/>
      <x:c r="C848" s="10"/>
      <x:c r="D848" s="10"/>
      <x:c r="E848" s="10"/>
      <x:c r="F848" s="10"/>
      <x:c r="G848" s="10"/>
      <x:c r="H848" s="10"/>
    </x:row>
    <x:row r="849" ht="14.25" customHeight="1">
      <x:c r="A849" s="10"/>
      <x:c r="B849" s="10"/>
      <x:c r="C849" s="10"/>
      <x:c r="D849" s="10"/>
      <x:c r="E849" s="10"/>
      <x:c r="F849" s="10"/>
      <x:c r="G849" s="10"/>
      <x:c r="H849" s="10"/>
    </x:row>
    <x:row r="850" ht="14.25" customHeight="1">
      <x:c r="A850" s="10"/>
      <x:c r="B850" s="10"/>
      <x:c r="C850" s="10"/>
      <x:c r="D850" s="10"/>
      <x:c r="E850" s="10"/>
      <x:c r="F850" s="10"/>
      <x:c r="G850" s="10"/>
      <x:c r="H850" s="10"/>
    </x:row>
    <x:row r="851" ht="14.25" customHeight="1">
      <x:c r="A851" s="10"/>
      <x:c r="B851" s="10"/>
      <x:c r="C851" s="10"/>
      <x:c r="D851" s="10"/>
      <x:c r="E851" s="10"/>
      <x:c r="F851" s="10"/>
      <x:c r="G851" s="10"/>
      <x:c r="H851" s="10"/>
    </x:row>
    <x:row r="852" ht="14.25" customHeight="1">
      <x:c r="A852" s="10"/>
      <x:c r="B852" s="10"/>
      <x:c r="C852" s="10"/>
      <x:c r="D852" s="10"/>
      <x:c r="E852" s="10"/>
      <x:c r="F852" s="10"/>
      <x:c r="G852" s="10"/>
      <x:c r="H852" s="10"/>
    </x:row>
    <x:row r="853" ht="14.25" customHeight="1">
      <x:c r="A853" s="10"/>
      <x:c r="B853" s="10"/>
      <x:c r="C853" s="10"/>
      <x:c r="D853" s="10"/>
      <x:c r="E853" s="10"/>
      <x:c r="F853" s="10"/>
      <x:c r="G853" s="10"/>
      <x:c r="H853" s="10"/>
    </x:row>
    <x:row r="854" ht="14.25" customHeight="1">
      <x:c r="A854" s="10"/>
      <x:c r="B854" s="10"/>
      <x:c r="C854" s="10"/>
      <x:c r="D854" s="10"/>
      <x:c r="E854" s="10"/>
      <x:c r="F854" s="10"/>
      <x:c r="G854" s="10"/>
      <x:c r="H854" s="10"/>
    </x:row>
    <x:row r="855" ht="14.25" customHeight="1">
      <x:c r="A855" s="10"/>
      <x:c r="B855" s="10"/>
      <x:c r="C855" s="10"/>
      <x:c r="D855" s="10"/>
      <x:c r="E855" s="10"/>
      <x:c r="F855" s="10"/>
      <x:c r="G855" s="10"/>
      <x:c r="H855" s="10"/>
    </x:row>
    <x:row r="856" ht="14.25" customHeight="1">
      <x:c r="A856" s="10"/>
      <x:c r="B856" s="10"/>
      <x:c r="C856" s="10"/>
      <x:c r="D856" s="10"/>
      <x:c r="E856" s="10"/>
      <x:c r="F856" s="10"/>
      <x:c r="G856" s="10"/>
      <x:c r="H856" s="10"/>
    </x:row>
    <x:row r="857" ht="14.25" customHeight="1">
      <x:c r="A857" s="10"/>
      <x:c r="B857" s="10"/>
      <x:c r="C857" s="10"/>
      <x:c r="D857" s="10"/>
      <x:c r="E857" s="10"/>
      <x:c r="F857" s="10"/>
      <x:c r="G857" s="10"/>
      <x:c r="H857" s="10"/>
    </x:row>
    <x:row r="858" ht="14.25" customHeight="1">
      <x:c r="A858" s="10"/>
      <x:c r="B858" s="10"/>
      <x:c r="C858" s="10"/>
      <x:c r="D858" s="10"/>
      <x:c r="E858" s="10"/>
      <x:c r="F858" s="10"/>
      <x:c r="G858" s="10"/>
      <x:c r="H858" s="10"/>
    </x:row>
    <x:row r="859" ht="14.25" customHeight="1">
      <x:c r="A859" s="10"/>
      <x:c r="B859" s="10"/>
      <x:c r="C859" s="10"/>
      <x:c r="D859" s="10"/>
      <x:c r="E859" s="10"/>
      <x:c r="F859" s="10"/>
      <x:c r="G859" s="10"/>
      <x:c r="H859" s="10"/>
    </x:row>
    <x:row r="860" ht="14.25" customHeight="1">
      <x:c r="A860" s="10"/>
      <x:c r="B860" s="10"/>
      <x:c r="C860" s="10"/>
      <x:c r="D860" s="10"/>
      <x:c r="E860" s="10"/>
      <x:c r="F860" s="10"/>
      <x:c r="G860" s="10"/>
      <x:c r="H860" s="10"/>
    </x:row>
    <x:row r="861" ht="14.25" customHeight="1">
      <x:c r="A861" s="10"/>
      <x:c r="B861" s="10"/>
      <x:c r="C861" s="10"/>
      <x:c r="D861" s="10"/>
      <x:c r="E861" s="10"/>
      <x:c r="F861" s="10"/>
      <x:c r="G861" s="10"/>
      <x:c r="H861" s="10"/>
    </x:row>
    <x:row r="862" ht="14.25" customHeight="1">
      <x:c r="A862" s="10"/>
      <x:c r="B862" s="10"/>
      <x:c r="C862" s="10"/>
      <x:c r="D862" s="10"/>
      <x:c r="E862" s="10"/>
      <x:c r="F862" s="10"/>
      <x:c r="G862" s="10"/>
      <x:c r="H862" s="10"/>
    </x:row>
    <x:row r="863" ht="14.25" customHeight="1">
      <x:c r="A863" s="10"/>
      <x:c r="B863" s="10"/>
      <x:c r="C863" s="10"/>
      <x:c r="D863" s="10"/>
      <x:c r="E863" s="10"/>
      <x:c r="F863" s="10"/>
      <x:c r="G863" s="10"/>
      <x:c r="H863" s="10"/>
    </x:row>
    <x:row r="864" ht="14.25" customHeight="1">
      <x:c r="A864" s="10"/>
      <x:c r="B864" s="10"/>
      <x:c r="C864" s="10"/>
      <x:c r="D864" s="10"/>
      <x:c r="E864" s="10"/>
      <x:c r="F864" s="10"/>
      <x:c r="G864" s="10"/>
      <x:c r="H864" s="10"/>
    </x:row>
    <x:row r="865" ht="14.25" customHeight="1">
      <x:c r="A865" s="10"/>
      <x:c r="B865" s="10"/>
      <x:c r="C865" s="10"/>
      <x:c r="D865" s="10"/>
      <x:c r="E865" s="10"/>
      <x:c r="F865" s="10"/>
      <x:c r="G865" s="10"/>
      <x:c r="H865" s="10"/>
    </x:row>
    <x:row r="866" ht="14.25" customHeight="1">
      <x:c r="A866" s="10"/>
      <x:c r="B866" s="10"/>
      <x:c r="C866" s="10"/>
      <x:c r="D866" s="10"/>
      <x:c r="E866" s="10"/>
      <x:c r="F866" s="10"/>
      <x:c r="G866" s="10"/>
      <x:c r="H866" s="10"/>
    </x:row>
    <x:row r="867" ht="14.25" customHeight="1">
      <x:c r="A867" s="10"/>
      <x:c r="B867" s="10"/>
      <x:c r="C867" s="10"/>
      <x:c r="D867" s="10"/>
      <x:c r="E867" s="10"/>
      <x:c r="F867" s="10"/>
      <x:c r="G867" s="10"/>
      <x:c r="H867" s="10"/>
    </x:row>
    <x:row r="868" ht="14.25" customHeight="1">
      <x:c r="A868" s="10"/>
      <x:c r="B868" s="10"/>
      <x:c r="C868" s="10"/>
      <x:c r="D868" s="10"/>
      <x:c r="E868" s="10"/>
      <x:c r="F868" s="10"/>
      <x:c r="G868" s="10"/>
      <x:c r="H868" s="10"/>
    </x:row>
    <x:row r="869" ht="14.25" customHeight="1">
      <x:c r="A869" s="10"/>
      <x:c r="B869" s="10"/>
      <x:c r="C869" s="10"/>
      <x:c r="D869" s="10"/>
      <x:c r="E869" s="10"/>
      <x:c r="F869" s="10"/>
      <x:c r="G869" s="10"/>
      <x:c r="H869" s="10"/>
    </x:row>
    <x:row r="870" ht="14.25" customHeight="1">
      <x:c r="A870" s="10"/>
      <x:c r="B870" s="10"/>
      <x:c r="C870" s="10"/>
      <x:c r="D870" s="10"/>
      <x:c r="E870" s="10"/>
      <x:c r="F870" s="10"/>
      <x:c r="G870" s="10"/>
      <x:c r="H870" s="10"/>
    </x:row>
    <x:row r="871" ht="14.25" customHeight="1">
      <x:c r="A871" s="10"/>
      <x:c r="B871" s="10"/>
      <x:c r="C871" s="10"/>
      <x:c r="D871" s="10"/>
      <x:c r="E871" s="10"/>
      <x:c r="F871" s="10"/>
      <x:c r="G871" s="10"/>
      <x:c r="H871" s="10"/>
    </x:row>
    <x:row r="872" ht="14.25" customHeight="1">
      <x:c r="A872" s="10"/>
      <x:c r="B872" s="10"/>
      <x:c r="C872" s="10"/>
      <x:c r="D872" s="10"/>
      <x:c r="E872" s="10"/>
      <x:c r="F872" s="10"/>
      <x:c r="G872" s="10"/>
      <x:c r="H872" s="10"/>
    </x:row>
    <x:row r="873" ht="14.25" customHeight="1">
      <x:c r="A873" s="10"/>
      <x:c r="B873" s="10"/>
      <x:c r="C873" s="10"/>
      <x:c r="D873" s="10"/>
      <x:c r="E873" s="10"/>
      <x:c r="F873" s="10"/>
      <x:c r="G873" s="10"/>
      <x:c r="H873" s="10"/>
    </x:row>
    <x:row r="874" ht="14.25" customHeight="1">
      <x:c r="A874" s="10"/>
      <x:c r="B874" s="10"/>
      <x:c r="C874" s="10"/>
      <x:c r="D874" s="10"/>
      <x:c r="E874" s="10"/>
      <x:c r="F874" s="10"/>
      <x:c r="G874" s="10"/>
      <x:c r="H874" s="10"/>
    </x:row>
    <x:row r="875" ht="14.25" customHeight="1">
      <x:c r="A875" s="10"/>
      <x:c r="B875" s="10"/>
      <x:c r="C875" s="10"/>
      <x:c r="D875" s="10"/>
      <x:c r="E875" s="10"/>
      <x:c r="F875" s="10"/>
      <x:c r="G875" s="10"/>
      <x:c r="H875" s="10"/>
    </x:row>
    <x:row r="876" ht="14.25" customHeight="1">
      <x:c r="A876" s="10"/>
      <x:c r="B876" s="10"/>
      <x:c r="C876" s="10"/>
      <x:c r="D876" s="10"/>
      <x:c r="E876" s="10"/>
      <x:c r="F876" s="10"/>
      <x:c r="G876" s="10"/>
      <x:c r="H876" s="10"/>
    </x:row>
    <x:row r="877" ht="14.25" customHeight="1">
      <x:c r="A877" s="10"/>
      <x:c r="B877" s="10"/>
      <x:c r="C877" s="10"/>
      <x:c r="D877" s="10"/>
      <x:c r="E877" s="10"/>
      <x:c r="F877" s="10"/>
      <x:c r="G877" s="10"/>
      <x:c r="H877" s="10"/>
    </x:row>
    <x:row r="878" ht="14.25" customHeight="1">
      <x:c r="A878" s="10"/>
      <x:c r="B878" s="10"/>
      <x:c r="C878" s="10"/>
      <x:c r="D878" s="10"/>
      <x:c r="E878" s="10"/>
      <x:c r="F878" s="10"/>
      <x:c r="G878" s="10"/>
      <x:c r="H878" s="10"/>
    </x:row>
    <x:row r="879" ht="14.25" customHeight="1">
      <x:c r="A879" s="10"/>
      <x:c r="B879" s="10"/>
      <x:c r="C879" s="10"/>
      <x:c r="D879" s="10"/>
      <x:c r="E879" s="10"/>
      <x:c r="F879" s="10"/>
      <x:c r="G879" s="10"/>
      <x:c r="H879" s="10"/>
    </x:row>
    <x:row r="880" ht="14.25" customHeight="1">
      <x:c r="A880" s="10"/>
      <x:c r="B880" s="10"/>
      <x:c r="C880" s="10"/>
      <x:c r="D880" s="10"/>
      <x:c r="E880" s="10"/>
      <x:c r="F880" s="10"/>
      <x:c r="G880" s="10"/>
      <x:c r="H880" s="10"/>
    </x:row>
    <x:row r="881" ht="14.25" customHeight="1">
      <x:c r="A881" s="10"/>
      <x:c r="B881" s="10"/>
      <x:c r="C881" s="10"/>
      <x:c r="D881" s="10"/>
      <x:c r="E881" s="10"/>
      <x:c r="F881" s="10"/>
      <x:c r="G881" s="10"/>
      <x:c r="H881" s="10"/>
    </x:row>
    <x:row r="882" ht="14.25" customHeight="1">
      <x:c r="A882" s="10"/>
      <x:c r="B882" s="10"/>
      <x:c r="C882" s="10"/>
      <x:c r="D882" s="10"/>
      <x:c r="E882" s="10"/>
      <x:c r="F882" s="10"/>
      <x:c r="G882" s="10"/>
      <x:c r="H882" s="10"/>
    </x:row>
    <x:row r="883" ht="14.25" customHeight="1">
      <x:c r="A883" s="10"/>
      <x:c r="B883" s="10"/>
      <x:c r="C883" s="10"/>
      <x:c r="D883" s="10"/>
      <x:c r="E883" s="10"/>
      <x:c r="F883" s="10"/>
      <x:c r="G883" s="10"/>
      <x:c r="H883" s="10"/>
    </x:row>
    <x:row r="884" ht="14.25" customHeight="1">
      <x:c r="A884" s="10"/>
      <x:c r="B884" s="10"/>
      <x:c r="C884" s="10"/>
      <x:c r="D884" s="10"/>
      <x:c r="E884" s="10"/>
      <x:c r="F884" s="10"/>
      <x:c r="G884" s="10"/>
      <x:c r="H884" s="10"/>
    </x:row>
    <x:row r="885" ht="14.25" customHeight="1">
      <x:c r="A885" s="10"/>
      <x:c r="B885" s="10"/>
      <x:c r="C885" s="10"/>
      <x:c r="D885" s="10"/>
      <x:c r="E885" s="10"/>
      <x:c r="F885" s="10"/>
      <x:c r="G885" s="10"/>
      <x:c r="H885" s="10"/>
    </x:row>
    <x:row r="886" ht="14.25" customHeight="1">
      <x:c r="A886" s="10"/>
      <x:c r="B886" s="10"/>
      <x:c r="C886" s="10"/>
      <x:c r="D886" s="10"/>
      <x:c r="E886" s="10"/>
      <x:c r="F886" s="10"/>
      <x:c r="G886" s="10"/>
      <x:c r="H886" s="10"/>
    </x:row>
    <x:row r="887" ht="14.25" customHeight="1">
      <x:c r="A887" s="10"/>
      <x:c r="B887" s="10"/>
      <x:c r="C887" s="10"/>
      <x:c r="D887" s="10"/>
      <x:c r="E887" s="10"/>
      <x:c r="F887" s="10"/>
      <x:c r="G887" s="10"/>
      <x:c r="H887" s="10"/>
    </x:row>
    <x:row r="888" ht="14.25" customHeight="1">
      <x:c r="A888" s="10"/>
      <x:c r="B888" s="10"/>
      <x:c r="C888" s="10"/>
      <x:c r="D888" s="10"/>
      <x:c r="E888" s="10"/>
      <x:c r="F888" s="10"/>
      <x:c r="G888" s="10"/>
      <x:c r="H888" s="10"/>
    </x:row>
    <x:row r="889" ht="14.25" customHeight="1">
      <x:c r="A889" s="10"/>
      <x:c r="B889" s="10"/>
      <x:c r="C889" s="10"/>
      <x:c r="D889" s="10"/>
      <x:c r="E889" s="10"/>
      <x:c r="F889" s="10"/>
      <x:c r="G889" s="10"/>
      <x:c r="H889" s="10"/>
    </x:row>
    <x:row r="890" ht="14.25" customHeight="1">
      <x:c r="A890" s="10"/>
      <x:c r="B890" s="10"/>
      <x:c r="C890" s="10"/>
      <x:c r="D890" s="10"/>
      <x:c r="E890" s="10"/>
      <x:c r="F890" s="10"/>
      <x:c r="G890" s="10"/>
      <x:c r="H890" s="10"/>
    </x:row>
    <x:row r="891" ht="14.25" customHeight="1">
      <x:c r="A891" s="10"/>
      <x:c r="B891" s="10"/>
      <x:c r="C891" s="10"/>
      <x:c r="D891" s="10"/>
      <x:c r="E891" s="10"/>
      <x:c r="F891" s="10"/>
      <x:c r="G891" s="10"/>
      <x:c r="H891" s="10"/>
    </x:row>
    <x:row r="892" ht="14.25" customHeight="1">
      <x:c r="A892" s="10"/>
      <x:c r="B892" s="10"/>
      <x:c r="C892" s="10"/>
      <x:c r="D892" s="10"/>
      <x:c r="E892" s="10"/>
      <x:c r="F892" s="10"/>
      <x:c r="G892" s="10"/>
      <x:c r="H892" s="10"/>
    </x:row>
    <x:row r="893" ht="14.25" customHeight="1">
      <x:c r="A893" s="10"/>
      <x:c r="B893" s="10"/>
      <x:c r="C893" s="10"/>
      <x:c r="D893" s="10"/>
      <x:c r="E893" s="10"/>
      <x:c r="F893" s="10"/>
      <x:c r="G893" s="10"/>
      <x:c r="H893" s="10"/>
    </x:row>
    <x:row r="894" ht="14.25" customHeight="1">
      <x:c r="A894" s="10"/>
      <x:c r="B894" s="10"/>
      <x:c r="C894" s="10"/>
      <x:c r="D894" s="10"/>
      <x:c r="E894" s="10"/>
      <x:c r="F894" s="10"/>
      <x:c r="G894" s="10"/>
      <x:c r="H894" s="10"/>
    </x:row>
    <x:row r="895" ht="14.25" customHeight="1">
      <x:c r="A895" s="10"/>
      <x:c r="B895" s="10"/>
      <x:c r="C895" s="10"/>
      <x:c r="D895" s="10"/>
      <x:c r="E895" s="10"/>
      <x:c r="F895" s="10"/>
      <x:c r="G895" s="10"/>
      <x:c r="H895" s="10"/>
    </x:row>
    <x:row r="896" ht="14.25" customHeight="1">
      <x:c r="A896" s="10"/>
      <x:c r="B896" s="10"/>
      <x:c r="C896" s="10"/>
      <x:c r="D896" s="10"/>
      <x:c r="E896" s="10"/>
      <x:c r="F896" s="10"/>
      <x:c r="G896" s="10"/>
      <x:c r="H896" s="10"/>
    </x:row>
    <x:row r="897" ht="14.25" customHeight="1">
      <x:c r="A897" s="10"/>
      <x:c r="B897" s="10"/>
      <x:c r="C897" s="10"/>
      <x:c r="D897" s="10"/>
      <x:c r="E897" s="10"/>
      <x:c r="F897" s="10"/>
      <x:c r="G897" s="10"/>
      <x:c r="H897" s="10"/>
    </x:row>
    <x:row r="898" ht="14.25" customHeight="1">
      <x:c r="A898" s="10"/>
      <x:c r="B898" s="10"/>
      <x:c r="C898" s="10"/>
      <x:c r="D898" s="10"/>
      <x:c r="E898" s="10"/>
      <x:c r="F898" s="10"/>
      <x:c r="G898" s="10"/>
      <x:c r="H898" s="10"/>
    </x:row>
    <x:row r="899" ht="14.25" customHeight="1">
      <x:c r="A899" s="10"/>
      <x:c r="B899" s="10"/>
      <x:c r="C899" s="10"/>
      <x:c r="D899" s="10"/>
      <x:c r="E899" s="10"/>
      <x:c r="F899" s="10"/>
      <x:c r="G899" s="10"/>
      <x:c r="H899" s="10"/>
    </x:row>
    <x:row r="900" ht="14.25" customHeight="1">
      <x:c r="A900" s="10"/>
      <x:c r="B900" s="10"/>
      <x:c r="C900" s="10"/>
      <x:c r="D900" s="10"/>
      <x:c r="E900" s="10"/>
      <x:c r="F900" s="10"/>
      <x:c r="G900" s="10"/>
      <x:c r="H900" s="10"/>
    </x:row>
    <x:row r="901" ht="14.25" customHeight="1">
      <x:c r="A901" s="10"/>
      <x:c r="B901" s="10"/>
      <x:c r="C901" s="10"/>
      <x:c r="D901" s="10"/>
      <x:c r="E901" s="10"/>
      <x:c r="F901" s="10"/>
      <x:c r="G901" s="10"/>
      <x:c r="H901" s="10"/>
    </x:row>
    <x:row r="902" ht="14.25" customHeight="1">
      <x:c r="A902" s="10"/>
      <x:c r="B902" s="10"/>
      <x:c r="C902" s="10"/>
      <x:c r="D902" s="10"/>
      <x:c r="E902" s="10"/>
      <x:c r="F902" s="10"/>
      <x:c r="G902" s="10"/>
      <x:c r="H902" s="10"/>
    </x:row>
    <x:row r="903" ht="14.25" customHeight="1">
      <x:c r="A903" s="10"/>
      <x:c r="B903" s="10"/>
      <x:c r="C903" s="10"/>
      <x:c r="D903" s="10"/>
      <x:c r="E903" s="10"/>
      <x:c r="F903" s="10"/>
      <x:c r="G903" s="10"/>
      <x:c r="H903" s="10"/>
    </x:row>
    <x:row r="904" ht="14.25" customHeight="1">
      <x:c r="A904" s="10"/>
      <x:c r="B904" s="10"/>
      <x:c r="C904" s="10"/>
      <x:c r="D904" s="10"/>
      <x:c r="E904" s="10"/>
      <x:c r="F904" s="10"/>
      <x:c r="G904" s="10"/>
      <x:c r="H904" s="10"/>
    </x:row>
    <x:row r="905" ht="14.25" customHeight="1">
      <x:c r="A905" s="10"/>
      <x:c r="B905" s="10"/>
      <x:c r="C905" s="10"/>
      <x:c r="D905" s="10"/>
      <x:c r="E905" s="10"/>
      <x:c r="F905" s="10"/>
      <x:c r="G905" s="10"/>
      <x:c r="H905" s="10"/>
    </x:row>
    <x:row r="906" ht="14.25" customHeight="1">
      <x:c r="A906" s="10"/>
      <x:c r="B906" s="10"/>
      <x:c r="C906" s="10"/>
      <x:c r="D906" s="10"/>
      <x:c r="E906" s="10"/>
      <x:c r="F906" s="10"/>
      <x:c r="G906" s="10"/>
      <x:c r="H906" s="10"/>
    </x:row>
    <x:row r="907" ht="14.25" customHeight="1">
      <x:c r="A907" s="10"/>
      <x:c r="B907" s="10"/>
      <x:c r="C907" s="10"/>
      <x:c r="D907" s="10"/>
      <x:c r="E907" s="10"/>
      <x:c r="F907" s="10"/>
      <x:c r="G907" s="10"/>
      <x:c r="H907" s="10"/>
    </x:row>
    <x:row r="908" ht="14.25" customHeight="1">
      <x:c r="A908" s="10"/>
      <x:c r="B908" s="10"/>
      <x:c r="C908" s="10"/>
      <x:c r="D908" s="10"/>
      <x:c r="E908" s="10"/>
      <x:c r="F908" s="10"/>
      <x:c r="G908" s="10"/>
      <x:c r="H908" s="10"/>
    </x:row>
    <x:row r="909" ht="14.25" customHeight="1">
      <x:c r="A909" s="10"/>
      <x:c r="B909" s="10"/>
      <x:c r="C909" s="10"/>
      <x:c r="D909" s="10"/>
      <x:c r="E909" s="10"/>
      <x:c r="F909" s="10"/>
      <x:c r="G909" s="10"/>
      <x:c r="H909" s="10"/>
    </x:row>
    <x:row r="910" ht="14.25" customHeight="1">
      <x:c r="A910" s="10"/>
      <x:c r="B910" s="10"/>
      <x:c r="C910" s="10"/>
      <x:c r="D910" s="10"/>
      <x:c r="E910" s="10"/>
      <x:c r="F910" s="10"/>
      <x:c r="G910" s="10"/>
      <x:c r="H910" s="10"/>
    </x:row>
    <x:row r="911" ht="14.25" customHeight="1">
      <x:c r="A911" s="10"/>
      <x:c r="B911" s="10"/>
      <x:c r="C911" s="10"/>
      <x:c r="D911" s="10"/>
      <x:c r="E911" s="10"/>
      <x:c r="F911" s="10"/>
      <x:c r="G911" s="10"/>
      <x:c r="H911" s="10"/>
    </x:row>
    <x:row r="912" ht="14.25" customHeight="1">
      <x:c r="A912" s="10"/>
      <x:c r="B912" s="10"/>
      <x:c r="C912" s="10"/>
      <x:c r="D912" s="10"/>
      <x:c r="E912" s="10"/>
      <x:c r="F912" s="10"/>
      <x:c r="G912" s="10"/>
      <x:c r="H912" s="10"/>
    </x:row>
    <x:row r="913" ht="14.25" customHeight="1">
      <x:c r="A913" s="10"/>
      <x:c r="B913" s="10"/>
      <x:c r="C913" s="10"/>
      <x:c r="D913" s="10"/>
      <x:c r="E913" s="10"/>
      <x:c r="F913" s="10"/>
      <x:c r="G913" s="10"/>
      <x:c r="H913" s="10"/>
    </x:row>
    <x:row r="914" ht="14.25" customHeight="1">
      <x:c r="A914" s="10"/>
      <x:c r="B914" s="10"/>
      <x:c r="C914" s="10"/>
      <x:c r="D914" s="10"/>
      <x:c r="E914" s="10"/>
      <x:c r="F914" s="10"/>
      <x:c r="G914" s="10"/>
      <x:c r="H914" s="10"/>
    </x:row>
    <x:row r="915" ht="14.25" customHeight="1">
      <x:c r="A915" s="10"/>
      <x:c r="B915" s="10"/>
      <x:c r="C915" s="10"/>
      <x:c r="D915" s="10"/>
      <x:c r="E915" s="10"/>
      <x:c r="F915" s="10"/>
      <x:c r="G915" s="10"/>
      <x:c r="H915" s="10"/>
    </x:row>
    <x:row r="916" ht="14.25" customHeight="1">
      <x:c r="A916" s="10"/>
      <x:c r="B916" s="10"/>
      <x:c r="C916" s="10"/>
      <x:c r="D916" s="10"/>
      <x:c r="E916" s="10"/>
      <x:c r="F916" s="10"/>
      <x:c r="G916" s="10"/>
      <x:c r="H916" s="10"/>
    </x:row>
    <x:row r="917" ht="14.25" customHeight="1">
      <x:c r="A917" s="10"/>
      <x:c r="B917" s="10"/>
      <x:c r="C917" s="10"/>
      <x:c r="D917" s="10"/>
      <x:c r="E917" s="10"/>
      <x:c r="F917" s="10"/>
      <x:c r="G917" s="10"/>
      <x:c r="H917" s="10"/>
    </x:row>
    <x:row r="918" ht="14.25" customHeight="1">
      <x:c r="A918" s="10"/>
      <x:c r="B918" s="10"/>
      <x:c r="C918" s="10"/>
      <x:c r="D918" s="10"/>
      <x:c r="E918" s="10"/>
      <x:c r="F918" s="10"/>
      <x:c r="G918" s="10"/>
      <x:c r="H918" s="10"/>
    </x:row>
    <x:row r="919" ht="14.25" customHeight="1">
      <x:c r="A919" s="10"/>
      <x:c r="B919" s="10"/>
      <x:c r="C919" s="10"/>
      <x:c r="D919" s="10"/>
      <x:c r="E919" s="10"/>
      <x:c r="F919" s="10"/>
      <x:c r="G919" s="10"/>
      <x:c r="H919" s="10"/>
    </x:row>
    <x:row r="920" ht="14.25" customHeight="1">
      <x:c r="A920" s="10"/>
      <x:c r="B920" s="10"/>
      <x:c r="C920" s="10"/>
      <x:c r="D920" s="10"/>
      <x:c r="E920" s="10"/>
      <x:c r="F920" s="10"/>
      <x:c r="G920" s="10"/>
      <x:c r="H920" s="10"/>
    </x:row>
    <x:row r="921" ht="14.25" customHeight="1">
      <x:c r="A921" s="10"/>
      <x:c r="B921" s="10"/>
      <x:c r="C921" s="10"/>
      <x:c r="D921" s="10"/>
      <x:c r="E921" s="10"/>
      <x:c r="F921" s="10"/>
      <x:c r="G921" s="10"/>
      <x:c r="H921" s="10"/>
    </x:row>
    <x:row r="922" ht="14.25" customHeight="1">
      <x:c r="A922" s="10"/>
      <x:c r="B922" s="10"/>
      <x:c r="C922" s="10"/>
      <x:c r="D922" s="10"/>
      <x:c r="E922" s="10"/>
      <x:c r="F922" s="10"/>
      <x:c r="G922" s="10"/>
      <x:c r="H922" s="10"/>
    </x:row>
    <x:row r="923" ht="14.25" customHeight="1">
      <x:c r="A923" s="10"/>
      <x:c r="B923" s="10"/>
      <x:c r="C923" s="10"/>
      <x:c r="D923" s="10"/>
      <x:c r="E923" s="10"/>
      <x:c r="F923" s="10"/>
      <x:c r="G923" s="10"/>
      <x:c r="H923" s="10"/>
    </x:row>
    <x:row r="924" ht="14.25" customHeight="1">
      <x:c r="A924" s="10"/>
      <x:c r="B924" s="10"/>
      <x:c r="C924" s="10"/>
      <x:c r="D924" s="10"/>
      <x:c r="E924" s="10"/>
      <x:c r="F924" s="10"/>
      <x:c r="G924" s="10"/>
      <x:c r="H924" s="10"/>
    </x:row>
    <x:row r="925" ht="14.25" customHeight="1">
      <x:c r="A925" s="10"/>
      <x:c r="B925" s="10"/>
      <x:c r="C925" s="10"/>
      <x:c r="D925" s="10"/>
      <x:c r="E925" s="10"/>
      <x:c r="F925" s="10"/>
      <x:c r="G925" s="10"/>
      <x:c r="H925" s="10"/>
    </x:row>
    <x:row r="926" ht="14.25" customHeight="1">
      <x:c r="A926" s="10"/>
      <x:c r="B926" s="10"/>
      <x:c r="C926" s="10"/>
      <x:c r="D926" s="10"/>
      <x:c r="E926" s="10"/>
      <x:c r="F926" s="10"/>
      <x:c r="G926" s="10"/>
      <x:c r="H926" s="10"/>
    </x:row>
    <x:row r="927" ht="14.25" customHeight="1">
      <x:c r="A927" s="10"/>
      <x:c r="B927" s="10"/>
      <x:c r="C927" s="10"/>
      <x:c r="D927" s="10"/>
      <x:c r="E927" s="10"/>
      <x:c r="F927" s="10"/>
      <x:c r="G927" s="10"/>
      <x:c r="H927" s="10"/>
    </x:row>
    <x:row r="928" ht="14.25" customHeight="1">
      <x:c r="A928" s="10"/>
      <x:c r="B928" s="10"/>
      <x:c r="C928" s="10"/>
      <x:c r="D928" s="10"/>
      <x:c r="E928" s="10"/>
      <x:c r="F928" s="10"/>
      <x:c r="G928" s="10"/>
      <x:c r="H928" s="10"/>
    </x:row>
    <x:row r="929" ht="14.25" customHeight="1">
      <x:c r="A929" s="10"/>
      <x:c r="B929" s="10"/>
      <x:c r="C929" s="10"/>
      <x:c r="D929" s="10"/>
      <x:c r="E929" s="10"/>
      <x:c r="F929" s="10"/>
      <x:c r="G929" s="10"/>
      <x:c r="H929" s="10"/>
    </x:row>
    <x:row r="930" ht="14.25" customHeight="1">
      <x:c r="A930" s="10"/>
      <x:c r="B930" s="10"/>
      <x:c r="C930" s="10"/>
      <x:c r="D930" s="10"/>
      <x:c r="E930" s="10"/>
      <x:c r="F930" s="10"/>
      <x:c r="G930" s="10"/>
      <x:c r="H930" s="10"/>
    </x:row>
    <x:row r="931" ht="14.25" customHeight="1">
      <x:c r="A931" s="10"/>
      <x:c r="B931" s="10"/>
      <x:c r="C931" s="10"/>
      <x:c r="D931" s="10"/>
      <x:c r="E931" s="10"/>
      <x:c r="F931" s="10"/>
      <x:c r="G931" s="10"/>
      <x:c r="H931" s="10"/>
    </x:row>
    <x:row r="932" ht="14.25" customHeight="1">
      <x:c r="A932" s="10"/>
      <x:c r="B932" s="10"/>
      <x:c r="C932" s="10"/>
      <x:c r="D932" s="10"/>
      <x:c r="E932" s="10"/>
      <x:c r="F932" s="10"/>
      <x:c r="G932" s="10"/>
      <x:c r="H932" s="10"/>
    </x:row>
    <x:row r="933" ht="14.25" customHeight="1">
      <x:c r="A933" s="10"/>
      <x:c r="B933" s="10"/>
      <x:c r="C933" s="10"/>
      <x:c r="D933" s="10"/>
      <x:c r="E933" s="10"/>
      <x:c r="F933" s="10"/>
      <x:c r="G933" s="10"/>
      <x:c r="H933" s="10"/>
    </x:row>
    <x:row r="934" ht="14.25" customHeight="1">
      <x:c r="A934" s="10"/>
      <x:c r="B934" s="10"/>
      <x:c r="C934" s="10"/>
      <x:c r="D934" s="10"/>
      <x:c r="E934" s="10"/>
      <x:c r="F934" s="10"/>
      <x:c r="G934" s="10"/>
      <x:c r="H934" s="10"/>
    </x:row>
    <x:row r="935" ht="14.25" customHeight="1">
      <x:c r="A935" s="10"/>
      <x:c r="B935" s="10"/>
      <x:c r="C935" s="10"/>
      <x:c r="D935" s="10"/>
      <x:c r="E935" s="10"/>
      <x:c r="F935" s="10"/>
      <x:c r="G935" s="10"/>
      <x:c r="H935" s="10"/>
    </x:row>
    <x:row r="936" ht="14.25" customHeight="1">
      <x:c r="A936" s="10"/>
      <x:c r="B936" s="10"/>
      <x:c r="C936" s="10"/>
      <x:c r="D936" s="10"/>
      <x:c r="E936" s="10"/>
      <x:c r="F936" s="10"/>
      <x:c r="G936" s="10"/>
      <x:c r="H936" s="10"/>
    </x:row>
    <x:row r="937" ht="14.25" customHeight="1">
      <x:c r="A937" s="10"/>
      <x:c r="B937" s="10"/>
      <x:c r="C937" s="10"/>
      <x:c r="D937" s="10"/>
      <x:c r="E937" s="10"/>
      <x:c r="F937" s="10"/>
      <x:c r="G937" s="10"/>
      <x:c r="H937" s="10"/>
    </x:row>
    <x:row r="938" ht="14.25" customHeight="1">
      <x:c r="A938" s="10"/>
      <x:c r="B938" s="10"/>
      <x:c r="C938" s="10"/>
      <x:c r="D938" s="10"/>
      <x:c r="E938" s="10"/>
      <x:c r="F938" s="10"/>
      <x:c r="G938" s="10"/>
      <x:c r="H938" s="10"/>
    </x:row>
    <x:row r="939" ht="14.25" customHeight="1">
      <x:c r="A939" s="10"/>
      <x:c r="B939" s="10"/>
      <x:c r="C939" s="10"/>
      <x:c r="D939" s="10"/>
      <x:c r="E939" s="10"/>
      <x:c r="F939" s="10"/>
      <x:c r="G939" s="10"/>
      <x:c r="H939" s="10"/>
    </x:row>
    <x:row r="940" ht="14.25" customHeight="1">
      <x:c r="A940" s="10"/>
      <x:c r="B940" s="10"/>
      <x:c r="C940" s="10"/>
      <x:c r="D940" s="10"/>
      <x:c r="E940" s="10"/>
      <x:c r="F940" s="10"/>
      <x:c r="G940" s="10"/>
      <x:c r="H940" s="10"/>
    </x:row>
    <x:row r="941" ht="14.25" customHeight="1">
      <x:c r="A941" s="10"/>
      <x:c r="B941" s="10"/>
      <x:c r="C941" s="10"/>
      <x:c r="D941" s="10"/>
      <x:c r="E941" s="10"/>
      <x:c r="F941" s="10"/>
      <x:c r="G941" s="10"/>
      <x:c r="H941" s="10"/>
    </x:row>
    <x:row r="942" ht="14.25" customHeight="1">
      <x:c r="A942" s="10"/>
      <x:c r="B942" s="10"/>
      <x:c r="C942" s="10"/>
      <x:c r="D942" s="10"/>
      <x:c r="E942" s="10"/>
      <x:c r="F942" s="10"/>
      <x:c r="G942" s="10"/>
      <x:c r="H942" s="10"/>
    </x:row>
    <x:row r="943" ht="14.25" customHeight="1">
      <x:c r="A943" s="10"/>
      <x:c r="B943" s="10"/>
      <x:c r="C943" s="10"/>
      <x:c r="D943" s="10"/>
      <x:c r="E943" s="10"/>
      <x:c r="F943" s="10"/>
      <x:c r="G943" s="10"/>
      <x:c r="H943" s="10"/>
    </x:row>
    <x:row r="944" ht="14.25" customHeight="1">
      <x:c r="A944" s="10"/>
      <x:c r="B944" s="10"/>
      <x:c r="C944" s="10"/>
      <x:c r="D944" s="10"/>
      <x:c r="E944" s="10"/>
      <x:c r="F944" s="10"/>
      <x:c r="G944" s="10"/>
      <x:c r="H944" s="10"/>
    </x:row>
    <x:row r="945" ht="14.25" customHeight="1">
      <x:c r="A945" s="10"/>
      <x:c r="B945" s="10"/>
      <x:c r="C945" s="10"/>
      <x:c r="D945" s="10"/>
      <x:c r="E945" s="10"/>
      <x:c r="F945" s="10"/>
      <x:c r="G945" s="10"/>
      <x:c r="H945" s="10"/>
    </x:row>
    <x:row r="946" ht="14.25" customHeight="1">
      <x:c r="A946" s="10"/>
      <x:c r="B946" s="10"/>
      <x:c r="C946" s="10"/>
      <x:c r="D946" s="10"/>
      <x:c r="E946" s="10"/>
      <x:c r="F946" s="10"/>
      <x:c r="G946" s="10"/>
      <x:c r="H946" s="10"/>
    </x:row>
    <x:row r="947" ht="14.25" customHeight="1">
      <x:c r="A947" s="10"/>
      <x:c r="B947" s="10"/>
      <x:c r="C947" s="10"/>
      <x:c r="D947" s="10"/>
      <x:c r="E947" s="10"/>
      <x:c r="F947" s="10"/>
      <x:c r="G947" s="10"/>
      <x:c r="H947" s="10"/>
    </x:row>
    <x:row r="948" ht="14.25" customHeight="1">
      <x:c r="A948" s="10"/>
      <x:c r="B948" s="10"/>
      <x:c r="C948" s="10"/>
      <x:c r="D948" s="10"/>
      <x:c r="E948" s="10"/>
      <x:c r="F948" s="10"/>
      <x:c r="G948" s="10"/>
      <x:c r="H948" s="10"/>
    </x:row>
    <x:row r="949" ht="14.25" customHeight="1">
      <x:c r="A949" s="10"/>
      <x:c r="B949" s="10"/>
      <x:c r="C949" s="10"/>
      <x:c r="D949" s="10"/>
      <x:c r="E949" s="10"/>
      <x:c r="F949" s="10"/>
      <x:c r="G949" s="10"/>
      <x:c r="H949" s="10"/>
    </x:row>
    <x:row r="950" ht="14.25" customHeight="1">
      <x:c r="A950" s="10"/>
      <x:c r="B950" s="10"/>
      <x:c r="C950" s="10"/>
      <x:c r="D950" s="10"/>
      <x:c r="E950" s="10"/>
      <x:c r="F950" s="10"/>
      <x:c r="G950" s="10"/>
      <x:c r="H950" s="10"/>
    </x:row>
    <x:row r="951" ht="14.25" customHeight="1">
      <x:c r="A951" s="10"/>
      <x:c r="B951" s="10"/>
      <x:c r="C951" s="10"/>
      <x:c r="D951" s="10"/>
      <x:c r="E951" s="10"/>
      <x:c r="F951" s="10"/>
      <x:c r="G951" s="10"/>
      <x:c r="H951" s="10"/>
    </x:row>
    <x:row r="952" ht="14.25" customHeight="1">
      <x:c r="A952" s="10"/>
      <x:c r="B952" s="10"/>
      <x:c r="C952" s="10"/>
      <x:c r="D952" s="10"/>
      <x:c r="E952" s="10"/>
      <x:c r="F952" s="10"/>
      <x:c r="G952" s="10"/>
      <x:c r="H952" s="10"/>
    </x:row>
    <x:row r="953" ht="14.25" customHeight="1">
      <x:c r="A953" s="10"/>
      <x:c r="B953" s="10"/>
      <x:c r="C953" s="10"/>
      <x:c r="D953" s="10"/>
      <x:c r="E953" s="10"/>
      <x:c r="F953" s="10"/>
      <x:c r="G953" s="10"/>
      <x:c r="H953" s="10"/>
    </x:row>
    <x:row r="954" ht="14.25" customHeight="1">
      <x:c r="A954" s="10"/>
      <x:c r="B954" s="10"/>
      <x:c r="C954" s="10"/>
      <x:c r="D954" s="10"/>
      <x:c r="E954" s="10"/>
      <x:c r="F954" s="10"/>
      <x:c r="G954" s="10"/>
      <x:c r="H954" s="10"/>
    </x:row>
    <x:row r="955" ht="14.25" customHeight="1">
      <x:c r="A955" s="10"/>
      <x:c r="B955" s="10"/>
      <x:c r="C955" s="10"/>
      <x:c r="D955" s="10"/>
      <x:c r="E955" s="10"/>
      <x:c r="F955" s="10"/>
      <x:c r="G955" s="10"/>
      <x:c r="H955" s="10"/>
    </x:row>
    <x:row r="956" ht="14.25" customHeight="1">
      <x:c r="A956" s="10"/>
      <x:c r="B956" s="10"/>
      <x:c r="C956" s="10"/>
      <x:c r="D956" s="10"/>
      <x:c r="E956" s="10"/>
      <x:c r="F956" s="10"/>
      <x:c r="G956" s="10"/>
      <x:c r="H956" s="10"/>
    </x:row>
    <x:row r="957" ht="14.25" customHeight="1">
      <x:c r="A957" s="10"/>
      <x:c r="B957" s="10"/>
      <x:c r="C957" s="10"/>
      <x:c r="D957" s="10"/>
      <x:c r="E957" s="10"/>
      <x:c r="F957" s="10"/>
      <x:c r="G957" s="10"/>
      <x:c r="H957" s="10"/>
    </x:row>
    <x:row r="958" ht="14.25" customHeight="1">
      <x:c r="A958" s="10"/>
      <x:c r="B958" s="10"/>
      <x:c r="C958" s="10"/>
      <x:c r="D958" s="10"/>
      <x:c r="E958" s="10"/>
      <x:c r="F958" s="10"/>
      <x:c r="G958" s="10"/>
      <x:c r="H958" s="10"/>
    </x:row>
    <x:row r="959" ht="14.25" customHeight="1">
      <x:c r="A959" s="10"/>
      <x:c r="B959" s="10"/>
      <x:c r="C959" s="10"/>
      <x:c r="D959" s="10"/>
      <x:c r="E959" s="10"/>
      <x:c r="F959" s="10"/>
      <x:c r="G959" s="10"/>
      <x:c r="H959" s="10"/>
    </x:row>
    <x:row r="960" ht="14.25" customHeight="1">
      <x:c r="A960" s="10"/>
      <x:c r="B960" s="10"/>
      <x:c r="C960" s="10"/>
      <x:c r="D960" s="10"/>
      <x:c r="E960" s="10"/>
      <x:c r="F960" s="10"/>
      <x:c r="G960" s="10"/>
      <x:c r="H960" s="10"/>
    </x:row>
    <x:row r="961" ht="14.25" customHeight="1">
      <x:c r="A961" s="10"/>
      <x:c r="B961" s="10"/>
      <x:c r="C961" s="10"/>
      <x:c r="D961" s="10"/>
      <x:c r="E961" s="10"/>
      <x:c r="F961" s="10"/>
      <x:c r="G961" s="10"/>
      <x:c r="H961" s="10"/>
    </x:row>
    <x:row r="962" ht="14.25" customHeight="1">
      <x:c r="A962" s="10"/>
      <x:c r="B962" s="10"/>
      <x:c r="C962" s="10"/>
      <x:c r="D962" s="10"/>
      <x:c r="E962" s="10"/>
      <x:c r="F962" s="10"/>
      <x:c r="G962" s="10"/>
      <x:c r="H962" s="10"/>
    </x:row>
    <x:row r="963" ht="14.25" customHeight="1">
      <x:c r="A963" s="10"/>
      <x:c r="B963" s="10"/>
      <x:c r="C963" s="10"/>
      <x:c r="D963" s="10"/>
      <x:c r="E963" s="10"/>
      <x:c r="F963" s="10"/>
      <x:c r="G963" s="10"/>
      <x:c r="H963" s="10"/>
    </x:row>
    <x:row r="964" ht="14.25" customHeight="1">
      <x:c r="A964" s="10"/>
      <x:c r="B964" s="10"/>
      <x:c r="C964" s="10"/>
      <x:c r="D964" s="10"/>
      <x:c r="E964" s="10"/>
      <x:c r="F964" s="10"/>
      <x:c r="G964" s="10"/>
      <x:c r="H964" s="10"/>
    </x:row>
    <x:row r="965" ht="14.25" customHeight="1">
      <x:c r="A965" s="10"/>
      <x:c r="B965" s="10"/>
      <x:c r="C965" s="10"/>
      <x:c r="D965" s="10"/>
      <x:c r="E965" s="10"/>
      <x:c r="F965" s="10"/>
      <x:c r="G965" s="10"/>
      <x:c r="H965" s="10"/>
    </x:row>
    <x:row r="966" ht="14.25" customHeight="1">
      <x:c r="A966" s="10"/>
      <x:c r="B966" s="10"/>
      <x:c r="C966" s="10"/>
      <x:c r="D966" s="10"/>
      <x:c r="E966" s="10"/>
      <x:c r="F966" s="10"/>
      <x:c r="G966" s="10"/>
      <x:c r="H966" s="10"/>
    </x:row>
    <x:row r="967" ht="14.25" customHeight="1">
      <x:c r="A967" s="10"/>
      <x:c r="B967" s="10"/>
      <x:c r="C967" s="10"/>
      <x:c r="D967" s="10"/>
      <x:c r="E967" s="10"/>
      <x:c r="F967" s="10"/>
      <x:c r="G967" s="10"/>
      <x:c r="H967" s="10"/>
    </x:row>
    <x:row r="968" ht="14.25" customHeight="1">
      <x:c r="A968" s="10"/>
      <x:c r="B968" s="10"/>
      <x:c r="C968" s="10"/>
      <x:c r="D968" s="10"/>
      <x:c r="E968" s="10"/>
      <x:c r="F968" s="10"/>
      <x:c r="G968" s="10"/>
      <x:c r="H968" s="10"/>
    </x:row>
    <x:row r="969" ht="14.25" customHeight="1">
      <x:c r="A969" s="10"/>
      <x:c r="B969" s="10"/>
      <x:c r="C969" s="10"/>
      <x:c r="D969" s="10"/>
      <x:c r="E969" s="10"/>
      <x:c r="F969" s="10"/>
      <x:c r="G969" s="10"/>
      <x:c r="H969" s="10"/>
    </x:row>
    <x:row r="970" ht="14.25" customHeight="1">
      <x:c r="A970" s="10"/>
      <x:c r="B970" s="10"/>
      <x:c r="C970" s="10"/>
      <x:c r="D970" s="10"/>
      <x:c r="E970" s="10"/>
      <x:c r="F970" s="10"/>
      <x:c r="G970" s="10"/>
      <x:c r="H970" s="10"/>
    </x:row>
    <x:row r="971" ht="14.25" customHeight="1">
      <x:c r="A971" s="10"/>
      <x:c r="B971" s="10"/>
      <x:c r="C971" s="10"/>
      <x:c r="D971" s="10"/>
      <x:c r="E971" s="10"/>
      <x:c r="F971" s="10"/>
      <x:c r="G971" s="10"/>
      <x:c r="H971" s="10"/>
    </x:row>
    <x:row r="972" ht="14.25" customHeight="1">
      <x:c r="A972" s="10"/>
      <x:c r="B972" s="10"/>
      <x:c r="C972" s="10"/>
      <x:c r="D972" s="10"/>
      <x:c r="E972" s="10"/>
      <x:c r="F972" s="10"/>
      <x:c r="G972" s="10"/>
      <x:c r="H972" s="10"/>
    </x:row>
    <x:row r="973" ht="14.25" customHeight="1">
      <x:c r="A973" s="10"/>
      <x:c r="B973" s="10"/>
      <x:c r="C973" s="10"/>
      <x:c r="D973" s="10"/>
      <x:c r="E973" s="10"/>
      <x:c r="F973" s="10"/>
      <x:c r="G973" s="10"/>
      <x:c r="H973" s="10"/>
    </x:row>
    <x:row r="974" ht="14.25" customHeight="1">
      <x:c r="A974" s="10"/>
      <x:c r="B974" s="10"/>
      <x:c r="C974" s="10"/>
      <x:c r="D974" s="10"/>
      <x:c r="E974" s="10"/>
      <x:c r="F974" s="10"/>
      <x:c r="G974" s="10"/>
      <x:c r="H974" s="10"/>
    </x:row>
    <x:row r="975" ht="14.25" customHeight="1">
      <x:c r="A975" s="10"/>
      <x:c r="B975" s="10"/>
      <x:c r="C975" s="10"/>
      <x:c r="D975" s="10"/>
      <x:c r="E975" s="10"/>
      <x:c r="F975" s="10"/>
      <x:c r="G975" s="10"/>
      <x:c r="H975" s="10"/>
    </x:row>
    <x:row r="976" ht="14.25" customHeight="1">
      <x:c r="A976" s="10"/>
      <x:c r="B976" s="10"/>
      <x:c r="C976" s="10"/>
      <x:c r="D976" s="10"/>
      <x:c r="E976" s="10"/>
      <x:c r="F976" s="10"/>
      <x:c r="G976" s="10"/>
      <x:c r="H976" s="10"/>
    </x:row>
    <x:row r="977" ht="14.25" customHeight="1">
      <x:c r="A977" s="10"/>
      <x:c r="B977" s="10"/>
      <x:c r="C977" s="10"/>
      <x:c r="D977" s="10"/>
      <x:c r="E977" s="10"/>
      <x:c r="F977" s="10"/>
      <x:c r="G977" s="10"/>
      <x:c r="H977" s="10"/>
    </x:row>
    <x:row r="978" ht="14.25" customHeight="1">
      <x:c r="A978" s="10"/>
      <x:c r="B978" s="10"/>
      <x:c r="C978" s="10"/>
      <x:c r="D978" s="10"/>
      <x:c r="E978" s="10"/>
      <x:c r="F978" s="10"/>
      <x:c r="G978" s="10"/>
      <x:c r="H978" s="10"/>
    </x:row>
    <x:row r="979" ht="14.25" customHeight="1">
      <x:c r="A979" s="10"/>
      <x:c r="B979" s="10"/>
      <x:c r="C979" s="10"/>
      <x:c r="D979" s="10"/>
      <x:c r="E979" s="10"/>
      <x:c r="F979" s="10"/>
      <x:c r="G979" s="10"/>
      <x:c r="H979" s="10"/>
    </x:row>
    <x:row r="980" ht="14.25" customHeight="1">
      <x:c r="A980" s="10"/>
      <x:c r="B980" s="10"/>
      <x:c r="C980" s="10"/>
      <x:c r="D980" s="10"/>
      <x:c r="E980" s="10"/>
      <x:c r="F980" s="10"/>
      <x:c r="G980" s="10"/>
      <x:c r="H980" s="10"/>
    </x:row>
    <x:row r="981" ht="14.25" customHeight="1">
      <x:c r="A981" s="10"/>
      <x:c r="B981" s="10"/>
      <x:c r="C981" s="10"/>
      <x:c r="D981" s="10"/>
      <x:c r="E981" s="10"/>
      <x:c r="F981" s="10"/>
      <x:c r="G981" s="10"/>
      <x:c r="H981" s="10"/>
    </x:row>
    <x:row r="982" ht="14.25" customHeight="1">
      <x:c r="A982" s="10"/>
      <x:c r="B982" s="10"/>
      <x:c r="C982" s="10"/>
      <x:c r="D982" s="10"/>
      <x:c r="E982" s="10"/>
      <x:c r="F982" s="10"/>
      <x:c r="G982" s="10"/>
      <x:c r="H982" s="10"/>
    </x:row>
    <x:row r="983" ht="14.25" customHeight="1">
      <x:c r="A983" s="10"/>
      <x:c r="B983" s="10"/>
      <x:c r="C983" s="10"/>
      <x:c r="D983" s="10"/>
      <x:c r="E983" s="10"/>
      <x:c r="F983" s="10"/>
      <x:c r="G983" s="10"/>
      <x:c r="H983" s="10"/>
    </x:row>
    <x:row r="984" ht="14.25" customHeight="1">
      <x:c r="A984" s="10"/>
      <x:c r="B984" s="10"/>
      <x:c r="C984" s="10"/>
      <x:c r="D984" s="10"/>
      <x:c r="E984" s="10"/>
      <x:c r="F984" s="10"/>
      <x:c r="G984" s="10"/>
      <x:c r="H984" s="10"/>
    </x:row>
    <x:row r="985" ht="14.25" customHeight="1">
      <x:c r="A985" s="10"/>
      <x:c r="B985" s="10"/>
      <x:c r="C985" s="10"/>
      <x:c r="D985" s="10"/>
      <x:c r="E985" s="10"/>
      <x:c r="F985" s="10"/>
      <x:c r="G985" s="10"/>
      <x:c r="H985" s="10"/>
    </x:row>
    <x:row r="986" ht="14.25" customHeight="1">
      <x:c r="A986" s="10"/>
      <x:c r="B986" s="10"/>
      <x:c r="C986" s="10"/>
      <x:c r="D986" s="10"/>
      <x:c r="E986" s="10"/>
      <x:c r="F986" s="10"/>
      <x:c r="G986" s="10"/>
      <x:c r="H986" s="10"/>
    </x:row>
    <x:row r="987" ht="14.25" customHeight="1">
      <x:c r="A987" s="10"/>
      <x:c r="B987" s="10"/>
      <x:c r="C987" s="10"/>
      <x:c r="D987" s="10"/>
      <x:c r="E987" s="10"/>
      <x:c r="F987" s="10"/>
      <x:c r="G987" s="10"/>
      <x:c r="H987" s="10"/>
    </x:row>
    <x:row r="988" ht="14.25" customHeight="1">
      <x:c r="A988" s="10"/>
      <x:c r="B988" s="10"/>
      <x:c r="C988" s="10"/>
      <x:c r="D988" s="10"/>
      <x:c r="E988" s="10"/>
      <x:c r="F988" s="10"/>
      <x:c r="G988" s="10"/>
      <x:c r="H988" s="10"/>
    </x:row>
    <x:row r="989" ht="14.25" customHeight="1">
      <x:c r="A989" s="10"/>
      <x:c r="B989" s="10"/>
      <x:c r="C989" s="10"/>
      <x:c r="D989" s="10"/>
      <x:c r="E989" s="10"/>
      <x:c r="F989" s="10"/>
      <x:c r="G989" s="10"/>
      <x:c r="H989" s="10"/>
    </x:row>
    <x:row r="990" ht="14.25" customHeight="1">
      <x:c r="A990" s="10"/>
      <x:c r="B990" s="10"/>
      <x:c r="C990" s="10"/>
      <x:c r="D990" s="10"/>
      <x:c r="E990" s="10"/>
      <x:c r="F990" s="10"/>
      <x:c r="G990" s="10"/>
      <x:c r="H990" s="10"/>
    </x:row>
    <x:row r="991" ht="14.25" customHeight="1">
      <x:c r="A991" s="10"/>
      <x:c r="B991" s="10"/>
      <x:c r="C991" s="10"/>
      <x:c r="D991" s="10"/>
      <x:c r="E991" s="10"/>
      <x:c r="F991" s="10"/>
      <x:c r="G991" s="10"/>
      <x:c r="H991" s="10"/>
    </x:row>
    <x:row r="992" ht="14.25" customHeight="1">
      <x:c r="A992" s="10"/>
      <x:c r="B992" s="10"/>
      <x:c r="C992" s="10"/>
      <x:c r="D992" s="10"/>
      <x:c r="E992" s="10"/>
      <x:c r="F992" s="10"/>
      <x:c r="G992" s="10"/>
      <x:c r="H992" s="10"/>
    </x:row>
    <x:row r="993" ht="14.25" customHeight="1">
      <x:c r="A993" s="10"/>
      <x:c r="B993" s="10"/>
      <x:c r="C993" s="10"/>
      <x:c r="D993" s="10"/>
      <x:c r="E993" s="10"/>
      <x:c r="F993" s="10"/>
      <x:c r="G993" s="10"/>
      <x:c r="H993" s="10"/>
    </x:row>
    <x:row r="994" ht="14.25" customHeight="1">
      <x:c r="A994" s="10"/>
      <x:c r="B994" s="10"/>
      <x:c r="C994" s="10"/>
      <x:c r="D994" s="10"/>
      <x:c r="E994" s="10"/>
      <x:c r="F994" s="10"/>
      <x:c r="G994" s="10"/>
      <x:c r="H994" s="10"/>
    </x:row>
    <x:row r="995" ht="14.25" customHeight="1">
      <x:c r="A995" s="10"/>
      <x:c r="B995" s="10"/>
      <x:c r="C995" s="10"/>
      <x:c r="D995" s="10"/>
      <x:c r="E995" s="10"/>
      <x:c r="F995" s="10"/>
      <x:c r="G995" s="10"/>
      <x:c r="H995" s="10"/>
    </x:row>
    <x:row r="996" ht="14.25" customHeight="1">
      <x:c r="A996" s="10"/>
      <x:c r="B996" s="10"/>
      <x:c r="C996" s="10"/>
      <x:c r="D996" s="10"/>
      <x:c r="E996" s="10"/>
      <x:c r="F996" s="10"/>
      <x:c r="G996" s="10"/>
      <x:c r="H996" s="10"/>
    </x:row>
    <x:row r="997" ht="14.25" customHeight="1">
      <x:c r="A997" s="10"/>
      <x:c r="B997" s="10"/>
      <x:c r="C997" s="10"/>
      <x:c r="D997" s="10"/>
      <x:c r="E997" s="10"/>
      <x:c r="F997" s="10"/>
      <x:c r="G997" s="10"/>
      <x:c r="H997" s="10"/>
    </x:row>
    <x:row r="998" ht="14.25" customHeight="1">
      <x:c r="A998" s="10"/>
      <x:c r="B998" s="10"/>
      <x:c r="C998" s="10"/>
      <x:c r="D998" s="10"/>
      <x:c r="E998" s="10"/>
      <x:c r="F998" s="10"/>
      <x:c r="G998" s="10"/>
      <x:c r="H998" s="10"/>
    </x:row>
    <x:row r="999" ht="14.25" customHeight="1">
      <x:c r="A999" s="10"/>
      <x:c r="B999" s="10"/>
      <x:c r="C999" s="10"/>
      <x:c r="D999" s="10"/>
      <x:c r="E999" s="10"/>
      <x:c r="F999" s="10"/>
      <x:c r="G999" s="10"/>
      <x:c r="H999" s="10"/>
    </x:row>
    <x:row r="1000" ht="14.25" customHeight="1">
      <x:c r="A1000" s="10"/>
      <x:c r="B1000" s="10"/>
      <x:c r="C1000" s="10"/>
      <x:c r="D1000" s="10"/>
      <x:c r="E1000" s="10"/>
      <x:c r="F1000" s="10"/>
      <x:c r="G1000" s="10"/>
      <x:c r="H1000" s="10"/>
    </x:row>
  </x:sheetData>
  <x:pageMargins left="0.7" right="0.7" top="0.75" bottom="0.75" header="0.3" footer="0.3"/>
</x:worksheet>
</file>

<file path=xl/worksheets/sheet8.xml><?xml version="1.0" encoding="utf-8"?>
<x:worksheet xmlns:x="http://schemas.openxmlformats.org/spreadsheetml/2006/main">
  <x:sheetFormatPr defaultColWidth="14.453125" defaultRowHeight="15"/>
  <x:cols>
    <x:col min="1" max="1" width="16" hidden="0" customWidth="1"/>
    <x:col min="2" max="2" width="36" hidden="0" customWidth="1"/>
    <x:col min="3" max="3" width="58" hidden="0" customWidth="1"/>
    <x:col min="4" max="4" width="10" hidden="0" customWidth="1"/>
    <x:col min="5" max="26" width="8.54296875" customWidth="1"/>
  </x:cols>
  <x:sheetData>
    <x:row r="1" ht="15.75" customHeight="1">
      <x:c r="A1" s="43" t="str">
        <x:v>Russian renderings: how each subtype (frame) is rendered, with counts</x:v>
      </x:c>
      <x:c r="B1" s="43"/>
      <x:c r="C1" s="43"/>
      <x:c r="D1" s="43"/>
    </x:row>
    <x:row r="2" ht="14.25" customHeight="1">
      <x:c r="A2"/>
      <x:c r="B2"/>
      <x:c r="C2"/>
      <x:c r="D2"/>
    </x:row>
    <x:row r="3" ht="15" customHeight="1">
      <x:c r="A3" s="61" t="str">
        <x:v>English word</x:v>
      </x:c>
      <x:c r="B3" s="61" t="str">
        <x:v>Subtype</x:v>
      </x:c>
      <x:c r="C3" s="61" t="str">
        <x:v>Rendering (lemma / form; bracketed = paraphrase/omission)</x:v>
      </x:c>
      <x:c r="D3" s="61" t="str">
        <x:v>Count</x:v>
      </x:c>
    </x:row>
    <x:row r="4" ht="15" hidden="0" customHeight="1">
      <x:c r="A4" s="65" t="str">
        <x:v>Shame</x:v>
      </x:c>
      <x:c r="B4" s="65" t="str">
        <x:v>Absent moral shame</x:v>
      </x:c>
      <x:c r="C4" s="65" t="str">
        <x:v>стеснение</x:v>
      </x:c>
      <x:c r="D4" s="56" t="n">
        <x:f>COUNTIFS('Data (parsed)'!$B$2:$B$235,A4,'Data (parsed)'!$C$2:$C$235,B4,'Data (parsed)'!$G$2:$G$235,C4,'Data (parsed)'!$I$2:$I$235,1)</x:f>
        <x:v>1</x:v>
      </x:c>
    </x:row>
    <x:row r="5" ht="15" hidden="0" customHeight="1">
      <x:c r="A5" s="65" t="str">
        <x:v>Shame</x:v>
      </x:c>
      <x:c r="B5" s="65" t="str">
        <x:v>Absent moral shame</x:v>
      </x:c>
      <x:c r="C5" s="65" t="str">
        <x:v>стыд</x:v>
      </x:c>
      <x:c r="D5" s="56" t="n">
        <x:f>COUNTIFS('Data (parsed)'!$B$2:$B$235,A5,'Data (parsed)'!$C$2:$C$235,B5,'Data (parsed)'!$G$2:$G$235,C5,'Data (parsed)'!$I$2:$I$235,1)</x:f>
        <x:v>1</x:v>
      </x:c>
    </x:row>
    <x:row r="6" ht="15" hidden="0" customHeight="1">
      <x:c r="A6" s="65" t="str">
        <x:v>Shame</x:v>
      </x:c>
      <x:c r="B6" s="65" t="str">
        <x:v>Absent moral shame</x:v>
      </x:c>
      <x:c r="C6" s="65" t="str">
        <x:v>угрызение</x:v>
      </x:c>
      <x:c r="D6" s="56" t="n">
        <x:f>COUNTIFS('Data (parsed)'!$B$2:$B$235,A6,'Data (parsed)'!$C$2:$C$235,B6,'Data (parsed)'!$G$2:$G$235,C6,'Data (parsed)'!$I$2:$I$235,1)</x:f>
        <x:v>1</x:v>
      </x:c>
    </x:row>
    <x:row r="7" ht="15" hidden="0" customHeight="1">
      <x:c r="A7" s="65" t="str">
        <x:v>Shame</x:v>
      </x:c>
      <x:c r="B7" s="65" t="str">
        <x:v>Absent shame</x:v>
      </x:c>
      <x:c r="C7" s="65" t="str">
        <x:v>стыдиться</x:v>
      </x:c>
      <x:c r="D7" s="56" t="n">
        <x:f>COUNTIFS('Data (parsed)'!$B$2:$B$235,A7,'Data (parsed)'!$C$2:$C$235,B7,'Data (parsed)'!$G$2:$G$235,C7,'Data (parsed)'!$I$2:$I$235,1)</x:f>
        <x:v>3</x:v>
      </x:c>
    </x:row>
    <x:row r="8" ht="15" hidden="0" customHeight="1">
      <x:c r="A8" s="65" t="str">
        <x:v>Shame</x:v>
      </x:c>
      <x:c r="B8" s="65" t="str">
        <x:v>Absent shame</x:v>
      </x:c>
      <x:c r="C8" s="65" t="str">
        <x:v>бесстыдно</x:v>
      </x:c>
      <x:c r="D8" s="56" t="n">
        <x:f>COUNTIFS('Data (parsed)'!$B$2:$B$235,A8,'Data (parsed)'!$C$2:$C$235,B8,'Data (parsed)'!$G$2:$G$235,C8,'Data (parsed)'!$I$2:$I$235,1)</x:f>
        <x:v>1</x:v>
      </x:c>
    </x:row>
    <x:row r="9" ht="15" hidden="0" customHeight="1">
      <x:c r="A9" s="65" t="str">
        <x:v>Shame</x:v>
      </x:c>
      <x:c r="B9" s="65" t="str">
        <x:v>Absent shame</x:v>
      </x:c>
      <x:c r="C9" s="65" t="str">
        <x:v>бесстыдство</x:v>
      </x:c>
      <x:c r="D9" s="56" t="n">
        <x:f>COUNTIFS('Data (parsed)'!$B$2:$B$235,A9,'Data (parsed)'!$C$2:$C$235,B9,'Data (parsed)'!$G$2:$G$235,C9,'Data (parsed)'!$I$2:$I$235,1)</x:f>
        <x:v>1</x:v>
      </x:c>
    </x:row>
    <x:row r="10" ht="15" hidden="0" customHeight="1">
      <x:c r="A10" s="65" t="str">
        <x:v>Shame</x:v>
      </x:c>
      <x:c r="B10" s="65" t="str">
        <x:v>Absent shame</x:v>
      </x:c>
      <x:c r="C10" s="65" t="str">
        <x:v>зазрение</x:v>
      </x:c>
      <x:c r="D10" s="56" t="n">
        <x:f>COUNTIFS('Data (parsed)'!$B$2:$B$235,A10,'Data (parsed)'!$C$2:$C$235,B10,'Data (parsed)'!$G$2:$G$235,C10,'Data (parsed)'!$I$2:$I$235,1)</x:f>
        <x:v>1</x:v>
      </x:c>
    </x:row>
    <x:row r="11" ht="15" hidden="0" customHeight="1">
      <x:c r="A11" s="65" t="str">
        <x:v>Shame</x:v>
      </x:c>
      <x:c r="B11" s="65" t="str">
        <x:v>Absent shame</x:v>
      </x:c>
      <x:c r="C11" s="65" t="str">
        <x:v>осуждать</x:v>
      </x:c>
      <x:c r="D11" s="56" t="n">
        <x:f>COUNTIFS('Data (parsed)'!$B$2:$B$235,A11,'Data (parsed)'!$C$2:$C$235,B11,'Data (parsed)'!$G$2:$G$235,C11,'Data (parsed)'!$I$2:$I$235,1)</x:f>
        <x:v>1</x:v>
      </x:c>
    </x:row>
    <x:row r="12" ht="15" hidden="0" customHeight="1">
      <x:c r="A12" s="65" t="str">
        <x:v>Shame</x:v>
      </x:c>
      <x:c r="B12" s="65" t="str">
        <x:v>Absent shame</x:v>
      </x:c>
      <x:c r="C12" s="65" t="str">
        <x:v>откровенно</x:v>
      </x:c>
      <x:c r="D12" s="56" t="n">
        <x:f>COUNTIFS('Data (parsed)'!$B$2:$B$235,A12,'Data (parsed)'!$C$2:$C$235,B12,'Data (parsed)'!$G$2:$G$235,C12,'Data (parsed)'!$I$2:$I$235,1)</x:f>
        <x:v>1</x:v>
      </x:c>
    </x:row>
    <x:row r="13" ht="15" hidden="0" customHeight="1">
      <x:c r="A13" s="65" t="str">
        <x:v>Shame</x:v>
      </x:c>
      <x:c r="B13" s="65" t="str">
        <x:v>Absent shame</x:v>
      </x:c>
      <x:c r="C13" s="65" t="str">
        <x:v>пристыдить</x:v>
      </x:c>
      <x:c r="D13" s="56" t="n">
        <x:f>COUNTIFS('Data (parsed)'!$B$2:$B$235,A13,'Data (parsed)'!$C$2:$C$235,B13,'Data (parsed)'!$G$2:$G$235,C13,'Data (parsed)'!$I$2:$I$235,1)</x:f>
        <x:v>1</x:v>
      </x:c>
    </x:row>
    <x:row r="14" ht="15" hidden="0" customHeight="1">
      <x:c r="A14" s="65" t="str">
        <x:v>Shame</x:v>
      </x:c>
      <x:c r="B14" s="65" t="str">
        <x:v>Absent shame</x:v>
      </x:c>
      <x:c r="C14" s="65" t="str">
        <x:v>смутить</x:v>
      </x:c>
      <x:c r="D14" s="56" t="n">
        <x:f>COUNTIFS('Data (parsed)'!$B$2:$B$235,A14,'Data (parsed)'!$C$2:$C$235,B14,'Data (parsed)'!$G$2:$G$235,C14,'Data (parsed)'!$I$2:$I$235,1)</x:f>
        <x:v>1</x:v>
      </x:c>
    </x:row>
    <x:row r="15" ht="15" hidden="0" customHeight="1">
      <x:c r="A15" s="65" t="str">
        <x:v>Shame</x:v>
      </x:c>
      <x:c r="B15" s="65" t="str">
        <x:v>Absent shame</x:v>
      </x:c>
      <x:c r="C15" s="65" t="str">
        <x:v>стесняться</x:v>
      </x:c>
      <x:c r="D15" s="56" t="n">
        <x:f>COUNTIFS('Data (parsed)'!$B$2:$B$235,A15,'Data (parsed)'!$C$2:$C$235,B15,'Data (parsed)'!$G$2:$G$235,C15,'Data (parsed)'!$I$2:$I$235,1)</x:f>
        <x:v>1</x:v>
      </x:c>
    </x:row>
    <x:row r="16" ht="15" hidden="0" customHeight="1">
      <x:c r="A16" s="65" t="str">
        <x:v>Shame</x:v>
      </x:c>
      <x:c r="B16" s="65" t="str">
        <x:v>Absent shame</x:v>
      </x:c>
      <x:c r="C16" s="65" t="str">
        <x:v>стыдно</x:v>
      </x:c>
      <x:c r="D16" s="56" t="n">
        <x:f>COUNTIFS('Data (parsed)'!$B$2:$B$235,A16,'Data (parsed)'!$C$2:$C$235,B16,'Data (parsed)'!$G$2:$G$235,C16,'Data (parsed)'!$I$2:$I$235,1)</x:f>
        <x:v>1</x:v>
      </x:c>
    </x:row>
    <x:row r="17" ht="15" hidden="0" customHeight="1">
      <x:c r="A17" s="65" t="str">
        <x:v>Shame</x:v>
      </x:c>
      <x:c r="B17" s="65" t="str">
        <x:v>Absent social shame</x:v>
      </x:c>
      <x:c r="C17" s="65" t="str">
        <x:v>стыд</x:v>
      </x:c>
      <x:c r="D17" s="56" t="n">
        <x:f>COUNTIFS('Data (parsed)'!$B$2:$B$235,A17,'Data (parsed)'!$C$2:$C$235,B17,'Data (parsed)'!$G$2:$G$235,C17,'Data (parsed)'!$I$2:$I$235,1)</x:f>
        <x:v>2</x:v>
      </x:c>
    </x:row>
    <x:row r="18" ht="15" hidden="0" customHeight="1">
      <x:c r="A18" s="65" t="str">
        <x:v>Shame</x:v>
      </x:c>
      <x:c r="B18" s="65" t="str">
        <x:v>Absent social shame</x:v>
      </x:c>
      <x:c r="C18" s="65" t="str">
        <x:v>устыдиться</x:v>
      </x:c>
      <x:c r="D18" s="56" t="n">
        <x:f>COUNTIFS('Data (parsed)'!$B$2:$B$235,A18,'Data (parsed)'!$C$2:$C$235,B18,'Data (parsed)'!$G$2:$G$235,C18,'Data (parsed)'!$I$2:$I$235,1)</x:f>
        <x:v>2</x:v>
      </x:c>
    </x:row>
    <x:row r="19" ht="15" hidden="0" customHeight="1">
      <x:c r="A19" s="65" t="str">
        <x:v>Shame</x:v>
      </x:c>
      <x:c r="B19" s="65" t="str">
        <x:v>Absent social shame</x:v>
      </x:c>
      <x:c r="C19" s="65" t="str">
        <x:v>бесстыдство</x:v>
      </x:c>
      <x:c r="D19" s="56" t="n">
        <x:f>COUNTIFS('Data (parsed)'!$B$2:$B$235,A19,'Data (parsed)'!$C$2:$C$235,B19,'Data (parsed)'!$G$2:$G$235,C19,'Data (parsed)'!$I$2:$I$235,1)</x:f>
        <x:v>1</x:v>
      </x:c>
    </x:row>
    <x:row r="20" ht="15" hidden="0" customHeight="1">
      <x:c r="A20" s="65" t="str">
        <x:v>Shame</x:v>
      </x:c>
      <x:c r="B20" s="65" t="str">
        <x:v>Absent social shame</x:v>
      </x:c>
      <x:c r="C20" s="65" t="str">
        <x:v>постыдный</x:v>
      </x:c>
      <x:c r="D20" s="56" t="n">
        <x:f>COUNTIFS('Data (parsed)'!$B$2:$B$235,A20,'Data (parsed)'!$C$2:$C$235,B20,'Data (parsed)'!$G$2:$G$235,C20,'Data (parsed)'!$I$2:$I$235,1)</x:f>
        <x:v>1</x:v>
      </x:c>
    </x:row>
    <x:row r="21" ht="15" hidden="0" customHeight="1">
      <x:c r="A21" s="65" t="str">
        <x:v>Shame</x:v>
      </x:c>
      <x:c r="B21" s="65" t="str">
        <x:v>Absent social shame</x:v>
      </x:c>
      <x:c r="C21" s="65" t="str">
        <x:v>стыдиться</x:v>
      </x:c>
      <x:c r="D21" s="56" t="n">
        <x:f>COUNTIFS('Data (parsed)'!$B$2:$B$235,A21,'Data (parsed)'!$C$2:$C$235,B21,'Data (parsed)'!$G$2:$G$235,C21,'Data (parsed)'!$I$2:$I$235,1)</x:f>
        <x:v>1</x:v>
      </x:c>
    </x:row>
    <x:row r="22" ht="15" hidden="0" customHeight="1">
      <x:c r="A22" s="65" t="str">
        <x:v>Shame</x:v>
      </x:c>
      <x:c r="B22" s="65" t="str">
        <x:v>Absent social shame (about the body)</x:v>
      </x:c>
      <x:c r="C22" s="65" t="str">
        <x:v>изъян</x:v>
      </x:c>
      <x:c r="D22" s="56" t="n">
        <x:f>COUNTIFS('Data (parsed)'!$B$2:$B$235,A22,'Data (parsed)'!$C$2:$C$235,B22,'Data (parsed)'!$G$2:$G$235,C22,'Data (parsed)'!$I$2:$I$235,1)</x:f>
        <x:v>1</x:v>
      </x:c>
    </x:row>
    <x:row r="23" ht="15" hidden="0" customHeight="1">
      <x:c r="A23" s="65" t="str">
        <x:v>Shame</x:v>
      </x:c>
      <x:c r="B23" s="65" t="str">
        <x:v>Absent social shame (about the body)</x:v>
      </x:c>
      <x:c r="C23" s="65" t="str">
        <x:v>стыдиться</x:v>
      </x:c>
      <x:c r="D23" s="56" t="n">
        <x:f>COUNTIFS('Data (parsed)'!$B$2:$B$235,A23,'Data (parsed)'!$C$2:$C$235,B23,'Data (parsed)'!$G$2:$G$235,C23,'Data (parsed)'!$I$2:$I$235,1)</x:f>
        <x:v>1</x:v>
      </x:c>
    </x:row>
    <x:row r="24" ht="15" hidden="0" customHeight="1">
      <x:c r="A24" s="65" t="str">
        <x:v>Shame</x:v>
      </x:c>
      <x:c r="B24" s="65" t="str">
        <x:v>Illocutionary shame (shaming)</x:v>
      </x:c>
      <x:c r="C24" s="65" t="str">
        <x:v>стыд</x:v>
      </x:c>
      <x:c r="D24" s="56" t="n">
        <x:f>COUNTIFS('Data (parsed)'!$B$2:$B$235,A24,'Data (parsed)'!$C$2:$C$235,B24,'Data (parsed)'!$G$2:$G$235,C24,'Data (parsed)'!$I$2:$I$235,1)</x:f>
        <x:v>3</x:v>
      </x:c>
    </x:row>
    <x:row r="25" ht="15" hidden="0" customHeight="1">
      <x:c r="A25" s="65" t="str">
        <x:v>Shame</x:v>
      </x:c>
      <x:c r="B25" s="65" t="str">
        <x:v>Illocutionary shame (shaming)</x:v>
      </x:c>
      <x:c r="C25" s="65" t="str">
        <x:v>[paraphrase / no single-word equivalent]</x:v>
      </x:c>
      <x:c r="D25" s="56" t="n">
        <x:f>COUNTIFS('Data (parsed)'!$B$2:$B$235,A25,'Data (parsed)'!$C$2:$C$235,B25,'Data (parsed)'!$G$2:$G$235,C25,'Data (parsed)'!$I$2:$I$235,1)</x:f>
        <x:v>2</x:v>
      </x:c>
    </x:row>
    <x:row r="26" ht="15" hidden="0" customHeight="1">
      <x:c r="A26" s="65" t="str">
        <x:v>Shame</x:v>
      </x:c>
      <x:c r="B26" s="65" t="str">
        <x:v>Illocutionary shame (shaming)</x:v>
      </x:c>
      <x:c r="C26" s="65" t="str">
        <x:v>позор</x:v>
      </x:c>
      <x:c r="D26" s="56" t="n">
        <x:f>COUNTIFS('Data (parsed)'!$B$2:$B$235,A26,'Data (parsed)'!$C$2:$C$235,B26,'Data (parsed)'!$G$2:$G$235,C26,'Data (parsed)'!$I$2:$I$235,1)</x:f>
        <x:v>2</x:v>
      </x:c>
    </x:row>
    <x:row r="27" ht="15" hidden="0" customHeight="1">
      <x:c r="A27" s="65" t="str">
        <x:v>Shame</x:v>
      </x:c>
      <x:c r="B27" s="65" t="str">
        <x:v>Illocutionary shame (shaming)</x:v>
      </x:c>
      <x:c r="C27" s="65" t="str">
        <x:v>постыдиться</x:v>
      </x:c>
      <x:c r="D27" s="56" t="n">
        <x:f>COUNTIFS('Data (parsed)'!$B$2:$B$235,A27,'Data (parsed)'!$C$2:$C$235,B27,'Data (parsed)'!$G$2:$G$235,C27,'Data (parsed)'!$I$2:$I$235,1)</x:f>
        <x:v>2</x:v>
      </x:c>
    </x:row>
    <x:row r="28" ht="15" hidden="0" customHeight="1">
      <x:c r="A28" s="65" t="str">
        <x:v>Shame</x:v>
      </x:c>
      <x:c r="B28" s="65" t="str">
        <x:v>Illocutionary shame (shaming)</x:v>
      </x:c>
      <x:c r="C28" s="65" t="str">
        <x:v>совестно</x:v>
      </x:c>
      <x:c r="D28" s="56" t="n">
        <x:f>COUNTIFS('Data (parsed)'!$B$2:$B$235,A28,'Data (parsed)'!$C$2:$C$235,B28,'Data (parsed)'!$G$2:$G$235,C28,'Data (parsed)'!$I$2:$I$235,1)</x:f>
        <x:v>2</x:v>
      </x:c>
    </x:row>
    <x:row r="29" ht="15" hidden="0" customHeight="1">
      <x:c r="A29" s="65" t="str">
        <x:v>Shame</x:v>
      </x:c>
      <x:c r="B29" s="65" t="str">
        <x:v>Illocutionary shame (shaming)</x:v>
      </x:c>
      <x:c r="C29" s="65" t="str">
        <x:v>стыдно</x:v>
      </x:c>
      <x:c r="D29" s="56" t="n">
        <x:f>COUNTIFS('Data (parsed)'!$B$2:$B$235,A29,'Data (parsed)'!$C$2:$C$235,B29,'Data (parsed)'!$G$2:$G$235,C29,'Data (parsed)'!$I$2:$I$235,1)</x:f>
        <x:v>2</x:v>
      </x:c>
    </x:row>
    <x:row r="30" ht="15" hidden="0" customHeight="1">
      <x:c r="A30" s="65" t="str">
        <x:v>Shame</x:v>
      </x:c>
      <x:c r="B30" s="65" t="str">
        <x:v>Illocutionary shame (shaming)</x:v>
      </x:c>
      <x:c r="C30" s="65" t="str">
        <x:v>опозоренный</x:v>
      </x:c>
      <x:c r="D30" s="56" t="n">
        <x:f>COUNTIFS('Data (parsed)'!$B$2:$B$235,A30,'Data (parsed)'!$C$2:$C$235,B30,'Data (parsed)'!$G$2:$G$235,C30,'Data (parsed)'!$I$2:$I$235,1)</x:f>
        <x:v>1</x:v>
      </x:c>
    </x:row>
    <x:row r="31" ht="15" hidden="0" customHeight="1">
      <x:c r="A31" s="65" t="str">
        <x:v>Shame</x:v>
      </x:c>
      <x:c r="B31" s="65" t="str">
        <x:v>Illocutionary shame (shaming)</x:v>
      </x:c>
      <x:c r="C31" s="65" t="str">
        <x:v>опозорить</x:v>
      </x:c>
      <x:c r="D31" s="56" t="n">
        <x:f>COUNTIFS('Data (parsed)'!$B$2:$B$235,A31,'Data (parsed)'!$C$2:$C$235,B31,'Data (parsed)'!$G$2:$G$235,C31,'Data (parsed)'!$I$2:$I$235,1)</x:f>
        <x:v>1</x:v>
      </x:c>
    </x:row>
    <x:row r="32" ht="15" hidden="0" customHeight="1">
      <x:c r="A32" s="65" t="str">
        <x:v>Shame</x:v>
      </x:c>
      <x:c r="B32" s="65" t="str">
        <x:v>Illocutionary shame (shaming)</x:v>
      </x:c>
      <x:c r="C32" s="65" t="str">
        <x:v>сгорать со стыда!</x:v>
      </x:c>
      <x:c r="D32" s="56" t="n">
        <x:f>COUNTIFS('Data (parsed)'!$B$2:$B$235,A32,'Data (parsed)'!$C$2:$C$235,B32,'Data (parsed)'!$G$2:$G$235,C32,'Data (parsed)'!$I$2:$I$235,1)</x:f>
        <x:v>1</x:v>
      </x:c>
    </x:row>
    <x:row r="33" ht="15" hidden="0" customHeight="1">
      <x:c r="A33" s="65" t="str">
        <x:v>Shame</x:v>
      </x:c>
      <x:c r="B33" s="65" t="str">
        <x:v>Illocutionary shame (shaming)</x:v>
      </x:c>
      <x:c r="C33" s="65" t="str">
        <x:v>стыдить</x:v>
      </x:c>
      <x:c r="D33" s="56" t="n">
        <x:f>COUNTIFS('Data (parsed)'!$B$2:$B$235,A33,'Data (parsed)'!$C$2:$C$235,B33,'Data (parsed)'!$G$2:$G$235,C33,'Data (parsed)'!$I$2:$I$235,1)</x:f>
        <x:v>1</x:v>
      </x:c>
    </x:row>
    <x:row r="34" ht="15" hidden="0" customHeight="1">
      <x:c r="A34" s="65" t="str">
        <x:v>Shame</x:v>
      </x:c>
      <x:c r="B34" s="65" t="str">
        <x:v>Moral shame</x:v>
      </x:c>
      <x:c r="C34" s="65" t="str">
        <x:v>стыдно</x:v>
      </x:c>
      <x:c r="D34" s="56" t="n">
        <x:f>COUNTIFS('Data (parsed)'!$B$2:$B$235,A34,'Data (parsed)'!$C$2:$C$235,B34,'Data (parsed)'!$G$2:$G$235,C34,'Data (parsed)'!$I$2:$I$235,1)</x:f>
        <x:v>10</x:v>
      </x:c>
    </x:row>
    <x:row r="35" ht="15" hidden="0" customHeight="1">
      <x:c r="A35" s="65" t="str">
        <x:v>Shame</x:v>
      </x:c>
      <x:c r="B35" s="65" t="str">
        <x:v>Moral shame</x:v>
      </x:c>
      <x:c r="C35" s="65" t="str">
        <x:v>стыд</x:v>
      </x:c>
      <x:c r="D35" s="56" t="n">
        <x:f>COUNTIFS('Data (parsed)'!$B$2:$B$235,A35,'Data (parsed)'!$C$2:$C$235,B35,'Data (parsed)'!$G$2:$G$235,C35,'Data (parsed)'!$I$2:$I$235,1)</x:f>
        <x:v>7</x:v>
      </x:c>
    </x:row>
    <x:row r="36" ht="15" hidden="0" customHeight="1">
      <x:c r="A36" s="65" t="str">
        <x:v>Shame</x:v>
      </x:c>
      <x:c r="B36" s="65" t="str">
        <x:v>Moral shame</x:v>
      </x:c>
      <x:c r="C36" s="65" t="str">
        <x:v>устыдиться</x:v>
      </x:c>
      <x:c r="D36" s="56" t="n">
        <x:f>COUNTIFS('Data (parsed)'!$B$2:$B$235,A36,'Data (parsed)'!$C$2:$C$235,B36,'Data (parsed)'!$G$2:$G$235,C36,'Data (parsed)'!$I$2:$I$235,1)</x:f>
        <x:v>2</x:v>
      </x:c>
    </x:row>
    <x:row r="37" ht="15" hidden="0" customHeight="1">
      <x:c r="A37" s="65" t="str">
        <x:v>Shame</x:v>
      </x:c>
      <x:c r="B37" s="65" t="str">
        <x:v>Moral shame</x:v>
      </x:c>
      <x:c r="C37" s="65" t="str">
        <x:v>позор</x:v>
      </x:c>
      <x:c r="D37" s="56" t="n">
        <x:f>COUNTIFS('Data (parsed)'!$B$2:$B$235,A37,'Data (parsed)'!$C$2:$C$235,B37,'Data (parsed)'!$G$2:$G$235,C37,'Data (parsed)'!$I$2:$I$235,1)</x:f>
        <x:v>1</x:v>
      </x:c>
    </x:row>
    <x:row r="38" ht="15" hidden="0" customHeight="1">
      <x:c r="A38" s="65" t="str">
        <x:v>Shame</x:v>
      </x:c>
      <x:c r="B38" s="65" t="str">
        <x:v>Moral shame</x:v>
      </x:c>
      <x:c r="C38" s="65" t="str">
        <x:v>посрамить</x:v>
      </x:c>
      <x:c r="D38" s="56" t="n">
        <x:f>COUNTIFS('Data (parsed)'!$B$2:$B$235,A38,'Data (parsed)'!$C$2:$C$235,B38,'Data (parsed)'!$G$2:$G$235,C38,'Data (parsed)'!$I$2:$I$235,1)</x:f>
        <x:v>1</x:v>
      </x:c>
    </x:row>
    <x:row r="39" ht="15" hidden="0" customHeight="1">
      <x:c r="A39" s="65" t="str">
        <x:v>Shame</x:v>
      </x:c>
      <x:c r="B39" s="65" t="str">
        <x:v>Moral shame</x:v>
      </x:c>
      <x:c r="C39" s="65" t="str">
        <x:v>пристыдить</x:v>
      </x:c>
      <x:c r="D39" s="56" t="n">
        <x:f>COUNTIFS('Data (parsed)'!$B$2:$B$235,A39,'Data (parsed)'!$C$2:$C$235,B39,'Data (parsed)'!$G$2:$G$235,C39,'Data (parsed)'!$I$2:$I$235,1)</x:f>
        <x:v>1</x:v>
      </x:c>
    </x:row>
    <x:row r="40" ht="15" hidden="0" customHeight="1">
      <x:c r="A40" s="65" t="str">
        <x:v>Shame</x:v>
      </x:c>
      <x:c r="B40" s="65" t="str">
        <x:v>Moral shame</x:v>
      </x:c>
      <x:c r="C40" s="65" t="str">
        <x:v>пристыженный</x:v>
      </x:c>
      <x:c r="D40" s="56" t="n">
        <x:f>COUNTIFS('Data (parsed)'!$B$2:$B$235,A40,'Data (parsed)'!$C$2:$C$235,B40,'Data (parsed)'!$G$2:$G$235,C40,'Data (parsed)'!$I$2:$I$235,1)</x:f>
        <x:v>1</x:v>
      </x:c>
    </x:row>
    <x:row r="41" ht="15" hidden="0" customHeight="1">
      <x:c r="A41" s="65" t="str">
        <x:v>Shame</x:v>
      </x:c>
      <x:c r="B41" s="65" t="str">
        <x:v>Moral shame</x:v>
      </x:c>
      <x:c r="C41" s="65" t="str">
        <x:v>слеза</x:v>
      </x:c>
      <x:c r="D41" s="56" t="n">
        <x:f>COUNTIFS('Data (parsed)'!$B$2:$B$235,A41,'Data (parsed)'!$C$2:$C$235,B41,'Data (parsed)'!$G$2:$G$235,C41,'Data (parsed)'!$I$2:$I$235,1)</x:f>
        <x:v>1</x:v>
      </x:c>
    </x:row>
    <x:row r="42" ht="15" hidden="0" customHeight="1">
      <x:c r="A42" s="65" t="str">
        <x:v>Shame</x:v>
      </x:c>
      <x:c r="B42" s="65" t="str">
        <x:v>Moral shame</x:v>
      </x:c>
      <x:c r="C42" s="65" t="str">
        <x:v>стыдиться</x:v>
      </x:c>
      <x:c r="D42" s="56" t="n">
        <x:f>COUNTIFS('Data (parsed)'!$B$2:$B$235,A42,'Data (parsed)'!$C$2:$C$235,B42,'Data (parsed)'!$G$2:$G$235,C42,'Data (parsed)'!$I$2:$I$235,1)</x:f>
        <x:v>1</x:v>
      </x:c>
    </x:row>
    <x:row r="43" ht="15" hidden="0" customHeight="1">
      <x:c r="A43" s="65" t="str">
        <x:v>Shame</x:v>
      </x:c>
      <x:c r="B43" s="65" t="str">
        <x:v>Performed / ironic shame</x:v>
      </x:c>
      <x:c r="C43" s="65" t="str">
        <x:v>стыдно</x:v>
      </x:c>
      <x:c r="D43" s="56" t="n">
        <x:f>COUNTIFS('Data (parsed)'!$B$2:$B$235,A43,'Data (parsed)'!$C$2:$C$235,B43,'Data (parsed)'!$G$2:$G$235,C43,'Data (parsed)'!$I$2:$I$235,1)</x:f>
        <x:v>4</x:v>
      </x:c>
    </x:row>
    <x:row r="44" ht="15" hidden="0" customHeight="1">
      <x:c r="A44" s="65" t="str">
        <x:v>Shame</x:v>
      </x:c>
      <x:c r="B44" s="65" t="str">
        <x:v>Performed / ironic shame</x:v>
      </x:c>
      <x:c r="C44" s="65" t="str">
        <x:v>стыдиться</x:v>
      </x:c>
      <x:c r="D44" s="56" t="n">
        <x:f>COUNTIFS('Data (parsed)'!$B$2:$B$235,A44,'Data (parsed)'!$C$2:$C$235,B44,'Data (parsed)'!$G$2:$G$235,C44,'Data (parsed)'!$I$2:$I$235,1)</x:f>
        <x:v>2</x:v>
      </x:c>
    </x:row>
    <x:row r="45" ht="15" hidden="0" customHeight="1">
      <x:c r="A45" s="65" t="str">
        <x:v>Shame</x:v>
      </x:c>
      <x:c r="B45" s="65" t="str">
        <x:v>Performed / ironic shame</x:v>
      </x:c>
      <x:c r="C45" s="65" t="str">
        <x:v>позор</x:v>
      </x:c>
      <x:c r="D45" s="56" t="n">
        <x:f>COUNTIFS('Data (parsed)'!$B$2:$B$235,A45,'Data (parsed)'!$C$2:$C$235,B45,'Data (parsed)'!$G$2:$G$235,C45,'Data (parsed)'!$I$2:$I$235,1)</x:f>
        <x:v>1</x:v>
      </x:c>
    </x:row>
    <x:row r="46" ht="15" hidden="0" customHeight="1">
      <x:c r="A46" s="65" t="str">
        <x:v>Shame</x:v>
      </x:c>
      <x:c r="B46" s="65" t="str">
        <x:v>Performed / ironic shame</x:v>
      </x:c>
      <x:c r="C46" s="65" t="str">
        <x:v>сгорать со стыда!</x:v>
      </x:c>
      <x:c r="D46" s="56" t="n">
        <x:f>COUNTIFS('Data (parsed)'!$B$2:$B$235,A46,'Data (parsed)'!$C$2:$C$235,B46,'Data (parsed)'!$G$2:$G$235,C46,'Data (parsed)'!$I$2:$I$235,1)</x:f>
        <x:v>1</x:v>
      </x:c>
    </x:row>
    <x:row r="47" ht="15" hidden="0" customHeight="1">
      <x:c r="A47" s="65" t="str">
        <x:v>Shame</x:v>
      </x:c>
      <x:c r="B47" s="65" t="str">
        <x:v>Performed / ironic shame</x:v>
      </x:c>
      <x:c r="C47" s="65" t="str">
        <x:v>стесняться</x:v>
      </x:c>
      <x:c r="D47" s="56" t="n">
        <x:f>COUNTIFS('Data (parsed)'!$B$2:$B$235,A47,'Data (parsed)'!$C$2:$C$235,B47,'Data (parsed)'!$G$2:$G$235,C47,'Data (parsed)'!$I$2:$I$235,1)</x:f>
        <x:v>1</x:v>
      </x:c>
    </x:row>
    <x:row r="48" ht="15" hidden="0" customHeight="1">
      <x:c r="A48" s="65" t="str">
        <x:v>Shame</x:v>
      </x:c>
      <x:c r="B48" s="65" t="str">
        <x:v>Shame as verdict</x:v>
      </x:c>
      <x:c r="C48" s="65" t="str">
        <x:v>позор</x:v>
      </x:c>
      <x:c r="D48" s="56" t="n">
        <x:f>COUNTIFS('Data (parsed)'!$B$2:$B$235,A48,'Data (parsed)'!$C$2:$C$235,B48,'Data (parsed)'!$G$2:$G$235,C48,'Data (parsed)'!$I$2:$I$235,1)</x:f>
        <x:v>2</x:v>
      </x:c>
    </x:row>
    <x:row r="49" ht="15" hidden="0" customHeight="1">
      <x:c r="A49" s="65" t="str">
        <x:v>Shame</x:v>
      </x:c>
      <x:c r="B49" s="65" t="str">
        <x:v>Social shame</x:v>
      </x:c>
      <x:c r="C49" s="65" t="str">
        <x:v>стыдно</x:v>
      </x:c>
      <x:c r="D49" s="56" t="n">
        <x:f>COUNTIFS('Data (parsed)'!$B$2:$B$235,A49,'Data (parsed)'!$C$2:$C$235,B49,'Data (parsed)'!$G$2:$G$235,C49,'Data (parsed)'!$I$2:$I$235,1)</x:f>
        <x:v>5</x:v>
      </x:c>
    </x:row>
    <x:row r="50" ht="15" hidden="0" customHeight="1">
      <x:c r="A50" s="65" t="str">
        <x:v>Shame</x:v>
      </x:c>
      <x:c r="B50" s="65" t="str">
        <x:v>Social shame</x:v>
      </x:c>
      <x:c r="C50" s="65" t="str">
        <x:v>стыд</x:v>
      </x:c>
      <x:c r="D50" s="56" t="n">
        <x:f>COUNTIFS('Data (parsed)'!$B$2:$B$235,A50,'Data (parsed)'!$C$2:$C$235,B50,'Data (parsed)'!$G$2:$G$235,C50,'Data (parsed)'!$I$2:$I$235,1)</x:f>
        <x:v>3</x:v>
      </x:c>
    </x:row>
    <x:row r="51" ht="15" hidden="0" customHeight="1">
      <x:c r="A51" s="65" t="str">
        <x:v>Shame</x:v>
      </x:c>
      <x:c r="B51" s="65" t="str">
        <x:v>Social shame</x:v>
      </x:c>
      <x:c r="C51" s="65" t="str">
        <x:v>стыдиться</x:v>
      </x:c>
      <x:c r="D51" s="56" t="n">
        <x:f>COUNTIFS('Data (parsed)'!$B$2:$B$235,A51,'Data (parsed)'!$C$2:$C$235,B51,'Data (parsed)'!$G$2:$G$235,C51,'Data (parsed)'!$I$2:$I$235,1)</x:f>
        <x:v>2</x:v>
      </x:c>
    </x:row>
    <x:row r="52" ht="15" hidden="0" customHeight="1">
      <x:c r="A52" s="65" t="str">
        <x:v>Shame</x:v>
      </x:c>
      <x:c r="B52" s="65" t="str">
        <x:v>Social shame</x:v>
      </x:c>
      <x:c r="C52" s="65" t="str">
        <x:v>[paraphrase / no single-word equivalent]</x:v>
      </x:c>
      <x:c r="D52" s="56" t="n">
        <x:f>COUNTIFS('Data (parsed)'!$B$2:$B$235,A52,'Data (parsed)'!$C$2:$C$235,B52,'Data (parsed)'!$G$2:$G$235,C52,'Data (parsed)'!$I$2:$I$235,1)</x:f>
        <x:v>1</x:v>
      </x:c>
    </x:row>
    <x:row r="53" ht="15" hidden="0" customHeight="1">
      <x:c r="A53" s="65" t="str">
        <x:v>Shame</x:v>
      </x:c>
      <x:c r="B53" s="65" t="str">
        <x:v>Social shame</x:v>
      </x:c>
      <x:c r="C53" s="65" t="str">
        <x:v>позор</x:v>
      </x:c>
      <x:c r="D53" s="56" t="n">
        <x:f>COUNTIFS('Data (parsed)'!$B$2:$B$235,A53,'Data (parsed)'!$C$2:$C$235,B53,'Data (parsed)'!$G$2:$G$235,C53,'Data (parsed)'!$I$2:$I$235,1)</x:f>
        <x:v>1</x:v>
      </x:c>
    </x:row>
    <x:row r="54" ht="15" hidden="0" customHeight="1">
      <x:c r="A54" s="65" t="str">
        <x:v>Shame</x:v>
      </x:c>
      <x:c r="B54" s="65" t="str">
        <x:v>Social shame</x:v>
      </x:c>
      <x:c r="C54" s="65" t="str">
        <x:v>постыдный</x:v>
      </x:c>
      <x:c r="D54" s="56" t="n">
        <x:f>COUNTIFS('Data (parsed)'!$B$2:$B$235,A54,'Data (parsed)'!$C$2:$C$235,B54,'Data (parsed)'!$G$2:$G$235,C54,'Data (parsed)'!$I$2:$I$235,1)</x:f>
        <x:v>1</x:v>
      </x:c>
    </x:row>
    <x:row r="55" ht="15" hidden="0" customHeight="1">
      <x:c r="A55" s="65" t="str">
        <x:v>Shame</x:v>
      </x:c>
      <x:c r="B55" s="65" t="str">
        <x:v>Social shame</x:v>
      </x:c>
      <x:c r="C55" s="65" t="str">
        <x:v>сгорать</x:v>
      </x:c>
      <x:c r="D55" s="56" t="n">
        <x:f>COUNTIFS('Data (parsed)'!$B$2:$B$235,A55,'Data (parsed)'!$C$2:$C$235,B55,'Data (parsed)'!$G$2:$G$235,C55,'Data (parsed)'!$I$2:$I$235,1)</x:f>
        <x:v>1</x:v>
      </x:c>
    </x:row>
    <x:row r="56" ht="15" hidden="0" customHeight="1">
      <x:c r="A56" s="65" t="str">
        <x:v>Shame</x:v>
      </x:c>
      <x:c r="B56" s="65" t="str">
        <x:v>Social shame</x:v>
      </x:c>
      <x:c r="C56" s="65" t="str">
        <x:v>сгорать со стыда</x:v>
      </x:c>
      <x:c r="D56" s="56" t="n">
        <x:f>COUNTIFS('Data (parsed)'!$B$2:$B$235,A56,'Data (parsed)'!$C$2:$C$235,B56,'Data (parsed)'!$G$2:$G$235,C56,'Data (parsed)'!$I$2:$I$235,1)</x:f>
        <x:v>1</x:v>
      </x:c>
    </x:row>
    <x:row r="57" ht="15" hidden="0" customHeight="1">
      <x:c r="A57" s="65" t="str">
        <x:v>Shame</x:v>
      </x:c>
      <x:c r="B57" s="65" t="str">
        <x:v>Social shame</x:v>
      </x:c>
      <x:c r="C57" s="65" t="str">
        <x:v>смутить</x:v>
      </x:c>
      <x:c r="D57" s="56" t="n">
        <x:f>COUNTIFS('Data (parsed)'!$B$2:$B$235,A57,'Data (parsed)'!$C$2:$C$235,B57,'Data (parsed)'!$G$2:$G$235,C57,'Data (parsed)'!$I$2:$I$235,1)</x:f>
        <x:v>1</x:v>
      </x:c>
    </x:row>
    <x:row r="58" ht="15" hidden="0" customHeight="1">
      <x:c r="A58" s="65" t="str">
        <x:v>Shame</x:v>
      </x:c>
      <x:c r="B58" s="65" t="str">
        <x:v>Social shame</x:v>
      </x:c>
      <x:c r="C58" s="65" t="str">
        <x:v>смущенно</x:v>
      </x:c>
      <x:c r="D58" s="56" t="n">
        <x:f>COUNTIFS('Data (parsed)'!$B$2:$B$235,A58,'Data (parsed)'!$C$2:$C$235,B58,'Data (parsed)'!$G$2:$G$235,C58,'Data (parsed)'!$I$2:$I$235,1)</x:f>
        <x:v>1</x:v>
      </x:c>
    </x:row>
    <x:row r="59" ht="15" hidden="0" customHeight="1">
      <x:c r="A59" s="65" t="str">
        <x:v>Shame</x:v>
      </x:c>
      <x:c r="B59" s="65" t="str">
        <x:v>Social shame</x:v>
      </x:c>
      <x:c r="C59" s="65" t="str">
        <x:v>смущенный</x:v>
      </x:c>
      <x:c r="D59" s="56" t="n">
        <x:f>COUNTIFS('Data (parsed)'!$B$2:$B$235,A59,'Data (parsed)'!$C$2:$C$235,B59,'Data (parsed)'!$G$2:$G$235,C59,'Data (parsed)'!$I$2:$I$235,1)</x:f>
        <x:v>1</x:v>
      </x:c>
    </x:row>
    <x:row r="60" ht="15" hidden="0" customHeight="1">
      <x:c r="A60" s="65" t="str">
        <x:v>Shame</x:v>
      </x:c>
      <x:c r="B60" s="65" t="str">
        <x:v>Social shame</x:v>
      </x:c>
      <x:c r="C60" s="65" t="str">
        <x:v>унижение</x:v>
      </x:c>
      <x:c r="D60" s="56" t="n">
        <x:f>COUNTIFS('Data (parsed)'!$B$2:$B$235,A60,'Data (parsed)'!$C$2:$C$235,B60,'Data (parsed)'!$G$2:$G$235,C60,'Data (parsed)'!$I$2:$I$235,1)</x:f>
        <x:v>1</x:v>
      </x:c>
    </x:row>
    <x:row r="61" ht="15" hidden="0" customHeight="1">
      <x:c r="A61" s="65" t="str">
        <x:v>Shame</x:v>
      </x:c>
      <x:c r="B61" s="65" t="str">
        <x:v>Social shame (about the body)</x:v>
      </x:c>
      <x:c r="C61" s="65" t="str">
        <x:v>мука</x:v>
      </x:c>
      <x:c r="D61" s="56" t="n">
        <x:f>COUNTIFS('Data (parsed)'!$B$2:$B$235,A61,'Data (parsed)'!$C$2:$C$235,B61,'Data (parsed)'!$G$2:$G$235,C61,'Data (parsed)'!$I$2:$I$235,1)</x:f>
        <x:v>1</x:v>
      </x:c>
    </x:row>
    <x:row r="62" ht="15" hidden="0" customHeight="1">
      <x:c r="A62" s="65" t="str">
        <x:v>Shame</x:v>
      </x:c>
      <x:c r="B62" s="65" t="str">
        <x:v>Social shame (about the body)</x:v>
      </x:c>
      <x:c r="C62" s="65" t="str">
        <x:v>смутиться</x:v>
      </x:c>
      <x:c r="D62" s="56" t="n">
        <x:f>COUNTIFS('Data (parsed)'!$B$2:$B$235,A62,'Data (parsed)'!$C$2:$C$235,B62,'Data (parsed)'!$G$2:$G$235,C62,'Data (parsed)'!$I$2:$I$235,1)</x:f>
        <x:v>1</x:v>
      </x:c>
    </x:row>
    <x:row r="63" ht="15" hidden="0" customHeight="1">
      <x:c r="A63" s="65" t="str">
        <x:v>Shame</x:v>
      </x:c>
      <x:c r="B63" s="65" t="str">
        <x:v>Social shame (about the body)</x:v>
      </x:c>
      <x:c r="C63" s="65" t="str">
        <x:v>стыд</x:v>
      </x:c>
      <x:c r="D63" s="56" t="n">
        <x:f>COUNTIFS('Data (parsed)'!$B$2:$B$235,A63,'Data (parsed)'!$C$2:$C$235,B63,'Data (parsed)'!$G$2:$G$235,C63,'Data (parsed)'!$I$2:$I$235,1)</x:f>
        <x:v>1</x:v>
      </x:c>
    </x:row>
    <x:row r="64" ht="15" hidden="0" customHeight="1">
      <x:c r="A64" s="65" t="str">
        <x:v>Shame</x:v>
      </x:c>
      <x:c r="B64" s="65" t="str">
        <x:v>Social shame (about the body)</x:v>
      </x:c>
      <x:c r="C64" s="65" t="str">
        <x:v>стыдно</x:v>
      </x:c>
      <x:c r="D64" s="56" t="n">
        <x:f>COUNTIFS('Data (parsed)'!$B$2:$B$235,A64,'Data (parsed)'!$C$2:$C$235,B64,'Data (parsed)'!$G$2:$G$235,C64,'Data (parsed)'!$I$2:$I$235,1)</x:f>
        <x:v>1</x:v>
      </x:c>
    </x:row>
    <x:row r="65" ht="15" hidden="0" customHeight="1">
      <x:c r="A65" s="65" t="str">
        <x:v>Shame</x:v>
      </x:c>
      <x:c r="B65" s="65" t="str">
        <x:v>Social shame (somatic expression)</x:v>
      </x:c>
      <x:c r="C65" s="65" t="str">
        <x:v>зардевшись от смущения,</x:v>
      </x:c>
      <x:c r="D65" s="56" t="n">
        <x:f>COUNTIFS('Data (parsed)'!$B$2:$B$235,A65,'Data (parsed)'!$C$2:$C$235,B65,'Data (parsed)'!$G$2:$G$235,C65,'Data (parsed)'!$I$2:$I$235,1)</x:f>
        <x:v>1</x:v>
      </x:c>
    </x:row>
    <x:row r="66" ht="15" hidden="0" customHeight="1">
      <x:c r="A66" s="65" t="str">
        <x:v>Shame</x:v>
      </x:c>
      <x:c r="B66" s="65" t="str">
        <x:v>Social shame (somatic expression)</x:v>
      </x:c>
      <x:c r="C66" s="65" t="str">
        <x:v>обида</x:v>
      </x:c>
      <x:c r="D66" s="56" t="n">
        <x:f>COUNTIFS('Data (parsed)'!$B$2:$B$235,A66,'Data (parsed)'!$C$2:$C$235,B66,'Data (parsed)'!$G$2:$G$235,C66,'Data (parsed)'!$I$2:$I$235,1)</x:f>
        <x:v>1</x:v>
      </x:c>
    </x:row>
    <x:row r="67" ht="15" hidden="0" customHeight="1">
      <x:c r="A67" s="65" t="str">
        <x:v>Shame</x:v>
      </x:c>
      <x:c r="B67" s="65" t="str">
        <x:v>Social shame (somatic expression)</x:v>
      </x:c>
      <x:c r="C67" s="65" t="str">
        <x:v>сгорая от стыда.</x:v>
      </x:c>
      <x:c r="D67" s="56" t="n">
        <x:f>COUNTIFS('Data (parsed)'!$B$2:$B$235,A67,'Data (parsed)'!$C$2:$C$235,B67,'Data (parsed)'!$G$2:$G$235,C67,'Data (parsed)'!$I$2:$I$235,1)</x:f>
        <x:v>1</x:v>
      </x:c>
    </x:row>
    <x:row r="68" ht="15" hidden="0" customHeight="1">
      <x:c r="A68" s="65" t="str">
        <x:v>Shame</x:v>
      </x:c>
      <x:c r="B68" s="65" t="str">
        <x:v>Social shame (somatic expression)</x:v>
      </x:c>
      <x:c r="C68" s="65" t="str">
        <x:v>стыд</x:v>
      </x:c>
      <x:c r="D68" s="56" t="n">
        <x:f>COUNTIFS('Data (parsed)'!$B$2:$B$235,A68,'Data (parsed)'!$C$2:$C$235,B68,'Data (parsed)'!$G$2:$G$235,C68,'Data (parsed)'!$I$2:$I$235,1)</x:f>
        <x:v>1</x:v>
      </x:c>
    </x:row>
    <x:row r="69" ht="15" hidden="0" customHeight="1">
      <x:c r="A69" s="65" t="str">
        <x:v>Guilt</x:v>
      </x:c>
      <x:c r="B69" s="65" t="str">
        <x:v>Felt guilt</x:v>
      </x:c>
      <x:c r="C69" s="65" t="str">
        <x:v>вина</x:v>
      </x:c>
      <x:c r="D69" s="56" t="n">
        <x:f>COUNTIFS('Data (parsed)'!$B$2:$B$235,A69,'Data (parsed)'!$C$2:$C$235,B69,'Data (parsed)'!$G$2:$G$235,C69,'Data (parsed)'!$I$2:$I$235,1)</x:f>
        <x:v>4</x:v>
      </x:c>
    </x:row>
    <x:row r="70" ht="15" hidden="0" customHeight="1">
      <x:c r="A70" s="65" t="str">
        <x:v>Guilt</x:v>
      </x:c>
      <x:c r="B70" s="65" t="str">
        <x:v>Felt guilt</x:v>
      </x:c>
      <x:c r="C70" s="65" t="str">
        <x:v>провиниться</x:v>
      </x:c>
      <x:c r="D70" s="56" t="n">
        <x:f>COUNTIFS('Data (parsed)'!$B$2:$B$235,A70,'Data (parsed)'!$C$2:$C$235,B70,'Data (parsed)'!$G$2:$G$235,C70,'Data (parsed)'!$I$2:$I$235,1)</x:f>
        <x:v>2</x:v>
      </x:c>
    </x:row>
    <x:row r="71" ht="15" hidden="0" customHeight="1">
      <x:c r="A71" s="65" t="str">
        <x:v>Guilt</x:v>
      </x:c>
      <x:c r="B71" s="65" t="str">
        <x:v>Felt guilt</x:v>
      </x:c>
      <x:c r="C71" s="65" t="str">
        <x:v>совесть</x:v>
      </x:c>
      <x:c r="D71" s="56" t="n">
        <x:f>COUNTIFS('Data (parsed)'!$B$2:$B$235,A71,'Data (parsed)'!$C$2:$C$235,B71,'Data (parsed)'!$G$2:$G$235,C71,'Data (parsed)'!$I$2:$I$235,1)</x:f>
        <x:v>2</x:v>
      </x:c>
    </x:row>
    <x:row r="72" ht="15" hidden="0" customHeight="1">
      <x:c r="A72" s="65" t="str">
        <x:v>Guilt</x:v>
      </x:c>
      <x:c r="B72" s="65" t="str">
        <x:v>Felt guilt</x:v>
      </x:c>
      <x:c r="C72" s="65" t="str">
        <x:v>чувство вины</x:v>
      </x:c>
      <x:c r="D72" s="56" t="n">
        <x:f>COUNTIFS('Data (parsed)'!$B$2:$B$235,A72,'Data (parsed)'!$C$2:$C$235,B72,'Data (parsed)'!$G$2:$G$235,C72,'Data (parsed)'!$I$2:$I$235,1)</x:f>
        <x:v>2</x:v>
      </x:c>
    </x:row>
    <x:row r="73" ht="15" hidden="0" customHeight="1">
      <x:c r="A73" s="65" t="str">
        <x:v>Guilt</x:v>
      </x:c>
      <x:c r="B73" s="65" t="str">
        <x:v>Felt guilt</x:v>
      </x:c>
      <x:c r="C73" s="65" t="str">
        <x:v>виновато</x:v>
      </x:c>
      <x:c r="D73" s="56" t="n">
        <x:f>COUNTIFS('Data (parsed)'!$B$2:$B$235,A73,'Data (parsed)'!$C$2:$C$235,B73,'Data (parsed)'!$G$2:$G$235,C73,'Data (parsed)'!$I$2:$I$235,1)</x:f>
        <x:v>1</x:v>
      </x:c>
    </x:row>
    <x:row r="74" ht="15" hidden="0" customHeight="1">
      <x:c r="A74" s="65" t="str">
        <x:v>Guilt</x:v>
      </x:c>
      <x:c r="B74" s="65" t="str">
        <x:v>Felt guilt</x:v>
      </x:c>
      <x:c r="C74" s="65" t="str">
        <x:v>виноватый</x:v>
      </x:c>
      <x:c r="D74" s="56" t="n">
        <x:f>COUNTIFS('Data (parsed)'!$B$2:$B$235,A74,'Data (parsed)'!$C$2:$C$235,B74,'Data (parsed)'!$G$2:$G$235,C74,'Data (parsed)'!$I$2:$I$235,1)</x:f>
        <x:v>1</x:v>
      </x:c>
    </x:row>
    <x:row r="75" ht="15" hidden="0" customHeight="1">
      <x:c r="A75" s="65" t="str">
        <x:v>Guilt</x:v>
      </x:c>
      <x:c r="B75" s="65" t="str">
        <x:v>Felt guilt</x:v>
      </x:c>
      <x:c r="C75" s="65" t="str">
        <x:v>позор</x:v>
      </x:c>
      <x:c r="D75" s="56" t="n">
        <x:f>COUNTIFS('Data (parsed)'!$B$2:$B$235,A75,'Data (parsed)'!$C$2:$C$235,B75,'Data (parsed)'!$G$2:$G$235,C75,'Data (parsed)'!$I$2:$I$235,1)</x:f>
        <x:v>1</x:v>
      </x:c>
    </x:row>
    <x:row r="76" ht="15" hidden="0" customHeight="1">
      <x:c r="A76" s="65" t="str">
        <x:v>Guilt</x:v>
      </x:c>
      <x:c r="B76" s="65" t="str">
        <x:v>Felt guilt</x:v>
      </x:c>
      <x:c r="C76" s="65" t="str">
        <x:v>смущенно</x:v>
      </x:c>
      <x:c r="D76" s="56" t="n">
        <x:f>COUNTIFS('Data (parsed)'!$B$2:$B$235,A76,'Data (parsed)'!$C$2:$C$235,B76,'Data (parsed)'!$G$2:$G$235,C76,'Data (parsed)'!$I$2:$I$235,1)</x:f>
        <x:v>1</x:v>
      </x:c>
    </x:row>
    <x:row r="77" ht="15" hidden="0" customHeight="1">
      <x:c r="A77" s="65" t="str">
        <x:v>Guilt</x:v>
      </x:c>
      <x:c r="B77" s="65" t="str">
        <x:v>Felt guilt</x:v>
      </x:c>
      <x:c r="C77" s="65" t="str">
        <x:v>стесняться</x:v>
      </x:c>
      <x:c r="D77" s="56" t="n">
        <x:f>COUNTIFS('Data (parsed)'!$B$2:$B$235,A77,'Data (parsed)'!$C$2:$C$235,B77,'Data (parsed)'!$G$2:$G$235,C77,'Data (parsed)'!$I$2:$I$235,1)</x:f>
        <x:v>1</x:v>
      </x:c>
    </x:row>
    <x:row r="78" ht="15" hidden="0" customHeight="1">
      <x:c r="A78" s="65" t="str">
        <x:v>Guilt</x:v>
      </x:c>
      <x:c r="B78" s="65" t="str">
        <x:v>Felt guilt</x:v>
      </x:c>
      <x:c r="C78" s="65" t="str">
        <x:v>стыдно</x:v>
      </x:c>
      <x:c r="D78" s="56" t="n">
        <x:f>COUNTIFS('Data (parsed)'!$B$2:$B$235,A78,'Data (parsed)'!$C$2:$C$235,B78,'Data (parsed)'!$G$2:$G$235,C78,'Data (parsed)'!$I$2:$I$235,1)</x:f>
        <x:v>1</x:v>
      </x:c>
    </x:row>
    <x:row r="79" ht="15" hidden="0" customHeight="1">
      <x:c r="A79" s="65" t="str">
        <x:v>Guilt</x:v>
      </x:c>
      <x:c r="B79" s="65" t="str">
        <x:v>Felt guilt</x:v>
      </x:c>
      <x:c r="C79" s="65" t="str">
        <x:v>угрызения совести.</x:v>
      </x:c>
      <x:c r="D79" s="56" t="n">
        <x:f>COUNTIFS('Data (parsed)'!$B$2:$B$235,A79,'Data (parsed)'!$C$2:$C$235,B79,'Data (parsed)'!$G$2:$G$235,C79,'Data (parsed)'!$I$2:$I$235,1)</x:f>
        <x:v>1</x:v>
      </x:c>
    </x:row>
    <x:row r="80" ht="15" hidden="0" customHeight="1">
      <x:c r="A80" s="65" t="str">
        <x:v>Guilt</x:v>
      </x:c>
      <x:c r="B80" s="65" t="str">
        <x:v>Felt guilt (guilty conscience)</x:v>
      </x:c>
      <x:c r="C80" s="65" t="str">
        <x:v>совесть</x:v>
      </x:c>
      <x:c r="D80" s="56" t="n">
        <x:f>COUNTIFS('Data (parsed)'!$B$2:$B$235,A80,'Data (parsed)'!$C$2:$C$235,B80,'Data (parsed)'!$G$2:$G$235,C80,'Data (parsed)'!$I$2:$I$235,1)</x:f>
        <x:v>3</x:v>
      </x:c>
    </x:row>
    <x:row r="81" ht="15" hidden="0" customHeight="1">
      <x:c r="A81" s="65" t="str">
        <x:v>Guilt</x:v>
      </x:c>
      <x:c r="B81" s="65" t="str">
        <x:v>Felt guilt (guilty pleasure)</x:v>
      </x:c>
      <x:c r="C81" s="65" t="str">
        <x:v>[paraphrase / no single-word equivalent]</x:v>
      </x:c>
      <x:c r="D81" s="56" t="n">
        <x:f>COUNTIFS('Data (parsed)'!$B$2:$B$235,A81,'Data (parsed)'!$C$2:$C$235,B81,'Data (parsed)'!$G$2:$G$235,C81,'Data (parsed)'!$I$2:$I$235,1)</x:f>
        <x:v>2</x:v>
      </x:c>
    </x:row>
    <x:row r="82" ht="15" hidden="0" customHeight="1">
      <x:c r="A82" s="65" t="str">
        <x:v>Guilt</x:v>
      </x:c>
      <x:c r="B82" s="65" t="str">
        <x:v>Felt guilt (guilty pleasure)</x:v>
      </x:c>
      <x:c r="C82" s="65" t="str">
        <x:v>угрызение</x:v>
      </x:c>
      <x:c r="D82" s="56" t="n">
        <x:f>COUNTIFS('Data (parsed)'!$B$2:$B$235,A82,'Data (parsed)'!$C$2:$C$235,B82,'Data (parsed)'!$G$2:$G$235,C82,'Data (parsed)'!$I$2:$I$235,1)</x:f>
        <x:v>1</x:v>
      </x:c>
    </x:row>
    <x:row r="83" ht="15" hidden="0" customHeight="1">
      <x:c r="A83" s="65" t="str">
        <x:v>Guilt</x:v>
      </x:c>
      <x:c r="B83" s="65" t="str">
        <x:v>Guilt as deed</x:v>
      </x:c>
      <x:c r="C83" s="65" t="str">
        <x:v>вина</x:v>
      </x:c>
      <x:c r="D83" s="56" t="n">
        <x:f>COUNTIFS('Data (parsed)'!$B$2:$B$235,A83,'Data (parsed)'!$C$2:$C$235,B83,'Data (parsed)'!$G$2:$G$235,C83,'Data (parsed)'!$I$2:$I$235,1)</x:f>
        <x:v>1</x:v>
      </x:c>
    </x:row>
    <x:row r="84" ht="15" hidden="0" customHeight="1">
      <x:c r="A84" s="65" t="str">
        <x:v>Guilt</x:v>
      </x:c>
      <x:c r="B84" s="65" t="str">
        <x:v>Guilt as deed</x:v>
      </x:c>
      <x:c r="C84" s="65" t="str">
        <x:v>виноватый</x:v>
      </x:c>
      <x:c r="D84" s="56" t="n">
        <x:f>COUNTIFS('Data (parsed)'!$B$2:$B$235,A84,'Data (parsed)'!$C$2:$C$235,B84,'Data (parsed)'!$G$2:$G$235,C84,'Data (parsed)'!$I$2:$I$235,1)</x:f>
        <x:v>1</x:v>
      </x:c>
    </x:row>
    <x:row r="85" ht="15" hidden="0" customHeight="1">
      <x:c r="A85" s="65" t="str">
        <x:v>Guilt</x:v>
      </x:c>
      <x:c r="B85" s="65" t="str">
        <x:v>Guilt as deed</x:v>
      </x:c>
      <x:c r="C85" s="65" t="str">
        <x:v>нашкодить</x:v>
      </x:c>
      <x:c r="D85" s="56" t="n">
        <x:f>COUNTIFS('Data (parsed)'!$B$2:$B$235,A85,'Data (parsed)'!$C$2:$C$235,B85,'Data (parsed)'!$G$2:$G$235,C85,'Data (parsed)'!$I$2:$I$235,1)</x:f>
        <x:v>1</x:v>
      </x:c>
    </x:row>
    <x:row r="86" ht="15" hidden="0" customHeight="1">
      <x:c r="A86" s="65" t="str">
        <x:v>Guilt</x:v>
      </x:c>
      <x:c r="B86" s="65" t="str">
        <x:v>Guilt as deed</x:v>
      </x:c>
      <x:c r="C86" s="65" t="str">
        <x:v>повинный</x:v>
      </x:c>
      <x:c r="D86" s="56" t="n">
        <x:f>COUNTIFS('Data (parsed)'!$B$2:$B$235,A86,'Data (parsed)'!$C$2:$C$235,B86,'Data (parsed)'!$G$2:$G$235,C86,'Data (parsed)'!$I$2:$I$235,1)</x:f>
        <x:v>1</x:v>
      </x:c>
    </x:row>
    <x:row r="87" ht="15" hidden="0" customHeight="1">
      <x:c r="A87" s="65" t="str">
        <x:v>Guilt</x:v>
      </x:c>
      <x:c r="B87" s="65" t="str">
        <x:v>Guilt as deed</x:v>
      </x:c>
      <x:c r="C87" s="65" t="str">
        <x:v>согрешить</x:v>
      </x:c>
      <x:c r="D87" s="56" t="n">
        <x:f>COUNTIFS('Data (parsed)'!$B$2:$B$235,A87,'Data (parsed)'!$C$2:$C$235,B87,'Data (parsed)'!$G$2:$G$235,C87,'Data (parsed)'!$I$2:$I$235,1)</x:f>
        <x:v>1</x:v>
      </x:c>
    </x:row>
    <x:row r="88" ht="15" hidden="0" customHeight="1">
      <x:c r="A88" s="65" t="str">
        <x:v>Guilt</x:v>
      </x:c>
      <x:c r="B88" s="65" t="str">
        <x:v>Guilt as tormentor</x:v>
      </x:c>
      <x:c r="C88" s="65" t="str">
        <x:v>раскаяние</x:v>
      </x:c>
      <x:c r="D88" s="56" t="n">
        <x:f>COUNTIFS('Data (parsed)'!$B$2:$B$235,A88,'Data (parsed)'!$C$2:$C$235,B88,'Data (parsed)'!$G$2:$G$235,C88,'Data (parsed)'!$I$2:$I$235,1)</x:f>
        <x:v>1</x:v>
      </x:c>
    </x:row>
    <x:row r="89" ht="15" hidden="0" customHeight="1">
      <x:c r="A89" s="65" t="str">
        <x:v>Guilt</x:v>
      </x:c>
      <x:c r="B89" s="65" t="str">
        <x:v>Guilt as tormentor</x:v>
      </x:c>
      <x:c r="C89" s="65" t="str">
        <x:v>совесть</x:v>
      </x:c>
      <x:c r="D89" s="56" t="n">
        <x:f>COUNTIFS('Data (parsed)'!$B$2:$B$235,A89,'Data (parsed)'!$C$2:$C$235,B89,'Data (parsed)'!$G$2:$G$235,C89,'Data (parsed)'!$I$2:$I$235,1)</x:f>
        <x:v>1</x:v>
      </x:c>
    </x:row>
    <x:row r="90" ht="15" hidden="0" customHeight="1">
      <x:c r="A90" s="65" t="str">
        <x:v>Guilt</x:v>
      </x:c>
      <x:c r="B90" s="65" t="str">
        <x:v>Guilt as weight</x:v>
      </x:c>
      <x:c r="C90" s="65" t="str">
        <x:v>грешный</x:v>
      </x:c>
      <x:c r="D90" s="56" t="n">
        <x:f>COUNTIFS('Data (parsed)'!$B$2:$B$235,A90,'Data (parsed)'!$C$2:$C$235,B90,'Data (parsed)'!$G$2:$G$235,C90,'Data (parsed)'!$I$2:$I$235,1)</x:f>
        <x:v>1</x:v>
      </x:c>
    </x:row>
    <x:row r="91" ht="15" hidden="0" customHeight="1">
      <x:c r="A91" s="65" t="str">
        <x:v>Conscience</x:v>
      </x:c>
      <x:c r="B91" s="65" t="str">
        <x:v>Absent reaction</x:v>
      </x:c>
      <x:c r="C91" s="65" t="str">
        <x:v>совесть</x:v>
      </x:c>
      <x:c r="D91" s="56" t="n">
        <x:f>COUNTIFS('Data (parsed)'!$B$2:$B$235,A91,'Data (parsed)'!$C$2:$C$235,B91,'Data (parsed)'!$G$2:$G$235,C91,'Data (parsed)'!$I$2:$I$235,1)</x:f>
        <x:v>6</x:v>
      </x:c>
    </x:row>
    <x:row r="92" ht="15" hidden="0" customHeight="1">
      <x:c r="A92" s="65" t="str">
        <x:v>Conscience</x:v>
      </x:c>
      <x:c r="B92" s="65" t="str">
        <x:v>Absent reaction</x:v>
      </x:c>
      <x:c r="C92" s="65" t="str">
        <x:v>сознание</x:v>
      </x:c>
      <x:c r="D92" s="56" t="n">
        <x:f>COUNTIFS('Data (parsed)'!$B$2:$B$235,A92,'Data (parsed)'!$C$2:$C$235,B92,'Data (parsed)'!$G$2:$G$235,C92,'Data (parsed)'!$I$2:$I$235,1)</x:f>
        <x:v>1</x:v>
      </x:c>
    </x:row>
    <x:row r="93" ht="15" hidden="0" customHeight="1">
      <x:c r="A93" s="65" t="str">
        <x:v>Conscience</x:v>
      </x:c>
      <x:c r="B93" s="65" t="str">
        <x:v>Absent reaction</x:v>
      </x:c>
      <x:c r="C93" s="65" t="str">
        <x:v>угрызение</x:v>
      </x:c>
      <x:c r="D93" s="56" t="n">
        <x:f>COUNTIFS('Data (parsed)'!$B$2:$B$235,A93,'Data (parsed)'!$C$2:$C$235,B93,'Data (parsed)'!$G$2:$G$235,C93,'Data (parsed)'!$I$2:$I$235,1)</x:f>
        <x:v>1</x:v>
      </x:c>
    </x:row>
    <x:row r="94" ht="15" hidden="0" customHeight="1">
      <x:c r="A94" s="65" t="str">
        <x:v>Conscience</x:v>
      </x:c>
      <x:c r="B94" s="65" t="str">
        <x:v>Dormant / waking creature</x:v>
      </x:c>
      <x:c r="C94" s="65" t="str">
        <x:v>совесть</x:v>
      </x:c>
      <x:c r="D94" s="56" t="n">
        <x:f>COUNTIFS('Data (parsed)'!$B$2:$B$235,A94,'Data (parsed)'!$C$2:$C$235,B94,'Data (parsed)'!$G$2:$G$235,C94,'Data (parsed)'!$I$2:$I$235,1)</x:f>
        <x:v>3</x:v>
      </x:c>
    </x:row>
    <x:row r="95" ht="15" hidden="0" customHeight="1">
      <x:c r="A95" s="65" t="str">
        <x:v>Conscience</x:v>
      </x:c>
      <x:c r="B95" s="65" t="str">
        <x:v>General faculty</x:v>
      </x:c>
      <x:c r="C95" s="65" t="str">
        <x:v>совесть</x:v>
      </x:c>
      <x:c r="D95" s="56" t="n">
        <x:f>COUNTIFS('Data (parsed)'!$B$2:$B$235,A95,'Data (parsed)'!$C$2:$C$235,B95,'Data (parsed)'!$G$2:$G$235,C95,'Data (parsed)'!$I$2:$I$235,1)</x:f>
        <x:v>2</x:v>
      </x:c>
    </x:row>
    <x:row r="96" ht="15" hidden="0" customHeight="1">
      <x:c r="A96" s="65" t="str">
        <x:v>Conscience</x:v>
      </x:c>
      <x:c r="B96" s="65" t="str">
        <x:v>Internal authority (advisor / opponent)</x:v>
      </x:c>
      <x:c r="C96" s="65" t="str">
        <x:v>совесть</x:v>
      </x:c>
      <x:c r="D96" s="56" t="n">
        <x:f>COUNTIFS('Data (parsed)'!$B$2:$B$235,A96,'Data (parsed)'!$C$2:$C$235,B96,'Data (parsed)'!$G$2:$G$235,C96,'Data (parsed)'!$I$2:$I$235,1)</x:f>
        <x:v>8</x:v>
      </x:c>
    </x:row>
    <x:row r="97" ht="15" hidden="0" customHeight="1">
      <x:c r="A97" s="65" t="str">
        <x:v>Conscience</x:v>
      </x:c>
      <x:c r="B97" s="65" t="str">
        <x:v>Internal authority (advisor / opponent)</x:v>
      </x:c>
      <x:c r="C97" s="65" t="str">
        <x:v>сомнение</x:v>
      </x:c>
      <x:c r="D97" s="56" t="n">
        <x:f>COUNTIFS('Data (parsed)'!$B$2:$B$235,A97,'Data (parsed)'!$C$2:$C$235,B97,'Data (parsed)'!$G$2:$G$235,C97,'Data (parsed)'!$I$2:$I$235,1)</x:f>
        <x:v>1</x:v>
      </x:c>
    </x:row>
    <x:row r="98" ht="15" hidden="0" customHeight="1">
      <x:c r="A98" s="65" t="str">
        <x:v>Conscience</x:v>
      </x:c>
      <x:c r="B98" s="65" t="str">
        <x:v>Internal authority (judge)</x:v>
      </x:c>
      <x:c r="C98" s="65" t="str">
        <x:v>[paraphrase / no single-word equivalent]</x:v>
      </x:c>
      <x:c r="D98" s="56" t="n">
        <x:f>COUNTIFS('Data (parsed)'!$B$2:$B$235,A98,'Data (parsed)'!$C$2:$C$235,B98,'Data (parsed)'!$G$2:$G$235,C98,'Data (parsed)'!$I$2:$I$235,1)</x:f>
        <x:v>1</x:v>
      </x:c>
    </x:row>
    <x:row r="99" ht="15" hidden="0" customHeight="1">
      <x:c r="A99" s="65" t="str">
        <x:v>Conscience</x:v>
      </x:c>
      <x:c r="B99" s="65" t="str">
        <x:v>Object (clean / unclean)</x:v>
      </x:c>
      <x:c r="C99" s="65" t="str">
        <x:v>совесть</x:v>
      </x:c>
      <x:c r="D99" s="56" t="n">
        <x:f>COUNTIFS('Data (parsed)'!$B$2:$B$235,A99,'Data (parsed)'!$C$2:$C$235,B99,'Data (parsed)'!$G$2:$G$235,C99,'Data (parsed)'!$I$2:$I$235,1)</x:f>
        <x:v>1</x:v>
      </x:c>
    </x:row>
    <x:row r="100" ht="15" hidden="0" customHeight="1">
      <x:c r="A100" s="65" t="str">
        <x:v>Conscience</x:v>
      </x:c>
      <x:c r="B100" s="65" t="str">
        <x:v>Object (stretchable)</x:v>
      </x:c>
      <x:c r="C100" s="65" t="str">
        <x:v>совесть</x:v>
      </x:c>
      <x:c r="D100" s="56" t="n">
        <x:f>COUNTIFS('Data (parsed)'!$B$2:$B$235,A100,'Data (parsed)'!$C$2:$C$235,B100,'Data (parsed)'!$G$2:$G$235,C100,'Data (parsed)'!$I$2:$I$235,1)</x:f>
        <x:v>1</x:v>
      </x:c>
    </x:row>
    <x:row r="101" ht="15" hidden="0" customHeight="1">
      <x:c r="A101" s="65" t="str">
        <x:v>Conscience</x:v>
      </x:c>
      <x:c r="B101" s="65" t="str">
        <x:v>Pained body part</x:v>
      </x:c>
      <x:c r="C101" s="65" t="str">
        <x:v>совесть</x:v>
      </x:c>
      <x:c r="D101" s="56" t="n">
        <x:f>COUNTIFS('Data (parsed)'!$B$2:$B$235,A101,'Data (parsed)'!$C$2:$C$235,B101,'Data (parsed)'!$G$2:$G$235,C101,'Data (parsed)'!$I$2:$I$235,1)</x:f>
        <x:v>2</x:v>
      </x:c>
    </x:row>
    <x:row r="102" ht="15" hidden="0" customHeight="1">
      <x:c r="A102" s="65" t="str">
        <x:v>Conscience</x:v>
      </x:c>
      <x:c r="B102" s="65" t="str">
        <x:v>Resource</x:v>
      </x:c>
      <x:c r="C102" s="65" t="str">
        <x:v>совесть</x:v>
      </x:c>
      <x:c r="D102" s="56" t="n">
        <x:f>COUNTIFS('Data (parsed)'!$B$2:$B$235,A102,'Data (parsed)'!$C$2:$C$235,B102,'Data (parsed)'!$G$2:$G$235,C102,'Data (parsed)'!$I$2:$I$235,1)</x:f>
        <x:v>1</x:v>
      </x:c>
    </x:row>
    <x:row r="103" ht="15" hidden="0" customHeight="1">
      <x:c r="A103" s="65" t="str">
        <x:v>Conscience</x:v>
      </x:c>
      <x:c r="B103" s="65" t="str">
        <x:v>Tormentor / punisher</x:v>
      </x:c>
      <x:c r="C103" s="65" t="str">
        <x:v>совесть</x:v>
      </x:c>
      <x:c r="D103" s="56" t="n">
        <x:f>COUNTIFS('Data (parsed)'!$B$2:$B$235,A103,'Data (parsed)'!$C$2:$C$235,B103,'Data (parsed)'!$G$2:$G$235,C103,'Data (parsed)'!$I$2:$I$235,1)</x:f>
        <x:v>5</x:v>
      </x:c>
    </x:row>
    <x:row r="104" ht="15" hidden="0" customHeight="1">
      <x:c r="A104" s="65" t="str">
        <x:v>Conscience</x:v>
      </x:c>
      <x:c r="B104" s="65" t="str">
        <x:v>Tormentor / punisher</x:v>
      </x:c>
      <x:c r="C104" s="65" t="str">
        <x:v>засовеститься</x:v>
      </x:c>
      <x:c r="D104" s="56" t="n">
        <x:f>COUNTIFS('Data (parsed)'!$B$2:$B$235,A104,'Data (parsed)'!$C$2:$C$235,B104,'Data (parsed)'!$G$2:$G$235,C104,'Data (parsed)'!$I$2:$I$235,1)</x:f>
        <x:v>1</x:v>
      </x:c>
    </x:row>
    <x:row r="105" ht="15" hidden="0" customHeight="1">
      <x:c r="A105" s="65" t="str">
        <x:v>Conscience</x:v>
      </x:c>
      <x:c r="B105" s="65" t="str">
        <x:v>Tormentor / punisher</x:v>
      </x:c>
      <x:c r="C105" s="65" t="str">
        <x:v>угрызения совести:</x:v>
      </x:c>
      <x:c r="D105" s="56" t="n">
        <x:f>COUNTIFS('Data (parsed)'!$B$2:$B$235,A105,'Data (parsed)'!$C$2:$C$235,B105,'Data (parsed)'!$G$2:$G$235,C105,'Data (parsed)'!$I$2:$I$235,1)</x:f>
        <x:v>1</x:v>
      </x:c>
    </x:row>
    <x:row r="106" ht="15" hidden="0" customHeight="1">
      <x:c r="A106" s="65" t="str">
        <x:v>Conscience</x:v>
      </x:c>
      <x:c r="B106" s="65" t="str">
        <x:v>Weight</x:v>
      </x:c>
      <x:c r="C106" s="65" t="str">
        <x:v>совесть</x:v>
      </x:c>
      <x:c r="D106" s="56" t="n">
        <x:f>COUNTIFS('Data (parsed)'!$B$2:$B$235,A106,'Data (parsed)'!$C$2:$C$235,B106,'Data (parsed)'!$G$2:$G$235,C106,'Data (parsed)'!$I$2:$I$235,1)</x:f>
        <x:v>2</x:v>
      </x:c>
    </x:row>
    <x:row r="107" ht="15" hidden="0" customHeight="1">
      <x:c r="A107" s="65" t="str">
        <x:v>Conscience</x:v>
      </x:c>
      <x:c r="B107" s="65" t="str">
        <x:v>Weight</x:v>
      </x:c>
      <x:c r="C107" s="65" t="str">
        <x:v>принизить</x:v>
      </x:c>
      <x:c r="D107" s="56" t="n">
        <x:f>COUNTIFS('Data (parsed)'!$B$2:$B$235,A107,'Data (parsed)'!$C$2:$C$235,B107,'Data (parsed)'!$G$2:$G$235,C107,'Data (parsed)'!$I$2:$I$235,1)</x:f>
        <x:v>1</x:v>
      </x:c>
    </x:row>
    <x:row r="108" ht="15" hidden="0" customHeight="1">
      <x:c r="A108" s="65" t="str">
        <x:v>Conscience</x:v>
      </x:c>
      <x:c r="B108" s="65" t="str">
        <x:v>Weight</x:v>
      </x:c>
      <x:c r="C108" s="65" t="str">
        <x:v>чувство вины</x:v>
      </x:c>
      <x:c r="D108" s="56" t="n">
        <x:f>COUNTIFS('Data (parsed)'!$B$2:$B$235,A108,'Data (parsed)'!$C$2:$C$235,B108,'Data (parsed)'!$G$2:$G$235,C108,'Data (parsed)'!$I$2:$I$235,1)</x:f>
        <x:v>1</x:v>
      </x:c>
    </x:row>
    <x:row r="109" ht="15" hidden="0" customHeight="1">
      <x:c r="A109" s="65" t="str">
        <x:v>Honor</x:v>
      </x:c>
      <x:c r="B109" s="65" t="str">
        <x:v>Absent / dishonor</x:v>
      </x:c>
      <x:c r="C109" s="65" t="str">
        <x:v>бесчестный</x:v>
      </x:c>
      <x:c r="D109" s="56" t="n">
        <x:f>COUNTIFS('Data (parsed)'!$B$2:$B$235,A109,'Data (parsed)'!$C$2:$C$235,B109,'Data (parsed)'!$G$2:$G$235,C109,'Data (parsed)'!$I$2:$I$235,1)</x:f>
        <x:v>2</x:v>
      </x:c>
    </x:row>
    <x:row r="110" ht="15" hidden="0" customHeight="1">
      <x:c r="A110" s="65" t="str">
        <x:v>Honor</x:v>
      </x:c>
      <x:c r="B110" s="65" t="str">
        <x:v>Absent / dishonor</x:v>
      </x:c>
      <x:c r="C110" s="65" t="str">
        <x:v>порядочный</x:v>
      </x:c>
      <x:c r="D110" s="56" t="n">
        <x:f>COUNTIFS('Data (parsed)'!$B$2:$B$235,A110,'Data (parsed)'!$C$2:$C$235,B110,'Data (parsed)'!$G$2:$G$235,C110,'Data (parsed)'!$I$2:$I$235,1)</x:f>
        <x:v>1</x:v>
      </x:c>
    </x:row>
    <x:row r="111" ht="15" hidden="0" customHeight="1">
      <x:c r="A111" s="65" t="str">
        <x:v>Honor</x:v>
      </x:c>
      <x:c r="B111" s="65" t="str">
        <x:v>Absent / dishonor</x:v>
      </x:c>
      <x:c r="C111" s="65" t="str">
        <x:v>унизительно</x:v>
      </x:c>
      <x:c r="D111" s="56" t="n">
        <x:f>COUNTIFS('Data (parsed)'!$B$2:$B$235,A111,'Data (parsed)'!$C$2:$C$235,B111,'Data (parsed)'!$G$2:$G$235,C111,'Data (parsed)'!$I$2:$I$235,1)</x:f>
        <x:v>1</x:v>
      </x:c>
    </x:row>
    <x:row r="112" ht="15" hidden="0" customHeight="1">
      <x:c r="A112" s="65" t="str">
        <x:v>Honor</x:v>
      </x:c>
      <x:c r="B112" s="65" t="str">
        <x:v>Absent / dishonor</x:v>
      </x:c>
      <x:c r="C112" s="65" t="str">
        <x:v>честь</x:v>
      </x:c>
      <x:c r="D112" s="56" t="n">
        <x:f>COUNTIFS('Data (parsed)'!$B$2:$B$235,A112,'Data (parsed)'!$C$2:$C$235,B112,'Data (parsed)'!$G$2:$G$235,C112,'Data (parsed)'!$I$2:$I$235,1)</x:f>
        <x:v>1</x:v>
      </x:c>
    </x:row>
    <x:row r="113" ht="15" hidden="0" customHeight="1">
      <x:c r="A113" s="65" t="str">
        <x:v>Honor</x:v>
      </x:c>
      <x:c r="B113" s="65" t="str">
        <x:v>Ironic / mocked</x:v>
      </x:c>
      <x:c r="C113" s="65" t="str">
        <x:v>честь</x:v>
      </x:c>
      <x:c r="D113" s="56" t="n">
        <x:f>COUNTIFS('Data (parsed)'!$B$2:$B$235,A113,'Data (parsed)'!$C$2:$C$235,B113,'Data (parsed)'!$G$2:$G$235,C113,'Data (parsed)'!$I$2:$I$235,1)</x:f>
        <x:v>2</x:v>
      </x:c>
    </x:row>
    <x:row r="114" ht="15" hidden="0" customHeight="1">
      <x:c r="A114" s="65" t="str">
        <x:v>Honor</x:v>
      </x:c>
      <x:c r="B114" s="65" t="str">
        <x:v>Ironic / mocked</x:v>
      </x:c>
      <x:c r="C114" s="65" t="str">
        <x:v>порядочность</x:v>
      </x:c>
      <x:c r="D114" s="56" t="n">
        <x:f>COUNTIFS('Data (parsed)'!$B$2:$B$235,A114,'Data (parsed)'!$C$2:$C$235,B114,'Data (parsed)'!$G$2:$G$235,C114,'Data (parsed)'!$I$2:$I$235,1)</x:f>
        <x:v>1</x:v>
      </x:c>
    </x:row>
    <x:row r="115" ht="15" hidden="0" customHeight="1">
      <x:c r="A115" s="65" t="str">
        <x:v>Honor</x:v>
      </x:c>
      <x:c r="B115" s="65" t="str">
        <x:v>Ironic / mocked</x:v>
      </x:c>
      <x:c r="C115" s="65" t="str">
        <x:v>почтенный</x:v>
      </x:c>
      <x:c r="D115" s="56" t="n">
        <x:f>COUNTIFS('Data (parsed)'!$B$2:$B$235,A115,'Data (parsed)'!$C$2:$C$235,B115,'Data (parsed)'!$G$2:$G$235,C115,'Data (parsed)'!$I$2:$I$235,1)</x:f>
        <x:v>1</x:v>
      </x:c>
    </x:row>
    <x:row r="116" ht="15" hidden="0" customHeight="1">
      <x:c r="A116" s="65" t="str">
        <x:v>Honor</x:v>
      </x:c>
      <x:c r="B116" s="65" t="str">
        <x:v>Ironic / mocked</x:v>
      </x:c>
      <x:c r="C116" s="65" t="str">
        <x:v>чтимый</x:v>
      </x:c>
      <x:c r="D116" s="56" t="n">
        <x:f>COUNTIFS('Data (parsed)'!$B$2:$B$235,A116,'Data (parsed)'!$C$2:$C$235,B116,'Data (parsed)'!$G$2:$G$235,C116,'Data (parsed)'!$I$2:$I$235,1)</x:f>
        <x:v>1</x:v>
      </x:c>
    </x:row>
    <x:row r="117" ht="15" hidden="0" customHeight="1">
      <x:c r="A117" s="65" t="str">
        <x:v>Honor</x:v>
      </x:c>
      <x:c r="B117" s="65" t="str">
        <x:v>Moral code</x:v>
      </x:c>
      <x:c r="C117" s="65" t="str">
        <x:v>честь</x:v>
      </x:c>
      <x:c r="D117" s="56" t="n">
        <x:f>COUNTIFS('Data (parsed)'!$B$2:$B$235,A117,'Data (parsed)'!$C$2:$C$235,B117,'Data (parsed)'!$G$2:$G$235,C117,'Data (parsed)'!$I$2:$I$235,1)</x:f>
        <x:v>12</x:v>
      </x:c>
    </x:row>
    <x:row r="118" ht="15" hidden="0" customHeight="1">
      <x:c r="A118" s="65" t="str">
        <x:v>Honor</x:v>
      </x:c>
      <x:c r="B118" s="65" t="str">
        <x:v>Moral code</x:v>
      </x:c>
      <x:c r="C118" s="65" t="str">
        <x:v>благородный</x:v>
      </x:c>
      <x:c r="D118" s="56" t="n">
        <x:f>COUNTIFS('Data (parsed)'!$B$2:$B$235,A118,'Data (parsed)'!$C$2:$C$235,B118,'Data (parsed)'!$G$2:$G$235,C118,'Data (parsed)'!$I$2:$I$235,1)</x:f>
        <x:v>5</x:v>
      </x:c>
    </x:row>
    <x:row r="119" ht="15" hidden="0" customHeight="1">
      <x:c r="A119" s="65" t="str">
        <x:v>Honor</x:v>
      </x:c>
      <x:c r="B119" s="65" t="str">
        <x:v>Moral code</x:v>
      </x:c>
      <x:c r="C119" s="65" t="str">
        <x:v>бесчестный</x:v>
      </x:c>
      <x:c r="D119" s="56" t="n">
        <x:f>COUNTIFS('Data (parsed)'!$B$2:$B$235,A119,'Data (parsed)'!$C$2:$C$235,B119,'Data (parsed)'!$G$2:$G$235,C119,'Data (parsed)'!$I$2:$I$235,1)</x:f>
        <x:v>2</x:v>
      </x:c>
    </x:row>
    <x:row r="120" ht="15" hidden="0" customHeight="1">
      <x:c r="A120" s="65" t="str">
        <x:v>Honor</x:v>
      </x:c>
      <x:c r="B120" s="65" t="str">
        <x:v>Moral code</x:v>
      </x:c>
      <x:c r="C120" s="65" t="str">
        <x:v>порядочность</x:v>
      </x:c>
      <x:c r="D120" s="56" t="n">
        <x:f>COUNTIFS('Data (parsed)'!$B$2:$B$235,A120,'Data (parsed)'!$C$2:$C$235,B120,'Data (parsed)'!$G$2:$G$235,C120,'Data (parsed)'!$I$2:$I$235,1)</x:f>
        <x:v>2</x:v>
      </x:c>
    </x:row>
    <x:row r="121" ht="15" hidden="0" customHeight="1">
      <x:c r="A121" s="65" t="str">
        <x:v>Honor</x:v>
      </x:c>
      <x:c r="B121" s="65" t="str">
        <x:v>Moral code</x:v>
      </x:c>
      <x:c r="C121" s="65" t="str">
        <x:v>уважать</x:v>
      </x:c>
      <x:c r="D121" s="56" t="n">
        <x:f>COUNTIFS('Data (parsed)'!$B$2:$B$235,A121,'Data (parsed)'!$C$2:$C$235,B121,'Data (parsed)'!$G$2:$G$235,C121,'Data (parsed)'!$I$2:$I$235,1)</x:f>
        <x:v>2</x:v>
      </x:c>
    </x:row>
    <x:row r="122" ht="15" hidden="0" customHeight="1">
      <x:c r="A122" s="65" t="str">
        <x:v>Honor</x:v>
      </x:c>
      <x:c r="B122" s="65" t="str">
        <x:v>Moral code</x:v>
      </x:c>
      <x:c r="C122" s="65" t="str">
        <x:v>, честной, правдивой</x:v>
      </x:c>
      <x:c r="D122" s="56" t="n">
        <x:f>COUNTIFS('Data (parsed)'!$B$2:$B$235,A122,'Data (parsed)'!$C$2:$C$235,B122,'Data (parsed)'!$G$2:$G$235,C122,'Data (parsed)'!$I$2:$I$235,1)</x:f>
        <x:v>1</x:v>
      </x:c>
    </x:row>
    <x:row r="123" ht="15" hidden="0" customHeight="1">
      <x:c r="A123" s="65" t="str">
        <x:v>Honor</x:v>
      </x:c>
      <x:c r="B123" s="65" t="str">
        <x:v>Moral code</x:v>
      </x:c>
      <x:c r="C123" s="65" t="str">
        <x:v>о правде, и о чести,</x:v>
      </x:c>
      <x:c r="D123" s="56" t="n">
        <x:f>COUNTIFS('Data (parsed)'!$B$2:$B$235,A123,'Data (parsed)'!$C$2:$C$235,B123,'Data (parsed)'!$G$2:$G$235,C123,'Data (parsed)'!$I$2:$I$235,1)</x:f>
        <x:v>1</x:v>
      </x:c>
    </x:row>
    <x:row r="124" ht="15" hidden="0" customHeight="1">
      <x:c r="A124" s="65" t="str">
        <x:v>Honor</x:v>
      </x:c>
      <x:c r="B124" s="65" t="str">
        <x:v>Moral code</x:v>
      </x:c>
      <x:c r="C124" s="65" t="str">
        <x:v>понятие</x:v>
      </x:c>
      <x:c r="D124" s="56" t="n">
        <x:f>COUNTIFS('Data (parsed)'!$B$2:$B$235,A124,'Data (parsed)'!$C$2:$C$235,B124,'Data (parsed)'!$G$2:$G$235,C124,'Data (parsed)'!$I$2:$I$235,1)</x:f>
        <x:v>1</x:v>
      </x:c>
    </x:row>
    <x:row r="125" ht="15" hidden="0" customHeight="1">
      <x:c r="A125" s="65" t="str">
        <x:v>Honor</x:v>
      </x:c>
      <x:c r="B125" s="65" t="str">
        <x:v>Moral code</x:v>
      </x:c>
      <x:c r="C125" s="65" t="str">
        <x:v>честный</x:v>
      </x:c>
      <x:c r="D125" s="56" t="n">
        <x:f>COUNTIFS('Data (parsed)'!$B$2:$B$235,A125,'Data (parsed)'!$C$2:$C$235,B125,'Data (parsed)'!$G$2:$G$235,C125,'Data (parsed)'!$I$2:$I$235,1)</x:f>
        <x:v>1</x:v>
      </x:c>
    </x:row>
    <x:row r="126" ht="15" hidden="0" customHeight="1">
      <x:c r="A126" s="65" t="str">
        <x:v>Honor</x:v>
      </x:c>
      <x:c r="B126" s="65" t="str">
        <x:v>Nobility of character</x:v>
      </x:c>
      <x:c r="C126" s="65" t="str">
        <x:v>благородство</x:v>
      </x:c>
      <x:c r="D126" s="56" t="n">
        <x:f>COUNTIFS('Data (parsed)'!$B$2:$B$235,A126,'Data (parsed)'!$C$2:$C$235,B126,'Data (parsed)'!$G$2:$G$235,C126,'Data (parsed)'!$I$2:$I$235,1)</x:f>
        <x:v>1</x:v>
      </x:c>
    </x:row>
    <x:row r="127" ht="15" hidden="0" customHeight="1">
      <x:c r="A127" s="65" t="str">
        <x:v>Honor</x:v>
      </x:c>
      <x:c r="B127" s="65" t="str">
        <x:v>Reputation / standing</x:v>
      </x:c>
      <x:c r="C127" s="65" t="str">
        <x:v>честь</x:v>
      </x:c>
      <x:c r="D127" s="56" t="n">
        <x:f>COUNTIFS('Data (parsed)'!$B$2:$B$235,A127,'Data (parsed)'!$C$2:$C$235,B127,'Data (parsed)'!$G$2:$G$235,C127,'Data (parsed)'!$I$2:$I$235,1)</x:f>
        <x:v>3</x:v>
      </x:c>
    </x:row>
    <x:row r="128" ht="15" hidden="0" customHeight="1">
      <x:c r="A128" s="65" t="str">
        <x:v>Honor</x:v>
      </x:c>
      <x:c r="B128" s="65" t="str">
        <x:v>Reputation / standing</x:v>
      </x:c>
      <x:c r="C128" s="65" t="str">
        <x:v>благородный</x:v>
      </x:c>
      <x:c r="D128" s="56" t="n">
        <x:f>COUNTIFS('Data (parsed)'!$B$2:$B$235,A128,'Data (parsed)'!$C$2:$C$235,B128,'Data (parsed)'!$G$2:$G$235,C128,'Data (parsed)'!$I$2:$I$235,1)</x:f>
        <x:v>2</x:v>
      </x:c>
    </x:row>
    <x:row r="129" ht="15" hidden="0" customHeight="1">
      <x:c r="A129" s="65" t="str">
        <x:v>Honor</x:v>
      </x:c>
      <x:c r="B129" s="65" t="str">
        <x:v>Reputation / standing</x:v>
      </x:c>
      <x:c r="C129" s="65" t="str">
        <x:v>без малейшего ущемления своей гордости.</x:v>
      </x:c>
      <x:c r="D129" s="56" t="n">
        <x:f>COUNTIFS('Data (parsed)'!$B$2:$B$235,A129,'Data (parsed)'!$C$2:$C$235,B129,'Data (parsed)'!$G$2:$G$235,C129,'Data (parsed)'!$I$2:$I$235,1)</x:f>
        <x:v>1</x:v>
      </x:c>
    </x:row>
    <x:row r="130" ht="15" hidden="0" customHeight="1">
      <x:c r="A130" s="65" t="str">
        <x:v>Honor</x:v>
      </x:c>
      <x:c r="B130" s="65" t="str">
        <x:v>Reputation / standing</x:v>
      </x:c>
      <x:c r="C130" s="65" t="str">
        <x:v>высокочтимый</x:v>
      </x:c>
      <x:c r="D130" s="56" t="n">
        <x:f>COUNTIFS('Data (parsed)'!$B$2:$B$235,A130,'Data (parsed)'!$C$2:$C$235,B130,'Data (parsed)'!$G$2:$G$235,C130,'Data (parsed)'!$I$2:$I$235,1)</x:f>
        <x:v>1</x:v>
      </x:c>
    </x:row>
    <x:row r="131" ht="15" hidden="0" customHeight="1">
      <x:c r="A131" s="65" t="str">
        <x:v>Honor</x:v>
      </x:c>
      <x:c r="B131" s="65" t="str">
        <x:v>Reputation / standing</x:v>
      </x:c>
      <x:c r="C131" s="65" t="str">
        <x:v>карточные долги</x:v>
      </x:c>
      <x:c r="D131" s="56" t="n">
        <x:f>COUNTIFS('Data (parsed)'!$B$2:$B$235,A131,'Data (parsed)'!$C$2:$C$235,B131,'Data (parsed)'!$G$2:$G$235,C131,'Data (parsed)'!$I$2:$I$235,1)</x:f>
        <x:v>1</x:v>
      </x:c>
    </x:row>
    <x:row r="132" ht="15" hidden="0" customHeight="1">
      <x:c r="A132" s="65" t="str">
        <x:v>Honor</x:v>
      </x:c>
      <x:c r="B132" s="65" t="str">
        <x:v>Reputation / standing</x:v>
      </x:c>
      <x:c r="C132" s="65" t="str">
        <x:v>многоуважаемый</x:v>
      </x:c>
      <x:c r="D132" s="56" t="n">
        <x:f>COUNTIFS('Data (parsed)'!$B$2:$B$235,A132,'Data (parsed)'!$C$2:$C$235,B132,'Data (parsed)'!$G$2:$G$235,C132,'Data (parsed)'!$I$2:$I$235,1)</x:f>
        <x:v>1</x:v>
      </x:c>
    </x:row>
    <x:row r="133" ht="15" hidden="0" customHeight="1">
      <x:c r="A133" s="65" t="str">
        <x:v>Honor</x:v>
      </x:c>
      <x:c r="B133" s="65" t="str">
        <x:v>Reputation / standing</x:v>
      </x:c>
      <x:c r="C133" s="65" t="str">
        <x:v>позор</x:v>
      </x:c>
      <x:c r="D133" s="56" t="n">
        <x:f>COUNTIFS('Data (parsed)'!$B$2:$B$235,A133,'Data (parsed)'!$C$2:$C$235,B133,'Data (parsed)'!$G$2:$G$235,C133,'Data (parsed)'!$I$2:$I$235,1)</x:f>
        <x:v>1</x:v>
      </x:c>
    </x:row>
    <x:row r="134" ht="15" hidden="0" customHeight="1">
      <x:c r="A134" s="65" t="str">
        <x:v>Honor</x:v>
      </x:c>
      <x:c r="B134" s="65" t="str">
        <x:v>Reputation / standing</x:v>
      </x:c>
      <x:c r="C134" s="65" t="str">
        <x:v>соображение</x:v>
      </x:c>
      <x:c r="D134" s="56" t="n">
        <x:f>COUNTIFS('Data (parsed)'!$B$2:$B$235,A134,'Data (parsed)'!$C$2:$C$235,B134,'Data (parsed)'!$G$2:$G$235,C134,'Data (parsed)'!$I$2:$I$235,1)</x:f>
        <x:v>1</x:v>
      </x:c>
    </x:row>
    <x:row r="135" ht="15" hidden="0" customHeight="1">
      <x:c r="A135" s="65" t="str">
        <x:v>Honor</x:v>
      </x:c>
      <x:c r="B135" s="65" t="str">
        <x:v>Tribute / glory</x:v>
      </x:c>
      <x:c r="C135" s="65" t="str">
        <x:v>честь</x:v>
      </x:c>
      <x:c r="D135" s="56" t="n">
        <x:f>COUNTIFS('Data (parsed)'!$B$2:$B$235,A135,'Data (parsed)'!$C$2:$C$235,B135,'Data (parsed)'!$G$2:$G$235,C135,'Data (parsed)'!$I$2:$I$235,1)</x:f>
        <x:v>4</x:v>
      </x:c>
    </x:row>
    <x:row r="136" ht="15" hidden="0" customHeight="1">
      <x:c r="A136" s="65" t="str">
        <x:v>Honor</x:v>
      </x:c>
      <x:c r="B136" s="65" t="str">
        <x:v>Tribute / glory</x:v>
      </x:c>
      <x:c r="C136" s="65" t="str">
        <x:v>воинские подвиги</x:v>
      </x:c>
      <x:c r="D136" s="56" t="n">
        <x:f>COUNTIFS('Data (parsed)'!$B$2:$B$235,A136,'Data (parsed)'!$C$2:$C$235,B136,'Data (parsed)'!$G$2:$G$235,C136,'Data (parsed)'!$I$2:$I$235,1)</x:f>
        <x:v>1</x:v>
      </x:c>
    </x:row>
    <x:row r="137" ht="15" hidden="0" customHeight="1">
      <x:c r="A137" s="65" t="str">
        <x:v>Honor</x:v>
      </x:c>
      <x:c r="B137" s="65" t="str">
        <x:v>Tribute / glory</x:v>
      </x:c>
      <x:c r="C137" s="65" t="str">
        <x:v>почести</x:v>
      </x:c>
      <x:c r="D137" s="56" t="n">
        <x:f>COUNTIFS('Data (parsed)'!$B$2:$B$235,A137,'Data (parsed)'!$C$2:$C$235,B137,'Data (parsed)'!$G$2:$G$235,C137,'Data (parsed)'!$I$2:$I$235,1)</x:f>
        <x:v>1</x:v>
      </x:c>
    </x:row>
    <x:row r="138" ht="15" hidden="0" customHeight="1">
      <x:c r="A138" s="65" t="str">
        <x:v>Honor</x:v>
      </x:c>
      <x:c r="B138" s="65" t="str">
        <x:v>Undifferentiated honor</x:v>
      </x:c>
      <x:c r="C138" s="65" t="str">
        <x:v>честное предложение.</x:v>
      </x:c>
      <x:c r="D138" s="56" t="n">
        <x:f>COUNTIFS('Data (parsed)'!$B$2:$B$235,A138,'Data (parsed)'!$C$2:$C$235,B138,'Data (parsed)'!$G$2:$G$235,C138,'Data (parsed)'!$I$2:$I$235,1)</x:f>
        <x:v>1</x:v>
      </x:c>
    </x:row>
    <x:row r="139" ht="15" hidden="0" customHeight="1">
      <x:c r="A139" s="65" t="str">
        <x:v>Honor</x:v>
      </x:c>
      <x:c r="B139" s="65" t="str">
        <x:v>Undifferentiated honor</x:v>
      </x:c>
      <x:c r="C139" s="65" t="str">
        <x:v>честь</x:v>
      </x:c>
      <x:c r="D139" s="56" t="n">
        <x:f>COUNTIFS('Data (parsed)'!$B$2:$B$235,A139,'Data (parsed)'!$C$2:$C$235,B139,'Data (parsed)'!$G$2:$G$235,C139,'Data (parsed)'!$I$2:$I$235,1)</x:f>
        <x:v>1</x:v>
      </x:c>
    </x:row>
    <x:row r="140" ht="15" hidden="0" customHeight="1">
      <x:c r="A140"/>
      <x:c r="B140"/>
      <x:c r="C140"/>
      <x:c r="D140"/>
    </x:row>
    <x:row r="141" ht="15" hidden="0" customHeight="1">
      <x:c r="A141"/>
      <x:c r="B141"/>
      <x:c r="C141"/>
      <x:c r="D141"/>
    </x:row>
    <x:row r="142" ht="14.25" customHeight="1">
      <x:c r="A142" s="10"/>
      <x:c r="B142" s="10"/>
      <x:c r="C142" s="10"/>
      <x:c r="D142" s="10"/>
    </x:row>
    <x:row r="143" ht="14.25" customHeight="1">
      <x:c r="A143" s="10"/>
      <x:c r="B143" s="10"/>
      <x:c r="C143" s="10"/>
      <x:c r="D143" s="10"/>
    </x:row>
    <x:row r="144" ht="14.25" customHeight="1">
      <x:c r="A144" s="10"/>
      <x:c r="B144" s="10"/>
      <x:c r="C144" s="10"/>
      <x:c r="D144" s="10"/>
    </x:row>
    <x:row r="145" ht="14.25" customHeight="1">
      <x:c r="A145" s="10"/>
      <x:c r="B145" s="10"/>
      <x:c r="C145" s="10"/>
      <x:c r="D145" s="10"/>
    </x:row>
    <x:row r="146" ht="14.25" customHeight="1">
      <x:c r="A146" s="10"/>
      <x:c r="B146" s="10"/>
      <x:c r="C146" s="10"/>
      <x:c r="D146" s="10"/>
    </x:row>
    <x:row r="147" ht="14.25" customHeight="1">
      <x:c r="A147" s="10"/>
      <x:c r="B147" s="10"/>
      <x:c r="C147" s="10"/>
      <x:c r="D147" s="10"/>
    </x:row>
    <x:row r="148" ht="14.25" customHeight="1">
      <x:c r="A148" s="10"/>
      <x:c r="B148" s="10"/>
      <x:c r="C148" s="10"/>
      <x:c r="D148" s="10"/>
    </x:row>
    <x:row r="149" ht="14.25" customHeight="1">
      <x:c r="A149" s="10"/>
      <x:c r="B149" s="10"/>
      <x:c r="C149" s="10"/>
      <x:c r="D149" s="10"/>
    </x:row>
    <x:row r="150" ht="14.25" customHeight="1">
      <x:c r="A150" s="10"/>
      <x:c r="B150" s="10"/>
      <x:c r="C150" s="10"/>
      <x:c r="D150" s="10"/>
    </x:row>
    <x:row r="151" ht="14.25" customHeight="1">
      <x:c r="A151" s="10"/>
      <x:c r="B151" s="10"/>
      <x:c r="C151" s="10"/>
      <x:c r="D151" s="10"/>
    </x:row>
    <x:row r="152" ht="14.25" customHeight="1">
      <x:c r="A152" s="10"/>
      <x:c r="B152" s="10"/>
      <x:c r="C152" s="10"/>
      <x:c r="D152" s="10"/>
    </x:row>
    <x:row r="153" ht="14.25" customHeight="1">
      <x:c r="A153" s="10"/>
      <x:c r="B153" s="10"/>
      <x:c r="C153" s="10"/>
      <x:c r="D153" s="10"/>
    </x:row>
    <x:row r="154" ht="14.25" customHeight="1">
      <x:c r="A154" s="10"/>
      <x:c r="B154" s="10"/>
      <x:c r="C154" s="10"/>
      <x:c r="D154" s="10"/>
    </x:row>
    <x:row r="155" ht="14.25" customHeight="1">
      <x:c r="A155" s="10"/>
      <x:c r="B155" s="10"/>
      <x:c r="C155" s="10"/>
      <x:c r="D155" s="10"/>
    </x:row>
    <x:row r="156" ht="14.25" customHeight="1">
      <x:c r="A156" s="10"/>
      <x:c r="B156" s="10"/>
      <x:c r="C156" s="10"/>
      <x:c r="D156" s="10"/>
    </x:row>
    <x:row r="157" ht="14.25" customHeight="1">
      <x:c r="A157" s="10"/>
      <x:c r="B157" s="10"/>
      <x:c r="C157" s="10"/>
      <x:c r="D157" s="10"/>
    </x:row>
    <x:row r="158" ht="14.25" customHeight="1">
      <x:c r="A158" s="10"/>
      <x:c r="B158" s="10"/>
      <x:c r="C158" s="10"/>
      <x:c r="D158" s="10"/>
    </x:row>
    <x:row r="159" ht="14.25" customHeight="1">
      <x:c r="A159" s="10"/>
      <x:c r="B159" s="10"/>
      <x:c r="C159" s="10"/>
      <x:c r="D159" s="10"/>
    </x:row>
    <x:row r="160" ht="14.25" customHeight="1">
      <x:c r="A160" s="10"/>
      <x:c r="B160" s="10"/>
      <x:c r="C160" s="10"/>
      <x:c r="D160" s="10"/>
    </x:row>
    <x:row r="161" ht="14.25" customHeight="1">
      <x:c r="A161" s="10"/>
      <x:c r="B161" s="10"/>
      <x:c r="C161" s="10"/>
      <x:c r="D161" s="10"/>
    </x:row>
    <x:row r="162" ht="14.25" customHeight="1">
      <x:c r="A162" s="10"/>
      <x:c r="B162" s="10"/>
      <x:c r="C162" s="10"/>
      <x:c r="D162" s="10"/>
    </x:row>
    <x:row r="163" ht="14.25" customHeight="1">
      <x:c r="A163" s="10"/>
      <x:c r="B163" s="10"/>
      <x:c r="C163" s="10"/>
      <x:c r="D163" s="10"/>
    </x:row>
    <x:row r="164" ht="14.25" customHeight="1">
      <x:c r="A164" s="10"/>
      <x:c r="B164" s="10"/>
      <x:c r="C164" s="10"/>
      <x:c r="D164" s="10"/>
    </x:row>
    <x:row r="165" ht="14.25" customHeight="1">
      <x:c r="A165" s="10"/>
      <x:c r="B165" s="10"/>
      <x:c r="C165" s="10"/>
      <x:c r="D165" s="10"/>
    </x:row>
    <x:row r="166" ht="14.25" customHeight="1">
      <x:c r="A166" s="10"/>
      <x:c r="B166" s="10"/>
      <x:c r="C166" s="10"/>
      <x:c r="D166" s="10"/>
    </x:row>
    <x:row r="167" ht="14.25" customHeight="1">
      <x:c r="A167" s="10"/>
      <x:c r="B167" s="10"/>
      <x:c r="C167" s="10"/>
      <x:c r="D167" s="10"/>
    </x:row>
    <x:row r="168" ht="14.25" customHeight="1">
      <x:c r="A168" s="10"/>
      <x:c r="B168" s="10"/>
      <x:c r="C168" s="10"/>
      <x:c r="D168" s="10"/>
    </x:row>
    <x:row r="169" ht="14.25" customHeight="1">
      <x:c r="A169" s="10"/>
      <x:c r="B169" s="10"/>
      <x:c r="C169" s="10"/>
      <x:c r="D169" s="10"/>
    </x:row>
    <x:row r="170" ht="14.25" customHeight="1">
      <x:c r="A170" s="10"/>
      <x:c r="B170" s="10"/>
      <x:c r="C170" s="10"/>
      <x:c r="D170" s="10"/>
    </x:row>
    <x:row r="171" ht="14.25" customHeight="1">
      <x:c r="A171" s="10"/>
      <x:c r="B171" s="10"/>
      <x:c r="C171" s="10"/>
      <x:c r="D171" s="10"/>
    </x:row>
    <x:row r="172" ht="14.25" customHeight="1">
      <x:c r="A172" s="10"/>
      <x:c r="B172" s="10"/>
      <x:c r="C172" s="10"/>
      <x:c r="D172" s="10"/>
    </x:row>
    <x:row r="173" ht="14.25" customHeight="1">
      <x:c r="A173" s="10"/>
      <x:c r="B173" s="10"/>
      <x:c r="C173" s="10"/>
      <x:c r="D173" s="10"/>
    </x:row>
    <x:row r="174" ht="14.25" customHeight="1">
      <x:c r="A174" s="10"/>
      <x:c r="B174" s="10"/>
      <x:c r="C174" s="10"/>
      <x:c r="D174" s="10"/>
    </x:row>
    <x:row r="175" ht="14.25" customHeight="1">
      <x:c r="A175" s="10"/>
      <x:c r="B175" s="10"/>
      <x:c r="C175" s="10"/>
      <x:c r="D175" s="10"/>
    </x:row>
    <x:row r="176" ht="14.25" customHeight="1">
      <x:c r="A176" s="10"/>
      <x:c r="B176" s="10"/>
      <x:c r="C176" s="10"/>
      <x:c r="D176" s="10"/>
    </x:row>
    <x:row r="177" ht="14.25" customHeight="1">
      <x:c r="A177" s="10"/>
      <x:c r="B177" s="10"/>
      <x:c r="C177" s="10"/>
      <x:c r="D177" s="10"/>
    </x:row>
    <x:row r="178" ht="14.25" customHeight="1">
      <x:c r="A178" s="10"/>
      <x:c r="B178" s="10"/>
      <x:c r="C178" s="10"/>
      <x:c r="D178" s="10"/>
    </x:row>
    <x:row r="179" ht="14.25" customHeight="1">
      <x:c r="A179" s="10"/>
      <x:c r="B179" s="10"/>
      <x:c r="C179" s="10"/>
      <x:c r="D179" s="10"/>
    </x:row>
    <x:row r="180" ht="14.25" customHeight="1">
      <x:c r="A180" s="10"/>
      <x:c r="B180" s="10"/>
      <x:c r="C180" s="10"/>
      <x:c r="D180" s="10"/>
    </x:row>
    <x:row r="181" ht="14.25" customHeight="1">
      <x:c r="A181" s="10"/>
      <x:c r="B181" s="10"/>
      <x:c r="C181" s="10"/>
      <x:c r="D181" s="10"/>
    </x:row>
    <x:row r="182" ht="14.25" customHeight="1">
      <x:c r="A182" s="10"/>
      <x:c r="B182" s="10"/>
      <x:c r="C182" s="10"/>
      <x:c r="D182" s="10"/>
    </x:row>
    <x:row r="183" ht="14.25" customHeight="1">
      <x:c r="A183" s="10"/>
      <x:c r="B183" s="10"/>
      <x:c r="C183" s="10"/>
      <x:c r="D183" s="10"/>
    </x:row>
    <x:row r="184" ht="14.25" customHeight="1">
      <x:c r="A184" s="10"/>
      <x:c r="B184" s="10"/>
      <x:c r="C184" s="10"/>
      <x:c r="D184" s="10"/>
    </x:row>
    <x:row r="185" ht="14.25" customHeight="1">
      <x:c r="A185" s="10"/>
      <x:c r="B185" s="10"/>
      <x:c r="C185" s="10"/>
      <x:c r="D185" s="10"/>
    </x:row>
    <x:row r="186" ht="14.25" customHeight="1">
      <x:c r="A186" s="10"/>
      <x:c r="B186" s="10"/>
      <x:c r="C186" s="10"/>
      <x:c r="D186" s="10"/>
    </x:row>
    <x:row r="187" ht="14.25" customHeight="1">
      <x:c r="A187" s="10"/>
      <x:c r="B187" s="10"/>
      <x:c r="C187" s="10"/>
      <x:c r="D187" s="10"/>
    </x:row>
    <x:row r="188" ht="14.25" customHeight="1">
      <x:c r="A188" s="10"/>
      <x:c r="B188" s="10"/>
      <x:c r="C188" s="10"/>
      <x:c r="D188" s="10"/>
    </x:row>
    <x:row r="189" ht="14.25" customHeight="1">
      <x:c r="A189" s="10"/>
      <x:c r="B189" s="10"/>
      <x:c r="C189" s="10"/>
      <x:c r="D189" s="10"/>
    </x:row>
    <x:row r="190" ht="14.25" customHeight="1">
      <x:c r="A190" s="10"/>
      <x:c r="B190" s="10"/>
      <x:c r="C190" s="10"/>
      <x:c r="D190" s="10"/>
    </x:row>
    <x:row r="191" ht="14.25" customHeight="1">
      <x:c r="A191" s="10"/>
      <x:c r="B191" s="10"/>
      <x:c r="C191" s="10"/>
      <x:c r="D191" s="10"/>
    </x:row>
    <x:row r="192" ht="14.25" customHeight="1">
      <x:c r="A192" s="10"/>
      <x:c r="B192" s="10"/>
      <x:c r="C192" s="10"/>
      <x:c r="D192" s="10"/>
    </x:row>
    <x:row r="193" ht="14.25" customHeight="1">
      <x:c r="A193" s="10"/>
      <x:c r="B193" s="10"/>
      <x:c r="C193" s="10"/>
      <x:c r="D193" s="10"/>
    </x:row>
    <x:row r="194" ht="14.25" customHeight="1">
      <x:c r="A194" s="10"/>
      <x:c r="B194" s="10"/>
      <x:c r="C194" s="10"/>
      <x:c r="D194" s="10"/>
    </x:row>
    <x:row r="195" ht="14.25" customHeight="1">
      <x:c r="A195" s="10"/>
      <x:c r="B195" s="10"/>
      <x:c r="C195" s="10"/>
      <x:c r="D195" s="10"/>
    </x:row>
    <x:row r="196" ht="14.25" customHeight="1">
      <x:c r="A196" s="10"/>
      <x:c r="B196" s="10"/>
      <x:c r="C196" s="10"/>
      <x:c r="D196" s="10"/>
    </x:row>
    <x:row r="197" ht="14.25" customHeight="1">
      <x:c r="A197" s="10"/>
      <x:c r="B197" s="10"/>
      <x:c r="C197" s="10"/>
      <x:c r="D197" s="10"/>
    </x:row>
    <x:row r="198" ht="14.25" customHeight="1">
      <x:c r="A198" s="10"/>
      <x:c r="B198" s="10"/>
      <x:c r="C198" s="10"/>
      <x:c r="D198" s="10"/>
    </x:row>
    <x:row r="199" ht="14.25" customHeight="1">
      <x:c r="A199" s="10"/>
      <x:c r="B199" s="10"/>
      <x:c r="C199" s="10"/>
      <x:c r="D199" s="10"/>
    </x:row>
    <x:row r="200" ht="14.25" customHeight="1">
      <x:c r="A200" s="10"/>
      <x:c r="B200" s="10"/>
      <x:c r="C200" s="10"/>
      <x:c r="D200" s="10"/>
    </x:row>
    <x:row r="201" ht="14.25" customHeight="1">
      <x:c r="A201" s="10"/>
      <x:c r="B201" s="10"/>
      <x:c r="C201" s="10"/>
      <x:c r="D201" s="10"/>
    </x:row>
    <x:row r="202" ht="14.25" customHeight="1">
      <x:c r="A202" s="10"/>
      <x:c r="B202" s="10"/>
      <x:c r="C202" s="10"/>
      <x:c r="D202" s="10"/>
    </x:row>
    <x:row r="203" ht="14.25" customHeight="1">
      <x:c r="A203" s="10"/>
      <x:c r="B203" s="10"/>
      <x:c r="C203" s="10"/>
      <x:c r="D203" s="10"/>
    </x:row>
    <x:row r="204" ht="14.25" customHeight="1">
      <x:c r="A204" s="10"/>
      <x:c r="B204" s="10"/>
      <x:c r="C204" s="10"/>
      <x:c r="D204" s="10"/>
    </x:row>
    <x:row r="205" ht="14.25" customHeight="1">
      <x:c r="A205" s="10"/>
      <x:c r="B205" s="10"/>
      <x:c r="C205" s="10"/>
      <x:c r="D205" s="10"/>
    </x:row>
    <x:row r="206" ht="14.25" customHeight="1">
      <x:c r="A206" s="10"/>
      <x:c r="B206" s="10"/>
      <x:c r="C206" s="10"/>
      <x:c r="D206" s="10"/>
    </x:row>
    <x:row r="207" ht="14.25" customHeight="1">
      <x:c r="A207" s="10"/>
      <x:c r="B207" s="10"/>
      <x:c r="C207" s="10"/>
      <x:c r="D207" s="10"/>
    </x:row>
    <x:row r="208" ht="14.25" customHeight="1">
      <x:c r="A208" s="10"/>
      <x:c r="B208" s="10"/>
      <x:c r="C208" s="10"/>
      <x:c r="D208" s="10"/>
    </x:row>
    <x:row r="209" ht="14.25" customHeight="1">
      <x:c r="A209" s="10"/>
      <x:c r="B209" s="10"/>
      <x:c r="C209" s="10"/>
      <x:c r="D209" s="10"/>
    </x:row>
    <x:row r="210" ht="14.25" customHeight="1">
      <x:c r="A210" s="10"/>
      <x:c r="B210" s="10"/>
      <x:c r="C210" s="10"/>
      <x:c r="D210" s="10"/>
    </x:row>
    <x:row r="211" ht="14.25" customHeight="1">
      <x:c r="A211" s="10"/>
      <x:c r="B211" s="10"/>
      <x:c r="C211" s="10"/>
      <x:c r="D211" s="10"/>
    </x:row>
    <x:row r="212" ht="14.25" customHeight="1">
      <x:c r="A212" s="10"/>
      <x:c r="B212" s="10"/>
      <x:c r="C212" s="10"/>
      <x:c r="D212" s="10"/>
    </x:row>
    <x:row r="213" ht="14.25" customHeight="1">
      <x:c r="A213" s="10"/>
      <x:c r="B213" s="10"/>
      <x:c r="C213" s="10"/>
      <x:c r="D213" s="10"/>
    </x:row>
    <x:row r="214" ht="14.25" customHeight="1">
      <x:c r="A214" s="10"/>
      <x:c r="B214" s="10"/>
      <x:c r="C214" s="10"/>
      <x:c r="D214" s="10"/>
    </x:row>
    <x:row r="215" ht="14.25" customHeight="1">
      <x:c r="A215" s="10"/>
      <x:c r="B215" s="10"/>
      <x:c r="C215" s="10"/>
      <x:c r="D215" s="10"/>
    </x:row>
    <x:row r="216" ht="14.25" customHeight="1">
      <x:c r="A216" s="10"/>
      <x:c r="B216" s="10"/>
      <x:c r="C216" s="10"/>
      <x:c r="D216" s="10"/>
    </x:row>
    <x:row r="217" ht="14.25" customHeight="1">
      <x:c r="A217" s="10"/>
      <x:c r="B217" s="10"/>
      <x:c r="C217" s="10"/>
      <x:c r="D217" s="10"/>
    </x:row>
    <x:row r="218" ht="14.25" customHeight="1">
      <x:c r="A218" s="10"/>
      <x:c r="B218" s="10"/>
      <x:c r="C218" s="10"/>
      <x:c r="D218" s="10"/>
    </x:row>
    <x:row r="219" ht="14.25" customHeight="1">
      <x:c r="A219" s="10"/>
      <x:c r="B219" s="10"/>
      <x:c r="C219" s="10"/>
      <x:c r="D219" s="10"/>
    </x:row>
    <x:row r="220" ht="14.25" customHeight="1">
      <x:c r="A220" s="10"/>
      <x:c r="B220" s="10"/>
      <x:c r="C220" s="10"/>
      <x:c r="D220" s="10"/>
    </x:row>
    <x:row r="221" ht="14.25" customHeight="1">
      <x:c r="A221" s="10"/>
      <x:c r="B221" s="10"/>
      <x:c r="C221" s="10"/>
      <x:c r="D221" s="10"/>
    </x:row>
    <x:row r="222" ht="14.25" customHeight="1">
      <x:c r="A222" s="10"/>
      <x:c r="B222" s="10"/>
      <x:c r="C222" s="10"/>
      <x:c r="D222" s="10"/>
    </x:row>
    <x:row r="223" ht="14.25" customHeight="1">
      <x:c r="A223" s="10"/>
      <x:c r="B223" s="10"/>
      <x:c r="C223" s="10"/>
      <x:c r="D223" s="10"/>
    </x:row>
    <x:row r="224" ht="14.25" customHeight="1">
      <x:c r="A224" s="10"/>
      <x:c r="B224" s="10"/>
      <x:c r="C224" s="10"/>
      <x:c r="D224" s="10"/>
    </x:row>
    <x:row r="225" ht="14.25" customHeight="1">
      <x:c r="A225" s="10"/>
      <x:c r="B225" s="10"/>
      <x:c r="C225" s="10"/>
      <x:c r="D225" s="10"/>
    </x:row>
    <x:row r="226" ht="14.25" customHeight="1">
      <x:c r="A226" s="10"/>
      <x:c r="B226" s="10"/>
      <x:c r="C226" s="10"/>
      <x:c r="D226" s="10"/>
    </x:row>
    <x:row r="227" ht="14.25" customHeight="1">
      <x:c r="A227" s="10"/>
      <x:c r="B227" s="10"/>
      <x:c r="C227" s="10"/>
      <x:c r="D227" s="10"/>
    </x:row>
    <x:row r="228" ht="14.25" customHeight="1">
      <x:c r="A228" s="10"/>
      <x:c r="B228" s="10"/>
      <x:c r="C228" s="10"/>
      <x:c r="D228" s="10"/>
    </x:row>
    <x:row r="229" ht="14.25" customHeight="1">
      <x:c r="A229" s="10"/>
      <x:c r="B229" s="10"/>
      <x:c r="C229" s="10"/>
      <x:c r="D229" s="10"/>
    </x:row>
    <x:row r="230" ht="14.25" customHeight="1">
      <x:c r="A230" s="10"/>
      <x:c r="B230" s="10"/>
      <x:c r="C230" s="10"/>
      <x:c r="D230" s="10"/>
    </x:row>
    <x:row r="231" ht="14.25" customHeight="1">
      <x:c r="A231" s="10"/>
      <x:c r="B231" s="10"/>
      <x:c r="C231" s="10"/>
      <x:c r="D231" s="10"/>
    </x:row>
    <x:row r="232" ht="14.25" customHeight="1">
      <x:c r="A232" s="10"/>
      <x:c r="B232" s="10"/>
      <x:c r="C232" s="10"/>
      <x:c r="D232" s="10"/>
    </x:row>
    <x:row r="233" ht="14.25" customHeight="1">
      <x:c r="A233" s="10"/>
      <x:c r="B233" s="10"/>
      <x:c r="C233" s="10"/>
      <x:c r="D233" s="10"/>
    </x:row>
    <x:row r="234" ht="14.25" customHeight="1">
      <x:c r="A234" s="10"/>
      <x:c r="B234" s="10"/>
      <x:c r="C234" s="10"/>
      <x:c r="D234" s="10"/>
    </x:row>
    <x:row r="235" ht="14.25" customHeight="1">
      <x:c r="A235" s="10"/>
      <x:c r="B235" s="10"/>
      <x:c r="C235" s="10"/>
      <x:c r="D235" s="10"/>
    </x:row>
    <x:row r="236" ht="14.25" customHeight="1">
      <x:c r="A236" s="10"/>
      <x:c r="B236" s="10"/>
      <x:c r="C236" s="10"/>
      <x:c r="D236" s="10"/>
    </x:row>
    <x:row r="237" ht="14.25" customHeight="1">
      <x:c r="A237" s="10"/>
      <x:c r="B237" s="10"/>
      <x:c r="C237" s="10"/>
      <x:c r="D237" s="10"/>
    </x:row>
    <x:row r="238" ht="14.25" customHeight="1">
      <x:c r="A238" s="10"/>
      <x:c r="B238" s="10"/>
      <x:c r="C238" s="10"/>
      <x:c r="D238" s="10"/>
    </x:row>
    <x:row r="239" ht="14.25" customHeight="1">
      <x:c r="A239" s="10"/>
      <x:c r="B239" s="10"/>
      <x:c r="C239" s="10"/>
      <x:c r="D239" s="10"/>
    </x:row>
    <x:row r="240" ht="14.25" customHeight="1">
      <x:c r="A240" s="10"/>
      <x:c r="B240" s="10"/>
      <x:c r="C240" s="10"/>
      <x:c r="D240" s="10"/>
    </x:row>
    <x:row r="241" ht="14.25" customHeight="1">
      <x:c r="A241" s="10"/>
      <x:c r="B241" s="10"/>
      <x:c r="C241" s="10"/>
      <x:c r="D241" s="10"/>
    </x:row>
    <x:row r="242" ht="14.25" customHeight="1">
      <x:c r="A242" s="10"/>
      <x:c r="B242" s="10"/>
      <x:c r="C242" s="10"/>
      <x:c r="D242" s="10"/>
    </x:row>
    <x:row r="243" ht="14.25" customHeight="1">
      <x:c r="A243" s="10"/>
      <x:c r="B243" s="10"/>
      <x:c r="C243" s="10"/>
      <x:c r="D243" s="10"/>
    </x:row>
    <x:row r="244" ht="14.25" customHeight="1">
      <x:c r="A244" s="10"/>
      <x:c r="B244" s="10"/>
      <x:c r="C244" s="10"/>
      <x:c r="D244" s="10"/>
    </x:row>
    <x:row r="245" ht="14.25" customHeight="1">
      <x:c r="A245" s="10"/>
      <x:c r="B245" s="10"/>
      <x:c r="C245" s="10"/>
      <x:c r="D245" s="10"/>
    </x:row>
    <x:row r="246" ht="14.25" customHeight="1">
      <x:c r="A246" s="10"/>
      <x:c r="B246" s="10"/>
      <x:c r="C246" s="10"/>
      <x:c r="D246" s="10"/>
    </x:row>
    <x:row r="247" ht="14.25" customHeight="1">
      <x:c r="A247" s="10"/>
      <x:c r="B247" s="10"/>
      <x:c r="C247" s="10"/>
      <x:c r="D247" s="10"/>
    </x:row>
    <x:row r="248" ht="14.25" customHeight="1">
      <x:c r="A248" s="10"/>
      <x:c r="B248" s="10"/>
      <x:c r="C248" s="10"/>
      <x:c r="D248" s="10"/>
    </x:row>
    <x:row r="249" ht="14.25" customHeight="1">
      <x:c r="A249" s="10"/>
      <x:c r="B249" s="10"/>
      <x:c r="C249" s="10"/>
      <x:c r="D249" s="10"/>
    </x:row>
    <x:row r="250" ht="14.25" customHeight="1">
      <x:c r="A250" s="10"/>
      <x:c r="B250" s="10"/>
      <x:c r="C250" s="10"/>
      <x:c r="D250" s="10"/>
    </x:row>
    <x:row r="251" ht="14.25" customHeight="1">
      <x:c r="A251" s="10"/>
      <x:c r="B251" s="10"/>
      <x:c r="C251" s="10"/>
      <x:c r="D251" s="10"/>
    </x:row>
    <x:row r="252" ht="14.25" customHeight="1">
      <x:c r="A252" s="10"/>
      <x:c r="B252" s="10"/>
      <x:c r="C252" s="10"/>
      <x:c r="D252" s="10"/>
    </x:row>
    <x:row r="253" ht="14.25" customHeight="1">
      <x:c r="A253" s="10"/>
      <x:c r="B253" s="10"/>
      <x:c r="C253" s="10"/>
      <x:c r="D253" s="10"/>
    </x:row>
    <x:row r="254" ht="14.25" customHeight="1">
      <x:c r="A254" s="10"/>
      <x:c r="B254" s="10"/>
      <x:c r="C254" s="10"/>
      <x:c r="D254" s="10"/>
    </x:row>
    <x:row r="255" ht="14.25" customHeight="1">
      <x:c r="A255" s="10"/>
      <x:c r="B255" s="10"/>
      <x:c r="C255" s="10"/>
      <x:c r="D255" s="10"/>
    </x:row>
    <x:row r="256" ht="14.25" customHeight="1">
      <x:c r="A256" s="10"/>
      <x:c r="B256" s="10"/>
      <x:c r="C256" s="10"/>
      <x:c r="D256" s="10"/>
    </x:row>
    <x:row r="257" ht="14.25" customHeight="1">
      <x:c r="A257" s="10"/>
      <x:c r="B257" s="10"/>
      <x:c r="C257" s="10"/>
      <x:c r="D257" s="10"/>
    </x:row>
    <x:row r="258" ht="14.25" customHeight="1">
      <x:c r="A258" s="10"/>
      <x:c r="B258" s="10"/>
      <x:c r="C258" s="10"/>
      <x:c r="D258" s="10"/>
    </x:row>
    <x:row r="259" ht="14.25" customHeight="1">
      <x:c r="A259" s="10"/>
      <x:c r="B259" s="10"/>
      <x:c r="C259" s="10"/>
      <x:c r="D259" s="10"/>
    </x:row>
    <x:row r="260" ht="14.25" customHeight="1">
      <x:c r="A260" s="10"/>
      <x:c r="B260" s="10"/>
      <x:c r="C260" s="10"/>
      <x:c r="D260" s="10"/>
    </x:row>
    <x:row r="261" ht="14.25" customHeight="1">
      <x:c r="A261" s="10"/>
      <x:c r="B261" s="10"/>
      <x:c r="C261" s="10"/>
      <x:c r="D261" s="10"/>
    </x:row>
    <x:row r="262" ht="14.25" customHeight="1">
      <x:c r="A262" s="10"/>
      <x:c r="B262" s="10"/>
      <x:c r="C262" s="10"/>
      <x:c r="D262" s="10"/>
    </x:row>
    <x:row r="263" ht="14.25" customHeight="1">
      <x:c r="A263" s="10"/>
      <x:c r="B263" s="10"/>
      <x:c r="C263" s="10"/>
      <x:c r="D263" s="10"/>
    </x:row>
    <x:row r="264" ht="14.25" customHeight="1">
      <x:c r="A264" s="10"/>
      <x:c r="B264" s="10"/>
      <x:c r="C264" s="10"/>
      <x:c r="D264" s="10"/>
    </x:row>
    <x:row r="265" ht="14.25" customHeight="1">
      <x:c r="A265" s="10"/>
      <x:c r="B265" s="10"/>
      <x:c r="C265" s="10"/>
      <x:c r="D265" s="10"/>
    </x:row>
    <x:row r="266" ht="14.25" customHeight="1">
      <x:c r="A266" s="10"/>
      <x:c r="B266" s="10"/>
      <x:c r="C266" s="10"/>
      <x:c r="D266" s="10"/>
    </x:row>
    <x:row r="267" ht="14.25" customHeight="1">
      <x:c r="A267" s="10"/>
      <x:c r="B267" s="10"/>
      <x:c r="C267" s="10"/>
      <x:c r="D267" s="10"/>
    </x:row>
    <x:row r="268" ht="14.25" customHeight="1">
      <x:c r="A268" s="10"/>
      <x:c r="B268" s="10"/>
      <x:c r="C268" s="10"/>
      <x:c r="D268" s="10"/>
    </x:row>
    <x:row r="269" ht="14.25" customHeight="1">
      <x:c r="A269" s="10"/>
      <x:c r="B269" s="10"/>
      <x:c r="C269" s="10"/>
      <x:c r="D269" s="10"/>
    </x:row>
    <x:row r="270" ht="14.25" customHeight="1">
      <x:c r="A270" s="10"/>
      <x:c r="B270" s="10"/>
      <x:c r="C270" s="10"/>
      <x:c r="D270" s="10"/>
    </x:row>
    <x:row r="271" ht="14.25" customHeight="1">
      <x:c r="A271" s="10"/>
      <x:c r="B271" s="10"/>
      <x:c r="C271" s="10"/>
      <x:c r="D271" s="10"/>
    </x:row>
    <x:row r="272" ht="14.25" customHeight="1">
      <x:c r="A272" s="10"/>
      <x:c r="B272" s="10"/>
      <x:c r="C272" s="10"/>
      <x:c r="D272" s="10"/>
    </x:row>
    <x:row r="273" ht="14.25" customHeight="1">
      <x:c r="A273" s="10"/>
      <x:c r="B273" s="10"/>
      <x:c r="C273" s="10"/>
      <x:c r="D273" s="10"/>
    </x:row>
    <x:row r="274" ht="14.25" customHeight="1">
      <x:c r="A274" s="10"/>
      <x:c r="B274" s="10"/>
      <x:c r="C274" s="10"/>
      <x:c r="D274" s="10"/>
    </x:row>
    <x:row r="275" ht="14.25" customHeight="1">
      <x:c r="A275" s="10"/>
      <x:c r="B275" s="10"/>
      <x:c r="C275" s="10"/>
      <x:c r="D275" s="10"/>
    </x:row>
    <x:row r="276" ht="14.25" customHeight="1">
      <x:c r="A276" s="10"/>
      <x:c r="B276" s="10"/>
      <x:c r="C276" s="10"/>
      <x:c r="D276" s="10"/>
    </x:row>
    <x:row r="277" ht="14.25" customHeight="1">
      <x:c r="A277" s="10"/>
      <x:c r="B277" s="10"/>
      <x:c r="C277" s="10"/>
      <x:c r="D277" s="10"/>
    </x:row>
    <x:row r="278" ht="14.25" customHeight="1">
      <x:c r="A278" s="10"/>
      <x:c r="B278" s="10"/>
      <x:c r="C278" s="10"/>
      <x:c r="D278" s="10"/>
    </x:row>
    <x:row r="279" ht="14.25" customHeight="1">
      <x:c r="A279" s="10"/>
      <x:c r="B279" s="10"/>
      <x:c r="C279" s="10"/>
      <x:c r="D279" s="10"/>
    </x:row>
    <x:row r="280" ht="14.25" customHeight="1">
      <x:c r="A280" s="10"/>
      <x:c r="B280" s="10"/>
      <x:c r="C280" s="10"/>
      <x:c r="D280" s="10"/>
    </x:row>
    <x:row r="281" ht="14.25" customHeight="1">
      <x:c r="A281" s="10"/>
      <x:c r="B281" s="10"/>
      <x:c r="C281" s="10"/>
      <x:c r="D281" s="10"/>
    </x:row>
    <x:row r="282" ht="14.25" customHeight="1">
      <x:c r="A282" s="10"/>
      <x:c r="B282" s="10"/>
      <x:c r="C282" s="10"/>
      <x:c r="D282" s="10"/>
    </x:row>
    <x:row r="283" ht="14.25" customHeight="1">
      <x:c r="A283" s="10"/>
      <x:c r="B283" s="10"/>
      <x:c r="C283" s="10"/>
      <x:c r="D283" s="10"/>
    </x:row>
    <x:row r="284" ht="14.25" customHeight="1">
      <x:c r="A284" s="10"/>
      <x:c r="B284" s="10"/>
      <x:c r="C284" s="10"/>
      <x:c r="D284" s="10"/>
    </x:row>
    <x:row r="285" ht="14.25" customHeight="1">
      <x:c r="A285" s="10"/>
      <x:c r="B285" s="10"/>
      <x:c r="C285" s="10"/>
      <x:c r="D285" s="10"/>
    </x:row>
    <x:row r="286" ht="14.25" customHeight="1">
      <x:c r="A286" s="10"/>
      <x:c r="B286" s="10"/>
      <x:c r="C286" s="10"/>
      <x:c r="D286" s="10"/>
    </x:row>
    <x:row r="287" ht="14.25" customHeight="1">
      <x:c r="A287" s="10"/>
      <x:c r="B287" s="10"/>
      <x:c r="C287" s="10"/>
      <x:c r="D287" s="10"/>
    </x:row>
    <x:row r="288" ht="14.25" customHeight="1">
      <x:c r="A288" s="10"/>
      <x:c r="B288" s="10"/>
      <x:c r="C288" s="10"/>
      <x:c r="D288" s="10"/>
    </x:row>
    <x:row r="289" ht="14.25" customHeight="1">
      <x:c r="A289" s="10"/>
      <x:c r="B289" s="10"/>
      <x:c r="C289" s="10"/>
      <x:c r="D289" s="10"/>
    </x:row>
    <x:row r="290" ht="14.25" customHeight="1">
      <x:c r="A290" s="10"/>
      <x:c r="B290" s="10"/>
      <x:c r="C290" s="10"/>
      <x:c r="D290" s="10"/>
    </x:row>
    <x:row r="291" ht="14.25" customHeight="1">
      <x:c r="A291" s="10"/>
      <x:c r="B291" s="10"/>
      <x:c r="C291" s="10"/>
      <x:c r="D291" s="10"/>
    </x:row>
    <x:row r="292" ht="14.25" customHeight="1">
      <x:c r="A292" s="10"/>
      <x:c r="B292" s="10"/>
      <x:c r="C292" s="10"/>
      <x:c r="D292" s="10"/>
    </x:row>
    <x:row r="293" ht="14.25" customHeight="1">
      <x:c r="A293" s="10"/>
      <x:c r="B293" s="10"/>
      <x:c r="C293" s="10"/>
      <x:c r="D293" s="10"/>
    </x:row>
    <x:row r="294" ht="14.25" customHeight="1">
      <x:c r="A294" s="10"/>
      <x:c r="B294" s="10"/>
      <x:c r="C294" s="10"/>
      <x:c r="D294" s="10"/>
    </x:row>
    <x:row r="295" ht="14.25" customHeight="1">
      <x:c r="A295" s="10"/>
      <x:c r="B295" s="10"/>
      <x:c r="C295" s="10"/>
      <x:c r="D295" s="10"/>
    </x:row>
    <x:row r="296" ht="14.25" customHeight="1">
      <x:c r="A296" s="10"/>
      <x:c r="B296" s="10"/>
      <x:c r="C296" s="10"/>
      <x:c r="D296" s="10"/>
    </x:row>
    <x:row r="297" ht="14.25" customHeight="1">
      <x:c r="A297" s="10"/>
      <x:c r="B297" s="10"/>
      <x:c r="C297" s="10"/>
      <x:c r="D297" s="10"/>
    </x:row>
    <x:row r="298" ht="14.25" customHeight="1">
      <x:c r="A298" s="10"/>
      <x:c r="B298" s="10"/>
      <x:c r="C298" s="10"/>
      <x:c r="D298" s="10"/>
    </x:row>
    <x:row r="299" ht="14.25" customHeight="1">
      <x:c r="A299" s="10"/>
      <x:c r="B299" s="10"/>
      <x:c r="C299" s="10"/>
      <x:c r="D299" s="10"/>
    </x:row>
    <x:row r="300" ht="14.25" customHeight="1">
      <x:c r="A300" s="10"/>
      <x:c r="B300" s="10"/>
      <x:c r="C300" s="10"/>
      <x:c r="D300" s="10"/>
    </x:row>
    <x:row r="301" ht="14.25" customHeight="1">
      <x:c r="A301" s="10"/>
      <x:c r="B301" s="10"/>
      <x:c r="C301" s="10"/>
      <x:c r="D301" s="10"/>
    </x:row>
    <x:row r="302" ht="14.25" customHeight="1">
      <x:c r="A302" s="10"/>
      <x:c r="B302" s="10"/>
      <x:c r="C302" s="10"/>
      <x:c r="D302" s="10"/>
    </x:row>
    <x:row r="303" ht="14.25" customHeight="1">
      <x:c r="A303" s="10"/>
      <x:c r="B303" s="10"/>
      <x:c r="C303" s="10"/>
      <x:c r="D303" s="10"/>
    </x:row>
    <x:row r="304" ht="14.25" customHeight="1">
      <x:c r="A304" s="10"/>
      <x:c r="B304" s="10"/>
      <x:c r="C304" s="10"/>
      <x:c r="D304" s="10"/>
    </x:row>
    <x:row r="305" ht="14.25" customHeight="1">
      <x:c r="A305" s="10"/>
      <x:c r="B305" s="10"/>
      <x:c r="C305" s="10"/>
      <x:c r="D305" s="10"/>
    </x:row>
    <x:row r="306" ht="14.25" customHeight="1">
      <x:c r="A306" s="10"/>
      <x:c r="B306" s="10"/>
      <x:c r="C306" s="10"/>
      <x:c r="D306" s="10"/>
    </x:row>
    <x:row r="307" ht="14.25" customHeight="1">
      <x:c r="A307" s="10"/>
      <x:c r="B307" s="10"/>
      <x:c r="C307" s="10"/>
      <x:c r="D307" s="10"/>
    </x:row>
    <x:row r="308" ht="14.25" customHeight="1">
      <x:c r="A308" s="10"/>
      <x:c r="B308" s="10"/>
      <x:c r="C308" s="10"/>
      <x:c r="D308" s="10"/>
    </x:row>
    <x:row r="309" ht="14.25" customHeight="1">
      <x:c r="A309" s="10"/>
      <x:c r="B309" s="10"/>
      <x:c r="C309" s="10"/>
      <x:c r="D309" s="10"/>
    </x:row>
    <x:row r="310" ht="14.25" customHeight="1">
      <x:c r="A310" s="10"/>
      <x:c r="B310" s="10"/>
      <x:c r="C310" s="10"/>
      <x:c r="D310" s="10"/>
    </x:row>
    <x:row r="311" ht="14.25" customHeight="1">
      <x:c r="A311" s="10"/>
      <x:c r="B311" s="10"/>
      <x:c r="C311" s="10"/>
      <x:c r="D311" s="10"/>
    </x:row>
    <x:row r="312" ht="14.25" customHeight="1">
      <x:c r="A312" s="10"/>
      <x:c r="B312" s="10"/>
      <x:c r="C312" s="10"/>
      <x:c r="D312" s="10"/>
    </x:row>
    <x:row r="313" ht="14.25" customHeight="1">
      <x:c r="A313" s="10"/>
      <x:c r="B313" s="10"/>
      <x:c r="C313" s="10"/>
      <x:c r="D313" s="10"/>
    </x:row>
    <x:row r="314" ht="14.25" customHeight="1">
      <x:c r="A314" s="10"/>
      <x:c r="B314" s="10"/>
      <x:c r="C314" s="10"/>
      <x:c r="D314" s="10"/>
    </x:row>
    <x:row r="315" ht="14.25" customHeight="1">
      <x:c r="A315" s="10"/>
      <x:c r="B315" s="10"/>
      <x:c r="C315" s="10"/>
      <x:c r="D315" s="10"/>
    </x:row>
    <x:row r="316" ht="14.25" customHeight="1">
      <x:c r="A316" s="10"/>
      <x:c r="B316" s="10"/>
      <x:c r="C316" s="10"/>
      <x:c r="D316" s="10"/>
    </x:row>
    <x:row r="317" ht="14.25" customHeight="1">
      <x:c r="A317" s="10"/>
      <x:c r="B317" s="10"/>
      <x:c r="C317" s="10"/>
      <x:c r="D317" s="10"/>
    </x:row>
    <x:row r="318" ht="14.25" customHeight="1">
      <x:c r="A318" s="10"/>
      <x:c r="B318" s="10"/>
      <x:c r="C318" s="10"/>
      <x:c r="D318" s="10"/>
    </x:row>
    <x:row r="319" ht="14.25" customHeight="1">
      <x:c r="A319" s="10"/>
      <x:c r="B319" s="10"/>
      <x:c r="C319" s="10"/>
      <x:c r="D319" s="10"/>
    </x:row>
    <x:row r="320" ht="14.25" customHeight="1">
      <x:c r="A320" s="10"/>
      <x:c r="B320" s="10"/>
      <x:c r="C320" s="10"/>
      <x:c r="D320" s="10"/>
    </x:row>
    <x:row r="321" ht="14.25" customHeight="1">
      <x:c r="A321" s="10"/>
      <x:c r="B321" s="10"/>
      <x:c r="C321" s="10"/>
      <x:c r="D321" s="10"/>
    </x:row>
    <x:row r="322" ht="14.25" customHeight="1">
      <x:c r="A322" s="10"/>
      <x:c r="B322" s="10"/>
      <x:c r="C322" s="10"/>
      <x:c r="D322" s="10"/>
    </x:row>
    <x:row r="323" ht="14.25" customHeight="1">
      <x:c r="A323" s="10"/>
      <x:c r="B323" s="10"/>
      <x:c r="C323" s="10"/>
      <x:c r="D323" s="10"/>
    </x:row>
    <x:row r="324" ht="14.25" customHeight="1">
      <x:c r="A324" s="10"/>
      <x:c r="B324" s="10"/>
      <x:c r="C324" s="10"/>
      <x:c r="D324" s="10"/>
    </x:row>
    <x:row r="325" ht="14.25" customHeight="1">
      <x:c r="A325" s="10"/>
      <x:c r="B325" s="10"/>
      <x:c r="C325" s="10"/>
      <x:c r="D325" s="10"/>
    </x:row>
    <x:row r="326" ht="14.25" customHeight="1">
      <x:c r="A326" s="10"/>
      <x:c r="B326" s="10"/>
      <x:c r="C326" s="10"/>
      <x:c r="D326" s="10"/>
    </x:row>
    <x:row r="327" ht="14.25" customHeight="1">
      <x:c r="A327" s="10"/>
      <x:c r="B327" s="10"/>
      <x:c r="C327" s="10"/>
      <x:c r="D327" s="10"/>
    </x:row>
    <x:row r="328" ht="14.25" customHeight="1">
      <x:c r="A328" s="10"/>
      <x:c r="B328" s="10"/>
      <x:c r="C328" s="10"/>
      <x:c r="D328" s="10"/>
    </x:row>
    <x:row r="329" ht="14.25" customHeight="1">
      <x:c r="A329" s="10"/>
      <x:c r="B329" s="10"/>
      <x:c r="C329" s="10"/>
      <x:c r="D329" s="10"/>
    </x:row>
    <x:row r="330" ht="14.25" customHeight="1">
      <x:c r="A330" s="10"/>
      <x:c r="B330" s="10"/>
      <x:c r="C330" s="10"/>
      <x:c r="D330" s="10"/>
    </x:row>
    <x:row r="331" ht="14.25" customHeight="1">
      <x:c r="A331" s="10"/>
      <x:c r="B331" s="10"/>
      <x:c r="C331" s="10"/>
      <x:c r="D331" s="10"/>
    </x:row>
    <x:row r="332" ht="14.25" customHeight="1">
      <x:c r="A332" s="10"/>
      <x:c r="B332" s="10"/>
      <x:c r="C332" s="10"/>
      <x:c r="D332" s="10"/>
    </x:row>
    <x:row r="333" ht="14.25" customHeight="1">
      <x:c r="A333" s="10"/>
      <x:c r="B333" s="10"/>
      <x:c r="C333" s="10"/>
      <x:c r="D333" s="10"/>
    </x:row>
    <x:row r="334" ht="14.25" customHeight="1">
      <x:c r="A334" s="10"/>
      <x:c r="B334" s="10"/>
      <x:c r="C334" s="10"/>
      <x:c r="D334" s="10"/>
    </x:row>
    <x:row r="335" ht="14.25" customHeight="1">
      <x:c r="A335" s="10"/>
      <x:c r="B335" s="10"/>
      <x:c r="C335" s="10"/>
      <x:c r="D335" s="10"/>
    </x:row>
    <x:row r="336" ht="14.25" customHeight="1">
      <x:c r="A336" s="10"/>
      <x:c r="B336" s="10"/>
      <x:c r="C336" s="10"/>
      <x:c r="D336" s="10"/>
    </x:row>
    <x:row r="337" ht="14.25" customHeight="1">
      <x:c r="A337" s="10"/>
      <x:c r="B337" s="10"/>
      <x:c r="C337" s="10"/>
      <x:c r="D337" s="10"/>
    </x:row>
    <x:row r="338" ht="14.25" customHeight="1">
      <x:c r="A338" s="10"/>
      <x:c r="B338" s="10"/>
      <x:c r="C338" s="10"/>
      <x:c r="D338" s="10"/>
    </x:row>
    <x:row r="339" ht="14.25" customHeight="1">
      <x:c r="A339" s="10"/>
      <x:c r="B339" s="10"/>
      <x:c r="C339" s="10"/>
      <x:c r="D339" s="10"/>
    </x:row>
    <x:row r="340" ht="14.25" customHeight="1">
      <x:c r="A340" s="10"/>
      <x:c r="B340" s="10"/>
      <x:c r="C340" s="10"/>
      <x:c r="D340" s="10"/>
    </x:row>
    <x:row r="341" ht="14.25" customHeight="1">
      <x:c r="A341" s="10"/>
      <x:c r="B341" s="10"/>
      <x:c r="C341" s="10"/>
      <x:c r="D341" s="10"/>
    </x:row>
    <x:row r="342" ht="14.25" customHeight="1">
      <x:c r="A342" s="10"/>
      <x:c r="B342" s="10"/>
      <x:c r="C342" s="10"/>
      <x:c r="D342" s="10"/>
    </x:row>
    <x:row r="343" ht="14.25" customHeight="1">
      <x:c r="A343" s="10"/>
      <x:c r="B343" s="10"/>
      <x:c r="C343" s="10"/>
      <x:c r="D343" s="10"/>
    </x:row>
    <x:row r="344" ht="14.25" customHeight="1">
      <x:c r="A344" s="10"/>
      <x:c r="B344" s="10"/>
      <x:c r="C344" s="10"/>
      <x:c r="D344" s="10"/>
    </x:row>
    <x:row r="345" ht="14.25" customHeight="1">
      <x:c r="A345" s="10"/>
      <x:c r="B345" s="10"/>
      <x:c r="C345" s="10"/>
      <x:c r="D345" s="10"/>
    </x:row>
    <x:row r="346" ht="14.25" customHeight="1">
      <x:c r="A346" s="10"/>
      <x:c r="B346" s="10"/>
      <x:c r="C346" s="10"/>
      <x:c r="D346" s="10"/>
    </x:row>
    <x:row r="347" ht="14.25" customHeight="1">
      <x:c r="A347" s="10"/>
      <x:c r="B347" s="10"/>
      <x:c r="C347" s="10"/>
      <x:c r="D347" s="10"/>
    </x:row>
    <x:row r="348" ht="14.25" customHeight="1">
      <x:c r="A348" s="10"/>
      <x:c r="B348" s="10"/>
      <x:c r="C348" s="10"/>
      <x:c r="D348" s="10"/>
    </x:row>
    <x:row r="349" ht="14.25" customHeight="1">
      <x:c r="A349" s="10"/>
      <x:c r="B349" s="10"/>
      <x:c r="C349" s="10"/>
      <x:c r="D349" s="10"/>
    </x:row>
    <x:row r="350" ht="14.25" customHeight="1">
      <x:c r="A350" s="10"/>
      <x:c r="B350" s="10"/>
      <x:c r="C350" s="10"/>
      <x:c r="D350" s="10"/>
    </x:row>
    <x:row r="351" ht="14.25" customHeight="1">
      <x:c r="A351" s="10"/>
      <x:c r="B351" s="10"/>
      <x:c r="C351" s="10"/>
      <x:c r="D351" s="10"/>
    </x:row>
    <x:row r="352" ht="14.25" customHeight="1">
      <x:c r="A352" s="10"/>
      <x:c r="B352" s="10"/>
      <x:c r="C352" s="10"/>
      <x:c r="D352" s="10"/>
    </x:row>
    <x:row r="353" ht="14.25" customHeight="1">
      <x:c r="A353" s="10"/>
      <x:c r="B353" s="10"/>
      <x:c r="C353" s="10"/>
      <x:c r="D353" s="10"/>
    </x:row>
    <x:row r="354" ht="14.25" customHeight="1">
      <x:c r="A354" s="10"/>
      <x:c r="B354" s="10"/>
      <x:c r="C354" s="10"/>
      <x:c r="D354" s="10"/>
    </x:row>
    <x:row r="355" ht="14.25" customHeight="1">
      <x:c r="A355" s="10"/>
      <x:c r="B355" s="10"/>
      <x:c r="C355" s="10"/>
      <x:c r="D355" s="10"/>
    </x:row>
    <x:row r="356" ht="14.25" customHeight="1">
      <x:c r="A356" s="10"/>
      <x:c r="B356" s="10"/>
      <x:c r="C356" s="10"/>
      <x:c r="D356" s="10"/>
    </x:row>
    <x:row r="357" ht="14.25" customHeight="1">
      <x:c r="A357" s="10"/>
      <x:c r="B357" s="10"/>
      <x:c r="C357" s="10"/>
      <x:c r="D357" s="10"/>
    </x:row>
    <x:row r="358" ht="14.25" customHeight="1">
      <x:c r="A358" s="10"/>
      <x:c r="B358" s="10"/>
      <x:c r="C358" s="10"/>
      <x:c r="D358" s="10"/>
    </x:row>
    <x:row r="359" ht="14.25" customHeight="1">
      <x:c r="A359" s="10"/>
      <x:c r="B359" s="10"/>
      <x:c r="C359" s="10"/>
      <x:c r="D359" s="10"/>
    </x:row>
    <x:row r="360" ht="14.25" customHeight="1">
      <x:c r="A360" s="10"/>
      <x:c r="B360" s="10"/>
      <x:c r="C360" s="10"/>
      <x:c r="D360" s="10"/>
    </x:row>
    <x:row r="361" ht="14.25" customHeight="1">
      <x:c r="A361" s="10"/>
      <x:c r="B361" s="10"/>
      <x:c r="C361" s="10"/>
      <x:c r="D361" s="10"/>
    </x:row>
    <x:row r="362" ht="14.25" customHeight="1">
      <x:c r="A362" s="10"/>
      <x:c r="B362" s="10"/>
      <x:c r="C362" s="10"/>
      <x:c r="D362" s="10"/>
    </x:row>
    <x:row r="363" ht="14.25" customHeight="1">
      <x:c r="A363" s="10"/>
      <x:c r="B363" s="10"/>
      <x:c r="C363" s="10"/>
      <x:c r="D363" s="10"/>
    </x:row>
    <x:row r="364" ht="14.25" customHeight="1">
      <x:c r="A364" s="10"/>
      <x:c r="B364" s="10"/>
      <x:c r="C364" s="10"/>
      <x:c r="D364" s="10"/>
    </x:row>
    <x:row r="365" ht="14.25" customHeight="1">
      <x:c r="A365" s="10"/>
      <x:c r="B365" s="10"/>
      <x:c r="C365" s="10"/>
      <x:c r="D365" s="10"/>
    </x:row>
    <x:row r="366" ht="14.25" customHeight="1">
      <x:c r="A366" s="10"/>
      <x:c r="B366" s="10"/>
      <x:c r="C366" s="10"/>
      <x:c r="D366" s="10"/>
    </x:row>
    <x:row r="367" ht="14.25" customHeight="1">
      <x:c r="A367" s="10"/>
      <x:c r="B367" s="10"/>
      <x:c r="C367" s="10"/>
      <x:c r="D367" s="10"/>
    </x:row>
    <x:row r="368" ht="14.25" customHeight="1">
      <x:c r="A368" s="10"/>
      <x:c r="B368" s="10"/>
      <x:c r="C368" s="10"/>
      <x:c r="D368" s="10"/>
    </x:row>
    <x:row r="369" ht="14.25" customHeight="1">
      <x:c r="A369" s="10"/>
      <x:c r="B369" s="10"/>
      <x:c r="C369" s="10"/>
      <x:c r="D369" s="10"/>
    </x:row>
    <x:row r="370" ht="14.25" customHeight="1">
      <x:c r="A370" s="10"/>
      <x:c r="B370" s="10"/>
      <x:c r="C370" s="10"/>
      <x:c r="D370" s="10"/>
    </x:row>
    <x:row r="371" ht="14.25" customHeight="1">
      <x:c r="A371" s="10"/>
      <x:c r="B371" s="10"/>
      <x:c r="C371" s="10"/>
      <x:c r="D371" s="10"/>
    </x:row>
    <x:row r="372" ht="14.25" customHeight="1">
      <x:c r="A372" s="10"/>
      <x:c r="B372" s="10"/>
      <x:c r="C372" s="10"/>
      <x:c r="D372" s="10"/>
    </x:row>
    <x:row r="373" ht="14.25" customHeight="1">
      <x:c r="A373" s="10"/>
      <x:c r="B373" s="10"/>
      <x:c r="C373" s="10"/>
      <x:c r="D373" s="10"/>
    </x:row>
    <x:row r="374" ht="14.25" customHeight="1">
      <x:c r="A374" s="10"/>
      <x:c r="B374" s="10"/>
      <x:c r="C374" s="10"/>
      <x:c r="D374" s="10"/>
    </x:row>
    <x:row r="375" ht="14.25" customHeight="1">
      <x:c r="A375" s="10"/>
      <x:c r="B375" s="10"/>
      <x:c r="C375" s="10"/>
      <x:c r="D375" s="10"/>
    </x:row>
    <x:row r="376" ht="14.25" customHeight="1">
      <x:c r="A376" s="10"/>
      <x:c r="B376" s="10"/>
      <x:c r="C376" s="10"/>
      <x:c r="D376" s="10"/>
    </x:row>
    <x:row r="377" ht="14.25" customHeight="1">
      <x:c r="A377" s="10"/>
      <x:c r="B377" s="10"/>
      <x:c r="C377" s="10"/>
      <x:c r="D377" s="10"/>
    </x:row>
    <x:row r="378" ht="14.25" customHeight="1">
      <x:c r="A378" s="10"/>
      <x:c r="B378" s="10"/>
      <x:c r="C378" s="10"/>
      <x:c r="D378" s="10"/>
    </x:row>
    <x:row r="379" ht="14.25" customHeight="1">
      <x:c r="A379" s="10"/>
      <x:c r="B379" s="10"/>
      <x:c r="C379" s="10"/>
      <x:c r="D379" s="10"/>
    </x:row>
    <x:row r="380" ht="14.25" customHeight="1">
      <x:c r="A380" s="10"/>
      <x:c r="B380" s="10"/>
      <x:c r="C380" s="10"/>
      <x:c r="D380" s="10"/>
    </x:row>
    <x:row r="381" ht="14.25" customHeight="1">
      <x:c r="A381" s="10"/>
      <x:c r="B381" s="10"/>
      <x:c r="C381" s="10"/>
      <x:c r="D381" s="10"/>
    </x:row>
    <x:row r="382" ht="14.25" customHeight="1">
      <x:c r="A382" s="10"/>
      <x:c r="B382" s="10"/>
      <x:c r="C382" s="10"/>
      <x:c r="D382" s="10"/>
    </x:row>
    <x:row r="383" ht="14.25" customHeight="1">
      <x:c r="A383" s="10"/>
      <x:c r="B383" s="10"/>
      <x:c r="C383" s="10"/>
      <x:c r="D383" s="10"/>
    </x:row>
    <x:row r="384" ht="14.25" customHeight="1">
      <x:c r="A384" s="10"/>
      <x:c r="B384" s="10"/>
      <x:c r="C384" s="10"/>
      <x:c r="D384" s="10"/>
    </x:row>
    <x:row r="385" ht="14.25" customHeight="1">
      <x:c r="A385" s="10"/>
      <x:c r="B385" s="10"/>
      <x:c r="C385" s="10"/>
      <x:c r="D385" s="10"/>
    </x:row>
    <x:row r="386" ht="14.25" customHeight="1">
      <x:c r="A386" s="10"/>
      <x:c r="B386" s="10"/>
      <x:c r="C386" s="10"/>
      <x:c r="D386" s="10"/>
    </x:row>
    <x:row r="387" ht="14.25" customHeight="1">
      <x:c r="A387" s="10"/>
      <x:c r="B387" s="10"/>
      <x:c r="C387" s="10"/>
      <x:c r="D387" s="10"/>
    </x:row>
    <x:row r="388" ht="14.25" customHeight="1">
      <x:c r="A388" s="10"/>
      <x:c r="B388" s="10"/>
      <x:c r="C388" s="10"/>
      <x:c r="D388" s="10"/>
    </x:row>
    <x:row r="389" ht="14.25" customHeight="1">
      <x:c r="A389" s="10"/>
      <x:c r="B389" s="10"/>
      <x:c r="C389" s="10"/>
      <x:c r="D389" s="10"/>
    </x:row>
    <x:row r="390" ht="14.25" customHeight="1">
      <x:c r="A390" s="10"/>
      <x:c r="B390" s="10"/>
      <x:c r="C390" s="10"/>
      <x:c r="D390" s="10"/>
    </x:row>
    <x:row r="391" ht="14.25" customHeight="1">
      <x:c r="A391" s="10"/>
      <x:c r="B391" s="10"/>
      <x:c r="C391" s="10"/>
      <x:c r="D391" s="10"/>
    </x:row>
    <x:row r="392" ht="14.25" customHeight="1">
      <x:c r="A392" s="10"/>
      <x:c r="B392" s="10"/>
      <x:c r="C392" s="10"/>
      <x:c r="D392" s="10"/>
    </x:row>
    <x:row r="393" ht="14.25" customHeight="1">
      <x:c r="A393" s="10"/>
      <x:c r="B393" s="10"/>
      <x:c r="C393" s="10"/>
      <x:c r="D393" s="10"/>
    </x:row>
    <x:row r="394" ht="14.25" customHeight="1">
      <x:c r="A394" s="10"/>
      <x:c r="B394" s="10"/>
      <x:c r="C394" s="10"/>
      <x:c r="D394" s="10"/>
    </x:row>
    <x:row r="395" ht="14.25" customHeight="1">
      <x:c r="A395" s="10"/>
      <x:c r="B395" s="10"/>
      <x:c r="C395" s="10"/>
      <x:c r="D395" s="10"/>
    </x:row>
    <x:row r="396" ht="14.25" customHeight="1">
      <x:c r="A396" s="10"/>
      <x:c r="B396" s="10"/>
      <x:c r="C396" s="10"/>
      <x:c r="D396" s="10"/>
    </x:row>
    <x:row r="397" ht="14.25" customHeight="1">
      <x:c r="A397" s="10"/>
      <x:c r="B397" s="10"/>
      <x:c r="C397" s="10"/>
      <x:c r="D397" s="10"/>
    </x:row>
    <x:row r="398" ht="14.25" customHeight="1">
      <x:c r="A398" s="10"/>
      <x:c r="B398" s="10"/>
      <x:c r="C398" s="10"/>
      <x:c r="D398" s="10"/>
    </x:row>
    <x:row r="399" ht="14.25" customHeight="1">
      <x:c r="A399" s="10"/>
      <x:c r="B399" s="10"/>
      <x:c r="C399" s="10"/>
      <x:c r="D399" s="10"/>
    </x:row>
    <x:row r="400" ht="14.25" customHeight="1">
      <x:c r="A400" s="10"/>
      <x:c r="B400" s="10"/>
      <x:c r="C400" s="10"/>
      <x:c r="D400" s="10"/>
    </x:row>
    <x:row r="401" ht="14.25" customHeight="1">
      <x:c r="A401" s="10"/>
      <x:c r="B401" s="10"/>
      <x:c r="C401" s="10"/>
      <x:c r="D401" s="10"/>
    </x:row>
    <x:row r="402" ht="14.25" customHeight="1">
      <x:c r="A402" s="10"/>
      <x:c r="B402" s="10"/>
      <x:c r="C402" s="10"/>
      <x:c r="D402" s="10"/>
    </x:row>
    <x:row r="403" ht="14.25" customHeight="1">
      <x:c r="A403" s="10"/>
      <x:c r="B403" s="10"/>
      <x:c r="C403" s="10"/>
      <x:c r="D403" s="10"/>
    </x:row>
    <x:row r="404" ht="14.25" customHeight="1">
      <x:c r="A404" s="10"/>
      <x:c r="B404" s="10"/>
      <x:c r="C404" s="10"/>
      <x:c r="D404" s="10"/>
    </x:row>
    <x:row r="405" ht="14.25" customHeight="1">
      <x:c r="A405" s="10"/>
      <x:c r="B405" s="10"/>
      <x:c r="C405" s="10"/>
      <x:c r="D405" s="10"/>
    </x:row>
    <x:row r="406" ht="14.25" customHeight="1">
      <x:c r="A406" s="10"/>
      <x:c r="B406" s="10"/>
      <x:c r="C406" s="10"/>
      <x:c r="D406" s="10"/>
    </x:row>
    <x:row r="407" ht="14.25" customHeight="1">
      <x:c r="A407" s="10"/>
      <x:c r="B407" s="10"/>
      <x:c r="C407" s="10"/>
      <x:c r="D407" s="10"/>
    </x:row>
    <x:row r="408" ht="14.25" customHeight="1">
      <x:c r="A408" s="10"/>
      <x:c r="B408" s="10"/>
      <x:c r="C408" s="10"/>
      <x:c r="D408" s="10"/>
    </x:row>
    <x:row r="409" ht="14.25" customHeight="1">
      <x:c r="A409" s="10"/>
      <x:c r="B409" s="10"/>
      <x:c r="C409" s="10"/>
      <x:c r="D409" s="10"/>
    </x:row>
    <x:row r="410" ht="14.25" customHeight="1">
      <x:c r="A410" s="10"/>
      <x:c r="B410" s="10"/>
      <x:c r="C410" s="10"/>
      <x:c r="D410" s="10"/>
    </x:row>
    <x:row r="411" ht="14.25" customHeight="1">
      <x:c r="A411" s="10"/>
      <x:c r="B411" s="10"/>
      <x:c r="C411" s="10"/>
      <x:c r="D411" s="10"/>
    </x:row>
    <x:row r="412" ht="14.25" customHeight="1">
      <x:c r="A412" s="10"/>
      <x:c r="B412" s="10"/>
      <x:c r="C412" s="10"/>
      <x:c r="D412" s="10"/>
    </x:row>
    <x:row r="413" ht="14.25" customHeight="1">
      <x:c r="A413" s="10"/>
      <x:c r="B413" s="10"/>
      <x:c r="C413" s="10"/>
      <x:c r="D413" s="10"/>
    </x:row>
    <x:row r="414" ht="14.25" customHeight="1">
      <x:c r="A414" s="10"/>
      <x:c r="B414" s="10"/>
      <x:c r="C414" s="10"/>
      <x:c r="D414" s="10"/>
    </x:row>
    <x:row r="415" ht="14.25" customHeight="1">
      <x:c r="A415" s="10"/>
      <x:c r="B415" s="10"/>
      <x:c r="C415" s="10"/>
      <x:c r="D415" s="10"/>
    </x:row>
    <x:row r="416" ht="14.25" customHeight="1">
      <x:c r="A416" s="10"/>
      <x:c r="B416" s="10"/>
      <x:c r="C416" s="10"/>
      <x:c r="D416" s="10"/>
    </x:row>
    <x:row r="417" ht="14.25" customHeight="1">
      <x:c r="A417" s="10"/>
      <x:c r="B417" s="10"/>
      <x:c r="C417" s="10"/>
      <x:c r="D417" s="10"/>
    </x:row>
    <x:row r="418" ht="14.25" customHeight="1">
      <x:c r="A418" s="10"/>
      <x:c r="B418" s="10"/>
      <x:c r="C418" s="10"/>
      <x:c r="D418" s="10"/>
    </x:row>
    <x:row r="419" ht="14.25" customHeight="1">
      <x:c r="A419" s="10"/>
      <x:c r="B419" s="10"/>
      <x:c r="C419" s="10"/>
      <x:c r="D419" s="10"/>
    </x:row>
    <x:row r="420" ht="14.25" customHeight="1">
      <x:c r="A420" s="10"/>
      <x:c r="B420" s="10"/>
      <x:c r="C420" s="10"/>
      <x:c r="D420" s="10"/>
    </x:row>
    <x:row r="421" ht="14.25" customHeight="1">
      <x:c r="A421" s="10"/>
      <x:c r="B421" s="10"/>
      <x:c r="C421" s="10"/>
      <x:c r="D421" s="10"/>
    </x:row>
    <x:row r="422" ht="14.25" customHeight="1">
      <x:c r="A422" s="10"/>
      <x:c r="B422" s="10"/>
      <x:c r="C422" s="10"/>
      <x:c r="D422" s="10"/>
    </x:row>
    <x:row r="423" ht="14.25" customHeight="1">
      <x:c r="A423" s="10"/>
      <x:c r="B423" s="10"/>
      <x:c r="C423" s="10"/>
      <x:c r="D423" s="10"/>
    </x:row>
    <x:row r="424" ht="14.25" customHeight="1">
      <x:c r="A424" s="10"/>
      <x:c r="B424" s="10"/>
      <x:c r="C424" s="10"/>
      <x:c r="D424" s="10"/>
    </x:row>
    <x:row r="425" ht="14.25" customHeight="1">
      <x:c r="A425" s="10"/>
      <x:c r="B425" s="10"/>
      <x:c r="C425" s="10"/>
      <x:c r="D425" s="10"/>
    </x:row>
    <x:row r="426" ht="14.25" customHeight="1">
      <x:c r="A426" s="10"/>
      <x:c r="B426" s="10"/>
      <x:c r="C426" s="10"/>
      <x:c r="D426" s="10"/>
    </x:row>
    <x:row r="427" ht="14.25" customHeight="1">
      <x:c r="A427" s="10"/>
      <x:c r="B427" s="10"/>
      <x:c r="C427" s="10"/>
      <x:c r="D427" s="10"/>
    </x:row>
    <x:row r="428" ht="14.25" customHeight="1">
      <x:c r="A428" s="10"/>
      <x:c r="B428" s="10"/>
      <x:c r="C428" s="10"/>
      <x:c r="D428" s="10"/>
    </x:row>
    <x:row r="429" ht="14.25" customHeight="1">
      <x:c r="A429" s="10"/>
      <x:c r="B429" s="10"/>
      <x:c r="C429" s="10"/>
      <x:c r="D429" s="10"/>
    </x:row>
    <x:row r="430" ht="14.25" customHeight="1">
      <x:c r="A430" s="10"/>
      <x:c r="B430" s="10"/>
      <x:c r="C430" s="10"/>
      <x:c r="D430" s="10"/>
    </x:row>
    <x:row r="431" ht="14.25" customHeight="1">
      <x:c r="A431" s="10"/>
      <x:c r="B431" s="10"/>
      <x:c r="C431" s="10"/>
      <x:c r="D431" s="10"/>
    </x:row>
    <x:row r="432" ht="14.25" customHeight="1">
      <x:c r="A432" s="10"/>
      <x:c r="B432" s="10"/>
      <x:c r="C432" s="10"/>
      <x:c r="D432" s="10"/>
    </x:row>
    <x:row r="433" ht="14.25" customHeight="1">
      <x:c r="A433" s="10"/>
      <x:c r="B433" s="10"/>
      <x:c r="C433" s="10"/>
      <x:c r="D433" s="10"/>
    </x:row>
    <x:row r="434" ht="14.25" customHeight="1">
      <x:c r="A434" s="10"/>
      <x:c r="B434" s="10"/>
      <x:c r="C434" s="10"/>
      <x:c r="D434" s="10"/>
    </x:row>
    <x:row r="435" ht="14.25" customHeight="1">
      <x:c r="A435" s="10"/>
      <x:c r="B435" s="10"/>
      <x:c r="C435" s="10"/>
      <x:c r="D435" s="10"/>
    </x:row>
    <x:row r="436" ht="14.25" customHeight="1">
      <x:c r="A436" s="10"/>
      <x:c r="B436" s="10"/>
      <x:c r="C436" s="10"/>
      <x:c r="D436" s="10"/>
    </x:row>
    <x:row r="437" ht="14.25" customHeight="1">
      <x:c r="A437" s="10"/>
      <x:c r="B437" s="10"/>
      <x:c r="C437" s="10"/>
      <x:c r="D437" s="10"/>
    </x:row>
    <x:row r="438" ht="14.25" customHeight="1">
      <x:c r="A438" s="10"/>
      <x:c r="B438" s="10"/>
      <x:c r="C438" s="10"/>
      <x:c r="D438" s="10"/>
    </x:row>
    <x:row r="439" ht="14.25" customHeight="1">
      <x:c r="A439" s="10"/>
      <x:c r="B439" s="10"/>
      <x:c r="C439" s="10"/>
      <x:c r="D439" s="10"/>
    </x:row>
    <x:row r="440" ht="14.25" customHeight="1">
      <x:c r="A440" s="10"/>
      <x:c r="B440" s="10"/>
      <x:c r="C440" s="10"/>
      <x:c r="D440" s="10"/>
    </x:row>
    <x:row r="441" ht="14.25" customHeight="1">
      <x:c r="A441" s="10"/>
      <x:c r="B441" s="10"/>
      <x:c r="C441" s="10"/>
      <x:c r="D441" s="10"/>
    </x:row>
    <x:row r="442" ht="14.25" customHeight="1">
      <x:c r="A442" s="10"/>
      <x:c r="B442" s="10"/>
      <x:c r="C442" s="10"/>
      <x:c r="D442" s="10"/>
    </x:row>
    <x:row r="443" ht="14.25" customHeight="1">
      <x:c r="A443" s="10"/>
      <x:c r="B443" s="10"/>
      <x:c r="C443" s="10"/>
      <x:c r="D443" s="10"/>
    </x:row>
    <x:row r="444" ht="14.25" customHeight="1">
      <x:c r="A444" s="10"/>
      <x:c r="B444" s="10"/>
      <x:c r="C444" s="10"/>
      <x:c r="D444" s="10"/>
    </x:row>
    <x:row r="445" ht="14.25" customHeight="1">
      <x:c r="A445" s="10"/>
      <x:c r="B445" s="10"/>
      <x:c r="C445" s="10"/>
      <x:c r="D445" s="10"/>
    </x:row>
    <x:row r="446" ht="14.25" customHeight="1">
      <x:c r="A446" s="10"/>
      <x:c r="B446" s="10"/>
      <x:c r="C446" s="10"/>
      <x:c r="D446" s="10"/>
    </x:row>
    <x:row r="447" ht="14.25" customHeight="1">
      <x:c r="A447" s="10"/>
      <x:c r="B447" s="10"/>
      <x:c r="C447" s="10"/>
      <x:c r="D447" s="10"/>
    </x:row>
    <x:row r="448" ht="14.25" customHeight="1">
      <x:c r="A448" s="10"/>
      <x:c r="B448" s="10"/>
      <x:c r="C448" s="10"/>
      <x:c r="D448" s="10"/>
    </x:row>
    <x:row r="449" ht="14.25" customHeight="1">
      <x:c r="A449" s="10"/>
      <x:c r="B449" s="10"/>
      <x:c r="C449" s="10"/>
      <x:c r="D449" s="10"/>
    </x:row>
    <x:row r="450" ht="14.25" customHeight="1">
      <x:c r="A450" s="10"/>
      <x:c r="B450" s="10"/>
      <x:c r="C450" s="10"/>
      <x:c r="D450" s="10"/>
    </x:row>
    <x:row r="451" ht="14.25" customHeight="1">
      <x:c r="A451" s="10"/>
      <x:c r="B451" s="10"/>
      <x:c r="C451" s="10"/>
      <x:c r="D451" s="10"/>
    </x:row>
    <x:row r="452" ht="14.25" customHeight="1">
      <x:c r="A452" s="10"/>
      <x:c r="B452" s="10"/>
      <x:c r="C452" s="10"/>
      <x:c r="D452" s="10"/>
    </x:row>
    <x:row r="453" ht="14.25" customHeight="1">
      <x:c r="A453" s="10"/>
      <x:c r="B453" s="10"/>
      <x:c r="C453" s="10"/>
      <x:c r="D453" s="10"/>
    </x:row>
    <x:row r="454" ht="14.25" customHeight="1">
      <x:c r="A454" s="10"/>
      <x:c r="B454" s="10"/>
      <x:c r="C454" s="10"/>
      <x:c r="D454" s="10"/>
    </x:row>
    <x:row r="455" ht="14.25" customHeight="1">
      <x:c r="A455" s="10"/>
      <x:c r="B455" s="10"/>
      <x:c r="C455" s="10"/>
      <x:c r="D455" s="10"/>
    </x:row>
    <x:row r="456" ht="14.25" customHeight="1">
      <x:c r="A456" s="10"/>
      <x:c r="B456" s="10"/>
      <x:c r="C456" s="10"/>
      <x:c r="D456" s="10"/>
    </x:row>
    <x:row r="457" ht="14.25" customHeight="1">
      <x:c r="A457" s="10"/>
      <x:c r="B457" s="10"/>
      <x:c r="C457" s="10"/>
      <x:c r="D457" s="10"/>
    </x:row>
    <x:row r="458" ht="14.25" customHeight="1">
      <x:c r="A458" s="10"/>
      <x:c r="B458" s="10"/>
      <x:c r="C458" s="10"/>
      <x:c r="D458" s="10"/>
    </x:row>
    <x:row r="459" ht="14.25" customHeight="1">
      <x:c r="A459" s="10"/>
      <x:c r="B459" s="10"/>
      <x:c r="C459" s="10"/>
      <x:c r="D459" s="10"/>
    </x:row>
    <x:row r="460" ht="14.25" customHeight="1">
      <x:c r="A460" s="10"/>
      <x:c r="B460" s="10"/>
      <x:c r="C460" s="10"/>
      <x:c r="D460" s="10"/>
    </x:row>
    <x:row r="461" ht="14.25" customHeight="1">
      <x:c r="A461" s="10"/>
      <x:c r="B461" s="10"/>
      <x:c r="C461" s="10"/>
      <x:c r="D461" s="10"/>
    </x:row>
    <x:row r="462" ht="14.25" customHeight="1">
      <x:c r="A462" s="10"/>
      <x:c r="B462" s="10"/>
      <x:c r="C462" s="10"/>
      <x:c r="D462" s="10"/>
    </x:row>
    <x:row r="463" ht="14.25" customHeight="1">
      <x:c r="A463" s="10"/>
      <x:c r="B463" s="10"/>
      <x:c r="C463" s="10"/>
      <x:c r="D463" s="10"/>
    </x:row>
    <x:row r="464" ht="14.25" customHeight="1">
      <x:c r="A464" s="10"/>
      <x:c r="B464" s="10"/>
      <x:c r="C464" s="10"/>
      <x:c r="D464" s="10"/>
    </x:row>
    <x:row r="465" ht="14.25" customHeight="1">
      <x:c r="A465" s="10"/>
      <x:c r="B465" s="10"/>
      <x:c r="C465" s="10"/>
      <x:c r="D465" s="10"/>
    </x:row>
    <x:row r="466" ht="14.25" customHeight="1">
      <x:c r="A466" s="10"/>
      <x:c r="B466" s="10"/>
      <x:c r="C466" s="10"/>
      <x:c r="D466" s="10"/>
    </x:row>
    <x:row r="467" ht="14.25" customHeight="1">
      <x:c r="A467" s="10"/>
      <x:c r="B467" s="10"/>
      <x:c r="C467" s="10"/>
      <x:c r="D467" s="10"/>
    </x:row>
    <x:row r="468" ht="14.25" customHeight="1">
      <x:c r="A468" s="10"/>
      <x:c r="B468" s="10"/>
      <x:c r="C468" s="10"/>
      <x:c r="D468" s="10"/>
    </x:row>
    <x:row r="469" ht="14.25" customHeight="1">
      <x:c r="A469" s="10"/>
      <x:c r="B469" s="10"/>
      <x:c r="C469" s="10"/>
      <x:c r="D469" s="10"/>
    </x:row>
    <x:row r="470" ht="14.25" customHeight="1">
      <x:c r="A470" s="10"/>
      <x:c r="B470" s="10"/>
      <x:c r="C470" s="10"/>
      <x:c r="D470" s="10"/>
    </x:row>
    <x:row r="471" ht="14.25" customHeight="1">
      <x:c r="A471" s="10"/>
      <x:c r="B471" s="10"/>
      <x:c r="C471" s="10"/>
      <x:c r="D471" s="10"/>
    </x:row>
    <x:row r="472" ht="14.25" customHeight="1">
      <x:c r="A472" s="10"/>
      <x:c r="B472" s="10"/>
      <x:c r="C472" s="10"/>
      <x:c r="D472" s="10"/>
    </x:row>
    <x:row r="473" ht="14.25" customHeight="1">
      <x:c r="A473" s="10"/>
      <x:c r="B473" s="10"/>
      <x:c r="C473" s="10"/>
      <x:c r="D473" s="10"/>
    </x:row>
    <x:row r="474" ht="14.25" customHeight="1">
      <x:c r="A474" s="10"/>
      <x:c r="B474" s="10"/>
      <x:c r="C474" s="10"/>
      <x:c r="D474" s="10"/>
    </x:row>
    <x:row r="475" ht="14.25" customHeight="1">
      <x:c r="A475" s="10"/>
      <x:c r="B475" s="10"/>
      <x:c r="C475" s="10"/>
      <x:c r="D475" s="10"/>
    </x:row>
    <x:row r="476" ht="14.25" customHeight="1">
      <x:c r="A476" s="10"/>
      <x:c r="B476" s="10"/>
      <x:c r="C476" s="10"/>
      <x:c r="D476" s="10"/>
    </x:row>
    <x:row r="477" ht="14.25" customHeight="1">
      <x:c r="A477" s="10"/>
      <x:c r="B477" s="10"/>
      <x:c r="C477" s="10"/>
      <x:c r="D477" s="10"/>
    </x:row>
    <x:row r="478" ht="14.25" customHeight="1">
      <x:c r="A478" s="10"/>
      <x:c r="B478" s="10"/>
      <x:c r="C478" s="10"/>
      <x:c r="D478" s="10"/>
    </x:row>
    <x:row r="479" ht="14.25" customHeight="1">
      <x:c r="A479" s="10"/>
      <x:c r="B479" s="10"/>
      <x:c r="C479" s="10"/>
      <x:c r="D479" s="10"/>
    </x:row>
    <x:row r="480" ht="14.25" customHeight="1">
      <x:c r="A480" s="10"/>
      <x:c r="B480" s="10"/>
      <x:c r="C480" s="10"/>
      <x:c r="D480" s="10"/>
    </x:row>
    <x:row r="481" ht="14.25" customHeight="1">
      <x:c r="A481" s="10"/>
      <x:c r="B481" s="10"/>
      <x:c r="C481" s="10"/>
      <x:c r="D481" s="10"/>
    </x:row>
    <x:row r="482" ht="14.25" customHeight="1">
      <x:c r="A482" s="10"/>
      <x:c r="B482" s="10"/>
      <x:c r="C482" s="10"/>
      <x:c r="D482" s="10"/>
    </x:row>
    <x:row r="483" ht="14.25" customHeight="1">
      <x:c r="A483" s="10"/>
      <x:c r="B483" s="10"/>
      <x:c r="C483" s="10"/>
      <x:c r="D483" s="10"/>
    </x:row>
    <x:row r="484" ht="14.25" customHeight="1">
      <x:c r="A484" s="10"/>
      <x:c r="B484" s="10"/>
      <x:c r="C484" s="10"/>
      <x:c r="D484" s="10"/>
    </x:row>
    <x:row r="485" ht="14.25" customHeight="1">
      <x:c r="A485" s="10"/>
      <x:c r="B485" s="10"/>
      <x:c r="C485" s="10"/>
      <x:c r="D485" s="10"/>
    </x:row>
    <x:row r="486" ht="14.25" customHeight="1">
      <x:c r="A486" s="10"/>
      <x:c r="B486" s="10"/>
      <x:c r="C486" s="10"/>
      <x:c r="D486" s="10"/>
    </x:row>
    <x:row r="487" ht="14.25" customHeight="1">
      <x:c r="A487" s="10"/>
      <x:c r="B487" s="10"/>
      <x:c r="C487" s="10"/>
      <x:c r="D487" s="10"/>
    </x:row>
    <x:row r="488" ht="14.25" customHeight="1">
      <x:c r="A488" s="10"/>
      <x:c r="B488" s="10"/>
      <x:c r="C488" s="10"/>
      <x:c r="D488" s="10"/>
    </x:row>
    <x:row r="489" ht="14.25" customHeight="1">
      <x:c r="A489" s="10"/>
      <x:c r="B489" s="10"/>
      <x:c r="C489" s="10"/>
      <x:c r="D489" s="10"/>
    </x:row>
    <x:row r="490" ht="14.25" customHeight="1">
      <x:c r="A490" s="10"/>
      <x:c r="B490" s="10"/>
      <x:c r="C490" s="10"/>
      <x:c r="D490" s="10"/>
    </x:row>
    <x:row r="491" ht="14.25" customHeight="1">
      <x:c r="A491" s="10"/>
      <x:c r="B491" s="10"/>
      <x:c r="C491" s="10"/>
      <x:c r="D491" s="10"/>
    </x:row>
    <x:row r="492" ht="14.25" customHeight="1">
      <x:c r="A492" s="10"/>
      <x:c r="B492" s="10"/>
      <x:c r="C492" s="10"/>
      <x:c r="D492" s="10"/>
    </x:row>
    <x:row r="493" ht="14.25" customHeight="1">
      <x:c r="A493" s="10"/>
      <x:c r="B493" s="10"/>
      <x:c r="C493" s="10"/>
      <x:c r="D493" s="10"/>
    </x:row>
    <x:row r="494" ht="14.25" customHeight="1">
      <x:c r="A494" s="10"/>
      <x:c r="B494" s="10"/>
      <x:c r="C494" s="10"/>
      <x:c r="D494" s="10"/>
    </x:row>
    <x:row r="495" ht="14.25" customHeight="1">
      <x:c r="A495" s="10"/>
      <x:c r="B495" s="10"/>
      <x:c r="C495" s="10"/>
      <x:c r="D495" s="10"/>
    </x:row>
    <x:row r="496" ht="14.25" customHeight="1">
      <x:c r="A496" s="10"/>
      <x:c r="B496" s="10"/>
      <x:c r="C496" s="10"/>
      <x:c r="D496" s="10"/>
    </x:row>
    <x:row r="497" ht="14.25" customHeight="1">
      <x:c r="A497" s="10"/>
      <x:c r="B497" s="10"/>
      <x:c r="C497" s="10"/>
      <x:c r="D497" s="10"/>
    </x:row>
    <x:row r="498" ht="14.25" customHeight="1">
      <x:c r="A498" s="10"/>
      <x:c r="B498" s="10"/>
      <x:c r="C498" s="10"/>
      <x:c r="D498" s="10"/>
    </x:row>
    <x:row r="499" ht="14.25" customHeight="1">
      <x:c r="A499" s="10"/>
      <x:c r="B499" s="10"/>
      <x:c r="C499" s="10"/>
      <x:c r="D499" s="10"/>
    </x:row>
    <x:row r="500" ht="14.25" customHeight="1">
      <x:c r="A500" s="10"/>
      <x:c r="B500" s="10"/>
      <x:c r="C500" s="10"/>
      <x:c r="D500" s="10"/>
    </x:row>
    <x:row r="501" ht="14.25" customHeight="1">
      <x:c r="A501" s="10"/>
      <x:c r="B501" s="10"/>
      <x:c r="C501" s="10"/>
      <x:c r="D501" s="10"/>
    </x:row>
    <x:row r="502" ht="14.25" customHeight="1">
      <x:c r="A502" s="10"/>
      <x:c r="B502" s="10"/>
      <x:c r="C502" s="10"/>
      <x:c r="D502" s="10"/>
    </x:row>
    <x:row r="503" ht="14.25" customHeight="1">
      <x:c r="A503" s="10"/>
      <x:c r="B503" s="10"/>
      <x:c r="C503" s="10"/>
      <x:c r="D503" s="10"/>
    </x:row>
    <x:row r="504" ht="14.25" customHeight="1">
      <x:c r="A504" s="10"/>
      <x:c r="B504" s="10"/>
      <x:c r="C504" s="10"/>
      <x:c r="D504" s="10"/>
    </x:row>
    <x:row r="505" ht="14.25" customHeight="1">
      <x:c r="A505" s="10"/>
      <x:c r="B505" s="10"/>
      <x:c r="C505" s="10"/>
      <x:c r="D505" s="10"/>
    </x:row>
    <x:row r="506" ht="14.25" customHeight="1">
      <x:c r="A506" s="10"/>
      <x:c r="B506" s="10"/>
      <x:c r="C506" s="10"/>
      <x:c r="D506" s="10"/>
    </x:row>
    <x:row r="507" ht="14.25" customHeight="1">
      <x:c r="A507" s="10"/>
      <x:c r="B507" s="10"/>
      <x:c r="C507" s="10"/>
      <x:c r="D507" s="10"/>
    </x:row>
    <x:row r="508" ht="14.25" customHeight="1">
      <x:c r="A508" s="10"/>
      <x:c r="B508" s="10"/>
      <x:c r="C508" s="10"/>
      <x:c r="D508" s="10"/>
    </x:row>
    <x:row r="509" ht="14.25" customHeight="1">
      <x:c r="A509" s="10"/>
      <x:c r="B509" s="10"/>
      <x:c r="C509" s="10"/>
      <x:c r="D509" s="10"/>
    </x:row>
    <x:row r="510" ht="14.25" customHeight="1">
      <x:c r="A510" s="10"/>
      <x:c r="B510" s="10"/>
      <x:c r="C510" s="10"/>
      <x:c r="D510" s="10"/>
    </x:row>
    <x:row r="511" ht="14.25" customHeight="1">
      <x:c r="A511" s="10"/>
      <x:c r="B511" s="10"/>
      <x:c r="C511" s="10"/>
      <x:c r="D511" s="10"/>
    </x:row>
    <x:row r="512" ht="14.25" customHeight="1">
      <x:c r="A512" s="10"/>
      <x:c r="B512" s="10"/>
      <x:c r="C512" s="10"/>
      <x:c r="D512" s="10"/>
    </x:row>
    <x:row r="513" ht="14.25" customHeight="1">
      <x:c r="A513" s="10"/>
      <x:c r="B513" s="10"/>
      <x:c r="C513" s="10"/>
      <x:c r="D513" s="10"/>
    </x:row>
    <x:row r="514" ht="14.25" customHeight="1">
      <x:c r="A514" s="10"/>
      <x:c r="B514" s="10"/>
      <x:c r="C514" s="10"/>
      <x:c r="D514" s="10"/>
    </x:row>
    <x:row r="515" ht="14.25" customHeight="1">
      <x:c r="A515" s="10"/>
      <x:c r="B515" s="10"/>
      <x:c r="C515" s="10"/>
      <x:c r="D515" s="10"/>
    </x:row>
    <x:row r="516" ht="14.25" customHeight="1">
      <x:c r="A516" s="10"/>
      <x:c r="B516" s="10"/>
      <x:c r="C516" s="10"/>
      <x:c r="D516" s="10"/>
    </x:row>
    <x:row r="517" ht="14.25" customHeight="1">
      <x:c r="A517" s="10"/>
      <x:c r="B517" s="10"/>
      <x:c r="C517" s="10"/>
      <x:c r="D517" s="10"/>
    </x:row>
    <x:row r="518" ht="14.25" customHeight="1">
      <x:c r="A518" s="10"/>
      <x:c r="B518" s="10"/>
      <x:c r="C518" s="10"/>
      <x:c r="D518" s="10"/>
    </x:row>
    <x:row r="519" ht="14.25" customHeight="1">
      <x:c r="A519" s="10"/>
      <x:c r="B519" s="10"/>
      <x:c r="C519" s="10"/>
      <x:c r="D519" s="10"/>
    </x:row>
    <x:row r="520" ht="14.25" customHeight="1">
      <x:c r="A520" s="10"/>
      <x:c r="B520" s="10"/>
      <x:c r="C520" s="10"/>
      <x:c r="D520" s="10"/>
    </x:row>
    <x:row r="521" ht="14.25" customHeight="1">
      <x:c r="A521" s="10"/>
      <x:c r="B521" s="10"/>
      <x:c r="C521" s="10"/>
      <x:c r="D521" s="10"/>
    </x:row>
    <x:row r="522" ht="14.25" customHeight="1">
      <x:c r="A522" s="10"/>
      <x:c r="B522" s="10"/>
      <x:c r="C522" s="10"/>
      <x:c r="D522" s="10"/>
    </x:row>
    <x:row r="523" ht="14.25" customHeight="1">
      <x:c r="A523" s="10"/>
      <x:c r="B523" s="10"/>
      <x:c r="C523" s="10"/>
      <x:c r="D523" s="10"/>
    </x:row>
    <x:row r="524" ht="14.25" customHeight="1">
      <x:c r="A524" s="10"/>
      <x:c r="B524" s="10"/>
      <x:c r="C524" s="10"/>
      <x:c r="D524" s="10"/>
    </x:row>
    <x:row r="525" ht="14.25" customHeight="1">
      <x:c r="A525" s="10"/>
      <x:c r="B525" s="10"/>
      <x:c r="C525" s="10"/>
      <x:c r="D525" s="10"/>
    </x:row>
    <x:row r="526" ht="14.25" customHeight="1">
      <x:c r="A526" s="10"/>
      <x:c r="B526" s="10"/>
      <x:c r="C526" s="10"/>
      <x:c r="D526" s="10"/>
    </x:row>
    <x:row r="527" ht="14.25" customHeight="1">
      <x:c r="A527" s="10"/>
      <x:c r="B527" s="10"/>
      <x:c r="C527" s="10"/>
      <x:c r="D527" s="10"/>
    </x:row>
    <x:row r="528" ht="14.25" customHeight="1">
      <x:c r="A528" s="10"/>
      <x:c r="B528" s="10"/>
      <x:c r="C528" s="10"/>
      <x:c r="D528" s="10"/>
    </x:row>
    <x:row r="529" ht="14.25" customHeight="1">
      <x:c r="A529" s="10"/>
      <x:c r="B529" s="10"/>
      <x:c r="C529" s="10"/>
      <x:c r="D529" s="10"/>
    </x:row>
    <x:row r="530" ht="14.25" customHeight="1">
      <x:c r="A530" s="10"/>
      <x:c r="B530" s="10"/>
      <x:c r="C530" s="10"/>
      <x:c r="D530" s="10"/>
    </x:row>
    <x:row r="531" ht="14.25" customHeight="1">
      <x:c r="A531" s="10"/>
      <x:c r="B531" s="10"/>
      <x:c r="C531" s="10"/>
      <x:c r="D531" s="10"/>
    </x:row>
    <x:row r="532" ht="14.25" customHeight="1">
      <x:c r="A532" s="10"/>
      <x:c r="B532" s="10"/>
      <x:c r="C532" s="10"/>
      <x:c r="D532" s="10"/>
    </x:row>
    <x:row r="533" ht="14.25" customHeight="1">
      <x:c r="A533" s="10"/>
      <x:c r="B533" s="10"/>
      <x:c r="C533" s="10"/>
      <x:c r="D533" s="10"/>
    </x:row>
    <x:row r="534" ht="14.25" customHeight="1">
      <x:c r="A534" s="10"/>
      <x:c r="B534" s="10"/>
      <x:c r="C534" s="10"/>
      <x:c r="D534" s="10"/>
    </x:row>
    <x:row r="535" ht="14.25" customHeight="1">
      <x:c r="A535" s="10"/>
      <x:c r="B535" s="10"/>
      <x:c r="C535" s="10"/>
      <x:c r="D535" s="10"/>
    </x:row>
    <x:row r="536" ht="14.25" customHeight="1">
      <x:c r="A536" s="10"/>
      <x:c r="B536" s="10"/>
      <x:c r="C536" s="10"/>
      <x:c r="D536" s="10"/>
    </x:row>
    <x:row r="537" ht="14.25" customHeight="1">
      <x:c r="A537" s="10"/>
      <x:c r="B537" s="10"/>
      <x:c r="C537" s="10"/>
      <x:c r="D537" s="10"/>
    </x:row>
    <x:row r="538" ht="14.25" customHeight="1">
      <x:c r="A538" s="10"/>
      <x:c r="B538" s="10"/>
      <x:c r="C538" s="10"/>
      <x:c r="D538" s="10"/>
    </x:row>
    <x:row r="539" ht="14.25" customHeight="1">
      <x:c r="A539" s="10"/>
      <x:c r="B539" s="10"/>
      <x:c r="C539" s="10"/>
      <x:c r="D539" s="10"/>
    </x:row>
    <x:row r="540" ht="14.25" customHeight="1">
      <x:c r="A540" s="10"/>
      <x:c r="B540" s="10"/>
      <x:c r="C540" s="10"/>
      <x:c r="D540" s="10"/>
    </x:row>
    <x:row r="541" ht="14.25" customHeight="1">
      <x:c r="A541" s="10"/>
      <x:c r="B541" s="10"/>
      <x:c r="C541" s="10"/>
      <x:c r="D541" s="10"/>
    </x:row>
    <x:row r="542" ht="14.25" customHeight="1">
      <x:c r="A542" s="10"/>
      <x:c r="B542" s="10"/>
      <x:c r="C542" s="10"/>
      <x:c r="D542" s="10"/>
    </x:row>
    <x:row r="543" ht="14.25" customHeight="1">
      <x:c r="A543" s="10"/>
      <x:c r="B543" s="10"/>
      <x:c r="C543" s="10"/>
      <x:c r="D543" s="10"/>
    </x:row>
    <x:row r="544" ht="14.25" customHeight="1">
      <x:c r="A544" s="10"/>
      <x:c r="B544" s="10"/>
      <x:c r="C544" s="10"/>
      <x:c r="D544" s="10"/>
    </x:row>
    <x:row r="545" ht="14.25" customHeight="1">
      <x:c r="A545" s="10"/>
      <x:c r="B545" s="10"/>
      <x:c r="C545" s="10"/>
      <x:c r="D545" s="10"/>
    </x:row>
    <x:row r="546" ht="14.25" customHeight="1">
      <x:c r="A546" s="10"/>
      <x:c r="B546" s="10"/>
      <x:c r="C546" s="10"/>
      <x:c r="D546" s="10"/>
    </x:row>
    <x:row r="547" ht="14.25" customHeight="1">
      <x:c r="A547" s="10"/>
      <x:c r="B547" s="10"/>
      <x:c r="C547" s="10"/>
      <x:c r="D547" s="10"/>
    </x:row>
    <x:row r="548" ht="14.25" customHeight="1">
      <x:c r="A548" s="10"/>
      <x:c r="B548" s="10"/>
      <x:c r="C548" s="10"/>
      <x:c r="D548" s="10"/>
    </x:row>
    <x:row r="549" ht="14.25" customHeight="1">
      <x:c r="A549" s="10"/>
      <x:c r="B549" s="10"/>
      <x:c r="C549" s="10"/>
      <x:c r="D549" s="10"/>
    </x:row>
    <x:row r="550" ht="14.25" customHeight="1">
      <x:c r="A550" s="10"/>
      <x:c r="B550" s="10"/>
      <x:c r="C550" s="10"/>
      <x:c r="D550" s="10"/>
    </x:row>
    <x:row r="551" ht="14.25" customHeight="1">
      <x:c r="A551" s="10"/>
      <x:c r="B551" s="10"/>
      <x:c r="C551" s="10"/>
      <x:c r="D551" s="10"/>
    </x:row>
    <x:row r="552" ht="14.25" customHeight="1">
      <x:c r="A552" s="10"/>
      <x:c r="B552" s="10"/>
      <x:c r="C552" s="10"/>
      <x:c r="D552" s="10"/>
    </x:row>
    <x:row r="553" ht="14.25" customHeight="1">
      <x:c r="A553" s="10"/>
      <x:c r="B553" s="10"/>
      <x:c r="C553" s="10"/>
      <x:c r="D553" s="10"/>
    </x:row>
    <x:row r="554" ht="14.25" customHeight="1">
      <x:c r="A554" s="10"/>
      <x:c r="B554" s="10"/>
      <x:c r="C554" s="10"/>
      <x:c r="D554" s="10"/>
    </x:row>
    <x:row r="555" ht="14.25" customHeight="1">
      <x:c r="A555" s="10"/>
      <x:c r="B555" s="10"/>
      <x:c r="C555" s="10"/>
      <x:c r="D555" s="10"/>
    </x:row>
    <x:row r="556" ht="14.25" customHeight="1">
      <x:c r="A556" s="10"/>
      <x:c r="B556" s="10"/>
      <x:c r="C556" s="10"/>
      <x:c r="D556" s="10"/>
    </x:row>
    <x:row r="557" ht="14.25" customHeight="1">
      <x:c r="A557" s="10"/>
      <x:c r="B557" s="10"/>
      <x:c r="C557" s="10"/>
      <x:c r="D557" s="10"/>
    </x:row>
    <x:row r="558" ht="14.25" customHeight="1">
      <x:c r="A558" s="10"/>
      <x:c r="B558" s="10"/>
      <x:c r="C558" s="10"/>
      <x:c r="D558" s="10"/>
    </x:row>
    <x:row r="559" ht="14.25" customHeight="1">
      <x:c r="A559" s="10"/>
      <x:c r="B559" s="10"/>
      <x:c r="C559" s="10"/>
      <x:c r="D559" s="10"/>
    </x:row>
    <x:row r="560" ht="14.25" customHeight="1">
      <x:c r="A560" s="10"/>
      <x:c r="B560" s="10"/>
      <x:c r="C560" s="10"/>
      <x:c r="D560" s="10"/>
    </x:row>
    <x:row r="561" ht="14.25" customHeight="1">
      <x:c r="A561" s="10"/>
      <x:c r="B561" s="10"/>
      <x:c r="C561" s="10"/>
      <x:c r="D561" s="10"/>
    </x:row>
    <x:row r="562" ht="14.25" customHeight="1">
      <x:c r="A562" s="10"/>
      <x:c r="B562" s="10"/>
      <x:c r="C562" s="10"/>
      <x:c r="D562" s="10"/>
    </x:row>
    <x:row r="563" ht="14.25" customHeight="1">
      <x:c r="A563" s="10"/>
      <x:c r="B563" s="10"/>
      <x:c r="C563" s="10"/>
      <x:c r="D563" s="10"/>
    </x:row>
    <x:row r="564" ht="14.25" customHeight="1">
      <x:c r="A564" s="10"/>
      <x:c r="B564" s="10"/>
      <x:c r="C564" s="10"/>
      <x:c r="D564" s="10"/>
    </x:row>
    <x:row r="565" ht="14.25" customHeight="1">
      <x:c r="A565" s="10"/>
      <x:c r="B565" s="10"/>
      <x:c r="C565" s="10"/>
      <x:c r="D565" s="10"/>
    </x:row>
    <x:row r="566" ht="14.25" customHeight="1">
      <x:c r="A566" s="10"/>
      <x:c r="B566" s="10"/>
      <x:c r="C566" s="10"/>
      <x:c r="D566" s="10"/>
    </x:row>
    <x:row r="567" ht="14.25" customHeight="1">
      <x:c r="A567" s="10"/>
      <x:c r="B567" s="10"/>
      <x:c r="C567" s="10"/>
      <x:c r="D567" s="10"/>
    </x:row>
    <x:row r="568" ht="14.25" customHeight="1">
      <x:c r="A568" s="10"/>
      <x:c r="B568" s="10"/>
      <x:c r="C568" s="10"/>
      <x:c r="D568" s="10"/>
    </x:row>
    <x:row r="569" ht="14.25" customHeight="1">
      <x:c r="A569" s="10"/>
      <x:c r="B569" s="10"/>
      <x:c r="C569" s="10"/>
      <x:c r="D569" s="10"/>
    </x:row>
    <x:row r="570" ht="14.25" customHeight="1">
      <x:c r="A570" s="10"/>
      <x:c r="B570" s="10"/>
      <x:c r="C570" s="10"/>
      <x:c r="D570" s="10"/>
    </x:row>
    <x:row r="571" ht="14.25" customHeight="1">
      <x:c r="A571" s="10"/>
      <x:c r="B571" s="10"/>
      <x:c r="C571" s="10"/>
      <x:c r="D571" s="10"/>
    </x:row>
    <x:row r="572" ht="14.25" customHeight="1">
      <x:c r="A572" s="10"/>
      <x:c r="B572" s="10"/>
      <x:c r="C572" s="10"/>
      <x:c r="D572" s="10"/>
    </x:row>
    <x:row r="573" ht="14.25" customHeight="1">
      <x:c r="A573" s="10"/>
      <x:c r="B573" s="10"/>
      <x:c r="C573" s="10"/>
      <x:c r="D573" s="10"/>
    </x:row>
    <x:row r="574" ht="14.25" customHeight="1">
      <x:c r="A574" s="10"/>
      <x:c r="B574" s="10"/>
      <x:c r="C574" s="10"/>
      <x:c r="D574" s="10"/>
    </x:row>
    <x:row r="575" ht="14.25" customHeight="1">
      <x:c r="A575" s="10"/>
      <x:c r="B575" s="10"/>
      <x:c r="C575" s="10"/>
      <x:c r="D575" s="10"/>
    </x:row>
    <x:row r="576" ht="14.25" customHeight="1">
      <x:c r="A576" s="10"/>
      <x:c r="B576" s="10"/>
      <x:c r="C576" s="10"/>
      <x:c r="D576" s="10"/>
    </x:row>
    <x:row r="577" ht="14.25" customHeight="1">
      <x:c r="A577" s="10"/>
      <x:c r="B577" s="10"/>
      <x:c r="C577" s="10"/>
      <x:c r="D577" s="10"/>
    </x:row>
    <x:row r="578" ht="14.25" customHeight="1">
      <x:c r="A578" s="10"/>
      <x:c r="B578" s="10"/>
      <x:c r="C578" s="10"/>
      <x:c r="D578" s="10"/>
    </x:row>
    <x:row r="579" ht="14.25" customHeight="1">
      <x:c r="A579" s="10"/>
      <x:c r="B579" s="10"/>
      <x:c r="C579" s="10"/>
      <x:c r="D579" s="10"/>
    </x:row>
    <x:row r="580" ht="14.25" customHeight="1">
      <x:c r="A580" s="10"/>
      <x:c r="B580" s="10"/>
      <x:c r="C580" s="10"/>
      <x:c r="D580" s="10"/>
    </x:row>
    <x:row r="581" ht="14.25" customHeight="1">
      <x:c r="A581" s="10"/>
      <x:c r="B581" s="10"/>
      <x:c r="C581" s="10"/>
      <x:c r="D581" s="10"/>
    </x:row>
    <x:row r="582" ht="14.25" customHeight="1">
      <x:c r="A582" s="10"/>
      <x:c r="B582" s="10"/>
      <x:c r="C582" s="10"/>
      <x:c r="D582" s="10"/>
    </x:row>
    <x:row r="583" ht="14.25" customHeight="1">
      <x:c r="A583" s="10"/>
      <x:c r="B583" s="10"/>
      <x:c r="C583" s="10"/>
      <x:c r="D583" s="10"/>
    </x:row>
    <x:row r="584" ht="14.25" customHeight="1">
      <x:c r="A584" s="10"/>
      <x:c r="B584" s="10"/>
      <x:c r="C584" s="10"/>
      <x:c r="D584" s="10"/>
    </x:row>
    <x:row r="585" ht="14.25" customHeight="1">
      <x:c r="A585" s="10"/>
      <x:c r="B585" s="10"/>
      <x:c r="C585" s="10"/>
      <x:c r="D585" s="10"/>
    </x:row>
    <x:row r="586" ht="14.25" customHeight="1">
      <x:c r="A586" s="10"/>
      <x:c r="B586" s="10"/>
      <x:c r="C586" s="10"/>
      <x:c r="D586" s="10"/>
    </x:row>
    <x:row r="587" ht="14.25" customHeight="1">
      <x:c r="A587" s="10"/>
      <x:c r="B587" s="10"/>
      <x:c r="C587" s="10"/>
      <x:c r="D587" s="10"/>
    </x:row>
    <x:row r="588" ht="14.25" customHeight="1">
      <x:c r="A588" s="10"/>
      <x:c r="B588" s="10"/>
      <x:c r="C588" s="10"/>
      <x:c r="D588" s="10"/>
    </x:row>
    <x:row r="589" ht="14.25" customHeight="1">
      <x:c r="A589" s="10"/>
      <x:c r="B589" s="10"/>
      <x:c r="C589" s="10"/>
      <x:c r="D589" s="10"/>
    </x:row>
    <x:row r="590" ht="14.25" customHeight="1">
      <x:c r="A590" s="10"/>
      <x:c r="B590" s="10"/>
      <x:c r="C590" s="10"/>
      <x:c r="D590" s="10"/>
    </x:row>
    <x:row r="591" ht="14.25" customHeight="1">
      <x:c r="A591" s="10"/>
      <x:c r="B591" s="10"/>
      <x:c r="C591" s="10"/>
      <x:c r="D591" s="10"/>
    </x:row>
    <x:row r="592" ht="14.25" customHeight="1">
      <x:c r="A592" s="10"/>
      <x:c r="B592" s="10"/>
      <x:c r="C592" s="10"/>
      <x:c r="D592" s="10"/>
    </x:row>
    <x:row r="593" ht="14.25" customHeight="1">
      <x:c r="A593" s="10"/>
      <x:c r="B593" s="10"/>
      <x:c r="C593" s="10"/>
      <x:c r="D593" s="10"/>
    </x:row>
    <x:row r="594" ht="14.25" customHeight="1">
      <x:c r="A594" s="10"/>
      <x:c r="B594" s="10"/>
      <x:c r="C594" s="10"/>
      <x:c r="D594" s="10"/>
    </x:row>
    <x:row r="595" ht="14.25" customHeight="1">
      <x:c r="A595" s="10"/>
      <x:c r="B595" s="10"/>
      <x:c r="C595" s="10"/>
      <x:c r="D595" s="10"/>
    </x:row>
    <x:row r="596" ht="14.25" customHeight="1">
      <x:c r="A596" s="10"/>
      <x:c r="B596" s="10"/>
      <x:c r="C596" s="10"/>
      <x:c r="D596" s="10"/>
    </x:row>
    <x:row r="597" ht="14.25" customHeight="1">
      <x:c r="A597" s="10"/>
      <x:c r="B597" s="10"/>
      <x:c r="C597" s="10"/>
      <x:c r="D597" s="10"/>
    </x:row>
    <x:row r="598" ht="14.25" customHeight="1">
      <x:c r="A598" s="10"/>
      <x:c r="B598" s="10"/>
      <x:c r="C598" s="10"/>
      <x:c r="D598" s="10"/>
    </x:row>
    <x:row r="599" ht="14.25" customHeight="1">
      <x:c r="A599" s="10"/>
      <x:c r="B599" s="10"/>
      <x:c r="C599" s="10"/>
      <x:c r="D599" s="10"/>
    </x:row>
    <x:row r="600" ht="14.25" customHeight="1">
      <x:c r="A600" s="10"/>
      <x:c r="B600" s="10"/>
      <x:c r="C600" s="10"/>
      <x:c r="D600" s="10"/>
    </x:row>
    <x:row r="601" ht="14.25" customHeight="1">
      <x:c r="A601" s="10"/>
      <x:c r="B601" s="10"/>
      <x:c r="C601" s="10"/>
      <x:c r="D601" s="10"/>
    </x:row>
    <x:row r="602" ht="14.25" customHeight="1">
      <x:c r="A602" s="10"/>
      <x:c r="B602" s="10"/>
      <x:c r="C602" s="10"/>
      <x:c r="D602" s="10"/>
    </x:row>
    <x:row r="603" ht="14.25" customHeight="1">
      <x:c r="A603" s="10"/>
      <x:c r="B603" s="10"/>
      <x:c r="C603" s="10"/>
      <x:c r="D603" s="10"/>
    </x:row>
    <x:row r="604" ht="14.25" customHeight="1">
      <x:c r="A604" s="10"/>
      <x:c r="B604" s="10"/>
      <x:c r="C604" s="10"/>
      <x:c r="D604" s="10"/>
    </x:row>
    <x:row r="605" ht="14.25" customHeight="1">
      <x:c r="A605" s="10"/>
      <x:c r="B605" s="10"/>
      <x:c r="C605" s="10"/>
      <x:c r="D605" s="10"/>
    </x:row>
    <x:row r="606" ht="14.25" customHeight="1">
      <x:c r="A606" s="10"/>
      <x:c r="B606" s="10"/>
      <x:c r="C606" s="10"/>
      <x:c r="D606" s="10"/>
    </x:row>
    <x:row r="607" ht="14.25" customHeight="1">
      <x:c r="A607" s="10"/>
      <x:c r="B607" s="10"/>
      <x:c r="C607" s="10"/>
      <x:c r="D607" s="10"/>
    </x:row>
    <x:row r="608" ht="14.25" customHeight="1">
      <x:c r="A608" s="10"/>
      <x:c r="B608" s="10"/>
      <x:c r="C608" s="10"/>
      <x:c r="D608" s="10"/>
    </x:row>
    <x:row r="609" ht="14.25" customHeight="1">
      <x:c r="A609" s="10"/>
      <x:c r="B609" s="10"/>
      <x:c r="C609" s="10"/>
      <x:c r="D609" s="10"/>
    </x:row>
    <x:row r="610" ht="14.25" customHeight="1">
      <x:c r="A610" s="10"/>
      <x:c r="B610" s="10"/>
      <x:c r="C610" s="10"/>
      <x:c r="D610" s="10"/>
    </x:row>
    <x:row r="611" ht="14.25" customHeight="1">
      <x:c r="A611" s="10"/>
      <x:c r="B611" s="10"/>
      <x:c r="C611" s="10"/>
      <x:c r="D611" s="10"/>
    </x:row>
    <x:row r="612" ht="14.25" customHeight="1">
      <x:c r="A612" s="10"/>
      <x:c r="B612" s="10"/>
      <x:c r="C612" s="10"/>
      <x:c r="D612" s="10"/>
    </x:row>
    <x:row r="613" ht="14.25" customHeight="1">
      <x:c r="A613" s="10"/>
      <x:c r="B613" s="10"/>
      <x:c r="C613" s="10"/>
      <x:c r="D613" s="10"/>
    </x:row>
    <x:row r="614" ht="14.25" customHeight="1">
      <x:c r="A614" s="10"/>
      <x:c r="B614" s="10"/>
      <x:c r="C614" s="10"/>
      <x:c r="D614" s="10"/>
    </x:row>
    <x:row r="615" ht="14.25" customHeight="1">
      <x:c r="A615" s="10"/>
      <x:c r="B615" s="10"/>
      <x:c r="C615" s="10"/>
      <x:c r="D615" s="10"/>
    </x:row>
    <x:row r="616" ht="14.25" customHeight="1">
      <x:c r="A616" s="10"/>
      <x:c r="B616" s="10"/>
      <x:c r="C616" s="10"/>
      <x:c r="D616" s="10"/>
    </x:row>
    <x:row r="617" ht="14.25" customHeight="1">
      <x:c r="A617" s="10"/>
      <x:c r="B617" s="10"/>
      <x:c r="C617" s="10"/>
      <x:c r="D617" s="10"/>
    </x:row>
    <x:row r="618" ht="14.25" customHeight="1">
      <x:c r="A618" s="10"/>
      <x:c r="B618" s="10"/>
      <x:c r="C618" s="10"/>
      <x:c r="D618" s="10"/>
    </x:row>
    <x:row r="619" ht="14.25" customHeight="1">
      <x:c r="A619" s="10"/>
      <x:c r="B619" s="10"/>
      <x:c r="C619" s="10"/>
      <x:c r="D619" s="10"/>
    </x:row>
    <x:row r="620" ht="14.25" customHeight="1">
      <x:c r="A620" s="10"/>
      <x:c r="B620" s="10"/>
      <x:c r="C620" s="10"/>
      <x:c r="D620" s="10"/>
    </x:row>
    <x:row r="621" ht="14.25" customHeight="1">
      <x:c r="A621" s="10"/>
      <x:c r="B621" s="10"/>
      <x:c r="C621" s="10"/>
      <x:c r="D621" s="10"/>
    </x:row>
    <x:row r="622" ht="14.25" customHeight="1">
      <x:c r="A622" s="10"/>
      <x:c r="B622" s="10"/>
      <x:c r="C622" s="10"/>
      <x:c r="D622" s="10"/>
    </x:row>
    <x:row r="623" ht="14.25" customHeight="1">
      <x:c r="A623" s="10"/>
      <x:c r="B623" s="10"/>
      <x:c r="C623" s="10"/>
      <x:c r="D623" s="10"/>
    </x:row>
    <x:row r="624" ht="14.25" customHeight="1">
      <x:c r="A624" s="10"/>
      <x:c r="B624" s="10"/>
      <x:c r="C624" s="10"/>
      <x:c r="D624" s="10"/>
    </x:row>
    <x:row r="625" ht="14.25" customHeight="1">
      <x:c r="A625" s="10"/>
      <x:c r="B625" s="10"/>
      <x:c r="C625" s="10"/>
      <x:c r="D625" s="10"/>
    </x:row>
    <x:row r="626" ht="14.25" customHeight="1">
      <x:c r="A626" s="10"/>
      <x:c r="B626" s="10"/>
      <x:c r="C626" s="10"/>
      <x:c r="D626" s="10"/>
    </x:row>
    <x:row r="627" ht="14.25" customHeight="1">
      <x:c r="A627" s="10"/>
      <x:c r="B627" s="10"/>
      <x:c r="C627" s="10"/>
      <x:c r="D627" s="10"/>
    </x:row>
    <x:row r="628" ht="14.25" customHeight="1">
      <x:c r="A628" s="10"/>
      <x:c r="B628" s="10"/>
      <x:c r="C628" s="10"/>
      <x:c r="D628" s="10"/>
    </x:row>
    <x:row r="629" ht="14.25" customHeight="1">
      <x:c r="A629" s="10"/>
      <x:c r="B629" s="10"/>
      <x:c r="C629" s="10"/>
      <x:c r="D629" s="10"/>
    </x:row>
    <x:row r="630" ht="14.25" customHeight="1">
      <x:c r="A630" s="10"/>
      <x:c r="B630" s="10"/>
      <x:c r="C630" s="10"/>
      <x:c r="D630" s="10"/>
    </x:row>
    <x:row r="631" ht="14.25" customHeight="1">
      <x:c r="A631" s="10"/>
      <x:c r="B631" s="10"/>
      <x:c r="C631" s="10"/>
      <x:c r="D631" s="10"/>
    </x:row>
    <x:row r="632" ht="14.25" customHeight="1">
      <x:c r="A632" s="10"/>
      <x:c r="B632" s="10"/>
      <x:c r="C632" s="10"/>
      <x:c r="D632" s="10"/>
    </x:row>
    <x:row r="633" ht="14.25" customHeight="1">
      <x:c r="A633" s="10"/>
      <x:c r="B633" s="10"/>
      <x:c r="C633" s="10"/>
      <x:c r="D633" s="10"/>
    </x:row>
    <x:row r="634" ht="14.25" customHeight="1">
      <x:c r="A634" s="10"/>
      <x:c r="B634" s="10"/>
      <x:c r="C634" s="10"/>
      <x:c r="D634" s="10"/>
    </x:row>
    <x:row r="635" ht="14.25" customHeight="1">
      <x:c r="A635" s="10"/>
      <x:c r="B635" s="10"/>
      <x:c r="C635" s="10"/>
      <x:c r="D635" s="10"/>
    </x:row>
    <x:row r="636" ht="14.25" customHeight="1">
      <x:c r="A636" s="10"/>
      <x:c r="B636" s="10"/>
      <x:c r="C636" s="10"/>
      <x:c r="D636" s="10"/>
    </x:row>
    <x:row r="637" ht="14.25" customHeight="1">
      <x:c r="A637" s="10"/>
      <x:c r="B637" s="10"/>
      <x:c r="C637" s="10"/>
      <x:c r="D637" s="10"/>
    </x:row>
    <x:row r="638" ht="14.25" customHeight="1">
      <x:c r="A638" s="10"/>
      <x:c r="B638" s="10"/>
      <x:c r="C638" s="10"/>
      <x:c r="D638" s="10"/>
    </x:row>
    <x:row r="639" ht="14.25" customHeight="1">
      <x:c r="A639" s="10"/>
      <x:c r="B639" s="10"/>
      <x:c r="C639" s="10"/>
      <x:c r="D639" s="10"/>
    </x:row>
    <x:row r="640" ht="14.25" customHeight="1">
      <x:c r="A640" s="10"/>
      <x:c r="B640" s="10"/>
      <x:c r="C640" s="10"/>
      <x:c r="D640" s="10"/>
    </x:row>
    <x:row r="641" ht="14.25" customHeight="1">
      <x:c r="A641" s="10"/>
      <x:c r="B641" s="10"/>
      <x:c r="C641" s="10"/>
      <x:c r="D641" s="10"/>
    </x:row>
    <x:row r="642" ht="14.25" customHeight="1">
      <x:c r="A642" s="10"/>
      <x:c r="B642" s="10"/>
      <x:c r="C642" s="10"/>
      <x:c r="D642" s="10"/>
    </x:row>
    <x:row r="643" ht="14.25" customHeight="1">
      <x:c r="A643" s="10"/>
      <x:c r="B643" s="10"/>
      <x:c r="C643" s="10"/>
      <x:c r="D643" s="10"/>
    </x:row>
    <x:row r="644" ht="14.25" customHeight="1">
      <x:c r="A644" s="10"/>
      <x:c r="B644" s="10"/>
      <x:c r="C644" s="10"/>
      <x:c r="D644" s="10"/>
    </x:row>
    <x:row r="645" ht="14.25" customHeight="1">
      <x:c r="A645" s="10"/>
      <x:c r="B645" s="10"/>
      <x:c r="C645" s="10"/>
      <x:c r="D645" s="10"/>
    </x:row>
    <x:row r="646" ht="14.25" customHeight="1">
      <x:c r="A646" s="10"/>
      <x:c r="B646" s="10"/>
      <x:c r="C646" s="10"/>
      <x:c r="D646" s="10"/>
    </x:row>
    <x:row r="647" ht="14.25" customHeight="1">
      <x:c r="A647" s="10"/>
      <x:c r="B647" s="10"/>
      <x:c r="C647" s="10"/>
      <x:c r="D647" s="10"/>
    </x:row>
    <x:row r="648" ht="14.25" customHeight="1">
      <x:c r="A648" s="10"/>
      <x:c r="B648" s="10"/>
      <x:c r="C648" s="10"/>
      <x:c r="D648" s="10"/>
    </x:row>
    <x:row r="649" ht="14.25" customHeight="1">
      <x:c r="A649" s="10"/>
      <x:c r="B649" s="10"/>
      <x:c r="C649" s="10"/>
      <x:c r="D649" s="10"/>
    </x:row>
    <x:row r="650" ht="14.25" customHeight="1">
      <x:c r="A650" s="10"/>
      <x:c r="B650" s="10"/>
      <x:c r="C650" s="10"/>
      <x:c r="D650" s="10"/>
    </x:row>
    <x:row r="651" ht="14.25" customHeight="1">
      <x:c r="A651" s="10"/>
      <x:c r="B651" s="10"/>
      <x:c r="C651" s="10"/>
      <x:c r="D651" s="10"/>
    </x:row>
    <x:row r="652" ht="14.25" customHeight="1">
      <x:c r="A652" s="10"/>
      <x:c r="B652" s="10"/>
      <x:c r="C652" s="10"/>
      <x:c r="D652" s="10"/>
    </x:row>
    <x:row r="653" ht="14.25" customHeight="1">
      <x:c r="A653" s="10"/>
      <x:c r="B653" s="10"/>
      <x:c r="C653" s="10"/>
      <x:c r="D653" s="10"/>
    </x:row>
    <x:row r="654" ht="14.25" customHeight="1">
      <x:c r="A654" s="10"/>
      <x:c r="B654" s="10"/>
      <x:c r="C654" s="10"/>
      <x:c r="D654" s="10"/>
    </x:row>
    <x:row r="655" ht="14.25" customHeight="1">
      <x:c r="A655" s="10"/>
      <x:c r="B655" s="10"/>
      <x:c r="C655" s="10"/>
      <x:c r="D655" s="10"/>
    </x:row>
    <x:row r="656" ht="14.25" customHeight="1">
      <x:c r="A656" s="10"/>
      <x:c r="B656" s="10"/>
      <x:c r="C656" s="10"/>
      <x:c r="D656" s="10"/>
    </x:row>
    <x:row r="657" ht="14.25" customHeight="1">
      <x:c r="A657" s="10"/>
      <x:c r="B657" s="10"/>
      <x:c r="C657" s="10"/>
      <x:c r="D657" s="10"/>
    </x:row>
    <x:row r="658" ht="14.25" customHeight="1">
      <x:c r="A658" s="10"/>
      <x:c r="B658" s="10"/>
      <x:c r="C658" s="10"/>
      <x:c r="D658" s="10"/>
    </x:row>
    <x:row r="659" ht="14.25" customHeight="1">
      <x:c r="A659" s="10"/>
      <x:c r="B659" s="10"/>
      <x:c r="C659" s="10"/>
      <x:c r="D659" s="10"/>
    </x:row>
    <x:row r="660" ht="14.25" customHeight="1">
      <x:c r="A660" s="10"/>
      <x:c r="B660" s="10"/>
      <x:c r="C660" s="10"/>
      <x:c r="D660" s="10"/>
    </x:row>
    <x:row r="661" ht="14.25" customHeight="1">
      <x:c r="A661" s="10"/>
      <x:c r="B661" s="10"/>
      <x:c r="C661" s="10"/>
      <x:c r="D661" s="10"/>
    </x:row>
    <x:row r="662" ht="14.25" customHeight="1">
      <x:c r="A662" s="10"/>
      <x:c r="B662" s="10"/>
      <x:c r="C662" s="10"/>
      <x:c r="D662" s="10"/>
    </x:row>
    <x:row r="663" ht="14.25" customHeight="1">
      <x:c r="A663" s="10"/>
      <x:c r="B663" s="10"/>
      <x:c r="C663" s="10"/>
      <x:c r="D663" s="10"/>
    </x:row>
    <x:row r="664" ht="14.25" customHeight="1">
      <x:c r="A664" s="10"/>
      <x:c r="B664" s="10"/>
      <x:c r="C664" s="10"/>
      <x:c r="D664" s="10"/>
    </x:row>
    <x:row r="665" ht="14.25" customHeight="1">
      <x:c r="A665" s="10"/>
      <x:c r="B665" s="10"/>
      <x:c r="C665" s="10"/>
      <x:c r="D665" s="10"/>
    </x:row>
    <x:row r="666" ht="14.25" customHeight="1">
      <x:c r="A666" s="10"/>
      <x:c r="B666" s="10"/>
      <x:c r="C666" s="10"/>
      <x:c r="D666" s="10"/>
    </x:row>
    <x:row r="667" ht="14.25" customHeight="1">
      <x:c r="A667" s="10"/>
      <x:c r="B667" s="10"/>
      <x:c r="C667" s="10"/>
      <x:c r="D667" s="10"/>
    </x:row>
    <x:row r="668" ht="14.25" customHeight="1">
      <x:c r="A668" s="10"/>
      <x:c r="B668" s="10"/>
      <x:c r="C668" s="10"/>
      <x:c r="D668" s="10"/>
    </x:row>
    <x:row r="669" ht="14.25" customHeight="1">
      <x:c r="A669" s="10"/>
      <x:c r="B669" s="10"/>
      <x:c r="C669" s="10"/>
      <x:c r="D669" s="10"/>
    </x:row>
    <x:row r="670" ht="14.25" customHeight="1">
      <x:c r="A670" s="10"/>
      <x:c r="B670" s="10"/>
      <x:c r="C670" s="10"/>
      <x:c r="D670" s="10"/>
    </x:row>
    <x:row r="671" ht="14.25" customHeight="1">
      <x:c r="A671" s="10"/>
      <x:c r="B671" s="10"/>
      <x:c r="C671" s="10"/>
      <x:c r="D671" s="10"/>
    </x:row>
    <x:row r="672" ht="14.25" customHeight="1">
      <x:c r="A672" s="10"/>
      <x:c r="B672" s="10"/>
      <x:c r="C672" s="10"/>
      <x:c r="D672" s="10"/>
    </x:row>
    <x:row r="673" ht="14.25" customHeight="1">
      <x:c r="A673" s="10"/>
      <x:c r="B673" s="10"/>
      <x:c r="C673" s="10"/>
      <x:c r="D673" s="10"/>
    </x:row>
    <x:row r="674" ht="14.25" customHeight="1">
      <x:c r="A674" s="10"/>
      <x:c r="B674" s="10"/>
      <x:c r="C674" s="10"/>
      <x:c r="D674" s="10"/>
    </x:row>
    <x:row r="675" ht="14.25" customHeight="1">
      <x:c r="A675" s="10"/>
      <x:c r="B675" s="10"/>
      <x:c r="C675" s="10"/>
      <x:c r="D675" s="10"/>
    </x:row>
    <x:row r="676" ht="14.25" customHeight="1">
      <x:c r="A676" s="10"/>
      <x:c r="B676" s="10"/>
      <x:c r="C676" s="10"/>
      <x:c r="D676" s="10"/>
    </x:row>
    <x:row r="677" ht="14.25" customHeight="1">
      <x:c r="A677" s="10"/>
      <x:c r="B677" s="10"/>
      <x:c r="C677" s="10"/>
      <x:c r="D677" s="10"/>
    </x:row>
    <x:row r="678" ht="14.25" customHeight="1">
      <x:c r="A678" s="10"/>
      <x:c r="B678" s="10"/>
      <x:c r="C678" s="10"/>
      <x:c r="D678" s="10"/>
    </x:row>
    <x:row r="679" ht="14.25" customHeight="1">
      <x:c r="A679" s="10"/>
      <x:c r="B679" s="10"/>
      <x:c r="C679" s="10"/>
      <x:c r="D679" s="10"/>
    </x:row>
    <x:row r="680" ht="14.25" customHeight="1">
      <x:c r="A680" s="10"/>
      <x:c r="B680" s="10"/>
      <x:c r="C680" s="10"/>
      <x:c r="D680" s="10"/>
    </x:row>
    <x:row r="681" ht="14.25" customHeight="1">
      <x:c r="A681" s="10"/>
      <x:c r="B681" s="10"/>
      <x:c r="C681" s="10"/>
      <x:c r="D681" s="10"/>
    </x:row>
    <x:row r="682" ht="14.25" customHeight="1">
      <x:c r="A682" s="10"/>
      <x:c r="B682" s="10"/>
      <x:c r="C682" s="10"/>
      <x:c r="D682" s="10"/>
    </x:row>
    <x:row r="683" ht="14.25" customHeight="1">
      <x:c r="A683" s="10"/>
      <x:c r="B683" s="10"/>
      <x:c r="C683" s="10"/>
      <x:c r="D683" s="10"/>
    </x:row>
    <x:row r="684" ht="14.25" customHeight="1">
      <x:c r="A684" s="10"/>
      <x:c r="B684" s="10"/>
      <x:c r="C684" s="10"/>
      <x:c r="D684" s="10"/>
    </x:row>
    <x:row r="685" ht="14.25" customHeight="1">
      <x:c r="A685" s="10"/>
      <x:c r="B685" s="10"/>
      <x:c r="C685" s="10"/>
      <x:c r="D685" s="10"/>
    </x:row>
    <x:row r="686" ht="14.25" customHeight="1">
      <x:c r="A686" s="10"/>
      <x:c r="B686" s="10"/>
      <x:c r="C686" s="10"/>
      <x:c r="D686" s="10"/>
    </x:row>
    <x:row r="687" ht="14.25" customHeight="1">
      <x:c r="A687" s="10"/>
      <x:c r="B687" s="10"/>
      <x:c r="C687" s="10"/>
      <x:c r="D687" s="10"/>
    </x:row>
    <x:row r="688" ht="14.25" customHeight="1">
      <x:c r="A688" s="10"/>
      <x:c r="B688" s="10"/>
      <x:c r="C688" s="10"/>
      <x:c r="D688" s="10"/>
    </x:row>
    <x:row r="689" ht="14.25" customHeight="1">
      <x:c r="A689" s="10"/>
      <x:c r="B689" s="10"/>
      <x:c r="C689" s="10"/>
      <x:c r="D689" s="10"/>
    </x:row>
    <x:row r="690" ht="14.25" customHeight="1">
      <x:c r="A690" s="10"/>
      <x:c r="B690" s="10"/>
      <x:c r="C690" s="10"/>
      <x:c r="D690" s="10"/>
    </x:row>
    <x:row r="691" ht="14.25" customHeight="1">
      <x:c r="A691" s="10"/>
      <x:c r="B691" s="10"/>
      <x:c r="C691" s="10"/>
      <x:c r="D691" s="10"/>
    </x:row>
    <x:row r="692" ht="14.25" customHeight="1">
      <x:c r="A692" s="10"/>
      <x:c r="B692" s="10"/>
      <x:c r="C692" s="10"/>
      <x:c r="D692" s="10"/>
    </x:row>
    <x:row r="693" ht="14.25" customHeight="1">
      <x:c r="A693" s="10"/>
      <x:c r="B693" s="10"/>
      <x:c r="C693" s="10"/>
      <x:c r="D693" s="10"/>
    </x:row>
    <x:row r="694" ht="14.25" customHeight="1">
      <x:c r="A694" s="10"/>
      <x:c r="B694" s="10"/>
      <x:c r="C694" s="10"/>
      <x:c r="D694" s="10"/>
    </x:row>
    <x:row r="695" ht="14.25" customHeight="1">
      <x:c r="A695" s="10"/>
      <x:c r="B695" s="10"/>
      <x:c r="C695" s="10"/>
      <x:c r="D695" s="10"/>
    </x:row>
    <x:row r="696" ht="14.25" customHeight="1">
      <x:c r="A696" s="10"/>
      <x:c r="B696" s="10"/>
      <x:c r="C696" s="10"/>
      <x:c r="D696" s="10"/>
    </x:row>
    <x:row r="697" ht="14.25" customHeight="1">
      <x:c r="A697" s="10"/>
      <x:c r="B697" s="10"/>
      <x:c r="C697" s="10"/>
      <x:c r="D697" s="10"/>
    </x:row>
    <x:row r="698" ht="14.25" customHeight="1">
      <x:c r="A698" s="10"/>
      <x:c r="B698" s="10"/>
      <x:c r="C698" s="10"/>
      <x:c r="D698" s="10"/>
    </x:row>
    <x:row r="699" ht="14.25" customHeight="1">
      <x:c r="A699" s="10"/>
      <x:c r="B699" s="10"/>
      <x:c r="C699" s="10"/>
      <x:c r="D699" s="10"/>
    </x:row>
    <x:row r="700" ht="14.25" customHeight="1">
      <x:c r="A700" s="10"/>
      <x:c r="B700" s="10"/>
      <x:c r="C700" s="10"/>
      <x:c r="D700" s="10"/>
    </x:row>
    <x:row r="701" ht="14.25" customHeight="1">
      <x:c r="A701" s="10"/>
      <x:c r="B701" s="10"/>
      <x:c r="C701" s="10"/>
      <x:c r="D701" s="10"/>
    </x:row>
    <x:row r="702" ht="14.25" customHeight="1">
      <x:c r="A702" s="10"/>
      <x:c r="B702" s="10"/>
      <x:c r="C702" s="10"/>
      <x:c r="D702" s="10"/>
    </x:row>
    <x:row r="703" ht="14.25" customHeight="1">
      <x:c r="A703" s="10"/>
      <x:c r="B703" s="10"/>
      <x:c r="C703" s="10"/>
      <x:c r="D703" s="10"/>
    </x:row>
    <x:row r="704" ht="14.25" customHeight="1">
      <x:c r="A704" s="10"/>
      <x:c r="B704" s="10"/>
      <x:c r="C704" s="10"/>
      <x:c r="D704" s="10"/>
    </x:row>
    <x:row r="705" ht="14.25" customHeight="1">
      <x:c r="A705" s="10"/>
      <x:c r="B705" s="10"/>
      <x:c r="C705" s="10"/>
      <x:c r="D705" s="10"/>
    </x:row>
    <x:row r="706" ht="14.25" customHeight="1">
      <x:c r="A706" s="10"/>
      <x:c r="B706" s="10"/>
      <x:c r="C706" s="10"/>
      <x:c r="D706" s="10"/>
    </x:row>
    <x:row r="707" ht="14.25" customHeight="1">
      <x:c r="A707" s="10"/>
      <x:c r="B707" s="10"/>
      <x:c r="C707" s="10"/>
      <x:c r="D707" s="10"/>
    </x:row>
    <x:row r="708" ht="14.25" customHeight="1">
      <x:c r="A708" s="10"/>
      <x:c r="B708" s="10"/>
      <x:c r="C708" s="10"/>
      <x:c r="D708" s="10"/>
    </x:row>
    <x:row r="709" ht="14.25" customHeight="1">
      <x:c r="A709" s="10"/>
      <x:c r="B709" s="10"/>
      <x:c r="C709" s="10"/>
      <x:c r="D709" s="10"/>
    </x:row>
    <x:row r="710" ht="14.25" customHeight="1">
      <x:c r="A710" s="10"/>
      <x:c r="B710" s="10"/>
      <x:c r="C710" s="10"/>
      <x:c r="D710" s="10"/>
    </x:row>
    <x:row r="711" ht="14.25" customHeight="1">
      <x:c r="A711" s="10"/>
      <x:c r="B711" s="10"/>
      <x:c r="C711" s="10"/>
      <x:c r="D711" s="10"/>
    </x:row>
    <x:row r="712" ht="14.25" customHeight="1">
      <x:c r="A712" s="10"/>
      <x:c r="B712" s="10"/>
      <x:c r="C712" s="10"/>
      <x:c r="D712" s="10"/>
    </x:row>
    <x:row r="713" ht="14.25" customHeight="1">
      <x:c r="A713" s="10"/>
      <x:c r="B713" s="10"/>
      <x:c r="C713" s="10"/>
      <x:c r="D713" s="10"/>
    </x:row>
    <x:row r="714" ht="14.25" customHeight="1">
      <x:c r="A714" s="10"/>
      <x:c r="B714" s="10"/>
      <x:c r="C714" s="10"/>
      <x:c r="D714" s="10"/>
    </x:row>
    <x:row r="715" ht="14.25" customHeight="1">
      <x:c r="A715" s="10"/>
      <x:c r="B715" s="10"/>
      <x:c r="C715" s="10"/>
      <x:c r="D715" s="10"/>
    </x:row>
    <x:row r="716" ht="14.25" customHeight="1">
      <x:c r="A716" s="10"/>
      <x:c r="B716" s="10"/>
      <x:c r="C716" s="10"/>
      <x:c r="D716" s="10"/>
    </x:row>
    <x:row r="717" ht="14.25" customHeight="1">
      <x:c r="A717" s="10"/>
      <x:c r="B717" s="10"/>
      <x:c r="C717" s="10"/>
      <x:c r="D717" s="10"/>
    </x:row>
    <x:row r="718" ht="14.25" customHeight="1">
      <x:c r="A718" s="10"/>
      <x:c r="B718" s="10"/>
      <x:c r="C718" s="10"/>
      <x:c r="D718" s="10"/>
    </x:row>
    <x:row r="719" ht="14.25" customHeight="1">
      <x:c r="A719" s="10"/>
      <x:c r="B719" s="10"/>
      <x:c r="C719" s="10"/>
      <x:c r="D719" s="10"/>
    </x:row>
    <x:row r="720" ht="14.25" customHeight="1">
      <x:c r="A720" s="10"/>
      <x:c r="B720" s="10"/>
      <x:c r="C720" s="10"/>
      <x:c r="D720" s="10"/>
    </x:row>
    <x:row r="721" ht="14.25" customHeight="1">
      <x:c r="A721" s="10"/>
      <x:c r="B721" s="10"/>
      <x:c r="C721" s="10"/>
      <x:c r="D721" s="10"/>
    </x:row>
    <x:row r="722" ht="14.25" customHeight="1">
      <x:c r="A722" s="10"/>
      <x:c r="B722" s="10"/>
      <x:c r="C722" s="10"/>
      <x:c r="D722" s="10"/>
    </x:row>
    <x:row r="723" ht="14.25" customHeight="1">
      <x:c r="A723" s="10"/>
      <x:c r="B723" s="10"/>
      <x:c r="C723" s="10"/>
      <x:c r="D723" s="10"/>
    </x:row>
    <x:row r="724" ht="14.25" customHeight="1">
      <x:c r="A724" s="10"/>
      <x:c r="B724" s="10"/>
      <x:c r="C724" s="10"/>
      <x:c r="D724" s="10"/>
    </x:row>
    <x:row r="725" ht="14.25" customHeight="1">
      <x:c r="A725" s="10"/>
      <x:c r="B725" s="10"/>
      <x:c r="C725" s="10"/>
      <x:c r="D725" s="10"/>
    </x:row>
    <x:row r="726" ht="14.25" customHeight="1">
      <x:c r="A726" s="10"/>
      <x:c r="B726" s="10"/>
      <x:c r="C726" s="10"/>
      <x:c r="D726" s="10"/>
    </x:row>
    <x:row r="727" ht="14.25" customHeight="1">
      <x:c r="A727" s="10"/>
      <x:c r="B727" s="10"/>
      <x:c r="C727" s="10"/>
      <x:c r="D727" s="10"/>
    </x:row>
    <x:row r="728" ht="14.25" customHeight="1">
      <x:c r="A728" s="10"/>
      <x:c r="B728" s="10"/>
      <x:c r="C728" s="10"/>
      <x:c r="D728" s="10"/>
    </x:row>
    <x:row r="729" ht="14.25" customHeight="1">
      <x:c r="A729" s="10"/>
      <x:c r="B729" s="10"/>
      <x:c r="C729" s="10"/>
      <x:c r="D729" s="10"/>
    </x:row>
    <x:row r="730" ht="14.25" customHeight="1">
      <x:c r="A730" s="10"/>
      <x:c r="B730" s="10"/>
      <x:c r="C730" s="10"/>
      <x:c r="D730" s="10"/>
    </x:row>
    <x:row r="731" ht="14.25" customHeight="1">
      <x:c r="A731" s="10"/>
      <x:c r="B731" s="10"/>
      <x:c r="C731" s="10"/>
      <x:c r="D731" s="10"/>
    </x:row>
    <x:row r="732" ht="14.25" customHeight="1">
      <x:c r="A732" s="10"/>
      <x:c r="B732" s="10"/>
      <x:c r="C732" s="10"/>
      <x:c r="D732" s="10"/>
    </x:row>
    <x:row r="733" ht="14.25" customHeight="1">
      <x:c r="A733" s="10"/>
      <x:c r="B733" s="10"/>
      <x:c r="C733" s="10"/>
      <x:c r="D733" s="10"/>
    </x:row>
    <x:row r="734" ht="14.25" customHeight="1">
      <x:c r="A734" s="10"/>
      <x:c r="B734" s="10"/>
      <x:c r="C734" s="10"/>
      <x:c r="D734" s="10"/>
    </x:row>
    <x:row r="735" ht="14.25" customHeight="1">
      <x:c r="A735" s="10"/>
      <x:c r="B735" s="10"/>
      <x:c r="C735" s="10"/>
      <x:c r="D735" s="10"/>
    </x:row>
    <x:row r="736" ht="14.25" customHeight="1">
      <x:c r="A736" s="10"/>
      <x:c r="B736" s="10"/>
      <x:c r="C736" s="10"/>
      <x:c r="D736" s="10"/>
    </x:row>
    <x:row r="737" ht="14.25" customHeight="1">
      <x:c r="A737" s="10"/>
      <x:c r="B737" s="10"/>
      <x:c r="C737" s="10"/>
      <x:c r="D737" s="10"/>
    </x:row>
    <x:row r="738" ht="14.25" customHeight="1">
      <x:c r="A738" s="10"/>
      <x:c r="B738" s="10"/>
      <x:c r="C738" s="10"/>
      <x:c r="D738" s="10"/>
    </x:row>
    <x:row r="739" ht="14.25" customHeight="1">
      <x:c r="A739" s="10"/>
      <x:c r="B739" s="10"/>
      <x:c r="C739" s="10"/>
      <x:c r="D739" s="10"/>
    </x:row>
    <x:row r="740" ht="14.25" customHeight="1">
      <x:c r="A740" s="10"/>
      <x:c r="B740" s="10"/>
      <x:c r="C740" s="10"/>
      <x:c r="D740" s="10"/>
    </x:row>
    <x:row r="741" ht="14.25" customHeight="1">
      <x:c r="A741" s="10"/>
      <x:c r="B741" s="10"/>
      <x:c r="C741" s="10"/>
      <x:c r="D741" s="10"/>
    </x:row>
    <x:row r="742" ht="14.25" customHeight="1">
      <x:c r="A742" s="10"/>
      <x:c r="B742" s="10"/>
      <x:c r="C742" s="10"/>
      <x:c r="D742" s="10"/>
    </x:row>
    <x:row r="743" ht="14.25" customHeight="1">
      <x:c r="A743" s="10"/>
      <x:c r="B743" s="10"/>
      <x:c r="C743" s="10"/>
      <x:c r="D743" s="10"/>
    </x:row>
    <x:row r="744" ht="14.25" customHeight="1">
      <x:c r="A744" s="10"/>
      <x:c r="B744" s="10"/>
      <x:c r="C744" s="10"/>
      <x:c r="D744" s="10"/>
    </x:row>
    <x:row r="745" ht="14.25" customHeight="1">
      <x:c r="A745" s="10"/>
      <x:c r="B745" s="10"/>
      <x:c r="C745" s="10"/>
      <x:c r="D745" s="10"/>
    </x:row>
    <x:row r="746" ht="14.25" customHeight="1">
      <x:c r="A746" s="10"/>
      <x:c r="B746" s="10"/>
      <x:c r="C746" s="10"/>
      <x:c r="D746" s="10"/>
    </x:row>
    <x:row r="747" ht="14.25" customHeight="1">
      <x:c r="A747" s="10"/>
      <x:c r="B747" s="10"/>
      <x:c r="C747" s="10"/>
      <x:c r="D747" s="10"/>
    </x:row>
    <x:row r="748" ht="14.25" customHeight="1">
      <x:c r="A748" s="10"/>
      <x:c r="B748" s="10"/>
      <x:c r="C748" s="10"/>
      <x:c r="D748" s="10"/>
    </x:row>
    <x:row r="749" ht="14.25" customHeight="1">
      <x:c r="A749" s="10"/>
      <x:c r="B749" s="10"/>
      <x:c r="C749" s="10"/>
      <x:c r="D749" s="10"/>
    </x:row>
    <x:row r="750" ht="14.25" customHeight="1">
      <x:c r="A750" s="10"/>
      <x:c r="B750" s="10"/>
      <x:c r="C750" s="10"/>
      <x:c r="D750" s="10"/>
    </x:row>
    <x:row r="751" ht="14.25" customHeight="1">
      <x:c r="A751" s="10"/>
      <x:c r="B751" s="10"/>
      <x:c r="C751" s="10"/>
      <x:c r="D751" s="10"/>
    </x:row>
    <x:row r="752" ht="14.25" customHeight="1">
      <x:c r="A752" s="10"/>
      <x:c r="B752" s="10"/>
      <x:c r="C752" s="10"/>
      <x:c r="D752" s="10"/>
    </x:row>
    <x:row r="753" ht="14.25" customHeight="1">
      <x:c r="A753" s="10"/>
      <x:c r="B753" s="10"/>
      <x:c r="C753" s="10"/>
      <x:c r="D753" s="10"/>
    </x:row>
    <x:row r="754" ht="14.25" customHeight="1">
      <x:c r="A754" s="10"/>
      <x:c r="B754" s="10"/>
      <x:c r="C754" s="10"/>
      <x:c r="D754" s="10"/>
    </x:row>
    <x:row r="755" ht="14.25" customHeight="1">
      <x:c r="A755" s="10"/>
      <x:c r="B755" s="10"/>
      <x:c r="C755" s="10"/>
      <x:c r="D755" s="10"/>
    </x:row>
    <x:row r="756" ht="14.25" customHeight="1">
      <x:c r="A756" s="10"/>
      <x:c r="B756" s="10"/>
      <x:c r="C756" s="10"/>
      <x:c r="D756" s="10"/>
    </x:row>
    <x:row r="757" ht="14.25" customHeight="1">
      <x:c r="A757" s="10"/>
      <x:c r="B757" s="10"/>
      <x:c r="C757" s="10"/>
      <x:c r="D757" s="10"/>
    </x:row>
    <x:row r="758" ht="14.25" customHeight="1">
      <x:c r="A758" s="10"/>
      <x:c r="B758" s="10"/>
      <x:c r="C758" s="10"/>
      <x:c r="D758" s="10"/>
    </x:row>
    <x:row r="759" ht="14.25" customHeight="1">
      <x:c r="A759" s="10"/>
      <x:c r="B759" s="10"/>
      <x:c r="C759" s="10"/>
      <x:c r="D759" s="10"/>
    </x:row>
    <x:row r="760" ht="14.25" customHeight="1">
      <x:c r="A760" s="10"/>
      <x:c r="B760" s="10"/>
      <x:c r="C760" s="10"/>
      <x:c r="D760" s="10"/>
    </x:row>
    <x:row r="761" ht="14.25" customHeight="1">
      <x:c r="A761" s="10"/>
      <x:c r="B761" s="10"/>
      <x:c r="C761" s="10"/>
      <x:c r="D761" s="10"/>
    </x:row>
    <x:row r="762" ht="14.25" customHeight="1">
      <x:c r="A762" s="10"/>
      <x:c r="B762" s="10"/>
      <x:c r="C762" s="10"/>
      <x:c r="D762" s="10"/>
    </x:row>
    <x:row r="763" ht="14.25" customHeight="1">
      <x:c r="A763" s="10"/>
      <x:c r="B763" s="10"/>
      <x:c r="C763" s="10"/>
      <x:c r="D763" s="10"/>
    </x:row>
    <x:row r="764" ht="14.25" customHeight="1">
      <x:c r="A764" s="10"/>
      <x:c r="B764" s="10"/>
      <x:c r="C764" s="10"/>
      <x:c r="D764" s="10"/>
    </x:row>
    <x:row r="765" ht="14.25" customHeight="1">
      <x:c r="A765" s="10"/>
      <x:c r="B765" s="10"/>
      <x:c r="C765" s="10"/>
      <x:c r="D765" s="10"/>
    </x:row>
    <x:row r="766" ht="14.25" customHeight="1">
      <x:c r="A766" s="10"/>
      <x:c r="B766" s="10"/>
      <x:c r="C766" s="10"/>
      <x:c r="D766" s="10"/>
    </x:row>
    <x:row r="767" ht="14.25" customHeight="1">
      <x:c r="A767" s="10"/>
      <x:c r="B767" s="10"/>
      <x:c r="C767" s="10"/>
      <x:c r="D767" s="10"/>
    </x:row>
    <x:row r="768" ht="14.25" customHeight="1">
      <x:c r="A768" s="10"/>
      <x:c r="B768" s="10"/>
      <x:c r="C768" s="10"/>
      <x:c r="D768" s="10"/>
    </x:row>
    <x:row r="769" ht="14.25" customHeight="1">
      <x:c r="A769" s="10"/>
      <x:c r="B769" s="10"/>
      <x:c r="C769" s="10"/>
      <x:c r="D769" s="10"/>
    </x:row>
    <x:row r="770" ht="14.25" customHeight="1">
      <x:c r="A770" s="10"/>
      <x:c r="B770" s="10"/>
      <x:c r="C770" s="10"/>
      <x:c r="D770" s="10"/>
    </x:row>
    <x:row r="771" ht="14.25" customHeight="1">
      <x:c r="A771" s="10"/>
      <x:c r="B771" s="10"/>
      <x:c r="C771" s="10"/>
      <x:c r="D771" s="10"/>
    </x:row>
    <x:row r="772" ht="14.25" customHeight="1">
      <x:c r="A772" s="10"/>
      <x:c r="B772" s="10"/>
      <x:c r="C772" s="10"/>
      <x:c r="D772" s="10"/>
    </x:row>
    <x:row r="773" ht="14.25" customHeight="1">
      <x:c r="A773" s="10"/>
      <x:c r="B773" s="10"/>
      <x:c r="C773" s="10"/>
      <x:c r="D773" s="10"/>
    </x:row>
    <x:row r="774" ht="14.25" customHeight="1">
      <x:c r="A774" s="10"/>
      <x:c r="B774" s="10"/>
      <x:c r="C774" s="10"/>
      <x:c r="D774" s="10"/>
    </x:row>
    <x:row r="775" ht="14.25" customHeight="1">
      <x:c r="A775" s="10"/>
      <x:c r="B775" s="10"/>
      <x:c r="C775" s="10"/>
      <x:c r="D775" s="10"/>
    </x:row>
    <x:row r="776" ht="14.25" customHeight="1">
      <x:c r="A776" s="10"/>
      <x:c r="B776" s="10"/>
      <x:c r="C776" s="10"/>
      <x:c r="D776" s="10"/>
    </x:row>
    <x:row r="777" ht="14.25" customHeight="1">
      <x:c r="A777" s="10"/>
      <x:c r="B777" s="10"/>
      <x:c r="C777" s="10"/>
      <x:c r="D777" s="10"/>
    </x:row>
    <x:row r="778" ht="14.25" customHeight="1">
      <x:c r="A778" s="10"/>
      <x:c r="B778" s="10"/>
      <x:c r="C778" s="10"/>
      <x:c r="D778" s="10"/>
    </x:row>
    <x:row r="779" ht="14.25" customHeight="1">
      <x:c r="A779" s="10"/>
      <x:c r="B779" s="10"/>
      <x:c r="C779" s="10"/>
      <x:c r="D779" s="10"/>
    </x:row>
    <x:row r="780" ht="14.25" customHeight="1">
      <x:c r="A780" s="10"/>
      <x:c r="B780" s="10"/>
      <x:c r="C780" s="10"/>
      <x:c r="D780" s="10"/>
    </x:row>
    <x:row r="781" ht="14.25" customHeight="1">
      <x:c r="A781" s="10"/>
      <x:c r="B781" s="10"/>
      <x:c r="C781" s="10"/>
      <x:c r="D781" s="10"/>
    </x:row>
    <x:row r="782" ht="14.25" customHeight="1">
      <x:c r="A782" s="10"/>
      <x:c r="B782" s="10"/>
      <x:c r="C782" s="10"/>
      <x:c r="D782" s="10"/>
    </x:row>
    <x:row r="783" ht="14.25" customHeight="1">
      <x:c r="A783" s="10"/>
      <x:c r="B783" s="10"/>
      <x:c r="C783" s="10"/>
      <x:c r="D783" s="10"/>
    </x:row>
    <x:row r="784" ht="14.25" customHeight="1">
      <x:c r="A784" s="10"/>
      <x:c r="B784" s="10"/>
      <x:c r="C784" s="10"/>
      <x:c r="D784" s="10"/>
    </x:row>
    <x:row r="785" ht="14.25" customHeight="1">
      <x:c r="A785" s="10"/>
      <x:c r="B785" s="10"/>
      <x:c r="C785" s="10"/>
      <x:c r="D785" s="10"/>
    </x:row>
    <x:row r="786" ht="14.25" customHeight="1">
      <x:c r="A786" s="10"/>
      <x:c r="B786" s="10"/>
      <x:c r="C786" s="10"/>
      <x:c r="D786" s="10"/>
    </x:row>
    <x:row r="787" ht="14.25" customHeight="1">
      <x:c r="A787" s="10"/>
      <x:c r="B787" s="10"/>
      <x:c r="C787" s="10"/>
      <x:c r="D787" s="10"/>
    </x:row>
    <x:row r="788" ht="14.25" customHeight="1">
      <x:c r="A788" s="10"/>
      <x:c r="B788" s="10"/>
      <x:c r="C788" s="10"/>
      <x:c r="D788" s="10"/>
    </x:row>
    <x:row r="789" ht="14.25" customHeight="1">
      <x:c r="A789" s="10"/>
      <x:c r="B789" s="10"/>
      <x:c r="C789" s="10"/>
      <x:c r="D789" s="10"/>
    </x:row>
    <x:row r="790" ht="14.25" customHeight="1">
      <x:c r="A790" s="10"/>
      <x:c r="B790" s="10"/>
      <x:c r="C790" s="10"/>
      <x:c r="D790" s="10"/>
    </x:row>
    <x:row r="791" ht="14.25" customHeight="1">
      <x:c r="A791" s="10"/>
      <x:c r="B791" s="10"/>
      <x:c r="C791" s="10"/>
      <x:c r="D791" s="10"/>
    </x:row>
    <x:row r="792" ht="14.25" customHeight="1">
      <x:c r="A792" s="10"/>
      <x:c r="B792" s="10"/>
      <x:c r="C792" s="10"/>
      <x:c r="D792" s="10"/>
    </x:row>
    <x:row r="793" ht="14.25" customHeight="1">
      <x:c r="A793" s="10"/>
      <x:c r="B793" s="10"/>
      <x:c r="C793" s="10"/>
      <x:c r="D793" s="10"/>
    </x:row>
    <x:row r="794" ht="14.25" customHeight="1">
      <x:c r="A794" s="10"/>
      <x:c r="B794" s="10"/>
      <x:c r="C794" s="10"/>
      <x:c r="D794" s="10"/>
    </x:row>
    <x:row r="795" ht="14.25" customHeight="1">
      <x:c r="A795" s="10"/>
      <x:c r="B795" s="10"/>
      <x:c r="C795" s="10"/>
      <x:c r="D795" s="10"/>
    </x:row>
    <x:row r="796" ht="14.25" customHeight="1">
      <x:c r="A796" s="10"/>
      <x:c r="B796" s="10"/>
      <x:c r="C796" s="10"/>
      <x:c r="D796" s="10"/>
    </x:row>
    <x:row r="797" ht="14.25" customHeight="1">
      <x:c r="A797" s="10"/>
      <x:c r="B797" s="10"/>
      <x:c r="C797" s="10"/>
      <x:c r="D797" s="10"/>
    </x:row>
    <x:row r="798" ht="14.25" customHeight="1">
      <x:c r="A798" s="10"/>
      <x:c r="B798" s="10"/>
      <x:c r="C798" s="10"/>
      <x:c r="D798" s="10"/>
    </x:row>
    <x:row r="799" ht="14.25" customHeight="1">
      <x:c r="A799" s="10"/>
      <x:c r="B799" s="10"/>
      <x:c r="C799" s="10"/>
      <x:c r="D799" s="10"/>
    </x:row>
    <x:row r="800" ht="14.25" customHeight="1">
      <x:c r="A800" s="10"/>
      <x:c r="B800" s="10"/>
      <x:c r="C800" s="10"/>
      <x:c r="D800" s="10"/>
    </x:row>
    <x:row r="801" ht="14.25" customHeight="1">
      <x:c r="A801" s="10"/>
      <x:c r="B801" s="10"/>
      <x:c r="C801" s="10"/>
      <x:c r="D801" s="10"/>
    </x:row>
    <x:row r="802" ht="14.25" customHeight="1">
      <x:c r="A802" s="10"/>
      <x:c r="B802" s="10"/>
      <x:c r="C802" s="10"/>
      <x:c r="D802" s="10"/>
    </x:row>
    <x:row r="803" ht="14.25" customHeight="1">
      <x:c r="A803" s="10"/>
      <x:c r="B803" s="10"/>
      <x:c r="C803" s="10"/>
      <x:c r="D803" s="10"/>
    </x:row>
    <x:row r="804" ht="14.25" customHeight="1">
      <x:c r="A804" s="10"/>
      <x:c r="B804" s="10"/>
      <x:c r="C804" s="10"/>
      <x:c r="D804" s="10"/>
    </x:row>
    <x:row r="805" ht="14.25" customHeight="1">
      <x:c r="A805" s="10"/>
      <x:c r="B805" s="10"/>
      <x:c r="C805" s="10"/>
      <x:c r="D805" s="10"/>
    </x:row>
    <x:row r="806" ht="14.25" customHeight="1">
      <x:c r="A806" s="10"/>
      <x:c r="B806" s="10"/>
      <x:c r="C806" s="10"/>
      <x:c r="D806" s="10"/>
    </x:row>
    <x:row r="807" ht="14.25" customHeight="1">
      <x:c r="A807" s="10"/>
      <x:c r="B807" s="10"/>
      <x:c r="C807" s="10"/>
      <x:c r="D807" s="10"/>
    </x:row>
    <x:row r="808" ht="14.25" customHeight="1">
      <x:c r="A808" s="10"/>
      <x:c r="B808" s="10"/>
      <x:c r="C808" s="10"/>
      <x:c r="D808" s="10"/>
    </x:row>
    <x:row r="809" ht="14.25" customHeight="1">
      <x:c r="A809" s="10"/>
      <x:c r="B809" s="10"/>
      <x:c r="C809" s="10"/>
      <x:c r="D809" s="10"/>
    </x:row>
    <x:row r="810" ht="14.25" customHeight="1">
      <x:c r="A810" s="10"/>
      <x:c r="B810" s="10"/>
      <x:c r="C810" s="10"/>
      <x:c r="D810" s="10"/>
    </x:row>
    <x:row r="811" ht="14.25" customHeight="1">
      <x:c r="A811" s="10"/>
      <x:c r="B811" s="10"/>
      <x:c r="C811" s="10"/>
      <x:c r="D811" s="10"/>
    </x:row>
    <x:row r="812" ht="14.25" customHeight="1">
      <x:c r="A812" s="10"/>
      <x:c r="B812" s="10"/>
      <x:c r="C812" s="10"/>
      <x:c r="D812" s="10"/>
    </x:row>
    <x:row r="813" ht="14.25" customHeight="1">
      <x:c r="A813" s="10"/>
      <x:c r="B813" s="10"/>
      <x:c r="C813" s="10"/>
      <x:c r="D813" s="10"/>
    </x:row>
    <x:row r="814" ht="14.25" customHeight="1">
      <x:c r="A814" s="10"/>
      <x:c r="B814" s="10"/>
      <x:c r="C814" s="10"/>
      <x:c r="D814" s="10"/>
    </x:row>
    <x:row r="815" ht="14.25" customHeight="1">
      <x:c r="A815" s="10"/>
      <x:c r="B815" s="10"/>
      <x:c r="C815" s="10"/>
      <x:c r="D815" s="10"/>
    </x:row>
    <x:row r="816" ht="14.25" customHeight="1">
      <x:c r="A816" s="10"/>
      <x:c r="B816" s="10"/>
      <x:c r="C816" s="10"/>
      <x:c r="D816" s="10"/>
    </x:row>
    <x:row r="817" ht="14.25" customHeight="1">
      <x:c r="A817" s="10"/>
      <x:c r="B817" s="10"/>
      <x:c r="C817" s="10"/>
      <x:c r="D817" s="10"/>
    </x:row>
    <x:row r="818" ht="14.25" customHeight="1">
      <x:c r="A818" s="10"/>
      <x:c r="B818" s="10"/>
      <x:c r="C818" s="10"/>
      <x:c r="D818" s="10"/>
    </x:row>
    <x:row r="819" ht="14.25" customHeight="1">
      <x:c r="A819" s="10"/>
      <x:c r="B819" s="10"/>
      <x:c r="C819" s="10"/>
      <x:c r="D819" s="10"/>
    </x:row>
    <x:row r="820" ht="14.25" customHeight="1">
      <x:c r="A820" s="10"/>
      <x:c r="B820" s="10"/>
      <x:c r="C820" s="10"/>
      <x:c r="D820" s="10"/>
    </x:row>
    <x:row r="821" ht="14.25" customHeight="1">
      <x:c r="A821" s="10"/>
      <x:c r="B821" s="10"/>
      <x:c r="C821" s="10"/>
      <x:c r="D821" s="10"/>
    </x:row>
    <x:row r="822" ht="14.25" customHeight="1">
      <x:c r="A822" s="10"/>
      <x:c r="B822" s="10"/>
      <x:c r="C822" s="10"/>
      <x:c r="D822" s="10"/>
    </x:row>
    <x:row r="823" ht="14.25" customHeight="1">
      <x:c r="A823" s="10"/>
      <x:c r="B823" s="10"/>
      <x:c r="C823" s="10"/>
      <x:c r="D823" s="10"/>
    </x:row>
    <x:row r="824" ht="14.25" customHeight="1">
      <x:c r="A824" s="10"/>
      <x:c r="B824" s="10"/>
      <x:c r="C824" s="10"/>
      <x:c r="D824" s="10"/>
    </x:row>
    <x:row r="825" ht="14.25" customHeight="1">
      <x:c r="A825" s="10"/>
      <x:c r="B825" s="10"/>
      <x:c r="C825" s="10"/>
      <x:c r="D825" s="10"/>
    </x:row>
    <x:row r="826" ht="14.25" customHeight="1">
      <x:c r="A826" s="10"/>
      <x:c r="B826" s="10"/>
      <x:c r="C826" s="10"/>
      <x:c r="D826" s="10"/>
    </x:row>
    <x:row r="827" ht="14.25" customHeight="1">
      <x:c r="A827" s="10"/>
      <x:c r="B827" s="10"/>
      <x:c r="C827" s="10"/>
      <x:c r="D827" s="10"/>
    </x:row>
    <x:row r="828" ht="14.25" customHeight="1">
      <x:c r="A828" s="10"/>
      <x:c r="B828" s="10"/>
      <x:c r="C828" s="10"/>
      <x:c r="D828" s="10"/>
    </x:row>
    <x:row r="829" ht="14.25" customHeight="1">
      <x:c r="A829" s="10"/>
      <x:c r="B829" s="10"/>
      <x:c r="C829" s="10"/>
      <x:c r="D829" s="10"/>
    </x:row>
    <x:row r="830" ht="14.25" customHeight="1">
      <x:c r="A830" s="10"/>
      <x:c r="B830" s="10"/>
      <x:c r="C830" s="10"/>
      <x:c r="D830" s="10"/>
    </x:row>
    <x:row r="831" ht="14.25" customHeight="1">
      <x:c r="A831" s="10"/>
      <x:c r="B831" s="10"/>
      <x:c r="C831" s="10"/>
      <x:c r="D831" s="10"/>
    </x:row>
    <x:row r="832" ht="14.25" customHeight="1">
      <x:c r="A832" s="10"/>
      <x:c r="B832" s="10"/>
      <x:c r="C832" s="10"/>
      <x:c r="D832" s="10"/>
    </x:row>
    <x:row r="833" ht="14.25" customHeight="1">
      <x:c r="A833" s="10"/>
      <x:c r="B833" s="10"/>
      <x:c r="C833" s="10"/>
      <x:c r="D833" s="10"/>
    </x:row>
    <x:row r="834" ht="14.25" customHeight="1">
      <x:c r="A834" s="10"/>
      <x:c r="B834" s="10"/>
      <x:c r="C834" s="10"/>
      <x:c r="D834" s="10"/>
    </x:row>
    <x:row r="835" ht="14.25" customHeight="1">
      <x:c r="A835" s="10"/>
      <x:c r="B835" s="10"/>
      <x:c r="C835" s="10"/>
      <x:c r="D835" s="10"/>
    </x:row>
    <x:row r="836" ht="14.25" customHeight="1">
      <x:c r="A836" s="10"/>
      <x:c r="B836" s="10"/>
      <x:c r="C836" s="10"/>
      <x:c r="D836" s="10"/>
    </x:row>
    <x:row r="837" ht="14.25" customHeight="1">
      <x:c r="A837" s="10"/>
      <x:c r="B837" s="10"/>
      <x:c r="C837" s="10"/>
      <x:c r="D837" s="10"/>
    </x:row>
    <x:row r="838" ht="14.25" customHeight="1">
      <x:c r="A838" s="10"/>
      <x:c r="B838" s="10"/>
      <x:c r="C838" s="10"/>
      <x:c r="D838" s="10"/>
    </x:row>
    <x:row r="839" ht="14.25" customHeight="1">
      <x:c r="A839" s="10"/>
      <x:c r="B839" s="10"/>
      <x:c r="C839" s="10"/>
      <x:c r="D839" s="10"/>
    </x:row>
    <x:row r="840" ht="14.25" customHeight="1">
      <x:c r="A840" s="10"/>
      <x:c r="B840" s="10"/>
      <x:c r="C840" s="10"/>
      <x:c r="D840" s="10"/>
    </x:row>
    <x:row r="841" ht="14.25" customHeight="1">
      <x:c r="A841" s="10"/>
      <x:c r="B841" s="10"/>
      <x:c r="C841" s="10"/>
      <x:c r="D841" s="10"/>
    </x:row>
    <x:row r="842" ht="14.25" customHeight="1">
      <x:c r="A842" s="10"/>
      <x:c r="B842" s="10"/>
      <x:c r="C842" s="10"/>
      <x:c r="D842" s="10"/>
    </x:row>
    <x:row r="843" ht="14.25" customHeight="1">
      <x:c r="A843" s="10"/>
      <x:c r="B843" s="10"/>
      <x:c r="C843" s="10"/>
      <x:c r="D843" s="10"/>
    </x:row>
    <x:row r="844" ht="14.25" customHeight="1">
      <x:c r="A844" s="10"/>
      <x:c r="B844" s="10"/>
      <x:c r="C844" s="10"/>
      <x:c r="D844" s="10"/>
    </x:row>
    <x:row r="845" ht="14.25" customHeight="1">
      <x:c r="A845" s="10"/>
      <x:c r="B845" s="10"/>
      <x:c r="C845" s="10"/>
      <x:c r="D845" s="10"/>
    </x:row>
    <x:row r="846" ht="14.25" customHeight="1">
      <x:c r="A846" s="10"/>
      <x:c r="B846" s="10"/>
      <x:c r="C846" s="10"/>
      <x:c r="D846" s="10"/>
    </x:row>
    <x:row r="847" ht="14.25" customHeight="1">
      <x:c r="A847" s="10"/>
      <x:c r="B847" s="10"/>
      <x:c r="C847" s="10"/>
      <x:c r="D847" s="10"/>
    </x:row>
    <x:row r="848" ht="14.25" customHeight="1">
      <x:c r="A848" s="10"/>
      <x:c r="B848" s="10"/>
      <x:c r="C848" s="10"/>
      <x:c r="D848" s="10"/>
    </x:row>
    <x:row r="849" ht="14.25" customHeight="1">
      <x:c r="A849" s="10"/>
      <x:c r="B849" s="10"/>
      <x:c r="C849" s="10"/>
      <x:c r="D849" s="10"/>
    </x:row>
    <x:row r="850" ht="14.25" customHeight="1">
      <x:c r="A850" s="10"/>
      <x:c r="B850" s="10"/>
      <x:c r="C850" s="10"/>
      <x:c r="D850" s="10"/>
    </x:row>
    <x:row r="851" ht="14.25" customHeight="1">
      <x:c r="A851" s="10"/>
      <x:c r="B851" s="10"/>
      <x:c r="C851" s="10"/>
      <x:c r="D851" s="10"/>
    </x:row>
    <x:row r="852" ht="14.25" customHeight="1">
      <x:c r="A852" s="10"/>
      <x:c r="B852" s="10"/>
      <x:c r="C852" s="10"/>
      <x:c r="D852" s="10"/>
    </x:row>
    <x:row r="853" ht="14.25" customHeight="1">
      <x:c r="A853" s="10"/>
      <x:c r="B853" s="10"/>
      <x:c r="C853" s="10"/>
      <x:c r="D853" s="10"/>
    </x:row>
    <x:row r="854" ht="14.25" customHeight="1">
      <x:c r="A854" s="10"/>
      <x:c r="B854" s="10"/>
      <x:c r="C854" s="10"/>
      <x:c r="D854" s="10"/>
    </x:row>
    <x:row r="855" ht="14.25" customHeight="1">
      <x:c r="A855" s="10"/>
      <x:c r="B855" s="10"/>
      <x:c r="C855" s="10"/>
      <x:c r="D855" s="10"/>
    </x:row>
    <x:row r="856" ht="14.25" customHeight="1">
      <x:c r="A856" s="10"/>
      <x:c r="B856" s="10"/>
      <x:c r="C856" s="10"/>
      <x:c r="D856" s="10"/>
    </x:row>
    <x:row r="857" ht="14.25" customHeight="1">
      <x:c r="A857" s="10"/>
      <x:c r="B857" s="10"/>
      <x:c r="C857" s="10"/>
      <x:c r="D857" s="10"/>
    </x:row>
    <x:row r="858" ht="14.25" customHeight="1">
      <x:c r="A858" s="10"/>
      <x:c r="B858" s="10"/>
      <x:c r="C858" s="10"/>
      <x:c r="D858" s="10"/>
    </x:row>
    <x:row r="859" ht="14.25" customHeight="1">
      <x:c r="A859" s="10"/>
      <x:c r="B859" s="10"/>
      <x:c r="C859" s="10"/>
      <x:c r="D859" s="10"/>
    </x:row>
    <x:row r="860" ht="14.25" customHeight="1">
      <x:c r="A860" s="10"/>
      <x:c r="B860" s="10"/>
      <x:c r="C860" s="10"/>
      <x:c r="D860" s="10"/>
    </x:row>
    <x:row r="861" ht="14.25" customHeight="1">
      <x:c r="A861" s="10"/>
      <x:c r="B861" s="10"/>
      <x:c r="C861" s="10"/>
      <x:c r="D861" s="10"/>
    </x:row>
    <x:row r="862" ht="14.25" customHeight="1">
      <x:c r="A862" s="10"/>
      <x:c r="B862" s="10"/>
      <x:c r="C862" s="10"/>
      <x:c r="D862" s="10"/>
    </x:row>
    <x:row r="863" ht="14.25" customHeight="1">
      <x:c r="A863" s="10"/>
      <x:c r="B863" s="10"/>
      <x:c r="C863" s="10"/>
      <x:c r="D863" s="10"/>
    </x:row>
    <x:row r="864" ht="14.25" customHeight="1">
      <x:c r="A864" s="10"/>
      <x:c r="B864" s="10"/>
      <x:c r="C864" s="10"/>
      <x:c r="D864" s="10"/>
    </x:row>
    <x:row r="865" ht="14.25" customHeight="1">
      <x:c r="A865" s="10"/>
      <x:c r="B865" s="10"/>
      <x:c r="C865" s="10"/>
      <x:c r="D865" s="10"/>
    </x:row>
    <x:row r="866" ht="14.25" customHeight="1">
      <x:c r="A866" s="10"/>
      <x:c r="B866" s="10"/>
      <x:c r="C866" s="10"/>
      <x:c r="D866" s="10"/>
    </x:row>
    <x:row r="867" ht="14.25" customHeight="1">
      <x:c r="A867" s="10"/>
      <x:c r="B867" s="10"/>
      <x:c r="C867" s="10"/>
      <x:c r="D867" s="10"/>
    </x:row>
    <x:row r="868" ht="14.25" customHeight="1">
      <x:c r="A868" s="10"/>
      <x:c r="B868" s="10"/>
      <x:c r="C868" s="10"/>
      <x:c r="D868" s="10"/>
    </x:row>
    <x:row r="869" ht="14.25" customHeight="1">
      <x:c r="A869" s="10"/>
      <x:c r="B869" s="10"/>
      <x:c r="C869" s="10"/>
      <x:c r="D869" s="10"/>
    </x:row>
    <x:row r="870" ht="14.25" customHeight="1">
      <x:c r="A870" s="10"/>
      <x:c r="B870" s="10"/>
      <x:c r="C870" s="10"/>
      <x:c r="D870" s="10"/>
    </x:row>
    <x:row r="871" ht="14.25" customHeight="1">
      <x:c r="A871" s="10"/>
      <x:c r="B871" s="10"/>
      <x:c r="C871" s="10"/>
      <x:c r="D871" s="10"/>
    </x:row>
    <x:row r="872" ht="14.25" customHeight="1">
      <x:c r="A872" s="10"/>
      <x:c r="B872" s="10"/>
      <x:c r="C872" s="10"/>
      <x:c r="D872" s="10"/>
    </x:row>
    <x:row r="873" ht="14.25" customHeight="1">
      <x:c r="A873" s="10"/>
      <x:c r="B873" s="10"/>
      <x:c r="C873" s="10"/>
      <x:c r="D873" s="10"/>
    </x:row>
    <x:row r="874" ht="14.25" customHeight="1">
      <x:c r="A874" s="10"/>
      <x:c r="B874" s="10"/>
      <x:c r="C874" s="10"/>
      <x:c r="D874" s="10"/>
    </x:row>
    <x:row r="875" ht="14.25" customHeight="1">
      <x:c r="A875" s="10"/>
      <x:c r="B875" s="10"/>
      <x:c r="C875" s="10"/>
      <x:c r="D875" s="10"/>
    </x:row>
    <x:row r="876" ht="14.25" customHeight="1">
      <x:c r="A876" s="10"/>
      <x:c r="B876" s="10"/>
      <x:c r="C876" s="10"/>
      <x:c r="D876" s="10"/>
    </x:row>
    <x:row r="877" ht="14.25" customHeight="1">
      <x:c r="A877" s="10"/>
      <x:c r="B877" s="10"/>
      <x:c r="C877" s="10"/>
      <x:c r="D877" s="10"/>
    </x:row>
    <x:row r="878" ht="14.25" customHeight="1">
      <x:c r="A878" s="10"/>
      <x:c r="B878" s="10"/>
      <x:c r="C878" s="10"/>
      <x:c r="D878" s="10"/>
    </x:row>
    <x:row r="879" ht="14.25" customHeight="1">
      <x:c r="A879" s="10"/>
      <x:c r="B879" s="10"/>
      <x:c r="C879" s="10"/>
      <x:c r="D879" s="10"/>
    </x:row>
    <x:row r="880" ht="14.25" customHeight="1">
      <x:c r="A880" s="10"/>
      <x:c r="B880" s="10"/>
      <x:c r="C880" s="10"/>
      <x:c r="D880" s="10"/>
    </x:row>
    <x:row r="881" ht="14.25" customHeight="1">
      <x:c r="A881" s="10"/>
      <x:c r="B881" s="10"/>
      <x:c r="C881" s="10"/>
      <x:c r="D881" s="10"/>
    </x:row>
    <x:row r="882" ht="14.25" customHeight="1">
      <x:c r="A882" s="10"/>
      <x:c r="B882" s="10"/>
      <x:c r="C882" s="10"/>
      <x:c r="D882" s="10"/>
    </x:row>
    <x:row r="883" ht="14.25" customHeight="1">
      <x:c r="A883" s="10"/>
      <x:c r="B883" s="10"/>
      <x:c r="C883" s="10"/>
      <x:c r="D883" s="10"/>
    </x:row>
    <x:row r="884" ht="14.25" customHeight="1">
      <x:c r="A884" s="10"/>
      <x:c r="B884" s="10"/>
      <x:c r="C884" s="10"/>
      <x:c r="D884" s="10"/>
    </x:row>
    <x:row r="885" ht="14.25" customHeight="1">
      <x:c r="A885" s="10"/>
      <x:c r="B885" s="10"/>
      <x:c r="C885" s="10"/>
      <x:c r="D885" s="10"/>
    </x:row>
    <x:row r="886" ht="14.25" customHeight="1">
      <x:c r="A886" s="10"/>
      <x:c r="B886" s="10"/>
      <x:c r="C886" s="10"/>
      <x:c r="D886" s="10"/>
    </x:row>
    <x:row r="887" ht="14.25" customHeight="1">
      <x:c r="A887" s="10"/>
      <x:c r="B887" s="10"/>
      <x:c r="C887" s="10"/>
      <x:c r="D887" s="10"/>
    </x:row>
    <x:row r="888" ht="14.25" customHeight="1">
      <x:c r="A888" s="10"/>
      <x:c r="B888" s="10"/>
      <x:c r="C888" s="10"/>
      <x:c r="D888" s="10"/>
    </x:row>
    <x:row r="889" ht="14.25" customHeight="1">
      <x:c r="A889" s="10"/>
      <x:c r="B889" s="10"/>
      <x:c r="C889" s="10"/>
      <x:c r="D889" s="10"/>
    </x:row>
    <x:row r="890" ht="14.25" customHeight="1">
      <x:c r="A890" s="10"/>
      <x:c r="B890" s="10"/>
      <x:c r="C890" s="10"/>
      <x:c r="D890" s="10"/>
    </x:row>
    <x:row r="891" ht="14.25" customHeight="1">
      <x:c r="A891" s="10"/>
      <x:c r="B891" s="10"/>
      <x:c r="C891" s="10"/>
      <x:c r="D891" s="10"/>
    </x:row>
    <x:row r="892" ht="14.25" customHeight="1">
      <x:c r="A892" s="10"/>
      <x:c r="B892" s="10"/>
      <x:c r="C892" s="10"/>
      <x:c r="D892" s="10"/>
    </x:row>
    <x:row r="893" ht="14.25" customHeight="1">
      <x:c r="A893" s="10"/>
      <x:c r="B893" s="10"/>
      <x:c r="C893" s="10"/>
      <x:c r="D893" s="10"/>
    </x:row>
    <x:row r="894" ht="14.25" customHeight="1">
      <x:c r="A894" s="10"/>
      <x:c r="B894" s="10"/>
      <x:c r="C894" s="10"/>
      <x:c r="D894" s="10"/>
    </x:row>
    <x:row r="895" ht="14.25" customHeight="1">
      <x:c r="A895" s="10"/>
      <x:c r="B895" s="10"/>
      <x:c r="C895" s="10"/>
      <x:c r="D895" s="10"/>
    </x:row>
    <x:row r="896" ht="14.25" customHeight="1">
      <x:c r="A896" s="10"/>
      <x:c r="B896" s="10"/>
      <x:c r="C896" s="10"/>
      <x:c r="D896" s="10"/>
    </x:row>
    <x:row r="897" ht="14.25" customHeight="1">
      <x:c r="A897" s="10"/>
      <x:c r="B897" s="10"/>
      <x:c r="C897" s="10"/>
      <x:c r="D897" s="10"/>
    </x:row>
    <x:row r="898" ht="14.25" customHeight="1">
      <x:c r="A898" s="10"/>
      <x:c r="B898" s="10"/>
      <x:c r="C898" s="10"/>
      <x:c r="D898" s="10"/>
    </x:row>
    <x:row r="899" ht="14.25" customHeight="1">
      <x:c r="A899" s="10"/>
      <x:c r="B899" s="10"/>
      <x:c r="C899" s="10"/>
      <x:c r="D899" s="10"/>
    </x:row>
    <x:row r="900" ht="14.25" customHeight="1">
      <x:c r="A900" s="10"/>
      <x:c r="B900" s="10"/>
      <x:c r="C900" s="10"/>
      <x:c r="D900" s="10"/>
    </x:row>
    <x:row r="901" ht="14.25" customHeight="1">
      <x:c r="A901" s="10"/>
      <x:c r="B901" s="10"/>
      <x:c r="C901" s="10"/>
      <x:c r="D901" s="10"/>
    </x:row>
    <x:row r="902" ht="14.25" customHeight="1">
      <x:c r="A902" s="10"/>
      <x:c r="B902" s="10"/>
      <x:c r="C902" s="10"/>
      <x:c r="D902" s="10"/>
    </x:row>
    <x:row r="903" ht="14.25" customHeight="1">
      <x:c r="A903" s="10"/>
      <x:c r="B903" s="10"/>
      <x:c r="C903" s="10"/>
      <x:c r="D903" s="10"/>
    </x:row>
    <x:row r="904" ht="14.25" customHeight="1">
      <x:c r="A904" s="10"/>
      <x:c r="B904" s="10"/>
      <x:c r="C904" s="10"/>
      <x:c r="D904" s="10"/>
    </x:row>
    <x:row r="905" ht="14.25" customHeight="1">
      <x:c r="A905" s="10"/>
      <x:c r="B905" s="10"/>
      <x:c r="C905" s="10"/>
      <x:c r="D905" s="10"/>
    </x:row>
    <x:row r="906" ht="14.25" customHeight="1">
      <x:c r="A906" s="10"/>
      <x:c r="B906" s="10"/>
      <x:c r="C906" s="10"/>
      <x:c r="D906" s="10"/>
    </x:row>
    <x:row r="907" ht="14.25" customHeight="1">
      <x:c r="A907" s="10"/>
      <x:c r="B907" s="10"/>
      <x:c r="C907" s="10"/>
      <x:c r="D907" s="10"/>
    </x:row>
    <x:row r="908" ht="14.25" customHeight="1">
      <x:c r="A908" s="10"/>
      <x:c r="B908" s="10"/>
      <x:c r="C908" s="10"/>
      <x:c r="D908" s="10"/>
    </x:row>
    <x:row r="909" ht="14.25" customHeight="1">
      <x:c r="A909" s="10"/>
      <x:c r="B909" s="10"/>
      <x:c r="C909" s="10"/>
      <x:c r="D909" s="10"/>
    </x:row>
    <x:row r="910" ht="14.25" customHeight="1">
      <x:c r="A910" s="10"/>
      <x:c r="B910" s="10"/>
      <x:c r="C910" s="10"/>
      <x:c r="D910" s="10"/>
    </x:row>
    <x:row r="911" ht="14.25" customHeight="1">
      <x:c r="A911" s="10"/>
      <x:c r="B911" s="10"/>
      <x:c r="C911" s="10"/>
      <x:c r="D911" s="10"/>
    </x:row>
    <x:row r="912" ht="14.25" customHeight="1">
      <x:c r="A912" s="10"/>
      <x:c r="B912" s="10"/>
      <x:c r="C912" s="10"/>
      <x:c r="D912" s="10"/>
    </x:row>
    <x:row r="913" ht="14.25" customHeight="1">
      <x:c r="A913" s="10"/>
      <x:c r="B913" s="10"/>
      <x:c r="C913" s="10"/>
      <x:c r="D913" s="10"/>
    </x:row>
    <x:row r="914" ht="14.25" customHeight="1">
      <x:c r="A914" s="10"/>
      <x:c r="B914" s="10"/>
      <x:c r="C914" s="10"/>
      <x:c r="D914" s="10"/>
    </x:row>
    <x:row r="915" ht="14.25" customHeight="1">
      <x:c r="A915" s="10"/>
      <x:c r="B915" s="10"/>
      <x:c r="C915" s="10"/>
      <x:c r="D915" s="10"/>
    </x:row>
    <x:row r="916" ht="14.25" customHeight="1">
      <x:c r="A916" s="10"/>
      <x:c r="B916" s="10"/>
      <x:c r="C916" s="10"/>
      <x:c r="D916" s="10"/>
    </x:row>
    <x:row r="917" ht="14.25" customHeight="1">
      <x:c r="A917" s="10"/>
      <x:c r="B917" s="10"/>
      <x:c r="C917" s="10"/>
      <x:c r="D917" s="10"/>
    </x:row>
    <x:row r="918" ht="14.25" customHeight="1">
      <x:c r="A918" s="10"/>
      <x:c r="B918" s="10"/>
      <x:c r="C918" s="10"/>
      <x:c r="D918" s="10"/>
    </x:row>
    <x:row r="919" ht="14.25" customHeight="1">
      <x:c r="A919" s="10"/>
      <x:c r="B919" s="10"/>
      <x:c r="C919" s="10"/>
      <x:c r="D919" s="10"/>
    </x:row>
    <x:row r="920" ht="14.25" customHeight="1">
      <x:c r="A920" s="10"/>
      <x:c r="B920" s="10"/>
      <x:c r="C920" s="10"/>
      <x:c r="D920" s="10"/>
    </x:row>
    <x:row r="921" ht="14.25" customHeight="1">
      <x:c r="A921" s="10"/>
      <x:c r="B921" s="10"/>
      <x:c r="C921" s="10"/>
      <x:c r="D921" s="10"/>
    </x:row>
    <x:row r="922" ht="14.25" customHeight="1">
      <x:c r="A922" s="10"/>
      <x:c r="B922" s="10"/>
      <x:c r="C922" s="10"/>
      <x:c r="D922" s="10"/>
    </x:row>
    <x:row r="923" ht="14.25" customHeight="1">
      <x:c r="A923" s="10"/>
      <x:c r="B923" s="10"/>
      <x:c r="C923" s="10"/>
      <x:c r="D923" s="10"/>
    </x:row>
    <x:row r="924" ht="14.25" customHeight="1">
      <x:c r="A924" s="10"/>
      <x:c r="B924" s="10"/>
      <x:c r="C924" s="10"/>
      <x:c r="D924" s="10"/>
    </x:row>
    <x:row r="925" ht="14.25" customHeight="1">
      <x:c r="A925" s="10"/>
      <x:c r="B925" s="10"/>
      <x:c r="C925" s="10"/>
      <x:c r="D925" s="10"/>
    </x:row>
    <x:row r="926" ht="14.25" customHeight="1">
      <x:c r="A926" s="10"/>
      <x:c r="B926" s="10"/>
      <x:c r="C926" s="10"/>
      <x:c r="D926" s="10"/>
    </x:row>
    <x:row r="927" ht="14.25" customHeight="1">
      <x:c r="A927" s="10"/>
      <x:c r="B927" s="10"/>
      <x:c r="C927" s="10"/>
      <x:c r="D927" s="10"/>
    </x:row>
    <x:row r="928" ht="14.25" customHeight="1">
      <x:c r="A928" s="10"/>
      <x:c r="B928" s="10"/>
      <x:c r="C928" s="10"/>
      <x:c r="D928" s="10"/>
    </x:row>
    <x:row r="929" ht="14.25" customHeight="1">
      <x:c r="A929" s="10"/>
      <x:c r="B929" s="10"/>
      <x:c r="C929" s="10"/>
      <x:c r="D929" s="10"/>
    </x:row>
    <x:row r="930" ht="14.25" customHeight="1">
      <x:c r="A930" s="10"/>
      <x:c r="B930" s="10"/>
      <x:c r="C930" s="10"/>
      <x:c r="D930" s="10"/>
    </x:row>
    <x:row r="931" ht="14.25" customHeight="1">
      <x:c r="A931" s="10"/>
      <x:c r="B931" s="10"/>
      <x:c r="C931" s="10"/>
      <x:c r="D931" s="10"/>
    </x:row>
    <x:row r="932" ht="14.25" customHeight="1">
      <x:c r="A932" s="10"/>
      <x:c r="B932" s="10"/>
      <x:c r="C932" s="10"/>
      <x:c r="D932" s="10"/>
    </x:row>
    <x:row r="933" ht="14.25" customHeight="1">
      <x:c r="A933" s="10"/>
      <x:c r="B933" s="10"/>
      <x:c r="C933" s="10"/>
      <x:c r="D933" s="10"/>
    </x:row>
    <x:row r="934" ht="14.25" customHeight="1">
      <x:c r="A934" s="10"/>
      <x:c r="B934" s="10"/>
      <x:c r="C934" s="10"/>
      <x:c r="D934" s="10"/>
    </x:row>
    <x:row r="935" ht="14.25" customHeight="1">
      <x:c r="A935" s="10"/>
      <x:c r="B935" s="10"/>
      <x:c r="C935" s="10"/>
      <x:c r="D935" s="10"/>
    </x:row>
    <x:row r="936" ht="14.25" customHeight="1">
      <x:c r="A936" s="10"/>
      <x:c r="B936" s="10"/>
      <x:c r="C936" s="10"/>
      <x:c r="D936" s="10"/>
    </x:row>
    <x:row r="937" ht="14.25" customHeight="1">
      <x:c r="A937" s="10"/>
      <x:c r="B937" s="10"/>
      <x:c r="C937" s="10"/>
      <x:c r="D937" s="10"/>
    </x:row>
    <x:row r="938" ht="14.25" customHeight="1">
      <x:c r="A938" s="10"/>
      <x:c r="B938" s="10"/>
      <x:c r="C938" s="10"/>
      <x:c r="D938" s="10"/>
    </x:row>
    <x:row r="939" ht="14.25" customHeight="1">
      <x:c r="A939" s="10"/>
      <x:c r="B939" s="10"/>
      <x:c r="C939" s="10"/>
      <x:c r="D939" s="10"/>
    </x:row>
    <x:row r="940" ht="14.25" customHeight="1">
      <x:c r="A940" s="10"/>
      <x:c r="B940" s="10"/>
      <x:c r="C940" s="10"/>
      <x:c r="D940" s="10"/>
    </x:row>
    <x:row r="941" ht="14.25" customHeight="1">
      <x:c r="A941" s="10"/>
      <x:c r="B941" s="10"/>
      <x:c r="C941" s="10"/>
      <x:c r="D941" s="10"/>
    </x:row>
    <x:row r="942" ht="14.25" customHeight="1">
      <x:c r="A942" s="10"/>
      <x:c r="B942" s="10"/>
      <x:c r="C942" s="10"/>
      <x:c r="D942" s="10"/>
    </x:row>
    <x:row r="943" ht="14.25" customHeight="1">
      <x:c r="A943" s="10"/>
      <x:c r="B943" s="10"/>
      <x:c r="C943" s="10"/>
      <x:c r="D943" s="10"/>
    </x:row>
    <x:row r="944" ht="14.25" customHeight="1">
      <x:c r="A944" s="10"/>
      <x:c r="B944" s="10"/>
      <x:c r="C944" s="10"/>
      <x:c r="D944" s="10"/>
    </x:row>
    <x:row r="945" ht="14.25" customHeight="1">
      <x:c r="A945" s="10"/>
      <x:c r="B945" s="10"/>
      <x:c r="C945" s="10"/>
      <x:c r="D945" s="10"/>
    </x:row>
    <x:row r="946" ht="14.25" customHeight="1">
      <x:c r="A946" s="10"/>
      <x:c r="B946" s="10"/>
      <x:c r="C946" s="10"/>
      <x:c r="D946" s="10"/>
    </x:row>
    <x:row r="947" ht="14.25" customHeight="1">
      <x:c r="A947" s="10"/>
      <x:c r="B947" s="10"/>
      <x:c r="C947" s="10"/>
      <x:c r="D947" s="10"/>
    </x:row>
    <x:row r="948" ht="14.25" customHeight="1">
      <x:c r="A948" s="10"/>
      <x:c r="B948" s="10"/>
      <x:c r="C948" s="10"/>
      <x:c r="D948" s="10"/>
    </x:row>
    <x:row r="949" ht="14.25" customHeight="1">
      <x:c r="A949" s="10"/>
      <x:c r="B949" s="10"/>
      <x:c r="C949" s="10"/>
      <x:c r="D949" s="10"/>
    </x:row>
    <x:row r="950" ht="14.25" customHeight="1">
      <x:c r="A950" s="10"/>
      <x:c r="B950" s="10"/>
      <x:c r="C950" s="10"/>
      <x:c r="D950" s="10"/>
    </x:row>
    <x:row r="951" ht="14.25" customHeight="1">
      <x:c r="A951" s="10"/>
      <x:c r="B951" s="10"/>
      <x:c r="C951" s="10"/>
      <x:c r="D951" s="10"/>
    </x:row>
    <x:row r="952" ht="14.25" customHeight="1">
      <x:c r="A952" s="10"/>
      <x:c r="B952" s="10"/>
      <x:c r="C952" s="10"/>
      <x:c r="D952" s="10"/>
    </x:row>
    <x:row r="953" ht="14.25" customHeight="1">
      <x:c r="A953" s="10"/>
      <x:c r="B953" s="10"/>
      <x:c r="C953" s="10"/>
      <x:c r="D953" s="10"/>
    </x:row>
    <x:row r="954" ht="14.25" customHeight="1">
      <x:c r="A954" s="10"/>
      <x:c r="B954" s="10"/>
      <x:c r="C954" s="10"/>
      <x:c r="D954" s="10"/>
    </x:row>
    <x:row r="955" ht="14.25" customHeight="1">
      <x:c r="A955" s="10"/>
      <x:c r="B955" s="10"/>
      <x:c r="C955" s="10"/>
      <x:c r="D955" s="10"/>
    </x:row>
    <x:row r="956" ht="14.25" customHeight="1">
      <x:c r="A956" s="10"/>
      <x:c r="B956" s="10"/>
      <x:c r="C956" s="10"/>
      <x:c r="D956" s="10"/>
    </x:row>
    <x:row r="957" ht="14.25" customHeight="1">
      <x:c r="A957" s="10"/>
      <x:c r="B957" s="10"/>
      <x:c r="C957" s="10"/>
      <x:c r="D957" s="10"/>
    </x:row>
    <x:row r="958" ht="14.25" customHeight="1">
      <x:c r="A958" s="10"/>
      <x:c r="B958" s="10"/>
      <x:c r="C958" s="10"/>
      <x:c r="D958" s="10"/>
    </x:row>
    <x:row r="959" ht="14.25" customHeight="1">
      <x:c r="A959" s="10"/>
      <x:c r="B959" s="10"/>
      <x:c r="C959" s="10"/>
      <x:c r="D959" s="10"/>
    </x:row>
    <x:row r="960" ht="14.25" customHeight="1">
      <x:c r="A960" s="10"/>
      <x:c r="B960" s="10"/>
      <x:c r="C960" s="10"/>
      <x:c r="D960" s="10"/>
    </x:row>
    <x:row r="961" ht="14.25" customHeight="1">
      <x:c r="A961" s="10"/>
      <x:c r="B961" s="10"/>
      <x:c r="C961" s="10"/>
      <x:c r="D961" s="10"/>
    </x:row>
    <x:row r="962" ht="14.25" customHeight="1">
      <x:c r="A962" s="10"/>
      <x:c r="B962" s="10"/>
      <x:c r="C962" s="10"/>
      <x:c r="D962" s="10"/>
    </x:row>
    <x:row r="963" ht="14.25" customHeight="1">
      <x:c r="A963" s="10"/>
      <x:c r="B963" s="10"/>
      <x:c r="C963" s="10"/>
      <x:c r="D963" s="10"/>
    </x:row>
    <x:row r="964" ht="14.25" customHeight="1">
      <x:c r="A964" s="10"/>
      <x:c r="B964" s="10"/>
      <x:c r="C964" s="10"/>
      <x:c r="D964" s="10"/>
    </x:row>
    <x:row r="965" ht="14.25" customHeight="1">
      <x:c r="A965" s="10"/>
      <x:c r="B965" s="10"/>
      <x:c r="C965" s="10"/>
      <x:c r="D965" s="10"/>
    </x:row>
    <x:row r="966" ht="14.25" customHeight="1">
      <x:c r="A966" s="10"/>
      <x:c r="B966" s="10"/>
      <x:c r="C966" s="10"/>
      <x:c r="D966" s="10"/>
    </x:row>
    <x:row r="967" ht="14.25" customHeight="1">
      <x:c r="A967" s="10"/>
      <x:c r="B967" s="10"/>
      <x:c r="C967" s="10"/>
      <x:c r="D967" s="10"/>
    </x:row>
    <x:row r="968" ht="14.25" customHeight="1">
      <x:c r="A968" s="10"/>
      <x:c r="B968" s="10"/>
      <x:c r="C968" s="10"/>
      <x:c r="D968" s="10"/>
    </x:row>
    <x:row r="969" ht="14.25" customHeight="1">
      <x:c r="A969" s="10"/>
      <x:c r="B969" s="10"/>
      <x:c r="C969" s="10"/>
      <x:c r="D969" s="10"/>
    </x:row>
    <x:row r="970" ht="14.25" customHeight="1">
      <x:c r="A970" s="10"/>
      <x:c r="B970" s="10"/>
      <x:c r="C970" s="10"/>
      <x:c r="D970" s="10"/>
    </x:row>
    <x:row r="971" ht="14.25" customHeight="1">
      <x:c r="A971" s="10"/>
      <x:c r="B971" s="10"/>
      <x:c r="C971" s="10"/>
      <x:c r="D971" s="10"/>
    </x:row>
    <x:row r="972" ht="14.25" customHeight="1">
      <x:c r="A972" s="10"/>
      <x:c r="B972" s="10"/>
      <x:c r="C972" s="10"/>
      <x:c r="D972" s="10"/>
    </x:row>
    <x:row r="973" ht="14.25" customHeight="1">
      <x:c r="A973" s="10"/>
      <x:c r="B973" s="10"/>
      <x:c r="C973" s="10"/>
      <x:c r="D973" s="10"/>
    </x:row>
    <x:row r="974" ht="14.25" customHeight="1">
      <x:c r="A974" s="10"/>
      <x:c r="B974" s="10"/>
      <x:c r="C974" s="10"/>
      <x:c r="D974" s="10"/>
    </x:row>
    <x:row r="975" ht="14.25" customHeight="1">
      <x:c r="A975" s="10"/>
      <x:c r="B975" s="10"/>
      <x:c r="C975" s="10"/>
      <x:c r="D975" s="10"/>
    </x:row>
    <x:row r="976" ht="14.25" customHeight="1">
      <x:c r="A976" s="10"/>
      <x:c r="B976" s="10"/>
      <x:c r="C976" s="10"/>
      <x:c r="D976" s="10"/>
    </x:row>
    <x:row r="977" ht="14.25" customHeight="1">
      <x:c r="A977" s="10"/>
      <x:c r="B977" s="10"/>
      <x:c r="C977" s="10"/>
      <x:c r="D977" s="10"/>
    </x:row>
    <x:row r="978" ht="14.25" customHeight="1">
      <x:c r="A978" s="10"/>
      <x:c r="B978" s="10"/>
      <x:c r="C978" s="10"/>
      <x:c r="D978" s="10"/>
    </x:row>
    <x:row r="979" ht="14.25" customHeight="1">
      <x:c r="A979" s="10"/>
      <x:c r="B979" s="10"/>
      <x:c r="C979" s="10"/>
      <x:c r="D979" s="10"/>
    </x:row>
    <x:row r="980" ht="14.25" customHeight="1">
      <x:c r="A980" s="10"/>
      <x:c r="B980" s="10"/>
      <x:c r="C980" s="10"/>
      <x:c r="D980" s="10"/>
    </x:row>
    <x:row r="981" ht="14.25" customHeight="1">
      <x:c r="A981" s="10"/>
      <x:c r="B981" s="10"/>
      <x:c r="C981" s="10"/>
      <x:c r="D981" s="10"/>
    </x:row>
    <x:row r="982" ht="14.25" customHeight="1">
      <x:c r="A982" s="10"/>
      <x:c r="B982" s="10"/>
      <x:c r="C982" s="10"/>
      <x:c r="D982" s="10"/>
    </x:row>
    <x:row r="983" ht="14.25" customHeight="1">
      <x:c r="A983" s="10"/>
      <x:c r="B983" s="10"/>
      <x:c r="C983" s="10"/>
      <x:c r="D983" s="10"/>
    </x:row>
    <x:row r="984" ht="14.25" customHeight="1">
      <x:c r="A984" s="10"/>
      <x:c r="B984" s="10"/>
      <x:c r="C984" s="10"/>
      <x:c r="D984" s="10"/>
    </x:row>
    <x:row r="985" ht="14.25" customHeight="1">
      <x:c r="A985" s="10"/>
      <x:c r="B985" s="10"/>
      <x:c r="C985" s="10"/>
      <x:c r="D985" s="10"/>
    </x:row>
    <x:row r="986" ht="14.25" customHeight="1">
      <x:c r="A986" s="10"/>
      <x:c r="B986" s="10"/>
      <x:c r="C986" s="10"/>
      <x:c r="D986" s="10"/>
    </x:row>
    <x:row r="987" ht="14.25" customHeight="1">
      <x:c r="A987" s="10"/>
      <x:c r="B987" s="10"/>
      <x:c r="C987" s="10"/>
      <x:c r="D987" s="10"/>
    </x:row>
    <x:row r="988" ht="14.25" customHeight="1">
      <x:c r="A988" s="10"/>
      <x:c r="B988" s="10"/>
      <x:c r="C988" s="10"/>
      <x:c r="D988" s="10"/>
    </x:row>
    <x:row r="989" ht="14.25" customHeight="1">
      <x:c r="A989" s="10"/>
      <x:c r="B989" s="10"/>
      <x:c r="C989" s="10"/>
      <x:c r="D989" s="10"/>
    </x:row>
    <x:row r="990" ht="14.25" customHeight="1">
      <x:c r="A990" s="10"/>
      <x:c r="B990" s="10"/>
      <x:c r="C990" s="10"/>
      <x:c r="D990" s="10"/>
    </x:row>
    <x:row r="991" ht="14.25" customHeight="1">
      <x:c r="A991" s="10"/>
      <x:c r="B991" s="10"/>
      <x:c r="C991" s="10"/>
      <x:c r="D991" s="10"/>
    </x:row>
    <x:row r="992" ht="14.25" customHeight="1">
      <x:c r="A992" s="10"/>
      <x:c r="B992" s="10"/>
      <x:c r="C992" s="10"/>
      <x:c r="D992" s="10"/>
    </x:row>
    <x:row r="993" ht="14.25" customHeight="1">
      <x:c r="A993" s="10"/>
      <x:c r="B993" s="10"/>
      <x:c r="C993" s="10"/>
      <x:c r="D993" s="10"/>
    </x:row>
    <x:row r="994" ht="14.25" customHeight="1">
      <x:c r="A994" s="10"/>
      <x:c r="B994" s="10"/>
      <x:c r="C994" s="10"/>
      <x:c r="D994" s="10"/>
    </x:row>
    <x:row r="995" ht="14.25" customHeight="1">
      <x:c r="A995" s="10"/>
      <x:c r="B995" s="10"/>
      <x:c r="C995" s="10"/>
      <x:c r="D995" s="10"/>
    </x:row>
    <x:row r="996" ht="14.25" customHeight="1">
      <x:c r="A996" s="10"/>
      <x:c r="B996" s="10"/>
      <x:c r="C996" s="10"/>
      <x:c r="D996" s="10"/>
    </x:row>
    <x:row r="997" ht="14.25" customHeight="1">
      <x:c r="A997" s="10"/>
      <x:c r="B997" s="10"/>
      <x:c r="C997" s="10"/>
      <x:c r="D997" s="10"/>
    </x:row>
    <x:row r="998" ht="14.25" customHeight="1">
      <x:c r="A998" s="10"/>
      <x:c r="B998" s="10"/>
      <x:c r="C998" s="10"/>
      <x:c r="D998" s="10"/>
    </x:row>
    <x:row r="999" ht="14.25" customHeight="1">
      <x:c r="A999" s="10"/>
      <x:c r="B999" s="10"/>
      <x:c r="C999" s="10"/>
      <x:c r="D999" s="10"/>
    </x:row>
    <x:row r="1000" ht="14.25" customHeight="1">
      <x:c r="A1000" s="10"/>
      <x:c r="B1000" s="10"/>
      <x:c r="C1000" s="10"/>
      <x:c r="D1000" s="10"/>
    </x:row>
  </x:sheetData>
  <x:pageMargins left="0.7" right="0.7" top="0.75" bottom="0.75" header="0.3" footer="0.3"/>
</x:worksheet>
</file>

<file path=xl/worksheets/sheet9.xml><?xml version="1.0" encoding="utf-8"?>
<x:worksheet xmlns:x="http://schemas.openxmlformats.org/spreadsheetml/2006/main">
  <x:sheetFormatPr defaultColWidth="14.453125" defaultRowHeight="15"/>
  <x:cols>
    <x:col min="1" max="1" width="16" hidden="0" customWidth="1"/>
    <x:col min="2" max="2" width="36" hidden="0" customWidth="1"/>
    <x:col min="3" max="3" width="58" hidden="0" customWidth="1"/>
    <x:col min="4" max="4" width="10" hidden="0" customWidth="1"/>
    <x:col min="5" max="26" width="8.54296875" customWidth="1"/>
  </x:cols>
  <x:sheetData>
    <x:row r="1" ht="15.75" customHeight="1">
      <x:c r="A1" s="43" t="str">
        <x:v>Kazakh renderings: how each subtype (frame) is rendered, with counts</x:v>
      </x:c>
      <x:c r="B1" s="43"/>
      <x:c r="C1" s="43"/>
      <x:c r="D1" s="43"/>
    </x:row>
    <x:row r="2" ht="14.25" customHeight="1">
      <x:c r="A2"/>
      <x:c r="B2"/>
      <x:c r="C2"/>
      <x:c r="D2"/>
    </x:row>
    <x:row r="3" ht="15" customHeight="1">
      <x:c r="A3" s="61" t="str">
        <x:v>English word</x:v>
      </x:c>
      <x:c r="B3" s="61" t="str">
        <x:v>Subtype</x:v>
      </x:c>
      <x:c r="C3" s="61" t="str">
        <x:v>Rendering (lemma / form; bracketed = paraphrase/omission)</x:v>
      </x:c>
      <x:c r="D3" s="61" t="str">
        <x:v>Count</x:v>
      </x:c>
    </x:row>
    <x:row r="4" ht="15" hidden="0" customHeight="1">
      <x:c r="A4" s="65" t="str">
        <x:v>Shame</x:v>
      </x:c>
      <x:c r="B4" s="65" t="str">
        <x:v>Absent moral shame</x:v>
      </x:c>
      <x:c r="C4" s="65" t="str">
        <x:v>[paraphrase / no single-word equivalent]</x:v>
      </x:c>
      <x:c r="D4" s="56" t="n">
        <x:f>COUNTIFS('Data (parsed)'!$B$2:$B$235,A4,'Data (parsed)'!$C$2:$C$235,B4,'Data (parsed)'!$H$2:$H$235,C4,'Data (parsed)'!$I$2:$I$235,1)</x:f>
        <x:v>1</x:v>
      </x:c>
    </x:row>
    <x:row r="5" ht="15" hidden="0" customHeight="1">
      <x:c r="A5" s="65" t="str">
        <x:v>Shame</x:v>
      </x:c>
      <x:c r="B5" s="65" t="str">
        <x:v>Absent moral shame</x:v>
      </x:c>
      <x:c r="C5" s="65" t="str">
        <x:v>QYMSYNU</x:v>
      </x:c>
      <x:c r="D5" s="56" t="n">
        <x:f>COUNTIFS('Data (parsed)'!$B$2:$B$235,A5,'Data (parsed)'!$C$2:$C$235,B5,'Data (parsed)'!$H$2:$H$235,C5,'Data (parsed)'!$I$2:$I$235,1)</x:f>
        <x:v>1</x:v>
      </x:c>
    </x:row>
    <x:row r="6" ht="15" hidden="0" customHeight="1">
      <x:c r="A6" s="65" t="str">
        <x:v>Shame</x:v>
      </x:c>
      <x:c r="B6" s="65" t="str">
        <x:v>Absent moral shame</x:v>
      </x:c>
      <x:c r="C6" s="65" t="str">
        <x:v>ŪİAT</x:v>
      </x:c>
      <x:c r="D6" s="56" t="n">
        <x:f>COUNTIFS('Data (parsed)'!$B$2:$B$235,A6,'Data (parsed)'!$C$2:$C$235,B6,'Data (parsed)'!$H$2:$H$235,C6,'Data (parsed)'!$I$2:$I$235,1)</x:f>
        <x:v>1</x:v>
      </x:c>
    </x:row>
    <x:row r="7" ht="15" hidden="0" customHeight="1">
      <x:c r="A7" s="65" t="str">
        <x:v>Shame</x:v>
      </x:c>
      <x:c r="B7" s="65" t="str">
        <x:v>Absent shame</x:v>
      </x:c>
      <x:c r="C7" s="65" t="str">
        <x:v>ŪİALU</x:v>
      </x:c>
      <x:c r="D7" s="56" t="n">
        <x:f>COUNTIFS('Data (parsed)'!$B$2:$B$235,A7,'Data (parsed)'!$C$2:$C$235,B7,'Data (parsed)'!$H$2:$H$235,C7,'Data (parsed)'!$I$2:$I$235,1)</x:f>
        <x:v>5</x:v>
      </x:c>
    </x:row>
    <x:row r="8" ht="15" hidden="0" customHeight="1">
      <x:c r="A8" s="65" t="str">
        <x:v>Shame</x:v>
      </x:c>
      <x:c r="B8" s="65" t="str">
        <x:v>Absent shame</x:v>
      </x:c>
      <x:c r="C8" s="65" t="str">
        <x:v>QYSYLU</x:v>
      </x:c>
      <x:c r="D8" s="56" t="n">
        <x:f>COUNTIFS('Data (parsed)'!$B$2:$B$235,A8,'Data (parsed)'!$C$2:$C$235,B8,'Data (parsed)'!$H$2:$H$235,C8,'Data (parsed)'!$I$2:$I$235,1)</x:f>
        <x:v>2</x:v>
      </x:c>
    </x:row>
    <x:row r="9" ht="15" hidden="0" customHeight="1">
      <x:c r="A9" s="65" t="str">
        <x:v>Shame</x:v>
      </x:c>
      <x:c r="B9" s="65" t="str">
        <x:v>Absent shame</x:v>
      </x:c>
      <x:c r="C9" s="65" t="str">
        <x:v>AŞKÖZDİKPEN</x:v>
      </x:c>
      <x:c r="D9" s="56" t="n">
        <x:f>COUNTIFS('Data (parsed)'!$B$2:$B$235,A9,'Data (parsed)'!$C$2:$C$235,B9,'Data (parsed)'!$H$2:$H$235,C9,'Data (parsed)'!$I$2:$I$235,1)</x:f>
        <x:v>1</x:v>
      </x:c>
    </x:row>
    <x:row r="10" ht="15" hidden="0" customHeight="1">
      <x:c r="A10" s="65" t="str">
        <x:v>Shame</x:v>
      </x:c>
      <x:c r="B10" s="65" t="str">
        <x:v>Absent shame</x:v>
      </x:c>
      <x:c r="C10" s="65" t="str">
        <x:v>KINÄLAU</x:v>
      </x:c>
      <x:c r="D10" s="56" t="n">
        <x:f>COUNTIFS('Data (parsed)'!$B$2:$B$235,A10,'Data (parsed)'!$C$2:$C$235,B10,'Data (parsed)'!$H$2:$H$235,C10,'Data (parsed)'!$I$2:$I$235,1)</x:f>
        <x:v>1</x:v>
      </x:c>
    </x:row>
    <x:row r="11" ht="15" hidden="0" customHeight="1">
      <x:c r="A11" s="65" t="str">
        <x:v>Shame</x:v>
      </x:c>
      <x:c r="B11" s="65" t="str">
        <x:v>Absent shame</x:v>
      </x:c>
      <x:c r="C11" s="65" t="str">
        <x:v>QYMSYNU</x:v>
      </x:c>
      <x:c r="D11" s="56" t="n">
        <x:f>COUNTIFS('Data (parsed)'!$B$2:$B$235,A11,'Data (parsed)'!$C$2:$C$235,B11,'Data (parsed)'!$H$2:$H$235,C11,'Data (parsed)'!$I$2:$I$235,1)</x:f>
        <x:v>1</x:v>
      </x:c>
    </x:row>
    <x:row r="12" ht="15" hidden="0" customHeight="1">
      <x:c r="A12" s="65" t="str">
        <x:v>Shame</x:v>
      </x:c>
      <x:c r="B12" s="65" t="str">
        <x:v>Absent shame</x:v>
      </x:c>
      <x:c r="C12" s="65" t="str">
        <x:v>ŪİALTU</x:v>
      </x:c>
      <x:c r="D12" s="56" t="n">
        <x:f>COUNTIFS('Data (parsed)'!$B$2:$B$235,A12,'Data (parsed)'!$C$2:$C$235,B12,'Data (parsed)'!$H$2:$H$235,C12,'Data (parsed)'!$I$2:$I$235,1)</x:f>
        <x:v>1</x:v>
      </x:c>
    </x:row>
    <x:row r="13" ht="15" hidden="0" customHeight="1">
      <x:c r="A13" s="65" t="str">
        <x:v>Shame</x:v>
      </x:c>
      <x:c r="B13" s="65" t="str">
        <x:v>Absent shame</x:v>
      </x:c>
      <x:c r="C13" s="65" t="str">
        <x:v>ŪİATSYZDYQ</x:v>
      </x:c>
      <x:c r="D13" s="56" t="n">
        <x:f>COUNTIFS('Data (parsed)'!$B$2:$B$235,A13,'Data (parsed)'!$C$2:$C$235,B13,'Data (parsed)'!$H$2:$H$235,C13,'Data (parsed)'!$I$2:$I$235,1)</x:f>
        <x:v>1</x:v>
      </x:c>
    </x:row>
    <x:row r="14" ht="15" hidden="0" customHeight="1">
      <x:c r="A14" s="65" t="str">
        <x:v>Shame</x:v>
      </x:c>
      <x:c r="B14" s="65" t="str">
        <x:v>Absent social shame</x:v>
      </x:c>
      <x:c r="C14" s="65" t="str">
        <x:v>ŪİALU</x:v>
      </x:c>
      <x:c r="D14" s="56" t="n">
        <x:f>COUNTIFS('Data (parsed)'!$B$2:$B$235,A14,'Data (parsed)'!$C$2:$C$235,B14,'Data (parsed)'!$H$2:$H$235,C14,'Data (parsed)'!$I$2:$I$235,1)</x:f>
        <x:v>3</x:v>
      </x:c>
    </x:row>
    <x:row r="15" ht="15" hidden="0" customHeight="1">
      <x:c r="A15" s="65" t="str">
        <x:v>Shame</x:v>
      </x:c>
      <x:c r="B15" s="65" t="str">
        <x:v>Absent social shame</x:v>
      </x:c>
      <x:c r="C15" s="65" t="str">
        <x:v>ŪİAT</x:v>
      </x:c>
      <x:c r="D15" s="56" t="n">
        <x:f>COUNTIFS('Data (parsed)'!$B$2:$B$235,A15,'Data (parsed)'!$C$2:$C$235,B15,'Data (parsed)'!$H$2:$H$235,C15,'Data (parsed)'!$I$2:$I$235,1)</x:f>
        <x:v>2</x:v>
      </x:c>
    </x:row>
    <x:row r="16" ht="15" hidden="0" customHeight="1">
      <x:c r="A16" s="65" t="str">
        <x:v>Shame</x:v>
      </x:c>
      <x:c r="B16" s="65" t="str">
        <x:v>Absent social shame</x:v>
      </x:c>
      <x:c r="C16" s="65" t="str">
        <x:v>QYSYLU</x:v>
      </x:c>
      <x:c r="D16" s="56" t="n">
        <x:f>COUNTIFS('Data (parsed)'!$B$2:$B$235,A16,'Data (parsed)'!$C$2:$C$235,B16,'Data (parsed)'!$H$2:$H$235,C16,'Data (parsed)'!$I$2:$I$235,1)</x:f>
        <x:v>1</x:v>
      </x:c>
    </x:row>
    <x:row r="17" ht="15" hidden="0" customHeight="1">
      <x:c r="A17" s="65" t="str">
        <x:v>Shame</x:v>
      </x:c>
      <x:c r="B17" s="65" t="str">
        <x:v>Absent social shame</x:v>
      </x:c>
      <x:c r="C17" s="65" t="str">
        <x:v>ŪİATSYZDYQ</x:v>
      </x:c>
      <x:c r="D17" s="56" t="n">
        <x:f>COUNTIFS('Data (parsed)'!$B$2:$B$235,A17,'Data (parsed)'!$C$2:$C$235,B17,'Data (parsed)'!$H$2:$H$235,C17,'Data (parsed)'!$I$2:$I$235,1)</x:f>
        <x:v>1</x:v>
      </x:c>
    </x:row>
    <x:row r="18" ht="15" hidden="0" customHeight="1">
      <x:c r="A18" s="65" t="str">
        <x:v>Shame</x:v>
      </x:c>
      <x:c r="B18" s="65" t="str">
        <x:v>Absent social shame (about the body)</x:v>
      </x:c>
      <x:c r="C18" s="65" t="str">
        <x:v>KEMŞILIK</x:v>
      </x:c>
      <x:c r="D18" s="56" t="n">
        <x:f>COUNTIFS('Data (parsed)'!$B$2:$B$235,A18,'Data (parsed)'!$C$2:$C$235,B18,'Data (parsed)'!$H$2:$H$235,C18,'Data (parsed)'!$I$2:$I$235,1)</x:f>
        <x:v>1</x:v>
      </x:c>
    </x:row>
    <x:row r="19" ht="15" hidden="0" customHeight="1">
      <x:c r="A19" s="65" t="str">
        <x:v>Shame</x:v>
      </x:c>
      <x:c r="B19" s="65" t="str">
        <x:v>Absent social shame (about the body)</x:v>
      </x:c>
      <x:c r="C19" s="65" t="str">
        <x:v>QYSYLU</x:v>
      </x:c>
      <x:c r="D19" s="56" t="n">
        <x:f>COUNTIFS('Data (parsed)'!$B$2:$B$235,A19,'Data (parsed)'!$C$2:$C$235,B19,'Data (parsed)'!$H$2:$H$235,C19,'Data (parsed)'!$I$2:$I$235,1)</x:f>
        <x:v>1</x:v>
      </x:c>
    </x:row>
    <x:row r="20" ht="15" hidden="0" customHeight="1">
      <x:c r="A20" s="65" t="str">
        <x:v>Shame</x:v>
      </x:c>
      <x:c r="B20" s="65" t="str">
        <x:v>Illocutionary shame (shaming)</x:v>
      </x:c>
      <x:c r="C20" s="65" t="str">
        <x:v>ŪİALU</x:v>
      </x:c>
      <x:c r="D20" s="56" t="n">
        <x:f>COUNTIFS('Data (parsed)'!$B$2:$B$235,A20,'Data (parsed)'!$C$2:$C$235,B20,'Data (parsed)'!$H$2:$H$235,C20,'Data (parsed)'!$I$2:$I$235,1)</x:f>
        <x:v>4</x:v>
      </x:c>
    </x:row>
    <x:row r="21" ht="15" hidden="0" customHeight="1">
      <x:c r="A21" s="65" t="str">
        <x:v>Shame</x:v>
      </x:c>
      <x:c r="B21" s="65" t="str">
        <x:v>Illocutionary shame (shaming)</x:v>
      </x:c>
      <x:c r="C21" s="65" t="str">
        <x:v>ŪİAT</x:v>
      </x:c>
      <x:c r="D21" s="56" t="n">
        <x:f>COUNTIFS('Data (parsed)'!$B$2:$B$235,A21,'Data (parsed)'!$C$2:$C$235,B21,'Data (parsed)'!$H$2:$H$235,C21,'Data (parsed)'!$I$2:$I$235,1)</x:f>
        <x:v>4</x:v>
      </x:c>
    </x:row>
    <x:row r="22" ht="15" hidden="0" customHeight="1">
      <x:c r="A22" s="65" t="str">
        <x:v>Shame</x:v>
      </x:c>
      <x:c r="B22" s="65" t="str">
        <x:v>Illocutionary shame (shaming)</x:v>
      </x:c>
      <x:c r="C22" s="65" t="str">
        <x:v>[paraphrase / no single-word equivalent]</x:v>
      </x:c>
      <x:c r="D22" s="56" t="n">
        <x:f>COUNTIFS('Data (parsed)'!$B$2:$B$235,A22,'Data (parsed)'!$C$2:$C$235,B22,'Data (parsed)'!$H$2:$H$235,C22,'Data (parsed)'!$I$2:$I$235,1)</x:f>
        <x:v>3</x:v>
      </x:c>
    </x:row>
    <x:row r="23" ht="15" hidden="0" customHeight="1">
      <x:c r="A23" s="65" t="str">
        <x:v>Shame</x:v>
      </x:c>
      <x:c r="B23" s="65" t="str">
        <x:v>Illocutionary shame (shaming)</x:v>
      </x:c>
      <x:c r="C23" s="65" t="str">
        <x:v>MASQARA</x:v>
      </x:c>
      <x:c r="D23" s="56" t="n">
        <x:f>COUNTIFS('Data (parsed)'!$B$2:$B$235,A23,'Data (parsed)'!$C$2:$C$235,B23,'Data (parsed)'!$H$2:$H$235,C23,'Data (parsed)'!$I$2:$I$235,1)</x:f>
        <x:v>2</x:v>
      </x:c>
    </x:row>
    <x:row r="24" ht="15" hidden="0" customHeight="1">
      <x:c r="A24" s="65" t="str">
        <x:v>Shame</x:v>
      </x:c>
      <x:c r="B24" s="65" t="str">
        <x:v>Illocutionary shame (shaming)</x:v>
      </x:c>
      <x:c r="C24" s="65" t="str">
        <x:v>DÄRMENSIZ</x:v>
      </x:c>
      <x:c r="D24" s="56" t="n">
        <x:f>COUNTIFS('Data (parsed)'!$B$2:$B$235,A24,'Data (parsed)'!$C$2:$C$235,B24,'Data (parsed)'!$H$2:$H$235,C24,'Data (parsed)'!$I$2:$I$235,1)</x:f>
        <x:v>1</x:v>
      </x:c>
    </x:row>
    <x:row r="25" ht="15" hidden="0" customHeight="1">
      <x:c r="A25" s="65" t="str">
        <x:v>Shame</x:v>
      </x:c>
      <x:c r="B25" s="65" t="str">
        <x:v>Illocutionary shame (shaming)</x:v>
      </x:c>
      <x:c r="C25" s="65" t="str">
        <x:v>KÜLKI</x:v>
      </x:c>
      <x:c r="D25" s="56" t="n">
        <x:f>COUNTIFS('Data (parsed)'!$B$2:$B$235,A25,'Data (parsed)'!$C$2:$C$235,B25,'Data (parsed)'!$H$2:$H$235,C25,'Data (parsed)'!$I$2:$I$235,1)</x:f>
        <x:v>1</x:v>
      </x:c>
    </x:row>
    <x:row r="26" ht="15" hidden="0" customHeight="1">
      <x:c r="A26" s="65" t="str">
        <x:v>Shame</x:v>
      </x:c>
      <x:c r="B26" s="65" t="str">
        <x:v>Illocutionary shame (shaming)</x:v>
      </x:c>
      <x:c r="C26" s="65" t="str">
        <x:v>QYSYLU</x:v>
      </x:c>
      <x:c r="D26" s="56" t="n">
        <x:f>COUNTIFS('Data (parsed)'!$B$2:$B$235,A26,'Data (parsed)'!$C$2:$C$235,B26,'Data (parsed)'!$H$2:$H$235,C26,'Data (parsed)'!$I$2:$I$235,1)</x:f>
        <x:v>1</x:v>
      </x:c>
    </x:row>
    <x:row r="27" ht="15" hidden="0" customHeight="1">
      <x:c r="A27" s="65" t="str">
        <x:v>Shame</x:v>
      </x:c>
      <x:c r="B27" s="65" t="str">
        <x:v>Illocutionary shame (shaming)</x:v>
      </x:c>
      <x:c r="C27" s="65" t="str">
        <x:v>SALMAĞY</x:v>
      </x:c>
      <x:c r="D27" s="56" t="n">
        <x:f>COUNTIFS('Data (parsed)'!$B$2:$B$235,A27,'Data (parsed)'!$C$2:$C$235,B27,'Data (parsed)'!$H$2:$H$235,C27,'Data (parsed)'!$I$2:$I$235,1)</x:f>
        <x:v>1</x:v>
      </x:c>
    </x:row>
    <x:row r="28" ht="15" hidden="0" customHeight="1">
      <x:c r="A28" s="65" t="str">
        <x:v>Shame</x:v>
      </x:c>
      <x:c r="B28" s="65" t="str">
        <x:v>Moral shame</x:v>
      </x:c>
      <x:c r="C28" s="65" t="str">
        <x:v>ŪİALU</x:v>
      </x:c>
      <x:c r="D28" s="56" t="n">
        <x:f>COUNTIFS('Data (parsed)'!$B$2:$B$235,A28,'Data (parsed)'!$C$2:$C$235,B28,'Data (parsed)'!$H$2:$H$235,C28,'Data (parsed)'!$I$2:$I$235,1)</x:f>
        <x:v>10</x:v>
      </x:c>
    </x:row>
    <x:row r="29" ht="15" hidden="0" customHeight="1">
      <x:c r="A29" s="65" t="str">
        <x:v>Shame</x:v>
      </x:c>
      <x:c r="B29" s="65" t="str">
        <x:v>Moral shame</x:v>
      </x:c>
      <x:c r="C29" s="65" t="str">
        <x:v>ŪİAT</x:v>
      </x:c>
      <x:c r="D29" s="56" t="n">
        <x:f>COUNTIFS('Data (parsed)'!$B$2:$B$235,A29,'Data (parsed)'!$C$2:$C$235,B29,'Data (parsed)'!$H$2:$H$235,C29,'Data (parsed)'!$I$2:$I$235,1)</x:f>
        <x:v>5</x:v>
      </x:c>
    </x:row>
    <x:row r="30" ht="15" hidden="0" customHeight="1">
      <x:c r="A30" s="65" t="str">
        <x:v>Shame</x:v>
      </x:c>
      <x:c r="B30" s="65" t="str">
        <x:v>Moral shame</x:v>
      </x:c>
      <x:c r="C30" s="65" t="str">
        <x:v>[paraphrase / no single-word equivalent]</x:v>
      </x:c>
      <x:c r="D30" s="56" t="n">
        <x:f>COUNTIFS('Data (parsed)'!$B$2:$B$235,A30,'Data (parsed)'!$C$2:$C$235,B30,'Data (parsed)'!$H$2:$H$235,C30,'Data (parsed)'!$I$2:$I$235,1)</x:f>
        <x:v>2</x:v>
      </x:c>
    </x:row>
    <x:row r="31" ht="15" hidden="0" customHeight="1">
      <x:c r="A31" s="65" t="str">
        <x:v>Shame</x:v>
      </x:c>
      <x:c r="B31" s="65" t="str">
        <x:v>Moral shame</x:v>
      </x:c>
      <x:c r="C31" s="65" t="str">
        <x:v>KINÄ MEN KÜNÄ</x:v>
      </x:c>
      <x:c r="D31" s="56" t="n">
        <x:f>COUNTIFS('Data (parsed)'!$B$2:$B$235,A31,'Data (parsed)'!$C$2:$C$235,B31,'Data (parsed)'!$H$2:$H$235,C31,'Data (parsed)'!$I$2:$I$235,1)</x:f>
        <x:v>1</x:v>
      </x:c>
    </x:row>
    <x:row r="32" ht="15" hidden="0" customHeight="1">
      <x:c r="A32" s="65" t="str">
        <x:v>Shame</x:v>
      </x:c>
      <x:c r="B32" s="65" t="str">
        <x:v>Moral shame</x:v>
      </x:c>
      <x:c r="C32" s="65" t="str">
        <x:v>KÜNÄ</x:v>
      </x:c>
      <x:c r="D32" s="56" t="n">
        <x:f>COUNTIFS('Data (parsed)'!$B$2:$B$235,A32,'Data (parsed)'!$C$2:$C$235,B32,'Data (parsed)'!$H$2:$H$235,C32,'Data (parsed)'!$I$2:$I$235,1)</x:f>
        <x:v>1</x:v>
      </x:c>
    </x:row>
    <x:row r="33" ht="15" hidden="0" customHeight="1">
      <x:c r="A33" s="65" t="str">
        <x:v>Shame</x:v>
      </x:c>
      <x:c r="B33" s="65" t="str">
        <x:v>Moral shame</x:v>
      </x:c>
      <x:c r="C33" s="65" t="str">
        <x:v>ÖKINU</x:v>
      </x:c>
      <x:c r="D33" s="56" t="n">
        <x:f>COUNTIFS('Data (parsed)'!$B$2:$B$235,A33,'Data (parsed)'!$C$2:$C$235,B33,'Data (parsed)'!$H$2:$H$235,C33,'Data (parsed)'!$I$2:$I$235,1)</x:f>
        <x:v>1</x:v>
      </x:c>
    </x:row>
    <x:row r="34" ht="15" hidden="0" customHeight="1">
      <x:c r="A34" s="65" t="str">
        <x:v>Shame</x:v>
      </x:c>
      <x:c r="B34" s="65" t="str">
        <x:v>Moral shame</x:v>
      </x:c>
      <x:c r="C34" s="65" t="str">
        <x:v>ÖZIN-ÖZI KEŞIRMEU</x:v>
      </x:c>
      <x:c r="D34" s="56" t="n">
        <x:f>COUNTIFS('Data (parsed)'!$B$2:$B$235,A34,'Data (parsed)'!$C$2:$C$235,B34,'Data (parsed)'!$H$2:$H$235,C34,'Data (parsed)'!$I$2:$I$235,1)</x:f>
        <x:v>1</x:v>
      </x:c>
    </x:row>
    <x:row r="35" ht="15" hidden="0" customHeight="1">
      <x:c r="A35" s="65" t="str">
        <x:v>Shame</x:v>
      </x:c>
      <x:c r="B35" s="65" t="str">
        <x:v>Moral shame</x:v>
      </x:c>
      <x:c r="C35" s="65" t="str">
        <x:v>QOLAİSYZ</x:v>
      </x:c>
      <x:c r="D35" s="56" t="n">
        <x:f>COUNTIFS('Data (parsed)'!$B$2:$B$235,A35,'Data (parsed)'!$C$2:$C$235,B35,'Data (parsed)'!$H$2:$H$235,C35,'Data (parsed)'!$I$2:$I$235,1)</x:f>
        <x:v>1</x:v>
      </x:c>
    </x:row>
    <x:row r="36" ht="15" hidden="0" customHeight="1">
      <x:c r="A36" s="65" t="str">
        <x:v>Shame</x:v>
      </x:c>
      <x:c r="B36" s="65" t="str">
        <x:v>Moral shame</x:v>
      </x:c>
      <x:c r="C36" s="65" t="str">
        <x:v>QYSYLU</x:v>
      </x:c>
      <x:c r="D36" s="56" t="n">
        <x:f>COUNTIFS('Data (parsed)'!$B$2:$B$235,A36,'Data (parsed)'!$C$2:$C$235,B36,'Data (parsed)'!$H$2:$H$235,C36,'Data (parsed)'!$I$2:$I$235,1)</x:f>
        <x:v>1</x:v>
      </x:c>
    </x:row>
    <x:row r="37" ht="15" hidden="0" customHeight="1">
      <x:c r="A37" s="65" t="str">
        <x:v>Shame</x:v>
      </x:c>
      <x:c r="B37" s="65" t="str">
        <x:v>Moral shame</x:v>
      </x:c>
      <x:c r="C37" s="65" t="str">
        <x:v>ŪİALTU</x:v>
      </x:c>
      <x:c r="D37" s="56" t="n">
        <x:f>COUNTIFS('Data (parsed)'!$B$2:$B$235,A37,'Data (parsed)'!$C$2:$C$235,B37,'Data (parsed)'!$H$2:$H$235,C37,'Data (parsed)'!$I$2:$I$235,1)</x:f>
        <x:v>1</x:v>
      </x:c>
    </x:row>
    <x:row r="38" ht="15" hidden="0" customHeight="1">
      <x:c r="A38" s="65" t="str">
        <x:v>Shame</x:v>
      </x:c>
      <x:c r="B38" s="65" t="str">
        <x:v>Moral shame</x:v>
      </x:c>
      <x:c r="C38" s="65" t="str">
        <x:v>ŪIALYS TABŪ</x:v>
      </x:c>
      <x:c r="D38" s="56" t="n">
        <x:f>COUNTIFS('Data (parsed)'!$B$2:$B$235,A38,'Data (parsed)'!$C$2:$C$235,B38,'Data (parsed)'!$H$2:$H$235,C38,'Data (parsed)'!$I$2:$I$235,1)</x:f>
        <x:v>1</x:v>
      </x:c>
    </x:row>
    <x:row r="39" ht="15" hidden="0" customHeight="1">
      <x:c r="A39" s="65" t="str">
        <x:v>Shame</x:v>
      </x:c>
      <x:c r="B39" s="65" t="str">
        <x:v>Performed / ironic shame</x:v>
      </x:c>
      <x:c r="C39" s="65" t="str">
        <x:v>ŪİALU</x:v>
      </x:c>
      <x:c r="D39" s="56" t="n">
        <x:f>COUNTIFS('Data (parsed)'!$B$2:$B$235,A39,'Data (parsed)'!$C$2:$C$235,B39,'Data (parsed)'!$H$2:$H$235,C39,'Data (parsed)'!$I$2:$I$235,1)</x:f>
        <x:v>4</x:v>
      </x:c>
    </x:row>
    <x:row r="40" ht="15" hidden="0" customHeight="1">
      <x:c r="A40" s="65" t="str">
        <x:v>Shame</x:v>
      </x:c>
      <x:c r="B40" s="65" t="str">
        <x:v>Performed / ironic shame</x:v>
      </x:c>
      <x:c r="C40" s="65" t="str">
        <x:v>ŪİAT</x:v>
      </x:c>
      <x:c r="D40" s="56" t="n">
        <x:f>COUNTIFS('Data (parsed)'!$B$2:$B$235,A40,'Data (parsed)'!$C$2:$C$235,B40,'Data (parsed)'!$H$2:$H$235,C40,'Data (parsed)'!$I$2:$I$235,1)</x:f>
        <x:v>3</x:v>
      </x:c>
    </x:row>
    <x:row r="41" ht="15" hidden="0" customHeight="1">
      <x:c r="A41" s="65" t="str">
        <x:v>Shame</x:v>
      </x:c>
      <x:c r="B41" s="65" t="str">
        <x:v>Performed / ironic shame</x:v>
      </x:c>
      <x:c r="C41" s="65" t="str">
        <x:v>ŪİATTY</x:v>
      </x:c>
      <x:c r="D41" s="56" t="n">
        <x:f>COUNTIFS('Data (parsed)'!$B$2:$B$235,A41,'Data (parsed)'!$C$2:$C$235,B41,'Data (parsed)'!$H$2:$H$235,C41,'Data (parsed)'!$I$2:$I$235,1)</x:f>
        <x:v>1</x:v>
      </x:c>
    </x:row>
    <x:row r="42" ht="15" hidden="0" customHeight="1">
      <x:c r="A42" s="65" t="str">
        <x:v>Shame</x:v>
      </x:c>
      <x:c r="B42" s="65" t="str">
        <x:v>Performed / ironic shame</x:v>
      </x:c>
      <x:c r="C42" s="65" t="str">
        <x:v>YÑĞAİSYZ</x:v>
      </x:c>
      <x:c r="D42" s="56" t="n">
        <x:f>COUNTIFS('Data (parsed)'!$B$2:$B$235,A42,'Data (parsed)'!$C$2:$C$235,B42,'Data (parsed)'!$H$2:$H$235,C42,'Data (parsed)'!$I$2:$I$235,1)</x:f>
        <x:v>1</x:v>
      </x:c>
    </x:row>
    <x:row r="43" ht="15" hidden="0" customHeight="1">
      <x:c r="A43" s="65" t="str">
        <x:v>Shame</x:v>
      </x:c>
      <x:c r="B43" s="65" t="str">
        <x:v>Shame as verdict</x:v>
      </x:c>
      <x:c r="C43" s="65" t="str">
        <x:v>KÜİE</x:v>
      </x:c>
      <x:c r="D43" s="56" t="n">
        <x:f>COUNTIFS('Data (parsed)'!$B$2:$B$235,A43,'Data (parsed)'!$C$2:$C$235,B43,'Data (parsed)'!$H$2:$H$235,C43,'Data (parsed)'!$I$2:$I$235,1)</x:f>
        <x:v>1</x:v>
      </x:c>
    </x:row>
    <x:row r="44" ht="15" hidden="0" customHeight="1">
      <x:c r="A44" s="65" t="str">
        <x:v>Shame</x:v>
      </x:c>
      <x:c r="B44" s="65" t="str">
        <x:v>Shame as verdict</x:v>
      </x:c>
      <x:c r="C44" s="65" t="str">
        <x:v>MASQARA</x:v>
      </x:c>
      <x:c r="D44" s="56" t="n">
        <x:f>COUNTIFS('Data (parsed)'!$B$2:$B$235,A44,'Data (parsed)'!$C$2:$C$235,B44,'Data (parsed)'!$H$2:$H$235,C44,'Data (parsed)'!$I$2:$I$235,1)</x:f>
        <x:v>1</x:v>
      </x:c>
    </x:row>
    <x:row r="45" ht="15" hidden="0" customHeight="1">
      <x:c r="A45" s="65" t="str">
        <x:v>Shame</x:v>
      </x:c>
      <x:c r="B45" s="65" t="str">
        <x:v>Social shame</x:v>
      </x:c>
      <x:c r="C45" s="65" t="str">
        <x:v>ŪİALU</x:v>
      </x:c>
      <x:c r="D45" s="56" t="n">
        <x:f>COUNTIFS('Data (parsed)'!$B$2:$B$235,A45,'Data (parsed)'!$C$2:$C$235,B45,'Data (parsed)'!$H$2:$H$235,C45,'Data (parsed)'!$I$2:$I$235,1)</x:f>
        <x:v>6</x:v>
      </x:c>
    </x:row>
    <x:row r="46" ht="15" hidden="0" customHeight="1">
      <x:c r="A46" s="65" t="str">
        <x:v>Shame</x:v>
      </x:c>
      <x:c r="B46" s="65" t="str">
        <x:v>Social shame</x:v>
      </x:c>
      <x:c r="C46" s="65" t="str">
        <x:v>ŪİAT</x:v>
      </x:c>
      <x:c r="D46" s="56" t="n">
        <x:f>COUNTIFS('Data (parsed)'!$B$2:$B$235,A46,'Data (parsed)'!$C$2:$C$235,B46,'Data (parsed)'!$H$2:$H$235,C46,'Data (parsed)'!$I$2:$I$235,1)</x:f>
        <x:v>4</x:v>
      </x:c>
    </x:row>
    <x:row r="47" ht="15" hidden="0" customHeight="1">
      <x:c r="A47" s="65" t="str">
        <x:v>Shame</x:v>
      </x:c>
      <x:c r="B47" s="65" t="str">
        <x:v>Social shame</x:v>
      </x:c>
      <x:c r="C47" s="65" t="str">
        <x:v>QYSYLU</x:v>
      </x:c>
      <x:c r="D47" s="56" t="n">
        <x:f>COUNTIFS('Data (parsed)'!$B$2:$B$235,A47,'Data (parsed)'!$C$2:$C$235,B47,'Data (parsed)'!$H$2:$H$235,C47,'Data (parsed)'!$I$2:$I$235,1)</x:f>
        <x:v>2</x:v>
      </x:c>
    </x:row>
    <x:row r="48" ht="15" hidden="0" customHeight="1">
      <x:c r="A48" s="65" t="str">
        <x:v>Shame</x:v>
      </x:c>
      <x:c r="B48" s="65" t="str">
        <x:v>Social shame</x:v>
      </x:c>
      <x:c r="C48" s="65" t="str">
        <x:v>[paraphrase / no single-word equivalent]</x:v>
      </x:c>
      <x:c r="D48" s="56" t="n">
        <x:f>COUNTIFS('Data (parsed)'!$B$2:$B$235,A48,'Data (parsed)'!$C$2:$C$235,B48,'Data (parsed)'!$H$2:$H$235,C48,'Data (parsed)'!$I$2:$I$235,1)</x:f>
        <x:v>1</x:v>
      </x:c>
    </x:row>
    <x:row r="49" ht="15" hidden="0" customHeight="1">
      <x:c r="A49" s="65" t="str">
        <x:v>Shame</x:v>
      </x:c>
      <x:c r="B49" s="65" t="str">
        <x:v>Social shame</x:v>
      </x:c>
      <x:c r="C49" s="65" t="str">
        <x:v>ABYROI</x:v>
      </x:c>
      <x:c r="D49" s="56" t="n">
        <x:f>COUNTIFS('Data (parsed)'!$B$2:$B$235,A49,'Data (parsed)'!$C$2:$C$235,B49,'Data (parsed)'!$H$2:$H$235,C49,'Data (parsed)'!$I$2:$I$235,1)</x:f>
        <x:v>1</x:v>
      </x:c>
    </x:row>
    <x:row r="50" ht="15" hidden="0" customHeight="1">
      <x:c r="A50" s="65" t="str">
        <x:v>Shame</x:v>
      </x:c>
      <x:c r="B50" s="65" t="str">
        <x:v>Social shame</x:v>
      </x:c>
      <x:c r="C50" s="65" t="str">
        <x:v>AÑYRAU</x:v>
      </x:c>
      <x:c r="D50" s="56" t="n">
        <x:f>COUNTIFS('Data (parsed)'!$B$2:$B$235,A50,'Data (parsed)'!$C$2:$C$235,B50,'Data (parsed)'!$H$2:$H$235,C50,'Data (parsed)'!$I$2:$I$235,1)</x:f>
        <x:v>1</x:v>
      </x:c>
    </x:row>
    <x:row r="51" ht="15" hidden="0" customHeight="1">
      <x:c r="A51" s="65" t="str">
        <x:v>Shame</x:v>
      </x:c>
      <x:c r="B51" s="65" t="str">
        <x:v>Social shame</x:v>
      </x:c>
      <x:c r="C51" s="65" t="str">
        <x:v>NAZAR</x:v>
      </x:c>
      <x:c r="D51" s="56" t="n">
        <x:f>COUNTIFS('Data (parsed)'!$B$2:$B$235,A51,'Data (parsed)'!$C$2:$C$235,B51,'Data (parsed)'!$H$2:$H$235,C51,'Data (parsed)'!$I$2:$I$235,1)</x:f>
        <x:v>1</x:v>
      </x:c>
    </x:row>
    <x:row r="52" ht="15" hidden="0" customHeight="1">
      <x:c r="A52" s="65" t="str">
        <x:v>Shame</x:v>
      </x:c>
      <x:c r="B52" s="65" t="str">
        <x:v>Social shame</x:v>
      </x:c>
      <x:c r="C52" s="65" t="str">
        <x:v>QYMSYNU</x:v>
      </x:c>
      <x:c r="D52" s="56" t="n">
        <x:f>COUNTIFS('Data (parsed)'!$B$2:$B$235,A52,'Data (parsed)'!$C$2:$C$235,B52,'Data (parsed)'!$H$2:$H$235,C52,'Data (parsed)'!$I$2:$I$235,1)</x:f>
        <x:v>1</x:v>
      </x:c>
    </x:row>
    <x:row r="53" ht="15" hidden="0" customHeight="1">
      <x:c r="A53" s="65" t="str">
        <x:v>Shame</x:v>
      </x:c>
      <x:c r="B53" s="65" t="str">
        <x:v>Social shame</x:v>
      </x:c>
      <x:c r="C53" s="65" t="str">
        <x:v>QYSAS</x:v>
      </x:c>
      <x:c r="D53" s="56" t="n">
        <x:f>COUNTIFS('Data (parsed)'!$B$2:$B$235,A53,'Data (parsed)'!$C$2:$C$235,B53,'Data (parsed)'!$H$2:$H$235,C53,'Data (parsed)'!$I$2:$I$235,1)</x:f>
        <x:v>1</x:v>
      </x:c>
    </x:row>
    <x:row r="54" ht="15" hidden="0" customHeight="1">
      <x:c r="A54" s="65" t="str">
        <x:v>Shame</x:v>
      </x:c>
      <x:c r="B54" s="65" t="str">
        <x:v>Social shame</x:v>
      </x:c>
      <x:c r="C54" s="65" t="str">
        <x:v>TÜR</x:v>
      </x:c>
      <x:c r="D54" s="56" t="n">
        <x:f>COUNTIFS('Data (parsed)'!$B$2:$B$235,A54,'Data (parsed)'!$C$2:$C$235,B54,'Data (parsed)'!$H$2:$H$235,C54,'Data (parsed)'!$I$2:$I$235,1)</x:f>
        <x:v>1</x:v>
      </x:c>
    </x:row>
    <x:row r="55" ht="15" hidden="0" customHeight="1">
      <x:c r="A55" s="65" t="str">
        <x:v>Shame</x:v>
      </x:c>
      <x:c r="B55" s="65" t="str">
        <x:v>Social shame (about the body)</x:v>
      </x:c>
      <x:c r="C55" s="65" t="str">
        <x:v>ŪİALU</x:v>
      </x:c>
      <x:c r="D55" s="56" t="n">
        <x:f>COUNTIFS('Data (parsed)'!$B$2:$B$235,A55,'Data (parsed)'!$C$2:$C$235,B55,'Data (parsed)'!$H$2:$H$235,C55,'Data (parsed)'!$I$2:$I$235,1)</x:f>
        <x:v>3</x:v>
      </x:c>
    </x:row>
    <x:row r="56" ht="15" hidden="0" customHeight="1">
      <x:c r="A56" s="65" t="str">
        <x:v>Shame</x:v>
      </x:c>
      <x:c r="B56" s="65" t="str">
        <x:v>Social shame (about the body)</x:v>
      </x:c>
      <x:c r="C56" s="65" t="str">
        <x:v>AZAPTY</x:v>
      </x:c>
      <x:c r="D56" s="56" t="n">
        <x:f>COUNTIFS('Data (parsed)'!$B$2:$B$235,A56,'Data (parsed)'!$C$2:$C$235,B56,'Data (parsed)'!$H$2:$H$235,C56,'Data (parsed)'!$I$2:$I$235,1)</x:f>
        <x:v>1</x:v>
      </x:c>
    </x:row>
    <x:row r="57" ht="15" hidden="0" customHeight="1">
      <x:c r="A57" s="65" t="str">
        <x:v>Shame</x:v>
      </x:c>
      <x:c r="B57" s="65" t="str">
        <x:v>Social shame (somatic expression)</x:v>
      </x:c>
      <x:c r="C57" s="65" t="str">
        <x:v>ŪİAT</x:v>
      </x:c>
      <x:c r="D57" s="56" t="n">
        <x:f>COUNTIFS('Data (parsed)'!$B$2:$B$235,A57,'Data (parsed)'!$C$2:$C$235,B57,'Data (parsed)'!$H$2:$H$235,C57,'Data (parsed)'!$I$2:$I$235,1)</x:f>
        <x:v>2</x:v>
      </x:c>
    </x:row>
    <x:row r="58" ht="15" hidden="0" customHeight="1">
      <x:c r="A58" s="65" t="str">
        <x:v>Shame</x:v>
      </x:c>
      <x:c r="B58" s="65" t="str">
        <x:v>Social shame (somatic expression)</x:v>
      </x:c>
      <x:c r="C58" s="65" t="str">
        <x:v>ÖKINIŞ</x:v>
      </x:c>
      <x:c r="D58" s="56" t="n">
        <x:f>COUNTIFS('Data (parsed)'!$B$2:$B$235,A58,'Data (parsed)'!$C$2:$C$235,B58,'Data (parsed)'!$H$2:$H$235,C58,'Data (parsed)'!$I$2:$I$235,1)</x:f>
        <x:v>1</x:v>
      </x:c>
    </x:row>
    <x:row r="59" ht="15" hidden="0" customHeight="1">
      <x:c r="A59" s="65" t="str">
        <x:v>Shame</x:v>
      </x:c>
      <x:c r="B59" s="65" t="str">
        <x:v>Social shame (somatic expression)</x:v>
      </x:c>
      <x:c r="C59" s="65" t="str">
        <x:v>ŪİALU</x:v>
      </x:c>
      <x:c r="D59" s="56" t="n">
        <x:f>COUNTIFS('Data (parsed)'!$B$2:$B$235,A59,'Data (parsed)'!$C$2:$C$235,B59,'Data (parsed)'!$H$2:$H$235,C59,'Data (parsed)'!$I$2:$I$235,1)</x:f>
        <x:v>1</x:v>
      </x:c>
    </x:row>
    <x:row r="60" ht="15" hidden="0" customHeight="1">
      <x:c r="A60" s="65" t="str">
        <x:v>Guilt</x:v>
      </x:c>
      <x:c r="B60" s="65" t="str">
        <x:v>Felt guilt</x:v>
      </x:c>
      <x:c r="C60" s="65" t="str">
        <x:v>KINÄLI</x:v>
      </x:c>
      <x:c r="D60" s="56" t="n">
        <x:f>COUNTIFS('Data (parsed)'!$B$2:$B$235,A60,'Data (parsed)'!$C$2:$C$235,B60,'Data (parsed)'!$H$2:$H$235,C60,'Data (parsed)'!$I$2:$I$235,1)</x:f>
        <x:v>4</x:v>
      </x:c>
    </x:row>
    <x:row r="61" ht="15" hidden="0" customHeight="1">
      <x:c r="A61" s="65" t="str">
        <x:v>Guilt</x:v>
      </x:c>
      <x:c r="B61" s="65" t="str">
        <x:v>Felt guilt</x:v>
      </x:c>
      <x:c r="C61" s="65" t="str">
        <x:v>QYSYLU</x:v>
      </x:c>
      <x:c r="D61" s="56" t="n">
        <x:f>COUNTIFS('Data (parsed)'!$B$2:$B$235,A61,'Data (parsed)'!$C$2:$C$235,B61,'Data (parsed)'!$H$2:$H$235,C61,'Data (parsed)'!$I$2:$I$235,1)</x:f>
        <x:v>3</x:v>
      </x:c>
    </x:row>
    <x:row r="62" ht="15" hidden="0" customHeight="1">
      <x:c r="A62" s="65" t="str">
        <x:v>Guilt</x:v>
      </x:c>
      <x:c r="B62" s="65" t="str">
        <x:v>Felt guilt</x:v>
      </x:c>
      <x:c r="C62" s="65" t="str">
        <x:v>ŪİALU</x:v>
      </x:c>
      <x:c r="D62" s="56" t="n">
        <x:f>COUNTIFS('Data (parsed)'!$B$2:$B$235,A62,'Data (parsed)'!$C$2:$C$235,B62,'Data (parsed)'!$H$2:$H$235,C62,'Data (parsed)'!$I$2:$I$235,1)</x:f>
        <x:v>2</x:v>
      </x:c>
    </x:row>
    <x:row r="63" ht="15" hidden="0" customHeight="1">
      <x:c r="A63" s="65" t="str">
        <x:v>Guilt</x:v>
      </x:c>
      <x:c r="B63" s="65" t="str">
        <x:v>Felt guilt</x:v>
      </x:c>
      <x:c r="C63" s="65" t="str">
        <x:v>AİYPTY SEZIM</x:v>
      </x:c>
      <x:c r="D63" s="56" t="n">
        <x:f>COUNTIFS('Data (parsed)'!$B$2:$B$235,A63,'Data (parsed)'!$C$2:$C$235,B63,'Data (parsed)'!$H$2:$H$235,C63,'Data (parsed)'!$I$2:$I$235,1)</x:f>
        <x:v>1</x:v>
      </x:c>
    </x:row>
    <x:row r="64" ht="15" hidden="0" customHeight="1">
      <x:c r="A64" s="65" t="str">
        <x:v>Guilt</x:v>
      </x:c>
      <x:c r="B64" s="65" t="str">
        <x:v>Felt guilt</x:v>
      </x:c>
      <x:c r="C64" s="65" t="str">
        <x:v>AR-OJDAN</x:v>
      </x:c>
      <x:c r="D64" s="56" t="n">
        <x:f>COUNTIFS('Data (parsed)'!$B$2:$B$235,A64,'Data (parsed)'!$C$2:$C$235,B64,'Data (parsed)'!$H$2:$H$235,C64,'Data (parsed)'!$I$2:$I$235,1)</x:f>
        <x:v>1</x:v>
      </x:c>
    </x:row>
    <x:row r="65" ht="15" hidden="0" customHeight="1">
      <x:c r="A65" s="65" t="str">
        <x:v>Guilt</x:v>
      </x:c>
      <x:c r="B65" s="65" t="str">
        <x:v>Felt guilt</x:v>
      </x:c>
      <x:c r="C65" s="65" t="str">
        <x:v>JAZYQTY</x:v>
      </x:c>
      <x:c r="D65" s="56" t="n">
        <x:f>COUNTIFS('Data (parsed)'!$B$2:$B$235,A65,'Data (parsed)'!$C$2:$C$235,B65,'Data (parsed)'!$H$2:$H$235,C65,'Data (parsed)'!$I$2:$I$235,1)</x:f>
        <x:v>1</x:v>
      </x:c>
    </x:row>
    <x:row r="66" ht="15" hidden="0" customHeight="1">
      <x:c r="A66" s="65" t="str">
        <x:v>Guilt</x:v>
      </x:c>
      <x:c r="B66" s="65" t="str">
        <x:v>Felt guilt</x:v>
      </x:c>
      <x:c r="C66" s="65" t="str">
        <x:v>KINÄ MEN KÜNÄ</x:v>
      </x:c>
      <x:c r="D66" s="56" t="n">
        <x:f>COUNTIFS('Data (parsed)'!$B$2:$B$235,A66,'Data (parsed)'!$C$2:$C$235,B66,'Data (parsed)'!$H$2:$H$235,C66,'Data (parsed)'!$I$2:$I$235,1)</x:f>
        <x:v>1</x:v>
      </x:c>
    </x:row>
    <x:row r="67" ht="15" hidden="0" customHeight="1">
      <x:c r="A67" s="65" t="str">
        <x:v>Guilt</x:v>
      </x:c>
      <x:c r="B67" s="65" t="str">
        <x:v>Felt guilt</x:v>
      </x:c>
      <x:c r="C67" s="65" t="str">
        <x:v>KINÄLAU</x:v>
      </x:c>
      <x:c r="D67" s="56" t="n">
        <x:f>COUNTIFS('Data (parsed)'!$B$2:$B$235,A67,'Data (parsed)'!$C$2:$C$235,B67,'Data (parsed)'!$H$2:$H$235,C67,'Data (parsed)'!$I$2:$I$235,1)</x:f>
        <x:v>1</x:v>
      </x:c>
    </x:row>
    <x:row r="68" ht="15" hidden="0" customHeight="1">
      <x:c r="A68" s="65" t="str">
        <x:v>Guilt</x:v>
      </x:c>
      <x:c r="B68" s="65" t="str">
        <x:v>Felt guilt</x:v>
      </x:c>
      <x:c r="C68" s="65" t="str">
        <x:v>KÜNÄ</x:v>
      </x:c>
      <x:c r="D68" s="56" t="n">
        <x:f>COUNTIFS('Data (parsed)'!$B$2:$B$235,A68,'Data (parsed)'!$C$2:$C$235,B68,'Data (parsed)'!$H$2:$H$235,C68,'Data (parsed)'!$I$2:$I$235,1)</x:f>
        <x:v>1</x:v>
      </x:c>
    </x:row>
    <x:row r="69" ht="15" hidden="0" customHeight="1">
      <x:c r="A69" s="65" t="str">
        <x:v>Guilt</x:v>
      </x:c>
      <x:c r="B69" s="65" t="str">
        <x:v>Felt guilt</x:v>
      </x:c>
      <x:c r="C69" s="65" t="str">
        <x:v>NALU</x:v>
      </x:c>
      <x:c r="D69" s="56" t="n">
        <x:f>COUNTIFS('Data (parsed)'!$B$2:$B$235,A69,'Data (parsed)'!$C$2:$C$235,B69,'Data (parsed)'!$H$2:$H$235,C69,'Data (parsed)'!$I$2:$I$235,1)</x:f>
        <x:v>1</x:v>
      </x:c>
    </x:row>
    <x:row r="70" ht="15" hidden="0" customHeight="1">
      <x:c r="A70" s="65" t="str">
        <x:v>Guilt</x:v>
      </x:c>
      <x:c r="B70" s="65" t="str">
        <x:v>Felt guilt</x:v>
      </x:c>
      <x:c r="C70" s="65" t="str">
        <x:v>ŪİAT</x:v>
      </x:c>
      <x:c r="D70" s="56" t="n">
        <x:f>COUNTIFS('Data (parsed)'!$B$2:$B$235,A70,'Data (parsed)'!$C$2:$C$235,B70,'Data (parsed)'!$H$2:$H$235,C70,'Data (parsed)'!$I$2:$I$235,1)</x:f>
        <x:v>1</x:v>
      </x:c>
    </x:row>
    <x:row r="71" ht="15" hidden="0" customHeight="1">
      <x:c r="A71" s="65" t="str">
        <x:v>Guilt</x:v>
      </x:c>
      <x:c r="B71" s="65" t="str">
        <x:v>Felt guilt (guilty conscience)</x:v>
      </x:c>
      <x:c r="C71" s="65" t="str">
        <x:v>ŪİAL-</x:v>
      </x:c>
      <x:c r="D71" s="56" t="n">
        <x:f>COUNTIFS('Data (parsed)'!$B$2:$B$235,A71,'Data (parsed)'!$C$2:$C$235,B71,'Data (parsed)'!$H$2:$H$235,C71,'Data (parsed)'!$I$2:$I$235,1)</x:f>
        <x:v>1</x:v>
      </x:c>
    </x:row>
    <x:row r="72" ht="15" hidden="0" customHeight="1">
      <x:c r="A72" s="65" t="str">
        <x:v>Guilt</x:v>
      </x:c>
      <x:c r="B72" s="65" t="str">
        <x:v>Felt guilt (guilty conscience)</x:v>
      </x:c>
      <x:c r="C72" s="65" t="str">
        <x:v>ŪİAT</x:v>
      </x:c>
      <x:c r="D72" s="56" t="n">
        <x:f>COUNTIFS('Data (parsed)'!$B$2:$B$235,A72,'Data (parsed)'!$C$2:$C$235,B72,'Data (parsed)'!$H$2:$H$235,C72,'Data (parsed)'!$I$2:$I$235,1)</x:f>
        <x:v>1</x:v>
      </x:c>
    </x:row>
    <x:row r="73" ht="15" hidden="0" customHeight="1">
      <x:c r="A73" s="65" t="str">
        <x:v>Guilt</x:v>
      </x:c>
      <x:c r="B73" s="65" t="str">
        <x:v>Felt guilt (guilty conscience)</x:v>
      </x:c>
      <x:c r="C73" s="65" t="str">
        <x:v>ŪIATY TAZA EMES</x:v>
      </x:c>
      <x:c r="D73" s="56" t="n">
        <x:f>COUNTIFS('Data (parsed)'!$B$2:$B$235,A73,'Data (parsed)'!$C$2:$C$235,B73,'Data (parsed)'!$H$2:$H$235,C73,'Data (parsed)'!$I$2:$I$235,1)</x:f>
        <x:v>1</x:v>
      </x:c>
    </x:row>
    <x:row r="74" ht="15" hidden="0" customHeight="1">
      <x:c r="A74" s="65" t="str">
        <x:v>Guilt</x:v>
      </x:c>
      <x:c r="B74" s="65" t="str">
        <x:v>Felt guilt (guilty pleasure)</x:v>
      </x:c>
      <x:c r="C74" s="65" t="str">
        <x:v>[paraphrase / no single-word equivalent]</x:v>
      </x:c>
      <x:c r="D74" s="56" t="n">
        <x:f>COUNTIFS('Data (parsed)'!$B$2:$B$235,A74,'Data (parsed)'!$C$2:$C$235,B74,'Data (parsed)'!$H$2:$H$235,C74,'Data (parsed)'!$I$2:$I$235,1)</x:f>
        <x:v>1</x:v>
      </x:c>
    </x:row>
    <x:row r="75" ht="15" hidden="0" customHeight="1">
      <x:c r="A75" s="65" t="str">
        <x:v>Guilt</x:v>
      </x:c>
      <x:c r="B75" s="65" t="str">
        <x:v>Felt guilt (guilty pleasure)</x:v>
      </x:c>
      <x:c r="C75" s="65" t="str">
        <x:v>AR</x:v>
      </x:c>
      <x:c r="D75" s="56" t="n">
        <x:f>COUNTIFS('Data (parsed)'!$B$2:$B$235,A75,'Data (parsed)'!$C$2:$C$235,B75,'Data (parsed)'!$H$2:$H$235,C75,'Data (parsed)'!$I$2:$I$235,1)</x:f>
        <x:v>1</x:v>
      </x:c>
    </x:row>
    <x:row r="76" ht="15" hidden="0" customHeight="1">
      <x:c r="A76" s="65" t="str">
        <x:v>Guilt</x:v>
      </x:c>
      <x:c r="B76" s="65" t="str">
        <x:v>Felt guilt (guilty pleasure)</x:v>
      </x:c>
      <x:c r="C76" s="65" t="str">
        <x:v>QUANU</x:v>
      </x:c>
      <x:c r="D76" s="56" t="n">
        <x:f>COUNTIFS('Data (parsed)'!$B$2:$B$235,A76,'Data (parsed)'!$C$2:$C$235,B76,'Data (parsed)'!$H$2:$H$235,C76,'Data (parsed)'!$I$2:$I$235,1)</x:f>
        <x:v>1</x:v>
      </x:c>
    </x:row>
    <x:row r="77" ht="15" hidden="0" customHeight="1">
      <x:c r="A77" s="65" t="str">
        <x:v>Guilt</x:v>
      </x:c>
      <x:c r="B77" s="65" t="str">
        <x:v>Guilt as deed</x:v>
      </x:c>
      <x:c r="C77" s="65" t="str">
        <x:v>BEİKÜNÄ</x:v>
      </x:c>
      <x:c r="D77" s="56" t="n">
        <x:f>COUNTIFS('Data (parsed)'!$B$2:$B$235,A77,'Data (parsed)'!$C$2:$C$235,B77,'Data (parsed)'!$H$2:$H$235,C77,'Data (parsed)'!$I$2:$I$235,1)</x:f>
        <x:v>1</x:v>
      </x:c>
    </x:row>
    <x:row r="78" ht="15" hidden="0" customHeight="1">
      <x:c r="A78" s="65" t="str">
        <x:v>Guilt</x:v>
      </x:c>
      <x:c r="B78" s="65" t="str">
        <x:v>Guilt as deed</x:v>
      </x:c>
      <x:c r="C78" s="65" t="str">
        <x:v>BŪZYQ</x:v>
      </x:c>
      <x:c r="D78" s="56" t="n">
        <x:f>COUNTIFS('Data (parsed)'!$B$2:$B$235,A78,'Data (parsed)'!$C$2:$C$235,B78,'Data (parsed)'!$H$2:$H$235,C78,'Data (parsed)'!$I$2:$I$235,1)</x:f>
        <x:v>1</x:v>
      </x:c>
    </x:row>
    <x:row r="79" ht="15" hidden="0" customHeight="1">
      <x:c r="A79" s="65" t="str">
        <x:v>Guilt</x:v>
      </x:c>
      <x:c r="B79" s="65" t="str">
        <x:v>Guilt as deed</x:v>
      </x:c>
      <x:c r="C79" s="65" t="str">
        <x:v>DIN</x:v>
      </x:c>
      <x:c r="D79" s="56" t="n">
        <x:f>COUNTIFS('Data (parsed)'!$B$2:$B$235,A79,'Data (parsed)'!$C$2:$C$235,B79,'Data (parsed)'!$H$2:$H$235,C79,'Data (parsed)'!$I$2:$I$235,1)</x:f>
        <x:v>1</x:v>
      </x:c>
    </x:row>
    <x:row r="80" ht="15" hidden="0" customHeight="1">
      <x:c r="A80" s="65" t="str">
        <x:v>Guilt</x:v>
      </x:c>
      <x:c r="B80" s="65" t="str">
        <x:v>Guilt as deed</x:v>
      </x:c>
      <x:c r="C80" s="65" t="str">
        <x:v>KINÄ</x:v>
      </x:c>
      <x:c r="D80" s="56" t="n">
        <x:f>COUNTIFS('Data (parsed)'!$B$2:$B$235,A80,'Data (parsed)'!$C$2:$C$235,B80,'Data (parsed)'!$H$2:$H$235,C80,'Data (parsed)'!$I$2:$I$235,1)</x:f>
        <x:v>1</x:v>
      </x:c>
    </x:row>
    <x:row r="81" ht="15" hidden="0" customHeight="1">
      <x:c r="A81" s="65" t="str">
        <x:v>Guilt</x:v>
      </x:c>
      <x:c r="B81" s="65" t="str">
        <x:v>Guilt as deed</x:v>
      </x:c>
      <x:c r="C81" s="65" t="str">
        <x:v>KINÄLI</x:v>
      </x:c>
      <x:c r="D81" s="56" t="n">
        <x:f>COUNTIFS('Data (parsed)'!$B$2:$B$235,A81,'Data (parsed)'!$C$2:$C$235,B81,'Data (parsed)'!$H$2:$H$235,C81,'Data (parsed)'!$I$2:$I$235,1)</x:f>
        <x:v>1</x:v>
      </x:c>
    </x:row>
    <x:row r="82" ht="15" hidden="0" customHeight="1">
      <x:c r="A82" s="65" t="str">
        <x:v>Guilt</x:v>
      </x:c>
      <x:c r="B82" s="65" t="str">
        <x:v>Guilt as tormentor</x:v>
      </x:c>
      <x:c r="C82" s="65" t="str">
        <x:v>AR-OJDAN</x:v>
      </x:c>
      <x:c r="D82" s="56" t="n">
        <x:f>COUNTIFS('Data (parsed)'!$B$2:$B$235,A82,'Data (parsed)'!$C$2:$C$235,B82,'Data (parsed)'!$H$2:$H$235,C82,'Data (parsed)'!$I$2:$I$235,1)</x:f>
        <x:v>1</x:v>
      </x:c>
    </x:row>
    <x:row r="83" ht="15" hidden="0" customHeight="1">
      <x:c r="A83" s="65" t="str">
        <x:v>Guilt</x:v>
      </x:c>
      <x:c r="B83" s="65" t="str">
        <x:v>Guilt as tormentor</x:v>
      </x:c>
      <x:c r="C83" s="65" t="str">
        <x:v>ÖKINIŞ</x:v>
      </x:c>
      <x:c r="D83" s="56" t="n">
        <x:f>COUNTIFS('Data (parsed)'!$B$2:$B$235,A83,'Data (parsed)'!$C$2:$C$235,B83,'Data (parsed)'!$H$2:$H$235,C83,'Data (parsed)'!$I$2:$I$235,1)</x:f>
        <x:v>1</x:v>
      </x:c>
    </x:row>
    <x:row r="84" ht="15" hidden="0" customHeight="1">
      <x:c r="A84" s="65" t="str">
        <x:v>Guilt</x:v>
      </x:c>
      <x:c r="B84" s="65" t="str">
        <x:v>Guilt as weight</x:v>
      </x:c>
      <x:c r="C84" s="65" t="str">
        <x:v>KÖKIREGINDEGI ZAPYRANYN</x:v>
      </x:c>
      <x:c r="D84" s="56" t="n">
        <x:f>COUNTIFS('Data (parsed)'!$B$2:$B$235,A84,'Data (parsed)'!$C$2:$C$235,B84,'Data (parsed)'!$H$2:$H$235,C84,'Data (parsed)'!$I$2:$I$235,1)</x:f>
        <x:v>1</x:v>
      </x:c>
    </x:row>
    <x:row r="85" ht="15" hidden="0" customHeight="1">
      <x:c r="A85" s="65" t="str">
        <x:v>Conscience</x:v>
      </x:c>
      <x:c r="B85" s="65" t="str">
        <x:v>Absent reaction</x:v>
      </x:c>
      <x:c r="C85" s="65" t="str">
        <x:v>ŪİALU</x:v>
      </x:c>
      <x:c r="D85" s="56" t="n">
        <x:f>COUNTIFS('Data (parsed)'!$B$2:$B$235,A85,'Data (parsed)'!$C$2:$C$235,B85,'Data (parsed)'!$H$2:$H$235,C85,'Data (parsed)'!$I$2:$I$235,1)</x:f>
        <x:v>2</x:v>
      </x:c>
    </x:row>
    <x:row r="86" ht="15" hidden="0" customHeight="1">
      <x:c r="A86" s="65" t="str">
        <x:v>Conscience</x:v>
      </x:c>
      <x:c r="B86" s="65" t="str">
        <x:v>Absent reaction</x:v>
      </x:c>
      <x:c r="C86" s="65" t="str">
        <x:v>ŪİAT</x:v>
      </x:c>
      <x:c r="D86" s="56" t="n">
        <x:f>COUNTIFS('Data (parsed)'!$B$2:$B$235,A86,'Data (parsed)'!$C$2:$C$235,B86,'Data (parsed)'!$H$2:$H$235,C86,'Data (parsed)'!$I$2:$I$235,1)</x:f>
        <x:v>2</x:v>
      </x:c>
    </x:row>
    <x:row r="87" ht="15" hidden="0" customHeight="1">
      <x:c r="A87" s="65" t="str">
        <x:v>Conscience</x:v>
      </x:c>
      <x:c r="B87" s="65" t="str">
        <x:v>Absent reaction</x:v>
      </x:c>
      <x:c r="C87" s="65" t="str">
        <x:v>[paraphrase / no single-word equivalent]</x:v>
      </x:c>
      <x:c r="D87" s="56" t="n">
        <x:f>COUNTIFS('Data (parsed)'!$B$2:$B$235,A87,'Data (parsed)'!$C$2:$C$235,B87,'Data (parsed)'!$H$2:$H$235,C87,'Data (parsed)'!$I$2:$I$235,1)</x:f>
        <x:v>1</x:v>
      </x:c>
    </x:row>
    <x:row r="88" ht="15" hidden="0" customHeight="1">
      <x:c r="A88" s="65" t="str">
        <x:v>Conscience</x:v>
      </x:c>
      <x:c r="B88" s="65" t="str">
        <x:v>Absent reaction</x:v>
      </x:c>
      <x:c r="C88" s="65" t="str">
        <x:v>AR</x:v>
      </x:c>
      <x:c r="D88" s="56" t="n">
        <x:f>COUNTIFS('Data (parsed)'!$B$2:$B$235,A88,'Data (parsed)'!$C$2:$C$235,B88,'Data (parsed)'!$H$2:$H$235,C88,'Data (parsed)'!$I$2:$I$235,1)</x:f>
        <x:v>1</x:v>
      </x:c>
    </x:row>
    <x:row r="89" ht="15" hidden="0" customHeight="1">
      <x:c r="A89" s="65" t="str">
        <x:v>Conscience</x:v>
      </x:c>
      <x:c r="B89" s="65" t="str">
        <x:v>Absent reaction</x:v>
      </x:c>
      <x:c r="C89" s="65" t="str">
        <x:v>AR-ŪİAT</x:v>
      </x:c>
      <x:c r="D89" s="56" t="n">
        <x:f>COUNTIFS('Data (parsed)'!$B$2:$B$235,A89,'Data (parsed)'!$C$2:$C$235,B89,'Data (parsed)'!$H$2:$H$235,C89,'Data (parsed)'!$I$2:$I$235,1)</x:f>
        <x:v>1</x:v>
      </x:c>
    </x:row>
    <x:row r="90" ht="15" hidden="0" customHeight="1">
      <x:c r="A90" s="65" t="str">
        <x:v>Conscience</x:v>
      </x:c>
      <x:c r="B90" s="65" t="str">
        <x:v>Absent reaction</x:v>
      </x:c>
      <x:c r="C90" s="65" t="str">
        <x:v>JÜREK</x:v>
      </x:c>
      <x:c r="D90" s="56" t="n">
        <x:f>COUNTIFS('Data (parsed)'!$B$2:$B$235,A90,'Data (parsed)'!$C$2:$C$235,B90,'Data (parsed)'!$H$2:$H$235,C90,'Data (parsed)'!$I$2:$I$235,1)</x:f>
        <x:v>1</x:v>
      </x:c>
    </x:row>
    <x:row r="91" ht="15" hidden="0" customHeight="1">
      <x:c r="A91" s="65" t="str">
        <x:v>Conscience</x:v>
      </x:c>
      <x:c r="B91" s="65" t="str">
        <x:v>Dormant / waking creature</x:v>
      </x:c>
      <x:c r="C91" s="65" t="str">
        <x:v>AR-ŪİAT</x:v>
      </x:c>
      <x:c r="D91" s="56" t="n">
        <x:f>COUNTIFS('Data (parsed)'!$B$2:$B$235,A91,'Data (parsed)'!$C$2:$C$235,B91,'Data (parsed)'!$H$2:$H$235,C91,'Data (parsed)'!$I$2:$I$235,1)</x:f>
        <x:v>1</x:v>
      </x:c>
    </x:row>
    <x:row r="92" ht="15" hidden="0" customHeight="1">
      <x:c r="A92" s="65" t="str">
        <x:v>Conscience</x:v>
      </x:c>
      <x:c r="B92" s="65" t="str">
        <x:v>Dormant / waking creature</x:v>
      </x:c>
      <x:c r="C92" s="65" t="str">
        <x:v>ŪİALU</x:v>
      </x:c>
      <x:c r="D92" s="56" t="n">
        <x:f>COUNTIFS('Data (parsed)'!$B$2:$B$235,A92,'Data (parsed)'!$C$2:$C$235,B92,'Data (parsed)'!$H$2:$H$235,C92,'Data (parsed)'!$I$2:$I$235,1)</x:f>
        <x:v>1</x:v>
      </x:c>
    </x:row>
    <x:row r="93" ht="15" hidden="0" customHeight="1">
      <x:c r="A93" s="65" t="str">
        <x:v>Conscience</x:v>
      </x:c>
      <x:c r="B93" s="65" t="str">
        <x:v>Dormant / waking creature</x:v>
      </x:c>
      <x:c r="C93" s="65" t="str">
        <x:v>ŪİAT</x:v>
      </x:c>
      <x:c r="D93" s="56" t="n">
        <x:f>COUNTIFS('Data (parsed)'!$B$2:$B$235,A93,'Data (parsed)'!$C$2:$C$235,B93,'Data (parsed)'!$H$2:$H$235,C93,'Data (parsed)'!$I$2:$I$235,1)</x:f>
        <x:v>1</x:v>
      </x:c>
    </x:row>
    <x:row r="94" ht="15" hidden="0" customHeight="1">
      <x:c r="A94" s="65" t="str">
        <x:v>Conscience</x:v>
      </x:c>
      <x:c r="B94" s="65" t="str">
        <x:v>General faculty</x:v>
      </x:c>
      <x:c r="C94" s="65" t="str">
        <x:v>AR</x:v>
      </x:c>
      <x:c r="D94" s="56" t="n">
        <x:f>COUNTIFS('Data (parsed)'!$B$2:$B$235,A94,'Data (parsed)'!$C$2:$C$235,B94,'Data (parsed)'!$H$2:$H$235,C94,'Data (parsed)'!$I$2:$I$235,1)</x:f>
        <x:v>1</x:v>
      </x:c>
    </x:row>
    <x:row r="95" ht="15" hidden="0" customHeight="1">
      <x:c r="A95" s="65" t="str">
        <x:v>Conscience</x:v>
      </x:c>
      <x:c r="B95" s="65" t="str">
        <x:v>General faculty</x:v>
      </x:c>
      <x:c r="C95" s="65" t="str">
        <x:v>ŪİAT</x:v>
      </x:c>
      <x:c r="D95" s="56" t="n">
        <x:f>COUNTIFS('Data (parsed)'!$B$2:$B$235,A95,'Data (parsed)'!$C$2:$C$235,B95,'Data (parsed)'!$H$2:$H$235,C95,'Data (parsed)'!$I$2:$I$235,1)</x:f>
        <x:v>1</x:v>
      </x:c>
    </x:row>
    <x:row r="96" ht="15" hidden="0" customHeight="1">
      <x:c r="A96" s="65" t="str">
        <x:v>Conscience</x:v>
      </x:c>
      <x:c r="B96" s="65" t="str">
        <x:v>Internal authority (advisor / opponent)</x:v>
      </x:c>
      <x:c r="C96" s="65" t="str">
        <x:v>AR-ŪİAT</x:v>
      </x:c>
      <x:c r="D96" s="56" t="n">
        <x:f>COUNTIFS('Data (parsed)'!$B$2:$B$235,A96,'Data (parsed)'!$C$2:$C$235,B96,'Data (parsed)'!$H$2:$H$235,C96,'Data (parsed)'!$I$2:$I$235,1)</x:f>
        <x:v>4</x:v>
      </x:c>
    </x:row>
    <x:row r="97" ht="15" hidden="0" customHeight="1">
      <x:c r="A97" s="65" t="str">
        <x:v>Conscience</x:v>
      </x:c>
      <x:c r="B97" s="65" t="str">
        <x:v>Internal authority (advisor / opponent)</x:v>
      </x:c>
      <x:c r="C97" s="65" t="str">
        <x:v>ŪİAT</x:v>
      </x:c>
      <x:c r="D97" s="56" t="n">
        <x:f>COUNTIFS('Data (parsed)'!$B$2:$B$235,A97,'Data (parsed)'!$C$2:$C$235,B97,'Data (parsed)'!$H$2:$H$235,C97,'Data (parsed)'!$I$2:$I$235,1)</x:f>
        <x:v>3</x:v>
      </x:c>
    </x:row>
    <x:row r="98" ht="15" hidden="0" customHeight="1">
      <x:c r="A98" s="65" t="str">
        <x:v>Conscience</x:v>
      </x:c>
      <x:c r="B98" s="65" t="str">
        <x:v>Internal authority (advisor / opponent)</x:v>
      </x:c>
      <x:c r="C98" s="65" t="str">
        <x:v>AR-OJDAN</x:v>
      </x:c>
      <x:c r="D98" s="56" t="n">
        <x:f>COUNTIFS('Data (parsed)'!$B$2:$B$235,A98,'Data (parsed)'!$C$2:$C$235,B98,'Data (parsed)'!$H$2:$H$235,C98,'Data (parsed)'!$I$2:$I$235,1)</x:f>
        <x:v>1</x:v>
      </x:c>
    </x:row>
    <x:row r="99" ht="15" hidden="0" customHeight="1">
      <x:c r="A99" s="65" t="str">
        <x:v>Conscience</x:v>
      </x:c>
      <x:c r="B99" s="65" t="str">
        <x:v>Internal authority (advisor / opponent)</x:v>
      </x:c>
      <x:c r="C99" s="65" t="str">
        <x:v>KÜMÄN</x:v>
      </x:c>
      <x:c r="D99" s="56" t="n">
        <x:f>COUNTIFS('Data (parsed)'!$B$2:$B$235,A99,'Data (parsed)'!$C$2:$C$235,B99,'Data (parsed)'!$H$2:$H$235,C99,'Data (parsed)'!$I$2:$I$235,1)</x:f>
        <x:v>1</x:v>
      </x:c>
    </x:row>
    <x:row r="100" ht="15" hidden="0" customHeight="1">
      <x:c r="A100" s="65" t="str">
        <x:v>Conscience</x:v>
      </x:c>
      <x:c r="B100" s="65" t="str">
        <x:v>Internal authority (judge)</x:v>
      </x:c>
      <x:c r="C100" s="65" t="str">
        <x:v>[paraphrase / no single-word equivalent]</x:v>
      </x:c>
      <x:c r="D100" s="56" t="n">
        <x:f>COUNTIFS('Data (parsed)'!$B$2:$B$235,A100,'Data (parsed)'!$C$2:$C$235,B100,'Data (parsed)'!$H$2:$H$235,C100,'Data (parsed)'!$I$2:$I$235,1)</x:f>
        <x:v>1</x:v>
      </x:c>
    </x:row>
    <x:row r="101" ht="15" hidden="0" customHeight="1">
      <x:c r="A101" s="65" t="str">
        <x:v>Conscience</x:v>
      </x:c>
      <x:c r="B101" s="65" t="str">
        <x:v>Object (clean / unclean)</x:v>
      </x:c>
      <x:c r="C101" s="65" t="str">
        <x:v>AR-OJDAN</x:v>
      </x:c>
      <x:c r="D101" s="56" t="n">
        <x:f>COUNTIFS('Data (parsed)'!$B$2:$B$235,A101,'Data (parsed)'!$C$2:$C$235,B101,'Data (parsed)'!$H$2:$H$235,C101,'Data (parsed)'!$I$2:$I$235,1)</x:f>
        <x:v>1</x:v>
      </x:c>
    </x:row>
    <x:row r="102" ht="15" hidden="0" customHeight="1">
      <x:c r="A102" s="65" t="str">
        <x:v>Conscience</x:v>
      </x:c>
      <x:c r="B102" s="65" t="str">
        <x:v>Object (stretchable)</x:v>
      </x:c>
      <x:c r="C102" s="65" t="str">
        <x:v>AR-ŪİAT</x:v>
      </x:c>
      <x:c r="D102" s="56" t="n">
        <x:f>COUNTIFS('Data (parsed)'!$B$2:$B$235,A102,'Data (parsed)'!$C$2:$C$235,B102,'Data (parsed)'!$H$2:$H$235,C102,'Data (parsed)'!$I$2:$I$235,1)</x:f>
        <x:v>1</x:v>
      </x:c>
    </x:row>
    <x:row r="103" ht="15" hidden="0" customHeight="1">
      <x:c r="A103" s="65" t="str">
        <x:v>Conscience</x:v>
      </x:c>
      <x:c r="B103" s="65" t="str">
        <x:v>Pained body part</x:v>
      </x:c>
      <x:c r="C103" s="65" t="str">
        <x:v>AR</x:v>
      </x:c>
      <x:c r="D103" s="56" t="n">
        <x:f>COUNTIFS('Data (parsed)'!$B$2:$B$235,A103,'Data (parsed)'!$C$2:$C$235,B103,'Data (parsed)'!$H$2:$H$235,C103,'Data (parsed)'!$I$2:$I$235,1)</x:f>
        <x:v>1</x:v>
      </x:c>
    </x:row>
    <x:row r="104" ht="15" hidden="0" customHeight="1">
      <x:c r="A104" s="65" t="str">
        <x:v>Conscience</x:v>
      </x:c>
      <x:c r="B104" s="65" t="str">
        <x:v>Pained body part</x:v>
      </x:c>
      <x:c r="C104" s="65" t="str">
        <x:v>AR-OJDAN</x:v>
      </x:c>
      <x:c r="D104" s="56" t="n">
        <x:f>COUNTIFS('Data (parsed)'!$B$2:$B$235,A104,'Data (parsed)'!$C$2:$C$235,B104,'Data (parsed)'!$H$2:$H$235,C104,'Data (parsed)'!$I$2:$I$235,1)</x:f>
        <x:v>1</x:v>
      </x:c>
    </x:row>
    <x:row r="105" ht="15" hidden="0" customHeight="1">
      <x:c r="A105" s="65" t="str">
        <x:v>Conscience</x:v>
      </x:c>
      <x:c r="B105" s="65" t="str">
        <x:v>Resource</x:v>
      </x:c>
      <x:c r="C105" s="65" t="str">
        <x:v>ŪİAT</x:v>
      </x:c>
      <x:c r="D105" s="56" t="n">
        <x:f>COUNTIFS('Data (parsed)'!$B$2:$B$235,A105,'Data (parsed)'!$C$2:$C$235,B105,'Data (parsed)'!$H$2:$H$235,C105,'Data (parsed)'!$I$2:$I$235,1)</x:f>
        <x:v>1</x:v>
      </x:c>
    </x:row>
    <x:row r="106" ht="15" hidden="0" customHeight="1">
      <x:c r="A106" s="65" t="str">
        <x:v>Conscience</x:v>
      </x:c>
      <x:c r="B106" s="65" t="str">
        <x:v>Tormentor / punisher</x:v>
      </x:c>
      <x:c r="C106" s="65" t="str">
        <x:v>AR-OJDAN</x:v>
      </x:c>
      <x:c r="D106" s="56" t="n">
        <x:f>COUNTIFS('Data (parsed)'!$B$2:$B$235,A106,'Data (parsed)'!$C$2:$C$235,B106,'Data (parsed)'!$H$2:$H$235,C106,'Data (parsed)'!$I$2:$I$235,1)</x:f>
        <x:v>3</x:v>
      </x:c>
    </x:row>
    <x:row r="107" ht="15" hidden="0" customHeight="1">
      <x:c r="A107" s="65" t="str">
        <x:v>Conscience</x:v>
      </x:c>
      <x:c r="B107" s="65" t="str">
        <x:v>Tormentor / punisher</x:v>
      </x:c>
      <x:c r="C107" s="65" t="str">
        <x:v>[paraphrase / no single-word equivalent]</x:v>
      </x:c>
      <x:c r="D107" s="56" t="n">
        <x:f>COUNTIFS('Data (parsed)'!$B$2:$B$235,A107,'Data (parsed)'!$C$2:$C$235,B107,'Data (parsed)'!$H$2:$H$235,C107,'Data (parsed)'!$I$2:$I$235,1)</x:f>
        <x:v>1</x:v>
      </x:c>
    </x:row>
    <x:row r="108" ht="15" hidden="0" customHeight="1">
      <x:c r="A108" s="65" t="str">
        <x:v>Conscience</x:v>
      </x:c>
      <x:c r="B108" s="65" t="str">
        <x:v>Tormentor / punisher</x:v>
      </x:c>
      <x:c r="C108" s="65" t="str">
        <x:v>AR-ŪİAT</x:v>
      </x:c>
      <x:c r="D108" s="56" t="n">
        <x:f>COUNTIFS('Data (parsed)'!$B$2:$B$235,A108,'Data (parsed)'!$C$2:$C$235,B108,'Data (parsed)'!$H$2:$H$235,C108,'Data (parsed)'!$I$2:$I$235,1)</x:f>
        <x:v>1</x:v>
      </x:c>
    </x:row>
    <x:row r="109" ht="15" hidden="0" customHeight="1">
      <x:c r="A109" s="65" t="str">
        <x:v>Conscience</x:v>
      </x:c>
      <x:c r="B109" s="65" t="str">
        <x:v>Tormentor / punisher</x:v>
      </x:c>
      <x:c r="C109" s="65" t="str">
        <x:v>ŪİALU</x:v>
      </x:c>
      <x:c r="D109" s="56" t="n">
        <x:f>COUNTIFS('Data (parsed)'!$B$2:$B$235,A109,'Data (parsed)'!$C$2:$C$235,B109,'Data (parsed)'!$H$2:$H$235,C109,'Data (parsed)'!$I$2:$I$235,1)</x:f>
        <x:v>1</x:v>
      </x:c>
    </x:row>
    <x:row r="110" ht="15" hidden="0" customHeight="1">
      <x:c r="A110" s="65" t="str">
        <x:v>Conscience</x:v>
      </x:c>
      <x:c r="B110" s="65" t="str">
        <x:v>Tormentor / punisher</x:v>
      </x:c>
      <x:c r="C110" s="65" t="str">
        <x:v>ŪİAT</x:v>
      </x:c>
      <x:c r="D110" s="56" t="n">
        <x:f>COUNTIFS('Data (parsed)'!$B$2:$B$235,A110,'Data (parsed)'!$C$2:$C$235,B110,'Data (parsed)'!$H$2:$H$235,C110,'Data (parsed)'!$I$2:$I$235,1)</x:f>
        <x:v>1</x:v>
      </x:c>
    </x:row>
    <x:row r="111" ht="15" hidden="0" customHeight="1">
      <x:c r="A111" s="65" t="str">
        <x:v>Conscience</x:v>
      </x:c>
      <x:c r="B111" s="65" t="str">
        <x:v>Weight</x:v>
      </x:c>
      <x:c r="C111" s="65" t="str">
        <x:v>ŪİAT</x:v>
      </x:c>
      <x:c r="D111" s="56" t="n">
        <x:f>COUNTIFS('Data (parsed)'!$B$2:$B$235,A111,'Data (parsed)'!$C$2:$C$235,B111,'Data (parsed)'!$H$2:$H$235,C111,'Data (parsed)'!$I$2:$I$235,1)</x:f>
        <x:v>2</x:v>
      </x:c>
    </x:row>
    <x:row r="112" ht="15" hidden="0" customHeight="1">
      <x:c r="A112" s="65" t="str">
        <x:v>Conscience</x:v>
      </x:c>
      <x:c r="B112" s="65" t="str">
        <x:v>Weight</x:v>
      </x:c>
      <x:c r="C112" s="65" t="str">
        <x:v>AR</x:v>
      </x:c>
      <x:c r="D112" s="56" t="n">
        <x:f>COUNTIFS('Data (parsed)'!$B$2:$B$235,A112,'Data (parsed)'!$C$2:$C$235,B112,'Data (parsed)'!$H$2:$H$235,C112,'Data (parsed)'!$I$2:$I$235,1)</x:f>
        <x:v>1</x:v>
      </x:c>
    </x:row>
    <x:row r="113" ht="15" hidden="0" customHeight="1">
      <x:c r="A113" s="65" t="str">
        <x:v>Conscience</x:v>
      </x:c>
      <x:c r="B113" s="65" t="str">
        <x:v>Weight</x:v>
      </x:c>
      <x:c r="C113" s="65" t="str">
        <x:v>KINÄLI</x:v>
      </x:c>
      <x:c r="D113" s="56" t="n">
        <x:f>COUNTIFS('Data (parsed)'!$B$2:$B$235,A113,'Data (parsed)'!$C$2:$C$235,B113,'Data (parsed)'!$H$2:$H$235,C113,'Data (parsed)'!$I$2:$I$235,1)</x:f>
        <x:v>1</x:v>
      </x:c>
    </x:row>
    <x:row r="114" ht="15" hidden="0" customHeight="1">
      <x:c r="A114" s="65" t="str">
        <x:v>Honor</x:v>
      </x:c>
      <x:c r="B114" s="65" t="str">
        <x:v>Absent / dishonor</x:v>
      </x:c>
      <x:c r="C114" s="65" t="str">
        <x:v>ADAL</x:v>
      </x:c>
      <x:c r="D114" s="56" t="n">
        <x:f>COUNTIFS('Data (parsed)'!$B$2:$B$235,A114,'Data (parsed)'!$C$2:$C$235,B114,'Data (parsed)'!$H$2:$H$235,C114,'Data (parsed)'!$I$2:$I$235,1)</x:f>
        <x:v>1</x:v>
      </x:c>
    </x:row>
    <x:row r="115" ht="15" hidden="0" customHeight="1">
      <x:c r="A115" s="65" t="str">
        <x:v>Honor</x:v>
      </x:c>
      <x:c r="B115" s="65" t="str">
        <x:v>Absent / dishonor</x:v>
      </x:c>
      <x:c r="C115" s="65" t="str">
        <x:v>ÄDILETSIZDIK</x:v>
      </x:c>
      <x:c r="D115" s="56" t="n">
        <x:f>COUNTIFS('Data (parsed)'!$B$2:$B$235,A115,'Data (parsed)'!$C$2:$C$235,B115,'Data (parsed)'!$H$2:$H$235,C115,'Data (parsed)'!$I$2:$I$235,1)</x:f>
        <x:v>1</x:v>
      </x:c>
    </x:row>
    <x:row r="116" ht="15" hidden="0" customHeight="1">
      <x:c r="A116" s="65" t="str">
        <x:v>Honor</x:v>
      </x:c>
      <x:c r="B116" s="65" t="str">
        <x:v>Absent / dishonor</x:v>
      </x:c>
      <x:c r="C116" s="65" t="str">
        <x:v>AR</x:v>
      </x:c>
      <x:c r="D116" s="56" t="n">
        <x:f>COUNTIFS('Data (parsed)'!$B$2:$B$235,A116,'Data (parsed)'!$C$2:$C$235,B116,'Data (parsed)'!$H$2:$H$235,C116,'Data (parsed)'!$I$2:$I$235,1)</x:f>
        <x:v>1</x:v>
      </x:c>
    </x:row>
    <x:row r="117" ht="15" hidden="0" customHeight="1">
      <x:c r="A117" s="65" t="str">
        <x:v>Honor</x:v>
      </x:c>
      <x:c r="B117" s="65" t="str">
        <x:v>Absent / dishonor</x:v>
      </x:c>
      <x:c r="C117" s="65" t="str">
        <x:v>QORLYQ</x:v>
      </x:c>
      <x:c r="D117" s="56" t="n">
        <x:f>COUNTIFS('Data (parsed)'!$B$2:$B$235,A117,'Data (parsed)'!$C$2:$C$235,B117,'Data (parsed)'!$H$2:$H$235,C117,'Data (parsed)'!$I$2:$I$235,1)</x:f>
        <x:v>1</x:v>
      </x:c>
    </x:row>
    <x:row r="118" ht="15" hidden="0" customHeight="1">
      <x:c r="A118" s="65" t="str">
        <x:v>Honor</x:v>
      </x:c>
      <x:c r="B118" s="65" t="str">
        <x:v>Absent / dishonor</x:v>
      </x:c>
      <x:c r="C118" s="65" t="str">
        <x:v>ŪİATSYZ</x:v>
      </x:c>
      <x:c r="D118" s="56" t="n">
        <x:f>COUNTIFS('Data (parsed)'!$B$2:$B$235,A118,'Data (parsed)'!$C$2:$C$235,B118,'Data (parsed)'!$H$2:$H$235,C118,'Data (parsed)'!$I$2:$I$235,1)</x:f>
        <x:v>1</x:v>
      </x:c>
    </x:row>
    <x:row r="119" ht="15" hidden="0" customHeight="1">
      <x:c r="A119" s="65" t="str">
        <x:v>Honor</x:v>
      </x:c>
      <x:c r="B119" s="65" t="str">
        <x:v>Ironic / mocked</x:v>
      </x:c>
      <x:c r="C119" s="65" t="str">
        <x:v>ABYROİ</x:v>
      </x:c>
      <x:c r="D119" s="56" t="n">
        <x:f>COUNTIFS('Data (parsed)'!$B$2:$B$235,A119,'Data (parsed)'!$C$2:$C$235,B119,'Data (parsed)'!$H$2:$H$235,C119,'Data (parsed)'!$I$2:$I$235,1)</x:f>
        <x:v>1</x:v>
      </x:c>
    </x:row>
    <x:row r="120" ht="15" hidden="0" customHeight="1">
      <x:c r="A120" s="65" t="str">
        <x:v>Honor</x:v>
      </x:c>
      <x:c r="B120" s="65" t="str">
        <x:v>Ironic / mocked</x:v>
      </x:c>
      <x:c r="C120" s="65" t="str">
        <x:v>ADAMGERŞILIK</x:v>
      </x:c>
      <x:c r="D120" s="56" t="n">
        <x:f>COUNTIFS('Data (parsed)'!$B$2:$B$235,A120,'Data (parsed)'!$C$2:$C$235,B120,'Data (parsed)'!$H$2:$H$235,C120,'Data (parsed)'!$I$2:$I$235,1)</x:f>
        <x:v>1</x:v>
      </x:c>
    </x:row>
    <x:row r="121" ht="15" hidden="0" customHeight="1">
      <x:c r="A121" s="65" t="str">
        <x:v>Honor</x:v>
      </x:c>
      <x:c r="B121" s="65" t="str">
        <x:v>Ironic / mocked</x:v>
      </x:c>
      <x:c r="C121" s="65" t="str">
        <x:v>ARDAQTAU</x:v>
      </x:c>
      <x:c r="D121" s="56" t="n">
        <x:f>COUNTIFS('Data (parsed)'!$B$2:$B$235,A121,'Data (parsed)'!$C$2:$C$235,B121,'Data (parsed)'!$H$2:$H$235,C121,'Data (parsed)'!$I$2:$I$235,1)</x:f>
        <x:v>1</x:v>
      </x:c>
    </x:row>
    <x:row r="122" ht="15" hidden="0" customHeight="1">
      <x:c r="A122" s="65" t="str">
        <x:v>Honor</x:v>
      </x:c>
      <x:c r="B122" s="65" t="str">
        <x:v>Ironic / mocked</x:v>
      </x:c>
      <x:c r="C122" s="65" t="str">
        <x:v>QŪRMETTI</x:v>
      </x:c>
      <x:c r="D122" s="56" t="n">
        <x:f>COUNTIFS('Data (parsed)'!$B$2:$B$235,A122,'Data (parsed)'!$C$2:$C$235,B122,'Data (parsed)'!$H$2:$H$235,C122,'Data (parsed)'!$I$2:$I$235,1)</x:f>
        <x:v>1</x:v>
      </x:c>
    </x:row>
    <x:row r="123" ht="15" hidden="0" customHeight="1">
      <x:c r="A123" s="65" t="str">
        <x:v>Honor</x:v>
      </x:c>
      <x:c r="B123" s="65" t="str">
        <x:v>Ironic / mocked</x:v>
      </x:c>
      <x:c r="C123" s="65" t="str">
        <x:v>SALAUATTY DA TÄRBIELI</x:v>
      </x:c>
      <x:c r="D123" s="56" t="n">
        <x:f>COUNTIFS('Data (parsed)'!$B$2:$B$235,A123,'Data (parsed)'!$C$2:$C$235,B123,'Data (parsed)'!$H$2:$H$235,C123,'Data (parsed)'!$I$2:$I$235,1)</x:f>
        <x:v>1</x:v>
      </x:c>
    </x:row>
    <x:row r="124" ht="15" hidden="0" customHeight="1">
      <x:c r="A124" s="65" t="str">
        <x:v>Honor</x:v>
      </x:c>
      <x:c r="B124" s="65" t="str">
        <x:v>Moral code</x:v>
      </x:c>
      <x:c r="C124" s="65" t="str">
        <x:v>AR-ŪİAT</x:v>
      </x:c>
      <x:c r="D124" s="56" t="n">
        <x:f>COUNTIFS('Data (parsed)'!$B$2:$B$235,A124,'Data (parsed)'!$C$2:$C$235,B124,'Data (parsed)'!$H$2:$H$235,C124,'Data (parsed)'!$I$2:$I$235,1)</x:f>
        <x:v>7</x:v>
      </x:c>
    </x:row>
    <x:row r="125" ht="15" hidden="0" customHeight="1">
      <x:c r="A125" s="65" t="str">
        <x:v>Honor</x:v>
      </x:c>
      <x:c r="B125" s="65" t="str">
        <x:v>Moral code</x:v>
      </x:c>
      <x:c r="C125" s="65" t="str">
        <x:v>AR-OJDAN</x:v>
      </x:c>
      <x:c r="D125" s="56" t="n">
        <x:f>COUNTIFS('Data (parsed)'!$B$2:$B$235,A125,'Data (parsed)'!$C$2:$C$235,B125,'Data (parsed)'!$H$2:$H$235,C125,'Data (parsed)'!$I$2:$I$235,1)</x:f>
        <x:v>3</x:v>
      </x:c>
    </x:row>
    <x:row r="126" ht="15" hidden="0" customHeight="1">
      <x:c r="A126" s="65" t="str">
        <x:v>Honor</x:v>
      </x:c>
      <x:c r="B126" s="65" t="str">
        <x:v>Moral code</x:v>
      </x:c>
      <x:c r="C126" s="65" t="str">
        <x:v>[paraphrase / no single-word equivalent]</x:v>
      </x:c>
      <x:c r="D126" s="56" t="n">
        <x:f>COUNTIFS('Data (parsed)'!$B$2:$B$235,A126,'Data (parsed)'!$C$2:$C$235,B126,'Data (parsed)'!$H$2:$H$235,C126,'Data (parsed)'!$I$2:$I$235,1)</x:f>
        <x:v>2</x:v>
      </x:c>
    </x:row>
    <x:row r="127" ht="15" hidden="0" customHeight="1">
      <x:c r="A127" s="65" t="str">
        <x:v>Honor</x:v>
      </x:c>
      <x:c r="B127" s="65" t="str">
        <x:v>Moral code</x:v>
      </x:c>
      <x:c r="C127" s="65" t="str">
        <x:v>AR-NAMYS</x:v>
      </x:c>
      <x:c r="D127" s="56" t="n">
        <x:f>COUNTIFS('Data (parsed)'!$B$2:$B$235,A127,'Data (parsed)'!$C$2:$C$235,B127,'Data (parsed)'!$H$2:$H$235,C127,'Data (parsed)'!$I$2:$I$235,1)</x:f>
        <x:v>2</x:v>
      </x:c>
    </x:row>
    <x:row r="128" ht="15" hidden="0" customHeight="1">
      <x:c r="A128" s="65" t="str">
        <x:v>Honor</x:v>
      </x:c>
      <x:c r="B128" s="65" t="str">
        <x:v>Moral code</x:v>
      </x:c>
      <x:c r="C128" s="65" t="str">
        <x:v>QŪRMETTI</x:v>
      </x:c>
      <x:c r="D128" s="56" t="n">
        <x:f>COUNTIFS('Data (parsed)'!$B$2:$B$235,A128,'Data (parsed)'!$C$2:$C$235,B128,'Data (parsed)'!$H$2:$H$235,C128,'Data (parsed)'!$I$2:$I$235,1)</x:f>
        <x:v>2</x:v>
      </x:c>
    </x:row>
    <x:row r="129" ht="15" hidden="0" customHeight="1">
      <x:c r="A129" s="65" t="str">
        <x:v>Honor</x:v>
      </x:c>
      <x:c r="B129" s="65" t="str">
        <x:v>Moral code</x:v>
      </x:c>
      <x:c r="C129" s="65" t="str">
        <x:v>ABYROİ</x:v>
      </x:c>
      <x:c r="D129" s="56" t="n">
        <x:f>COUNTIFS('Data (parsed)'!$B$2:$B$235,A129,'Data (parsed)'!$C$2:$C$235,B129,'Data (parsed)'!$H$2:$H$235,C129,'Data (parsed)'!$I$2:$I$235,1)</x:f>
        <x:v>1</x:v>
      </x:c>
    </x:row>
    <x:row r="130" ht="15" hidden="0" customHeight="1">
      <x:c r="A130" s="65" t="str">
        <x:v>Honor</x:v>
      </x:c>
      <x:c r="B130" s="65" t="str">
        <x:v>Moral code</x:v>
      </x:c>
      <x:c r="C130" s="65" t="str">
        <x:v>ADAL</x:v>
      </x:c>
      <x:c r="D130" s="56" t="n">
        <x:f>COUNTIFS('Data (parsed)'!$B$2:$B$235,A130,'Data (parsed)'!$C$2:$C$235,B130,'Data (parsed)'!$H$2:$H$235,C130,'Data (parsed)'!$I$2:$I$235,1)</x:f>
        <x:v>1</x:v>
      </x:c>
    </x:row>
    <x:row r="131" ht="15" hidden="0" customHeight="1">
      <x:c r="A131" s="65" t="str">
        <x:v>Honor</x:v>
      </x:c>
      <x:c r="B131" s="65" t="str">
        <x:v>Moral code</x:v>
      </x:c>
      <x:c r="C131" s="65" t="str">
        <x:v>ÄDEPTILIK</x:v>
      </x:c>
      <x:c r="D131" s="56" t="n">
        <x:f>COUNTIFS('Data (parsed)'!$B$2:$B$235,A131,'Data (parsed)'!$C$2:$C$235,B131,'Data (parsed)'!$H$2:$H$235,C131,'Data (parsed)'!$I$2:$I$235,1)</x:f>
        <x:v>1</x:v>
      </x:c>
    </x:row>
    <x:row r="132" ht="15" hidden="0" customHeight="1">
      <x:c r="A132" s="65" t="str">
        <x:v>Honor</x:v>
      </x:c>
      <x:c r="B132" s="65" t="str">
        <x:v>Moral code</x:v>
      </x:c>
      <x:c r="C132" s="65" t="str">
        <x:v>ÄDILETSIZ</x:v>
      </x:c>
      <x:c r="D132" s="56" t="n">
        <x:f>COUNTIFS('Data (parsed)'!$B$2:$B$235,A132,'Data (parsed)'!$C$2:$C$235,B132,'Data (parsed)'!$H$2:$H$235,C132,'Data (parsed)'!$I$2:$I$235,1)</x:f>
        <x:v>1</x:v>
      </x:c>
    </x:row>
    <x:row r="133" ht="15" hidden="0" customHeight="1">
      <x:c r="A133" s="65" t="str">
        <x:v>Honor</x:v>
      </x:c>
      <x:c r="B133" s="65" t="str">
        <x:v>Moral code</x:v>
      </x:c>
      <x:c r="C133" s="65" t="str">
        <x:v>AR</x:v>
      </x:c>
      <x:c r="D133" s="56" t="n">
        <x:f>COUNTIFS('Data (parsed)'!$B$2:$B$235,A133,'Data (parsed)'!$C$2:$C$235,B133,'Data (parsed)'!$H$2:$H$235,C133,'Data (parsed)'!$I$2:$I$235,1)</x:f>
        <x:v>1</x:v>
      </x:c>
    </x:row>
    <x:row r="134" ht="15" hidden="0" customHeight="1">
      <x:c r="A134" s="65" t="str">
        <x:v>Honor</x:v>
      </x:c>
      <x:c r="B134" s="65" t="str">
        <x:v>Moral code</x:v>
      </x:c>
      <x:c r="C134" s="65" t="str">
        <x:v>ASYL</x:v>
      </x:c>
      <x:c r="D134" s="56" t="n">
        <x:f>COUNTIFS('Data (parsed)'!$B$2:$B$235,A134,'Data (parsed)'!$C$2:$C$235,B134,'Data (parsed)'!$H$2:$H$235,C134,'Data (parsed)'!$I$2:$I$235,1)</x:f>
        <x:v>1</x:v>
      </x:c>
    </x:row>
    <x:row r="135" ht="15" hidden="0" customHeight="1">
      <x:c r="A135" s="65" t="str">
        <x:v>Honor</x:v>
      </x:c>
      <x:c r="B135" s="65" t="str">
        <x:v>Moral code</x:v>
      </x:c>
      <x:c r="C135" s="65" t="str">
        <x:v>BAĞA JETPES BAILYQ</x:v>
      </x:c>
      <x:c r="D135" s="56" t="n">
        <x:f>COUNTIFS('Data (parsed)'!$B$2:$B$235,A135,'Data (parsed)'!$C$2:$C$235,B135,'Data (parsed)'!$H$2:$H$235,C135,'Data (parsed)'!$I$2:$I$235,1)</x:f>
        <x:v>1</x:v>
      </x:c>
    </x:row>
    <x:row r="136" ht="15" hidden="0" customHeight="1">
      <x:c r="A136" s="65" t="str">
        <x:v>Honor</x:v>
      </x:c>
      <x:c r="B136" s="65" t="str">
        <x:v>Moral code</x:v>
      </x:c>
      <x:c r="C136" s="65" t="str">
        <x:v>BEKZAT ADAM</x:v>
      </x:c>
      <x:c r="D136" s="56" t="n">
        <x:f>COUNTIFS('Data (parsed)'!$B$2:$B$235,A136,'Data (parsed)'!$C$2:$C$235,B136,'Data (parsed)'!$H$2:$H$235,C136,'Data (parsed)'!$I$2:$I$235,1)</x:f>
        <x:v>1</x:v>
      </x:c>
    </x:row>
    <x:row r="137" ht="15" hidden="0" customHeight="1">
      <x:c r="A137" s="65" t="str">
        <x:v>Honor</x:v>
      </x:c>
      <x:c r="B137" s="65" t="str">
        <x:v>Moral code</x:v>
      </x:c>
      <x:c r="C137" s="65" t="str">
        <x:v>BEKZAT BOLMYSTYÑ ASQAQ TABİĞATY</x:v>
      </x:c>
      <x:c r="D137" s="56" t="n">
        <x:f>COUNTIFS('Data (parsed)'!$B$2:$B$235,A137,'Data (parsed)'!$C$2:$C$235,B137,'Data (parsed)'!$H$2:$H$235,C137,'Data (parsed)'!$I$2:$I$235,1)</x:f>
        <x:v>1</x:v>
      </x:c>
    </x:row>
    <x:row r="138" ht="15" hidden="0" customHeight="1">
      <x:c r="A138" s="65" t="str">
        <x:v>Honor</x:v>
      </x:c>
      <x:c r="B138" s="65" t="str">
        <x:v>Moral code</x:v>
      </x:c>
      <x:c r="C138" s="65" t="str">
        <x:v>ŞYNŞYL, ADAL</x:v>
      </x:c>
      <x:c r="D138" s="56" t="n">
        <x:f>COUNTIFS('Data (parsed)'!$B$2:$B$235,A138,'Data (parsed)'!$C$2:$C$235,B138,'Data (parsed)'!$H$2:$H$235,C138,'Data (parsed)'!$I$2:$I$235,1)</x:f>
        <x:v>1</x:v>
      </x:c>
    </x:row>
    <x:row r="139" ht="15" hidden="0" customHeight="1">
      <x:c r="A139" s="65" t="str">
        <x:v>Honor</x:v>
      </x:c>
      <x:c r="B139" s="65" t="str">
        <x:v>Moral code</x:v>
      </x:c>
      <x:c r="C139" s="65" t="str">
        <x:v>TŪMANDY SEZIM</x:v>
      </x:c>
      <x:c r="D139" s="56" t="n">
        <x:f>COUNTIFS('Data (parsed)'!$B$2:$B$235,A139,'Data (parsed)'!$C$2:$C$235,B139,'Data (parsed)'!$H$2:$H$235,C139,'Data (parsed)'!$I$2:$I$235,1)</x:f>
        <x:v>1</x:v>
      </x:c>
    </x:row>
    <x:row r="140" ht="15" hidden="0" customHeight="1">
      <x:c r="A140" s="65" t="str">
        <x:v>Honor</x:v>
      </x:c>
      <x:c r="B140" s="65" t="str">
        <x:v>Nobility of character</x:v>
      </x:c>
      <x:c r="C140" s="65" t="str">
        <x:v>JANYNYÑ ASYLDYĞY, PÄKTIGI</x:v>
      </x:c>
      <x:c r="D140" s="56" t="n">
        <x:f>COUNTIFS('Data (parsed)'!$B$2:$B$235,A140,'Data (parsed)'!$C$2:$C$235,B140,'Data (parsed)'!$H$2:$H$235,C140,'Data (parsed)'!$I$2:$I$235,1)</x:f>
        <x:v>1</x:v>
      </x:c>
    </x:row>
    <x:row r="141" ht="15" hidden="0" customHeight="1">
      <x:c r="A141" s="65" t="str">
        <x:v>Honor</x:v>
      </x:c>
      <x:c r="B141" s="65" t="str">
        <x:v>Reputation / standing</x:v>
      </x:c>
      <x:c r="C141" s="65" t="str">
        <x:v>AR</x:v>
      </x:c>
      <x:c r="D141" s="56" t="n">
        <x:f>COUNTIFS('Data (parsed)'!$B$2:$B$235,A141,'Data (parsed)'!$C$2:$C$235,B141,'Data (parsed)'!$H$2:$H$235,C141,'Data (parsed)'!$I$2:$I$235,1)</x:f>
        <x:v>2</x:v>
      </x:c>
    </x:row>
    <x:row r="142" ht="15" hidden="0" customHeight="1">
      <x:c r="A142" s="65" t="str">
        <x:v>Honor</x:v>
      </x:c>
      <x:c r="B142" s="65" t="str">
        <x:v>Reputation / standing</x:v>
      </x:c>
      <x:c r="C142" s="65" t="str">
        <x:v>ABYROİ</x:v>
      </x:c>
      <x:c r="D142" s="56" t="n">
        <x:f>COUNTIFS('Data (parsed)'!$B$2:$B$235,A142,'Data (parsed)'!$C$2:$C$235,B142,'Data (parsed)'!$H$2:$H$235,C142,'Data (parsed)'!$I$2:$I$235,1)</x:f>
        <x:v>1</x:v>
      </x:c>
    </x:row>
    <x:row r="143" ht="15" hidden="0" customHeight="1">
      <x:c r="A143" s="65" t="str">
        <x:v>Honor</x:v>
      </x:c>
      <x:c r="B143" s="65" t="str">
        <x:v>Reputation / standing</x:v>
      </x:c>
      <x:c r="C143" s="65" t="str">
        <x:v>ADAL AR</x:v>
      </x:c>
      <x:c r="D143" s="56" t="n">
        <x:f>COUNTIFS('Data (parsed)'!$B$2:$B$235,A143,'Data (parsed)'!$C$2:$C$235,B143,'Data (parsed)'!$H$2:$H$235,C143,'Data (parsed)'!$I$2:$I$235,1)</x:f>
        <x:v>1</x:v>
      </x:c>
    </x:row>
    <x:row r="144" ht="15" hidden="0" customHeight="1">
      <x:c r="A144" s="65" t="str">
        <x:v>Honor</x:v>
      </x:c>
      <x:c r="B144" s="65" t="str">
        <x:v>Reputation / standing</x:v>
      </x:c>
      <x:c r="C144" s="65" t="str">
        <x:v>ADAMGERŞILIK</x:v>
      </x:c>
      <x:c r="D144" s="56" t="n">
        <x:f>COUNTIFS('Data (parsed)'!$B$2:$B$235,A144,'Data (parsed)'!$C$2:$C$235,B144,'Data (parsed)'!$H$2:$H$235,C144,'Data (parsed)'!$I$2:$I$235,1)</x:f>
        <x:v>1</x:v>
      </x:c>
    </x:row>
    <x:row r="145" ht="15" hidden="0" customHeight="1">
      <x:c r="A145" s="65" t="str">
        <x:v>Honor</x:v>
      </x:c>
      <x:c r="B145" s="65" t="str">
        <x:v>Reputation / standing</x:v>
      </x:c>
      <x:c r="C145" s="65" t="str">
        <x:v>ASYL</x:v>
      </x:c>
      <x:c r="D145" s="56" t="n">
        <x:f>COUNTIFS('Data (parsed)'!$B$2:$B$235,A145,'Data (parsed)'!$C$2:$C$235,B145,'Data (parsed)'!$H$2:$H$235,C145,'Data (parsed)'!$I$2:$I$235,1)</x:f>
        <x:v>1</x:v>
      </x:c>
    </x:row>
    <x:row r="146" ht="15" hidden="0" customHeight="1">
      <x:c r="A146" s="65" t="str">
        <x:v>Honor</x:v>
      </x:c>
      <x:c r="B146" s="65" t="str">
        <x:v>Reputation / standing</x:v>
      </x:c>
      <x:c r="C146" s="65" t="str">
        <x:v>KEMSITUŞILIK PEN QYSYM</x:v>
      </x:c>
      <x:c r="D146" s="56" t="n">
        <x:f>COUNTIFS('Data (parsed)'!$B$2:$B$235,A146,'Data (parsed)'!$C$2:$C$235,B146,'Data (parsed)'!$H$2:$H$235,C146,'Data (parsed)'!$I$2:$I$235,1)</x:f>
        <x:v>1</x:v>
      </x:c>
    </x:row>
    <x:row r="147" ht="15" hidden="0" customHeight="1">
      <x:c r="A147" s="65" t="str">
        <x:v>Honor</x:v>
      </x:c>
      <x:c r="B147" s="65" t="str">
        <x:v>Reputation / standing</x:v>
      </x:c>
      <x:c r="C147" s="65" t="str">
        <x:v>KÜİE</x:v>
      </x:c>
      <x:c r="D147" s="56" t="n">
        <x:f>COUNTIFS('Data (parsed)'!$B$2:$B$235,A147,'Data (parsed)'!$C$2:$C$235,B147,'Data (parsed)'!$H$2:$H$235,C147,'Data (parsed)'!$I$2:$I$235,1)</x:f>
        <x:v>1</x:v>
      </x:c>
    </x:row>
    <x:row r="148" ht="15" hidden="0" customHeight="1">
      <x:c r="A148" s="65" t="str">
        <x:v>Honor</x:v>
      </x:c>
      <x:c r="B148" s="65" t="str">
        <x:v>Reputation / standing</x:v>
      </x:c>
      <x:c r="C148" s="65" t="str">
        <x:v>QADIRLI</x:v>
      </x:c>
      <x:c r="D148" s="56" t="n">
        <x:f>COUNTIFS('Data (parsed)'!$B$2:$B$235,A148,'Data (parsed)'!$C$2:$C$235,B148,'Data (parsed)'!$H$2:$H$235,C148,'Data (parsed)'!$I$2:$I$235,1)</x:f>
        <x:v>1</x:v>
      </x:c>
    </x:row>
    <x:row r="149" ht="15" hidden="0" customHeight="1">
      <x:c r="A149" s="65" t="str">
        <x:v>Honor</x:v>
      </x:c>
      <x:c r="B149" s="65" t="str">
        <x:v>Reputation / standing</x:v>
      </x:c>
      <x:c r="C149" s="65" t="str">
        <x:v>QŪMAR OIYNDAR BOIYNŞA QARYZ</x:v>
      </x:c>
      <x:c r="D149" s="56" t="n">
        <x:f>COUNTIFS('Data (parsed)'!$B$2:$B$235,A149,'Data (parsed)'!$C$2:$C$235,B149,'Data (parsed)'!$H$2:$H$235,C149,'Data (parsed)'!$I$2:$I$235,1)</x:f>
        <x:v>1</x:v>
      </x:c>
    </x:row>
    <x:row r="150" ht="15" hidden="0" customHeight="1">
      <x:c r="A150" s="65" t="str">
        <x:v>Honor</x:v>
      </x:c>
      <x:c r="B150" s="65" t="str">
        <x:v>Reputation / standing</x:v>
      </x:c>
      <x:c r="C150" s="65" t="str">
        <x:v>QŪRMETTI</x:v>
      </x:c>
      <x:c r="D150" s="56" t="n">
        <x:f>COUNTIFS('Data (parsed)'!$B$2:$B$235,A150,'Data (parsed)'!$C$2:$C$235,B150,'Data (parsed)'!$H$2:$H$235,C150,'Data (parsed)'!$I$2:$I$235,1)</x:f>
        <x:v>1</x:v>
      </x:c>
    </x:row>
    <x:row r="151" ht="15" hidden="0" customHeight="1">
      <x:c r="A151" s="65" t="str">
        <x:v>Honor</x:v>
      </x:c>
      <x:c r="B151" s="65" t="str">
        <x:v>Tribute / glory</x:v>
      </x:c>
      <x:c r="C151" s="65" t="str">
        <x:v>QŪRMET</x:v>
      </x:c>
      <x:c r="D151" s="56" t="n">
        <x:f>COUNTIFS('Data (parsed)'!$B$2:$B$235,A151,'Data (parsed)'!$C$2:$C$235,B151,'Data (parsed)'!$H$2:$H$235,C151,'Data (parsed)'!$I$2:$I$235,1)</x:f>
        <x:v>3</x:v>
      </x:c>
    </x:row>
    <x:row r="152" ht="15" hidden="0" customHeight="1">
      <x:c r="A152" s="65" t="str">
        <x:v>Honor</x:v>
      </x:c>
      <x:c r="B152" s="65" t="str">
        <x:v>Tribute / glory</x:v>
      </x:c>
      <x:c r="C152" s="65" t="str">
        <x:v>ABYROİ</x:v>
      </x:c>
      <x:c r="D152" s="56" t="n">
        <x:f>COUNTIFS('Data (parsed)'!$B$2:$B$235,A152,'Data (parsed)'!$C$2:$C$235,B152,'Data (parsed)'!$H$2:$H$235,C152,'Data (parsed)'!$I$2:$I$235,1)</x:f>
        <x:v>1</x:v>
      </x:c>
    </x:row>
    <x:row r="153" ht="15" hidden="0" customHeight="1">
      <x:c r="A153" s="65" t="str">
        <x:v>Honor</x:v>
      </x:c>
      <x:c r="B153" s="65" t="str">
        <x:v>Tribute / glory</x:v>
      </x:c>
      <x:c r="C153" s="65" t="str">
        <x:v>ÄSKERI ERLIKTER</x:v>
      </x:c>
      <x:c r="D153" s="56" t="n">
        <x:f>COUNTIFS('Data (parsed)'!$B$2:$B$235,A153,'Data (parsed)'!$C$2:$C$235,B153,'Data (parsed)'!$H$2:$H$235,C153,'Data (parsed)'!$I$2:$I$235,1)</x:f>
        <x:v>1</x:v>
      </x:c>
    </x:row>
    <x:row r="154" ht="15" hidden="0" customHeight="1">
      <x:c r="A154" s="65" t="str">
        <x:v>Honor</x:v>
      </x:c>
      <x:c r="B154" s="65" t="str">
        <x:v>Tribute / glory</x:v>
      </x:c>
      <x:c r="C154" s="65" t="str">
        <x:v>ÖZDERINIÑ ADAMY</x:v>
      </x:c>
      <x:c r="D154" s="56" t="n">
        <x:f>COUNTIFS('Data (parsed)'!$B$2:$B$235,A154,'Data (parsed)'!$C$2:$C$235,B154,'Data (parsed)'!$H$2:$H$235,C154,'Data (parsed)'!$I$2:$I$235,1)</x:f>
        <x:v>1</x:v>
      </x:c>
    </x:row>
    <x:row r="155" ht="15" hidden="0" customHeight="1">
      <x:c r="A155" s="65" t="str">
        <x:v>Honor</x:v>
      </x:c>
      <x:c r="B155" s="65" t="str">
        <x:v>Undifferentiated honor</x:v>
      </x:c>
      <x:c r="C155" s="65" t="str">
        <x:v>ABYROİ</x:v>
      </x:c>
      <x:c r="D155" s="56" t="n">
        <x:f>COUNTIFS('Data (parsed)'!$B$2:$B$235,A155,'Data (parsed)'!$C$2:$C$235,B155,'Data (parsed)'!$H$2:$H$235,C155,'Data (parsed)'!$I$2:$I$235,1)</x:f>
        <x:v>1</x:v>
      </x:c>
    </x:row>
    <x:row r="156" ht="15" hidden="0" customHeight="1">
      <x:c r="A156" s="65" t="str">
        <x:v>Honor</x:v>
      </x:c>
      <x:c r="B156" s="65" t="str">
        <x:v>Undifferentiated honor</x:v>
      </x:c>
      <x:c r="C156" s="65" t="str">
        <x:v>ADAL ŪİAT</x:v>
      </x:c>
      <x:c r="D156" s="56" t="n">
        <x:f>COUNTIFS('Data (parsed)'!$B$2:$B$235,A156,'Data (parsed)'!$C$2:$C$235,B156,'Data (parsed)'!$H$2:$H$235,C156,'Data (parsed)'!$I$2:$I$235,1)</x:f>
        <x:v>1</x:v>
      </x:c>
    </x:row>
    <x:row r="157" ht="14.25" customHeight="1">
      <x:c r="A157" s="10"/>
      <x:c r="B157" s="10"/>
      <x:c r="C157" s="10"/>
      <x:c r="D157" s="10"/>
    </x:row>
    <x:row r="158" ht="14.25" customHeight="1">
      <x:c r="A158" s="10"/>
      <x:c r="B158" s="10"/>
      <x:c r="C158" s="10"/>
      <x:c r="D158" s="10"/>
    </x:row>
    <x:row r="159" ht="14.25" customHeight="1">
      <x:c r="A159" s="10"/>
      <x:c r="B159" s="10"/>
      <x:c r="C159" s="10"/>
      <x:c r="D159" s="10"/>
    </x:row>
    <x:row r="160" ht="14.25" customHeight="1">
      <x:c r="A160" s="10"/>
      <x:c r="B160" s="10"/>
      <x:c r="C160" s="10"/>
      <x:c r="D160" s="10"/>
    </x:row>
    <x:row r="161" ht="14.25" customHeight="1">
      <x:c r="A161" s="10"/>
      <x:c r="B161" s="10"/>
      <x:c r="C161" s="10"/>
      <x:c r="D161" s="10"/>
    </x:row>
    <x:row r="162" ht="14.25" customHeight="1">
      <x:c r="A162" s="10"/>
      <x:c r="B162" s="10"/>
      <x:c r="C162" s="10"/>
      <x:c r="D162" s="10"/>
    </x:row>
    <x:row r="163" ht="14.25" customHeight="1">
      <x:c r="A163" s="10"/>
      <x:c r="B163" s="10"/>
      <x:c r="C163" s="10"/>
      <x:c r="D163" s="10"/>
    </x:row>
    <x:row r="164" ht="14.25" customHeight="1">
      <x:c r="A164" s="10"/>
      <x:c r="B164" s="10"/>
      <x:c r="C164" s="10"/>
      <x:c r="D164" s="10"/>
    </x:row>
    <x:row r="165" ht="14.25" customHeight="1">
      <x:c r="A165" s="10"/>
      <x:c r="B165" s="10"/>
      <x:c r="C165" s="10"/>
      <x:c r="D165" s="10"/>
    </x:row>
    <x:row r="166" ht="14.25" customHeight="1">
      <x:c r="A166" s="10"/>
      <x:c r="B166" s="10"/>
      <x:c r="C166" s="10"/>
      <x:c r="D166" s="10"/>
    </x:row>
    <x:row r="167" ht="14.25" customHeight="1">
      <x:c r="A167" s="10"/>
      <x:c r="B167" s="10"/>
      <x:c r="C167" s="10"/>
      <x:c r="D167" s="10"/>
    </x:row>
    <x:row r="168" ht="14.25" customHeight="1">
      <x:c r="A168" s="10"/>
      <x:c r="B168" s="10"/>
      <x:c r="C168" s="10"/>
      <x:c r="D168" s="10"/>
    </x:row>
    <x:row r="169" ht="14.25" customHeight="1">
      <x:c r="A169" s="10"/>
      <x:c r="B169" s="10"/>
      <x:c r="C169" s="10"/>
      <x:c r="D169" s="10"/>
    </x:row>
    <x:row r="170" ht="14.25" customHeight="1">
      <x:c r="A170" s="10"/>
      <x:c r="B170" s="10"/>
      <x:c r="C170" s="10"/>
      <x:c r="D170" s="10"/>
    </x:row>
    <x:row r="171" ht="14.25" customHeight="1">
      <x:c r="A171" s="10"/>
      <x:c r="B171" s="10"/>
      <x:c r="C171" s="10"/>
      <x:c r="D171" s="10"/>
    </x:row>
    <x:row r="172" ht="14.25" customHeight="1">
      <x:c r="A172" s="10"/>
      <x:c r="B172" s="10"/>
      <x:c r="C172" s="10"/>
      <x:c r="D172" s="10"/>
    </x:row>
    <x:row r="173" ht="14.25" customHeight="1">
      <x:c r="A173" s="10"/>
      <x:c r="B173" s="10"/>
      <x:c r="C173" s="10"/>
      <x:c r="D173" s="10"/>
    </x:row>
    <x:row r="174" ht="14.25" customHeight="1">
      <x:c r="A174" s="10"/>
      <x:c r="B174" s="10"/>
      <x:c r="C174" s="10"/>
      <x:c r="D174" s="10"/>
    </x:row>
    <x:row r="175" ht="14.25" customHeight="1">
      <x:c r="A175" s="10"/>
      <x:c r="B175" s="10"/>
      <x:c r="C175" s="10"/>
      <x:c r="D175" s="10"/>
    </x:row>
    <x:row r="176" ht="14.25" customHeight="1">
      <x:c r="A176" s="10"/>
      <x:c r="B176" s="10"/>
      <x:c r="C176" s="10"/>
      <x:c r="D176" s="10"/>
    </x:row>
    <x:row r="177" ht="14.25" customHeight="1">
      <x:c r="A177" s="10"/>
      <x:c r="B177" s="10"/>
      <x:c r="C177" s="10"/>
      <x:c r="D177" s="10"/>
    </x:row>
    <x:row r="178" ht="14.25" customHeight="1">
      <x:c r="A178" s="10"/>
      <x:c r="B178" s="10"/>
      <x:c r="C178" s="10"/>
      <x:c r="D178" s="10"/>
    </x:row>
    <x:row r="179" ht="14.25" customHeight="1">
      <x:c r="A179" s="10"/>
      <x:c r="B179" s="10"/>
      <x:c r="C179" s="10"/>
      <x:c r="D179" s="10"/>
    </x:row>
    <x:row r="180" ht="14.25" customHeight="1">
      <x:c r="A180" s="10"/>
      <x:c r="B180" s="10"/>
      <x:c r="C180" s="10"/>
      <x:c r="D180" s="10"/>
    </x:row>
    <x:row r="181" ht="14.25" customHeight="1">
      <x:c r="A181" s="10"/>
      <x:c r="B181" s="10"/>
      <x:c r="C181" s="10"/>
      <x:c r="D181" s="10"/>
    </x:row>
    <x:row r="182" ht="14.25" customHeight="1">
      <x:c r="A182" s="10"/>
      <x:c r="B182" s="10"/>
      <x:c r="C182" s="10"/>
      <x:c r="D182" s="10"/>
    </x:row>
    <x:row r="183" ht="14.25" customHeight="1">
      <x:c r="A183" s="10"/>
      <x:c r="B183" s="10"/>
      <x:c r="C183" s="10"/>
      <x:c r="D183" s="10"/>
    </x:row>
    <x:row r="184" ht="14.25" customHeight="1">
      <x:c r="A184" s="10"/>
      <x:c r="B184" s="10"/>
      <x:c r="C184" s="10"/>
      <x:c r="D184" s="10"/>
    </x:row>
    <x:row r="185" ht="14.25" customHeight="1">
      <x:c r="A185" s="10"/>
      <x:c r="B185" s="10"/>
      <x:c r="C185" s="10"/>
      <x:c r="D185" s="10"/>
    </x:row>
    <x:row r="186" ht="14.25" customHeight="1">
      <x:c r="A186" s="10"/>
      <x:c r="B186" s="10"/>
      <x:c r="C186" s="10"/>
      <x:c r="D186" s="10"/>
    </x:row>
    <x:row r="187" ht="14.25" customHeight="1">
      <x:c r="A187" s="10"/>
      <x:c r="B187" s="10"/>
      <x:c r="C187" s="10"/>
      <x:c r="D187" s="10"/>
    </x:row>
    <x:row r="188" ht="14.25" customHeight="1">
      <x:c r="A188" s="10"/>
      <x:c r="B188" s="10"/>
      <x:c r="C188" s="10"/>
      <x:c r="D188" s="10"/>
    </x:row>
    <x:row r="189" ht="14.25" customHeight="1">
      <x:c r="A189" s="10"/>
      <x:c r="B189" s="10"/>
      <x:c r="C189" s="10"/>
      <x:c r="D189" s="10"/>
    </x:row>
    <x:row r="190" ht="14.25" customHeight="1">
      <x:c r="A190" s="10"/>
      <x:c r="B190" s="10"/>
      <x:c r="C190" s="10"/>
      <x:c r="D190" s="10"/>
    </x:row>
    <x:row r="191" ht="14.25" customHeight="1">
      <x:c r="A191" s="10"/>
      <x:c r="B191" s="10"/>
      <x:c r="C191" s="10"/>
      <x:c r="D191" s="10"/>
    </x:row>
    <x:row r="192" ht="14.25" customHeight="1">
      <x:c r="A192" s="10"/>
      <x:c r="B192" s="10"/>
      <x:c r="C192" s="10"/>
      <x:c r="D192" s="10"/>
    </x:row>
    <x:row r="193" ht="14.25" customHeight="1">
      <x:c r="A193" s="10"/>
      <x:c r="B193" s="10"/>
      <x:c r="C193" s="10"/>
      <x:c r="D193" s="10"/>
    </x:row>
    <x:row r="194" ht="14.25" customHeight="1">
      <x:c r="A194" s="10"/>
      <x:c r="B194" s="10"/>
      <x:c r="C194" s="10"/>
      <x:c r="D194" s="10"/>
    </x:row>
    <x:row r="195" ht="14.25" customHeight="1">
      <x:c r="A195" s="10"/>
      <x:c r="B195" s="10"/>
      <x:c r="C195" s="10"/>
      <x:c r="D195" s="10"/>
    </x:row>
    <x:row r="196" ht="14.25" customHeight="1">
      <x:c r="A196" s="10"/>
      <x:c r="B196" s="10"/>
      <x:c r="C196" s="10"/>
      <x:c r="D196" s="10"/>
    </x:row>
    <x:row r="197" ht="14.25" customHeight="1">
      <x:c r="A197" s="10"/>
      <x:c r="B197" s="10"/>
      <x:c r="C197" s="10"/>
      <x:c r="D197" s="10"/>
    </x:row>
    <x:row r="198" ht="14.25" customHeight="1">
      <x:c r="A198" s="10"/>
      <x:c r="B198" s="10"/>
      <x:c r="C198" s="10"/>
      <x:c r="D198" s="10"/>
    </x:row>
    <x:row r="199" ht="14.25" customHeight="1">
      <x:c r="A199" s="10"/>
      <x:c r="B199" s="10"/>
      <x:c r="C199" s="10"/>
      <x:c r="D199" s="10"/>
    </x:row>
    <x:row r="200" ht="14.25" customHeight="1">
      <x:c r="A200" s="10"/>
      <x:c r="B200" s="10"/>
      <x:c r="C200" s="10"/>
      <x:c r="D200" s="10"/>
    </x:row>
    <x:row r="201" ht="14.25" customHeight="1">
      <x:c r="A201" s="10"/>
      <x:c r="B201" s="10"/>
      <x:c r="C201" s="10"/>
      <x:c r="D201" s="10"/>
    </x:row>
    <x:row r="202" ht="14.25" customHeight="1">
      <x:c r="A202" s="10"/>
      <x:c r="B202" s="10"/>
      <x:c r="C202" s="10"/>
      <x:c r="D202" s="10"/>
    </x:row>
    <x:row r="203" ht="14.25" customHeight="1">
      <x:c r="A203" s="10"/>
      <x:c r="B203" s="10"/>
      <x:c r="C203" s="10"/>
      <x:c r="D203" s="10"/>
    </x:row>
    <x:row r="204" ht="14.25" customHeight="1">
      <x:c r="A204" s="10"/>
      <x:c r="B204" s="10"/>
      <x:c r="C204" s="10"/>
      <x:c r="D204" s="10"/>
    </x:row>
    <x:row r="205" ht="14.25" customHeight="1">
      <x:c r="A205" s="10"/>
      <x:c r="B205" s="10"/>
      <x:c r="C205" s="10"/>
      <x:c r="D205" s="10"/>
    </x:row>
    <x:row r="206" ht="14.25" customHeight="1">
      <x:c r="A206" s="10"/>
      <x:c r="B206" s="10"/>
      <x:c r="C206" s="10"/>
      <x:c r="D206" s="10"/>
    </x:row>
    <x:row r="207" ht="14.25" customHeight="1">
      <x:c r="A207" s="10"/>
      <x:c r="B207" s="10"/>
      <x:c r="C207" s="10"/>
      <x:c r="D207" s="10"/>
    </x:row>
    <x:row r="208" ht="14.25" customHeight="1">
      <x:c r="A208" s="10"/>
      <x:c r="B208" s="10"/>
      <x:c r="C208" s="10"/>
      <x:c r="D208" s="10"/>
    </x:row>
    <x:row r="209" ht="14.25" customHeight="1">
      <x:c r="A209" s="10"/>
      <x:c r="B209" s="10"/>
      <x:c r="C209" s="10"/>
      <x:c r="D209" s="10"/>
    </x:row>
    <x:row r="210" ht="14.25" customHeight="1">
      <x:c r="A210" s="10"/>
      <x:c r="B210" s="10"/>
      <x:c r="C210" s="10"/>
      <x:c r="D210" s="10"/>
    </x:row>
    <x:row r="211" ht="14.25" customHeight="1">
      <x:c r="A211" s="10"/>
      <x:c r="B211" s="10"/>
      <x:c r="C211" s="10"/>
      <x:c r="D211" s="10"/>
    </x:row>
    <x:row r="212" ht="14.25" customHeight="1">
      <x:c r="A212" s="10"/>
      <x:c r="B212" s="10"/>
      <x:c r="C212" s="10"/>
      <x:c r="D212" s="10"/>
    </x:row>
    <x:row r="213" ht="14.25" customHeight="1">
      <x:c r="A213" s="10"/>
      <x:c r="B213" s="10"/>
      <x:c r="C213" s="10"/>
      <x:c r="D213" s="10"/>
    </x:row>
    <x:row r="214" ht="14.25" customHeight="1">
      <x:c r="A214" s="10"/>
      <x:c r="B214" s="10"/>
      <x:c r="C214" s="10"/>
      <x:c r="D214" s="10"/>
    </x:row>
    <x:row r="215" ht="14.25" customHeight="1">
      <x:c r="A215" s="10"/>
      <x:c r="B215" s="10"/>
      <x:c r="C215" s="10"/>
      <x:c r="D215" s="10"/>
    </x:row>
    <x:row r="216" ht="14.25" customHeight="1">
      <x:c r="A216" s="10"/>
      <x:c r="B216" s="10"/>
      <x:c r="C216" s="10"/>
      <x:c r="D216" s="10"/>
    </x:row>
    <x:row r="217" ht="14.25" customHeight="1">
      <x:c r="A217" s="10"/>
      <x:c r="B217" s="10"/>
      <x:c r="C217" s="10"/>
      <x:c r="D217" s="10"/>
    </x:row>
    <x:row r="218" ht="14.25" customHeight="1">
      <x:c r="A218" s="10"/>
      <x:c r="B218" s="10"/>
      <x:c r="C218" s="10"/>
      <x:c r="D218" s="10"/>
    </x:row>
    <x:row r="219" ht="14.25" customHeight="1">
      <x:c r="A219" s="10"/>
      <x:c r="B219" s="10"/>
      <x:c r="C219" s="10"/>
      <x:c r="D219" s="10"/>
    </x:row>
    <x:row r="220" ht="14.25" customHeight="1">
      <x:c r="A220" s="10"/>
      <x:c r="B220" s="10"/>
      <x:c r="C220" s="10"/>
      <x:c r="D220" s="10"/>
    </x:row>
    <x:row r="221" ht="14.25" customHeight="1">
      <x:c r="A221" s="10"/>
      <x:c r="B221" s="10"/>
      <x:c r="C221" s="10"/>
      <x:c r="D221" s="10"/>
    </x:row>
    <x:row r="222" ht="14.25" customHeight="1">
      <x:c r="A222" s="10"/>
      <x:c r="B222" s="10"/>
      <x:c r="C222" s="10"/>
      <x:c r="D222" s="10"/>
    </x:row>
    <x:row r="223" ht="14.25" customHeight="1">
      <x:c r="A223" s="10"/>
      <x:c r="B223" s="10"/>
      <x:c r="C223" s="10"/>
      <x:c r="D223" s="10"/>
    </x:row>
    <x:row r="224" ht="14.25" customHeight="1">
      <x:c r="A224" s="10"/>
      <x:c r="B224" s="10"/>
      <x:c r="C224" s="10"/>
      <x:c r="D224" s="10"/>
    </x:row>
    <x:row r="225" ht="14.25" customHeight="1">
      <x:c r="A225" s="10"/>
      <x:c r="B225" s="10"/>
      <x:c r="C225" s="10"/>
      <x:c r="D225" s="10"/>
    </x:row>
    <x:row r="226" ht="14.25" customHeight="1">
      <x:c r="A226" s="10"/>
      <x:c r="B226" s="10"/>
      <x:c r="C226" s="10"/>
      <x:c r="D226" s="10"/>
    </x:row>
    <x:row r="227" ht="14.25" customHeight="1">
      <x:c r="A227" s="10"/>
      <x:c r="B227" s="10"/>
      <x:c r="C227" s="10"/>
      <x:c r="D227" s="10"/>
    </x:row>
    <x:row r="228" ht="14.25" customHeight="1">
      <x:c r="A228" s="10"/>
      <x:c r="B228" s="10"/>
      <x:c r="C228" s="10"/>
      <x:c r="D228" s="10"/>
    </x:row>
    <x:row r="229" ht="14.25" customHeight="1">
      <x:c r="A229" s="10"/>
      <x:c r="B229" s="10"/>
      <x:c r="C229" s="10"/>
      <x:c r="D229" s="10"/>
    </x:row>
    <x:row r="230" ht="14.25" customHeight="1">
      <x:c r="A230" s="10"/>
      <x:c r="B230" s="10"/>
      <x:c r="C230" s="10"/>
      <x:c r="D230" s="10"/>
    </x:row>
    <x:row r="231" ht="14.25" customHeight="1">
      <x:c r="A231" s="10"/>
      <x:c r="B231" s="10"/>
      <x:c r="C231" s="10"/>
      <x:c r="D231" s="10"/>
    </x:row>
    <x:row r="232" ht="14.25" customHeight="1">
      <x:c r="A232" s="10"/>
      <x:c r="B232" s="10"/>
      <x:c r="C232" s="10"/>
      <x:c r="D232" s="10"/>
    </x:row>
    <x:row r="233" ht="14.25" customHeight="1">
      <x:c r="A233" s="10"/>
      <x:c r="B233" s="10"/>
      <x:c r="C233" s="10"/>
      <x:c r="D233" s="10"/>
    </x:row>
    <x:row r="234" ht="14.25" customHeight="1">
      <x:c r="A234" s="10"/>
      <x:c r="B234" s="10"/>
      <x:c r="C234" s="10"/>
      <x:c r="D234" s="10"/>
    </x:row>
    <x:row r="235" ht="14.25" customHeight="1">
      <x:c r="A235" s="10"/>
      <x:c r="B235" s="10"/>
      <x:c r="C235" s="10"/>
      <x:c r="D235" s="10"/>
    </x:row>
    <x:row r="236" ht="14.25" customHeight="1">
      <x:c r="A236" s="10"/>
      <x:c r="B236" s="10"/>
      <x:c r="C236" s="10"/>
      <x:c r="D236" s="10"/>
    </x:row>
    <x:row r="237" ht="14.25" customHeight="1">
      <x:c r="A237" s="10"/>
      <x:c r="B237" s="10"/>
      <x:c r="C237" s="10"/>
      <x:c r="D237" s="10"/>
    </x:row>
    <x:row r="238" ht="14.25" customHeight="1">
      <x:c r="A238" s="10"/>
      <x:c r="B238" s="10"/>
      <x:c r="C238" s="10"/>
      <x:c r="D238" s="10"/>
    </x:row>
    <x:row r="239" ht="14.25" customHeight="1">
      <x:c r="A239" s="10"/>
      <x:c r="B239" s="10"/>
      <x:c r="C239" s="10"/>
      <x:c r="D239" s="10"/>
    </x:row>
    <x:row r="240" ht="14.25" customHeight="1">
      <x:c r="A240" s="10"/>
      <x:c r="B240" s="10"/>
      <x:c r="C240" s="10"/>
      <x:c r="D240" s="10"/>
    </x:row>
    <x:row r="241" ht="14.25" customHeight="1">
      <x:c r="A241" s="10"/>
      <x:c r="B241" s="10"/>
      <x:c r="C241" s="10"/>
      <x:c r="D241" s="10"/>
    </x:row>
    <x:row r="242" ht="14.25" customHeight="1">
      <x:c r="A242" s="10"/>
      <x:c r="B242" s="10"/>
      <x:c r="C242" s="10"/>
      <x:c r="D242" s="10"/>
    </x:row>
    <x:row r="243" ht="14.25" customHeight="1">
      <x:c r="A243" s="10"/>
      <x:c r="B243" s="10"/>
      <x:c r="C243" s="10"/>
      <x:c r="D243" s="10"/>
    </x:row>
    <x:row r="244" ht="14.25" customHeight="1">
      <x:c r="A244" s="10"/>
      <x:c r="B244" s="10"/>
      <x:c r="C244" s="10"/>
      <x:c r="D244" s="10"/>
    </x:row>
    <x:row r="245" ht="14.25" customHeight="1">
      <x:c r="A245" s="10"/>
      <x:c r="B245" s="10"/>
      <x:c r="C245" s="10"/>
      <x:c r="D245" s="10"/>
    </x:row>
    <x:row r="246" ht="14.25" customHeight="1">
      <x:c r="A246" s="10"/>
      <x:c r="B246" s="10"/>
      <x:c r="C246" s="10"/>
      <x:c r="D246" s="10"/>
    </x:row>
    <x:row r="247" ht="14.25" customHeight="1">
      <x:c r="A247" s="10"/>
      <x:c r="B247" s="10"/>
      <x:c r="C247" s="10"/>
      <x:c r="D247" s="10"/>
    </x:row>
    <x:row r="248" ht="14.25" customHeight="1">
      <x:c r="A248" s="10"/>
      <x:c r="B248" s="10"/>
      <x:c r="C248" s="10"/>
      <x:c r="D248" s="10"/>
    </x:row>
    <x:row r="249" ht="14.25" customHeight="1">
      <x:c r="A249" s="10"/>
      <x:c r="B249" s="10"/>
      <x:c r="C249" s="10"/>
      <x:c r="D249" s="10"/>
    </x:row>
    <x:row r="250" ht="14.25" customHeight="1">
      <x:c r="A250" s="10"/>
      <x:c r="B250" s="10"/>
      <x:c r="C250" s="10"/>
      <x:c r="D250" s="10"/>
    </x:row>
    <x:row r="251" ht="14.25" customHeight="1">
      <x:c r="A251" s="10"/>
      <x:c r="B251" s="10"/>
      <x:c r="C251" s="10"/>
      <x:c r="D251" s="10"/>
    </x:row>
    <x:row r="252" ht="14.25" customHeight="1">
      <x:c r="A252" s="10"/>
      <x:c r="B252" s="10"/>
      <x:c r="C252" s="10"/>
      <x:c r="D252" s="10"/>
    </x:row>
    <x:row r="253" ht="14.25" customHeight="1">
      <x:c r="A253" s="10"/>
      <x:c r="B253" s="10"/>
      <x:c r="C253" s="10"/>
      <x:c r="D253" s="10"/>
    </x:row>
    <x:row r="254" ht="14.25" customHeight="1">
      <x:c r="A254" s="10"/>
      <x:c r="B254" s="10"/>
      <x:c r="C254" s="10"/>
      <x:c r="D254" s="10"/>
    </x:row>
    <x:row r="255" ht="14.25" customHeight="1">
      <x:c r="A255" s="10"/>
      <x:c r="B255" s="10"/>
      <x:c r="C255" s="10"/>
      <x:c r="D255" s="10"/>
    </x:row>
    <x:row r="256" ht="14.25" customHeight="1">
      <x:c r="A256" s="10"/>
      <x:c r="B256" s="10"/>
      <x:c r="C256" s="10"/>
      <x:c r="D256" s="10"/>
    </x:row>
    <x:row r="257" ht="14.25" customHeight="1">
      <x:c r="A257" s="10"/>
      <x:c r="B257" s="10"/>
      <x:c r="C257" s="10"/>
      <x:c r="D257" s="10"/>
    </x:row>
    <x:row r="258" ht="14.25" customHeight="1">
      <x:c r="A258" s="10"/>
      <x:c r="B258" s="10"/>
      <x:c r="C258" s="10"/>
      <x:c r="D258" s="10"/>
    </x:row>
    <x:row r="259" ht="14.25" customHeight="1">
      <x:c r="A259" s="10"/>
      <x:c r="B259" s="10"/>
      <x:c r="C259" s="10"/>
      <x:c r="D259" s="10"/>
    </x:row>
    <x:row r="260" ht="14.25" customHeight="1">
      <x:c r="A260" s="10"/>
      <x:c r="B260" s="10"/>
      <x:c r="C260" s="10"/>
      <x:c r="D260" s="10"/>
    </x:row>
    <x:row r="261" ht="14.25" customHeight="1">
      <x:c r="A261" s="10"/>
      <x:c r="B261" s="10"/>
      <x:c r="C261" s="10"/>
      <x:c r="D261" s="10"/>
    </x:row>
    <x:row r="262" ht="14.25" customHeight="1">
      <x:c r="A262" s="10"/>
      <x:c r="B262" s="10"/>
      <x:c r="C262" s="10"/>
      <x:c r="D262" s="10"/>
    </x:row>
    <x:row r="263" ht="14.25" customHeight="1">
      <x:c r="A263" s="10"/>
      <x:c r="B263" s="10"/>
      <x:c r="C263" s="10"/>
      <x:c r="D263" s="10"/>
    </x:row>
    <x:row r="264" ht="14.25" customHeight="1">
      <x:c r="A264" s="10"/>
      <x:c r="B264" s="10"/>
      <x:c r="C264" s="10"/>
      <x:c r="D264" s="10"/>
    </x:row>
    <x:row r="265" ht="14.25" customHeight="1">
      <x:c r="A265" s="10"/>
      <x:c r="B265" s="10"/>
      <x:c r="C265" s="10"/>
      <x:c r="D265" s="10"/>
    </x:row>
    <x:row r="266" ht="14.25" customHeight="1">
      <x:c r="A266" s="10"/>
      <x:c r="B266" s="10"/>
      <x:c r="C266" s="10"/>
      <x:c r="D266" s="10"/>
    </x:row>
    <x:row r="267" ht="14.25" customHeight="1">
      <x:c r="A267" s="10"/>
      <x:c r="B267" s="10"/>
      <x:c r="C267" s="10"/>
      <x:c r="D267" s="10"/>
    </x:row>
    <x:row r="268" ht="14.25" customHeight="1">
      <x:c r="A268" s="10"/>
      <x:c r="B268" s="10"/>
      <x:c r="C268" s="10"/>
      <x:c r="D268" s="10"/>
    </x:row>
    <x:row r="269" ht="14.25" customHeight="1">
      <x:c r="A269" s="10"/>
      <x:c r="B269" s="10"/>
      <x:c r="C269" s="10"/>
      <x:c r="D269" s="10"/>
    </x:row>
    <x:row r="270" ht="14.25" customHeight="1">
      <x:c r="A270" s="10"/>
      <x:c r="B270" s="10"/>
      <x:c r="C270" s="10"/>
      <x:c r="D270" s="10"/>
    </x:row>
    <x:row r="271" ht="14.25" customHeight="1">
      <x:c r="A271" s="10"/>
      <x:c r="B271" s="10"/>
      <x:c r="C271" s="10"/>
      <x:c r="D271" s="10"/>
    </x:row>
    <x:row r="272" ht="14.25" customHeight="1">
      <x:c r="A272" s="10"/>
      <x:c r="B272" s="10"/>
      <x:c r="C272" s="10"/>
      <x:c r="D272" s="10"/>
    </x:row>
    <x:row r="273" ht="14.25" customHeight="1">
      <x:c r="A273" s="10"/>
      <x:c r="B273" s="10"/>
      <x:c r="C273" s="10"/>
      <x:c r="D273" s="10"/>
    </x:row>
    <x:row r="274" ht="14.25" customHeight="1">
      <x:c r="A274" s="10"/>
      <x:c r="B274" s="10"/>
      <x:c r="C274" s="10"/>
      <x:c r="D274" s="10"/>
    </x:row>
    <x:row r="275" ht="14.25" customHeight="1">
      <x:c r="A275" s="10"/>
      <x:c r="B275" s="10"/>
      <x:c r="C275" s="10"/>
      <x:c r="D275" s="10"/>
    </x:row>
    <x:row r="276" ht="14.25" customHeight="1">
      <x:c r="A276" s="10"/>
      <x:c r="B276" s="10"/>
      <x:c r="C276" s="10"/>
      <x:c r="D276" s="10"/>
    </x:row>
    <x:row r="277" ht="14.25" customHeight="1">
      <x:c r="A277" s="10"/>
      <x:c r="B277" s="10"/>
      <x:c r="C277" s="10"/>
      <x:c r="D277" s="10"/>
    </x:row>
    <x:row r="278" ht="14.25" customHeight="1">
      <x:c r="A278" s="10"/>
      <x:c r="B278" s="10"/>
      <x:c r="C278" s="10"/>
      <x:c r="D278" s="10"/>
    </x:row>
    <x:row r="279" ht="14.25" customHeight="1">
      <x:c r="A279" s="10"/>
      <x:c r="B279" s="10"/>
      <x:c r="C279" s="10"/>
      <x:c r="D279" s="10"/>
    </x:row>
    <x:row r="280" ht="14.25" customHeight="1">
      <x:c r="A280" s="10"/>
      <x:c r="B280" s="10"/>
      <x:c r="C280" s="10"/>
      <x:c r="D280" s="10"/>
    </x:row>
    <x:row r="281" ht="14.25" customHeight="1">
      <x:c r="A281" s="10"/>
      <x:c r="B281" s="10"/>
      <x:c r="C281" s="10"/>
      <x:c r="D281" s="10"/>
    </x:row>
    <x:row r="282" ht="14.25" customHeight="1">
      <x:c r="A282" s="10"/>
      <x:c r="B282" s="10"/>
      <x:c r="C282" s="10"/>
      <x:c r="D282" s="10"/>
    </x:row>
    <x:row r="283" ht="14.25" customHeight="1">
      <x:c r="A283" s="10"/>
      <x:c r="B283" s="10"/>
      <x:c r="C283" s="10"/>
      <x:c r="D283" s="10"/>
    </x:row>
    <x:row r="284" ht="14.25" customHeight="1">
      <x:c r="A284" s="10"/>
      <x:c r="B284" s="10"/>
      <x:c r="C284" s="10"/>
      <x:c r="D284" s="10"/>
    </x:row>
    <x:row r="285" ht="14.25" customHeight="1">
      <x:c r="A285" s="10"/>
      <x:c r="B285" s="10"/>
      <x:c r="C285" s="10"/>
      <x:c r="D285" s="10"/>
    </x:row>
    <x:row r="286" ht="14.25" customHeight="1">
      <x:c r="A286" s="10"/>
      <x:c r="B286" s="10"/>
      <x:c r="C286" s="10"/>
      <x:c r="D286" s="10"/>
    </x:row>
    <x:row r="287" ht="14.25" customHeight="1">
      <x:c r="A287" s="10"/>
      <x:c r="B287" s="10"/>
      <x:c r="C287" s="10"/>
      <x:c r="D287" s="10"/>
    </x:row>
    <x:row r="288" ht="14.25" customHeight="1">
      <x:c r="A288" s="10"/>
      <x:c r="B288" s="10"/>
      <x:c r="C288" s="10"/>
      <x:c r="D288" s="10"/>
    </x:row>
    <x:row r="289" ht="14.25" customHeight="1">
      <x:c r="A289" s="10"/>
      <x:c r="B289" s="10"/>
      <x:c r="C289" s="10"/>
      <x:c r="D289" s="10"/>
    </x:row>
    <x:row r="290" ht="14.25" customHeight="1">
      <x:c r="A290" s="10"/>
      <x:c r="B290" s="10"/>
      <x:c r="C290" s="10"/>
      <x:c r="D290" s="10"/>
    </x:row>
    <x:row r="291" ht="14.25" customHeight="1">
      <x:c r="A291" s="10"/>
      <x:c r="B291" s="10"/>
      <x:c r="C291" s="10"/>
      <x:c r="D291" s="10"/>
    </x:row>
    <x:row r="292" ht="14.25" customHeight="1">
      <x:c r="A292" s="10"/>
      <x:c r="B292" s="10"/>
      <x:c r="C292" s="10"/>
      <x:c r="D292" s="10"/>
    </x:row>
    <x:row r="293" ht="14.25" customHeight="1">
      <x:c r="A293" s="10"/>
      <x:c r="B293" s="10"/>
      <x:c r="C293" s="10"/>
      <x:c r="D293" s="10"/>
    </x:row>
    <x:row r="294" ht="14.25" customHeight="1">
      <x:c r="A294" s="10"/>
      <x:c r="B294" s="10"/>
      <x:c r="C294" s="10"/>
      <x:c r="D294" s="10"/>
    </x:row>
    <x:row r="295" ht="14.25" customHeight="1">
      <x:c r="A295" s="10"/>
      <x:c r="B295" s="10"/>
      <x:c r="C295" s="10"/>
      <x:c r="D295" s="10"/>
    </x:row>
    <x:row r="296" ht="14.25" customHeight="1">
      <x:c r="A296" s="10"/>
      <x:c r="B296" s="10"/>
      <x:c r="C296" s="10"/>
      <x:c r="D296" s="10"/>
    </x:row>
    <x:row r="297" ht="14.25" customHeight="1">
      <x:c r="A297" s="10"/>
      <x:c r="B297" s="10"/>
      <x:c r="C297" s="10"/>
      <x:c r="D297" s="10"/>
    </x:row>
    <x:row r="298" ht="14.25" customHeight="1">
      <x:c r="A298" s="10"/>
      <x:c r="B298" s="10"/>
      <x:c r="C298" s="10"/>
      <x:c r="D298" s="10"/>
    </x:row>
    <x:row r="299" ht="14.25" customHeight="1">
      <x:c r="A299" s="10"/>
      <x:c r="B299" s="10"/>
      <x:c r="C299" s="10"/>
      <x:c r="D299" s="10"/>
    </x:row>
    <x:row r="300" ht="14.25" customHeight="1">
      <x:c r="A300" s="10"/>
      <x:c r="B300" s="10"/>
      <x:c r="C300" s="10"/>
      <x:c r="D300" s="10"/>
    </x:row>
    <x:row r="301" ht="14.25" customHeight="1">
      <x:c r="A301" s="10"/>
      <x:c r="B301" s="10"/>
      <x:c r="C301" s="10"/>
      <x:c r="D301" s="10"/>
    </x:row>
    <x:row r="302" ht="14.25" customHeight="1">
      <x:c r="A302" s="10"/>
      <x:c r="B302" s="10"/>
      <x:c r="C302" s="10"/>
      <x:c r="D302" s="10"/>
    </x:row>
    <x:row r="303" ht="14.25" customHeight="1">
      <x:c r="A303" s="10"/>
      <x:c r="B303" s="10"/>
      <x:c r="C303" s="10"/>
      <x:c r="D303" s="10"/>
    </x:row>
    <x:row r="304" ht="14.25" customHeight="1">
      <x:c r="A304" s="10"/>
      <x:c r="B304" s="10"/>
      <x:c r="C304" s="10"/>
      <x:c r="D304" s="10"/>
    </x:row>
    <x:row r="305" ht="14.25" customHeight="1">
      <x:c r="A305" s="10"/>
      <x:c r="B305" s="10"/>
      <x:c r="C305" s="10"/>
      <x:c r="D305" s="10"/>
    </x:row>
    <x:row r="306" ht="14.25" customHeight="1">
      <x:c r="A306" s="10"/>
      <x:c r="B306" s="10"/>
      <x:c r="C306" s="10"/>
      <x:c r="D306" s="10"/>
    </x:row>
    <x:row r="307" ht="14.25" customHeight="1">
      <x:c r="A307" s="10"/>
      <x:c r="B307" s="10"/>
      <x:c r="C307" s="10"/>
      <x:c r="D307" s="10"/>
    </x:row>
    <x:row r="308" ht="14.25" customHeight="1">
      <x:c r="A308" s="10"/>
      <x:c r="B308" s="10"/>
      <x:c r="C308" s="10"/>
      <x:c r="D308" s="10"/>
    </x:row>
    <x:row r="309" ht="14.25" customHeight="1">
      <x:c r="A309" s="10"/>
      <x:c r="B309" s="10"/>
      <x:c r="C309" s="10"/>
      <x:c r="D309" s="10"/>
    </x:row>
    <x:row r="310" ht="14.25" customHeight="1">
      <x:c r="A310" s="10"/>
      <x:c r="B310" s="10"/>
      <x:c r="C310" s="10"/>
      <x:c r="D310" s="10"/>
    </x:row>
    <x:row r="311" ht="14.25" customHeight="1">
      <x:c r="A311" s="10"/>
      <x:c r="B311" s="10"/>
      <x:c r="C311" s="10"/>
      <x:c r="D311" s="10"/>
    </x:row>
    <x:row r="312" ht="14.25" customHeight="1">
      <x:c r="A312" s="10"/>
      <x:c r="B312" s="10"/>
      <x:c r="C312" s="10"/>
      <x:c r="D312" s="10"/>
    </x:row>
    <x:row r="313" ht="14.25" customHeight="1">
      <x:c r="A313" s="10"/>
      <x:c r="B313" s="10"/>
      <x:c r="C313" s="10"/>
      <x:c r="D313" s="10"/>
    </x:row>
    <x:row r="314" ht="14.25" customHeight="1">
      <x:c r="A314" s="10"/>
      <x:c r="B314" s="10"/>
      <x:c r="C314" s="10"/>
      <x:c r="D314" s="10"/>
    </x:row>
    <x:row r="315" ht="14.25" customHeight="1">
      <x:c r="A315" s="10"/>
      <x:c r="B315" s="10"/>
      <x:c r="C315" s="10"/>
      <x:c r="D315" s="10"/>
    </x:row>
    <x:row r="316" ht="14.25" customHeight="1">
      <x:c r="A316" s="10"/>
      <x:c r="B316" s="10"/>
      <x:c r="C316" s="10"/>
      <x:c r="D316" s="10"/>
    </x:row>
    <x:row r="317" ht="14.25" customHeight="1">
      <x:c r="A317" s="10"/>
      <x:c r="B317" s="10"/>
      <x:c r="C317" s="10"/>
      <x:c r="D317" s="10"/>
    </x:row>
    <x:row r="318" ht="14.25" customHeight="1">
      <x:c r="A318" s="10"/>
      <x:c r="B318" s="10"/>
      <x:c r="C318" s="10"/>
      <x:c r="D318" s="10"/>
    </x:row>
    <x:row r="319" ht="14.25" customHeight="1">
      <x:c r="A319" s="10"/>
      <x:c r="B319" s="10"/>
      <x:c r="C319" s="10"/>
      <x:c r="D319" s="10"/>
    </x:row>
    <x:row r="320" ht="14.25" customHeight="1">
      <x:c r="A320" s="10"/>
      <x:c r="B320" s="10"/>
      <x:c r="C320" s="10"/>
      <x:c r="D320" s="10"/>
    </x:row>
    <x:row r="321" ht="14.25" customHeight="1">
      <x:c r="A321" s="10"/>
      <x:c r="B321" s="10"/>
      <x:c r="C321" s="10"/>
      <x:c r="D321" s="10"/>
    </x:row>
    <x:row r="322" ht="14.25" customHeight="1">
      <x:c r="A322" s="10"/>
      <x:c r="B322" s="10"/>
      <x:c r="C322" s="10"/>
      <x:c r="D322" s="10"/>
    </x:row>
    <x:row r="323" ht="14.25" customHeight="1">
      <x:c r="A323" s="10"/>
      <x:c r="B323" s="10"/>
      <x:c r="C323" s="10"/>
      <x:c r="D323" s="10"/>
    </x:row>
    <x:row r="324" ht="14.25" customHeight="1">
      <x:c r="A324" s="10"/>
      <x:c r="B324" s="10"/>
      <x:c r="C324" s="10"/>
      <x:c r="D324" s="10"/>
    </x:row>
    <x:row r="325" ht="14.25" customHeight="1">
      <x:c r="A325" s="10"/>
      <x:c r="B325" s="10"/>
      <x:c r="C325" s="10"/>
      <x:c r="D325" s="10"/>
    </x:row>
    <x:row r="326" ht="14.25" customHeight="1">
      <x:c r="A326" s="10"/>
      <x:c r="B326" s="10"/>
      <x:c r="C326" s="10"/>
      <x:c r="D326" s="10"/>
    </x:row>
    <x:row r="327" ht="14.25" customHeight="1">
      <x:c r="A327" s="10"/>
      <x:c r="B327" s="10"/>
      <x:c r="C327" s="10"/>
      <x:c r="D327" s="10"/>
    </x:row>
    <x:row r="328" ht="14.25" customHeight="1">
      <x:c r="A328" s="10"/>
      <x:c r="B328" s="10"/>
      <x:c r="C328" s="10"/>
      <x:c r="D328" s="10"/>
    </x:row>
    <x:row r="329" ht="14.25" customHeight="1">
      <x:c r="A329" s="10"/>
      <x:c r="B329" s="10"/>
      <x:c r="C329" s="10"/>
      <x:c r="D329" s="10"/>
    </x:row>
    <x:row r="330" ht="14.25" customHeight="1">
      <x:c r="A330" s="10"/>
      <x:c r="B330" s="10"/>
      <x:c r="C330" s="10"/>
      <x:c r="D330" s="10"/>
    </x:row>
    <x:row r="331" ht="14.25" customHeight="1">
      <x:c r="A331" s="10"/>
      <x:c r="B331" s="10"/>
      <x:c r="C331" s="10"/>
      <x:c r="D331" s="10"/>
    </x:row>
    <x:row r="332" ht="14.25" customHeight="1">
      <x:c r="A332" s="10"/>
      <x:c r="B332" s="10"/>
      <x:c r="C332" s="10"/>
      <x:c r="D332" s="10"/>
    </x:row>
    <x:row r="333" ht="14.25" customHeight="1">
      <x:c r="A333" s="10"/>
      <x:c r="B333" s="10"/>
      <x:c r="C333" s="10"/>
      <x:c r="D333" s="10"/>
    </x:row>
    <x:row r="334" ht="14.25" customHeight="1">
      <x:c r="A334" s="10"/>
      <x:c r="B334" s="10"/>
      <x:c r="C334" s="10"/>
      <x:c r="D334" s="10"/>
    </x:row>
    <x:row r="335" ht="14.25" customHeight="1">
      <x:c r="A335" s="10"/>
      <x:c r="B335" s="10"/>
      <x:c r="C335" s="10"/>
      <x:c r="D335" s="10"/>
    </x:row>
    <x:row r="336" ht="14.25" customHeight="1">
      <x:c r="A336" s="10"/>
      <x:c r="B336" s="10"/>
      <x:c r="C336" s="10"/>
      <x:c r="D336" s="10"/>
    </x:row>
    <x:row r="337" ht="14.25" customHeight="1">
      <x:c r="A337" s="10"/>
      <x:c r="B337" s="10"/>
      <x:c r="C337" s="10"/>
      <x:c r="D337" s="10"/>
    </x:row>
    <x:row r="338" ht="14.25" customHeight="1">
      <x:c r="A338" s="10"/>
      <x:c r="B338" s="10"/>
      <x:c r="C338" s="10"/>
      <x:c r="D338" s="10"/>
    </x:row>
    <x:row r="339" ht="14.25" customHeight="1">
      <x:c r="A339" s="10"/>
      <x:c r="B339" s="10"/>
      <x:c r="C339" s="10"/>
      <x:c r="D339" s="10"/>
    </x:row>
    <x:row r="340" ht="14.25" customHeight="1">
      <x:c r="A340" s="10"/>
      <x:c r="B340" s="10"/>
      <x:c r="C340" s="10"/>
      <x:c r="D340" s="10"/>
    </x:row>
    <x:row r="341" ht="14.25" customHeight="1">
      <x:c r="A341" s="10"/>
      <x:c r="B341" s="10"/>
      <x:c r="C341" s="10"/>
      <x:c r="D341" s="10"/>
    </x:row>
    <x:row r="342" ht="14.25" customHeight="1">
      <x:c r="A342" s="10"/>
      <x:c r="B342" s="10"/>
      <x:c r="C342" s="10"/>
      <x:c r="D342" s="10"/>
    </x:row>
    <x:row r="343" ht="14.25" customHeight="1">
      <x:c r="A343" s="10"/>
      <x:c r="B343" s="10"/>
      <x:c r="C343" s="10"/>
      <x:c r="D343" s="10"/>
    </x:row>
    <x:row r="344" ht="14.25" customHeight="1">
      <x:c r="A344" s="10"/>
      <x:c r="B344" s="10"/>
      <x:c r="C344" s="10"/>
      <x:c r="D344" s="10"/>
    </x:row>
    <x:row r="345" ht="14.25" customHeight="1">
      <x:c r="A345" s="10"/>
      <x:c r="B345" s="10"/>
      <x:c r="C345" s="10"/>
      <x:c r="D345" s="10"/>
    </x:row>
    <x:row r="346" ht="14.25" customHeight="1">
      <x:c r="A346" s="10"/>
      <x:c r="B346" s="10"/>
      <x:c r="C346" s="10"/>
      <x:c r="D346" s="10"/>
    </x:row>
    <x:row r="347" ht="14.25" customHeight="1">
      <x:c r="A347" s="10"/>
      <x:c r="B347" s="10"/>
      <x:c r="C347" s="10"/>
      <x:c r="D347" s="10"/>
    </x:row>
    <x:row r="348" ht="14.25" customHeight="1">
      <x:c r="A348" s="10"/>
      <x:c r="B348" s="10"/>
      <x:c r="C348" s="10"/>
      <x:c r="D348" s="10"/>
    </x:row>
    <x:row r="349" ht="14.25" customHeight="1">
      <x:c r="A349" s="10"/>
      <x:c r="B349" s="10"/>
      <x:c r="C349" s="10"/>
      <x:c r="D349" s="10"/>
    </x:row>
    <x:row r="350" ht="14.25" customHeight="1">
      <x:c r="A350" s="10"/>
      <x:c r="B350" s="10"/>
      <x:c r="C350" s="10"/>
      <x:c r="D350" s="10"/>
    </x:row>
    <x:row r="351" ht="14.25" customHeight="1">
      <x:c r="A351" s="10"/>
      <x:c r="B351" s="10"/>
      <x:c r="C351" s="10"/>
      <x:c r="D351" s="10"/>
    </x:row>
    <x:row r="352" ht="14.25" customHeight="1">
      <x:c r="A352" s="10"/>
      <x:c r="B352" s="10"/>
      <x:c r="C352" s="10"/>
      <x:c r="D352" s="10"/>
    </x:row>
    <x:row r="353" ht="14.25" customHeight="1">
      <x:c r="A353" s="10"/>
      <x:c r="B353" s="10"/>
      <x:c r="C353" s="10"/>
      <x:c r="D353" s="10"/>
    </x:row>
    <x:row r="354" ht="14.25" customHeight="1">
      <x:c r="A354" s="10"/>
      <x:c r="B354" s="10"/>
      <x:c r="C354" s="10"/>
      <x:c r="D354" s="10"/>
    </x:row>
    <x:row r="355" ht="14.25" customHeight="1">
      <x:c r="A355" s="10"/>
      <x:c r="B355" s="10"/>
      <x:c r="C355" s="10"/>
      <x:c r="D355" s="10"/>
    </x:row>
    <x:row r="356" ht="14.25" customHeight="1">
      <x:c r="A356" s="10"/>
      <x:c r="B356" s="10"/>
      <x:c r="C356" s="10"/>
      <x:c r="D356" s="10"/>
    </x:row>
    <x:row r="357" ht="14.25" customHeight="1">
      <x:c r="A357" s="10"/>
      <x:c r="B357" s="10"/>
      <x:c r="C357" s="10"/>
      <x:c r="D357" s="10"/>
    </x:row>
    <x:row r="358" ht="14.25" customHeight="1">
      <x:c r="A358" s="10"/>
      <x:c r="B358" s="10"/>
      <x:c r="C358" s="10"/>
      <x:c r="D358" s="10"/>
    </x:row>
    <x:row r="359" ht="14.25" customHeight="1">
      <x:c r="A359" s="10"/>
      <x:c r="B359" s="10"/>
      <x:c r="C359" s="10"/>
      <x:c r="D359" s="10"/>
    </x:row>
    <x:row r="360" ht="14.25" customHeight="1">
      <x:c r="A360" s="10"/>
      <x:c r="B360" s="10"/>
      <x:c r="C360" s="10"/>
      <x:c r="D360" s="10"/>
    </x:row>
    <x:row r="361" ht="14.25" customHeight="1">
      <x:c r="A361" s="10"/>
      <x:c r="B361" s="10"/>
      <x:c r="C361" s="10"/>
      <x:c r="D361" s="10"/>
    </x:row>
    <x:row r="362" ht="14.25" customHeight="1">
      <x:c r="A362" s="10"/>
      <x:c r="B362" s="10"/>
      <x:c r="C362" s="10"/>
      <x:c r="D362" s="10"/>
    </x:row>
    <x:row r="363" ht="14.25" customHeight="1">
      <x:c r="A363" s="10"/>
      <x:c r="B363" s="10"/>
      <x:c r="C363" s="10"/>
      <x:c r="D363" s="10"/>
    </x:row>
    <x:row r="364" ht="14.25" customHeight="1">
      <x:c r="A364" s="10"/>
      <x:c r="B364" s="10"/>
      <x:c r="C364" s="10"/>
      <x:c r="D364" s="10"/>
    </x:row>
    <x:row r="365" ht="14.25" customHeight="1">
      <x:c r="A365" s="10"/>
      <x:c r="B365" s="10"/>
      <x:c r="C365" s="10"/>
      <x:c r="D365" s="10"/>
    </x:row>
    <x:row r="366" ht="14.25" customHeight="1">
      <x:c r="A366" s="10"/>
      <x:c r="B366" s="10"/>
      <x:c r="C366" s="10"/>
      <x:c r="D366" s="10"/>
    </x:row>
    <x:row r="367" ht="14.25" customHeight="1">
      <x:c r="A367" s="10"/>
      <x:c r="B367" s="10"/>
      <x:c r="C367" s="10"/>
      <x:c r="D367" s="10"/>
    </x:row>
    <x:row r="368" ht="14.25" customHeight="1">
      <x:c r="A368" s="10"/>
      <x:c r="B368" s="10"/>
      <x:c r="C368" s="10"/>
      <x:c r="D368" s="10"/>
    </x:row>
    <x:row r="369" ht="14.25" customHeight="1">
      <x:c r="A369" s="10"/>
      <x:c r="B369" s="10"/>
      <x:c r="C369" s="10"/>
      <x:c r="D369" s="10"/>
    </x:row>
    <x:row r="370" ht="14.25" customHeight="1">
      <x:c r="A370" s="10"/>
      <x:c r="B370" s="10"/>
      <x:c r="C370" s="10"/>
      <x:c r="D370" s="10"/>
    </x:row>
    <x:row r="371" ht="14.25" customHeight="1">
      <x:c r="A371" s="10"/>
      <x:c r="B371" s="10"/>
      <x:c r="C371" s="10"/>
      <x:c r="D371" s="10"/>
    </x:row>
    <x:row r="372" ht="14.25" customHeight="1">
      <x:c r="A372" s="10"/>
      <x:c r="B372" s="10"/>
      <x:c r="C372" s="10"/>
      <x:c r="D372" s="10"/>
    </x:row>
    <x:row r="373" ht="14.25" customHeight="1">
      <x:c r="A373" s="10"/>
      <x:c r="B373" s="10"/>
      <x:c r="C373" s="10"/>
      <x:c r="D373" s="10"/>
    </x:row>
    <x:row r="374" ht="14.25" customHeight="1">
      <x:c r="A374" s="10"/>
      <x:c r="B374" s="10"/>
      <x:c r="C374" s="10"/>
      <x:c r="D374" s="10"/>
    </x:row>
    <x:row r="375" ht="14.25" customHeight="1">
      <x:c r="A375" s="10"/>
      <x:c r="B375" s="10"/>
      <x:c r="C375" s="10"/>
      <x:c r="D375" s="10"/>
    </x:row>
    <x:row r="376" ht="14.25" customHeight="1">
      <x:c r="A376" s="10"/>
      <x:c r="B376" s="10"/>
      <x:c r="C376" s="10"/>
      <x:c r="D376" s="10"/>
    </x:row>
    <x:row r="377" ht="14.25" customHeight="1">
      <x:c r="A377" s="10"/>
      <x:c r="B377" s="10"/>
      <x:c r="C377" s="10"/>
      <x:c r="D377" s="10"/>
    </x:row>
    <x:row r="378" ht="14.25" customHeight="1">
      <x:c r="A378" s="10"/>
      <x:c r="B378" s="10"/>
      <x:c r="C378" s="10"/>
      <x:c r="D378" s="10"/>
    </x:row>
    <x:row r="379" ht="14.25" customHeight="1">
      <x:c r="A379" s="10"/>
      <x:c r="B379" s="10"/>
      <x:c r="C379" s="10"/>
      <x:c r="D379" s="10"/>
    </x:row>
    <x:row r="380" ht="14.25" customHeight="1">
      <x:c r="A380" s="10"/>
      <x:c r="B380" s="10"/>
      <x:c r="C380" s="10"/>
      <x:c r="D380" s="10"/>
    </x:row>
    <x:row r="381" ht="14.25" customHeight="1">
      <x:c r="A381" s="10"/>
      <x:c r="B381" s="10"/>
      <x:c r="C381" s="10"/>
      <x:c r="D381" s="10"/>
    </x:row>
    <x:row r="382" ht="14.25" customHeight="1">
      <x:c r="A382" s="10"/>
      <x:c r="B382" s="10"/>
      <x:c r="C382" s="10"/>
      <x:c r="D382" s="10"/>
    </x:row>
    <x:row r="383" ht="14.25" customHeight="1">
      <x:c r="A383" s="10"/>
      <x:c r="B383" s="10"/>
      <x:c r="C383" s="10"/>
      <x:c r="D383" s="10"/>
    </x:row>
    <x:row r="384" ht="14.25" customHeight="1">
      <x:c r="A384" s="10"/>
      <x:c r="B384" s="10"/>
      <x:c r="C384" s="10"/>
      <x:c r="D384" s="10"/>
    </x:row>
    <x:row r="385" ht="14.25" customHeight="1">
      <x:c r="A385" s="10"/>
      <x:c r="B385" s="10"/>
      <x:c r="C385" s="10"/>
      <x:c r="D385" s="10"/>
    </x:row>
    <x:row r="386" ht="14.25" customHeight="1">
      <x:c r="A386" s="10"/>
      <x:c r="B386" s="10"/>
      <x:c r="C386" s="10"/>
      <x:c r="D386" s="10"/>
    </x:row>
    <x:row r="387" ht="14.25" customHeight="1">
      <x:c r="A387" s="10"/>
      <x:c r="B387" s="10"/>
      <x:c r="C387" s="10"/>
      <x:c r="D387" s="10"/>
    </x:row>
    <x:row r="388" ht="14.25" customHeight="1">
      <x:c r="A388" s="10"/>
      <x:c r="B388" s="10"/>
      <x:c r="C388" s="10"/>
      <x:c r="D388" s="10"/>
    </x:row>
    <x:row r="389" ht="14.25" customHeight="1">
      <x:c r="A389" s="10"/>
      <x:c r="B389" s="10"/>
      <x:c r="C389" s="10"/>
      <x:c r="D389" s="10"/>
    </x:row>
    <x:row r="390" ht="14.25" customHeight="1">
      <x:c r="A390" s="10"/>
      <x:c r="B390" s="10"/>
      <x:c r="C390" s="10"/>
      <x:c r="D390" s="10"/>
    </x:row>
    <x:row r="391" ht="14.25" customHeight="1">
      <x:c r="A391" s="10"/>
      <x:c r="B391" s="10"/>
      <x:c r="C391" s="10"/>
      <x:c r="D391" s="10"/>
    </x:row>
    <x:row r="392" ht="14.25" customHeight="1">
      <x:c r="A392" s="10"/>
      <x:c r="B392" s="10"/>
      <x:c r="C392" s="10"/>
      <x:c r="D392" s="10"/>
    </x:row>
    <x:row r="393" ht="14.25" customHeight="1">
      <x:c r="A393" s="10"/>
      <x:c r="B393" s="10"/>
      <x:c r="C393" s="10"/>
      <x:c r="D393" s="10"/>
    </x:row>
    <x:row r="394" ht="14.25" customHeight="1">
      <x:c r="A394" s="10"/>
      <x:c r="B394" s="10"/>
      <x:c r="C394" s="10"/>
      <x:c r="D394" s="10"/>
    </x:row>
    <x:row r="395" ht="14.25" customHeight="1">
      <x:c r="A395" s="10"/>
      <x:c r="B395" s="10"/>
      <x:c r="C395" s="10"/>
      <x:c r="D395" s="10"/>
    </x:row>
    <x:row r="396" ht="14.25" customHeight="1">
      <x:c r="A396" s="10"/>
      <x:c r="B396" s="10"/>
      <x:c r="C396" s="10"/>
      <x:c r="D396" s="10"/>
    </x:row>
    <x:row r="397" ht="14.25" customHeight="1">
      <x:c r="A397" s="10"/>
      <x:c r="B397" s="10"/>
      <x:c r="C397" s="10"/>
      <x:c r="D397" s="10"/>
    </x:row>
    <x:row r="398" ht="14.25" customHeight="1">
      <x:c r="A398" s="10"/>
      <x:c r="B398" s="10"/>
      <x:c r="C398" s="10"/>
      <x:c r="D398" s="10"/>
    </x:row>
    <x:row r="399" ht="14.25" customHeight="1">
      <x:c r="A399" s="10"/>
      <x:c r="B399" s="10"/>
      <x:c r="C399" s="10"/>
      <x:c r="D399" s="10"/>
    </x:row>
    <x:row r="400" ht="14.25" customHeight="1">
      <x:c r="A400" s="10"/>
      <x:c r="B400" s="10"/>
      <x:c r="C400" s="10"/>
      <x:c r="D400" s="10"/>
    </x:row>
    <x:row r="401" ht="14.25" customHeight="1">
      <x:c r="A401" s="10"/>
      <x:c r="B401" s="10"/>
      <x:c r="C401" s="10"/>
      <x:c r="D401" s="10"/>
    </x:row>
    <x:row r="402" ht="14.25" customHeight="1">
      <x:c r="A402" s="10"/>
      <x:c r="B402" s="10"/>
      <x:c r="C402" s="10"/>
      <x:c r="D402" s="10"/>
    </x:row>
    <x:row r="403" ht="14.25" customHeight="1">
      <x:c r="A403" s="10"/>
      <x:c r="B403" s="10"/>
      <x:c r="C403" s="10"/>
      <x:c r="D403" s="10"/>
    </x:row>
    <x:row r="404" ht="14.25" customHeight="1">
      <x:c r="A404" s="10"/>
      <x:c r="B404" s="10"/>
      <x:c r="C404" s="10"/>
      <x:c r="D404" s="10"/>
    </x:row>
    <x:row r="405" ht="14.25" customHeight="1">
      <x:c r="A405" s="10"/>
      <x:c r="B405" s="10"/>
      <x:c r="C405" s="10"/>
      <x:c r="D405" s="10"/>
    </x:row>
    <x:row r="406" ht="14.25" customHeight="1">
      <x:c r="A406" s="10"/>
      <x:c r="B406" s="10"/>
      <x:c r="C406" s="10"/>
      <x:c r="D406" s="10"/>
    </x:row>
    <x:row r="407" ht="14.25" customHeight="1">
      <x:c r="A407" s="10"/>
      <x:c r="B407" s="10"/>
      <x:c r="C407" s="10"/>
      <x:c r="D407" s="10"/>
    </x:row>
    <x:row r="408" ht="14.25" customHeight="1">
      <x:c r="A408" s="10"/>
      <x:c r="B408" s="10"/>
      <x:c r="C408" s="10"/>
      <x:c r="D408" s="10"/>
    </x:row>
    <x:row r="409" ht="14.25" customHeight="1">
      <x:c r="A409" s="10"/>
      <x:c r="B409" s="10"/>
      <x:c r="C409" s="10"/>
      <x:c r="D409" s="10"/>
    </x:row>
    <x:row r="410" ht="14.25" customHeight="1">
      <x:c r="A410" s="10"/>
      <x:c r="B410" s="10"/>
      <x:c r="C410" s="10"/>
      <x:c r="D410" s="10"/>
    </x:row>
    <x:row r="411" ht="14.25" customHeight="1">
      <x:c r="A411" s="10"/>
      <x:c r="B411" s="10"/>
      <x:c r="C411" s="10"/>
      <x:c r="D411" s="10"/>
    </x:row>
    <x:row r="412" ht="14.25" customHeight="1">
      <x:c r="A412" s="10"/>
      <x:c r="B412" s="10"/>
      <x:c r="C412" s="10"/>
      <x:c r="D412" s="10"/>
    </x:row>
    <x:row r="413" ht="14.25" customHeight="1">
      <x:c r="A413" s="10"/>
      <x:c r="B413" s="10"/>
      <x:c r="C413" s="10"/>
      <x:c r="D413" s="10"/>
    </x:row>
    <x:row r="414" ht="14.25" customHeight="1">
      <x:c r="A414" s="10"/>
      <x:c r="B414" s="10"/>
      <x:c r="C414" s="10"/>
      <x:c r="D414" s="10"/>
    </x:row>
    <x:row r="415" ht="14.25" customHeight="1">
      <x:c r="A415" s="10"/>
      <x:c r="B415" s="10"/>
      <x:c r="C415" s="10"/>
      <x:c r="D415" s="10"/>
    </x:row>
    <x:row r="416" ht="14.25" customHeight="1">
      <x:c r="A416" s="10"/>
      <x:c r="B416" s="10"/>
      <x:c r="C416" s="10"/>
      <x:c r="D416" s="10"/>
    </x:row>
    <x:row r="417" ht="14.25" customHeight="1">
      <x:c r="A417" s="10"/>
      <x:c r="B417" s="10"/>
      <x:c r="C417" s="10"/>
      <x:c r="D417" s="10"/>
    </x:row>
    <x:row r="418" ht="14.25" customHeight="1">
      <x:c r="A418" s="10"/>
      <x:c r="B418" s="10"/>
      <x:c r="C418" s="10"/>
      <x:c r="D418" s="10"/>
    </x:row>
    <x:row r="419" ht="14.25" customHeight="1">
      <x:c r="A419" s="10"/>
      <x:c r="B419" s="10"/>
      <x:c r="C419" s="10"/>
      <x:c r="D419" s="10"/>
    </x:row>
    <x:row r="420" ht="14.25" customHeight="1">
      <x:c r="A420" s="10"/>
      <x:c r="B420" s="10"/>
      <x:c r="C420" s="10"/>
      <x:c r="D420" s="10"/>
    </x:row>
    <x:row r="421" ht="14.25" customHeight="1">
      <x:c r="A421" s="10"/>
      <x:c r="B421" s="10"/>
      <x:c r="C421" s="10"/>
      <x:c r="D421" s="10"/>
    </x:row>
    <x:row r="422" ht="14.25" customHeight="1">
      <x:c r="A422" s="10"/>
      <x:c r="B422" s="10"/>
      <x:c r="C422" s="10"/>
      <x:c r="D422" s="10"/>
    </x:row>
    <x:row r="423" ht="14.25" customHeight="1">
      <x:c r="A423" s="10"/>
      <x:c r="B423" s="10"/>
      <x:c r="C423" s="10"/>
      <x:c r="D423" s="10"/>
    </x:row>
    <x:row r="424" ht="14.25" customHeight="1">
      <x:c r="A424" s="10"/>
      <x:c r="B424" s="10"/>
      <x:c r="C424" s="10"/>
      <x:c r="D424" s="10"/>
    </x:row>
    <x:row r="425" ht="14.25" customHeight="1">
      <x:c r="A425" s="10"/>
      <x:c r="B425" s="10"/>
      <x:c r="C425" s="10"/>
      <x:c r="D425" s="10"/>
    </x:row>
    <x:row r="426" ht="14.25" customHeight="1">
      <x:c r="A426" s="10"/>
      <x:c r="B426" s="10"/>
      <x:c r="C426" s="10"/>
      <x:c r="D426" s="10"/>
    </x:row>
    <x:row r="427" ht="14.25" customHeight="1">
      <x:c r="A427" s="10"/>
      <x:c r="B427" s="10"/>
      <x:c r="C427" s="10"/>
      <x:c r="D427" s="10"/>
    </x:row>
    <x:row r="428" ht="14.25" customHeight="1">
      <x:c r="A428" s="10"/>
      <x:c r="B428" s="10"/>
      <x:c r="C428" s="10"/>
      <x:c r="D428" s="10"/>
    </x:row>
    <x:row r="429" ht="14.25" customHeight="1">
      <x:c r="A429" s="10"/>
      <x:c r="B429" s="10"/>
      <x:c r="C429" s="10"/>
      <x:c r="D429" s="10"/>
    </x:row>
    <x:row r="430" ht="14.25" customHeight="1">
      <x:c r="A430" s="10"/>
      <x:c r="B430" s="10"/>
      <x:c r="C430" s="10"/>
      <x:c r="D430" s="10"/>
    </x:row>
    <x:row r="431" ht="14.25" customHeight="1">
      <x:c r="A431" s="10"/>
      <x:c r="B431" s="10"/>
      <x:c r="C431" s="10"/>
      <x:c r="D431" s="10"/>
    </x:row>
    <x:row r="432" ht="14.25" customHeight="1">
      <x:c r="A432" s="10"/>
      <x:c r="B432" s="10"/>
      <x:c r="C432" s="10"/>
      <x:c r="D432" s="10"/>
    </x:row>
    <x:row r="433" ht="14.25" customHeight="1">
      <x:c r="A433" s="10"/>
      <x:c r="B433" s="10"/>
      <x:c r="C433" s="10"/>
      <x:c r="D433" s="10"/>
    </x:row>
    <x:row r="434" ht="14.25" customHeight="1">
      <x:c r="A434" s="10"/>
      <x:c r="B434" s="10"/>
      <x:c r="C434" s="10"/>
      <x:c r="D434" s="10"/>
    </x:row>
    <x:row r="435" ht="14.25" customHeight="1">
      <x:c r="A435" s="10"/>
      <x:c r="B435" s="10"/>
      <x:c r="C435" s="10"/>
      <x:c r="D435" s="10"/>
    </x:row>
    <x:row r="436" ht="14.25" customHeight="1">
      <x:c r="A436" s="10"/>
      <x:c r="B436" s="10"/>
      <x:c r="C436" s="10"/>
      <x:c r="D436" s="10"/>
    </x:row>
    <x:row r="437" ht="14.25" customHeight="1">
      <x:c r="A437" s="10"/>
      <x:c r="B437" s="10"/>
      <x:c r="C437" s="10"/>
      <x:c r="D437" s="10"/>
    </x:row>
    <x:row r="438" ht="14.25" customHeight="1">
      <x:c r="A438" s="10"/>
      <x:c r="B438" s="10"/>
      <x:c r="C438" s="10"/>
      <x:c r="D438" s="10"/>
    </x:row>
    <x:row r="439" ht="14.25" customHeight="1">
      <x:c r="A439" s="10"/>
      <x:c r="B439" s="10"/>
      <x:c r="C439" s="10"/>
      <x:c r="D439" s="10"/>
    </x:row>
    <x:row r="440" ht="14.25" customHeight="1">
      <x:c r="A440" s="10"/>
      <x:c r="B440" s="10"/>
      <x:c r="C440" s="10"/>
      <x:c r="D440" s="10"/>
    </x:row>
    <x:row r="441" ht="14.25" customHeight="1">
      <x:c r="A441" s="10"/>
      <x:c r="B441" s="10"/>
      <x:c r="C441" s="10"/>
      <x:c r="D441" s="10"/>
    </x:row>
    <x:row r="442" ht="14.25" customHeight="1">
      <x:c r="A442" s="10"/>
      <x:c r="B442" s="10"/>
      <x:c r="C442" s="10"/>
      <x:c r="D442" s="10"/>
    </x:row>
    <x:row r="443" ht="14.25" customHeight="1">
      <x:c r="A443" s="10"/>
      <x:c r="B443" s="10"/>
      <x:c r="C443" s="10"/>
      <x:c r="D443" s="10"/>
    </x:row>
    <x:row r="444" ht="14.25" customHeight="1">
      <x:c r="A444" s="10"/>
      <x:c r="B444" s="10"/>
      <x:c r="C444" s="10"/>
      <x:c r="D444" s="10"/>
    </x:row>
    <x:row r="445" ht="14.25" customHeight="1">
      <x:c r="A445" s="10"/>
      <x:c r="B445" s="10"/>
      <x:c r="C445" s="10"/>
      <x:c r="D445" s="10"/>
    </x:row>
    <x:row r="446" ht="14.25" customHeight="1">
      <x:c r="A446" s="10"/>
      <x:c r="B446" s="10"/>
      <x:c r="C446" s="10"/>
      <x:c r="D446" s="10"/>
    </x:row>
    <x:row r="447" ht="14.25" customHeight="1">
      <x:c r="A447" s="10"/>
      <x:c r="B447" s="10"/>
      <x:c r="C447" s="10"/>
      <x:c r="D447" s="10"/>
    </x:row>
    <x:row r="448" ht="14.25" customHeight="1">
      <x:c r="A448" s="10"/>
      <x:c r="B448" s="10"/>
      <x:c r="C448" s="10"/>
      <x:c r="D448" s="10"/>
    </x:row>
    <x:row r="449" ht="14.25" customHeight="1">
      <x:c r="A449" s="10"/>
      <x:c r="B449" s="10"/>
      <x:c r="C449" s="10"/>
      <x:c r="D449" s="10"/>
    </x:row>
    <x:row r="450" ht="14.25" customHeight="1">
      <x:c r="A450" s="10"/>
      <x:c r="B450" s="10"/>
      <x:c r="C450" s="10"/>
      <x:c r="D450" s="10"/>
    </x:row>
    <x:row r="451" ht="14.25" customHeight="1">
      <x:c r="A451" s="10"/>
      <x:c r="B451" s="10"/>
      <x:c r="C451" s="10"/>
      <x:c r="D451" s="10"/>
    </x:row>
    <x:row r="452" ht="14.25" customHeight="1">
      <x:c r="A452" s="10"/>
      <x:c r="B452" s="10"/>
      <x:c r="C452" s="10"/>
      <x:c r="D452" s="10"/>
    </x:row>
    <x:row r="453" ht="14.25" customHeight="1">
      <x:c r="A453" s="10"/>
      <x:c r="B453" s="10"/>
      <x:c r="C453" s="10"/>
      <x:c r="D453" s="10"/>
    </x:row>
    <x:row r="454" ht="14.25" customHeight="1">
      <x:c r="A454" s="10"/>
      <x:c r="B454" s="10"/>
      <x:c r="C454" s="10"/>
      <x:c r="D454" s="10"/>
    </x:row>
    <x:row r="455" ht="14.25" customHeight="1">
      <x:c r="A455" s="10"/>
      <x:c r="B455" s="10"/>
      <x:c r="C455" s="10"/>
      <x:c r="D455" s="10"/>
    </x:row>
    <x:row r="456" ht="14.25" customHeight="1">
      <x:c r="A456" s="10"/>
      <x:c r="B456" s="10"/>
      <x:c r="C456" s="10"/>
      <x:c r="D456" s="10"/>
    </x:row>
    <x:row r="457" ht="14.25" customHeight="1">
      <x:c r="A457" s="10"/>
      <x:c r="B457" s="10"/>
      <x:c r="C457" s="10"/>
      <x:c r="D457" s="10"/>
    </x:row>
    <x:row r="458" ht="14.25" customHeight="1">
      <x:c r="A458" s="10"/>
      <x:c r="B458" s="10"/>
      <x:c r="C458" s="10"/>
      <x:c r="D458" s="10"/>
    </x:row>
    <x:row r="459" ht="14.25" customHeight="1">
      <x:c r="A459" s="10"/>
      <x:c r="B459" s="10"/>
      <x:c r="C459" s="10"/>
      <x:c r="D459" s="10"/>
    </x:row>
    <x:row r="460" ht="14.25" customHeight="1">
      <x:c r="A460" s="10"/>
      <x:c r="B460" s="10"/>
      <x:c r="C460" s="10"/>
      <x:c r="D460" s="10"/>
    </x:row>
    <x:row r="461" ht="14.25" customHeight="1">
      <x:c r="A461" s="10"/>
      <x:c r="B461" s="10"/>
      <x:c r="C461" s="10"/>
      <x:c r="D461" s="10"/>
    </x:row>
    <x:row r="462" ht="14.25" customHeight="1">
      <x:c r="A462" s="10"/>
      <x:c r="B462" s="10"/>
      <x:c r="C462" s="10"/>
      <x:c r="D462" s="10"/>
    </x:row>
    <x:row r="463" ht="14.25" customHeight="1">
      <x:c r="A463" s="10"/>
      <x:c r="B463" s="10"/>
      <x:c r="C463" s="10"/>
      <x:c r="D463" s="10"/>
    </x:row>
    <x:row r="464" ht="14.25" customHeight="1">
      <x:c r="A464" s="10"/>
      <x:c r="B464" s="10"/>
      <x:c r="C464" s="10"/>
      <x:c r="D464" s="10"/>
    </x:row>
    <x:row r="465" ht="14.25" customHeight="1">
      <x:c r="A465" s="10"/>
      <x:c r="B465" s="10"/>
      <x:c r="C465" s="10"/>
      <x:c r="D465" s="10"/>
    </x:row>
    <x:row r="466" ht="14.25" customHeight="1">
      <x:c r="A466" s="10"/>
      <x:c r="B466" s="10"/>
      <x:c r="C466" s="10"/>
      <x:c r="D466" s="10"/>
    </x:row>
    <x:row r="467" ht="14.25" customHeight="1">
      <x:c r="A467" s="10"/>
      <x:c r="B467" s="10"/>
      <x:c r="C467" s="10"/>
      <x:c r="D467" s="10"/>
    </x:row>
    <x:row r="468" ht="14.25" customHeight="1">
      <x:c r="A468" s="10"/>
      <x:c r="B468" s="10"/>
      <x:c r="C468" s="10"/>
      <x:c r="D468" s="10"/>
    </x:row>
    <x:row r="469" ht="14.25" customHeight="1">
      <x:c r="A469" s="10"/>
      <x:c r="B469" s="10"/>
      <x:c r="C469" s="10"/>
      <x:c r="D469" s="10"/>
    </x:row>
    <x:row r="470" ht="14.25" customHeight="1">
      <x:c r="A470" s="10"/>
      <x:c r="B470" s="10"/>
      <x:c r="C470" s="10"/>
      <x:c r="D470" s="10"/>
    </x:row>
    <x:row r="471" ht="14.25" customHeight="1">
      <x:c r="A471" s="10"/>
      <x:c r="B471" s="10"/>
      <x:c r="C471" s="10"/>
      <x:c r="D471" s="10"/>
    </x:row>
    <x:row r="472" ht="14.25" customHeight="1">
      <x:c r="A472" s="10"/>
      <x:c r="B472" s="10"/>
      <x:c r="C472" s="10"/>
      <x:c r="D472" s="10"/>
    </x:row>
    <x:row r="473" ht="14.25" customHeight="1">
      <x:c r="A473" s="10"/>
      <x:c r="B473" s="10"/>
      <x:c r="C473" s="10"/>
      <x:c r="D473" s="10"/>
    </x:row>
    <x:row r="474" ht="14.25" customHeight="1">
      <x:c r="A474" s="10"/>
      <x:c r="B474" s="10"/>
      <x:c r="C474" s="10"/>
      <x:c r="D474" s="10"/>
    </x:row>
    <x:row r="475" ht="14.25" customHeight="1">
      <x:c r="A475" s="10"/>
      <x:c r="B475" s="10"/>
      <x:c r="C475" s="10"/>
      <x:c r="D475" s="10"/>
    </x:row>
    <x:row r="476" ht="14.25" customHeight="1">
      <x:c r="A476" s="10"/>
      <x:c r="B476" s="10"/>
      <x:c r="C476" s="10"/>
      <x:c r="D476" s="10"/>
    </x:row>
    <x:row r="477" ht="14.25" customHeight="1">
      <x:c r="A477" s="10"/>
      <x:c r="B477" s="10"/>
      <x:c r="C477" s="10"/>
      <x:c r="D477" s="10"/>
    </x:row>
    <x:row r="478" ht="14.25" customHeight="1">
      <x:c r="A478" s="10"/>
      <x:c r="B478" s="10"/>
      <x:c r="C478" s="10"/>
      <x:c r="D478" s="10"/>
    </x:row>
    <x:row r="479" ht="14.25" customHeight="1">
      <x:c r="A479" s="10"/>
      <x:c r="B479" s="10"/>
      <x:c r="C479" s="10"/>
      <x:c r="D479" s="10"/>
    </x:row>
    <x:row r="480" ht="14.25" customHeight="1">
      <x:c r="A480" s="10"/>
      <x:c r="B480" s="10"/>
      <x:c r="C480" s="10"/>
      <x:c r="D480" s="10"/>
    </x:row>
    <x:row r="481" ht="14.25" customHeight="1">
      <x:c r="A481" s="10"/>
      <x:c r="B481" s="10"/>
      <x:c r="C481" s="10"/>
      <x:c r="D481" s="10"/>
    </x:row>
    <x:row r="482" ht="14.25" customHeight="1">
      <x:c r="A482" s="10"/>
      <x:c r="B482" s="10"/>
      <x:c r="C482" s="10"/>
      <x:c r="D482" s="10"/>
    </x:row>
    <x:row r="483" ht="14.25" customHeight="1">
      <x:c r="A483" s="10"/>
      <x:c r="B483" s="10"/>
      <x:c r="C483" s="10"/>
      <x:c r="D483" s="10"/>
    </x:row>
    <x:row r="484" ht="14.25" customHeight="1">
      <x:c r="A484" s="10"/>
      <x:c r="B484" s="10"/>
      <x:c r="C484" s="10"/>
      <x:c r="D484" s="10"/>
    </x:row>
    <x:row r="485" ht="14.25" customHeight="1">
      <x:c r="A485" s="10"/>
      <x:c r="B485" s="10"/>
      <x:c r="C485" s="10"/>
      <x:c r="D485" s="10"/>
    </x:row>
    <x:row r="486" ht="14.25" customHeight="1">
      <x:c r="A486" s="10"/>
      <x:c r="B486" s="10"/>
      <x:c r="C486" s="10"/>
      <x:c r="D486" s="10"/>
    </x:row>
    <x:row r="487" ht="14.25" customHeight="1">
      <x:c r="A487" s="10"/>
      <x:c r="B487" s="10"/>
      <x:c r="C487" s="10"/>
      <x:c r="D487" s="10"/>
    </x:row>
    <x:row r="488" ht="14.25" customHeight="1">
      <x:c r="A488" s="10"/>
      <x:c r="B488" s="10"/>
      <x:c r="C488" s="10"/>
      <x:c r="D488" s="10"/>
    </x:row>
    <x:row r="489" ht="14.25" customHeight="1">
      <x:c r="A489" s="10"/>
      <x:c r="B489" s="10"/>
      <x:c r="C489" s="10"/>
      <x:c r="D489" s="10"/>
    </x:row>
    <x:row r="490" ht="14.25" customHeight="1">
      <x:c r="A490" s="10"/>
      <x:c r="B490" s="10"/>
      <x:c r="C490" s="10"/>
      <x:c r="D490" s="10"/>
    </x:row>
    <x:row r="491" ht="14.25" customHeight="1">
      <x:c r="A491" s="10"/>
      <x:c r="B491" s="10"/>
      <x:c r="C491" s="10"/>
      <x:c r="D491" s="10"/>
    </x:row>
    <x:row r="492" ht="14.25" customHeight="1">
      <x:c r="A492" s="10"/>
      <x:c r="B492" s="10"/>
      <x:c r="C492" s="10"/>
      <x:c r="D492" s="10"/>
    </x:row>
    <x:row r="493" ht="14.25" customHeight="1">
      <x:c r="A493" s="10"/>
      <x:c r="B493" s="10"/>
      <x:c r="C493" s="10"/>
      <x:c r="D493" s="10"/>
    </x:row>
    <x:row r="494" ht="14.25" customHeight="1">
      <x:c r="A494" s="10"/>
      <x:c r="B494" s="10"/>
      <x:c r="C494" s="10"/>
      <x:c r="D494" s="10"/>
    </x:row>
    <x:row r="495" ht="14.25" customHeight="1">
      <x:c r="A495" s="10"/>
      <x:c r="B495" s="10"/>
      <x:c r="C495" s="10"/>
      <x:c r="D495" s="10"/>
    </x:row>
    <x:row r="496" ht="14.25" customHeight="1">
      <x:c r="A496" s="10"/>
      <x:c r="B496" s="10"/>
      <x:c r="C496" s="10"/>
      <x:c r="D496" s="10"/>
    </x:row>
    <x:row r="497" ht="14.25" customHeight="1">
      <x:c r="A497" s="10"/>
      <x:c r="B497" s="10"/>
      <x:c r="C497" s="10"/>
      <x:c r="D497" s="10"/>
    </x:row>
    <x:row r="498" ht="14.25" customHeight="1">
      <x:c r="A498" s="10"/>
      <x:c r="B498" s="10"/>
      <x:c r="C498" s="10"/>
      <x:c r="D498" s="10"/>
    </x:row>
    <x:row r="499" ht="14.25" customHeight="1">
      <x:c r="A499" s="10"/>
      <x:c r="B499" s="10"/>
      <x:c r="C499" s="10"/>
      <x:c r="D499" s="10"/>
    </x:row>
    <x:row r="500" ht="14.25" customHeight="1">
      <x:c r="A500" s="10"/>
      <x:c r="B500" s="10"/>
      <x:c r="C500" s="10"/>
      <x:c r="D500" s="10"/>
    </x:row>
    <x:row r="501" ht="14.25" customHeight="1">
      <x:c r="A501" s="10"/>
      <x:c r="B501" s="10"/>
      <x:c r="C501" s="10"/>
      <x:c r="D501" s="10"/>
    </x:row>
    <x:row r="502" ht="14.25" customHeight="1">
      <x:c r="A502" s="10"/>
      <x:c r="B502" s="10"/>
      <x:c r="C502" s="10"/>
      <x:c r="D502" s="10"/>
    </x:row>
    <x:row r="503" ht="14.25" customHeight="1">
      <x:c r="A503" s="10"/>
      <x:c r="B503" s="10"/>
      <x:c r="C503" s="10"/>
      <x:c r="D503" s="10"/>
    </x:row>
    <x:row r="504" ht="14.25" customHeight="1">
      <x:c r="A504" s="10"/>
      <x:c r="B504" s="10"/>
      <x:c r="C504" s="10"/>
      <x:c r="D504" s="10"/>
    </x:row>
    <x:row r="505" ht="14.25" customHeight="1">
      <x:c r="A505" s="10"/>
      <x:c r="B505" s="10"/>
      <x:c r="C505" s="10"/>
      <x:c r="D505" s="10"/>
    </x:row>
    <x:row r="506" ht="14.25" customHeight="1">
      <x:c r="A506" s="10"/>
      <x:c r="B506" s="10"/>
      <x:c r="C506" s="10"/>
      <x:c r="D506" s="10"/>
    </x:row>
    <x:row r="507" ht="14.25" customHeight="1">
      <x:c r="A507" s="10"/>
      <x:c r="B507" s="10"/>
      <x:c r="C507" s="10"/>
      <x:c r="D507" s="10"/>
    </x:row>
    <x:row r="508" ht="14.25" customHeight="1">
      <x:c r="A508" s="10"/>
      <x:c r="B508" s="10"/>
      <x:c r="C508" s="10"/>
      <x:c r="D508" s="10"/>
    </x:row>
    <x:row r="509" ht="14.25" customHeight="1">
      <x:c r="A509" s="10"/>
      <x:c r="B509" s="10"/>
      <x:c r="C509" s="10"/>
      <x:c r="D509" s="10"/>
    </x:row>
    <x:row r="510" ht="14.25" customHeight="1">
      <x:c r="A510" s="10"/>
      <x:c r="B510" s="10"/>
      <x:c r="C510" s="10"/>
      <x:c r="D510" s="10"/>
    </x:row>
    <x:row r="511" ht="14.25" customHeight="1">
      <x:c r="A511" s="10"/>
      <x:c r="B511" s="10"/>
      <x:c r="C511" s="10"/>
      <x:c r="D511" s="10"/>
    </x:row>
    <x:row r="512" ht="14.25" customHeight="1">
      <x:c r="A512" s="10"/>
      <x:c r="B512" s="10"/>
      <x:c r="C512" s="10"/>
      <x:c r="D512" s="10"/>
    </x:row>
    <x:row r="513" ht="14.25" customHeight="1">
      <x:c r="A513" s="10"/>
      <x:c r="B513" s="10"/>
      <x:c r="C513" s="10"/>
      <x:c r="D513" s="10"/>
    </x:row>
    <x:row r="514" ht="14.25" customHeight="1">
      <x:c r="A514" s="10"/>
      <x:c r="B514" s="10"/>
      <x:c r="C514" s="10"/>
      <x:c r="D514" s="10"/>
    </x:row>
    <x:row r="515" ht="14.25" customHeight="1">
      <x:c r="A515" s="10"/>
      <x:c r="B515" s="10"/>
      <x:c r="C515" s="10"/>
      <x:c r="D515" s="10"/>
    </x:row>
    <x:row r="516" ht="14.25" customHeight="1">
      <x:c r="A516" s="10"/>
      <x:c r="B516" s="10"/>
      <x:c r="C516" s="10"/>
      <x:c r="D516" s="10"/>
    </x:row>
    <x:row r="517" ht="14.25" customHeight="1">
      <x:c r="A517" s="10"/>
      <x:c r="B517" s="10"/>
      <x:c r="C517" s="10"/>
      <x:c r="D517" s="10"/>
    </x:row>
    <x:row r="518" ht="14.25" customHeight="1">
      <x:c r="A518" s="10"/>
      <x:c r="B518" s="10"/>
      <x:c r="C518" s="10"/>
      <x:c r="D518" s="10"/>
    </x:row>
    <x:row r="519" ht="14.25" customHeight="1">
      <x:c r="A519" s="10"/>
      <x:c r="B519" s="10"/>
      <x:c r="C519" s="10"/>
      <x:c r="D519" s="10"/>
    </x:row>
    <x:row r="520" ht="14.25" customHeight="1">
      <x:c r="A520" s="10"/>
      <x:c r="B520" s="10"/>
      <x:c r="C520" s="10"/>
      <x:c r="D520" s="10"/>
    </x:row>
    <x:row r="521" ht="14.25" customHeight="1">
      <x:c r="A521" s="10"/>
      <x:c r="B521" s="10"/>
      <x:c r="C521" s="10"/>
      <x:c r="D521" s="10"/>
    </x:row>
    <x:row r="522" ht="14.25" customHeight="1">
      <x:c r="A522" s="10"/>
      <x:c r="B522" s="10"/>
      <x:c r="C522" s="10"/>
      <x:c r="D522" s="10"/>
    </x:row>
    <x:row r="523" ht="14.25" customHeight="1">
      <x:c r="A523" s="10"/>
      <x:c r="B523" s="10"/>
      <x:c r="C523" s="10"/>
      <x:c r="D523" s="10"/>
    </x:row>
    <x:row r="524" ht="14.25" customHeight="1">
      <x:c r="A524" s="10"/>
      <x:c r="B524" s="10"/>
      <x:c r="C524" s="10"/>
      <x:c r="D524" s="10"/>
    </x:row>
    <x:row r="525" ht="14.25" customHeight="1">
      <x:c r="A525" s="10"/>
      <x:c r="B525" s="10"/>
      <x:c r="C525" s="10"/>
      <x:c r="D525" s="10"/>
    </x:row>
    <x:row r="526" ht="14.25" customHeight="1">
      <x:c r="A526" s="10"/>
      <x:c r="B526" s="10"/>
      <x:c r="C526" s="10"/>
      <x:c r="D526" s="10"/>
    </x:row>
    <x:row r="527" ht="14.25" customHeight="1">
      <x:c r="A527" s="10"/>
      <x:c r="B527" s="10"/>
      <x:c r="C527" s="10"/>
      <x:c r="D527" s="10"/>
    </x:row>
    <x:row r="528" ht="14.25" customHeight="1">
      <x:c r="A528" s="10"/>
      <x:c r="B528" s="10"/>
      <x:c r="C528" s="10"/>
      <x:c r="D528" s="10"/>
    </x:row>
    <x:row r="529" ht="14.25" customHeight="1">
      <x:c r="A529" s="10"/>
      <x:c r="B529" s="10"/>
      <x:c r="C529" s="10"/>
      <x:c r="D529" s="10"/>
    </x:row>
    <x:row r="530" ht="14.25" customHeight="1">
      <x:c r="A530" s="10"/>
      <x:c r="B530" s="10"/>
      <x:c r="C530" s="10"/>
      <x:c r="D530" s="10"/>
    </x:row>
    <x:row r="531" ht="14.25" customHeight="1">
      <x:c r="A531" s="10"/>
      <x:c r="B531" s="10"/>
      <x:c r="C531" s="10"/>
      <x:c r="D531" s="10"/>
    </x:row>
    <x:row r="532" ht="14.25" customHeight="1">
      <x:c r="A532" s="10"/>
      <x:c r="B532" s="10"/>
      <x:c r="C532" s="10"/>
      <x:c r="D532" s="10"/>
    </x:row>
    <x:row r="533" ht="14.25" customHeight="1">
      <x:c r="A533" s="10"/>
      <x:c r="B533" s="10"/>
      <x:c r="C533" s="10"/>
      <x:c r="D533" s="10"/>
    </x:row>
    <x:row r="534" ht="14.25" customHeight="1">
      <x:c r="A534" s="10"/>
      <x:c r="B534" s="10"/>
      <x:c r="C534" s="10"/>
      <x:c r="D534" s="10"/>
    </x:row>
    <x:row r="535" ht="14.25" customHeight="1">
      <x:c r="A535" s="10"/>
      <x:c r="B535" s="10"/>
      <x:c r="C535" s="10"/>
      <x:c r="D535" s="10"/>
    </x:row>
    <x:row r="536" ht="14.25" customHeight="1">
      <x:c r="A536" s="10"/>
      <x:c r="B536" s="10"/>
      <x:c r="C536" s="10"/>
      <x:c r="D536" s="10"/>
    </x:row>
    <x:row r="537" ht="14.25" customHeight="1">
      <x:c r="A537" s="10"/>
      <x:c r="B537" s="10"/>
      <x:c r="C537" s="10"/>
      <x:c r="D537" s="10"/>
    </x:row>
    <x:row r="538" ht="14.25" customHeight="1">
      <x:c r="A538" s="10"/>
      <x:c r="B538" s="10"/>
      <x:c r="C538" s="10"/>
      <x:c r="D538" s="10"/>
    </x:row>
    <x:row r="539" ht="14.25" customHeight="1">
      <x:c r="A539" s="10"/>
      <x:c r="B539" s="10"/>
      <x:c r="C539" s="10"/>
      <x:c r="D539" s="10"/>
    </x:row>
    <x:row r="540" ht="14.25" customHeight="1">
      <x:c r="A540" s="10"/>
      <x:c r="B540" s="10"/>
      <x:c r="C540" s="10"/>
      <x:c r="D540" s="10"/>
    </x:row>
    <x:row r="541" ht="14.25" customHeight="1">
      <x:c r="A541" s="10"/>
      <x:c r="B541" s="10"/>
      <x:c r="C541" s="10"/>
      <x:c r="D541" s="10"/>
    </x:row>
    <x:row r="542" ht="14.25" customHeight="1">
      <x:c r="A542" s="10"/>
      <x:c r="B542" s="10"/>
      <x:c r="C542" s="10"/>
      <x:c r="D542" s="10"/>
    </x:row>
    <x:row r="543" ht="14.25" customHeight="1">
      <x:c r="A543" s="10"/>
      <x:c r="B543" s="10"/>
      <x:c r="C543" s="10"/>
      <x:c r="D543" s="10"/>
    </x:row>
    <x:row r="544" ht="14.25" customHeight="1">
      <x:c r="A544" s="10"/>
      <x:c r="B544" s="10"/>
      <x:c r="C544" s="10"/>
      <x:c r="D544" s="10"/>
    </x:row>
    <x:row r="545" ht="14.25" customHeight="1">
      <x:c r="A545" s="10"/>
      <x:c r="B545" s="10"/>
      <x:c r="C545" s="10"/>
      <x:c r="D545" s="10"/>
    </x:row>
    <x:row r="546" ht="14.25" customHeight="1">
      <x:c r="A546" s="10"/>
      <x:c r="B546" s="10"/>
      <x:c r="C546" s="10"/>
      <x:c r="D546" s="10"/>
    </x:row>
    <x:row r="547" ht="14.25" customHeight="1">
      <x:c r="A547" s="10"/>
      <x:c r="B547" s="10"/>
      <x:c r="C547" s="10"/>
      <x:c r="D547" s="10"/>
    </x:row>
    <x:row r="548" ht="14.25" customHeight="1">
      <x:c r="A548" s="10"/>
      <x:c r="B548" s="10"/>
      <x:c r="C548" s="10"/>
      <x:c r="D548" s="10"/>
    </x:row>
    <x:row r="549" ht="14.25" customHeight="1">
      <x:c r="A549" s="10"/>
      <x:c r="B549" s="10"/>
      <x:c r="C549" s="10"/>
      <x:c r="D549" s="10"/>
    </x:row>
    <x:row r="550" ht="14.25" customHeight="1">
      <x:c r="A550" s="10"/>
      <x:c r="B550" s="10"/>
      <x:c r="C550" s="10"/>
      <x:c r="D550" s="10"/>
    </x:row>
    <x:row r="551" ht="14.25" customHeight="1">
      <x:c r="A551" s="10"/>
      <x:c r="B551" s="10"/>
      <x:c r="C551" s="10"/>
      <x:c r="D551" s="10"/>
    </x:row>
    <x:row r="552" ht="14.25" customHeight="1">
      <x:c r="A552" s="10"/>
      <x:c r="B552" s="10"/>
      <x:c r="C552" s="10"/>
      <x:c r="D552" s="10"/>
    </x:row>
    <x:row r="553" ht="14.25" customHeight="1">
      <x:c r="A553" s="10"/>
      <x:c r="B553" s="10"/>
      <x:c r="C553" s="10"/>
      <x:c r="D553" s="10"/>
    </x:row>
    <x:row r="554" ht="14.25" customHeight="1">
      <x:c r="A554" s="10"/>
      <x:c r="B554" s="10"/>
      <x:c r="C554" s="10"/>
      <x:c r="D554" s="10"/>
    </x:row>
    <x:row r="555" ht="14.25" customHeight="1">
      <x:c r="A555" s="10"/>
      <x:c r="B555" s="10"/>
      <x:c r="C555" s="10"/>
      <x:c r="D555" s="10"/>
    </x:row>
    <x:row r="556" ht="14.25" customHeight="1">
      <x:c r="A556" s="10"/>
      <x:c r="B556" s="10"/>
      <x:c r="C556" s="10"/>
      <x:c r="D556" s="10"/>
    </x:row>
    <x:row r="557" ht="14.25" customHeight="1">
      <x:c r="A557" s="10"/>
      <x:c r="B557" s="10"/>
      <x:c r="C557" s="10"/>
      <x:c r="D557" s="10"/>
    </x:row>
    <x:row r="558" ht="14.25" customHeight="1">
      <x:c r="A558" s="10"/>
      <x:c r="B558" s="10"/>
      <x:c r="C558" s="10"/>
      <x:c r="D558" s="10"/>
    </x:row>
    <x:row r="559" ht="14.25" customHeight="1">
      <x:c r="A559" s="10"/>
      <x:c r="B559" s="10"/>
      <x:c r="C559" s="10"/>
      <x:c r="D559" s="10"/>
    </x:row>
    <x:row r="560" ht="14.25" customHeight="1">
      <x:c r="A560" s="10"/>
      <x:c r="B560" s="10"/>
      <x:c r="C560" s="10"/>
      <x:c r="D560" s="10"/>
    </x:row>
    <x:row r="561" ht="14.25" customHeight="1">
      <x:c r="A561" s="10"/>
      <x:c r="B561" s="10"/>
      <x:c r="C561" s="10"/>
      <x:c r="D561" s="10"/>
    </x:row>
    <x:row r="562" ht="14.25" customHeight="1">
      <x:c r="A562" s="10"/>
      <x:c r="B562" s="10"/>
      <x:c r="C562" s="10"/>
      <x:c r="D562" s="10"/>
    </x:row>
    <x:row r="563" ht="14.25" customHeight="1">
      <x:c r="A563" s="10"/>
      <x:c r="B563" s="10"/>
      <x:c r="C563" s="10"/>
      <x:c r="D563" s="10"/>
    </x:row>
    <x:row r="564" ht="14.25" customHeight="1">
      <x:c r="A564" s="10"/>
      <x:c r="B564" s="10"/>
      <x:c r="C564" s="10"/>
      <x:c r="D564" s="10"/>
    </x:row>
    <x:row r="565" ht="14.25" customHeight="1">
      <x:c r="A565" s="10"/>
      <x:c r="B565" s="10"/>
      <x:c r="C565" s="10"/>
      <x:c r="D565" s="10"/>
    </x:row>
    <x:row r="566" ht="14.25" customHeight="1">
      <x:c r="A566" s="10"/>
      <x:c r="B566" s="10"/>
      <x:c r="C566" s="10"/>
      <x:c r="D566" s="10"/>
    </x:row>
    <x:row r="567" ht="14.25" customHeight="1">
      <x:c r="A567" s="10"/>
      <x:c r="B567" s="10"/>
      <x:c r="C567" s="10"/>
      <x:c r="D567" s="10"/>
    </x:row>
    <x:row r="568" ht="14.25" customHeight="1">
      <x:c r="A568" s="10"/>
      <x:c r="B568" s="10"/>
      <x:c r="C568" s="10"/>
      <x:c r="D568" s="10"/>
    </x:row>
    <x:row r="569" ht="14.25" customHeight="1">
      <x:c r="A569" s="10"/>
      <x:c r="B569" s="10"/>
      <x:c r="C569" s="10"/>
      <x:c r="D569" s="10"/>
    </x:row>
    <x:row r="570" ht="14.25" customHeight="1">
      <x:c r="A570" s="10"/>
      <x:c r="B570" s="10"/>
      <x:c r="C570" s="10"/>
      <x:c r="D570" s="10"/>
    </x:row>
    <x:row r="571" ht="14.25" customHeight="1">
      <x:c r="A571" s="10"/>
      <x:c r="B571" s="10"/>
      <x:c r="C571" s="10"/>
      <x:c r="D571" s="10"/>
    </x:row>
    <x:row r="572" ht="14.25" customHeight="1">
      <x:c r="A572" s="10"/>
      <x:c r="B572" s="10"/>
      <x:c r="C572" s="10"/>
      <x:c r="D572" s="10"/>
    </x:row>
    <x:row r="573" ht="14.25" customHeight="1">
      <x:c r="A573" s="10"/>
      <x:c r="B573" s="10"/>
      <x:c r="C573" s="10"/>
      <x:c r="D573" s="10"/>
    </x:row>
    <x:row r="574" ht="14.25" customHeight="1">
      <x:c r="A574" s="10"/>
      <x:c r="B574" s="10"/>
      <x:c r="C574" s="10"/>
      <x:c r="D574" s="10"/>
    </x:row>
    <x:row r="575" ht="14.25" customHeight="1">
      <x:c r="A575" s="10"/>
      <x:c r="B575" s="10"/>
      <x:c r="C575" s="10"/>
      <x:c r="D575" s="10"/>
    </x:row>
    <x:row r="576" ht="14.25" customHeight="1">
      <x:c r="A576" s="10"/>
      <x:c r="B576" s="10"/>
      <x:c r="C576" s="10"/>
      <x:c r="D576" s="10"/>
    </x:row>
    <x:row r="577" ht="14.25" customHeight="1">
      <x:c r="A577" s="10"/>
      <x:c r="B577" s="10"/>
      <x:c r="C577" s="10"/>
      <x:c r="D577" s="10"/>
    </x:row>
    <x:row r="578" ht="14.25" customHeight="1">
      <x:c r="A578" s="10"/>
      <x:c r="B578" s="10"/>
      <x:c r="C578" s="10"/>
      <x:c r="D578" s="10"/>
    </x:row>
    <x:row r="579" ht="14.25" customHeight="1">
      <x:c r="A579" s="10"/>
      <x:c r="B579" s="10"/>
      <x:c r="C579" s="10"/>
      <x:c r="D579" s="10"/>
    </x:row>
    <x:row r="580" ht="14.25" customHeight="1">
      <x:c r="A580" s="10"/>
      <x:c r="B580" s="10"/>
      <x:c r="C580" s="10"/>
      <x:c r="D580" s="10"/>
    </x:row>
    <x:row r="581" ht="14.25" customHeight="1">
      <x:c r="A581" s="10"/>
      <x:c r="B581" s="10"/>
      <x:c r="C581" s="10"/>
      <x:c r="D581" s="10"/>
    </x:row>
    <x:row r="582" ht="14.25" customHeight="1">
      <x:c r="A582" s="10"/>
      <x:c r="B582" s="10"/>
      <x:c r="C582" s="10"/>
      <x:c r="D582" s="10"/>
    </x:row>
    <x:row r="583" ht="14.25" customHeight="1">
      <x:c r="A583" s="10"/>
      <x:c r="B583" s="10"/>
      <x:c r="C583" s="10"/>
      <x:c r="D583" s="10"/>
    </x:row>
    <x:row r="584" ht="14.25" customHeight="1">
      <x:c r="A584" s="10"/>
      <x:c r="B584" s="10"/>
      <x:c r="C584" s="10"/>
      <x:c r="D584" s="10"/>
    </x:row>
    <x:row r="585" ht="14.25" customHeight="1">
      <x:c r="A585" s="10"/>
      <x:c r="B585" s="10"/>
      <x:c r="C585" s="10"/>
      <x:c r="D585" s="10"/>
    </x:row>
    <x:row r="586" ht="14.25" customHeight="1">
      <x:c r="A586" s="10"/>
      <x:c r="B586" s="10"/>
      <x:c r="C586" s="10"/>
      <x:c r="D586" s="10"/>
    </x:row>
    <x:row r="587" ht="14.25" customHeight="1">
      <x:c r="A587" s="10"/>
      <x:c r="B587" s="10"/>
      <x:c r="C587" s="10"/>
      <x:c r="D587" s="10"/>
    </x:row>
    <x:row r="588" ht="14.25" customHeight="1">
      <x:c r="A588" s="10"/>
      <x:c r="B588" s="10"/>
      <x:c r="C588" s="10"/>
      <x:c r="D588" s="10"/>
    </x:row>
    <x:row r="589" ht="14.25" customHeight="1">
      <x:c r="A589" s="10"/>
      <x:c r="B589" s="10"/>
      <x:c r="C589" s="10"/>
      <x:c r="D589" s="10"/>
    </x:row>
    <x:row r="590" ht="14.25" customHeight="1">
      <x:c r="A590" s="10"/>
      <x:c r="B590" s="10"/>
      <x:c r="C590" s="10"/>
      <x:c r="D590" s="10"/>
    </x:row>
    <x:row r="591" ht="14.25" customHeight="1">
      <x:c r="A591" s="10"/>
      <x:c r="B591" s="10"/>
      <x:c r="C591" s="10"/>
      <x:c r="D591" s="10"/>
    </x:row>
    <x:row r="592" ht="14.25" customHeight="1">
      <x:c r="A592" s="10"/>
      <x:c r="B592" s="10"/>
      <x:c r="C592" s="10"/>
      <x:c r="D592" s="10"/>
    </x:row>
    <x:row r="593" ht="14.25" customHeight="1">
      <x:c r="A593" s="10"/>
      <x:c r="B593" s="10"/>
      <x:c r="C593" s="10"/>
      <x:c r="D593" s="10"/>
    </x:row>
    <x:row r="594" ht="14.25" customHeight="1">
      <x:c r="A594" s="10"/>
      <x:c r="B594" s="10"/>
      <x:c r="C594" s="10"/>
      <x:c r="D594" s="10"/>
    </x:row>
    <x:row r="595" ht="14.25" customHeight="1">
      <x:c r="A595" s="10"/>
      <x:c r="B595" s="10"/>
      <x:c r="C595" s="10"/>
      <x:c r="D595" s="10"/>
    </x:row>
    <x:row r="596" ht="14.25" customHeight="1">
      <x:c r="A596" s="10"/>
      <x:c r="B596" s="10"/>
      <x:c r="C596" s="10"/>
      <x:c r="D596" s="10"/>
    </x:row>
    <x:row r="597" ht="14.25" customHeight="1">
      <x:c r="A597" s="10"/>
      <x:c r="B597" s="10"/>
      <x:c r="C597" s="10"/>
      <x:c r="D597" s="10"/>
    </x:row>
    <x:row r="598" ht="14.25" customHeight="1">
      <x:c r="A598" s="10"/>
      <x:c r="B598" s="10"/>
      <x:c r="C598" s="10"/>
      <x:c r="D598" s="10"/>
    </x:row>
    <x:row r="599" ht="14.25" customHeight="1">
      <x:c r="A599" s="10"/>
      <x:c r="B599" s="10"/>
      <x:c r="C599" s="10"/>
      <x:c r="D599" s="10"/>
    </x:row>
    <x:row r="600" ht="14.25" customHeight="1">
      <x:c r="A600" s="10"/>
      <x:c r="B600" s="10"/>
      <x:c r="C600" s="10"/>
      <x:c r="D600" s="10"/>
    </x:row>
    <x:row r="601" ht="14.25" customHeight="1">
      <x:c r="A601" s="10"/>
      <x:c r="B601" s="10"/>
      <x:c r="C601" s="10"/>
      <x:c r="D601" s="10"/>
    </x:row>
    <x:row r="602" ht="14.25" customHeight="1">
      <x:c r="A602" s="10"/>
      <x:c r="B602" s="10"/>
      <x:c r="C602" s="10"/>
      <x:c r="D602" s="10"/>
    </x:row>
    <x:row r="603" ht="14.25" customHeight="1">
      <x:c r="A603" s="10"/>
      <x:c r="B603" s="10"/>
      <x:c r="C603" s="10"/>
      <x:c r="D603" s="10"/>
    </x:row>
    <x:row r="604" ht="14.25" customHeight="1">
      <x:c r="A604" s="10"/>
      <x:c r="B604" s="10"/>
      <x:c r="C604" s="10"/>
      <x:c r="D604" s="10"/>
    </x:row>
    <x:row r="605" ht="14.25" customHeight="1">
      <x:c r="A605" s="10"/>
      <x:c r="B605" s="10"/>
      <x:c r="C605" s="10"/>
      <x:c r="D605" s="10"/>
    </x:row>
    <x:row r="606" ht="14.25" customHeight="1">
      <x:c r="A606" s="10"/>
      <x:c r="B606" s="10"/>
      <x:c r="C606" s="10"/>
      <x:c r="D606" s="10"/>
    </x:row>
    <x:row r="607" ht="14.25" customHeight="1">
      <x:c r="A607" s="10"/>
      <x:c r="B607" s="10"/>
      <x:c r="C607" s="10"/>
      <x:c r="D607" s="10"/>
    </x:row>
    <x:row r="608" ht="14.25" customHeight="1">
      <x:c r="A608" s="10"/>
      <x:c r="B608" s="10"/>
      <x:c r="C608" s="10"/>
      <x:c r="D608" s="10"/>
    </x:row>
    <x:row r="609" ht="14.25" customHeight="1">
      <x:c r="A609" s="10"/>
      <x:c r="B609" s="10"/>
      <x:c r="C609" s="10"/>
      <x:c r="D609" s="10"/>
    </x:row>
    <x:row r="610" ht="14.25" customHeight="1">
      <x:c r="A610" s="10"/>
      <x:c r="B610" s="10"/>
      <x:c r="C610" s="10"/>
      <x:c r="D610" s="10"/>
    </x:row>
    <x:row r="611" ht="14.25" customHeight="1">
      <x:c r="A611" s="10"/>
      <x:c r="B611" s="10"/>
      <x:c r="C611" s="10"/>
      <x:c r="D611" s="10"/>
    </x:row>
    <x:row r="612" ht="14.25" customHeight="1">
      <x:c r="A612" s="10"/>
      <x:c r="B612" s="10"/>
      <x:c r="C612" s="10"/>
      <x:c r="D612" s="10"/>
    </x:row>
    <x:row r="613" ht="14.25" customHeight="1">
      <x:c r="A613" s="10"/>
      <x:c r="B613" s="10"/>
      <x:c r="C613" s="10"/>
      <x:c r="D613" s="10"/>
    </x:row>
    <x:row r="614" ht="14.25" customHeight="1">
      <x:c r="A614" s="10"/>
      <x:c r="B614" s="10"/>
      <x:c r="C614" s="10"/>
      <x:c r="D614" s="10"/>
    </x:row>
    <x:row r="615" ht="14.25" customHeight="1">
      <x:c r="A615" s="10"/>
      <x:c r="B615" s="10"/>
      <x:c r="C615" s="10"/>
      <x:c r="D615" s="10"/>
    </x:row>
    <x:row r="616" ht="14.25" customHeight="1">
      <x:c r="A616" s="10"/>
      <x:c r="B616" s="10"/>
      <x:c r="C616" s="10"/>
      <x:c r="D616" s="10"/>
    </x:row>
    <x:row r="617" ht="14.25" customHeight="1">
      <x:c r="A617" s="10"/>
      <x:c r="B617" s="10"/>
      <x:c r="C617" s="10"/>
      <x:c r="D617" s="10"/>
    </x:row>
    <x:row r="618" ht="14.25" customHeight="1">
      <x:c r="A618" s="10"/>
      <x:c r="B618" s="10"/>
      <x:c r="C618" s="10"/>
      <x:c r="D618" s="10"/>
    </x:row>
    <x:row r="619" ht="14.25" customHeight="1">
      <x:c r="A619" s="10"/>
      <x:c r="B619" s="10"/>
      <x:c r="C619" s="10"/>
      <x:c r="D619" s="10"/>
    </x:row>
    <x:row r="620" ht="14.25" customHeight="1">
      <x:c r="A620" s="10"/>
      <x:c r="B620" s="10"/>
      <x:c r="C620" s="10"/>
      <x:c r="D620" s="10"/>
    </x:row>
    <x:row r="621" ht="14.25" customHeight="1">
      <x:c r="A621" s="10"/>
      <x:c r="B621" s="10"/>
      <x:c r="C621" s="10"/>
      <x:c r="D621" s="10"/>
    </x:row>
    <x:row r="622" ht="14.25" customHeight="1">
      <x:c r="A622" s="10"/>
      <x:c r="B622" s="10"/>
      <x:c r="C622" s="10"/>
      <x:c r="D622" s="10"/>
    </x:row>
    <x:row r="623" ht="14.25" customHeight="1">
      <x:c r="A623" s="10"/>
      <x:c r="B623" s="10"/>
      <x:c r="C623" s="10"/>
      <x:c r="D623" s="10"/>
    </x:row>
    <x:row r="624" ht="14.25" customHeight="1">
      <x:c r="A624" s="10"/>
      <x:c r="B624" s="10"/>
      <x:c r="C624" s="10"/>
      <x:c r="D624" s="10"/>
    </x:row>
    <x:row r="625" ht="14.25" customHeight="1">
      <x:c r="A625" s="10"/>
      <x:c r="B625" s="10"/>
      <x:c r="C625" s="10"/>
      <x:c r="D625" s="10"/>
    </x:row>
    <x:row r="626" ht="14.25" customHeight="1">
      <x:c r="A626" s="10"/>
      <x:c r="B626" s="10"/>
      <x:c r="C626" s="10"/>
      <x:c r="D626" s="10"/>
    </x:row>
    <x:row r="627" ht="14.25" customHeight="1">
      <x:c r="A627" s="10"/>
      <x:c r="B627" s="10"/>
      <x:c r="C627" s="10"/>
      <x:c r="D627" s="10"/>
    </x:row>
    <x:row r="628" ht="14.25" customHeight="1">
      <x:c r="A628" s="10"/>
      <x:c r="B628" s="10"/>
      <x:c r="C628" s="10"/>
      <x:c r="D628" s="10"/>
    </x:row>
    <x:row r="629" ht="14.25" customHeight="1">
      <x:c r="A629" s="10"/>
      <x:c r="B629" s="10"/>
      <x:c r="C629" s="10"/>
      <x:c r="D629" s="10"/>
    </x:row>
    <x:row r="630" ht="14.25" customHeight="1">
      <x:c r="A630" s="10"/>
      <x:c r="B630" s="10"/>
      <x:c r="C630" s="10"/>
      <x:c r="D630" s="10"/>
    </x:row>
    <x:row r="631" ht="14.25" customHeight="1">
      <x:c r="A631" s="10"/>
      <x:c r="B631" s="10"/>
      <x:c r="C631" s="10"/>
      <x:c r="D631" s="10"/>
    </x:row>
    <x:row r="632" ht="14.25" customHeight="1">
      <x:c r="A632" s="10"/>
      <x:c r="B632" s="10"/>
      <x:c r="C632" s="10"/>
      <x:c r="D632" s="10"/>
    </x:row>
    <x:row r="633" ht="14.25" customHeight="1">
      <x:c r="A633" s="10"/>
      <x:c r="B633" s="10"/>
      <x:c r="C633" s="10"/>
      <x:c r="D633" s="10"/>
    </x:row>
    <x:row r="634" ht="14.25" customHeight="1">
      <x:c r="A634" s="10"/>
      <x:c r="B634" s="10"/>
      <x:c r="C634" s="10"/>
      <x:c r="D634" s="10"/>
    </x:row>
    <x:row r="635" ht="14.25" customHeight="1">
      <x:c r="A635" s="10"/>
      <x:c r="B635" s="10"/>
      <x:c r="C635" s="10"/>
      <x:c r="D635" s="10"/>
    </x:row>
    <x:row r="636" ht="14.25" customHeight="1">
      <x:c r="A636" s="10"/>
      <x:c r="B636" s="10"/>
      <x:c r="C636" s="10"/>
      <x:c r="D636" s="10"/>
    </x:row>
    <x:row r="637" ht="14.25" customHeight="1">
      <x:c r="A637" s="10"/>
      <x:c r="B637" s="10"/>
      <x:c r="C637" s="10"/>
      <x:c r="D637" s="10"/>
    </x:row>
    <x:row r="638" ht="14.25" customHeight="1">
      <x:c r="A638" s="10"/>
      <x:c r="B638" s="10"/>
      <x:c r="C638" s="10"/>
      <x:c r="D638" s="10"/>
    </x:row>
    <x:row r="639" ht="14.25" customHeight="1">
      <x:c r="A639" s="10"/>
      <x:c r="B639" s="10"/>
      <x:c r="C639" s="10"/>
      <x:c r="D639" s="10"/>
    </x:row>
    <x:row r="640" ht="14.25" customHeight="1">
      <x:c r="A640" s="10"/>
      <x:c r="B640" s="10"/>
      <x:c r="C640" s="10"/>
      <x:c r="D640" s="10"/>
    </x:row>
    <x:row r="641" ht="14.25" customHeight="1">
      <x:c r="A641" s="10"/>
      <x:c r="B641" s="10"/>
      <x:c r="C641" s="10"/>
      <x:c r="D641" s="10"/>
    </x:row>
    <x:row r="642" ht="14.25" customHeight="1">
      <x:c r="A642" s="10"/>
      <x:c r="B642" s="10"/>
      <x:c r="C642" s="10"/>
      <x:c r="D642" s="10"/>
    </x:row>
    <x:row r="643" ht="14.25" customHeight="1">
      <x:c r="A643" s="10"/>
      <x:c r="B643" s="10"/>
      <x:c r="C643" s="10"/>
      <x:c r="D643" s="10"/>
    </x:row>
    <x:row r="644" ht="14.25" customHeight="1">
      <x:c r="A644" s="10"/>
      <x:c r="B644" s="10"/>
      <x:c r="C644" s="10"/>
      <x:c r="D644" s="10"/>
    </x:row>
    <x:row r="645" ht="14.25" customHeight="1">
      <x:c r="A645" s="10"/>
      <x:c r="B645" s="10"/>
      <x:c r="C645" s="10"/>
      <x:c r="D645" s="10"/>
    </x:row>
    <x:row r="646" ht="14.25" customHeight="1">
      <x:c r="A646" s="10"/>
      <x:c r="B646" s="10"/>
      <x:c r="C646" s="10"/>
      <x:c r="D646" s="10"/>
    </x:row>
    <x:row r="647" ht="14.25" customHeight="1">
      <x:c r="A647" s="10"/>
      <x:c r="B647" s="10"/>
      <x:c r="C647" s="10"/>
      <x:c r="D647" s="10"/>
    </x:row>
    <x:row r="648" ht="14.25" customHeight="1">
      <x:c r="A648" s="10"/>
      <x:c r="B648" s="10"/>
      <x:c r="C648" s="10"/>
      <x:c r="D648" s="10"/>
    </x:row>
    <x:row r="649" ht="14.25" customHeight="1">
      <x:c r="A649" s="10"/>
      <x:c r="B649" s="10"/>
      <x:c r="C649" s="10"/>
      <x:c r="D649" s="10"/>
    </x:row>
    <x:row r="650" ht="14.25" customHeight="1">
      <x:c r="A650" s="10"/>
      <x:c r="B650" s="10"/>
      <x:c r="C650" s="10"/>
      <x:c r="D650" s="10"/>
    </x:row>
    <x:row r="651" ht="14.25" customHeight="1">
      <x:c r="A651" s="10"/>
      <x:c r="B651" s="10"/>
      <x:c r="C651" s="10"/>
      <x:c r="D651" s="10"/>
    </x:row>
    <x:row r="652" ht="14.25" customHeight="1">
      <x:c r="A652" s="10"/>
      <x:c r="B652" s="10"/>
      <x:c r="C652" s="10"/>
      <x:c r="D652" s="10"/>
    </x:row>
    <x:row r="653" ht="14.25" customHeight="1">
      <x:c r="A653" s="10"/>
      <x:c r="B653" s="10"/>
      <x:c r="C653" s="10"/>
      <x:c r="D653" s="10"/>
    </x:row>
    <x:row r="654" ht="14.25" customHeight="1">
      <x:c r="A654" s="10"/>
      <x:c r="B654" s="10"/>
      <x:c r="C654" s="10"/>
      <x:c r="D654" s="10"/>
    </x:row>
    <x:row r="655" ht="14.25" customHeight="1">
      <x:c r="A655" s="10"/>
      <x:c r="B655" s="10"/>
      <x:c r="C655" s="10"/>
      <x:c r="D655" s="10"/>
    </x:row>
    <x:row r="656" ht="14.25" customHeight="1">
      <x:c r="A656" s="10"/>
      <x:c r="B656" s="10"/>
      <x:c r="C656" s="10"/>
      <x:c r="D656" s="10"/>
    </x:row>
    <x:row r="657" ht="14.25" customHeight="1">
      <x:c r="A657" s="10"/>
      <x:c r="B657" s="10"/>
      <x:c r="C657" s="10"/>
      <x:c r="D657" s="10"/>
    </x:row>
    <x:row r="658" ht="14.25" customHeight="1">
      <x:c r="A658" s="10"/>
      <x:c r="B658" s="10"/>
      <x:c r="C658" s="10"/>
      <x:c r="D658" s="10"/>
    </x:row>
    <x:row r="659" ht="14.25" customHeight="1">
      <x:c r="A659" s="10"/>
      <x:c r="B659" s="10"/>
      <x:c r="C659" s="10"/>
      <x:c r="D659" s="10"/>
    </x:row>
    <x:row r="660" ht="14.25" customHeight="1">
      <x:c r="A660" s="10"/>
      <x:c r="B660" s="10"/>
      <x:c r="C660" s="10"/>
      <x:c r="D660" s="10"/>
    </x:row>
    <x:row r="661" ht="14.25" customHeight="1">
      <x:c r="A661" s="10"/>
      <x:c r="B661" s="10"/>
      <x:c r="C661" s="10"/>
      <x:c r="D661" s="10"/>
    </x:row>
    <x:row r="662" ht="14.25" customHeight="1">
      <x:c r="A662" s="10"/>
      <x:c r="B662" s="10"/>
      <x:c r="C662" s="10"/>
      <x:c r="D662" s="10"/>
    </x:row>
    <x:row r="663" ht="14.25" customHeight="1">
      <x:c r="A663" s="10"/>
      <x:c r="B663" s="10"/>
      <x:c r="C663" s="10"/>
      <x:c r="D663" s="10"/>
    </x:row>
    <x:row r="664" ht="14.25" customHeight="1">
      <x:c r="A664" s="10"/>
      <x:c r="B664" s="10"/>
      <x:c r="C664" s="10"/>
      <x:c r="D664" s="10"/>
    </x:row>
    <x:row r="665" ht="14.25" customHeight="1">
      <x:c r="A665" s="10"/>
      <x:c r="B665" s="10"/>
      <x:c r="C665" s="10"/>
      <x:c r="D665" s="10"/>
    </x:row>
    <x:row r="666" ht="14.25" customHeight="1">
      <x:c r="A666" s="10"/>
      <x:c r="B666" s="10"/>
      <x:c r="C666" s="10"/>
      <x:c r="D666" s="10"/>
    </x:row>
    <x:row r="667" ht="14.25" customHeight="1">
      <x:c r="A667" s="10"/>
      <x:c r="B667" s="10"/>
      <x:c r="C667" s="10"/>
      <x:c r="D667" s="10"/>
    </x:row>
    <x:row r="668" ht="14.25" customHeight="1">
      <x:c r="A668" s="10"/>
      <x:c r="B668" s="10"/>
      <x:c r="C668" s="10"/>
      <x:c r="D668" s="10"/>
    </x:row>
    <x:row r="669" ht="14.25" customHeight="1">
      <x:c r="A669" s="10"/>
      <x:c r="B669" s="10"/>
      <x:c r="C669" s="10"/>
      <x:c r="D669" s="10"/>
    </x:row>
    <x:row r="670" ht="14.25" customHeight="1">
      <x:c r="A670" s="10"/>
      <x:c r="B670" s="10"/>
      <x:c r="C670" s="10"/>
      <x:c r="D670" s="10"/>
    </x:row>
    <x:row r="671" ht="14.25" customHeight="1">
      <x:c r="A671" s="10"/>
      <x:c r="B671" s="10"/>
      <x:c r="C671" s="10"/>
      <x:c r="D671" s="10"/>
    </x:row>
    <x:row r="672" ht="14.25" customHeight="1">
      <x:c r="A672" s="10"/>
      <x:c r="B672" s="10"/>
      <x:c r="C672" s="10"/>
      <x:c r="D672" s="10"/>
    </x:row>
    <x:row r="673" ht="14.25" customHeight="1">
      <x:c r="A673" s="10"/>
      <x:c r="B673" s="10"/>
      <x:c r="C673" s="10"/>
      <x:c r="D673" s="10"/>
    </x:row>
    <x:row r="674" ht="14.25" customHeight="1">
      <x:c r="A674" s="10"/>
      <x:c r="B674" s="10"/>
      <x:c r="C674" s="10"/>
      <x:c r="D674" s="10"/>
    </x:row>
    <x:row r="675" ht="14.25" customHeight="1">
      <x:c r="A675" s="10"/>
      <x:c r="B675" s="10"/>
      <x:c r="C675" s="10"/>
      <x:c r="D675" s="10"/>
    </x:row>
    <x:row r="676" ht="14.25" customHeight="1">
      <x:c r="A676" s="10"/>
      <x:c r="B676" s="10"/>
      <x:c r="C676" s="10"/>
      <x:c r="D676" s="10"/>
    </x:row>
    <x:row r="677" ht="14.25" customHeight="1">
      <x:c r="A677" s="10"/>
      <x:c r="B677" s="10"/>
      <x:c r="C677" s="10"/>
      <x:c r="D677" s="10"/>
    </x:row>
    <x:row r="678" ht="14.25" customHeight="1">
      <x:c r="A678" s="10"/>
      <x:c r="B678" s="10"/>
      <x:c r="C678" s="10"/>
      <x:c r="D678" s="10"/>
    </x:row>
    <x:row r="679" ht="14.25" customHeight="1">
      <x:c r="A679" s="10"/>
      <x:c r="B679" s="10"/>
      <x:c r="C679" s="10"/>
      <x:c r="D679" s="10"/>
    </x:row>
    <x:row r="680" ht="14.25" customHeight="1">
      <x:c r="A680" s="10"/>
      <x:c r="B680" s="10"/>
      <x:c r="C680" s="10"/>
      <x:c r="D680" s="10"/>
    </x:row>
    <x:row r="681" ht="14.25" customHeight="1">
      <x:c r="A681" s="10"/>
      <x:c r="B681" s="10"/>
      <x:c r="C681" s="10"/>
      <x:c r="D681" s="10"/>
    </x:row>
    <x:row r="682" ht="14.25" customHeight="1">
      <x:c r="A682" s="10"/>
      <x:c r="B682" s="10"/>
      <x:c r="C682" s="10"/>
      <x:c r="D682" s="10"/>
    </x:row>
    <x:row r="683" ht="14.25" customHeight="1">
      <x:c r="A683" s="10"/>
      <x:c r="B683" s="10"/>
      <x:c r="C683" s="10"/>
      <x:c r="D683" s="10"/>
    </x:row>
    <x:row r="684" ht="14.25" customHeight="1">
      <x:c r="A684" s="10"/>
      <x:c r="B684" s="10"/>
      <x:c r="C684" s="10"/>
      <x:c r="D684" s="10"/>
    </x:row>
    <x:row r="685" ht="14.25" customHeight="1">
      <x:c r="A685" s="10"/>
      <x:c r="B685" s="10"/>
      <x:c r="C685" s="10"/>
      <x:c r="D685" s="10"/>
    </x:row>
    <x:row r="686" ht="14.25" customHeight="1">
      <x:c r="A686" s="10"/>
      <x:c r="B686" s="10"/>
      <x:c r="C686" s="10"/>
      <x:c r="D686" s="10"/>
    </x:row>
    <x:row r="687" ht="14.25" customHeight="1">
      <x:c r="A687" s="10"/>
      <x:c r="B687" s="10"/>
      <x:c r="C687" s="10"/>
      <x:c r="D687" s="10"/>
    </x:row>
    <x:row r="688" ht="14.25" customHeight="1">
      <x:c r="A688" s="10"/>
      <x:c r="B688" s="10"/>
      <x:c r="C688" s="10"/>
      <x:c r="D688" s="10"/>
    </x:row>
    <x:row r="689" ht="14.25" customHeight="1">
      <x:c r="A689" s="10"/>
      <x:c r="B689" s="10"/>
      <x:c r="C689" s="10"/>
      <x:c r="D689" s="10"/>
    </x:row>
    <x:row r="690" ht="14.25" customHeight="1">
      <x:c r="A690" s="10"/>
      <x:c r="B690" s="10"/>
      <x:c r="C690" s="10"/>
      <x:c r="D690" s="10"/>
    </x:row>
    <x:row r="691" ht="14.25" customHeight="1">
      <x:c r="A691" s="10"/>
      <x:c r="B691" s="10"/>
      <x:c r="C691" s="10"/>
      <x:c r="D691" s="10"/>
    </x:row>
    <x:row r="692" ht="14.25" customHeight="1">
      <x:c r="A692" s="10"/>
      <x:c r="B692" s="10"/>
      <x:c r="C692" s="10"/>
      <x:c r="D692" s="10"/>
    </x:row>
    <x:row r="693" ht="14.25" customHeight="1">
      <x:c r="A693" s="10"/>
      <x:c r="B693" s="10"/>
      <x:c r="C693" s="10"/>
      <x:c r="D693" s="10"/>
    </x:row>
    <x:row r="694" ht="14.25" customHeight="1">
      <x:c r="A694" s="10"/>
      <x:c r="B694" s="10"/>
      <x:c r="C694" s="10"/>
      <x:c r="D694" s="10"/>
    </x:row>
    <x:row r="695" ht="14.25" customHeight="1">
      <x:c r="A695" s="10"/>
      <x:c r="B695" s="10"/>
      <x:c r="C695" s="10"/>
      <x:c r="D695" s="10"/>
    </x:row>
    <x:row r="696" ht="14.25" customHeight="1">
      <x:c r="A696" s="10"/>
      <x:c r="B696" s="10"/>
      <x:c r="C696" s="10"/>
      <x:c r="D696" s="10"/>
    </x:row>
    <x:row r="697" ht="14.25" customHeight="1">
      <x:c r="A697" s="10"/>
      <x:c r="B697" s="10"/>
      <x:c r="C697" s="10"/>
      <x:c r="D697" s="10"/>
    </x:row>
    <x:row r="698" ht="14.25" customHeight="1">
      <x:c r="A698" s="10"/>
      <x:c r="B698" s="10"/>
      <x:c r="C698" s="10"/>
      <x:c r="D698" s="10"/>
    </x:row>
    <x:row r="699" ht="14.25" customHeight="1">
      <x:c r="A699" s="10"/>
      <x:c r="B699" s="10"/>
      <x:c r="C699" s="10"/>
      <x:c r="D699" s="10"/>
    </x:row>
    <x:row r="700" ht="14.25" customHeight="1">
      <x:c r="A700" s="10"/>
      <x:c r="B700" s="10"/>
      <x:c r="C700" s="10"/>
      <x:c r="D700" s="10"/>
    </x:row>
    <x:row r="701" ht="14.25" customHeight="1">
      <x:c r="A701" s="10"/>
      <x:c r="B701" s="10"/>
      <x:c r="C701" s="10"/>
      <x:c r="D701" s="10"/>
    </x:row>
    <x:row r="702" ht="14.25" customHeight="1">
      <x:c r="A702" s="10"/>
      <x:c r="B702" s="10"/>
      <x:c r="C702" s="10"/>
      <x:c r="D702" s="10"/>
    </x:row>
    <x:row r="703" ht="14.25" customHeight="1">
      <x:c r="A703" s="10"/>
      <x:c r="B703" s="10"/>
      <x:c r="C703" s="10"/>
      <x:c r="D703" s="10"/>
    </x:row>
    <x:row r="704" ht="14.25" customHeight="1">
      <x:c r="A704" s="10"/>
      <x:c r="B704" s="10"/>
      <x:c r="C704" s="10"/>
      <x:c r="D704" s="10"/>
    </x:row>
    <x:row r="705" ht="14.25" customHeight="1">
      <x:c r="A705" s="10"/>
      <x:c r="B705" s="10"/>
      <x:c r="C705" s="10"/>
      <x:c r="D705" s="10"/>
    </x:row>
    <x:row r="706" ht="14.25" customHeight="1">
      <x:c r="A706" s="10"/>
      <x:c r="B706" s="10"/>
      <x:c r="C706" s="10"/>
      <x:c r="D706" s="10"/>
    </x:row>
    <x:row r="707" ht="14.25" customHeight="1">
      <x:c r="A707" s="10"/>
      <x:c r="B707" s="10"/>
      <x:c r="C707" s="10"/>
      <x:c r="D707" s="10"/>
    </x:row>
    <x:row r="708" ht="14.25" customHeight="1">
      <x:c r="A708" s="10"/>
      <x:c r="B708" s="10"/>
      <x:c r="C708" s="10"/>
      <x:c r="D708" s="10"/>
    </x:row>
    <x:row r="709" ht="14.25" customHeight="1">
      <x:c r="A709" s="10"/>
      <x:c r="B709" s="10"/>
      <x:c r="C709" s="10"/>
      <x:c r="D709" s="10"/>
    </x:row>
    <x:row r="710" ht="14.25" customHeight="1">
      <x:c r="A710" s="10"/>
      <x:c r="B710" s="10"/>
      <x:c r="C710" s="10"/>
      <x:c r="D710" s="10"/>
    </x:row>
    <x:row r="711" ht="14.25" customHeight="1">
      <x:c r="A711" s="10"/>
      <x:c r="B711" s="10"/>
      <x:c r="C711" s="10"/>
      <x:c r="D711" s="10"/>
    </x:row>
    <x:row r="712" ht="14.25" customHeight="1">
      <x:c r="A712" s="10"/>
      <x:c r="B712" s="10"/>
      <x:c r="C712" s="10"/>
      <x:c r="D712" s="10"/>
    </x:row>
    <x:row r="713" ht="14.25" customHeight="1">
      <x:c r="A713" s="10"/>
      <x:c r="B713" s="10"/>
      <x:c r="C713" s="10"/>
      <x:c r="D713" s="10"/>
    </x:row>
    <x:row r="714" ht="14.25" customHeight="1">
      <x:c r="A714" s="10"/>
      <x:c r="B714" s="10"/>
      <x:c r="C714" s="10"/>
      <x:c r="D714" s="10"/>
    </x:row>
    <x:row r="715" ht="14.25" customHeight="1">
      <x:c r="A715" s="10"/>
      <x:c r="B715" s="10"/>
      <x:c r="C715" s="10"/>
      <x:c r="D715" s="10"/>
    </x:row>
    <x:row r="716" ht="14.25" customHeight="1">
      <x:c r="A716" s="10"/>
      <x:c r="B716" s="10"/>
      <x:c r="C716" s="10"/>
      <x:c r="D716" s="10"/>
    </x:row>
    <x:row r="717" ht="14.25" customHeight="1">
      <x:c r="A717" s="10"/>
      <x:c r="B717" s="10"/>
      <x:c r="C717" s="10"/>
      <x:c r="D717" s="10"/>
    </x:row>
    <x:row r="718" ht="14.25" customHeight="1">
      <x:c r="A718" s="10"/>
      <x:c r="B718" s="10"/>
      <x:c r="C718" s="10"/>
      <x:c r="D718" s="10"/>
    </x:row>
    <x:row r="719" ht="14.25" customHeight="1">
      <x:c r="A719" s="10"/>
      <x:c r="B719" s="10"/>
      <x:c r="C719" s="10"/>
      <x:c r="D719" s="10"/>
    </x:row>
    <x:row r="720" ht="14.25" customHeight="1">
      <x:c r="A720" s="10"/>
      <x:c r="B720" s="10"/>
      <x:c r="C720" s="10"/>
      <x:c r="D720" s="10"/>
    </x:row>
    <x:row r="721" ht="14.25" customHeight="1">
      <x:c r="A721" s="10"/>
      <x:c r="B721" s="10"/>
      <x:c r="C721" s="10"/>
      <x:c r="D721" s="10"/>
    </x:row>
    <x:row r="722" ht="14.25" customHeight="1">
      <x:c r="A722" s="10"/>
      <x:c r="B722" s="10"/>
      <x:c r="C722" s="10"/>
      <x:c r="D722" s="10"/>
    </x:row>
    <x:row r="723" ht="14.25" customHeight="1">
      <x:c r="A723" s="10"/>
      <x:c r="B723" s="10"/>
      <x:c r="C723" s="10"/>
      <x:c r="D723" s="10"/>
    </x:row>
    <x:row r="724" ht="14.25" customHeight="1">
      <x:c r="A724" s="10"/>
      <x:c r="B724" s="10"/>
      <x:c r="C724" s="10"/>
      <x:c r="D724" s="10"/>
    </x:row>
    <x:row r="725" ht="14.25" customHeight="1">
      <x:c r="A725" s="10"/>
      <x:c r="B725" s="10"/>
      <x:c r="C725" s="10"/>
      <x:c r="D725" s="10"/>
    </x:row>
    <x:row r="726" ht="14.25" customHeight="1">
      <x:c r="A726" s="10"/>
      <x:c r="B726" s="10"/>
      <x:c r="C726" s="10"/>
      <x:c r="D726" s="10"/>
    </x:row>
    <x:row r="727" ht="14.25" customHeight="1">
      <x:c r="A727" s="10"/>
      <x:c r="B727" s="10"/>
      <x:c r="C727" s="10"/>
      <x:c r="D727" s="10"/>
    </x:row>
    <x:row r="728" ht="14.25" customHeight="1">
      <x:c r="A728" s="10"/>
      <x:c r="B728" s="10"/>
      <x:c r="C728" s="10"/>
      <x:c r="D728" s="10"/>
    </x:row>
    <x:row r="729" ht="14.25" customHeight="1">
      <x:c r="A729" s="10"/>
      <x:c r="B729" s="10"/>
      <x:c r="C729" s="10"/>
      <x:c r="D729" s="10"/>
    </x:row>
    <x:row r="730" ht="14.25" customHeight="1">
      <x:c r="A730" s="10"/>
      <x:c r="B730" s="10"/>
      <x:c r="C730" s="10"/>
      <x:c r="D730" s="10"/>
    </x:row>
    <x:row r="731" ht="14.25" customHeight="1">
      <x:c r="A731" s="10"/>
      <x:c r="B731" s="10"/>
      <x:c r="C731" s="10"/>
      <x:c r="D731" s="10"/>
    </x:row>
    <x:row r="732" ht="14.25" customHeight="1">
      <x:c r="A732" s="10"/>
      <x:c r="B732" s="10"/>
      <x:c r="C732" s="10"/>
      <x:c r="D732" s="10"/>
    </x:row>
    <x:row r="733" ht="14.25" customHeight="1">
      <x:c r="A733" s="10"/>
      <x:c r="B733" s="10"/>
      <x:c r="C733" s="10"/>
      <x:c r="D733" s="10"/>
    </x:row>
    <x:row r="734" ht="14.25" customHeight="1">
      <x:c r="A734" s="10"/>
      <x:c r="B734" s="10"/>
      <x:c r="C734" s="10"/>
      <x:c r="D734" s="10"/>
    </x:row>
    <x:row r="735" ht="14.25" customHeight="1">
      <x:c r="A735" s="10"/>
      <x:c r="B735" s="10"/>
      <x:c r="C735" s="10"/>
      <x:c r="D735" s="10"/>
    </x:row>
    <x:row r="736" ht="14.25" customHeight="1">
      <x:c r="A736" s="10"/>
      <x:c r="B736" s="10"/>
      <x:c r="C736" s="10"/>
      <x:c r="D736" s="10"/>
    </x:row>
    <x:row r="737" ht="14.25" customHeight="1">
      <x:c r="A737" s="10"/>
      <x:c r="B737" s="10"/>
      <x:c r="C737" s="10"/>
      <x:c r="D737" s="10"/>
    </x:row>
    <x:row r="738" ht="14.25" customHeight="1">
      <x:c r="A738" s="10"/>
      <x:c r="B738" s="10"/>
      <x:c r="C738" s="10"/>
      <x:c r="D738" s="10"/>
    </x:row>
    <x:row r="739" ht="14.25" customHeight="1">
      <x:c r="A739" s="10"/>
      <x:c r="B739" s="10"/>
      <x:c r="C739" s="10"/>
      <x:c r="D739" s="10"/>
    </x:row>
    <x:row r="740" ht="14.25" customHeight="1">
      <x:c r="A740" s="10"/>
      <x:c r="B740" s="10"/>
      <x:c r="C740" s="10"/>
      <x:c r="D740" s="10"/>
    </x:row>
    <x:row r="741" ht="14.25" customHeight="1">
      <x:c r="A741" s="10"/>
      <x:c r="B741" s="10"/>
      <x:c r="C741" s="10"/>
      <x:c r="D741" s="10"/>
    </x:row>
    <x:row r="742" ht="14.25" customHeight="1">
      <x:c r="A742" s="10"/>
      <x:c r="B742" s="10"/>
      <x:c r="C742" s="10"/>
      <x:c r="D742" s="10"/>
    </x:row>
    <x:row r="743" ht="14.25" customHeight="1">
      <x:c r="A743" s="10"/>
      <x:c r="B743" s="10"/>
      <x:c r="C743" s="10"/>
      <x:c r="D743" s="10"/>
    </x:row>
    <x:row r="744" ht="14.25" customHeight="1">
      <x:c r="A744" s="10"/>
      <x:c r="B744" s="10"/>
      <x:c r="C744" s="10"/>
      <x:c r="D744" s="10"/>
    </x:row>
    <x:row r="745" ht="14.25" customHeight="1">
      <x:c r="A745" s="10"/>
      <x:c r="B745" s="10"/>
      <x:c r="C745" s="10"/>
      <x:c r="D745" s="10"/>
    </x:row>
    <x:row r="746" ht="14.25" customHeight="1">
      <x:c r="A746" s="10"/>
      <x:c r="B746" s="10"/>
      <x:c r="C746" s="10"/>
      <x:c r="D746" s="10"/>
    </x:row>
    <x:row r="747" ht="14.25" customHeight="1">
      <x:c r="A747" s="10"/>
      <x:c r="B747" s="10"/>
      <x:c r="C747" s="10"/>
      <x:c r="D747" s="10"/>
    </x:row>
    <x:row r="748" ht="14.25" customHeight="1">
      <x:c r="A748" s="10"/>
      <x:c r="B748" s="10"/>
      <x:c r="C748" s="10"/>
      <x:c r="D748" s="10"/>
    </x:row>
    <x:row r="749" ht="14.25" customHeight="1">
      <x:c r="A749" s="10"/>
      <x:c r="B749" s="10"/>
      <x:c r="C749" s="10"/>
      <x:c r="D749" s="10"/>
    </x:row>
    <x:row r="750" ht="14.25" customHeight="1">
      <x:c r="A750" s="10"/>
      <x:c r="B750" s="10"/>
      <x:c r="C750" s="10"/>
      <x:c r="D750" s="10"/>
    </x:row>
    <x:row r="751" ht="14.25" customHeight="1">
      <x:c r="A751" s="10"/>
      <x:c r="B751" s="10"/>
      <x:c r="C751" s="10"/>
      <x:c r="D751" s="10"/>
    </x:row>
    <x:row r="752" ht="14.25" customHeight="1">
      <x:c r="A752" s="10"/>
      <x:c r="B752" s="10"/>
      <x:c r="C752" s="10"/>
      <x:c r="D752" s="10"/>
    </x:row>
    <x:row r="753" ht="14.25" customHeight="1">
      <x:c r="A753" s="10"/>
      <x:c r="B753" s="10"/>
      <x:c r="C753" s="10"/>
      <x:c r="D753" s="10"/>
    </x:row>
    <x:row r="754" ht="14.25" customHeight="1">
      <x:c r="A754" s="10"/>
      <x:c r="B754" s="10"/>
      <x:c r="C754" s="10"/>
      <x:c r="D754" s="10"/>
    </x:row>
    <x:row r="755" ht="14.25" customHeight="1">
      <x:c r="A755" s="10"/>
      <x:c r="B755" s="10"/>
      <x:c r="C755" s="10"/>
      <x:c r="D755" s="10"/>
    </x:row>
    <x:row r="756" ht="14.25" customHeight="1">
      <x:c r="A756" s="10"/>
      <x:c r="B756" s="10"/>
      <x:c r="C756" s="10"/>
      <x:c r="D756" s="10"/>
    </x:row>
    <x:row r="757" ht="14.25" customHeight="1">
      <x:c r="A757" s="10"/>
      <x:c r="B757" s="10"/>
      <x:c r="C757" s="10"/>
      <x:c r="D757" s="10"/>
    </x:row>
    <x:row r="758" ht="14.25" customHeight="1">
      <x:c r="A758" s="10"/>
      <x:c r="B758" s="10"/>
      <x:c r="C758" s="10"/>
      <x:c r="D758" s="10"/>
    </x:row>
    <x:row r="759" ht="14.25" customHeight="1">
      <x:c r="A759" s="10"/>
      <x:c r="B759" s="10"/>
      <x:c r="C759" s="10"/>
      <x:c r="D759" s="10"/>
    </x:row>
    <x:row r="760" ht="14.25" customHeight="1">
      <x:c r="A760" s="10"/>
      <x:c r="B760" s="10"/>
      <x:c r="C760" s="10"/>
      <x:c r="D760" s="10"/>
    </x:row>
    <x:row r="761" ht="14.25" customHeight="1">
      <x:c r="A761" s="10"/>
      <x:c r="B761" s="10"/>
      <x:c r="C761" s="10"/>
      <x:c r="D761" s="10"/>
    </x:row>
    <x:row r="762" ht="14.25" customHeight="1">
      <x:c r="A762" s="10"/>
      <x:c r="B762" s="10"/>
      <x:c r="C762" s="10"/>
      <x:c r="D762" s="10"/>
    </x:row>
    <x:row r="763" ht="14.25" customHeight="1">
      <x:c r="A763" s="10"/>
      <x:c r="B763" s="10"/>
      <x:c r="C763" s="10"/>
      <x:c r="D763" s="10"/>
    </x:row>
    <x:row r="764" ht="14.25" customHeight="1">
      <x:c r="A764" s="10"/>
      <x:c r="B764" s="10"/>
      <x:c r="C764" s="10"/>
      <x:c r="D764" s="10"/>
    </x:row>
    <x:row r="765" ht="14.25" customHeight="1">
      <x:c r="A765" s="10"/>
      <x:c r="B765" s="10"/>
      <x:c r="C765" s="10"/>
      <x:c r="D765" s="10"/>
    </x:row>
    <x:row r="766" ht="14.25" customHeight="1">
      <x:c r="A766" s="10"/>
      <x:c r="B766" s="10"/>
      <x:c r="C766" s="10"/>
      <x:c r="D766" s="10"/>
    </x:row>
    <x:row r="767" ht="14.25" customHeight="1">
      <x:c r="A767" s="10"/>
      <x:c r="B767" s="10"/>
      <x:c r="C767" s="10"/>
      <x:c r="D767" s="10"/>
    </x:row>
    <x:row r="768" ht="14.25" customHeight="1">
      <x:c r="A768" s="10"/>
      <x:c r="B768" s="10"/>
      <x:c r="C768" s="10"/>
      <x:c r="D768" s="10"/>
    </x:row>
    <x:row r="769" ht="14.25" customHeight="1">
      <x:c r="A769" s="10"/>
      <x:c r="B769" s="10"/>
      <x:c r="C769" s="10"/>
      <x:c r="D769" s="10"/>
    </x:row>
    <x:row r="770" ht="14.25" customHeight="1">
      <x:c r="A770" s="10"/>
      <x:c r="B770" s="10"/>
      <x:c r="C770" s="10"/>
      <x:c r="D770" s="10"/>
    </x:row>
    <x:row r="771" ht="14.25" customHeight="1">
      <x:c r="A771" s="10"/>
      <x:c r="B771" s="10"/>
      <x:c r="C771" s="10"/>
      <x:c r="D771" s="10"/>
    </x:row>
    <x:row r="772" ht="14.25" customHeight="1">
      <x:c r="A772" s="10"/>
      <x:c r="B772" s="10"/>
      <x:c r="C772" s="10"/>
      <x:c r="D772" s="10"/>
    </x:row>
    <x:row r="773" ht="14.25" customHeight="1">
      <x:c r="A773" s="10"/>
      <x:c r="B773" s="10"/>
      <x:c r="C773" s="10"/>
      <x:c r="D773" s="10"/>
    </x:row>
    <x:row r="774" ht="14.25" customHeight="1">
      <x:c r="A774" s="10"/>
      <x:c r="B774" s="10"/>
      <x:c r="C774" s="10"/>
      <x:c r="D774" s="10"/>
    </x:row>
    <x:row r="775" ht="14.25" customHeight="1">
      <x:c r="A775" s="10"/>
      <x:c r="B775" s="10"/>
      <x:c r="C775" s="10"/>
      <x:c r="D775" s="10"/>
    </x:row>
    <x:row r="776" ht="14.25" customHeight="1">
      <x:c r="A776" s="10"/>
      <x:c r="B776" s="10"/>
      <x:c r="C776" s="10"/>
      <x:c r="D776" s="10"/>
    </x:row>
    <x:row r="777" ht="14.25" customHeight="1">
      <x:c r="A777" s="10"/>
      <x:c r="B777" s="10"/>
      <x:c r="C777" s="10"/>
      <x:c r="D777" s="10"/>
    </x:row>
    <x:row r="778" ht="14.25" customHeight="1">
      <x:c r="A778" s="10"/>
      <x:c r="B778" s="10"/>
      <x:c r="C778" s="10"/>
      <x:c r="D778" s="10"/>
    </x:row>
    <x:row r="779" ht="14.25" customHeight="1">
      <x:c r="A779" s="10"/>
      <x:c r="B779" s="10"/>
      <x:c r="C779" s="10"/>
      <x:c r="D779" s="10"/>
    </x:row>
    <x:row r="780" ht="14.25" customHeight="1">
      <x:c r="A780" s="10"/>
      <x:c r="B780" s="10"/>
      <x:c r="C780" s="10"/>
      <x:c r="D780" s="10"/>
    </x:row>
    <x:row r="781" ht="14.25" customHeight="1">
      <x:c r="A781" s="10"/>
      <x:c r="B781" s="10"/>
      <x:c r="C781" s="10"/>
      <x:c r="D781" s="10"/>
    </x:row>
    <x:row r="782" ht="14.25" customHeight="1">
      <x:c r="A782" s="10"/>
      <x:c r="B782" s="10"/>
      <x:c r="C782" s="10"/>
      <x:c r="D782" s="10"/>
    </x:row>
    <x:row r="783" ht="14.25" customHeight="1">
      <x:c r="A783" s="10"/>
      <x:c r="B783" s="10"/>
      <x:c r="C783" s="10"/>
      <x:c r="D783" s="10"/>
    </x:row>
    <x:row r="784" ht="14.25" customHeight="1">
      <x:c r="A784" s="10"/>
      <x:c r="B784" s="10"/>
      <x:c r="C784" s="10"/>
      <x:c r="D784" s="10"/>
    </x:row>
    <x:row r="785" ht="14.25" customHeight="1">
      <x:c r="A785" s="10"/>
      <x:c r="B785" s="10"/>
      <x:c r="C785" s="10"/>
      <x:c r="D785" s="10"/>
    </x:row>
    <x:row r="786" ht="14.25" customHeight="1">
      <x:c r="A786" s="10"/>
      <x:c r="B786" s="10"/>
      <x:c r="C786" s="10"/>
      <x:c r="D786" s="10"/>
    </x:row>
    <x:row r="787" ht="14.25" customHeight="1">
      <x:c r="A787" s="10"/>
      <x:c r="B787" s="10"/>
      <x:c r="C787" s="10"/>
      <x:c r="D787" s="10"/>
    </x:row>
    <x:row r="788" ht="14.25" customHeight="1">
      <x:c r="A788" s="10"/>
      <x:c r="B788" s="10"/>
      <x:c r="C788" s="10"/>
      <x:c r="D788" s="10"/>
    </x:row>
    <x:row r="789" ht="14.25" customHeight="1">
      <x:c r="A789" s="10"/>
      <x:c r="B789" s="10"/>
      <x:c r="C789" s="10"/>
      <x:c r="D789" s="10"/>
    </x:row>
    <x:row r="790" ht="14.25" customHeight="1">
      <x:c r="A790" s="10"/>
      <x:c r="B790" s="10"/>
      <x:c r="C790" s="10"/>
      <x:c r="D790" s="10"/>
    </x:row>
    <x:row r="791" ht="14.25" customHeight="1">
      <x:c r="A791" s="10"/>
      <x:c r="B791" s="10"/>
      <x:c r="C791" s="10"/>
      <x:c r="D791" s="10"/>
    </x:row>
    <x:row r="792" ht="14.25" customHeight="1">
      <x:c r="A792" s="10"/>
      <x:c r="B792" s="10"/>
      <x:c r="C792" s="10"/>
      <x:c r="D792" s="10"/>
    </x:row>
    <x:row r="793" ht="14.25" customHeight="1">
      <x:c r="A793" s="10"/>
      <x:c r="B793" s="10"/>
      <x:c r="C793" s="10"/>
      <x:c r="D793" s="10"/>
    </x:row>
    <x:row r="794" ht="14.25" customHeight="1">
      <x:c r="A794" s="10"/>
      <x:c r="B794" s="10"/>
      <x:c r="C794" s="10"/>
      <x:c r="D794" s="10"/>
    </x:row>
    <x:row r="795" ht="14.25" customHeight="1">
      <x:c r="A795" s="10"/>
      <x:c r="B795" s="10"/>
      <x:c r="C795" s="10"/>
      <x:c r="D795" s="10"/>
    </x:row>
    <x:row r="796" ht="14.25" customHeight="1">
      <x:c r="A796" s="10"/>
      <x:c r="B796" s="10"/>
      <x:c r="C796" s="10"/>
      <x:c r="D796" s="10"/>
    </x:row>
    <x:row r="797" ht="14.25" customHeight="1">
      <x:c r="A797" s="10"/>
      <x:c r="B797" s="10"/>
      <x:c r="C797" s="10"/>
      <x:c r="D797" s="10"/>
    </x:row>
    <x:row r="798" ht="14.25" customHeight="1">
      <x:c r="A798" s="10"/>
      <x:c r="B798" s="10"/>
      <x:c r="C798" s="10"/>
      <x:c r="D798" s="10"/>
    </x:row>
    <x:row r="799" ht="14.25" customHeight="1">
      <x:c r="A799" s="10"/>
      <x:c r="B799" s="10"/>
      <x:c r="C799" s="10"/>
      <x:c r="D799" s="10"/>
    </x:row>
    <x:row r="800" ht="14.25" customHeight="1">
      <x:c r="A800" s="10"/>
      <x:c r="B800" s="10"/>
      <x:c r="C800" s="10"/>
      <x:c r="D800" s="10"/>
    </x:row>
    <x:row r="801" ht="14.25" customHeight="1">
      <x:c r="A801" s="10"/>
      <x:c r="B801" s="10"/>
      <x:c r="C801" s="10"/>
      <x:c r="D801" s="10"/>
    </x:row>
    <x:row r="802" ht="14.25" customHeight="1">
      <x:c r="A802" s="10"/>
      <x:c r="B802" s="10"/>
      <x:c r="C802" s="10"/>
      <x:c r="D802" s="10"/>
    </x:row>
    <x:row r="803" ht="14.25" customHeight="1">
      <x:c r="A803" s="10"/>
      <x:c r="B803" s="10"/>
      <x:c r="C803" s="10"/>
      <x:c r="D803" s="10"/>
    </x:row>
    <x:row r="804" ht="14.25" customHeight="1">
      <x:c r="A804" s="10"/>
      <x:c r="B804" s="10"/>
      <x:c r="C804" s="10"/>
      <x:c r="D804" s="10"/>
    </x:row>
    <x:row r="805" ht="14.25" customHeight="1">
      <x:c r="A805" s="10"/>
      <x:c r="B805" s="10"/>
      <x:c r="C805" s="10"/>
      <x:c r="D805" s="10"/>
    </x:row>
    <x:row r="806" ht="14.25" customHeight="1">
      <x:c r="A806" s="10"/>
      <x:c r="B806" s="10"/>
      <x:c r="C806" s="10"/>
      <x:c r="D806" s="10"/>
    </x:row>
    <x:row r="807" ht="14.25" customHeight="1">
      <x:c r="A807" s="10"/>
      <x:c r="B807" s="10"/>
      <x:c r="C807" s="10"/>
      <x:c r="D807" s="10"/>
    </x:row>
    <x:row r="808" ht="14.25" customHeight="1">
      <x:c r="A808" s="10"/>
      <x:c r="B808" s="10"/>
      <x:c r="C808" s="10"/>
      <x:c r="D808" s="10"/>
    </x:row>
    <x:row r="809" ht="14.25" customHeight="1">
      <x:c r="A809" s="10"/>
      <x:c r="B809" s="10"/>
      <x:c r="C809" s="10"/>
      <x:c r="D809" s="10"/>
    </x:row>
    <x:row r="810" ht="14.25" customHeight="1">
      <x:c r="A810" s="10"/>
      <x:c r="B810" s="10"/>
      <x:c r="C810" s="10"/>
      <x:c r="D810" s="10"/>
    </x:row>
    <x:row r="811" ht="14.25" customHeight="1">
      <x:c r="A811" s="10"/>
      <x:c r="B811" s="10"/>
      <x:c r="C811" s="10"/>
      <x:c r="D811" s="10"/>
    </x:row>
    <x:row r="812" ht="14.25" customHeight="1">
      <x:c r="A812" s="10"/>
      <x:c r="B812" s="10"/>
      <x:c r="C812" s="10"/>
      <x:c r="D812" s="10"/>
    </x:row>
    <x:row r="813" ht="14.25" customHeight="1">
      <x:c r="A813" s="10"/>
      <x:c r="B813" s="10"/>
      <x:c r="C813" s="10"/>
      <x:c r="D813" s="10"/>
    </x:row>
    <x:row r="814" ht="14.25" customHeight="1">
      <x:c r="A814" s="10"/>
      <x:c r="B814" s="10"/>
      <x:c r="C814" s="10"/>
      <x:c r="D814" s="10"/>
    </x:row>
    <x:row r="815" ht="14.25" customHeight="1">
      <x:c r="A815" s="10"/>
      <x:c r="B815" s="10"/>
      <x:c r="C815" s="10"/>
      <x:c r="D815" s="10"/>
    </x:row>
    <x:row r="816" ht="14.25" customHeight="1">
      <x:c r="A816" s="10"/>
      <x:c r="B816" s="10"/>
      <x:c r="C816" s="10"/>
      <x:c r="D816" s="10"/>
    </x:row>
    <x:row r="817" ht="14.25" customHeight="1">
      <x:c r="A817" s="10"/>
      <x:c r="B817" s="10"/>
      <x:c r="C817" s="10"/>
      <x:c r="D817" s="10"/>
    </x:row>
    <x:row r="818" ht="14.25" customHeight="1">
      <x:c r="A818" s="10"/>
      <x:c r="B818" s="10"/>
      <x:c r="C818" s="10"/>
      <x:c r="D818" s="10"/>
    </x:row>
    <x:row r="819" ht="14.25" customHeight="1">
      <x:c r="A819" s="10"/>
      <x:c r="B819" s="10"/>
      <x:c r="C819" s="10"/>
      <x:c r="D819" s="10"/>
    </x:row>
    <x:row r="820" ht="14.25" customHeight="1">
      <x:c r="A820" s="10"/>
      <x:c r="B820" s="10"/>
      <x:c r="C820" s="10"/>
      <x:c r="D820" s="10"/>
    </x:row>
    <x:row r="821" ht="14.25" customHeight="1">
      <x:c r="A821" s="10"/>
      <x:c r="B821" s="10"/>
      <x:c r="C821" s="10"/>
      <x:c r="D821" s="10"/>
    </x:row>
    <x:row r="822" ht="14.25" customHeight="1">
      <x:c r="A822" s="10"/>
      <x:c r="B822" s="10"/>
      <x:c r="C822" s="10"/>
      <x:c r="D822" s="10"/>
    </x:row>
    <x:row r="823" ht="14.25" customHeight="1">
      <x:c r="A823" s="10"/>
      <x:c r="B823" s="10"/>
      <x:c r="C823" s="10"/>
      <x:c r="D823" s="10"/>
    </x:row>
    <x:row r="824" ht="14.25" customHeight="1">
      <x:c r="A824" s="10"/>
      <x:c r="B824" s="10"/>
      <x:c r="C824" s="10"/>
      <x:c r="D824" s="10"/>
    </x:row>
    <x:row r="825" ht="14.25" customHeight="1">
      <x:c r="A825" s="10"/>
      <x:c r="B825" s="10"/>
      <x:c r="C825" s="10"/>
      <x:c r="D825" s="10"/>
    </x:row>
    <x:row r="826" ht="14.25" customHeight="1">
      <x:c r="A826" s="10"/>
      <x:c r="B826" s="10"/>
      <x:c r="C826" s="10"/>
      <x:c r="D826" s="10"/>
    </x:row>
    <x:row r="827" ht="14.25" customHeight="1">
      <x:c r="A827" s="10"/>
      <x:c r="B827" s="10"/>
      <x:c r="C827" s="10"/>
      <x:c r="D827" s="10"/>
    </x:row>
    <x:row r="828" ht="14.25" customHeight="1">
      <x:c r="A828" s="10"/>
      <x:c r="B828" s="10"/>
      <x:c r="C828" s="10"/>
      <x:c r="D828" s="10"/>
    </x:row>
    <x:row r="829" ht="14.25" customHeight="1">
      <x:c r="A829" s="10"/>
      <x:c r="B829" s="10"/>
      <x:c r="C829" s="10"/>
      <x:c r="D829" s="10"/>
    </x:row>
    <x:row r="830" ht="14.25" customHeight="1">
      <x:c r="A830" s="10"/>
      <x:c r="B830" s="10"/>
      <x:c r="C830" s="10"/>
      <x:c r="D830" s="10"/>
    </x:row>
    <x:row r="831" ht="14.25" customHeight="1">
      <x:c r="A831" s="10"/>
      <x:c r="B831" s="10"/>
      <x:c r="C831" s="10"/>
      <x:c r="D831" s="10"/>
    </x:row>
    <x:row r="832" ht="14.25" customHeight="1">
      <x:c r="A832" s="10"/>
      <x:c r="B832" s="10"/>
      <x:c r="C832" s="10"/>
      <x:c r="D832" s="10"/>
    </x:row>
    <x:row r="833" ht="14.25" customHeight="1">
      <x:c r="A833" s="10"/>
      <x:c r="B833" s="10"/>
      <x:c r="C833" s="10"/>
      <x:c r="D833" s="10"/>
    </x:row>
    <x:row r="834" ht="14.25" customHeight="1">
      <x:c r="A834" s="10"/>
      <x:c r="B834" s="10"/>
      <x:c r="C834" s="10"/>
      <x:c r="D834" s="10"/>
    </x:row>
    <x:row r="835" ht="14.25" customHeight="1">
      <x:c r="A835" s="10"/>
      <x:c r="B835" s="10"/>
      <x:c r="C835" s="10"/>
      <x:c r="D835" s="10"/>
    </x:row>
    <x:row r="836" ht="14.25" customHeight="1">
      <x:c r="A836" s="10"/>
      <x:c r="B836" s="10"/>
      <x:c r="C836" s="10"/>
      <x:c r="D836" s="10"/>
    </x:row>
    <x:row r="837" ht="14.25" customHeight="1">
      <x:c r="A837" s="10"/>
      <x:c r="B837" s="10"/>
      <x:c r="C837" s="10"/>
      <x:c r="D837" s="10"/>
    </x:row>
    <x:row r="838" ht="14.25" customHeight="1">
      <x:c r="A838" s="10"/>
      <x:c r="B838" s="10"/>
      <x:c r="C838" s="10"/>
      <x:c r="D838" s="10"/>
    </x:row>
    <x:row r="839" ht="14.25" customHeight="1">
      <x:c r="A839" s="10"/>
      <x:c r="B839" s="10"/>
      <x:c r="C839" s="10"/>
      <x:c r="D839" s="10"/>
    </x:row>
    <x:row r="840" ht="14.25" customHeight="1">
      <x:c r="A840" s="10"/>
      <x:c r="B840" s="10"/>
      <x:c r="C840" s="10"/>
      <x:c r="D840" s="10"/>
    </x:row>
    <x:row r="841" ht="14.25" customHeight="1">
      <x:c r="A841" s="10"/>
      <x:c r="B841" s="10"/>
      <x:c r="C841" s="10"/>
      <x:c r="D841" s="10"/>
    </x:row>
    <x:row r="842" ht="14.25" customHeight="1">
      <x:c r="A842" s="10"/>
      <x:c r="B842" s="10"/>
      <x:c r="C842" s="10"/>
      <x:c r="D842" s="10"/>
    </x:row>
    <x:row r="843" ht="14.25" customHeight="1">
      <x:c r="A843" s="10"/>
      <x:c r="B843" s="10"/>
      <x:c r="C843" s="10"/>
      <x:c r="D843" s="10"/>
    </x:row>
    <x:row r="844" ht="14.25" customHeight="1">
      <x:c r="A844" s="10"/>
      <x:c r="B844" s="10"/>
      <x:c r="C844" s="10"/>
      <x:c r="D844" s="10"/>
    </x:row>
    <x:row r="845" ht="14.25" customHeight="1">
      <x:c r="A845" s="10"/>
      <x:c r="B845" s="10"/>
      <x:c r="C845" s="10"/>
      <x:c r="D845" s="10"/>
    </x:row>
    <x:row r="846" ht="14.25" customHeight="1">
      <x:c r="A846" s="10"/>
      <x:c r="B846" s="10"/>
      <x:c r="C846" s="10"/>
      <x:c r="D846" s="10"/>
    </x:row>
    <x:row r="847" ht="14.25" customHeight="1">
      <x:c r="A847" s="10"/>
      <x:c r="B847" s="10"/>
      <x:c r="C847" s="10"/>
      <x:c r="D847" s="10"/>
    </x:row>
    <x:row r="848" ht="14.25" customHeight="1">
      <x:c r="A848" s="10"/>
      <x:c r="B848" s="10"/>
      <x:c r="C848" s="10"/>
      <x:c r="D848" s="10"/>
    </x:row>
    <x:row r="849" ht="14.25" customHeight="1">
      <x:c r="A849" s="10"/>
      <x:c r="B849" s="10"/>
      <x:c r="C849" s="10"/>
      <x:c r="D849" s="10"/>
    </x:row>
    <x:row r="850" ht="14.25" customHeight="1">
      <x:c r="A850" s="10"/>
      <x:c r="B850" s="10"/>
      <x:c r="C850" s="10"/>
      <x:c r="D850" s="10"/>
    </x:row>
    <x:row r="851" ht="14.25" customHeight="1">
      <x:c r="A851" s="10"/>
      <x:c r="B851" s="10"/>
      <x:c r="C851" s="10"/>
      <x:c r="D851" s="10"/>
    </x:row>
    <x:row r="852" ht="14.25" customHeight="1">
      <x:c r="A852" s="10"/>
      <x:c r="B852" s="10"/>
      <x:c r="C852" s="10"/>
      <x:c r="D852" s="10"/>
    </x:row>
    <x:row r="853" ht="14.25" customHeight="1">
      <x:c r="A853" s="10"/>
      <x:c r="B853" s="10"/>
      <x:c r="C853" s="10"/>
      <x:c r="D853" s="10"/>
    </x:row>
    <x:row r="854" ht="14.25" customHeight="1">
      <x:c r="A854" s="10"/>
      <x:c r="B854" s="10"/>
      <x:c r="C854" s="10"/>
      <x:c r="D854" s="10"/>
    </x:row>
    <x:row r="855" ht="14.25" customHeight="1">
      <x:c r="A855" s="10"/>
      <x:c r="B855" s="10"/>
      <x:c r="C855" s="10"/>
      <x:c r="D855" s="10"/>
    </x:row>
    <x:row r="856" ht="14.25" customHeight="1">
      <x:c r="A856" s="10"/>
      <x:c r="B856" s="10"/>
      <x:c r="C856" s="10"/>
      <x:c r="D856" s="10"/>
    </x:row>
    <x:row r="857" ht="14.25" customHeight="1">
      <x:c r="A857" s="10"/>
      <x:c r="B857" s="10"/>
      <x:c r="C857" s="10"/>
      <x:c r="D857" s="10"/>
    </x:row>
    <x:row r="858" ht="14.25" customHeight="1">
      <x:c r="A858" s="10"/>
      <x:c r="B858" s="10"/>
      <x:c r="C858" s="10"/>
      <x:c r="D858" s="10"/>
    </x:row>
    <x:row r="859" ht="14.25" customHeight="1">
      <x:c r="A859" s="10"/>
      <x:c r="B859" s="10"/>
      <x:c r="C859" s="10"/>
      <x:c r="D859" s="10"/>
    </x:row>
    <x:row r="860" ht="14.25" customHeight="1">
      <x:c r="A860" s="10"/>
      <x:c r="B860" s="10"/>
      <x:c r="C860" s="10"/>
      <x:c r="D860" s="10"/>
    </x:row>
    <x:row r="861" ht="14.25" customHeight="1">
      <x:c r="A861" s="10"/>
      <x:c r="B861" s="10"/>
      <x:c r="C861" s="10"/>
      <x:c r="D861" s="10"/>
    </x:row>
    <x:row r="862" ht="14.25" customHeight="1">
      <x:c r="A862" s="10"/>
      <x:c r="B862" s="10"/>
      <x:c r="C862" s="10"/>
      <x:c r="D862" s="10"/>
    </x:row>
    <x:row r="863" ht="14.25" customHeight="1">
      <x:c r="A863" s="10"/>
      <x:c r="B863" s="10"/>
      <x:c r="C863" s="10"/>
      <x:c r="D863" s="10"/>
    </x:row>
    <x:row r="864" ht="14.25" customHeight="1">
      <x:c r="A864" s="10"/>
      <x:c r="B864" s="10"/>
      <x:c r="C864" s="10"/>
      <x:c r="D864" s="10"/>
    </x:row>
    <x:row r="865" ht="14.25" customHeight="1">
      <x:c r="A865" s="10"/>
      <x:c r="B865" s="10"/>
      <x:c r="C865" s="10"/>
      <x:c r="D865" s="10"/>
    </x:row>
    <x:row r="866" ht="14.25" customHeight="1">
      <x:c r="A866" s="10"/>
      <x:c r="B866" s="10"/>
      <x:c r="C866" s="10"/>
      <x:c r="D866" s="10"/>
    </x:row>
    <x:row r="867" ht="14.25" customHeight="1">
      <x:c r="A867" s="10"/>
      <x:c r="B867" s="10"/>
      <x:c r="C867" s="10"/>
      <x:c r="D867" s="10"/>
    </x:row>
    <x:row r="868" ht="14.25" customHeight="1">
      <x:c r="A868" s="10"/>
      <x:c r="B868" s="10"/>
      <x:c r="C868" s="10"/>
      <x:c r="D868" s="10"/>
    </x:row>
    <x:row r="869" ht="14.25" customHeight="1">
      <x:c r="A869" s="10"/>
      <x:c r="B869" s="10"/>
      <x:c r="C869" s="10"/>
      <x:c r="D869" s="10"/>
    </x:row>
    <x:row r="870" ht="14.25" customHeight="1">
      <x:c r="A870" s="10"/>
      <x:c r="B870" s="10"/>
      <x:c r="C870" s="10"/>
      <x:c r="D870" s="10"/>
    </x:row>
    <x:row r="871" ht="14.25" customHeight="1">
      <x:c r="A871" s="10"/>
      <x:c r="B871" s="10"/>
      <x:c r="C871" s="10"/>
      <x:c r="D871" s="10"/>
    </x:row>
    <x:row r="872" ht="14.25" customHeight="1">
      <x:c r="A872" s="10"/>
      <x:c r="B872" s="10"/>
      <x:c r="C872" s="10"/>
      <x:c r="D872" s="10"/>
    </x:row>
    <x:row r="873" ht="14.25" customHeight="1">
      <x:c r="A873" s="10"/>
      <x:c r="B873" s="10"/>
      <x:c r="C873" s="10"/>
      <x:c r="D873" s="10"/>
    </x:row>
    <x:row r="874" ht="14.25" customHeight="1">
      <x:c r="A874" s="10"/>
      <x:c r="B874" s="10"/>
      <x:c r="C874" s="10"/>
      <x:c r="D874" s="10"/>
    </x:row>
    <x:row r="875" ht="14.25" customHeight="1">
      <x:c r="A875" s="10"/>
      <x:c r="B875" s="10"/>
      <x:c r="C875" s="10"/>
      <x:c r="D875" s="10"/>
    </x:row>
    <x:row r="876" ht="14.25" customHeight="1">
      <x:c r="A876" s="10"/>
      <x:c r="B876" s="10"/>
      <x:c r="C876" s="10"/>
      <x:c r="D876" s="10"/>
    </x:row>
    <x:row r="877" ht="14.25" customHeight="1">
      <x:c r="A877" s="10"/>
      <x:c r="B877" s="10"/>
      <x:c r="C877" s="10"/>
      <x:c r="D877" s="10"/>
    </x:row>
    <x:row r="878" ht="14.25" customHeight="1">
      <x:c r="A878" s="10"/>
      <x:c r="B878" s="10"/>
      <x:c r="C878" s="10"/>
      <x:c r="D878" s="10"/>
    </x:row>
    <x:row r="879" ht="14.25" customHeight="1">
      <x:c r="A879" s="10"/>
      <x:c r="B879" s="10"/>
      <x:c r="C879" s="10"/>
      <x:c r="D879" s="10"/>
    </x:row>
    <x:row r="880" ht="14.25" customHeight="1">
      <x:c r="A880" s="10"/>
      <x:c r="B880" s="10"/>
      <x:c r="C880" s="10"/>
      <x:c r="D880" s="10"/>
    </x:row>
    <x:row r="881" ht="14.25" customHeight="1">
      <x:c r="A881" s="10"/>
      <x:c r="B881" s="10"/>
      <x:c r="C881" s="10"/>
      <x:c r="D881" s="10"/>
    </x:row>
    <x:row r="882" ht="14.25" customHeight="1">
      <x:c r="A882" s="10"/>
      <x:c r="B882" s="10"/>
      <x:c r="C882" s="10"/>
      <x:c r="D882" s="10"/>
    </x:row>
    <x:row r="883" ht="14.25" customHeight="1">
      <x:c r="A883" s="10"/>
      <x:c r="B883" s="10"/>
      <x:c r="C883" s="10"/>
      <x:c r="D883" s="10"/>
    </x:row>
    <x:row r="884" ht="14.25" customHeight="1">
      <x:c r="A884" s="10"/>
      <x:c r="B884" s="10"/>
      <x:c r="C884" s="10"/>
      <x:c r="D884" s="10"/>
    </x:row>
    <x:row r="885" ht="14.25" customHeight="1">
      <x:c r="A885" s="10"/>
      <x:c r="B885" s="10"/>
      <x:c r="C885" s="10"/>
      <x:c r="D885" s="10"/>
    </x:row>
    <x:row r="886" ht="14.25" customHeight="1">
      <x:c r="A886" s="10"/>
      <x:c r="B886" s="10"/>
      <x:c r="C886" s="10"/>
      <x:c r="D886" s="10"/>
    </x:row>
    <x:row r="887" ht="14.25" customHeight="1">
      <x:c r="A887" s="10"/>
      <x:c r="B887" s="10"/>
      <x:c r="C887" s="10"/>
      <x:c r="D887" s="10"/>
    </x:row>
    <x:row r="888" ht="14.25" customHeight="1">
      <x:c r="A888" s="10"/>
      <x:c r="B888" s="10"/>
      <x:c r="C888" s="10"/>
      <x:c r="D888" s="10"/>
    </x:row>
    <x:row r="889" ht="14.25" customHeight="1">
      <x:c r="A889" s="10"/>
      <x:c r="B889" s="10"/>
      <x:c r="C889" s="10"/>
      <x:c r="D889" s="10"/>
    </x:row>
    <x:row r="890" ht="14.25" customHeight="1">
      <x:c r="A890" s="10"/>
      <x:c r="B890" s="10"/>
      <x:c r="C890" s="10"/>
      <x:c r="D890" s="10"/>
    </x:row>
    <x:row r="891" ht="14.25" customHeight="1">
      <x:c r="A891" s="10"/>
      <x:c r="B891" s="10"/>
      <x:c r="C891" s="10"/>
      <x:c r="D891" s="10"/>
    </x:row>
    <x:row r="892" ht="14.25" customHeight="1">
      <x:c r="A892" s="10"/>
      <x:c r="B892" s="10"/>
      <x:c r="C892" s="10"/>
      <x:c r="D892" s="10"/>
    </x:row>
    <x:row r="893" ht="14.25" customHeight="1">
      <x:c r="A893" s="10"/>
      <x:c r="B893" s="10"/>
      <x:c r="C893" s="10"/>
      <x:c r="D893" s="10"/>
    </x:row>
    <x:row r="894" ht="14.25" customHeight="1">
      <x:c r="A894" s="10"/>
      <x:c r="B894" s="10"/>
      <x:c r="C894" s="10"/>
      <x:c r="D894" s="10"/>
    </x:row>
    <x:row r="895" ht="14.25" customHeight="1">
      <x:c r="A895" s="10"/>
      <x:c r="B895" s="10"/>
      <x:c r="C895" s="10"/>
      <x:c r="D895" s="10"/>
    </x:row>
    <x:row r="896" ht="14.25" customHeight="1">
      <x:c r="A896" s="10"/>
      <x:c r="B896" s="10"/>
      <x:c r="C896" s="10"/>
      <x:c r="D896" s="10"/>
    </x:row>
    <x:row r="897" ht="14.25" customHeight="1">
      <x:c r="A897" s="10"/>
      <x:c r="B897" s="10"/>
      <x:c r="C897" s="10"/>
      <x:c r="D897" s="10"/>
    </x:row>
    <x:row r="898" ht="14.25" customHeight="1">
      <x:c r="A898" s="10"/>
      <x:c r="B898" s="10"/>
      <x:c r="C898" s="10"/>
      <x:c r="D898" s="10"/>
    </x:row>
    <x:row r="899" ht="14.25" customHeight="1">
      <x:c r="A899" s="10"/>
      <x:c r="B899" s="10"/>
      <x:c r="C899" s="10"/>
      <x:c r="D899" s="10"/>
    </x:row>
    <x:row r="900" ht="14.25" customHeight="1">
      <x:c r="A900" s="10"/>
      <x:c r="B900" s="10"/>
      <x:c r="C900" s="10"/>
      <x:c r="D900" s="10"/>
    </x:row>
    <x:row r="901" ht="14.25" customHeight="1">
      <x:c r="A901" s="10"/>
      <x:c r="B901" s="10"/>
      <x:c r="C901" s="10"/>
      <x:c r="D901" s="10"/>
    </x:row>
    <x:row r="902" ht="14.25" customHeight="1">
      <x:c r="A902" s="10"/>
      <x:c r="B902" s="10"/>
      <x:c r="C902" s="10"/>
      <x:c r="D902" s="10"/>
    </x:row>
    <x:row r="903" ht="14.25" customHeight="1">
      <x:c r="A903" s="10"/>
      <x:c r="B903" s="10"/>
      <x:c r="C903" s="10"/>
      <x:c r="D903" s="10"/>
    </x:row>
    <x:row r="904" ht="14.25" customHeight="1">
      <x:c r="A904" s="10"/>
      <x:c r="B904" s="10"/>
      <x:c r="C904" s="10"/>
      <x:c r="D904" s="10"/>
    </x:row>
    <x:row r="905" ht="14.25" customHeight="1">
      <x:c r="A905" s="10"/>
      <x:c r="B905" s="10"/>
      <x:c r="C905" s="10"/>
      <x:c r="D905" s="10"/>
    </x:row>
    <x:row r="906" ht="14.25" customHeight="1">
      <x:c r="A906" s="10"/>
      <x:c r="B906" s="10"/>
      <x:c r="C906" s="10"/>
      <x:c r="D906" s="10"/>
    </x:row>
    <x:row r="907" ht="14.25" customHeight="1">
      <x:c r="A907" s="10"/>
      <x:c r="B907" s="10"/>
      <x:c r="C907" s="10"/>
      <x:c r="D907" s="10"/>
    </x:row>
    <x:row r="908" ht="14.25" customHeight="1">
      <x:c r="A908" s="10"/>
      <x:c r="B908" s="10"/>
      <x:c r="C908" s="10"/>
      <x:c r="D908" s="10"/>
    </x:row>
    <x:row r="909" ht="14.25" customHeight="1">
      <x:c r="A909" s="10"/>
      <x:c r="B909" s="10"/>
      <x:c r="C909" s="10"/>
      <x:c r="D909" s="10"/>
    </x:row>
    <x:row r="910" ht="14.25" customHeight="1">
      <x:c r="A910" s="10"/>
      <x:c r="B910" s="10"/>
      <x:c r="C910" s="10"/>
      <x:c r="D910" s="10"/>
    </x:row>
    <x:row r="911" ht="14.25" customHeight="1">
      <x:c r="A911" s="10"/>
      <x:c r="B911" s="10"/>
      <x:c r="C911" s="10"/>
      <x:c r="D911" s="10"/>
    </x:row>
    <x:row r="912" ht="14.25" customHeight="1">
      <x:c r="A912" s="10"/>
      <x:c r="B912" s="10"/>
      <x:c r="C912" s="10"/>
      <x:c r="D912" s="10"/>
    </x:row>
    <x:row r="913" ht="14.25" customHeight="1">
      <x:c r="A913" s="10"/>
      <x:c r="B913" s="10"/>
      <x:c r="C913" s="10"/>
      <x:c r="D913" s="10"/>
    </x:row>
    <x:row r="914" ht="14.25" customHeight="1">
      <x:c r="A914" s="10"/>
      <x:c r="B914" s="10"/>
      <x:c r="C914" s="10"/>
      <x:c r="D914" s="10"/>
    </x:row>
    <x:row r="915" ht="14.25" customHeight="1">
      <x:c r="A915" s="10"/>
      <x:c r="B915" s="10"/>
      <x:c r="C915" s="10"/>
      <x:c r="D915" s="10"/>
    </x:row>
    <x:row r="916" ht="14.25" customHeight="1">
      <x:c r="A916" s="10"/>
      <x:c r="B916" s="10"/>
      <x:c r="C916" s="10"/>
      <x:c r="D916" s="10"/>
    </x:row>
    <x:row r="917" ht="14.25" customHeight="1">
      <x:c r="A917" s="10"/>
      <x:c r="B917" s="10"/>
      <x:c r="C917" s="10"/>
      <x:c r="D917" s="10"/>
    </x:row>
    <x:row r="918" ht="14.25" customHeight="1">
      <x:c r="A918" s="10"/>
      <x:c r="B918" s="10"/>
      <x:c r="C918" s="10"/>
      <x:c r="D918" s="10"/>
    </x:row>
    <x:row r="919" ht="14.25" customHeight="1">
      <x:c r="A919" s="10"/>
      <x:c r="B919" s="10"/>
      <x:c r="C919" s="10"/>
      <x:c r="D919" s="10"/>
    </x:row>
    <x:row r="920" ht="14.25" customHeight="1">
      <x:c r="A920" s="10"/>
      <x:c r="B920" s="10"/>
      <x:c r="C920" s="10"/>
      <x:c r="D920" s="10"/>
    </x:row>
    <x:row r="921" ht="14.25" customHeight="1">
      <x:c r="A921" s="10"/>
      <x:c r="B921" s="10"/>
      <x:c r="C921" s="10"/>
      <x:c r="D921" s="10"/>
    </x:row>
    <x:row r="922" ht="14.25" customHeight="1">
      <x:c r="A922" s="10"/>
      <x:c r="B922" s="10"/>
      <x:c r="C922" s="10"/>
      <x:c r="D922" s="10"/>
    </x:row>
    <x:row r="923" ht="14.25" customHeight="1">
      <x:c r="A923" s="10"/>
      <x:c r="B923" s="10"/>
      <x:c r="C923" s="10"/>
      <x:c r="D923" s="10"/>
    </x:row>
    <x:row r="924" ht="14.25" customHeight="1">
      <x:c r="A924" s="10"/>
      <x:c r="B924" s="10"/>
      <x:c r="C924" s="10"/>
      <x:c r="D924" s="10"/>
    </x:row>
    <x:row r="925" ht="14.25" customHeight="1">
      <x:c r="A925" s="10"/>
      <x:c r="B925" s="10"/>
      <x:c r="C925" s="10"/>
      <x:c r="D925" s="10"/>
    </x:row>
    <x:row r="926" ht="14.25" customHeight="1">
      <x:c r="A926" s="10"/>
      <x:c r="B926" s="10"/>
      <x:c r="C926" s="10"/>
      <x:c r="D926" s="10"/>
    </x:row>
    <x:row r="927" ht="14.25" customHeight="1">
      <x:c r="A927" s="10"/>
      <x:c r="B927" s="10"/>
      <x:c r="C927" s="10"/>
      <x:c r="D927" s="10"/>
    </x:row>
    <x:row r="928" ht="14.25" customHeight="1">
      <x:c r="A928" s="10"/>
      <x:c r="B928" s="10"/>
      <x:c r="C928" s="10"/>
      <x:c r="D928" s="10"/>
    </x:row>
    <x:row r="929" ht="14.25" customHeight="1">
      <x:c r="A929" s="10"/>
      <x:c r="B929" s="10"/>
      <x:c r="C929" s="10"/>
      <x:c r="D929" s="10"/>
    </x:row>
    <x:row r="930" ht="14.25" customHeight="1">
      <x:c r="A930" s="10"/>
      <x:c r="B930" s="10"/>
      <x:c r="C930" s="10"/>
      <x:c r="D930" s="10"/>
    </x:row>
    <x:row r="931" ht="14.25" customHeight="1">
      <x:c r="A931" s="10"/>
      <x:c r="B931" s="10"/>
      <x:c r="C931" s="10"/>
      <x:c r="D931" s="10"/>
    </x:row>
    <x:row r="932" ht="14.25" customHeight="1">
      <x:c r="A932" s="10"/>
      <x:c r="B932" s="10"/>
      <x:c r="C932" s="10"/>
      <x:c r="D932" s="10"/>
    </x:row>
    <x:row r="933" ht="14.25" customHeight="1">
      <x:c r="A933" s="10"/>
      <x:c r="B933" s="10"/>
      <x:c r="C933" s="10"/>
      <x:c r="D933" s="10"/>
    </x:row>
    <x:row r="934" ht="14.25" customHeight="1">
      <x:c r="A934" s="10"/>
      <x:c r="B934" s="10"/>
      <x:c r="C934" s="10"/>
      <x:c r="D934" s="10"/>
    </x:row>
    <x:row r="935" ht="14.25" customHeight="1">
      <x:c r="A935" s="10"/>
      <x:c r="B935" s="10"/>
      <x:c r="C935" s="10"/>
      <x:c r="D935" s="10"/>
    </x:row>
    <x:row r="936" ht="14.25" customHeight="1">
      <x:c r="A936" s="10"/>
      <x:c r="B936" s="10"/>
      <x:c r="C936" s="10"/>
      <x:c r="D936" s="10"/>
    </x:row>
    <x:row r="937" ht="14.25" customHeight="1">
      <x:c r="A937" s="10"/>
      <x:c r="B937" s="10"/>
      <x:c r="C937" s="10"/>
      <x:c r="D937" s="10"/>
    </x:row>
    <x:row r="938" ht="14.25" customHeight="1">
      <x:c r="A938" s="10"/>
      <x:c r="B938" s="10"/>
      <x:c r="C938" s="10"/>
      <x:c r="D938" s="10"/>
    </x:row>
    <x:row r="939" ht="14.25" customHeight="1">
      <x:c r="A939" s="10"/>
      <x:c r="B939" s="10"/>
      <x:c r="C939" s="10"/>
      <x:c r="D939" s="10"/>
    </x:row>
    <x:row r="940" ht="14.25" customHeight="1">
      <x:c r="A940" s="10"/>
      <x:c r="B940" s="10"/>
      <x:c r="C940" s="10"/>
      <x:c r="D940" s="10"/>
    </x:row>
    <x:row r="941" ht="14.25" customHeight="1">
      <x:c r="A941" s="10"/>
      <x:c r="B941" s="10"/>
      <x:c r="C941" s="10"/>
      <x:c r="D941" s="10"/>
    </x:row>
    <x:row r="942" ht="14.25" customHeight="1">
      <x:c r="A942" s="10"/>
      <x:c r="B942" s="10"/>
      <x:c r="C942" s="10"/>
      <x:c r="D942" s="10"/>
    </x:row>
    <x:row r="943" ht="14.25" customHeight="1">
      <x:c r="A943" s="10"/>
      <x:c r="B943" s="10"/>
      <x:c r="C943" s="10"/>
      <x:c r="D943" s="10"/>
    </x:row>
    <x:row r="944" ht="14.25" customHeight="1">
      <x:c r="A944" s="10"/>
      <x:c r="B944" s="10"/>
      <x:c r="C944" s="10"/>
      <x:c r="D944" s="10"/>
    </x:row>
    <x:row r="945" ht="14.25" customHeight="1">
      <x:c r="A945" s="10"/>
      <x:c r="B945" s="10"/>
      <x:c r="C945" s="10"/>
      <x:c r="D945" s="10"/>
    </x:row>
    <x:row r="946" ht="14.25" customHeight="1">
      <x:c r="A946" s="10"/>
      <x:c r="B946" s="10"/>
      <x:c r="C946" s="10"/>
      <x:c r="D946" s="10"/>
    </x:row>
    <x:row r="947" ht="14.25" customHeight="1">
      <x:c r="A947" s="10"/>
      <x:c r="B947" s="10"/>
      <x:c r="C947" s="10"/>
      <x:c r="D947" s="10"/>
    </x:row>
    <x:row r="948" ht="14.25" customHeight="1">
      <x:c r="A948" s="10"/>
      <x:c r="B948" s="10"/>
      <x:c r="C948" s="10"/>
      <x:c r="D948" s="10"/>
    </x:row>
    <x:row r="949" ht="14.25" customHeight="1">
      <x:c r="A949" s="10"/>
      <x:c r="B949" s="10"/>
      <x:c r="C949" s="10"/>
      <x:c r="D949" s="10"/>
    </x:row>
    <x:row r="950" ht="14.25" customHeight="1">
      <x:c r="A950" s="10"/>
      <x:c r="B950" s="10"/>
      <x:c r="C950" s="10"/>
      <x:c r="D950" s="10"/>
    </x:row>
    <x:row r="951" ht="14.25" customHeight="1">
      <x:c r="A951" s="10"/>
      <x:c r="B951" s="10"/>
      <x:c r="C951" s="10"/>
      <x:c r="D951" s="10"/>
    </x:row>
    <x:row r="952" ht="14.25" customHeight="1">
      <x:c r="A952" s="10"/>
      <x:c r="B952" s="10"/>
      <x:c r="C952" s="10"/>
      <x:c r="D952" s="10"/>
    </x:row>
    <x:row r="953" ht="14.25" customHeight="1">
      <x:c r="A953" s="10"/>
      <x:c r="B953" s="10"/>
      <x:c r="C953" s="10"/>
      <x:c r="D953" s="10"/>
    </x:row>
    <x:row r="954" ht="14.25" customHeight="1">
      <x:c r="A954" s="10"/>
      <x:c r="B954" s="10"/>
      <x:c r="C954" s="10"/>
      <x:c r="D954" s="10"/>
    </x:row>
    <x:row r="955" ht="14.25" customHeight="1">
      <x:c r="A955" s="10"/>
      <x:c r="B955" s="10"/>
      <x:c r="C955" s="10"/>
      <x:c r="D955" s="10"/>
    </x:row>
    <x:row r="956" ht="14.25" customHeight="1">
      <x:c r="A956" s="10"/>
      <x:c r="B956" s="10"/>
      <x:c r="C956" s="10"/>
      <x:c r="D956" s="10"/>
    </x:row>
    <x:row r="957" ht="14.25" customHeight="1">
      <x:c r="A957" s="10"/>
      <x:c r="B957" s="10"/>
      <x:c r="C957" s="10"/>
      <x:c r="D957" s="10"/>
    </x:row>
    <x:row r="958" ht="14.25" customHeight="1">
      <x:c r="A958" s="10"/>
      <x:c r="B958" s="10"/>
      <x:c r="C958" s="10"/>
      <x:c r="D958" s="10"/>
    </x:row>
    <x:row r="959" ht="14.25" customHeight="1">
      <x:c r="A959" s="10"/>
      <x:c r="B959" s="10"/>
      <x:c r="C959" s="10"/>
      <x:c r="D959" s="10"/>
    </x:row>
    <x:row r="960" ht="14.25" customHeight="1">
      <x:c r="A960" s="10"/>
      <x:c r="B960" s="10"/>
      <x:c r="C960" s="10"/>
      <x:c r="D960" s="10"/>
    </x:row>
    <x:row r="961" ht="14.25" customHeight="1">
      <x:c r="A961" s="10"/>
      <x:c r="B961" s="10"/>
      <x:c r="C961" s="10"/>
      <x:c r="D961" s="10"/>
    </x:row>
    <x:row r="962" ht="14.25" customHeight="1">
      <x:c r="A962" s="10"/>
      <x:c r="B962" s="10"/>
      <x:c r="C962" s="10"/>
      <x:c r="D962" s="10"/>
    </x:row>
    <x:row r="963" ht="14.25" customHeight="1">
      <x:c r="A963" s="10"/>
      <x:c r="B963" s="10"/>
      <x:c r="C963" s="10"/>
      <x:c r="D963" s="10"/>
    </x:row>
    <x:row r="964" ht="14.25" customHeight="1">
      <x:c r="A964" s="10"/>
      <x:c r="B964" s="10"/>
      <x:c r="C964" s="10"/>
      <x:c r="D964" s="10"/>
    </x:row>
    <x:row r="965" ht="14.25" customHeight="1">
      <x:c r="A965" s="10"/>
      <x:c r="B965" s="10"/>
      <x:c r="C965" s="10"/>
      <x:c r="D965" s="10"/>
    </x:row>
    <x:row r="966" ht="14.25" customHeight="1">
      <x:c r="A966" s="10"/>
      <x:c r="B966" s="10"/>
      <x:c r="C966" s="10"/>
      <x:c r="D966" s="10"/>
    </x:row>
    <x:row r="967" ht="14.25" customHeight="1">
      <x:c r="A967" s="10"/>
      <x:c r="B967" s="10"/>
      <x:c r="C967" s="10"/>
      <x:c r="D967" s="10"/>
    </x:row>
    <x:row r="968" ht="14.25" customHeight="1">
      <x:c r="A968" s="10"/>
      <x:c r="B968" s="10"/>
      <x:c r="C968" s="10"/>
      <x:c r="D968" s="10"/>
    </x:row>
    <x:row r="969" ht="14.25" customHeight="1">
      <x:c r="A969" s="10"/>
      <x:c r="B969" s="10"/>
      <x:c r="C969" s="10"/>
      <x:c r="D969" s="10"/>
    </x:row>
    <x:row r="970" ht="14.25" customHeight="1">
      <x:c r="A970" s="10"/>
      <x:c r="B970" s="10"/>
      <x:c r="C970" s="10"/>
      <x:c r="D970" s="10"/>
    </x:row>
    <x:row r="971" ht="14.25" customHeight="1">
      <x:c r="A971" s="10"/>
      <x:c r="B971" s="10"/>
      <x:c r="C971" s="10"/>
      <x:c r="D971" s="10"/>
    </x:row>
    <x:row r="972" ht="14.25" customHeight="1">
      <x:c r="A972" s="10"/>
      <x:c r="B972" s="10"/>
      <x:c r="C972" s="10"/>
      <x:c r="D972" s="10"/>
    </x:row>
    <x:row r="973" ht="14.25" customHeight="1">
      <x:c r="A973" s="10"/>
      <x:c r="B973" s="10"/>
      <x:c r="C973" s="10"/>
      <x:c r="D973" s="10"/>
    </x:row>
    <x:row r="974" ht="14.25" customHeight="1">
      <x:c r="A974" s="10"/>
      <x:c r="B974" s="10"/>
      <x:c r="C974" s="10"/>
      <x:c r="D974" s="10"/>
    </x:row>
    <x:row r="975" ht="14.25" customHeight="1">
      <x:c r="A975" s="10"/>
      <x:c r="B975" s="10"/>
      <x:c r="C975" s="10"/>
      <x:c r="D975" s="10"/>
    </x:row>
    <x:row r="976" ht="14.25" customHeight="1">
      <x:c r="A976" s="10"/>
      <x:c r="B976" s="10"/>
      <x:c r="C976" s="10"/>
      <x:c r="D976" s="10"/>
    </x:row>
    <x:row r="977" ht="14.25" customHeight="1">
      <x:c r="A977" s="10"/>
      <x:c r="B977" s="10"/>
      <x:c r="C977" s="10"/>
      <x:c r="D977" s="10"/>
    </x:row>
    <x:row r="978" ht="14.25" customHeight="1">
      <x:c r="A978" s="10"/>
      <x:c r="B978" s="10"/>
      <x:c r="C978" s="10"/>
      <x:c r="D978" s="10"/>
    </x:row>
    <x:row r="979" ht="14.25" customHeight="1">
      <x:c r="A979" s="10"/>
      <x:c r="B979" s="10"/>
      <x:c r="C979" s="10"/>
      <x:c r="D979" s="10"/>
    </x:row>
    <x:row r="980" ht="14.25" customHeight="1">
      <x:c r="A980" s="10"/>
      <x:c r="B980" s="10"/>
      <x:c r="C980" s="10"/>
      <x:c r="D980" s="10"/>
    </x:row>
    <x:row r="981" ht="14.25" customHeight="1">
      <x:c r="A981" s="10"/>
      <x:c r="B981" s="10"/>
      <x:c r="C981" s="10"/>
      <x:c r="D981" s="10"/>
    </x:row>
    <x:row r="982" ht="14.25" customHeight="1">
      <x:c r="A982" s="10"/>
      <x:c r="B982" s="10"/>
      <x:c r="C982" s="10"/>
      <x:c r="D982" s="10"/>
    </x:row>
    <x:row r="983" ht="14.25" customHeight="1">
      <x:c r="A983" s="10"/>
      <x:c r="B983" s="10"/>
      <x:c r="C983" s="10"/>
      <x:c r="D983" s="10"/>
    </x:row>
    <x:row r="984" ht="14.25" customHeight="1">
      <x:c r="A984" s="10"/>
      <x:c r="B984" s="10"/>
      <x:c r="C984" s="10"/>
      <x:c r="D984" s="10"/>
    </x:row>
    <x:row r="985" ht="14.25" customHeight="1">
      <x:c r="A985" s="10"/>
      <x:c r="B985" s="10"/>
      <x:c r="C985" s="10"/>
      <x:c r="D985" s="10"/>
    </x:row>
    <x:row r="986" ht="14.25" customHeight="1">
      <x:c r="A986" s="10"/>
      <x:c r="B986" s="10"/>
      <x:c r="C986" s="10"/>
      <x:c r="D986" s="10"/>
    </x:row>
    <x:row r="987" ht="14.25" customHeight="1">
      <x:c r="A987" s="10"/>
      <x:c r="B987" s="10"/>
      <x:c r="C987" s="10"/>
      <x:c r="D987" s="10"/>
    </x:row>
    <x:row r="988" ht="14.25" customHeight="1">
      <x:c r="A988" s="10"/>
      <x:c r="B988" s="10"/>
      <x:c r="C988" s="10"/>
      <x:c r="D988" s="10"/>
    </x:row>
    <x:row r="989" ht="14.25" customHeight="1">
      <x:c r="A989" s="10"/>
      <x:c r="B989" s="10"/>
      <x:c r="C989" s="10"/>
      <x:c r="D989" s="10"/>
    </x:row>
    <x:row r="990" ht="14.25" customHeight="1">
      <x:c r="A990" s="10"/>
      <x:c r="B990" s="10"/>
      <x:c r="C990" s="10"/>
      <x:c r="D990" s="10"/>
    </x:row>
    <x:row r="991" ht="14.25" customHeight="1">
      <x:c r="A991" s="10"/>
      <x:c r="B991" s="10"/>
      <x:c r="C991" s="10"/>
      <x:c r="D991" s="10"/>
    </x:row>
    <x:row r="992" ht="14.25" customHeight="1">
      <x:c r="A992" s="10"/>
      <x:c r="B992" s="10"/>
      <x:c r="C992" s="10"/>
      <x:c r="D992" s="10"/>
    </x:row>
    <x:row r="993" ht="14.25" customHeight="1">
      <x:c r="A993" s="10"/>
      <x:c r="B993" s="10"/>
      <x:c r="C993" s="10"/>
      <x:c r="D993" s="10"/>
    </x:row>
    <x:row r="994" ht="14.25" customHeight="1">
      <x:c r="A994" s="10"/>
      <x:c r="B994" s="10"/>
      <x:c r="C994" s="10"/>
      <x:c r="D994" s="10"/>
    </x:row>
    <x:row r="995" ht="14.25" customHeight="1">
      <x:c r="A995" s="10"/>
      <x:c r="B995" s="10"/>
      <x:c r="C995" s="10"/>
      <x:c r="D995" s="10"/>
    </x:row>
    <x:row r="996" ht="14.25" customHeight="1">
      <x:c r="A996" s="10"/>
      <x:c r="B996" s="10"/>
      <x:c r="C996" s="10"/>
      <x:c r="D996" s="10"/>
    </x:row>
    <x:row r="997" ht="14.25" customHeight="1">
      <x:c r="A997" s="10"/>
      <x:c r="B997" s="10"/>
      <x:c r="C997" s="10"/>
      <x:c r="D997" s="10"/>
    </x:row>
    <x:row r="998" ht="14.25" customHeight="1">
      <x:c r="A998" s="10"/>
      <x:c r="B998" s="10"/>
      <x:c r="C998" s="10"/>
      <x:c r="D998" s="10"/>
    </x:row>
    <x:row r="999" ht="14.25" customHeight="1">
      <x:c r="A999" s="10"/>
      <x:c r="B999" s="10"/>
      <x:c r="C999" s="10"/>
      <x:c r="D999" s="10"/>
    </x:row>
    <x:row r="1000" ht="14.25" customHeight="1">
      <x:c r="A1000" s="10"/>
      <x:c r="B1000" s="10"/>
      <x:c r="C1000" s="10"/>
      <x:c r="D1000" s="10"/>
    </x:row>
  </x:sheetData>
  <x:pageMargins left="0.7" right="0.7" top="0.75" bottom="0.75" header="0.3" footer="0.3"/>
</x:worksheet>
</file>

<file path=xl/worksheets/sheet10.xml><?xml version="1.0" encoding="utf-8"?>
<x:worksheet xmlns:x="http://schemas.openxmlformats.org/spreadsheetml/2006/main">
  <x:sheetFormatPr defaultColWidth="14.453125" defaultRowHeight="15"/>
  <x:cols>
    <x:col min="1" max="1" width="5" customWidth="1"/>
    <x:col min="2" max="2" width="12" customWidth="1"/>
    <x:col min="3" max="3" width="30" customWidth="1"/>
    <x:col min="4" max="4" width="6" customWidth="1"/>
    <x:col min="5" max="5" width="16" customWidth="1"/>
    <x:col min="6" max="6" width="9" customWidth="1"/>
    <x:col min="7" max="8" width="32" customWidth="1"/>
    <x:col min="9" max="9" width="7" customWidth="1"/>
    <x:col min="10" max="10" width="10" customWidth="1"/>
    <x:col min="11" max="26" width="8.54296875" customWidth="1"/>
  </x:cols>
  <x:sheetData>
    <x:row r="1" ht="15" customHeight="1">
      <x:c r="A1" s="14" t="str">
        <x:v>#</x:v>
      </x:c>
      <x:c r="B1" s="14" t="str">
        <x:v>Domain</x:v>
      </x:c>
      <x:c r="C1" s="14" t="str">
        <x:v>Subtype</x:v>
      </x:c>
      <x:c r="D1" s="14" t="str">
        <x:v>Part</x:v>
      </x:c>
      <x:c r="E1" s="14" t="str">
        <x:v>Character</x:v>
      </x:c>
      <x:c r="F1" s="14" t="str">
        <x:v>Mode</x:v>
      </x:c>
      <x:c r="G1" s="14" t="str">
        <x:v>Russian rendering</x:v>
      </x:c>
      <x:c r="H1" s="14" t="str">
        <x:v>Kazakh rendering</x:v>
      </x:c>
      <x:c r="I1" s="14" t="str">
        <x:v>Token</x:v>
      </x:c>
      <x:c r="J1" s="14" t="str">
        <x:v>IsPrincipal</x:v>
      </x:c>
    </x:row>
    <x:row r="2" ht="15" customHeight="1">
      <x:c r="A2" s="19" t="n">
        <x:v>1</x:v>
      </x:c>
      <x:c r="B2" s="19" t="str">
        <x:v>Shame</x:v>
      </x:c>
      <x:c r="C2" s="19" t="str">
        <x:v>Moral shame</x:v>
      </x:c>
      <x:c r="D2" s="19" t="str">
        <x:v>P1</x:v>
      </x:c>
      <x:c r="E2" s="19" t="str">
        <x:v>Scarlett</x:v>
      </x:c>
      <x:c r="F2" s="19" t="str">
        <x:v>felt</x:v>
      </x:c>
      <x:c r="G2" s="19" t="str">
        <x:v>пристыдить</x:v>
      </x:c>
      <x:c r="H2" s="28" t="str">
        <x:v>ŪİALTU</x:v>
      </x:c>
      <x:c r="I2" s="19" t="n">
        <x:v>1</x:v>
      </x:c>
      <x:c r="J2" s="19" t="n">
        <x:v>1</x:v>
      </x:c>
    </x:row>
    <x:row r="3" ht="15" customHeight="1">
      <x:c r="A3" s="19" t="n">
        <x:v>2</x:v>
      </x:c>
      <x:c r="B3" s="19" t="str">
        <x:v>Shame</x:v>
      </x:c>
      <x:c r="C3" s="19" t="str">
        <x:v>Moral shame</x:v>
      </x:c>
      <x:c r="D3" s="19" t="str">
        <x:v>P1</x:v>
      </x:c>
      <x:c r="E3" s="19" t="str">
        <x:v>Scarlett</x:v>
      </x:c>
      <x:c r="F3" s="19" t="str">
        <x:v>felt</x:v>
      </x:c>
      <x:c r="G3" s="19" t="str">
        <x:v>устыдиться</x:v>
      </x:c>
      <x:c r="H3" s="28" t="str">
        <x:v>ŪİALU</x:v>
      </x:c>
      <x:c r="I3" s="19" t="n">
        <x:v>1</x:v>
      </x:c>
      <x:c r="J3" s="19" t="n">
        <x:v>1</x:v>
      </x:c>
    </x:row>
    <x:row r="4" ht="15" customHeight="1">
      <x:c r="A4" s="19" t="n">
        <x:v>3</x:v>
      </x:c>
      <x:c r="B4" s="19" t="str">
        <x:v>Shame</x:v>
      </x:c>
      <x:c r="C4" s="19" t="str">
        <x:v>Moral shame</x:v>
      </x:c>
      <x:c r="D4" s="19" t="str">
        <x:v>P3</x:v>
      </x:c>
      <x:c r="E4" s="19" t="str">
        <x:v>Scarlett</x:v>
      </x:c>
      <x:c r="F4" s="19" t="str">
        <x:v>felt</x:v>
      </x:c>
      <x:c r="G4" s="19" t="str">
        <x:v>стыдно</x:v>
      </x:c>
      <x:c r="H4" s="28" t="str">
        <x:v>ŪİALU</x:v>
      </x:c>
      <x:c r="I4" s="19" t="n">
        <x:v>1</x:v>
      </x:c>
      <x:c r="J4" s="19" t="n">
        <x:v>1</x:v>
      </x:c>
    </x:row>
    <x:row r="5" ht="15" customHeight="1">
      <x:c r="A5" s="19" t="n">
        <x:v>4</x:v>
      </x:c>
      <x:c r="B5" s="19" t="str">
        <x:v>Shame</x:v>
      </x:c>
      <x:c r="C5" s="19" t="str">
        <x:v>Moral shame</x:v>
      </x:c>
      <x:c r="D5" s="19" t="str">
        <x:v>P3</x:v>
      </x:c>
      <x:c r="E5" s="19" t="str">
        <x:v>Scarlett</x:v>
      </x:c>
      <x:c r="F5" s="19" t="str">
        <x:v>felt</x:v>
      </x:c>
      <x:c r="G5" s="19" t="str">
        <x:v>устыдиться</x:v>
      </x:c>
      <x:c r="H5" s="28" t="str">
        <x:v>ŪİALU</x:v>
      </x:c>
      <x:c r="I5" s="19" t="n">
        <x:v>1</x:v>
      </x:c>
      <x:c r="J5" s="19" t="n">
        <x:v>1</x:v>
      </x:c>
    </x:row>
    <x:row r="6" ht="15" customHeight="1">
      <x:c r="A6" s="19" t="n">
        <x:v>5</x:v>
      </x:c>
      <x:c r="B6" s="19" t="str">
        <x:v>Shame</x:v>
      </x:c>
      <x:c r="C6" s="19" t="str">
        <x:v>Moral shame</x:v>
      </x:c>
      <x:c r="D6" s="19" t="str">
        <x:v>P3</x:v>
      </x:c>
      <x:c r="E6" s="19" t="str">
        <x:v>Scarlett</x:v>
      </x:c>
      <x:c r="F6" s="19" t="str">
        <x:v>felt</x:v>
      </x:c>
      <x:c r="G6" s="19" t="str">
        <x:v>стыдно</x:v>
      </x:c>
      <x:c r="H6" s="28" t="str">
        <x:v>ŪİALU</x:v>
      </x:c>
      <x:c r="I6" s="19" t="n">
        <x:v>1</x:v>
      </x:c>
      <x:c r="J6" s="19" t="n">
        <x:v>1</x:v>
      </x:c>
    </x:row>
    <x:row r="7" ht="26.25" customHeight="1">
      <x:c r="A7" s="19" t="n">
        <x:v>6</x:v>
      </x:c>
      <x:c r="B7" s="19" t="str">
        <x:v>Shame</x:v>
      </x:c>
      <x:c r="C7" s="19" t="str">
        <x:v>Moral shame</x:v>
      </x:c>
      <x:c r="D7" s="19" t="str">
        <x:v>P3</x:v>
      </x:c>
      <x:c r="E7" s="19" t="str">
        <x:v>Scarlett</x:v>
      </x:c>
      <x:c r="F7" s="19" t="str">
        <x:v>felt</x:v>
      </x:c>
      <x:c r="G7" s="19" t="str">
        <x:v>стыдно</x:v>
      </x:c>
      <x:c r="H7" s="19" t="str">
        <x:v>ŪIALYS TABŪ</x:v>
      </x:c>
      <x:c r="I7" s="19" t="n">
        <x:v>1</x:v>
      </x:c>
      <x:c r="J7" s="19" t="n">
        <x:v>1</x:v>
      </x:c>
    </x:row>
    <x:row r="8" ht="15" customHeight="1">
      <x:c r="A8" s="19" t="n">
        <x:v>7</x:v>
      </x:c>
      <x:c r="B8" s="19" t="str">
        <x:v>Shame</x:v>
      </x:c>
      <x:c r="C8" s="19" t="str">
        <x:v>Moral shame</x:v>
      </x:c>
      <x:c r="D8" s="19" t="str">
        <x:v>P4</x:v>
      </x:c>
      <x:c r="E8" s="19" t="str">
        <x:v>Scarlett</x:v>
      </x:c>
      <x:c r="F8" s="19" t="str">
        <x:v>ascribed</x:v>
      </x:c>
      <x:c r="G8" s="19" t="str">
        <x:v>стыдно</x:v>
      </x:c>
      <x:c r="H8" s="28" t="str">
        <x:v>ŪİAT</x:v>
      </x:c>
      <x:c r="I8" s="19" t="n">
        <x:v>1</x:v>
      </x:c>
      <x:c r="J8" s="19" t="n">
        <x:v>1</x:v>
      </x:c>
    </x:row>
    <x:row r="9" ht="15" customHeight="1">
      <x:c r="A9" s="19" t="n">
        <x:v>8</x:v>
      </x:c>
      <x:c r="B9" s="19" t="str">
        <x:v>Shame</x:v>
      </x:c>
      <x:c r="C9" s="19" t="str">
        <x:v>Moral shame</x:v>
      </x:c>
      <x:c r="D9" s="19" t="str">
        <x:v>P4</x:v>
      </x:c>
      <x:c r="E9" s="19" t="str">
        <x:v>Scarlett</x:v>
      </x:c>
      <x:c r="F9" s="19" t="str">
        <x:v>felt</x:v>
      </x:c>
      <x:c r="G9" s="19" t="str">
        <x:v>пристыженный</x:v>
      </x:c>
      <x:c r="H9" s="28" t="str">
        <x:v>QOLAİSYZ</x:v>
      </x:c>
      <x:c r="I9" s="19" t="n">
        <x:v>1</x:v>
      </x:c>
      <x:c r="J9" s="19" t="n">
        <x:v>1</x:v>
      </x:c>
    </x:row>
    <x:row r="10" ht="15" customHeight="1">
      <x:c r="A10" s="19" t="n">
        <x:v>9</x:v>
      </x:c>
      <x:c r="B10" s="19" t="str">
        <x:v>Shame</x:v>
      </x:c>
      <x:c r="C10" s="19" t="str">
        <x:v>Moral shame</x:v>
      </x:c>
      <x:c r="D10" s="19" t="str">
        <x:v>P4</x:v>
      </x:c>
      <x:c r="E10" s="19" t="str">
        <x:v>Scarlett</x:v>
      </x:c>
      <x:c r="F10" s="19" t="str">
        <x:v>ascribed</x:v>
      </x:c>
      <x:c r="G10" s="19" t="str">
        <x:v>стыдно</x:v>
      </x:c>
      <x:c r="H10" s="28" t="str">
        <x:v>ŪİALU</x:v>
      </x:c>
      <x:c r="I10" s="19" t="n">
        <x:v>1</x:v>
      </x:c>
      <x:c r="J10" s="19" t="n">
        <x:v>1</x:v>
      </x:c>
    </x:row>
    <x:row r="11" ht="26.25" customHeight="1">
      <x:c r="A11" s="19" t="n">
        <x:v>10</x:v>
      </x:c>
      <x:c r="B11" s="19" t="str">
        <x:v>Shame</x:v>
      </x:c>
      <x:c r="C11" s="19" t="str">
        <x:v>Moral shame</x:v>
      </x:c>
      <x:c r="D11" s="19" t="str">
        <x:v>P4</x:v>
      </x:c>
      <x:c r="E11" s="19" t="str">
        <x:v>Scarlett</x:v>
      </x:c>
      <x:c r="F11" s="19" t="str">
        <x:v>felt</x:v>
      </x:c>
      <x:c r="G11" s="19" t="str">
        <x:v>слеза</x:v>
      </x:c>
      <x:c r="H11" s="19" t="str">
        <x:v>[paraphrase / no single-word equivalent]</x:v>
      </x:c>
      <x:c r="I11" s="19" t="n">
        <x:v>1</x:v>
      </x:c>
      <x:c r="J11" s="19" t="n">
        <x:v>1</x:v>
      </x:c>
    </x:row>
    <x:row r="12" ht="15" customHeight="1">
      <x:c r="A12" s="19" t="n">
        <x:v>11</x:v>
      </x:c>
      <x:c r="B12" s="19" t="str">
        <x:v>Shame</x:v>
      </x:c>
      <x:c r="C12" s="19" t="str">
        <x:v>Moral shame</x:v>
      </x:c>
      <x:c r="D12" s="19" t="str">
        <x:v>P4</x:v>
      </x:c>
      <x:c r="E12" s="19" t="str">
        <x:v>Scarlett</x:v>
      </x:c>
      <x:c r="F12" s="19" t="str">
        <x:v>felt</x:v>
      </x:c>
      <x:c r="G12" s="19" t="str">
        <x:v>стыд</x:v>
      </x:c>
      <x:c r="H12" s="28" t="str">
        <x:v>ŪİAT</x:v>
      </x:c>
      <x:c r="I12" s="19" t="n">
        <x:v>1</x:v>
      </x:c>
      <x:c r="J12" s="19" t="n">
        <x:v>1</x:v>
      </x:c>
    </x:row>
    <x:row r="13" ht="15" customHeight="1">
      <x:c r="A13" s="19" t="n">
        <x:v>12</x:v>
      </x:c>
      <x:c r="B13" s="19" t="str">
        <x:v>Shame</x:v>
      </x:c>
      <x:c r="C13" s="19" t="str">
        <x:v>Moral shame</x:v>
      </x:c>
      <x:c r="D13" s="19" t="str">
        <x:v>P4</x:v>
      </x:c>
      <x:c r="E13" s="19" t="str">
        <x:v>Scarlett</x:v>
      </x:c>
      <x:c r="F13" s="19" t="str">
        <x:v>felt</x:v>
      </x:c>
      <x:c r="G13" s="19" t="str">
        <x:v>стыд</x:v>
      </x:c>
      <x:c r="H13" s="28" t="str">
        <x:v>ŪİAT</x:v>
      </x:c>
      <x:c r="I13" s="19" t="n">
        <x:v>1</x:v>
      </x:c>
      <x:c r="J13" s="19" t="n">
        <x:v>1</x:v>
      </x:c>
    </x:row>
    <x:row r="14" ht="26.25" customHeight="1">
      <x:c r="A14" s="19" t="n">
        <x:v>13</x:v>
      </x:c>
      <x:c r="B14" s="19" t="str">
        <x:v>Shame</x:v>
      </x:c>
      <x:c r="C14" s="19" t="str">
        <x:v>Moral shame</x:v>
      </x:c>
      <x:c r="D14" s="19" t="str">
        <x:v>P5</x:v>
      </x:c>
      <x:c r="E14" s="19" t="str">
        <x:v>Scarlett</x:v>
      </x:c>
      <x:c r="F14" s="19" t="str">
        <x:v>felt</x:v>
      </x:c>
      <x:c r="G14" s="19" t="str">
        <x:v>стыд</x:v>
      </x:c>
      <x:c r="H14" s="19" t="str">
        <x:v>[paraphrase / no single-word equivalent]</x:v>
      </x:c>
      <x:c r="I14" s="19" t="n">
        <x:v>1</x:v>
      </x:c>
      <x:c r="J14" s="19" t="n">
        <x:v>1</x:v>
      </x:c>
    </x:row>
    <x:row r="15" ht="15" customHeight="1">
      <x:c r="A15" s="19" t="n">
        <x:v>14</x:v>
      </x:c>
      <x:c r="B15" s="19" t="str">
        <x:v>Shame</x:v>
      </x:c>
      <x:c r="C15" s="19" t="str">
        <x:v>Moral shame</x:v>
      </x:c>
      <x:c r="D15" s="19" t="str">
        <x:v>P5</x:v>
      </x:c>
      <x:c r="E15" s="19" t="str">
        <x:v>Scarlett</x:v>
      </x:c>
      <x:c r="F15" s="19" t="str">
        <x:v>felt</x:v>
      </x:c>
      <x:c r="G15" s="19" t="str">
        <x:v>стыд</x:v>
      </x:c>
      <x:c r="H15" s="28" t="str">
        <x:v>KÜNÄ</x:v>
      </x:c>
      <x:c r="I15" s="19" t="n">
        <x:v>1</x:v>
      </x:c>
      <x:c r="J15" s="19" t="n">
        <x:v>1</x:v>
      </x:c>
    </x:row>
    <x:row r="16" ht="15" customHeight="1">
      <x:c r="A16" s="19" t="n">
        <x:v>15</x:v>
      </x:c>
      <x:c r="B16" s="19" t="str">
        <x:v>Shame</x:v>
      </x:c>
      <x:c r="C16" s="19" t="str">
        <x:v>Moral shame</x:v>
      </x:c>
      <x:c r="D16" s="19" t="str">
        <x:v>P5</x:v>
      </x:c>
      <x:c r="E16" s="19" t="str">
        <x:v>Scarlett</x:v>
      </x:c>
      <x:c r="F16" s="19" t="str">
        <x:v>felt</x:v>
      </x:c>
      <x:c r="G16" s="19" t="str">
        <x:v>стыдно</x:v>
      </x:c>
      <x:c r="H16" s="28" t="str">
        <x:v>ŪİALU</x:v>
      </x:c>
      <x:c r="I16" s="19" t="n">
        <x:v>1</x:v>
      </x:c>
      <x:c r="J16" s="19" t="n">
        <x:v>1</x:v>
      </x:c>
    </x:row>
    <x:row r="17" ht="15" customHeight="1">
      <x:c r="A17" s="19" t="n">
        <x:v>16</x:v>
      </x:c>
      <x:c r="B17" s="19" t="str">
        <x:v>Shame</x:v>
      </x:c>
      <x:c r="C17" s="19" t="str">
        <x:v>Moral shame</x:v>
      </x:c>
      <x:c r="D17" s="19" t="str">
        <x:v>P5</x:v>
      </x:c>
      <x:c r="E17" s="19" t="str">
        <x:v>Scarlett</x:v>
      </x:c>
      <x:c r="F17" s="19" t="str">
        <x:v>felt</x:v>
      </x:c>
      <x:c r="G17" s="19" t="str">
        <x:v>стыд</x:v>
      </x:c>
      <x:c r="H17" s="28" t="str">
        <x:v>ŪİALU</x:v>
      </x:c>
      <x:c r="I17" s="19" t="n">
        <x:v>1</x:v>
      </x:c>
      <x:c r="J17" s="19" t="n">
        <x:v>1</x:v>
      </x:c>
    </x:row>
    <x:row r="18" ht="15" customHeight="1">
      <x:c r="A18" s="19" t="n">
        <x:v>17</x:v>
      </x:c>
      <x:c r="B18" s="19" t="str">
        <x:v>Shame</x:v>
      </x:c>
      <x:c r="C18" s="19" t="str">
        <x:v>Moral shame</x:v>
      </x:c>
      <x:c r="D18" s="19" t="str">
        <x:v>P5</x:v>
      </x:c>
      <x:c r="E18" s="19" t="str">
        <x:v>Scarlett</x:v>
      </x:c>
      <x:c r="F18" s="19" t="str">
        <x:v>felt</x:v>
      </x:c>
      <x:c r="G18" s="19" t="str">
        <x:v>стыдно</x:v>
      </x:c>
      <x:c r="H18" s="28" t="str">
        <x:v>ŪİAT</x:v>
      </x:c>
      <x:c r="I18" s="19" t="n">
        <x:v>1</x:v>
      </x:c>
      <x:c r="J18" s="19" t="n">
        <x:v>1</x:v>
      </x:c>
    </x:row>
    <x:row r="19" ht="15" customHeight="1">
      <x:c r="A19" s="19" t="n">
        <x:v>18</x:v>
      </x:c>
      <x:c r="B19" s="19" t="str">
        <x:v>Shame</x:v>
      </x:c>
      <x:c r="C19" s="19" t="str">
        <x:v>Moral shame</x:v>
      </x:c>
      <x:c r="D19" s="19" t="str">
        <x:v>P4</x:v>
      </x:c>
      <x:c r="E19" s="19" t="str">
        <x:v>Rhett</x:v>
      </x:c>
      <x:c r="F19" s="19" t="str">
        <x:v>ascribed</x:v>
      </x:c>
      <x:c r="G19" s="19" t="str">
        <x:v>стыдно</x:v>
      </x:c>
      <x:c r="H19" s="28" t="str">
        <x:v>ÖKINU</x:v>
      </x:c>
      <x:c r="I19" s="19" t="n">
        <x:v>1</x:v>
      </x:c>
      <x:c r="J19" s="19" t="n">
        <x:v>1</x:v>
      </x:c>
    </x:row>
    <x:row r="20" ht="15" customHeight="1">
      <x:c r="A20" s="19" t="n">
        <x:v>19</x:v>
      </x:c>
      <x:c r="B20" s="19" t="str">
        <x:v>Shame</x:v>
      </x:c>
      <x:c r="C20" s="19" t="str">
        <x:v>Moral shame</x:v>
      </x:c>
      <x:c r="D20" s="19" t="str">
        <x:v>P5</x:v>
      </x:c>
      <x:c r="E20" s="19" t="str">
        <x:v>Melanie</x:v>
      </x:c>
      <x:c r="F20" s="19" t="str">
        <x:v>felt</x:v>
      </x:c>
      <x:c r="G20" s="19" t="str">
        <x:v>стыдно</x:v>
      </x:c>
      <x:c r="H20" s="28" t="str">
        <x:v>ŪİALU</x:v>
      </x:c>
      <x:c r="I20" s="19" t="n">
        <x:v>1</x:v>
      </x:c>
      <x:c r="J20" s="19" t="n">
        <x:v>1</x:v>
      </x:c>
    </x:row>
    <x:row r="21" ht="15" customHeight="1">
      <x:c r="A21" s="19" t="n">
        <x:v>20</x:v>
      </x:c>
      <x:c r="B21" s="19" t="str">
        <x:v>Shame</x:v>
      </x:c>
      <x:c r="C21" s="19" t="str">
        <x:v>Moral shame</x:v>
      </x:c>
      <x:c r="D21" s="19" t="str">
        <x:v>P2</x:v>
      </x:c>
      <x:c r="E21" s="19" t="str">
        <x:v>Ashley</x:v>
      </x:c>
      <x:c r="F21" s="19" t="str">
        <x:v>felt</x:v>
      </x:c>
      <x:c r="G21" s="19" t="str">
        <x:v>стыд</x:v>
      </x:c>
      <x:c r="H21" s="28" t="str">
        <x:v>ŪİAT</x:v>
      </x:c>
      <x:c r="I21" s="19" t="n">
        <x:v>1</x:v>
      </x:c>
      <x:c r="J21" s="19" t="n">
        <x:v>1</x:v>
      </x:c>
    </x:row>
    <x:row r="22" ht="15" customHeight="1">
      <x:c r="A22" s="19" t="n">
        <x:v>21</x:v>
      </x:c>
      <x:c r="B22" s="19" t="str">
        <x:v>Shame</x:v>
      </x:c>
      <x:c r="C22" s="19" t="str">
        <x:v>Moral shame</x:v>
      </x:c>
      <x:c r="D22" s="19" t="str">
        <x:v>P4</x:v>
      </x:c>
      <x:c r="E22" s="19" t="str">
        <x:v>Ashley</x:v>
      </x:c>
      <x:c r="F22" s="19" t="str">
        <x:v>spoken</x:v>
      </x:c>
      <x:c r="G22" s="19" t="str">
        <x:v>стыдно</x:v>
      </x:c>
      <x:c r="H22" s="28" t="str">
        <x:v>ŪİALU</x:v>
      </x:c>
      <x:c r="I22" s="19" t="n">
        <x:v>1</x:v>
      </x:c>
      <x:c r="J22" s="19" t="n">
        <x:v>1</x:v>
      </x:c>
    </x:row>
    <x:row r="23" ht="15" customHeight="1">
      <x:c r="A23" s="19" t="n">
        <x:v>22</x:v>
      </x:c>
      <x:c r="B23" s="19" t="str">
        <x:v>Shame</x:v>
      </x:c>
      <x:c r="C23" s="19" t="str">
        <x:v>Moral shame</x:v>
      </x:c>
      <x:c r="D23" s="19" t="str">
        <x:v>P4</x:v>
      </x:c>
      <x:c r="E23" s="19" t="str">
        <x:v>Ashley</x:v>
      </x:c>
      <x:c r="F23" s="19" t="str">
        <x:v>felt</x:v>
      </x:c>
      <x:c r="G23" s="19" t="str">
        <x:v>стыдиться</x:v>
      </x:c>
      <x:c r="H23" s="28" t="str">
        <x:v>QYSYLU</x:v>
      </x:c>
      <x:c r="I23" s="19" t="n">
        <x:v>1</x:v>
      </x:c>
      <x:c r="J23" s="19" t="n">
        <x:v>1</x:v>
      </x:c>
    </x:row>
    <x:row r="24" ht="15" customHeight="1">
      <x:c r="A24" s="19" t="n">
        <x:v>23</x:v>
      </x:c>
      <x:c r="B24" s="19" t="str">
        <x:v>Shame</x:v>
      </x:c>
      <x:c r="C24" s="19" t="str">
        <x:v>Moral shame</x:v>
      </x:c>
      <x:c r="D24" s="19" t="str">
        <x:v>P5</x:v>
      </x:c>
      <x:c r="E24" s="19" t="str">
        <x:v>Scarlett</x:v>
      </x:c>
      <x:c r="F24" s="19" t="str">
        <x:v>felt</x:v>
      </x:c>
      <x:c r="G24" s="19" t="str">
        <x:v>позор</x:v>
      </x:c>
      <x:c r="H24" s="28" t="str">
        <x:v>KINÄ MEN KÜNÄ</x:v>
      </x:c>
      <x:c r="I24" s="19" t="n">
        <x:v>1</x:v>
      </x:c>
      <x:c r="J24" s="19" t="n">
        <x:v>1</x:v>
      </x:c>
    </x:row>
    <x:row r="25" ht="15" customHeight="1">
      <x:c r="A25" s="19" t="n">
        <x:v>23</x:v>
      </x:c>
      <x:c r="B25" s="19" t="str">
        <x:v>Shame</x:v>
      </x:c>
      <x:c r="C25" s="19" t="str">
        <x:v>Moral shame</x:v>
      </x:c>
      <x:c r="D25" s="19" t="str">
        <x:v>P5</x:v>
      </x:c>
      <x:c r="E25" s="19" t="str">
        <x:v>Ashley</x:v>
      </x:c>
      <x:c r="F25" s="19" t="str">
        <x:v>felt</x:v>
      </x:c>
      <x:c r="G25" s="19" t="str">
        <x:v>позор</x:v>
      </x:c>
      <x:c r="H25" s="28" t="str">
        <x:v>KINÄ MEN KÜNÄ</x:v>
      </x:c>
      <x:c r="I25" s="19" t="n">
        <x:v>0</x:v>
      </x:c>
      <x:c r="J25" s="19" t="n">
        <x:v>1</x:v>
      </x:c>
    </x:row>
    <x:row r="26" ht="15" customHeight="1">
      <x:c r="A26" s="19" t="n">
        <x:v>24</x:v>
      </x:c>
      <x:c r="B26" s="19" t="str">
        <x:v>Shame</x:v>
      </x:c>
      <x:c r="C26" s="19" t="str">
        <x:v>Moral shame</x:v>
      </x:c>
      <x:c r="D26" s="19" t="str">
        <x:v>P3</x:v>
      </x:c>
      <x:c r="E26" s="19" t="str">
        <x:v>Prissy</x:v>
      </x:c>
      <x:c r="F26" s="19" t="str">
        <x:v>felt</x:v>
      </x:c>
      <x:c r="G26" s="19" t="str">
        <x:v>стыд</x:v>
      </x:c>
      <x:c r="H26" s="28" t="str">
        <x:v>ŪİALU</x:v>
      </x:c>
      <x:c r="I26" s="19" t="n">
        <x:v>1</x:v>
      </x:c>
      <x:c r="J26" s="19" t="n">
        <x:v>0</x:v>
      </x:c>
    </x:row>
    <x:row r="27" ht="26.25" customHeight="1">
      <x:c r="A27" s="19" t="n">
        <x:v>25</x:v>
      </x:c>
      <x:c r="B27" s="19" t="str">
        <x:v>Shame</x:v>
      </x:c>
      <x:c r="C27" s="19" t="str">
        <x:v>Moral shame</x:v>
      </x:c>
      <x:c r="D27" s="19" t="str">
        <x:v>P3</x:v>
      </x:c>
      <x:c r="E27" s="19" t="str">
        <x:v>Pork</x:v>
      </x:c>
      <x:c r="F27" s="19" t="str">
        <x:v>felt</x:v>
      </x:c>
      <x:c r="G27" s="19" t="str">
        <x:v>посрамить</x:v>
      </x:c>
      <x:c r="H27" s="19" t="str">
        <x:v>ÖZIN-ÖZI KEŞIRMEU</x:v>
      </x:c>
      <x:c r="I27" s="19" t="n">
        <x:v>1</x:v>
      </x:c>
      <x:c r="J27" s="19" t="n">
        <x:v>0</x:v>
      </x:c>
    </x:row>
    <x:row r="28" ht="15" customHeight="1">
      <x:c r="A28" s="19" t="n">
        <x:v>26</x:v>
      </x:c>
      <x:c r="B28" s="19" t="str">
        <x:v>Shame</x:v>
      </x:c>
      <x:c r="C28" s="19" t="str">
        <x:v>Absent moral shame</x:v>
      </x:c>
      <x:c r="D28" s="19" t="str">
        <x:v>P2</x:v>
      </x:c>
      <x:c r="E28" s="19" t="str">
        <x:v>Scarlett</x:v>
      </x:c>
      <x:c r="F28" s="19" t="str">
        <x:v>felt</x:v>
      </x:c>
      <x:c r="G28" s="19" t="str">
        <x:v>угрызение</x:v>
      </x:c>
      <x:c r="H28" s="28" t="str">
        <x:v>QYMSYNU</x:v>
      </x:c>
      <x:c r="I28" s="19" t="n">
        <x:v>1</x:v>
      </x:c>
      <x:c r="J28" s="19" t="n">
        <x:v>1</x:v>
      </x:c>
    </x:row>
    <x:row r="29" ht="15" customHeight="1">
      <x:c r="A29" s="19" t="n">
        <x:v>27</x:v>
      </x:c>
      <x:c r="B29" s="19" t="str">
        <x:v>Shame</x:v>
      </x:c>
      <x:c r="C29" s="19" t="str">
        <x:v>Absent moral shame</x:v>
      </x:c>
      <x:c r="D29" s="19" t="str">
        <x:v>P4</x:v>
      </x:c>
      <x:c r="E29" s="19" t="str">
        <x:v>Scarlett</x:v>
      </x:c>
      <x:c r="F29" s="19" t="str">
        <x:v>felt</x:v>
      </x:c>
      <x:c r="G29" s="19" t="str">
        <x:v>стыд</x:v>
      </x:c>
      <x:c r="H29" s="28" t="str">
        <x:v>ŪİAT</x:v>
      </x:c>
      <x:c r="I29" s="19" t="n">
        <x:v>1</x:v>
      </x:c>
      <x:c r="J29" s="19" t="n">
        <x:v>1</x:v>
      </x:c>
    </x:row>
    <x:row r="30" ht="26.25" customHeight="1">
      <x:c r="A30" s="19" t="n">
        <x:v>28</x:v>
      </x:c>
      <x:c r="B30" s="19" t="str">
        <x:v>Shame</x:v>
      </x:c>
      <x:c r="C30" s="19" t="str">
        <x:v>Absent moral shame</x:v>
      </x:c>
      <x:c r="D30" s="19" t="str">
        <x:v>P5</x:v>
      </x:c>
      <x:c r="E30" s="19" t="str">
        <x:v>Scarlett</x:v>
      </x:c>
      <x:c r="F30" s="19" t="str">
        <x:v>felt</x:v>
      </x:c>
      <x:c r="G30" s="19" t="str">
        <x:v>стеснение</x:v>
      </x:c>
      <x:c r="H30" s="19" t="str">
        <x:v>[paraphrase / no single-word equivalent]</x:v>
      </x:c>
      <x:c r="I30" s="19" t="n">
        <x:v>1</x:v>
      </x:c>
      <x:c r="J30" s="19" t="n">
        <x:v>1</x:v>
      </x:c>
    </x:row>
    <x:row r="31" ht="26.25" customHeight="1">
      <x:c r="A31" s="19" t="n">
        <x:v>29</x:v>
      </x:c>
      <x:c r="B31" s="19" t="str">
        <x:v>Shame</x:v>
      </x:c>
      <x:c r="C31" s="19" t="str">
        <x:v>Absent social shame (about the body)</x:v>
      </x:c>
      <x:c r="D31" s="19" t="str">
        <x:v>P1</x:v>
      </x:c>
      <x:c r="E31" s="19" t="str">
        <x:v>Scarlett</x:v>
      </x:c>
      <x:c r="F31" s="19" t="str">
        <x:v>felt</x:v>
      </x:c>
      <x:c r="G31" s="19" t="str">
        <x:v>стыдиться</x:v>
      </x:c>
      <x:c r="H31" s="28" t="str">
        <x:v>QYSYLU</x:v>
      </x:c>
      <x:c r="I31" s="19" t="n">
        <x:v>1</x:v>
      </x:c>
      <x:c r="J31" s="19" t="n">
        <x:v>1</x:v>
      </x:c>
    </x:row>
    <x:row r="32" ht="26.25" customHeight="1">
      <x:c r="A32" s="19" t="n">
        <x:v>30</x:v>
      </x:c>
      <x:c r="B32" s="19" t="str">
        <x:v>Shame</x:v>
      </x:c>
      <x:c r="C32" s="19" t="str">
        <x:v>Absent social shame (about the body)</x:v>
      </x:c>
      <x:c r="D32" s="19" t="str">
        <x:v>P1</x:v>
      </x:c>
      <x:c r="E32" s="19" t="str">
        <x:v>Scarlett</x:v>
      </x:c>
      <x:c r="F32" s="19" t="str">
        <x:v>felt</x:v>
      </x:c>
      <x:c r="G32" s="19" t="str">
        <x:v>изъян</x:v>
      </x:c>
      <x:c r="H32" s="28" t="str">
        <x:v>KEMŞILIK</x:v>
      </x:c>
      <x:c r="I32" s="19" t="n">
        <x:v>1</x:v>
      </x:c>
      <x:c r="J32" s="19" t="n">
        <x:v>1</x:v>
      </x:c>
    </x:row>
    <x:row r="33" ht="15" customHeight="1">
      <x:c r="A33" s="19" t="n">
        <x:v>31</x:v>
      </x:c>
      <x:c r="B33" s="19" t="str">
        <x:v>Shame</x:v>
      </x:c>
      <x:c r="C33" s="19" t="str">
        <x:v>Social shame</x:v>
      </x:c>
      <x:c r="D33" s="19" t="str">
        <x:v>P1</x:v>
      </x:c>
      <x:c r="E33" s="19" t="str">
        <x:v>Scarlett</x:v>
      </x:c>
      <x:c r="F33" s="19" t="str">
        <x:v>felt</x:v>
      </x:c>
      <x:c r="G33" s="19" t="str">
        <x:v>сгорать</x:v>
      </x:c>
      <x:c r="H33" s="28" t="str">
        <x:v>ŪİAT</x:v>
      </x:c>
      <x:c r="I33" s="19" t="n">
        <x:v>1</x:v>
      </x:c>
      <x:c r="J33" s="19" t="n">
        <x:v>1</x:v>
      </x:c>
    </x:row>
    <x:row r="34" ht="26.25" customHeight="1">
      <x:c r="A34" s="19" t="n">
        <x:v>32</x:v>
      </x:c>
      <x:c r="B34" s="19" t="str">
        <x:v>Shame</x:v>
      </x:c>
      <x:c r="C34" s="19" t="str">
        <x:v>Social shame (somatic expression)</x:v>
      </x:c>
      <x:c r="D34" s="19" t="str">
        <x:v>P2</x:v>
      </x:c>
      <x:c r="E34" s="19" t="str">
        <x:v>Scarlett</x:v>
      </x:c>
      <x:c r="F34" s="19" t="str">
        <x:v>felt</x:v>
      </x:c>
      <x:c r="G34" s="19" t="str">
        <x:v>зардевшись от смущения,</x:v>
      </x:c>
      <x:c r="H34" s="28" t="str">
        <x:v>ŪİALU</x:v>
      </x:c>
      <x:c r="I34" s="19" t="n">
        <x:v>1</x:v>
      </x:c>
      <x:c r="J34" s="19" t="n">
        <x:v>1</x:v>
      </x:c>
    </x:row>
    <x:row r="35" ht="15" customHeight="1">
      <x:c r="A35" s="19" t="n">
        <x:v>33</x:v>
      </x:c>
      <x:c r="B35" s="19" t="str">
        <x:v>Shame</x:v>
      </x:c>
      <x:c r="C35" s="19" t="str">
        <x:v>Social shame</x:v>
      </x:c>
      <x:c r="D35" s="19" t="str">
        <x:v>P2</x:v>
      </x:c>
      <x:c r="E35" s="19" t="str">
        <x:v>Scarlett</x:v>
      </x:c>
      <x:c r="F35" s="19" t="str">
        <x:v>felt</x:v>
      </x:c>
      <x:c r="G35" s="19" t="str">
        <x:v>стыд</x:v>
      </x:c>
      <x:c r="H35" s="28" t="str">
        <x:v>ŪİALU</x:v>
      </x:c>
      <x:c r="I35" s="19" t="n">
        <x:v>1</x:v>
      </x:c>
      <x:c r="J35" s="19" t="n">
        <x:v>1</x:v>
      </x:c>
    </x:row>
    <x:row r="36" ht="26.25" customHeight="1">
      <x:c r="A36" s="19" t="n">
        <x:v>34</x:v>
      </x:c>
      <x:c r="B36" s="19" t="str">
        <x:v>Shame</x:v>
      </x:c>
      <x:c r="C36" s="19" t="str">
        <x:v>Social shame (somatic expression)</x:v>
      </x:c>
      <x:c r="D36" s="19" t="str">
        <x:v>P3</x:v>
      </x:c>
      <x:c r="E36" s="19" t="str">
        <x:v>Scarlett</x:v>
      </x:c>
      <x:c r="F36" s="19" t="str">
        <x:v>felt</x:v>
      </x:c>
      <x:c r="G36" s="19" t="str">
        <x:v>сгорая от стыда.</x:v>
      </x:c>
      <x:c r="H36" s="28" t="str">
        <x:v>ŪİAT</x:v>
      </x:c>
      <x:c r="I36" s="19" t="n">
        <x:v>1</x:v>
      </x:c>
      <x:c r="J36" s="19" t="n">
        <x:v>1</x:v>
      </x:c>
    </x:row>
    <x:row r="37" ht="15" customHeight="1">
      <x:c r="A37" s="19" t="n">
        <x:v>35</x:v>
      </x:c>
      <x:c r="B37" s="19" t="str">
        <x:v>Shame</x:v>
      </x:c>
      <x:c r="C37" s="19" t="str">
        <x:v>Social shame</x:v>
      </x:c>
      <x:c r="D37" s="19" t="str">
        <x:v>P4</x:v>
      </x:c>
      <x:c r="E37" s="19" t="str">
        <x:v>Scarlett</x:v>
      </x:c>
      <x:c r="F37" s="19" t="str">
        <x:v>felt</x:v>
      </x:c>
      <x:c r="G37" s="19" t="str">
        <x:v>унижение</x:v>
      </x:c>
      <x:c r="H37" s="28" t="str">
        <x:v>QYSAS</x:v>
      </x:c>
      <x:c r="I37" s="19" t="n">
        <x:v>1</x:v>
      </x:c>
      <x:c r="J37" s="19" t="n">
        <x:v>1</x:v>
      </x:c>
    </x:row>
    <x:row r="38" ht="15" customHeight="1">
      <x:c r="A38" s="19" t="n">
        <x:v>36</x:v>
      </x:c>
      <x:c r="B38" s="19" t="str">
        <x:v>Shame</x:v>
      </x:c>
      <x:c r="C38" s="19" t="str">
        <x:v>Social shame</x:v>
      </x:c>
      <x:c r="D38" s="19" t="str">
        <x:v>P4</x:v>
      </x:c>
      <x:c r="E38" s="19" t="str">
        <x:v>Scarlett</x:v>
      </x:c>
      <x:c r="F38" s="19" t="str">
        <x:v>felt</x:v>
      </x:c>
      <x:c r="G38" s="19" t="str">
        <x:v>постыдный</x:v>
      </x:c>
      <x:c r="H38" s="28" t="str">
        <x:v>QYSYLU</x:v>
      </x:c>
      <x:c r="I38" s="19" t="n">
        <x:v>1</x:v>
      </x:c>
      <x:c r="J38" s="19" t="n">
        <x:v>1</x:v>
      </x:c>
    </x:row>
    <x:row r="39" ht="26.25" customHeight="1">
      <x:c r="A39" s="19" t="n">
        <x:v>37</x:v>
      </x:c>
      <x:c r="B39" s="19" t="str">
        <x:v>Shame</x:v>
      </x:c>
      <x:c r="C39" s="19" t="str">
        <x:v>Social shame (somatic expression)</x:v>
      </x:c>
      <x:c r="D39" s="19" t="str">
        <x:v>P4</x:v>
      </x:c>
      <x:c r="E39" s="19" t="str">
        <x:v>Scarlett</x:v>
      </x:c>
      <x:c r="F39" s="19" t="str">
        <x:v>felt</x:v>
      </x:c>
      <x:c r="G39" s="19" t="str">
        <x:v>стыд</x:v>
      </x:c>
      <x:c r="H39" s="28" t="str">
        <x:v>ŪİAT</x:v>
      </x:c>
      <x:c r="I39" s="19" t="n">
        <x:v>1</x:v>
      </x:c>
      <x:c r="J39" s="19" t="n">
        <x:v>1</x:v>
      </x:c>
    </x:row>
    <x:row r="40" ht="15" customHeight="1">
      <x:c r="A40" s="19" t="n">
        <x:v>38</x:v>
      </x:c>
      <x:c r="B40" s="19" t="str">
        <x:v>Shame</x:v>
      </x:c>
      <x:c r="C40" s="19" t="str">
        <x:v>Social shame (about the body)</x:v>
      </x:c>
      <x:c r="D40" s="19" t="str">
        <x:v>P4</x:v>
      </x:c>
      <x:c r="E40" s="19" t="str">
        <x:v>Scarlett</x:v>
      </x:c>
      <x:c r="F40" s="19" t="str">
        <x:v>felt</x:v>
      </x:c>
      <x:c r="G40" s="19" t="str">
        <x:v>стыдно</x:v>
      </x:c>
      <x:c r="H40" s="28" t="str">
        <x:v>ŪİALU</x:v>
      </x:c>
      <x:c r="I40" s="19" t="n">
        <x:v>1</x:v>
      </x:c>
      <x:c r="J40" s="19" t="n">
        <x:v>1</x:v>
      </x:c>
    </x:row>
    <x:row r="41" ht="26.25" customHeight="1">
      <x:c r="A41" s="19" t="n">
        <x:v>39</x:v>
      </x:c>
      <x:c r="B41" s="19" t="str">
        <x:v>Shame</x:v>
      </x:c>
      <x:c r="C41" s="19" t="str">
        <x:v>Social shame (somatic expression)</x:v>
      </x:c>
      <x:c r="D41" s="19" t="str">
        <x:v>P4</x:v>
      </x:c>
      <x:c r="E41" s="19" t="str">
        <x:v>Scarlett</x:v>
      </x:c>
      <x:c r="F41" s="19" t="str">
        <x:v>felt</x:v>
      </x:c>
      <x:c r="G41" s="19" t="str">
        <x:v>обида</x:v>
      </x:c>
      <x:c r="H41" s="28" t="str">
        <x:v>ÖKINIŞ</x:v>
      </x:c>
      <x:c r="I41" s="19" t="n">
        <x:v>1</x:v>
      </x:c>
      <x:c r="J41" s="19" t="n">
        <x:v>1</x:v>
      </x:c>
    </x:row>
    <x:row r="42" ht="15" customHeight="1">
      <x:c r="A42" s="19" t="n">
        <x:v>40</x:v>
      </x:c>
      <x:c r="B42" s="19" t="str">
        <x:v>Shame</x:v>
      </x:c>
      <x:c r="C42" s="19" t="str">
        <x:v>Social shame (about the body)</x:v>
      </x:c>
      <x:c r="D42" s="19" t="str">
        <x:v>P4</x:v>
      </x:c>
      <x:c r="E42" s="19" t="str">
        <x:v>Scarlett</x:v>
      </x:c>
      <x:c r="F42" s="19" t="str">
        <x:v>felt</x:v>
      </x:c>
      <x:c r="G42" s="19" t="str">
        <x:v>стыд</x:v>
      </x:c>
      <x:c r="H42" s="28" t="str">
        <x:v>ŪİALU</x:v>
      </x:c>
      <x:c r="I42" s="19" t="n">
        <x:v>1</x:v>
      </x:c>
      <x:c r="J42" s="19" t="n">
        <x:v>1</x:v>
      </x:c>
    </x:row>
    <x:row r="43" ht="15" customHeight="1">
      <x:c r="A43" s="19" t="n">
        <x:v>41</x:v>
      </x:c>
      <x:c r="B43" s="19" t="str">
        <x:v>Shame</x:v>
      </x:c>
      <x:c r="C43" s="19" t="str">
        <x:v>Social shame (about the body)</x:v>
      </x:c>
      <x:c r="D43" s="19" t="str">
        <x:v>P4</x:v>
      </x:c>
      <x:c r="E43" s="19" t="str">
        <x:v>Scarlett</x:v>
      </x:c>
      <x:c r="F43" s="19" t="str">
        <x:v>felt</x:v>
      </x:c>
      <x:c r="G43" s="19" t="str">
        <x:v>смутиться</x:v>
      </x:c>
      <x:c r="H43" s="28" t="str">
        <x:v>ŪİALU</x:v>
      </x:c>
      <x:c r="I43" s="19" t="n">
        <x:v>1</x:v>
      </x:c>
      <x:c r="J43" s="19" t="n">
        <x:v>1</x:v>
      </x:c>
    </x:row>
    <x:row r="44" ht="15" customHeight="1">
      <x:c r="A44" s="19" t="n">
        <x:v>42</x:v>
      </x:c>
      <x:c r="B44" s="19" t="str">
        <x:v>Shame</x:v>
      </x:c>
      <x:c r="C44" s="19" t="str">
        <x:v>Social shame</x:v>
      </x:c>
      <x:c r="D44" s="19" t="str">
        <x:v>P4</x:v>
      </x:c>
      <x:c r="E44" s="19" t="str">
        <x:v>Scarlett</x:v>
      </x:c>
      <x:c r="F44" s="19" t="str">
        <x:v>spoken</x:v>
      </x:c>
      <x:c r="G44" s="19" t="str">
        <x:v>стыдно</x:v>
      </x:c>
      <x:c r="H44" s="28" t="str">
        <x:v>ŪİALU</x:v>
      </x:c>
      <x:c r="I44" s="19" t="n">
        <x:v>1</x:v>
      </x:c>
      <x:c r="J44" s="19" t="n">
        <x:v>1</x:v>
      </x:c>
    </x:row>
    <x:row r="45" ht="15" customHeight="1">
      <x:c r="A45" s="19" t="n">
        <x:v>43</x:v>
      </x:c>
      <x:c r="B45" s="19" t="str">
        <x:v>Shame</x:v>
      </x:c>
      <x:c r="C45" s="19" t="str">
        <x:v>Social shame</x:v>
      </x:c>
      <x:c r="D45" s="19" t="str">
        <x:v>P4</x:v>
      </x:c>
      <x:c r="E45" s="19" t="str">
        <x:v>Scarlett</x:v>
      </x:c>
      <x:c r="F45" s="19" t="str">
        <x:v>felt</x:v>
      </x:c>
      <x:c r="G45" s="19" t="str">
        <x:v>стыдно</x:v>
      </x:c>
      <x:c r="H45" s="28" t="str">
        <x:v>QYSYLU</x:v>
      </x:c>
      <x:c r="I45" s="19" t="n">
        <x:v>1</x:v>
      </x:c>
      <x:c r="J45" s="19" t="n">
        <x:v>1</x:v>
      </x:c>
    </x:row>
    <x:row r="46" ht="15" customHeight="1">
      <x:c r="A46" s="19" t="n">
        <x:v>44</x:v>
      </x:c>
      <x:c r="B46" s="19" t="str">
        <x:v>Shame</x:v>
      </x:c>
      <x:c r="C46" s="19" t="str">
        <x:v>Social shame</x:v>
      </x:c>
      <x:c r="D46" s="19" t="str">
        <x:v>P5</x:v>
      </x:c>
      <x:c r="E46" s="19" t="str">
        <x:v>Scarlett</x:v>
      </x:c>
      <x:c r="F46" s="19" t="str">
        <x:v>felt</x:v>
      </x:c>
      <x:c r="G46" s="19" t="str">
        <x:v>стыд</x:v>
      </x:c>
      <x:c r="H46" s="28" t="str">
        <x:v>ŪİAT</x:v>
      </x:c>
      <x:c r="I46" s="19" t="n">
        <x:v>1</x:v>
      </x:c>
      <x:c r="J46" s="19" t="n">
        <x:v>1</x:v>
      </x:c>
    </x:row>
    <x:row r="47" ht="26.25" customHeight="1">
      <x:c r="A47" s="19" t="n">
        <x:v>45</x:v>
      </x:c>
      <x:c r="B47" s="19" t="str">
        <x:v>Shame</x:v>
      </x:c>
      <x:c r="C47" s="19" t="str">
        <x:v>Social shame</x:v>
      </x:c>
      <x:c r="D47" s="19" t="str">
        <x:v>P1</x:v>
      </x:c>
      <x:c r="E47" s="19" t="str">
        <x:v>Charles Hamilton</x:v>
      </x:c>
      <x:c r="F47" s="19" t="str">
        <x:v>felt</x:v>
      </x:c>
      <x:c r="G47" s="19" t="str">
        <x:v>смущенно</x:v>
      </x:c>
      <x:c r="H47" s="28" t="str">
        <x:v>AÑYRAU</x:v>
      </x:c>
      <x:c r="I47" s="19" t="n">
        <x:v>1</x:v>
      </x:c>
      <x:c r="J47" s="19" t="n">
        <x:v>0</x:v>
      </x:c>
    </x:row>
    <x:row r="48" ht="26.25" customHeight="1">
      <x:c r="A48" s="19" t="n">
        <x:v>46</x:v>
      </x:c>
      <x:c r="B48" s="19" t="str">
        <x:v>Shame</x:v>
      </x:c>
      <x:c r="C48" s="19" t="str">
        <x:v>Social shame</x:v>
      </x:c>
      <x:c r="D48" s="19" t="str">
        <x:v>P2</x:v>
      </x:c>
      <x:c r="E48" s="19" t="str">
        <x:v>Community / South</x:v>
      </x:c>
      <x:c r="F48" s="19" t="str">
        <x:v>felt</x:v>
      </x:c>
      <x:c r="G48" s="19" t="str">
        <x:v>смутить</x:v>
      </x:c>
      <x:c r="H48" s="28" t="str">
        <x:v>QYMSYNU</x:v>
      </x:c>
      <x:c r="I48" s="19" t="n">
        <x:v>1</x:v>
      </x:c>
      <x:c r="J48" s="19" t="n">
        <x:v>0</x:v>
      </x:c>
    </x:row>
    <x:row r="49" ht="15" customHeight="1">
      <x:c r="A49" s="19" t="n">
        <x:v>47</x:v>
      </x:c>
      <x:c r="B49" s="19" t="str">
        <x:v>Shame</x:v>
      </x:c>
      <x:c r="C49" s="19" t="str">
        <x:v>Social shame</x:v>
      </x:c>
      <x:c r="D49" s="19" t="str">
        <x:v>P5</x:v>
      </x:c>
      <x:c r="E49" s="19" t="str">
        <x:v>Wade</x:v>
      </x:c>
      <x:c r="F49" s="19" t="str">
        <x:v>ascribed</x:v>
      </x:c>
      <x:c r="G49" s="19" t="str">
        <x:v>стыдно</x:v>
      </x:c>
      <x:c r="H49" s="28" t="str">
        <x:v>NAZAR</x:v>
      </x:c>
      <x:c r="I49" s="19" t="n">
        <x:v>1</x:v>
      </x:c>
      <x:c r="J49" s="19" t="n">
        <x:v>0</x:v>
      </x:c>
    </x:row>
    <x:row r="50" ht="15" customHeight="1">
      <x:c r="A50" s="19" t="n">
        <x:v>48</x:v>
      </x:c>
      <x:c r="B50" s="19" t="str">
        <x:v>Shame</x:v>
      </x:c>
      <x:c r="C50" s="19" t="str">
        <x:v>Social shame</x:v>
      </x:c>
      <x:c r="D50" s="19" t="str">
        <x:v>P5</x:v>
      </x:c>
      <x:c r="E50" s="19" t="str">
        <x:v>Bonnie</x:v>
      </x:c>
      <x:c r="F50" s="19" t="str">
        <x:v>ascribed</x:v>
      </x:c>
      <x:c r="G50" s="19" t="str">
        <x:v>стыдиться</x:v>
      </x:c>
      <x:c r="H50" s="28" t="str">
        <x:v>ŪİALU</x:v>
      </x:c>
      <x:c r="I50" s="19" t="n">
        <x:v>1</x:v>
      </x:c>
      <x:c r="J50" s="19" t="n">
        <x:v>0</x:v>
      </x:c>
    </x:row>
    <x:row r="51" ht="26.25" customHeight="1">
      <x:c r="A51" s="19" t="n">
        <x:v>49</x:v>
      </x:c>
      <x:c r="B51" s="19" t="str">
        <x:v>Shame</x:v>
      </x:c>
      <x:c r="C51" s="19" t="str">
        <x:v>Social shame</x:v>
      </x:c>
      <x:c r="D51" s="19" t="str">
        <x:v>P5</x:v>
      </x:c>
      <x:c r="E51" s="19" t="str">
        <x:v>Community / South</x:v>
      </x:c>
      <x:c r="F51" s="19" t="str">
        <x:v>ascribed</x:v>
      </x:c>
      <x:c r="G51" s="19" t="str">
        <x:v>смущенный</x:v>
      </x:c>
      <x:c r="H51" s="28" t="str">
        <x:v>TÜR</x:v>
      </x:c>
      <x:c r="I51" s="19" t="n">
        <x:v>1</x:v>
      </x:c>
      <x:c r="J51" s="19" t="n">
        <x:v>0</x:v>
      </x:c>
    </x:row>
    <x:row r="52" ht="15" customHeight="1">
      <x:c r="A52" s="19" t="n">
        <x:v>50</x:v>
      </x:c>
      <x:c r="B52" s="19" t="str">
        <x:v>Shame</x:v>
      </x:c>
      <x:c r="C52" s="19" t="str">
        <x:v>Social shame (about the body)</x:v>
      </x:c>
      <x:c r="D52" s="19" t="str">
        <x:v>P3</x:v>
      </x:c>
      <x:c r="E52" s="19" t="str">
        <x:v>Melanie</x:v>
      </x:c>
      <x:c r="F52" s="19" t="str">
        <x:v>felt</x:v>
      </x:c>
      <x:c r="G52" s="19" t="str">
        <x:v>мука</x:v>
      </x:c>
      <x:c r="H52" s="28" t="str">
        <x:v>AZAPTY</x:v>
      </x:c>
      <x:c r="I52" s="19" t="n">
        <x:v>1</x:v>
      </x:c>
      <x:c r="J52" s="19" t="n">
        <x:v>1</x:v>
      </x:c>
    </x:row>
    <x:row r="53" ht="26.25" customHeight="1">
      <x:c r="A53" s="19" t="n">
        <x:v>51</x:v>
      </x:c>
      <x:c r="B53" s="19" t="str">
        <x:v>Shame</x:v>
      </x:c>
      <x:c r="C53" s="19" t="str">
        <x:v>Social shame</x:v>
      </x:c>
      <x:c r="D53" s="19" t="str">
        <x:v>P2</x:v>
      </x:c>
      <x:c r="E53" s="19" t="str">
        <x:v>Tony Fontaine</x:v>
      </x:c>
      <x:c r="F53" s="19" t="str">
        <x:v>spoken</x:v>
      </x:c>
      <x:c r="G53" s="19" t="str">
        <x:v>[paraphrase / no single-word equivalent]</x:v>
      </x:c>
      <x:c r="H53" s="19" t="str">
        <x:v>[paraphrase / no single-word equivalent]</x:v>
      </x:c>
      <x:c r="I53" s="19" t="n">
        <x:v>1</x:v>
      </x:c>
      <x:c r="J53" s="19" t="n">
        <x:v>0</x:v>
      </x:c>
    </x:row>
    <x:row r="54" ht="15" customHeight="1">
      <x:c r="A54" s="19" t="n">
        <x:v>52</x:v>
      </x:c>
      <x:c r="B54" s="19" t="str">
        <x:v>Shame</x:v>
      </x:c>
      <x:c r="C54" s="19" t="str">
        <x:v>Social shame</x:v>
      </x:c>
      <x:c r="D54" s="19" t="str">
        <x:v>P4</x:v>
      </x:c>
      <x:c r="E54" s="19" t="str">
        <x:v>Scarlett</x:v>
      </x:c>
      <x:c r="F54" s="19" t="str">
        <x:v>spoken</x:v>
      </x:c>
      <x:c r="G54" s="19" t="str">
        <x:v>стыдно</x:v>
      </x:c>
      <x:c r="H54" s="28" t="str">
        <x:v>ŪİALU</x:v>
      </x:c>
      <x:c r="I54" s="19" t="n">
        <x:v>1</x:v>
      </x:c>
      <x:c r="J54" s="19" t="n">
        <x:v>1</x:v>
      </x:c>
    </x:row>
    <x:row r="55" ht="15" customHeight="1">
      <x:c r="A55" s="19" t="n">
        <x:v>53</x:v>
      </x:c>
      <x:c r="B55" s="19" t="str">
        <x:v>Shame</x:v>
      </x:c>
      <x:c r="C55" s="19" t="str">
        <x:v>Social shame</x:v>
      </x:c>
      <x:c r="D55" s="19" t="str">
        <x:v>P5</x:v>
      </x:c>
      <x:c r="E55" s="19" t="str">
        <x:v>Ashley</x:v>
      </x:c>
      <x:c r="F55" s="19" t="str">
        <x:v>ascribed</x:v>
      </x:c>
      <x:c r="G55" s="19" t="str">
        <x:v>стыд</x:v>
      </x:c>
      <x:c r="H55" s="28" t="str">
        <x:v>ŪİAT</x:v>
      </x:c>
      <x:c r="I55" s="19" t="n">
        <x:v>1</x:v>
      </x:c>
      <x:c r="J55" s="19" t="n">
        <x:v>1</x:v>
      </x:c>
    </x:row>
    <x:row r="56" ht="26.25" customHeight="1">
      <x:c r="A56" s="19" t="n">
        <x:v>54</x:v>
      </x:c>
      <x:c r="B56" s="19" t="str">
        <x:v>Shame</x:v>
      </x:c>
      <x:c r="C56" s="19" t="str">
        <x:v>Social shame</x:v>
      </x:c>
      <x:c r="D56" s="19" t="str">
        <x:v>P5</x:v>
      </x:c>
      <x:c r="E56" s="19" t="str">
        <x:v>Ashley</x:v>
      </x:c>
      <x:c r="F56" s="19" t="str">
        <x:v>ascribed</x:v>
      </x:c>
      <x:c r="G56" s="19" t="str">
        <x:v>позор</x:v>
      </x:c>
      <x:c r="H56" s="19" t="str">
        <x:v>ABYROI</x:v>
      </x:c>
      <x:c r="I56" s="19" t="n">
        <x:v>1</x:v>
      </x:c>
      <x:c r="J56" s="19" t="n">
        <x:v>1</x:v>
      </x:c>
    </x:row>
    <x:row r="57" ht="26.25" customHeight="1">
      <x:c r="A57" s="19" t="n">
        <x:v>55</x:v>
      </x:c>
      <x:c r="B57" s="19" t="str">
        <x:v>Shame</x:v>
      </x:c>
      <x:c r="C57" s="19" t="str">
        <x:v>Social shame</x:v>
      </x:c>
      <x:c r="D57" s="19" t="str">
        <x:v>P2</x:v>
      </x:c>
      <x:c r="E57" s="19" t="str">
        <x:v>Community / South</x:v>
      </x:c>
      <x:c r="F57" s="19" t="str">
        <x:v>felt</x:v>
      </x:c>
      <x:c r="G57" s="19" t="str">
        <x:v>сгорать со стыда</x:v>
      </x:c>
      <x:c r="H57" s="28" t="str">
        <x:v>ŪİAT</x:v>
      </x:c>
      <x:c r="I57" s="19" t="n">
        <x:v>1</x:v>
      </x:c>
      <x:c r="J57" s="19" t="n">
        <x:v>0</x:v>
      </x:c>
    </x:row>
    <x:row r="58" ht="15" customHeight="1">
      <x:c r="A58" s="19" t="n">
        <x:v>56</x:v>
      </x:c>
      <x:c r="B58" s="19" t="str">
        <x:v>Shame</x:v>
      </x:c>
      <x:c r="C58" s="19" t="str">
        <x:v>Social shame</x:v>
      </x:c>
      <x:c r="D58" s="19" t="str">
        <x:v>P3</x:v>
      </x:c>
      <x:c r="E58" s="19" t="str">
        <x:v>Scarlett</x:v>
      </x:c>
      <x:c r="F58" s="19" t="str">
        <x:v>ascribed</x:v>
      </x:c>
      <x:c r="G58" s="19" t="str">
        <x:v>стыдиться</x:v>
      </x:c>
      <x:c r="H58" s="28" t="str">
        <x:v>ŪİALU</x:v>
      </x:c>
      <x:c r="I58" s="19" t="n">
        <x:v>1</x:v>
      </x:c>
      <x:c r="J58" s="19" t="n">
        <x:v>1</x:v>
      </x:c>
    </x:row>
    <x:row r="59" ht="15" customHeight="1">
      <x:c r="A59" s="19" t="n">
        <x:v>57</x:v>
      </x:c>
      <x:c r="B59" s="19" t="str">
        <x:v>Shame</x:v>
      </x:c>
      <x:c r="C59" s="19" t="str">
        <x:v>Social shame</x:v>
      </x:c>
      <x:c r="D59" s="19" t="str">
        <x:v>P4</x:v>
      </x:c>
      <x:c r="E59" s="19" t="str">
        <x:v>Frank Kennedy</x:v>
      </x:c>
      <x:c r="F59" s="19" t="str">
        <x:v>spoken</x:v>
      </x:c>
      <x:c r="G59" s="19" t="str">
        <x:v>стыдно</x:v>
      </x:c>
      <x:c r="H59" s="28" t="str">
        <x:v>ŪİALU</x:v>
      </x:c>
      <x:c r="I59" s="19" t="n">
        <x:v>1</x:v>
      </x:c>
      <x:c r="J59" s="19" t="n">
        <x:v>0</x:v>
      </x:c>
    </x:row>
    <x:row r="60" ht="15" customHeight="1">
      <x:c r="A60" s="19" t="n">
        <x:v>58</x:v>
      </x:c>
      <x:c r="B60" s="19" t="str">
        <x:v>Shame</x:v>
      </x:c>
      <x:c r="C60" s="19" t="str">
        <x:v>Absent social shame</x:v>
      </x:c>
      <x:c r="D60" s="19" t="str">
        <x:v>P4</x:v>
      </x:c>
      <x:c r="E60" s="19" t="str">
        <x:v>Rene Picard</x:v>
      </x:c>
      <x:c r="F60" s="19" t="str">
        <x:v>felt</x:v>
      </x:c>
      <x:c r="G60" s="19" t="str">
        <x:v>устыдиться</x:v>
      </x:c>
      <x:c r="H60" s="28" t="str">
        <x:v>QYSYLU</x:v>
      </x:c>
      <x:c r="I60" s="19" t="n">
        <x:v>1</x:v>
      </x:c>
      <x:c r="J60" s="19" t="n">
        <x:v>0</x:v>
      </x:c>
    </x:row>
    <x:row r="61" ht="15" customHeight="1">
      <x:c r="A61" s="19" t="n">
        <x:v>59</x:v>
      </x:c>
      <x:c r="B61" s="19" t="str">
        <x:v>Shame</x:v>
      </x:c>
      <x:c r="C61" s="19" t="str">
        <x:v>Absent social shame</x:v>
      </x:c>
      <x:c r="D61" s="19" t="str">
        <x:v>P5</x:v>
      </x:c>
      <x:c r="E61" s="19" t="str">
        <x:v>Scarlett</x:v>
      </x:c>
      <x:c r="F61" s="19" t="str">
        <x:v>felt</x:v>
      </x:c>
      <x:c r="G61" s="19" t="str">
        <x:v>устыдиться</x:v>
      </x:c>
      <x:c r="H61" s="28" t="str">
        <x:v>ŪİALU</x:v>
      </x:c>
      <x:c r="I61" s="19" t="n">
        <x:v>1</x:v>
      </x:c>
      <x:c r="J61" s="19" t="n">
        <x:v>1</x:v>
      </x:c>
    </x:row>
    <x:row r="62" ht="15" customHeight="1">
      <x:c r="A62" s="19" t="n">
        <x:v>60</x:v>
      </x:c>
      <x:c r="B62" s="19" t="str">
        <x:v>Shame</x:v>
      </x:c>
      <x:c r="C62" s="19" t="str">
        <x:v>Absent social shame</x:v>
      </x:c>
      <x:c r="D62" s="19" t="str">
        <x:v>P3</x:v>
      </x:c>
      <x:c r="E62" s="19" t="str">
        <x:v>Melanie</x:v>
      </x:c>
      <x:c r="F62" s="19" t="str">
        <x:v>spoken</x:v>
      </x:c>
      <x:c r="G62" s="19" t="str">
        <x:v>постыдный</x:v>
      </x:c>
      <x:c r="H62" s="28" t="str">
        <x:v>ŪİAT</x:v>
      </x:c>
      <x:c r="I62" s="19" t="n">
        <x:v>1</x:v>
      </x:c>
      <x:c r="J62" s="19" t="n">
        <x:v>1</x:v>
      </x:c>
    </x:row>
    <x:row r="63" ht="15" customHeight="1">
      <x:c r="A63" s="19" t="n">
        <x:v>61</x:v>
      </x:c>
      <x:c r="B63" s="19" t="str">
        <x:v>Shame</x:v>
      </x:c>
      <x:c r="C63" s="19" t="str">
        <x:v>Absent social shame</x:v>
      </x:c>
      <x:c r="D63" s="19" t="str">
        <x:v>P4</x:v>
      </x:c>
      <x:c r="E63" s="19" t="str">
        <x:v>Melanie</x:v>
      </x:c>
      <x:c r="F63" s="19" t="str">
        <x:v>felt</x:v>
      </x:c>
      <x:c r="G63" s="19" t="str">
        <x:v>стыдиться</x:v>
      </x:c>
      <x:c r="H63" s="28" t="str">
        <x:v>ŪİALU</x:v>
      </x:c>
      <x:c r="I63" s="19" t="n">
        <x:v>1</x:v>
      </x:c>
      <x:c r="J63" s="19" t="n">
        <x:v>1</x:v>
      </x:c>
    </x:row>
    <x:row r="64" ht="26.25" customHeight="1">
      <x:c r="A64" s="19" t="n">
        <x:v>62</x:v>
      </x:c>
      <x:c r="B64" s="19" t="str">
        <x:v>Shame</x:v>
      </x:c>
      <x:c r="C64" s="19" t="str">
        <x:v>Absent social shame</x:v>
      </x:c>
      <x:c r="D64" s="19" t="str">
        <x:v>P3</x:v>
      </x:c>
      <x:c r="E64" s="19" t="str">
        <x:v>Community / South</x:v>
      </x:c>
      <x:c r="F64" s="19" t="str">
        <x:v>felt</x:v>
      </x:c>
      <x:c r="G64" s="19" t="str">
        <x:v>бесстыдство</x:v>
      </x:c>
      <x:c r="H64" s="28" t="str">
        <x:v>ŪİATSYZDYQ</x:v>
      </x:c>
      <x:c r="I64" s="19" t="n">
        <x:v>1</x:v>
      </x:c>
      <x:c r="J64" s="19" t="n">
        <x:v>0</x:v>
      </x:c>
    </x:row>
    <x:row r="65" ht="15" customHeight="1">
      <x:c r="A65" s="19" t="n">
        <x:v>63</x:v>
      </x:c>
      <x:c r="B65" s="19" t="str">
        <x:v>Shame</x:v>
      </x:c>
      <x:c r="C65" s="19" t="str">
        <x:v>Absent social shame</x:v>
      </x:c>
      <x:c r="D65" s="19" t="str">
        <x:v>P3</x:v>
      </x:c>
      <x:c r="E65" s="19" t="str">
        <x:v>Scarlett</x:v>
      </x:c>
      <x:c r="F65" s="19" t="str">
        <x:v>felt</x:v>
      </x:c>
      <x:c r="G65" s="19" t="str">
        <x:v>стыд</x:v>
      </x:c>
      <x:c r="H65" s="28" t="str">
        <x:v>ŪİALU</x:v>
      </x:c>
      <x:c r="I65" s="19" t="n">
        <x:v>1</x:v>
      </x:c>
      <x:c r="J65" s="19" t="n">
        <x:v>1</x:v>
      </x:c>
    </x:row>
    <x:row r="66" ht="15" customHeight="1">
      <x:c r="A66" s="19" t="n">
        <x:v>64</x:v>
      </x:c>
      <x:c r="B66" s="19" t="str">
        <x:v>Shame</x:v>
      </x:c>
      <x:c r="C66" s="19" t="str">
        <x:v>Absent social shame</x:v>
      </x:c>
      <x:c r="D66" s="19" t="str">
        <x:v>P4</x:v>
      </x:c>
      <x:c r="E66" s="19" t="str">
        <x:v>Rene Picard</x:v>
      </x:c>
      <x:c r="F66" s="19" t="str">
        <x:v>spoken</x:v>
      </x:c>
      <x:c r="G66" s="19" t="str">
        <x:v>стыд</x:v>
      </x:c>
      <x:c r="H66" s="28" t="str">
        <x:v>ŪİAT</x:v>
      </x:c>
      <x:c r="I66" s="19" t="n">
        <x:v>1</x:v>
      </x:c>
      <x:c r="J66" s="19" t="n">
        <x:v>0</x:v>
      </x:c>
    </x:row>
    <x:row r="67" ht="15" customHeight="1">
      <x:c r="A67" s="19" t="n">
        <x:v>65</x:v>
      </x:c>
      <x:c r="B67" s="19" t="str">
        <x:v>Shame</x:v>
      </x:c>
      <x:c r="C67" s="19" t="str">
        <x:v>Illocutionary shame (shaming)</x:v>
      </x:c>
      <x:c r="D67" s="19" t="str">
        <x:v>P4</x:v>
      </x:c>
      <x:c r="E67" s="19" t="str">
        <x:v>Scarlett</x:v>
      </x:c>
      <x:c r="F67" s="19" t="str">
        <x:v>spoken</x:v>
      </x:c>
      <x:c r="G67" s="19" t="str">
        <x:v>стыдно</x:v>
      </x:c>
      <x:c r="H67" s="28" t="str">
        <x:v>QYSYLU</x:v>
      </x:c>
      <x:c r="I67" s="19" t="n">
        <x:v>1</x:v>
      </x:c>
      <x:c r="J67" s="19" t="n">
        <x:v>1</x:v>
      </x:c>
    </x:row>
    <x:row r="68" ht="15" customHeight="1">
      <x:c r="A68" s="19" t="n">
        <x:v>66</x:v>
      </x:c>
      <x:c r="B68" s="19" t="str">
        <x:v>Shame</x:v>
      </x:c>
      <x:c r="C68" s="19" t="str">
        <x:v>Illocutionary shame (shaming)</x:v>
      </x:c>
      <x:c r="D68" s="19" t="str">
        <x:v>P4</x:v>
      </x:c>
      <x:c r="E68" s="19" t="str">
        <x:v>Scarlett</x:v>
      </x:c>
      <x:c r="F68" s="19" t="str">
        <x:v>felt</x:v>
      </x:c>
      <x:c r="G68" s="19" t="str">
        <x:v>постыдиться</x:v>
      </x:c>
      <x:c r="H68" s="28" t="str">
        <x:v>ŪİALU</x:v>
      </x:c>
      <x:c r="I68" s="19" t="n">
        <x:v>1</x:v>
      </x:c>
      <x:c r="J68" s="19" t="n">
        <x:v>1</x:v>
      </x:c>
    </x:row>
    <x:row r="69" ht="15" customHeight="1">
      <x:c r="A69" s="19" t="n">
        <x:v>67</x:v>
      </x:c>
      <x:c r="B69" s="19" t="str">
        <x:v>Shame</x:v>
      </x:c>
      <x:c r="C69" s="19" t="str">
        <x:v>Illocutionary shame (shaming)</x:v>
      </x:c>
      <x:c r="D69" s="19" t="str">
        <x:v>P4</x:v>
      </x:c>
      <x:c r="E69" s="19" t="str">
        <x:v>Frank Kennedy</x:v>
      </x:c>
      <x:c r="F69" s="19" t="str">
        <x:v>felt</x:v>
      </x:c>
      <x:c r="G69" s="19" t="str">
        <x:v>опозорить</x:v>
      </x:c>
      <x:c r="H69" s="28" t="str">
        <x:v>KÜLKI</x:v>
      </x:c>
      <x:c r="I69" s="19" t="n">
        <x:v>1</x:v>
      </x:c>
      <x:c r="J69" s="19" t="n">
        <x:v>0</x:v>
      </x:c>
    </x:row>
    <x:row r="70" ht="15" customHeight="1">
      <x:c r="A70" s="19" t="n">
        <x:v>68</x:v>
      </x:c>
      <x:c r="B70" s="19" t="str">
        <x:v>Shame</x:v>
      </x:c>
      <x:c r="C70" s="19" t="str">
        <x:v>Illocutionary shame (shaming)</x:v>
      </x:c>
      <x:c r="D70" s="19" t="str">
        <x:v>P5</x:v>
      </x:c>
      <x:c r="E70" s="19" t="str">
        <x:v>Scarlett</x:v>
      </x:c>
      <x:c r="F70" s="19" t="str">
        <x:v>felt</x:v>
      </x:c>
      <x:c r="G70" s="19" t="str">
        <x:v>опозоренный</x:v>
      </x:c>
      <x:c r="H70" s="28" t="str">
        <x:v>DÄRMENSIZ</x:v>
      </x:c>
      <x:c r="I70" s="19" t="n">
        <x:v>1</x:v>
      </x:c>
      <x:c r="J70" s="19" t="n">
        <x:v>1</x:v>
      </x:c>
    </x:row>
    <x:row r="71" ht="15" customHeight="1">
      <x:c r="A71" s="19" t="n">
        <x:v>69</x:v>
      </x:c>
      <x:c r="B71" s="19" t="str">
        <x:v>Shame</x:v>
      </x:c>
      <x:c r="C71" s="19" t="str">
        <x:v>Illocutionary shame (shaming)</x:v>
      </x:c>
      <x:c r="D71" s="19" t="str">
        <x:v>P5</x:v>
      </x:c>
      <x:c r="E71" s="19" t="str">
        <x:v>Scarlett</x:v>
      </x:c>
      <x:c r="F71" s="19" t="str">
        <x:v>felt</x:v>
      </x:c>
      <x:c r="G71" s="19" t="str">
        <x:v>позор</x:v>
      </x:c>
      <x:c r="H71" s="28" t="str">
        <x:v>MASQARA</x:v>
      </x:c>
      <x:c r="I71" s="19" t="n">
        <x:v>1</x:v>
      </x:c>
      <x:c r="J71" s="19" t="n">
        <x:v>1</x:v>
      </x:c>
    </x:row>
    <x:row r="72" ht="15" customHeight="1">
      <x:c r="A72" s="19" t="n">
        <x:v>70</x:v>
      </x:c>
      <x:c r="B72" s="19" t="str">
        <x:v>Shame</x:v>
      </x:c>
      <x:c r="C72" s="19" t="str">
        <x:v>Illocutionary shame (shaming)</x:v>
      </x:c>
      <x:c r="D72" s="19" t="str">
        <x:v>P5</x:v>
      </x:c>
      <x:c r="E72" s="19" t="str">
        <x:v>Scarlett</x:v>
      </x:c>
      <x:c r="F72" s="19" t="str">
        <x:v>felt</x:v>
      </x:c>
      <x:c r="G72" s="19" t="str">
        <x:v>стыдить</x:v>
      </x:c>
      <x:c r="H72" s="28" t="str">
        <x:v>SALMAĞY</x:v>
      </x:c>
      <x:c r="I72" s="19" t="n">
        <x:v>1</x:v>
      </x:c>
      <x:c r="J72" s="19" t="n">
        <x:v>1</x:v>
      </x:c>
    </x:row>
    <x:row r="73" ht="15" customHeight="1">
      <x:c r="A73" s="19" t="n">
        <x:v>71</x:v>
      </x:c>
      <x:c r="B73" s="19" t="str">
        <x:v>Shame</x:v>
      </x:c>
      <x:c r="C73" s="19" t="str">
        <x:v>Illocutionary shame (shaming)</x:v>
      </x:c>
      <x:c r="D73" s="19" t="str">
        <x:v>P2</x:v>
      </x:c>
      <x:c r="E73" s="19" t="str">
        <x:v>Scarlett</x:v>
      </x:c>
      <x:c r="F73" s="19" t="str">
        <x:v>spoken</x:v>
      </x:c>
      <x:c r="G73" s="19" t="str">
        <x:v>позор</x:v>
      </x:c>
      <x:c r="H73" s="28" t="str">
        <x:v>MASQARA</x:v>
      </x:c>
      <x:c r="I73" s="19" t="n">
        <x:v>1</x:v>
      </x:c>
      <x:c r="J73" s="19" t="n">
        <x:v>1</x:v>
      </x:c>
    </x:row>
    <x:row r="74" ht="15" customHeight="1">
      <x:c r="A74" s="19" t="n">
        <x:v>72</x:v>
      </x:c>
      <x:c r="B74" s="19" t="str">
        <x:v>Shame</x:v>
      </x:c>
      <x:c r="C74" s="19" t="str">
        <x:v>Illocutionary shame (shaming)</x:v>
      </x:c>
      <x:c r="D74" s="19" t="str">
        <x:v>P3</x:v>
      </x:c>
      <x:c r="E74" s="19" t="str">
        <x:v>Rhett</x:v>
      </x:c>
      <x:c r="F74" s="19" t="str">
        <x:v>ascribed</x:v>
      </x:c>
      <x:c r="G74" s="19" t="str">
        <x:v>сгорать со стыда!</x:v>
      </x:c>
      <x:c r="H74" s="28" t="str">
        <x:v>ŪİAT</x:v>
      </x:c>
      <x:c r="I74" s="19" t="n">
        <x:v>1</x:v>
      </x:c>
      <x:c r="J74" s="19" t="n">
        <x:v>1</x:v>
      </x:c>
    </x:row>
    <x:row r="75" ht="15" customHeight="1">
      <x:c r="A75" s="19" t="n">
        <x:v>73</x:v>
      </x:c>
      <x:c r="B75" s="19" t="str">
        <x:v>Shame</x:v>
      </x:c>
      <x:c r="C75" s="19" t="str">
        <x:v>Illocutionary shame (shaming)</x:v>
      </x:c>
      <x:c r="D75" s="19" t="str">
        <x:v>P2</x:v>
      </x:c>
      <x:c r="E75" s="19" t="str">
        <x:v>Melanie</x:v>
      </x:c>
      <x:c r="F75" s="19" t="str">
        <x:v>ascribed</x:v>
      </x:c>
      <x:c r="G75" s="19" t="str">
        <x:v>постыдиться</x:v>
      </x:c>
      <x:c r="H75" s="28" t="str">
        <x:v>ŪİALU</x:v>
      </x:c>
      <x:c r="I75" s="19" t="n">
        <x:v>1</x:v>
      </x:c>
      <x:c r="J75" s="19" t="n">
        <x:v>1</x:v>
      </x:c>
    </x:row>
    <x:row r="76" ht="26.25" customHeight="1">
      <x:c r="A76" s="19" t="n">
        <x:v>74</x:v>
      </x:c>
      <x:c r="B76" s="19" t="str">
        <x:v>Shame</x:v>
      </x:c>
      <x:c r="C76" s="19" t="str">
        <x:v>Illocutionary shame (shaming)</x:v>
      </x:c>
      <x:c r="D76" s="19" t="str">
        <x:v>P5</x:v>
      </x:c>
      <x:c r="E76" s="19" t="str">
        <x:v>Melanie</x:v>
      </x:c>
      <x:c r="F76" s="19" t="str">
        <x:v>ascribed</x:v>
      </x:c>
      <x:c r="G76" s="19" t="str">
        <x:v>[paraphrase / no single-word equivalent]</x:v>
      </x:c>
      <x:c r="H76" s="19" t="str">
        <x:v>[paraphrase / no single-word equivalent]</x:v>
      </x:c>
      <x:c r="I76" s="19" t="n">
        <x:v>1</x:v>
      </x:c>
      <x:c r="J76" s="19" t="n">
        <x:v>1</x:v>
      </x:c>
    </x:row>
    <x:row r="77" ht="15" customHeight="1">
      <x:c r="A77" s="19" t="n">
        <x:v>75</x:v>
      </x:c>
      <x:c r="B77" s="19" t="str">
        <x:v>Shame</x:v>
      </x:c>
      <x:c r="C77" s="19" t="str">
        <x:v>Illocutionary shame (shaming)</x:v>
      </x:c>
      <x:c r="D77" s="19" t="str">
        <x:v>P2</x:v>
      </x:c>
      <x:c r="E77" s="19" t="str">
        <x:v>Uncle Peter</x:v>
      </x:c>
      <x:c r="F77" s="19" t="str">
        <x:v>ascribed</x:v>
      </x:c>
      <x:c r="G77" s="19" t="str">
        <x:v>совестно</x:v>
      </x:c>
      <x:c r="H77" s="28" t="str">
        <x:v>ŪİALU</x:v>
      </x:c>
      <x:c r="I77" s="19" t="n">
        <x:v>1</x:v>
      </x:c>
      <x:c r="J77" s="19" t="n">
        <x:v>0</x:v>
      </x:c>
    </x:row>
    <x:row r="78" ht="15" customHeight="1">
      <x:c r="A78" s="19" t="n">
        <x:v>76</x:v>
      </x:c>
      <x:c r="B78" s="19" t="str">
        <x:v>Shame</x:v>
      </x:c>
      <x:c r="C78" s="19" t="str">
        <x:v>Illocutionary shame (shaming)</x:v>
      </x:c>
      <x:c r="D78" s="19" t="str">
        <x:v>P3</x:v>
      </x:c>
      <x:c r="E78" s="19" t="str">
        <x:v>Uncle Peter</x:v>
      </x:c>
      <x:c r="F78" s="19" t="str">
        <x:v>ascribed</x:v>
      </x:c>
      <x:c r="G78" s="19" t="str">
        <x:v>совестно</x:v>
      </x:c>
      <x:c r="H78" s="28" t="str">
        <x:v>ŪİALU</x:v>
      </x:c>
      <x:c r="I78" s="19" t="n">
        <x:v>1</x:v>
      </x:c>
      <x:c r="J78" s="19" t="n">
        <x:v>0</x:v>
      </x:c>
    </x:row>
    <x:row r="79" ht="26.25" customHeight="1">
      <x:c r="A79" s="19" t="n">
        <x:v>77</x:v>
      </x:c>
      <x:c r="B79" s="19" t="str">
        <x:v>Shame</x:v>
      </x:c>
      <x:c r="C79" s="19" t="str">
        <x:v>Illocutionary shame (shaming)</x:v>
      </x:c>
      <x:c r="D79" s="19" t="str">
        <x:v>P5</x:v>
      </x:c>
      <x:c r="E79" s="19" t="str">
        <x:v>Ashley</x:v>
      </x:c>
      <x:c r="F79" s="19" t="str">
        <x:v>ascribed</x:v>
      </x:c>
      <x:c r="G79" s="19" t="str">
        <x:v>стыд</x:v>
      </x:c>
      <x:c r="H79" s="19" t="str">
        <x:v>[paraphrase / no single-word equivalent]</x:v>
      </x:c>
      <x:c r="I79" s="19" t="n">
        <x:v>1</x:v>
      </x:c>
      <x:c r="J79" s="19" t="n">
        <x:v>1</x:v>
      </x:c>
    </x:row>
    <x:row r="80" ht="26.25" customHeight="1">
      <x:c r="A80" s="19" t="n">
        <x:v>78</x:v>
      </x:c>
      <x:c r="B80" s="19" t="str">
        <x:v>Shame</x:v>
      </x:c>
      <x:c r="C80" s="19" t="str">
        <x:v>Illocutionary shame (shaming)</x:v>
      </x:c>
      <x:c r="D80" s="19" t="str">
        <x:v>P3</x:v>
      </x:c>
      <x:c r="E80" s="19" t="str">
        <x:v>Grandma Fontaine</x:v>
      </x:c>
      <x:c r="F80" s="19" t="str">
        <x:v>ascribed</x:v>
      </x:c>
      <x:c r="G80" s="19" t="str">
        <x:v>[paraphrase / no single-word equivalent]</x:v>
      </x:c>
      <x:c r="H80" s="19" t="str">
        <x:v>[paraphrase / no single-word equivalent]</x:v>
      </x:c>
      <x:c r="I80" s="19" t="n">
        <x:v>1</x:v>
      </x:c>
      <x:c r="J80" s="19" t="n">
        <x:v>0</x:v>
      </x:c>
    </x:row>
    <x:row r="81" ht="15" customHeight="1">
      <x:c r="A81" s="19" t="n">
        <x:v>79</x:v>
      </x:c>
      <x:c r="B81" s="19" t="str">
        <x:v>Shame</x:v>
      </x:c>
      <x:c r="C81" s="19" t="str">
        <x:v>Illocutionary shame (shaming)</x:v>
      </x:c>
      <x:c r="D81" s="19" t="str">
        <x:v>P4</x:v>
      </x:c>
      <x:c r="E81" s="19" t="str">
        <x:v>Frank Kennedy</x:v>
      </x:c>
      <x:c r="F81" s="19" t="str">
        <x:v>ascribed</x:v>
      </x:c>
      <x:c r="G81" s="19" t="str">
        <x:v>стыд</x:v>
      </x:c>
      <x:c r="H81" s="28" t="str">
        <x:v>ŪİAT</x:v>
      </x:c>
      <x:c r="I81" s="19" t="n">
        <x:v>1</x:v>
      </x:c>
      <x:c r="J81" s="19" t="n">
        <x:v>0</x:v>
      </x:c>
    </x:row>
    <x:row r="82" ht="15" customHeight="1">
      <x:c r="A82" s="19" t="n">
        <x:v>80</x:v>
      </x:c>
      <x:c r="B82" s="19" t="str">
        <x:v>Shame</x:v>
      </x:c>
      <x:c r="C82" s="19" t="str">
        <x:v>Illocutionary shame (shaming)</x:v>
      </x:c>
      <x:c r="D82" s="19" t="str">
        <x:v>P4</x:v>
      </x:c>
      <x:c r="E82" s="19" t="str">
        <x:v>Mammy</x:v>
      </x:c>
      <x:c r="F82" s="19" t="str">
        <x:v>ascribed</x:v>
      </x:c>
      <x:c r="G82" s="19" t="str">
        <x:v>стыд</x:v>
      </x:c>
      <x:c r="H82" s="28" t="str">
        <x:v>ŪİAT</x:v>
      </x:c>
      <x:c r="I82" s="19" t="n">
        <x:v>1</x:v>
      </x:c>
      <x:c r="J82" s="19" t="n">
        <x:v>0</x:v>
      </x:c>
    </x:row>
    <x:row r="83" ht="15" customHeight="1">
      <x:c r="A83" s="19" t="n">
        <x:v>81</x:v>
      </x:c>
      <x:c r="B83" s="19" t="str">
        <x:v>Shame</x:v>
      </x:c>
      <x:c r="C83" s="19" t="str">
        <x:v>Illocutionary shame (shaming)</x:v>
      </x:c>
      <x:c r="D83" s="19" t="str">
        <x:v>P4</x:v>
      </x:c>
      <x:c r="E83" s="19" t="str">
        <x:v>Rene Picard</x:v>
      </x:c>
      <x:c r="F83" s="19" t="str">
        <x:v>ascribed</x:v>
      </x:c>
      <x:c r="G83" s="19" t="str">
        <x:v>стыдно</x:v>
      </x:c>
      <x:c r="H83" s="28" t="str">
        <x:v>ŪİAT</x:v>
      </x:c>
      <x:c r="I83" s="19" t="n">
        <x:v>1</x:v>
      </x:c>
      <x:c r="J83" s="19" t="n">
        <x:v>0</x:v>
      </x:c>
    </x:row>
    <x:row r="84" ht="15" customHeight="1">
      <x:c r="A84" s="19" t="n">
        <x:v>82</x:v>
      </x:c>
      <x:c r="B84" s="19" t="str">
        <x:v>Shame</x:v>
      </x:c>
      <x:c r="C84" s="19" t="str">
        <x:v>Shame as verdict</x:v>
      </x:c>
      <x:c r="D84" s="19" t="str">
        <x:v>P4</x:v>
      </x:c>
      <x:c r="E84" s="19" t="str">
        <x:v>Suellen</x:v>
      </x:c>
      <x:c r="F84" s="19" t="str">
        <x:v>felt</x:v>
      </x:c>
      <x:c r="G84" s="19" t="str">
        <x:v>позор</x:v>
      </x:c>
      <x:c r="H84" s="28" t="str">
        <x:v>KÜİE</x:v>
      </x:c>
      <x:c r="I84" s="19" t="n">
        <x:v>1</x:v>
      </x:c>
      <x:c r="J84" s="19" t="n">
        <x:v>0</x:v>
      </x:c>
    </x:row>
    <x:row r="85" ht="15" customHeight="1">
      <x:c r="A85" s="19" t="n">
        <x:v>83</x:v>
      </x:c>
      <x:c r="B85" s="19" t="str">
        <x:v>Shame</x:v>
      </x:c>
      <x:c r="C85" s="19" t="str">
        <x:v>Shame as verdict</x:v>
      </x:c>
      <x:c r="D85" s="19" t="str">
        <x:v>P4</x:v>
      </x:c>
      <x:c r="E85" s="19" t="str">
        <x:v>Suellen</x:v>
      </x:c>
      <x:c r="F85" s="19" t="str">
        <x:v>ascribed</x:v>
      </x:c>
      <x:c r="G85" s="19" t="str">
        <x:v>позор</x:v>
      </x:c>
      <x:c r="H85" s="28" t="str">
        <x:v>MASQARA</x:v>
      </x:c>
      <x:c r="I85" s="19" t="n">
        <x:v>1</x:v>
      </x:c>
      <x:c r="J85" s="19" t="n">
        <x:v>0</x:v>
      </x:c>
    </x:row>
    <x:row r="86" ht="15" customHeight="1">
      <x:c r="A86" s="19" t="n">
        <x:v>84</x:v>
      </x:c>
      <x:c r="B86" s="19" t="str">
        <x:v>Shame</x:v>
      </x:c>
      <x:c r="C86" s="19" t="str">
        <x:v>Absent shame</x:v>
      </x:c>
      <x:c r="D86" s="19" t="str">
        <x:v>P5</x:v>
      </x:c>
      <x:c r="E86" s="19" t="str">
        <x:v>Scarlett</x:v>
      </x:c>
      <x:c r="F86" s="19" t="str">
        <x:v>felt</x:v>
      </x:c>
      <x:c r="G86" s="19" t="str">
        <x:v>зазрение</x:v>
      </x:c>
      <x:c r="H86" s="28" t="str">
        <x:v>QYSYLU</x:v>
      </x:c>
      <x:c r="I86" s="19" t="n">
        <x:v>1</x:v>
      </x:c>
      <x:c r="J86" s="19" t="n">
        <x:v>1</x:v>
      </x:c>
    </x:row>
    <x:row r="87" ht="26.25" customHeight="1">
      <x:c r="A87" s="19" t="n">
        <x:v>85</x:v>
      </x:c>
      <x:c r="B87" s="19" t="str">
        <x:v>Shame</x:v>
      </x:c>
      <x:c r="C87" s="19" t="str">
        <x:v>Absent shame</x:v>
      </x:c>
      <x:c r="D87" s="19" t="str">
        <x:v>P2</x:v>
      </x:c>
      <x:c r="E87" s="19" t="str">
        <x:v>Rhett</x:v>
      </x:c>
      <x:c r="F87" s="19" t="str">
        <x:v>felt</x:v>
      </x:c>
      <x:c r="G87" s="19" t="str">
        <x:v>откровенно</x:v>
      </x:c>
      <x:c r="H87" s="28" t="str">
        <x:v>AŞKÖZDİKPEN</x:v>
      </x:c>
      <x:c r="I87" s="19" t="n">
        <x:v>1</x:v>
      </x:c>
      <x:c r="J87" s="19" t="n">
        <x:v>1</x:v>
      </x:c>
    </x:row>
    <x:row r="88" ht="15" customHeight="1">
      <x:c r="A88" s="19" t="n">
        <x:v>86</x:v>
      </x:c>
      <x:c r="B88" s="19" t="str">
        <x:v>Shame</x:v>
      </x:c>
      <x:c r="C88" s="19" t="str">
        <x:v>Absent shame</x:v>
      </x:c>
      <x:c r="D88" s="19" t="str">
        <x:v>P2</x:v>
      </x:c>
      <x:c r="E88" s="19" t="str">
        <x:v>Rhett</x:v>
      </x:c>
      <x:c r="F88" s="19" t="str">
        <x:v>felt</x:v>
      </x:c>
      <x:c r="G88" s="19" t="str">
        <x:v>смутить</x:v>
      </x:c>
      <x:c r="H88" s="28" t="str">
        <x:v>ŪİALTU</x:v>
      </x:c>
      <x:c r="I88" s="19" t="n">
        <x:v>1</x:v>
      </x:c>
      <x:c r="J88" s="19" t="n">
        <x:v>1</x:v>
      </x:c>
    </x:row>
    <x:row r="89" ht="15" customHeight="1">
      <x:c r="A89" s="19" t="n">
        <x:v>87</x:v>
      </x:c>
      <x:c r="B89" s="19" t="str">
        <x:v>Shame</x:v>
      </x:c>
      <x:c r="C89" s="19" t="str">
        <x:v>Absent shame</x:v>
      </x:c>
      <x:c r="D89" s="19" t="str">
        <x:v>P3</x:v>
      </x:c>
      <x:c r="E89" s="19" t="str">
        <x:v>Rhett</x:v>
      </x:c>
      <x:c r="F89" s="19" t="str">
        <x:v>felt</x:v>
      </x:c>
      <x:c r="G89" s="19" t="str">
        <x:v>пристыдить</x:v>
      </x:c>
      <x:c r="H89" s="28" t="str">
        <x:v>ŪİALU</x:v>
      </x:c>
      <x:c r="I89" s="19" t="n">
        <x:v>1</x:v>
      </x:c>
      <x:c r="J89" s="19" t="n">
        <x:v>1</x:v>
      </x:c>
    </x:row>
    <x:row r="90" ht="15" customHeight="1">
      <x:c r="A90" s="19" t="n">
        <x:v>88</x:v>
      </x:c>
      <x:c r="B90" s="19" t="str">
        <x:v>Shame</x:v>
      </x:c>
      <x:c r="C90" s="19" t="str">
        <x:v>Absent shame</x:v>
      </x:c>
      <x:c r="D90" s="19" t="str">
        <x:v>P4</x:v>
      </x:c>
      <x:c r="E90" s="19" t="str">
        <x:v>Rhett</x:v>
      </x:c>
      <x:c r="F90" s="19" t="str">
        <x:v>felt</x:v>
      </x:c>
      <x:c r="G90" s="19" t="str">
        <x:v>осуждать</x:v>
      </x:c>
      <x:c r="H90" s="28" t="str">
        <x:v>KINÄLAU</x:v>
      </x:c>
      <x:c r="I90" s="19" t="n">
        <x:v>1</x:v>
      </x:c>
      <x:c r="J90" s="19" t="n">
        <x:v>1</x:v>
      </x:c>
    </x:row>
    <x:row r="91" ht="15" customHeight="1">
      <x:c r="A91" s="19" t="n">
        <x:v>89</x:v>
      </x:c>
      <x:c r="B91" s="19" t="str">
        <x:v>Shame</x:v>
      </x:c>
      <x:c r="C91" s="19" t="str">
        <x:v>Absent shame</x:v>
      </x:c>
      <x:c r="D91" s="19" t="str">
        <x:v>P4</x:v>
      </x:c>
      <x:c r="E91" s="19" t="str">
        <x:v>Rhett</x:v>
      </x:c>
      <x:c r="F91" s="19" t="str">
        <x:v>ascribed</x:v>
      </x:c>
      <x:c r="G91" s="19" t="str">
        <x:v>бесстыдство</x:v>
      </x:c>
      <x:c r="H91" s="28" t="str">
        <x:v>ŪİATSYZDYQ</x:v>
      </x:c>
      <x:c r="I91" s="19" t="n">
        <x:v>1</x:v>
      </x:c>
      <x:c r="J91" s="19" t="n">
        <x:v>1</x:v>
      </x:c>
    </x:row>
    <x:row r="92" ht="15" customHeight="1">
      <x:c r="A92" s="19" t="n">
        <x:v>90</x:v>
      </x:c>
      <x:c r="B92" s="19" t="str">
        <x:v>Shame</x:v>
      </x:c>
      <x:c r="C92" s="19" t="str">
        <x:v>Absent shame</x:v>
      </x:c>
      <x:c r="D92" s="19" t="str">
        <x:v>P5</x:v>
      </x:c>
      <x:c r="E92" s="19" t="str">
        <x:v>Rhett</x:v>
      </x:c>
      <x:c r="F92" s="19" t="str">
        <x:v>felt</x:v>
      </x:c>
      <x:c r="G92" s="19" t="str">
        <x:v>стесняться</x:v>
      </x:c>
      <x:c r="H92" s="28" t="str">
        <x:v>ŪİALU</x:v>
      </x:c>
      <x:c r="I92" s="19" t="n">
        <x:v>1</x:v>
      </x:c>
      <x:c r="J92" s="19" t="n">
        <x:v>1</x:v>
      </x:c>
    </x:row>
    <x:row r="93" ht="15" customHeight="1">
      <x:c r="A93" s="19" t="n">
        <x:v>91</x:v>
      </x:c>
      <x:c r="B93" s="19" t="str">
        <x:v>Shame</x:v>
      </x:c>
      <x:c r="C93" s="19" t="str">
        <x:v>Absent shame</x:v>
      </x:c>
      <x:c r="D93" s="19" t="str">
        <x:v>P5</x:v>
      </x:c>
      <x:c r="E93" s="19" t="str">
        <x:v>Rhett</x:v>
      </x:c>
      <x:c r="F93" s="19" t="str">
        <x:v>felt</x:v>
      </x:c>
      <x:c r="G93" s="19" t="str">
        <x:v>бесстыдно</x:v>
      </x:c>
      <x:c r="H93" s="28" t="str">
        <x:v>QYMSYNU</x:v>
      </x:c>
      <x:c r="I93" s="19" t="n">
        <x:v>1</x:v>
      </x:c>
      <x:c r="J93" s="19" t="n">
        <x:v>1</x:v>
      </x:c>
    </x:row>
    <x:row r="94" ht="15" customHeight="1">
      <x:c r="A94" s="19" t="n">
        <x:v>92</x:v>
      </x:c>
      <x:c r="B94" s="19" t="str">
        <x:v>Shame</x:v>
      </x:c>
      <x:c r="C94" s="19" t="str">
        <x:v>Absent shame</x:v>
      </x:c>
      <x:c r="D94" s="19" t="str">
        <x:v>P5</x:v>
      </x:c>
      <x:c r="E94" s="19" t="str">
        <x:v>Rhett</x:v>
      </x:c>
      <x:c r="F94" s="19" t="str">
        <x:v>spoken</x:v>
      </x:c>
      <x:c r="G94" s="19" t="str">
        <x:v>стыдно</x:v>
      </x:c>
      <x:c r="H94" s="28" t="str">
        <x:v>ŪİALU</x:v>
      </x:c>
      <x:c r="I94" s="19" t="n">
        <x:v>1</x:v>
      </x:c>
      <x:c r="J94" s="19" t="n">
        <x:v>1</x:v>
      </x:c>
    </x:row>
    <x:row r="95" ht="15" customHeight="1">
      <x:c r="A95" s="19" t="n">
        <x:v>93</x:v>
      </x:c>
      <x:c r="B95" s="19" t="str">
        <x:v>Shame</x:v>
      </x:c>
      <x:c r="C95" s="19" t="str">
        <x:v>Absent shame</x:v>
      </x:c>
      <x:c r="D95" s="19" t="str">
        <x:v>P5</x:v>
      </x:c>
      <x:c r="E95" s="19" t="str">
        <x:v>Rhett</x:v>
      </x:c>
      <x:c r="F95" s="19" t="str">
        <x:v>spoken</x:v>
      </x:c>
      <x:c r="G95" s="19" t="str">
        <x:v>стыдиться</x:v>
      </x:c>
      <x:c r="H95" s="28" t="str">
        <x:v>ŪİALU</x:v>
      </x:c>
      <x:c r="I95" s="19" t="n">
        <x:v>1</x:v>
      </x:c>
      <x:c r="J95" s="19" t="n">
        <x:v>1</x:v>
      </x:c>
    </x:row>
    <x:row r="96" ht="15" customHeight="1">
      <x:c r="A96" s="19" t="n">
        <x:v>94</x:v>
      </x:c>
      <x:c r="B96" s="19" t="str">
        <x:v>Shame</x:v>
      </x:c>
      <x:c r="C96" s="19" t="str">
        <x:v>Absent shame</x:v>
      </x:c>
      <x:c r="D96" s="19" t="str">
        <x:v>P2</x:v>
      </x:c>
      <x:c r="E96" s="19" t="str">
        <x:v>Melanie</x:v>
      </x:c>
      <x:c r="F96" s="19" t="str">
        <x:v>spoken</x:v>
      </x:c>
      <x:c r="G96" s="19" t="str">
        <x:v>стыдиться</x:v>
      </x:c>
      <x:c r="H96" s="28" t="str">
        <x:v>ŪİALU</x:v>
      </x:c>
      <x:c r="I96" s="19" t="n">
        <x:v>1</x:v>
      </x:c>
      <x:c r="J96" s="19" t="n">
        <x:v>1</x:v>
      </x:c>
    </x:row>
    <x:row r="97" ht="15" customHeight="1">
      <x:c r="A97" s="19" t="n">
        <x:v>95</x:v>
      </x:c>
      <x:c r="B97" s="19" t="str">
        <x:v>Shame</x:v>
      </x:c>
      <x:c r="C97" s="19" t="str">
        <x:v>Absent shame</x:v>
      </x:c>
      <x:c r="D97" s="19" t="str">
        <x:v>P2</x:v>
      </x:c>
      <x:c r="E97" s="19" t="str">
        <x:v>Melanie</x:v>
      </x:c>
      <x:c r="F97" s="19" t="str">
        <x:v>felt</x:v>
      </x:c>
      <x:c r="G97" s="19" t="str">
        <x:v>стыдиться</x:v>
      </x:c>
      <x:c r="H97" s="28" t="str">
        <x:v>QYSYLU</x:v>
      </x:c>
      <x:c r="I97" s="19" t="n">
        <x:v>1</x:v>
      </x:c>
      <x:c r="J97" s="19" t="n">
        <x:v>1</x:v>
      </x:c>
    </x:row>
    <x:row r="98" ht="15" customHeight="1">
      <x:c r="A98" s="19" t="n">
        <x:v>96</x:v>
      </x:c>
      <x:c r="B98" s="19" t="str">
        <x:v>Shame</x:v>
      </x:c>
      <x:c r="C98" s="19" t="str">
        <x:v>Performed / ironic shame</x:v>
      </x:c>
      <x:c r="D98" s="19" t="str">
        <x:v>P3</x:v>
      </x:c>
      <x:c r="E98" s="19" t="str">
        <x:v>Rhett</x:v>
      </x:c>
      <x:c r="F98" s="19" t="str">
        <x:v>spoken</x:v>
      </x:c>
      <x:c r="G98" s="19" t="str">
        <x:v>стыдно</x:v>
      </x:c>
      <x:c r="H98" s="28" t="str">
        <x:v>ŪİALU</x:v>
      </x:c>
      <x:c r="I98" s="19" t="n">
        <x:v>1</x:v>
      </x:c>
      <x:c r="J98" s="19" t="n">
        <x:v>1</x:v>
      </x:c>
    </x:row>
    <x:row r="99" ht="15" customHeight="1">
      <x:c r="A99" s="19" t="n">
        <x:v>97</x:v>
      </x:c>
      <x:c r="B99" s="19" t="str">
        <x:v>Shame</x:v>
      </x:c>
      <x:c r="C99" s="19" t="str">
        <x:v>Performed / ironic shame</x:v>
      </x:c>
      <x:c r="D99" s="19" t="str">
        <x:v>P4</x:v>
      </x:c>
      <x:c r="E99" s="19" t="str">
        <x:v>Rhett</x:v>
      </x:c>
      <x:c r="F99" s="19" t="str">
        <x:v>spoken</x:v>
      </x:c>
      <x:c r="G99" s="19" t="str">
        <x:v>сгорать со стыда!</x:v>
      </x:c>
      <x:c r="H99" s="28" t="str">
        <x:v>ŪİAT</x:v>
      </x:c>
      <x:c r="I99" s="19" t="n">
        <x:v>1</x:v>
      </x:c>
      <x:c r="J99" s="19" t="n">
        <x:v>1</x:v>
      </x:c>
    </x:row>
    <x:row r="100" ht="15" customHeight="1">
      <x:c r="A100" s="19" t="n">
        <x:v>98</x:v>
      </x:c>
      <x:c r="B100" s="19" t="str">
        <x:v>Shame</x:v>
      </x:c>
      <x:c r="C100" s="19" t="str">
        <x:v>Performed / ironic shame</x:v>
      </x:c>
      <x:c r="D100" s="19" t="str">
        <x:v>P4</x:v>
      </x:c>
      <x:c r="E100" s="19" t="str">
        <x:v>Rhett</x:v>
      </x:c>
      <x:c r="F100" s="19" t="str">
        <x:v>felt</x:v>
      </x:c>
      <x:c r="G100" s="19" t="str">
        <x:v>позор</x:v>
      </x:c>
      <x:c r="H100" s="28" t="str">
        <x:v>ŪİATTY</x:v>
      </x:c>
      <x:c r="I100" s="19" t="n">
        <x:v>1</x:v>
      </x:c>
      <x:c r="J100" s="19" t="n">
        <x:v>1</x:v>
      </x:c>
    </x:row>
    <x:row r="101" ht="15" customHeight="1">
      <x:c r="A101" s="19" t="n">
        <x:v>99</x:v>
      </x:c>
      <x:c r="B101" s="19" t="str">
        <x:v>Shame</x:v>
      </x:c>
      <x:c r="C101" s="19" t="str">
        <x:v>Performed / ironic shame</x:v>
      </x:c>
      <x:c r="D101" s="19" t="str">
        <x:v>P4</x:v>
      </x:c>
      <x:c r="E101" s="19" t="str">
        <x:v>Rhett</x:v>
      </x:c>
      <x:c r="F101" s="19" t="str">
        <x:v>spoken</x:v>
      </x:c>
      <x:c r="G101" s="19" t="str">
        <x:v>стыдно</x:v>
      </x:c>
      <x:c r="H101" s="28" t="str">
        <x:v>ŪİAT</x:v>
      </x:c>
      <x:c r="I101" s="19" t="n">
        <x:v>1</x:v>
      </x:c>
      <x:c r="J101" s="19" t="n">
        <x:v>1</x:v>
      </x:c>
    </x:row>
    <x:row r="102" ht="15" customHeight="1">
      <x:c r="A102" s="19" t="n">
        <x:v>100</x:v>
      </x:c>
      <x:c r="B102" s="19" t="str">
        <x:v>Shame</x:v>
      </x:c>
      <x:c r="C102" s="19" t="str">
        <x:v>Performed / ironic shame</x:v>
      </x:c>
      <x:c r="D102" s="19" t="str">
        <x:v>P5</x:v>
      </x:c>
      <x:c r="E102" s="19" t="str">
        <x:v>Rhett</x:v>
      </x:c>
      <x:c r="F102" s="19" t="str">
        <x:v>ascribed</x:v>
      </x:c>
      <x:c r="G102" s="19" t="str">
        <x:v>стыдиться</x:v>
      </x:c>
      <x:c r="H102" s="28" t="str">
        <x:v>ŪİALU</x:v>
      </x:c>
      <x:c r="I102" s="19" t="n">
        <x:v>1</x:v>
      </x:c>
      <x:c r="J102" s="19" t="n">
        <x:v>1</x:v>
      </x:c>
    </x:row>
    <x:row r="103" ht="15" customHeight="1">
      <x:c r="A103" s="19" t="n">
        <x:v>101</x:v>
      </x:c>
      <x:c r="B103" s="19" t="str">
        <x:v>Shame</x:v>
      </x:c>
      <x:c r="C103" s="19" t="str">
        <x:v>Performed / ironic shame</x:v>
      </x:c>
      <x:c r="D103" s="19" t="str">
        <x:v>P5</x:v>
      </x:c>
      <x:c r="E103" s="19" t="str">
        <x:v>Rhett</x:v>
      </x:c>
      <x:c r="F103" s="19" t="str">
        <x:v>ascribed</x:v>
      </x:c>
      <x:c r="G103" s="19" t="str">
        <x:v>стесняться</x:v>
      </x:c>
      <x:c r="H103" s="28" t="str">
        <x:v>ŪİALU</x:v>
      </x:c>
      <x:c r="I103" s="19" t="n">
        <x:v>1</x:v>
      </x:c>
      <x:c r="J103" s="19" t="n">
        <x:v>1</x:v>
      </x:c>
    </x:row>
    <x:row r="104" ht="15" customHeight="1">
      <x:c r="A104" s="19" t="n">
        <x:v>102</x:v>
      </x:c>
      <x:c r="B104" s="19" t="str">
        <x:v>Shame</x:v>
      </x:c>
      <x:c r="C104" s="19" t="str">
        <x:v>Performed / ironic shame</x:v>
      </x:c>
      <x:c r="D104" s="19" t="str">
        <x:v>P5</x:v>
      </x:c>
      <x:c r="E104" s="19" t="str">
        <x:v>Rhett</x:v>
      </x:c>
      <x:c r="F104" s="19" t="str">
        <x:v>spoken</x:v>
      </x:c>
      <x:c r="G104" s="19" t="str">
        <x:v>стыдно</x:v>
      </x:c>
      <x:c r="H104" s="28" t="str">
        <x:v>YÑĞAİSYZ</x:v>
      </x:c>
      <x:c r="I104" s="19" t="n">
        <x:v>1</x:v>
      </x:c>
      <x:c r="J104" s="19" t="n">
        <x:v>1</x:v>
      </x:c>
    </x:row>
    <x:row r="105" ht="15" customHeight="1">
      <x:c r="A105" s="19" t="n">
        <x:v>103</x:v>
      </x:c>
      <x:c r="B105" s="19" t="str">
        <x:v>Shame</x:v>
      </x:c>
      <x:c r="C105" s="19" t="str">
        <x:v>Performed / ironic shame</x:v>
      </x:c>
      <x:c r="D105" s="19" t="str">
        <x:v>P5</x:v>
      </x:c>
      <x:c r="E105" s="19" t="str">
        <x:v>Rhett</x:v>
      </x:c>
      <x:c r="F105" s="19" t="str">
        <x:v>ascribed</x:v>
      </x:c>
      <x:c r="G105" s="19" t="str">
        <x:v>стыдно</x:v>
      </x:c>
      <x:c r="H105" s="28" t="str">
        <x:v>ŪİAT</x:v>
      </x:c>
      <x:c r="I105" s="19" t="n">
        <x:v>1</x:v>
      </x:c>
      <x:c r="J105" s="19" t="n">
        <x:v>1</x:v>
      </x:c>
    </x:row>
    <x:row r="106" ht="15" customHeight="1">
      <x:c r="A106" s="19" t="n">
        <x:v>104</x:v>
      </x:c>
      <x:c r="B106" s="19" t="str">
        <x:v>Shame</x:v>
      </x:c>
      <x:c r="C106" s="19" t="str">
        <x:v>Performed / ironic shame</x:v>
      </x:c>
      <x:c r="D106" s="19" t="str">
        <x:v>P5</x:v>
      </x:c>
      <x:c r="E106" s="19" t="str">
        <x:v>Rhett</x:v>
      </x:c>
      <x:c r="F106" s="19" t="str">
        <x:v>ascribed</x:v>
      </x:c>
      <x:c r="G106" s="19" t="str">
        <x:v>стыдиться</x:v>
      </x:c>
      <x:c r="H106" s="28" t="str">
        <x:v>ŪİALU</x:v>
      </x:c>
      <x:c r="I106" s="19" t="n">
        <x:v>1</x:v>
      </x:c>
      <x:c r="J106" s="19" t="n">
        <x:v>1</x:v>
      </x:c>
    </x:row>
    <x:row r="107" ht="15" customHeight="1">
      <x:c r="A107" s="19" t="n">
        <x:v>105</x:v>
      </x:c>
      <x:c r="B107" s="19" t="str">
        <x:v>Guilt</x:v>
      </x:c>
      <x:c r="C107" s="19" t="str">
        <x:v>Felt guilt</x:v>
      </x:c>
      <x:c r="D107" s="19" t="str">
        <x:v>P1</x:v>
      </x:c>
      <x:c r="E107" s="19" t="str">
        <x:v>Stuart Tarleton</x:v>
      </x:c>
      <x:c r="F107" s="19" t="str">
        <x:v>felt</x:v>
      </x:c>
      <x:c r="G107" s="19" t="str">
        <x:v>вина</x:v>
      </x:c>
      <x:c r="H107" s="28" t="str">
        <x:v>KINÄLI</x:v>
      </x:c>
      <x:c r="I107" s="19" t="n">
        <x:v>1</x:v>
      </x:c>
      <x:c r="J107" s="19" t="n">
        <x:v>0</x:v>
      </x:c>
    </x:row>
    <x:row r="108" ht="26.25" customHeight="1">
      <x:c r="A108" s="19" t="n">
        <x:v>106</x:v>
      </x:c>
      <x:c r="B108" s="19" t="str">
        <x:v>Guilt</x:v>
      </x:c>
      <x:c r="C108" s="19" t="str">
        <x:v>Felt guilt (guilty pleasure)</x:v>
      </x:c>
      <x:c r="D108" s="19" t="str">
        <x:v>P1</x:v>
      </x:c>
      <x:c r="E108" s="19" t="str">
        <x:v>Gerald O’Hara</x:v>
      </x:c>
      <x:c r="F108" s="19" t="str">
        <x:v>felt</x:v>
      </x:c>
      <x:c r="G108" s="19" t="str">
        <x:v>[paraphrase / no single-word equivalent]</x:v>
      </x:c>
      <x:c r="H108" s="19" t="str">
        <x:v>[paraphrase / no single-word equivalent]</x:v>
      </x:c>
      <x:c r="I108" s="19" t="n">
        <x:v>1</x:v>
      </x:c>
      <x:c r="J108" s="19" t="n">
        <x:v>0</x:v>
      </x:c>
    </x:row>
    <x:row r="109" ht="15" customHeight="1">
      <x:c r="A109" s="19" t="n">
        <x:v>107</x:v>
      </x:c>
      <x:c r="B109" s="19" t="str">
        <x:v>Guilt</x:v>
      </x:c>
      <x:c r="C109" s="19" t="str">
        <x:v>Felt guilt</x:v>
      </x:c>
      <x:c r="D109" s="19" t="str">
        <x:v>P1</x:v>
      </x:c>
      <x:c r="E109" s="19" t="str">
        <x:v>Gerald O’Hara</x:v>
      </x:c>
      <x:c r="F109" s="19" t="str">
        <x:v>felt</x:v>
      </x:c>
      <x:c r="G109" s="19" t="str">
        <x:v>смущенно</x:v>
      </x:c>
      <x:c r="H109" s="28" t="str">
        <x:v>ŪİALU</x:v>
      </x:c>
      <x:c r="I109" s="19" t="n">
        <x:v>1</x:v>
      </x:c>
      <x:c r="J109" s="19" t="n">
        <x:v>0</x:v>
      </x:c>
    </x:row>
    <x:row r="110" ht="15" customHeight="1">
      <x:c r="A110" s="19" t="n">
        <x:v>108</x:v>
      </x:c>
      <x:c r="B110" s="19" t="str">
        <x:v>Guilt</x:v>
      </x:c>
      <x:c r="C110" s="19" t="str">
        <x:v>Felt guilt (guilty pleasure)</x:v>
      </x:c>
      <x:c r="D110" s="19" t="str">
        <x:v>P1</x:v>
      </x:c>
      <x:c r="E110" s="19" t="str">
        <x:v>Scarlett</x:v>
      </x:c>
      <x:c r="F110" s="19" t="str">
        <x:v>felt</x:v>
      </x:c>
      <x:c r="G110" s="19" t="str">
        <x:v>угрызение</x:v>
      </x:c>
      <x:c r="H110" s="28" t="str">
        <x:v>AR</x:v>
      </x:c>
      <x:c r="I110" s="19" t="n">
        <x:v>1</x:v>
      </x:c>
      <x:c r="J110" s="19" t="n">
        <x:v>1</x:v>
      </x:c>
    </x:row>
    <x:row r="111" ht="15" customHeight="1">
      <x:c r="A111" s="19" t="n">
        <x:v>109</x:v>
      </x:c>
      <x:c r="B111" s="19" t="str">
        <x:v>Guilt</x:v>
      </x:c>
      <x:c r="C111" s="19" t="str">
        <x:v>Guilt as tormentor</x:v>
      </x:c>
      <x:c r="D111" s="19" t="str">
        <x:v>P2</x:v>
      </x:c>
      <x:c r="E111" s="19" t="str">
        <x:v>Scarlett</x:v>
      </x:c>
      <x:c r="F111" s="19" t="str">
        <x:v>felt</x:v>
      </x:c>
      <x:c r="G111" s="19" t="str">
        <x:v>раскаяние</x:v>
      </x:c>
      <x:c r="H111" s="28" t="str">
        <x:v>ÖKINIŞ</x:v>
      </x:c>
      <x:c r="I111" s="19" t="n">
        <x:v>1</x:v>
      </x:c>
      <x:c r="J111" s="19" t="n">
        <x:v>1</x:v>
      </x:c>
    </x:row>
    <x:row r="112" ht="15" customHeight="1">
      <x:c r="A112" s="19" t="n">
        <x:v>110</x:v>
      </x:c>
      <x:c r="B112" s="19" t="str">
        <x:v>Guilt</x:v>
      </x:c>
      <x:c r="C112" s="19" t="str">
        <x:v>Felt guilt</x:v>
      </x:c>
      <x:c r="D112" s="19" t="str">
        <x:v>P2</x:v>
      </x:c>
      <x:c r="E112" s="19" t="str">
        <x:v>Scarlett</x:v>
      </x:c>
      <x:c r="F112" s="19" t="str">
        <x:v>felt</x:v>
      </x:c>
      <x:c r="G112" s="19" t="str">
        <x:v>провиниться</x:v>
      </x:c>
      <x:c r="H112" s="28" t="str">
        <x:v>JAZYQTY</x:v>
      </x:c>
      <x:c r="I112" s="19" t="n">
        <x:v>1</x:v>
      </x:c>
      <x:c r="J112" s="19" t="n">
        <x:v>1</x:v>
      </x:c>
    </x:row>
    <x:row r="113" ht="15" customHeight="1">
      <x:c r="A113" s="19" t="n">
        <x:v>111</x:v>
      </x:c>
      <x:c r="B113" s="19" t="str">
        <x:v>Guilt</x:v>
      </x:c>
      <x:c r="C113" s="19" t="str">
        <x:v>Felt guilt</x:v>
      </x:c>
      <x:c r="D113" s="19" t="str">
        <x:v>P2</x:v>
      </x:c>
      <x:c r="E113" s="19" t="str">
        <x:v>Scarlett</x:v>
      </x:c>
      <x:c r="F113" s="19" t="str">
        <x:v>felt</x:v>
      </x:c>
      <x:c r="G113" s="19" t="str">
        <x:v>совесть</x:v>
      </x:c>
      <x:c r="H113" s="28" t="str">
        <x:v>AR-OJDAN</x:v>
      </x:c>
      <x:c r="I113" s="19" t="n">
        <x:v>1</x:v>
      </x:c>
      <x:c r="J113" s="19" t="n">
        <x:v>1</x:v>
      </x:c>
    </x:row>
    <x:row r="114" ht="15" customHeight="1">
      <x:c r="A114" s="19" t="n">
        <x:v>112</x:v>
      </x:c>
      <x:c r="B114" s="19" t="str">
        <x:v>Guilt</x:v>
      </x:c>
      <x:c r="C114" s="19" t="str">
        <x:v>Felt guilt</x:v>
      </x:c>
      <x:c r="D114" s="19" t="str">
        <x:v>P2</x:v>
      </x:c>
      <x:c r="E114" s="19" t="str">
        <x:v>Scarlett</x:v>
      </x:c>
      <x:c r="F114" s="19" t="str">
        <x:v>felt</x:v>
      </x:c>
      <x:c r="G114" s="19" t="str">
        <x:v>угрызения совести.</x:v>
      </x:c>
      <x:c r="H114" s="28" t="str">
        <x:v>QYSYLU</x:v>
      </x:c>
      <x:c r="I114" s="19" t="n">
        <x:v>1</x:v>
      </x:c>
      <x:c r="J114" s="19" t="n">
        <x:v>1</x:v>
      </x:c>
    </x:row>
    <x:row r="115" ht="15" customHeight="1">
      <x:c r="A115" s="19" t="n">
        <x:v>113</x:v>
      </x:c>
      <x:c r="B115" s="19" t="str">
        <x:v>Guilt</x:v>
      </x:c>
      <x:c r="C115" s="19" t="str">
        <x:v>Felt guilt (guilty conscience)</x:v>
      </x:c>
      <x:c r="D115" s="19" t="str">
        <x:v>P2</x:v>
      </x:c>
      <x:c r="E115" s="19" t="str">
        <x:v>Scarlett</x:v>
      </x:c>
      <x:c r="F115" s="19" t="str">
        <x:v>felt</x:v>
      </x:c>
      <x:c r="G115" s="19" t="str">
        <x:v>совесть</x:v>
      </x:c>
      <x:c r="H115" s="28" t="str">
        <x:v>ŪİAL-</x:v>
      </x:c>
      <x:c r="I115" s="19" t="n">
        <x:v>1</x:v>
      </x:c>
      <x:c r="J115" s="19" t="n">
        <x:v>1</x:v>
      </x:c>
    </x:row>
    <x:row r="116" ht="15" customHeight="1">
      <x:c r="A116" s="19" t="n">
        <x:v>114</x:v>
      </x:c>
      <x:c r="B116" s="19" t="str">
        <x:v>Guilt</x:v>
      </x:c>
      <x:c r="C116" s="19" t="str">
        <x:v>Guilt as tormentor</x:v>
      </x:c>
      <x:c r="D116" s="19" t="str">
        <x:v>P2</x:v>
      </x:c>
      <x:c r="E116" s="19" t="str">
        <x:v>Scarlett</x:v>
      </x:c>
      <x:c r="F116" s="19" t="str">
        <x:v>felt</x:v>
      </x:c>
      <x:c r="G116" s="19" t="str">
        <x:v>совесть</x:v>
      </x:c>
      <x:c r="H116" s="28" t="str">
        <x:v>AR-OJDAN</x:v>
      </x:c>
      <x:c r="I116" s="19" t="n">
        <x:v>1</x:v>
      </x:c>
      <x:c r="J116" s="19" t="n">
        <x:v>1</x:v>
      </x:c>
    </x:row>
    <x:row r="117" ht="15" customHeight="1">
      <x:c r="A117" s="19" t="n">
        <x:v>115</x:v>
      </x:c>
      <x:c r="B117" s="19" t="str">
        <x:v>Guilt</x:v>
      </x:c>
      <x:c r="C117" s="19" t="str">
        <x:v>Felt guilt</x:v>
      </x:c>
      <x:c r="D117" s="19" t="str">
        <x:v>P4</x:v>
      </x:c>
      <x:c r="E117" s="19" t="str">
        <x:v>Scarlett</x:v>
      </x:c>
      <x:c r="F117" s="19" t="str">
        <x:v>felt</x:v>
      </x:c>
      <x:c r="G117" s="19" t="str">
        <x:v>совесть</x:v>
      </x:c>
      <x:c r="H117" s="28" t="str">
        <x:v>ŪİAT</x:v>
      </x:c>
      <x:c r="I117" s="19" t="n">
        <x:v>1</x:v>
      </x:c>
      <x:c r="J117" s="19" t="n">
        <x:v>1</x:v>
      </x:c>
    </x:row>
    <x:row r="118" ht="15" customHeight="1">
      <x:c r="A118" s="19" t="n">
        <x:v>116</x:v>
      </x:c>
      <x:c r="B118" s="19" t="str">
        <x:v>Guilt</x:v>
      </x:c>
      <x:c r="C118" s="19" t="str">
        <x:v>Felt guilt</x:v>
      </x:c>
      <x:c r="D118" s="19" t="str">
        <x:v>P4</x:v>
      </x:c>
      <x:c r="E118" s="19" t="str">
        <x:v>Scarlett</x:v>
      </x:c>
      <x:c r="F118" s="19" t="str">
        <x:v>felt</x:v>
      </x:c>
      <x:c r="G118" s="19" t="str">
        <x:v>стыдно</x:v>
      </x:c>
      <x:c r="H118" s="28" t="str">
        <x:v>QYSYLU</x:v>
      </x:c>
      <x:c r="I118" s="19" t="n">
        <x:v>1</x:v>
      </x:c>
      <x:c r="J118" s="19" t="n">
        <x:v>1</x:v>
      </x:c>
    </x:row>
    <x:row r="119" ht="26.25" customHeight="1">
      <x:c r="A119" s="19" t="n">
        <x:v>117</x:v>
      </x:c>
      <x:c r="B119" s="19" t="str">
        <x:v>Guilt</x:v>
      </x:c>
      <x:c r="C119" s="19" t="str">
        <x:v>Felt guilt (guilty pleasure)</x:v>
      </x:c>
      <x:c r="D119" s="19" t="str">
        <x:v>P4</x:v>
      </x:c>
      <x:c r="E119" s="19" t="str">
        <x:v>Scarlett</x:v>
      </x:c>
      <x:c r="F119" s="19" t="str">
        <x:v>felt</x:v>
      </x:c>
      <x:c r="G119" s="19" t="str">
        <x:v>[paraphrase / no single-word equivalent]</x:v>
      </x:c>
      <x:c r="H119" s="19" t="str">
        <x:v>QUANU</x:v>
      </x:c>
      <x:c r="I119" s="19" t="n">
        <x:v>1</x:v>
      </x:c>
      <x:c r="J119" s="19" t="n">
        <x:v>1</x:v>
      </x:c>
    </x:row>
    <x:row r="120" ht="26.25" customHeight="1">
      <x:c r="A120" s="19" t="n">
        <x:v>118</x:v>
      </x:c>
      <x:c r="B120" s="19" t="str">
        <x:v>Guilt</x:v>
      </x:c>
      <x:c r="C120" s="19" t="str">
        <x:v>Felt guilt</x:v>
      </x:c>
      <x:c r="D120" s="19" t="str">
        <x:v>P4</x:v>
      </x:c>
      <x:c r="E120" s="19" t="str">
        <x:v>Scarlett</x:v>
      </x:c>
      <x:c r="F120" s="19" t="str">
        <x:v>felt</x:v>
      </x:c>
      <x:c r="G120" s="19" t="str">
        <x:v>чувство вины</x:v>
      </x:c>
      <x:c r="H120" s="28" t="str">
        <x:v>KINÄLI</x:v>
      </x:c>
      <x:c r="I120" s="19" t="n">
        <x:v>1</x:v>
      </x:c>
      <x:c r="J120" s="19" t="n">
        <x:v>1</x:v>
      </x:c>
    </x:row>
    <x:row r="121" ht="15" customHeight="1">
      <x:c r="A121" s="19" t="n">
        <x:v>119</x:v>
      </x:c>
      <x:c r="B121" s="19" t="str">
        <x:v>Guilt</x:v>
      </x:c>
      <x:c r="C121" s="19" t="str">
        <x:v>Guilt as weight</x:v>
      </x:c>
      <x:c r="D121" s="19" t="str">
        <x:v>P4</x:v>
      </x:c>
      <x:c r="E121" s="19" t="str">
        <x:v>Scarlett</x:v>
      </x:c>
      <x:c r="F121" s="19" t="str">
        <x:v>felt</x:v>
      </x:c>
      <x:c r="G121" s="19" t="str">
        <x:v>грешный</x:v>
      </x:c>
      <x:c r="H121" s="29" t="str">
        <x:v>KÖKIREGINDEGI ZAPYRANYN</x:v>
      </x:c>
      <x:c r="I121" s="19" t="n">
        <x:v>1</x:v>
      </x:c>
      <x:c r="J121" s="19" t="n">
        <x:v>1</x:v>
      </x:c>
    </x:row>
    <x:row r="122" ht="15" customHeight="1">
      <x:c r="A122" s="19" t="n">
        <x:v>120</x:v>
      </x:c>
      <x:c r="B122" s="19" t="str">
        <x:v>Guilt</x:v>
      </x:c>
      <x:c r="C122" s="19" t="str">
        <x:v>Felt guilt</x:v>
      </x:c>
      <x:c r="D122" s="19" t="str">
        <x:v>P5</x:v>
      </x:c>
      <x:c r="E122" s="19" t="str">
        <x:v>Scarlett</x:v>
      </x:c>
      <x:c r="F122" s="19" t="str">
        <x:v>felt</x:v>
      </x:c>
      <x:c r="G122" s="19" t="str">
        <x:v>вина</x:v>
      </x:c>
      <x:c r="H122" s="28" t="str">
        <x:v>KINÄLAU</x:v>
      </x:c>
      <x:c r="I122" s="19" t="n">
        <x:v>1</x:v>
      </x:c>
      <x:c r="J122" s="19" t="n">
        <x:v>1</x:v>
      </x:c>
    </x:row>
    <x:row r="123" ht="26.25" customHeight="1">
      <x:c r="A123" s="19" t="n">
        <x:v>121</x:v>
      </x:c>
      <x:c r="B123" s="19" t="str">
        <x:v>Guilt</x:v>
      </x:c>
      <x:c r="C123" s="19" t="str">
        <x:v>Felt guilt</x:v>
      </x:c>
      <x:c r="D123" s="19" t="str">
        <x:v>P5</x:v>
      </x:c>
      <x:c r="E123" s="19" t="str">
        <x:v>Scarlett</x:v>
      </x:c>
      <x:c r="F123" s="19" t="str">
        <x:v>felt</x:v>
      </x:c>
      <x:c r="G123" s="19" t="str">
        <x:v>вина</x:v>
      </x:c>
      <x:c r="H123" s="19" t="str">
        <x:v>NALU</x:v>
      </x:c>
      <x:c r="I123" s="19" t="n">
        <x:v>1</x:v>
      </x:c>
      <x:c r="J123" s="19" t="n">
        <x:v>1</x:v>
      </x:c>
    </x:row>
    <x:row r="124" ht="26.25" customHeight="1">
      <x:c r="A124" s="19" t="n">
        <x:v>122</x:v>
      </x:c>
      <x:c r="B124" s="19" t="str">
        <x:v>Guilt</x:v>
      </x:c>
      <x:c r="C124" s="19" t="str">
        <x:v>Felt guilt (guilty conscience)</x:v>
      </x:c>
      <x:c r="D124" s="19" t="str">
        <x:v>P5</x:v>
      </x:c>
      <x:c r="E124" s="19" t="str">
        <x:v>Scarlett</x:v>
      </x:c>
      <x:c r="F124" s="19" t="str">
        <x:v>felt</x:v>
      </x:c>
      <x:c r="G124" s="19" t="str">
        <x:v>совесть</x:v>
      </x:c>
      <x:c r="H124" s="19" t="str">
        <x:v>ŪIATY TAZA EMES</x:v>
      </x:c>
      <x:c r="I124" s="19" t="n">
        <x:v>1</x:v>
      </x:c>
      <x:c r="J124" s="19" t="n">
        <x:v>1</x:v>
      </x:c>
    </x:row>
    <x:row r="125" ht="15" customHeight="1">
      <x:c r="A125" s="19" t="n">
        <x:v>123</x:v>
      </x:c>
      <x:c r="B125" s="19" t="str">
        <x:v>Guilt</x:v>
      </x:c>
      <x:c r="C125" s="19" t="str">
        <x:v>Felt guilt</x:v>
      </x:c>
      <x:c r="D125" s="19" t="str">
        <x:v>P5</x:v>
      </x:c>
      <x:c r="E125" s="19" t="str">
        <x:v>Scarlett</x:v>
      </x:c>
      <x:c r="F125" s="19" t="str">
        <x:v>felt</x:v>
      </x:c>
      <x:c r="G125" s="19" t="str">
        <x:v>виноватый</x:v>
      </x:c>
      <x:c r="H125" s="28" t="str">
        <x:v>KÜNÄ</x:v>
      </x:c>
      <x:c r="I125" s="19" t="n">
        <x:v>1</x:v>
      </x:c>
      <x:c r="J125" s="19" t="n">
        <x:v>1</x:v>
      </x:c>
    </x:row>
    <x:row r="126" ht="15" customHeight="1">
      <x:c r="A126" s="19" t="n">
        <x:v>124</x:v>
      </x:c>
      <x:c r="B126" s="19" t="str">
        <x:v>Guilt</x:v>
      </x:c>
      <x:c r="C126" s="19" t="str">
        <x:v>Felt guilt</x:v>
      </x:c>
      <x:c r="D126" s="19" t="str">
        <x:v>P5</x:v>
      </x:c>
      <x:c r="E126" s="19" t="str">
        <x:v>Scarlett</x:v>
      </x:c>
      <x:c r="F126" s="19" t="str">
        <x:v>felt</x:v>
      </x:c>
      <x:c r="G126" s="19" t="str">
        <x:v>позор</x:v>
      </x:c>
      <x:c r="H126" s="28" t="str">
        <x:v>KINÄ MEN KÜNÄ</x:v>
      </x:c>
      <x:c r="I126" s="19" t="n">
        <x:v>1</x:v>
      </x:c>
      <x:c r="J126" s="19" t="n">
        <x:v>1</x:v>
      </x:c>
    </x:row>
    <x:row r="127" ht="26.25" customHeight="1">
      <x:c r="A127" s="19" t="n">
        <x:v>125</x:v>
      </x:c>
      <x:c r="B127" s="19" t="str">
        <x:v>Guilt</x:v>
      </x:c>
      <x:c r="C127" s="19" t="str">
        <x:v>Felt guilt</x:v>
      </x:c>
      <x:c r="D127" s="19" t="str">
        <x:v>P5</x:v>
      </x:c>
      <x:c r="E127" s="19" t="str">
        <x:v>Scarlett</x:v>
      </x:c>
      <x:c r="F127" s="19" t="str">
        <x:v>felt</x:v>
      </x:c>
      <x:c r="G127" s="19" t="str">
        <x:v>чувство вины</x:v>
      </x:c>
      <x:c r="H127" s="28" t="str">
        <x:v>KINÄLI</x:v>
      </x:c>
      <x:c r="I127" s="19" t="n">
        <x:v>1</x:v>
      </x:c>
      <x:c r="J127" s="19" t="n">
        <x:v>1</x:v>
      </x:c>
    </x:row>
    <x:row r="128" ht="15" customHeight="1">
      <x:c r="A128" s="19" t="n">
        <x:v>126</x:v>
      </x:c>
      <x:c r="B128" s="19" t="str">
        <x:v>Guilt</x:v>
      </x:c>
      <x:c r="C128" s="19" t="str">
        <x:v>Felt guilt</x:v>
      </x:c>
      <x:c r="D128" s="19" t="str">
        <x:v>P5</x:v>
      </x:c>
      <x:c r="E128" s="19" t="str">
        <x:v>Melanie</x:v>
      </x:c>
      <x:c r="F128" s="19" t="str">
        <x:v>felt</x:v>
      </x:c>
      <x:c r="G128" s="19" t="str">
        <x:v>виновато</x:v>
      </x:c>
      <x:c r="H128" s="28" t="str">
        <x:v>QYSYLU</x:v>
      </x:c>
      <x:c r="I128" s="19" t="n">
        <x:v>1</x:v>
      </x:c>
      <x:c r="J128" s="19" t="n">
        <x:v>1</x:v>
      </x:c>
    </x:row>
    <x:row r="129" ht="15" customHeight="1">
      <x:c r="A129" s="19" t="n">
        <x:v>127</x:v>
      </x:c>
      <x:c r="B129" s="19" t="str">
        <x:v>Guilt</x:v>
      </x:c>
      <x:c r="C129" s="19" t="str">
        <x:v>Felt guilt</x:v>
      </x:c>
      <x:c r="D129" s="19" t="str">
        <x:v>P3</x:v>
      </x:c>
      <x:c r="E129" s="19" t="str">
        <x:v>Family</x:v>
      </x:c>
      <x:c r="F129" s="19" t="str">
        <x:v>felt</x:v>
      </x:c>
      <x:c r="G129" s="19" t="str">
        <x:v>вина</x:v>
      </x:c>
      <x:c r="H129" s="28" t="str">
        <x:v>AİYPTY SEZIM</x:v>
      </x:c>
      <x:c r="I129" s="19" t="n">
        <x:v>1</x:v>
      </x:c>
      <x:c r="J129" s="19" t="n">
        <x:v>0</x:v>
      </x:c>
    </x:row>
    <x:row r="130" ht="15" customHeight="1">
      <x:c r="A130" s="19" t="n">
        <x:v>128</x:v>
      </x:c>
      <x:c r="B130" s="19" t="str">
        <x:v>Guilt</x:v>
      </x:c>
      <x:c r="C130" s="19" t="str">
        <x:v>Felt guilt</x:v>
      </x:c>
      <x:c r="D130" s="19" t="str">
        <x:v>P3</x:v>
      </x:c>
      <x:c r="E130" s="19" t="str">
        <x:v>Melanie</x:v>
      </x:c>
      <x:c r="F130" s="19" t="str">
        <x:v>felt</x:v>
      </x:c>
      <x:c r="G130" s="19" t="str">
        <x:v>провиниться</x:v>
      </x:c>
      <x:c r="H130" s="28" t="str">
        <x:v>KINÄLI</x:v>
      </x:c>
      <x:c r="I130" s="19" t="n">
        <x:v>1</x:v>
      </x:c>
      <x:c r="J130" s="19" t="n">
        <x:v>1</x:v>
      </x:c>
    </x:row>
    <x:row r="131" ht="15" customHeight="1">
      <x:c r="A131" s="19" t="n">
        <x:v>128</x:v>
      </x:c>
      <x:c r="B131" s="19" t="str">
        <x:v>Guilt</x:v>
      </x:c>
      <x:c r="C131" s="19" t="str">
        <x:v>Felt guilt</x:v>
      </x:c>
      <x:c r="D131" s="19" t="str">
        <x:v>P3</x:v>
      </x:c>
      <x:c r="E131" s="19" t="str">
        <x:v>Scarlett</x:v>
      </x:c>
      <x:c r="F131" s="19" t="str">
        <x:v>felt</x:v>
      </x:c>
      <x:c r="G131" s="19" t="str">
        <x:v>провиниться</x:v>
      </x:c>
      <x:c r="H131" s="28" t="str">
        <x:v>KINÄLI</x:v>
      </x:c>
      <x:c r="I131" s="19" t="n">
        <x:v>0</x:v>
      </x:c>
      <x:c r="J131" s="19" t="n">
        <x:v>1</x:v>
      </x:c>
    </x:row>
    <x:row r="132" ht="15" customHeight="1">
      <x:c r="A132" s="19" t="n">
        <x:v>129</x:v>
      </x:c>
      <x:c r="B132" s="19" t="str">
        <x:v>Guilt</x:v>
      </x:c>
      <x:c r="C132" s="19" t="str">
        <x:v>Felt guilt</x:v>
      </x:c>
      <x:c r="D132" s="19" t="str">
        <x:v>P5</x:v>
      </x:c>
      <x:c r="E132" s="19" t="str">
        <x:v>Mrs Elsing</x:v>
      </x:c>
      <x:c r="F132" s="19" t="str">
        <x:v>felt</x:v>
      </x:c>
      <x:c r="G132" s="19" t="str">
        <x:v>стесняться</x:v>
      </x:c>
      <x:c r="H132" s="28" t="str">
        <x:v>ŪİALU</x:v>
      </x:c>
      <x:c r="I132" s="19" t="n">
        <x:v>1</x:v>
      </x:c>
      <x:c r="J132" s="19" t="n">
        <x:v>0</x:v>
      </x:c>
    </x:row>
    <x:row r="133" ht="15" customHeight="1">
      <x:c r="A133" s="19" t="n">
        <x:v>130</x:v>
      </x:c>
      <x:c r="B133" s="19" t="str">
        <x:v>Guilt</x:v>
      </x:c>
      <x:c r="C133" s="19" t="str">
        <x:v>Felt guilt (guilty conscience)</x:v>
      </x:c>
      <x:c r="D133" s="19" t="str">
        <x:v>P5</x:v>
      </x:c>
      <x:c r="E133" s="19" t="str">
        <x:v>Scarlett</x:v>
      </x:c>
      <x:c r="F133" s="19" t="str">
        <x:v>felt</x:v>
      </x:c>
      <x:c r="G133" s="19" t="str">
        <x:v>совесть</x:v>
      </x:c>
      <x:c r="H133" s="28" t="str">
        <x:v>ŪİAT</x:v>
      </x:c>
      <x:c r="I133" s="19" t="n">
        <x:v>1</x:v>
      </x:c>
      <x:c r="J133" s="19" t="n">
        <x:v>1</x:v>
      </x:c>
    </x:row>
    <x:row r="134" ht="15" customHeight="1">
      <x:c r="A134" s="19" t="n">
        <x:v>131</x:v>
      </x:c>
      <x:c r="B134" s="19" t="str">
        <x:v>Guilt</x:v>
      </x:c>
      <x:c r="C134" s="19" t="str">
        <x:v>Guilt as deed</x:v>
      </x:c>
      <x:c r="D134" s="19" t="str">
        <x:v>P5</x:v>
      </x:c>
      <x:c r="E134" s="19" t="str">
        <x:v>Scarlett</x:v>
      </x:c>
      <x:c r="F134" s="19" t="str">
        <x:v>felt</x:v>
      </x:c>
      <x:c r="G134" s="19" t="str">
        <x:v>виноватый</x:v>
      </x:c>
      <x:c r="H134" s="28" t="str">
        <x:v>KINÄLI</x:v>
      </x:c>
      <x:c r="I134" s="19" t="n">
        <x:v>1</x:v>
      </x:c>
      <x:c r="J134" s="19" t="n">
        <x:v>1</x:v>
      </x:c>
    </x:row>
    <x:row r="135" ht="15" customHeight="1">
      <x:c r="A135" s="19" t="n">
        <x:v>132</x:v>
      </x:c>
      <x:c r="B135" s="19" t="str">
        <x:v>Guilt</x:v>
      </x:c>
      <x:c r="C135" s="19" t="str">
        <x:v>Guilt as deed</x:v>
      </x:c>
      <x:c r="D135" s="19" t="str">
        <x:v>P5</x:v>
      </x:c>
      <x:c r="E135" s="19" t="str">
        <x:v>Scarlett</x:v>
      </x:c>
      <x:c r="F135" s="19" t="str">
        <x:v>felt</x:v>
      </x:c>
      <x:c r="G135" s="19" t="str">
        <x:v>вина</x:v>
      </x:c>
      <x:c r="H135" s="28" t="str">
        <x:v>KINÄ</x:v>
      </x:c>
      <x:c r="I135" s="19" t="n">
        <x:v>1</x:v>
      </x:c>
      <x:c r="J135" s="19" t="n">
        <x:v>1</x:v>
      </x:c>
    </x:row>
    <x:row r="136" ht="15" customHeight="1">
      <x:c r="A136" s="19" t="n">
        <x:v>133</x:v>
      </x:c>
      <x:c r="B136" s="19" t="str">
        <x:v>Guilt</x:v>
      </x:c>
      <x:c r="C136" s="19" t="str">
        <x:v>Guilt as deed</x:v>
      </x:c>
      <x:c r="D136" s="19" t="str">
        <x:v>P5</x:v>
      </x:c>
      <x:c r="E136" s="19" t="str">
        <x:v>Scarlett</x:v>
      </x:c>
      <x:c r="F136" s="19" t="str">
        <x:v>ascribed</x:v>
      </x:c>
      <x:c r="G136" s="19" t="str">
        <x:v>согрешить</x:v>
      </x:c>
      <x:c r="H136" s="28" t="str">
        <x:v>DIN</x:v>
      </x:c>
      <x:c r="I136" s="19" t="n">
        <x:v>1</x:v>
      </x:c>
      <x:c r="J136" s="19" t="n">
        <x:v>1</x:v>
      </x:c>
    </x:row>
    <x:row r="137" ht="15" customHeight="1">
      <x:c r="A137" s="19" t="n">
        <x:v>134</x:v>
      </x:c>
      <x:c r="B137" s="19" t="str">
        <x:v>Guilt</x:v>
      </x:c>
      <x:c r="C137" s="19" t="str">
        <x:v>Guilt as deed</x:v>
      </x:c>
      <x:c r="D137" s="19" t="str">
        <x:v>P5</x:v>
      </x:c>
      <x:c r="E137" s="19" t="str">
        <x:v>Scarlett</x:v>
      </x:c>
      <x:c r="F137" s="19" t="str">
        <x:v>ascribed</x:v>
      </x:c>
      <x:c r="G137" s="19" t="str">
        <x:v>повинный</x:v>
      </x:c>
      <x:c r="H137" s="28" t="str">
        <x:v>BEİKÜNÄ</x:v>
      </x:c>
      <x:c r="I137" s="19" t="n">
        <x:v>1</x:v>
      </x:c>
      <x:c r="J137" s="19" t="n">
        <x:v>1</x:v>
      </x:c>
    </x:row>
    <x:row r="138" ht="15" customHeight="1">
      <x:c r="A138" s="19" t="n">
        <x:v>135</x:v>
      </x:c>
      <x:c r="B138" s="19" t="str">
        <x:v>Guilt</x:v>
      </x:c>
      <x:c r="C138" s="19" t="str">
        <x:v>Guilt as deed</x:v>
      </x:c>
      <x:c r="D138" s="19" t="str">
        <x:v>P2</x:v>
      </x:c>
      <x:c r="E138" s="19" t="str">
        <x:v>Melanie</x:v>
      </x:c>
      <x:c r="F138" s="19" t="str">
        <x:v>ascribed</x:v>
      </x:c>
      <x:c r="G138" s="19" t="str">
        <x:v>нашкодить</x:v>
      </x:c>
      <x:c r="H138" s="28" t="str">
        <x:v>BŪZYQ</x:v>
      </x:c>
      <x:c r="I138" s="19" t="n">
        <x:v>1</x:v>
      </x:c>
      <x:c r="J138" s="19" t="n">
        <x:v>1</x:v>
      </x:c>
    </x:row>
    <x:row r="139" ht="26.25" customHeight="1">
      <x:c r="A139" s="19" t="n">
        <x:v>136</x:v>
      </x:c>
      <x:c r="B139" s="19" t="str">
        <x:v>Conscience</x:v>
      </x:c>
      <x:c r="C139" s="19" t="str">
        <x:v>Internal authority (advisor / opponent)</x:v>
      </x:c>
      <x:c r="D139" s="19" t="str">
        <x:v>P5</x:v>
      </x:c>
      <x:c r="E139" s="19" t="str">
        <x:v>Scarlett</x:v>
      </x:c>
      <x:c r="F139" s="19" t="str">
        <x:v>felt</x:v>
      </x:c>
      <x:c r="G139" s="19" t="str">
        <x:v>совесть</x:v>
      </x:c>
      <x:c r="H139" s="28" t="str">
        <x:v>AR-ŪİAT</x:v>
      </x:c>
      <x:c r="I139" s="19" t="n">
        <x:v>1</x:v>
      </x:c>
      <x:c r="J139" s="19" t="n">
        <x:v>1</x:v>
      </x:c>
    </x:row>
    <x:row r="140" ht="26.25" customHeight="1">
      <x:c r="A140" s="19" t="n">
        <x:v>137</x:v>
      </x:c>
      <x:c r="B140" s="19" t="str">
        <x:v>Conscience</x:v>
      </x:c>
      <x:c r="C140" s="19" t="str">
        <x:v>Internal authority (advisor / opponent)</x:v>
      </x:c>
      <x:c r="D140" s="19" t="str">
        <x:v>P1</x:v>
      </x:c>
      <x:c r="E140" s="19" t="str">
        <x:v>Gerald O’Hara</x:v>
      </x:c>
      <x:c r="F140" s="19" t="str">
        <x:v>felt</x:v>
      </x:c>
      <x:c r="G140" s="19" t="str">
        <x:v>совесть</x:v>
      </x:c>
      <x:c r="H140" s="28" t="str">
        <x:v>AR-ŪİAT</x:v>
      </x:c>
      <x:c r="I140" s="19" t="n">
        <x:v>1</x:v>
      </x:c>
      <x:c r="J140" s="19" t="n">
        <x:v>0</x:v>
      </x:c>
    </x:row>
    <x:row r="141" ht="26.25" customHeight="1">
      <x:c r="A141" s="19" t="n">
        <x:v>138</x:v>
      </x:c>
      <x:c r="B141" s="19" t="str">
        <x:v>Conscience</x:v>
      </x:c>
      <x:c r="C141" s="19" t="str">
        <x:v>Internal authority (advisor / opponent)</x:v>
      </x:c>
      <x:c r="D141" s="19" t="str">
        <x:v>P2</x:v>
      </x:c>
      <x:c r="E141" s="19" t="str">
        <x:v>Scarlett</x:v>
      </x:c>
      <x:c r="F141" s="19" t="str">
        <x:v>felt</x:v>
      </x:c>
      <x:c r="G141" s="19" t="str">
        <x:v>совесть</x:v>
      </x:c>
      <x:c r="H141" s="28" t="str">
        <x:v>AR-OJDAN</x:v>
      </x:c>
      <x:c r="I141" s="19" t="n">
        <x:v>1</x:v>
      </x:c>
      <x:c r="J141" s="19" t="n">
        <x:v>1</x:v>
      </x:c>
    </x:row>
    <x:row r="142" ht="26.25" customHeight="1">
      <x:c r="A142" s="19" t="n">
        <x:v>139</x:v>
      </x:c>
      <x:c r="B142" s="19" t="str">
        <x:v>Conscience</x:v>
      </x:c>
      <x:c r="C142" s="19" t="str">
        <x:v>Internal authority (advisor / opponent)</x:v>
      </x:c>
      <x:c r="D142" s="19" t="str">
        <x:v>P4</x:v>
      </x:c>
      <x:c r="E142" s="19" t="str">
        <x:v>Scarlett</x:v>
      </x:c>
      <x:c r="F142" s="19" t="str">
        <x:v>felt</x:v>
      </x:c>
      <x:c r="G142" s="19" t="str">
        <x:v>совесть</x:v>
      </x:c>
      <x:c r="H142" s="28" t="str">
        <x:v>AR-ŪİAT</x:v>
      </x:c>
      <x:c r="I142" s="19" t="n">
        <x:v>1</x:v>
      </x:c>
      <x:c r="J142" s="19" t="n">
        <x:v>1</x:v>
      </x:c>
    </x:row>
    <x:row r="143" ht="26.25" customHeight="1">
      <x:c r="A143" s="19" t="n">
        <x:v>140</x:v>
      </x:c>
      <x:c r="B143" s="19" t="str">
        <x:v>Conscience</x:v>
      </x:c>
      <x:c r="C143" s="19" t="str">
        <x:v>Internal authority (advisor / opponent)</x:v>
      </x:c>
      <x:c r="D143" s="19" t="str">
        <x:v>P4</x:v>
      </x:c>
      <x:c r="E143" s="19" t="str">
        <x:v>Scarlett</x:v>
      </x:c>
      <x:c r="F143" s="19" t="str">
        <x:v>felt</x:v>
      </x:c>
      <x:c r="G143" s="19" t="str">
        <x:v>совесть</x:v>
      </x:c>
      <x:c r="H143" s="28" t="str">
        <x:v>ŪİAT</x:v>
      </x:c>
      <x:c r="I143" s="19" t="n">
        <x:v>1</x:v>
      </x:c>
      <x:c r="J143" s="19" t="n">
        <x:v>1</x:v>
      </x:c>
    </x:row>
    <x:row r="144" ht="26.25" customHeight="1">
      <x:c r="A144" s="19" t="n">
        <x:v>141</x:v>
      </x:c>
      <x:c r="B144" s="19" t="str">
        <x:v>Conscience</x:v>
      </x:c>
      <x:c r="C144" s="19" t="str">
        <x:v>Internal authority (advisor / opponent)</x:v>
      </x:c>
      <x:c r="D144" s="19" t="str">
        <x:v>P4</x:v>
      </x:c>
      <x:c r="E144" s="19" t="str">
        <x:v>Scarlett</x:v>
      </x:c>
      <x:c r="F144" s="19" t="str">
        <x:v>spoken</x:v>
      </x:c>
      <x:c r="G144" s="19" t="str">
        <x:v>совесть</x:v>
      </x:c>
      <x:c r="H144" s="28" t="str">
        <x:v>ŪİAT</x:v>
      </x:c>
      <x:c r="I144" s="19" t="n">
        <x:v>1</x:v>
      </x:c>
      <x:c r="J144" s="19" t="n">
        <x:v>1</x:v>
      </x:c>
    </x:row>
    <x:row r="145" ht="26.25" customHeight="1">
      <x:c r="A145" s="19" t="n">
        <x:v>142</x:v>
      </x:c>
      <x:c r="B145" s="19" t="str">
        <x:v>Conscience</x:v>
      </x:c>
      <x:c r="C145" s="19" t="str">
        <x:v>Internal authority (advisor / opponent)</x:v>
      </x:c>
      <x:c r="D145" s="19" t="str">
        <x:v>P5</x:v>
      </x:c>
      <x:c r="E145" s="19" t="str">
        <x:v>Scarlett</x:v>
      </x:c>
      <x:c r="F145" s="19" t="str">
        <x:v>spoken</x:v>
      </x:c>
      <x:c r="G145" s="19" t="str">
        <x:v>совесть</x:v>
      </x:c>
      <x:c r="H145" s="28" t="str">
        <x:v>AR-ŪİAT</x:v>
      </x:c>
      <x:c r="I145" s="19" t="n">
        <x:v>1</x:v>
      </x:c>
      <x:c r="J145" s="19" t="n">
        <x:v>1</x:v>
      </x:c>
    </x:row>
    <x:row r="146" ht="26.25" customHeight="1">
      <x:c r="A146" s="19" t="n">
        <x:v>143</x:v>
      </x:c>
      <x:c r="B146" s="19" t="str">
        <x:v>Conscience</x:v>
      </x:c>
      <x:c r="C146" s="19" t="str">
        <x:v>Internal authority (advisor / opponent)</x:v>
      </x:c>
      <x:c r="D146" s="19" t="str">
        <x:v>P2</x:v>
      </x:c>
      <x:c r="E146" s="19" t="str">
        <x:v>Aunt Pitty</x:v>
      </x:c>
      <x:c r="F146" s="19" t="str">
        <x:v>felt</x:v>
      </x:c>
      <x:c r="G146" s="19" t="str">
        <x:v>сомнение</x:v>
      </x:c>
      <x:c r="H146" s="28" t="str">
        <x:v>KÜMÄN</x:v>
      </x:c>
      <x:c r="I146" s="19" t="n">
        <x:v>1</x:v>
      </x:c>
      <x:c r="J146" s="19" t="n">
        <x:v>0</x:v>
      </x:c>
    </x:row>
    <x:row r="147" ht="26.25" customHeight="1">
      <x:c r="A147" s="19" t="n">
        <x:v>144</x:v>
      </x:c>
      <x:c r="B147" s="19" t="str">
        <x:v>Conscience</x:v>
      </x:c>
      <x:c r="C147" s="19" t="str">
        <x:v>Internal authority (advisor / opponent)</x:v>
      </x:c>
      <x:c r="D147" s="19" t="str">
        <x:v>P4</x:v>
      </x:c>
      <x:c r="E147" s="19" t="str">
        <x:v>Frank Kennedy</x:v>
      </x:c>
      <x:c r="F147" s="19" t="str">
        <x:v>felt</x:v>
      </x:c>
      <x:c r="G147" s="19" t="str">
        <x:v>совесть</x:v>
      </x:c>
      <x:c r="H147" s="28" t="str">
        <x:v>ŪİAT</x:v>
      </x:c>
      <x:c r="I147" s="19" t="n">
        <x:v>1</x:v>
      </x:c>
      <x:c r="J147" s="19" t="n">
        <x:v>0</x:v>
      </x:c>
    </x:row>
    <x:row r="148" ht="26.25" customHeight="1">
      <x:c r="A148" s="19" t="n">
        <x:v>145</x:v>
      </x:c>
      <x:c r="B148" s="19" t="str">
        <x:v>Conscience</x:v>
      </x:c>
      <x:c r="C148" s="19" t="str">
        <x:v>Absent reaction</x:v>
      </x:c>
      <x:c r="D148" s="19" t="str">
        <x:v>P4</x:v>
      </x:c>
      <x:c r="E148" s="19" t="str">
        <x:v>Mammy</x:v>
      </x:c>
      <x:c r="F148" s="19" t="str">
        <x:v>felt</x:v>
      </x:c>
      <x:c r="G148" s="19" t="str">
        <x:v>сознание</x:v>
      </x:c>
      <x:c r="H148" s="19" t="str">
        <x:v>[paraphrase / no single-word equivalent]</x:v>
      </x:c>
      <x:c r="I148" s="19" t="n">
        <x:v>1</x:v>
      </x:c>
      <x:c r="J148" s="19" t="n">
        <x:v>0</x:v>
      </x:c>
    </x:row>
    <x:row r="149" ht="15" customHeight="1">
      <x:c r="A149" s="19" t="n">
        <x:v>146</x:v>
      </x:c>
      <x:c r="B149" s="19" t="str">
        <x:v>Conscience</x:v>
      </x:c>
      <x:c r="C149" s="19" t="str">
        <x:v>Dormant / waking creature</x:v>
      </x:c>
      <x:c r="D149" s="19" t="str">
        <x:v>P2</x:v>
      </x:c>
      <x:c r="E149" s="19" t="str">
        <x:v>Scarlett</x:v>
      </x:c>
      <x:c r="F149" s="19" t="str">
        <x:v>felt</x:v>
      </x:c>
      <x:c r="G149" s="19" t="str">
        <x:v>совесть</x:v>
      </x:c>
      <x:c r="H149" s="28" t="str">
        <x:v>ŪİALU</x:v>
      </x:c>
      <x:c r="I149" s="19" t="n">
        <x:v>1</x:v>
      </x:c>
      <x:c r="J149" s="19" t="n">
        <x:v>1</x:v>
      </x:c>
    </x:row>
    <x:row r="150" ht="15" customHeight="1">
      <x:c r="A150" s="19" t="n">
        <x:v>147</x:v>
      </x:c>
      <x:c r="B150" s="19" t="str">
        <x:v>Conscience</x:v>
      </x:c>
      <x:c r="C150" s="19" t="str">
        <x:v>General faculty</x:v>
      </x:c>
      <x:c r="D150" s="19" t="str">
        <x:v>P4</x:v>
      </x:c>
      <x:c r="E150" s="19" t="str">
        <x:v>Scarlett</x:v>
      </x:c>
      <x:c r="F150" s="19" t="str">
        <x:v>felt</x:v>
      </x:c>
      <x:c r="G150" s="19" t="str">
        <x:v>совесть</x:v>
      </x:c>
      <x:c r="H150" s="28" t="str">
        <x:v>ŪİAT</x:v>
      </x:c>
      <x:c r="I150" s="19" t="n">
        <x:v>1</x:v>
      </x:c>
      <x:c r="J150" s="19" t="n">
        <x:v>1</x:v>
      </x:c>
    </x:row>
    <x:row r="151" ht="15" customHeight="1">
      <x:c r="A151" s="19" t="n">
        <x:v>148</x:v>
      </x:c>
      <x:c r="B151" s="19" t="str">
        <x:v>Conscience</x:v>
      </x:c>
      <x:c r="C151" s="19" t="str">
        <x:v>Dormant / waking creature</x:v>
      </x:c>
      <x:c r="D151" s="19" t="str">
        <x:v>P4</x:v>
      </x:c>
      <x:c r="E151" s="19" t="str">
        <x:v>Scarlett</x:v>
      </x:c>
      <x:c r="F151" s="19" t="str">
        <x:v>ascribed</x:v>
      </x:c>
      <x:c r="G151" s="19" t="str">
        <x:v>совесть</x:v>
      </x:c>
      <x:c r="H151" s="28" t="str">
        <x:v>ŪİAT</x:v>
      </x:c>
      <x:c r="I151" s="19" t="n">
        <x:v>1</x:v>
      </x:c>
      <x:c r="J151" s="19" t="n">
        <x:v>1</x:v>
      </x:c>
    </x:row>
    <x:row r="152" ht="15" customHeight="1">
      <x:c r="A152" s="19" t="n">
        <x:v>149</x:v>
      </x:c>
      <x:c r="B152" s="19" t="str">
        <x:v>Conscience</x:v>
      </x:c>
      <x:c r="C152" s="19" t="str">
        <x:v>Dormant / waking creature</x:v>
      </x:c>
      <x:c r="D152" s="19" t="str">
        <x:v>P5</x:v>
      </x:c>
      <x:c r="E152" s="19" t="str">
        <x:v>Scarlett</x:v>
      </x:c>
      <x:c r="F152" s="19" t="str">
        <x:v>felt</x:v>
      </x:c>
      <x:c r="G152" s="19" t="str">
        <x:v>совесть</x:v>
      </x:c>
      <x:c r="H152" s="28" t="str">
        <x:v>AR-ŪİAT</x:v>
      </x:c>
      <x:c r="I152" s="19" t="n">
        <x:v>1</x:v>
      </x:c>
      <x:c r="J152" s="19" t="n">
        <x:v>1</x:v>
      </x:c>
    </x:row>
    <x:row r="153" ht="15" customHeight="1">
      <x:c r="A153" s="19" t="n">
        <x:v>150</x:v>
      </x:c>
      <x:c r="B153" s="19" t="str">
        <x:v>Conscience</x:v>
      </x:c>
      <x:c r="C153" s="19" t="str">
        <x:v>Object (stretchable)</x:v>
      </x:c>
      <x:c r="D153" s="19" t="str">
        <x:v>P3</x:v>
      </x:c>
      <x:c r="E153" s="19" t="str">
        <x:v>Scarlett</x:v>
      </x:c>
      <x:c r="F153" s="19" t="str">
        <x:v>spoken</x:v>
      </x:c>
      <x:c r="G153" s="19" t="str">
        <x:v>совесть</x:v>
      </x:c>
      <x:c r="H153" s="28" t="str">
        <x:v>AR-ŪİAT</x:v>
      </x:c>
      <x:c r="I153" s="19" t="n">
        <x:v>1</x:v>
      </x:c>
      <x:c r="J153" s="19" t="n">
        <x:v>1</x:v>
      </x:c>
    </x:row>
    <x:row r="154" ht="15" customHeight="1">
      <x:c r="A154" s="19" t="n">
        <x:v>151</x:v>
      </x:c>
      <x:c r="B154" s="19" t="str">
        <x:v>Conscience</x:v>
      </x:c>
      <x:c r="C154" s="19" t="str">
        <x:v>Resource</x:v>
      </x:c>
      <x:c r="D154" s="19" t="str">
        <x:v>P4</x:v>
      </x:c>
      <x:c r="E154" s="19" t="str">
        <x:v>Scarlett</x:v>
      </x:c>
      <x:c r="F154" s="19" t="str">
        <x:v>ascribed</x:v>
      </x:c>
      <x:c r="G154" s="19" t="str">
        <x:v>совесть</x:v>
      </x:c>
      <x:c r="H154" s="28" t="str">
        <x:v>ŪİAT</x:v>
      </x:c>
      <x:c r="I154" s="19" t="n">
        <x:v>1</x:v>
      </x:c>
      <x:c r="J154" s="19" t="n">
        <x:v>1</x:v>
      </x:c>
    </x:row>
    <x:row r="155" ht="15" customHeight="1">
      <x:c r="A155" s="19" t="n">
        <x:v>152</x:v>
      </x:c>
      <x:c r="B155" s="19" t="str">
        <x:v>Conscience</x:v>
      </x:c>
      <x:c r="C155" s="19" t="str">
        <x:v>Object (clean / unclean)</x:v>
      </x:c>
      <x:c r="D155" s="19" t="str">
        <x:v>P1</x:v>
      </x:c>
      <x:c r="E155" s="19" t="str">
        <x:v>Scarlett</x:v>
      </x:c>
      <x:c r="F155" s="19" t="str">
        <x:v>felt</x:v>
      </x:c>
      <x:c r="G155" s="19" t="str">
        <x:v>совесть</x:v>
      </x:c>
      <x:c r="H155" s="28" t="str">
        <x:v>AR-OJDAN</x:v>
      </x:c>
      <x:c r="I155" s="19" t="n">
        <x:v>1</x:v>
      </x:c>
      <x:c r="J155" s="19" t="n">
        <x:v>1</x:v>
      </x:c>
    </x:row>
    <x:row r="156" ht="15" customHeight="1">
      <x:c r="A156" s="19" t="n">
        <x:v>153</x:v>
      </x:c>
      <x:c r="B156" s="19" t="str">
        <x:v>Conscience</x:v>
      </x:c>
      <x:c r="C156" s="19" t="str">
        <x:v>Tormentor / punisher</x:v>
      </x:c>
      <x:c r="D156" s="19" t="str">
        <x:v>P5</x:v>
      </x:c>
      <x:c r="E156" s="19" t="str">
        <x:v>Scarlett</x:v>
      </x:c>
      <x:c r="F156" s="19" t="str">
        <x:v>spoken</x:v>
      </x:c>
      <x:c r="G156" s="19" t="str">
        <x:v>совесть</x:v>
      </x:c>
      <x:c r="H156" s="28" t="str">
        <x:v>AR-ŪİAT</x:v>
      </x:c>
      <x:c r="I156" s="19" t="n">
        <x:v>1</x:v>
      </x:c>
      <x:c r="J156" s="19" t="n">
        <x:v>1</x:v>
      </x:c>
    </x:row>
    <x:row r="157" ht="15" customHeight="1">
      <x:c r="A157" s="19" t="n">
        <x:v>154</x:v>
      </x:c>
      <x:c r="B157" s="19" t="str">
        <x:v>Conscience</x:v>
      </x:c>
      <x:c r="C157" s="19" t="str">
        <x:v>Tormentor / punisher</x:v>
      </x:c>
      <x:c r="D157" s="19" t="str">
        <x:v>P2</x:v>
      </x:c>
      <x:c r="E157" s="19" t="str">
        <x:v>Scarlett</x:v>
      </x:c>
      <x:c r="F157" s="19" t="str">
        <x:v>felt</x:v>
      </x:c>
      <x:c r="G157" s="19" t="str">
        <x:v>совесть</x:v>
      </x:c>
      <x:c r="H157" s="28" t="str">
        <x:v>AR-OJDAN</x:v>
      </x:c>
      <x:c r="I157" s="19" t="n">
        <x:v>1</x:v>
      </x:c>
      <x:c r="J157" s="19" t="n">
        <x:v>1</x:v>
      </x:c>
    </x:row>
    <x:row r="158" ht="15" customHeight="1">
      <x:c r="A158" s="19" t="n">
        <x:v>155</x:v>
      </x:c>
      <x:c r="B158" s="19" t="str">
        <x:v>Conscience</x:v>
      </x:c>
      <x:c r="C158" s="19" t="str">
        <x:v>Tormentor / punisher</x:v>
      </x:c>
      <x:c r="D158" s="19" t="str">
        <x:v>P2</x:v>
      </x:c>
      <x:c r="E158" s="19" t="str">
        <x:v>Scarlett</x:v>
      </x:c>
      <x:c r="F158" s="19" t="str">
        <x:v>felt</x:v>
      </x:c>
      <x:c r="G158" s="19" t="str">
        <x:v>совесть</x:v>
      </x:c>
      <x:c r="H158" s="28" t="str">
        <x:v>AR-OJDAN</x:v>
      </x:c>
      <x:c r="I158" s="19" t="n">
        <x:v>1</x:v>
      </x:c>
      <x:c r="J158" s="19" t="n">
        <x:v>1</x:v>
      </x:c>
    </x:row>
    <x:row r="159" ht="15" customHeight="1">
      <x:c r="A159" s="19" t="n">
        <x:v>156</x:v>
      </x:c>
      <x:c r="B159" s="19" t="str">
        <x:v>Conscience</x:v>
      </x:c>
      <x:c r="C159" s="19" t="str">
        <x:v>Tormentor / punisher</x:v>
      </x:c>
      <x:c r="D159" s="19" t="str">
        <x:v>P3</x:v>
      </x:c>
      <x:c r="E159" s="19" t="str">
        <x:v>Scarlett</x:v>
      </x:c>
      <x:c r="F159" s="19" t="str">
        <x:v>felt</x:v>
      </x:c>
      <x:c r="G159" s="19" t="str">
        <x:v>угрызения совести:</x:v>
      </x:c>
      <x:c r="H159" s="28" t="str">
        <x:v>ŪİALU</x:v>
      </x:c>
      <x:c r="I159" s="19" t="n">
        <x:v>1</x:v>
      </x:c>
      <x:c r="J159" s="19" t="n">
        <x:v>1</x:v>
      </x:c>
    </x:row>
    <x:row r="160" ht="15" customHeight="1">
      <x:c r="A160" s="19" t="n">
        <x:v>157</x:v>
      </x:c>
      <x:c r="B160" s="19" t="str">
        <x:v>Conscience</x:v>
      </x:c>
      <x:c r="C160" s="19" t="str">
        <x:v>Tormentor / punisher</x:v>
      </x:c>
      <x:c r="D160" s="19" t="str">
        <x:v>P3</x:v>
      </x:c>
      <x:c r="E160" s="19" t="str">
        <x:v>Scarlett</x:v>
      </x:c>
      <x:c r="F160" s="19" t="str">
        <x:v>ascribed</x:v>
      </x:c>
      <x:c r="G160" s="19" t="str">
        <x:v>совесть</x:v>
      </x:c>
      <x:c r="H160" s="28" t="str">
        <x:v>AR-OJDAN</x:v>
      </x:c>
      <x:c r="I160" s="19" t="n">
        <x:v>1</x:v>
      </x:c>
      <x:c r="J160" s="19" t="n">
        <x:v>1</x:v>
      </x:c>
    </x:row>
    <x:row r="161" ht="15" customHeight="1">
      <x:c r="A161" s="19" t="n">
        <x:v>158</x:v>
      </x:c>
      <x:c r="B161" s="19" t="str">
        <x:v>Conscience</x:v>
      </x:c>
      <x:c r="C161" s="19" t="str">
        <x:v>Tormentor / punisher</x:v>
      </x:c>
      <x:c r="D161" s="19" t="str">
        <x:v>P5</x:v>
      </x:c>
      <x:c r="E161" s="19" t="str">
        <x:v>Scarlett</x:v>
      </x:c>
      <x:c r="F161" s="19" t="str">
        <x:v>felt</x:v>
      </x:c>
      <x:c r="G161" s="19" t="str">
        <x:v>совесть</x:v>
      </x:c>
      <x:c r="H161" s="28" t="str">
        <x:v>ŪİAT</x:v>
      </x:c>
      <x:c r="I161" s="19" t="n">
        <x:v>1</x:v>
      </x:c>
      <x:c r="J161" s="19" t="n">
        <x:v>1</x:v>
      </x:c>
    </x:row>
    <x:row r="162" ht="26.25" customHeight="1">
      <x:c r="A162" s="19" t="n">
        <x:v>159</x:v>
      </x:c>
      <x:c r="B162" s="19" t="str">
        <x:v>Conscience</x:v>
      </x:c>
      <x:c r="C162" s="19" t="str">
        <x:v>Tormentor / punisher</x:v>
      </x:c>
      <x:c r="D162" s="19" t="str">
        <x:v>P5</x:v>
      </x:c>
      <x:c r="E162" s="19" t="str">
        <x:v>Melanie</x:v>
      </x:c>
      <x:c r="F162" s="19" t="str">
        <x:v>felt</x:v>
      </x:c>
      <x:c r="G162" s="19" t="str">
        <x:v>засовеститься</x:v>
      </x:c>
      <x:c r="H162" s="19" t="str">
        <x:v>[paraphrase / no single-word equivalent]</x:v>
      </x:c>
      <x:c r="I162" s="19" t="n">
        <x:v>1</x:v>
      </x:c>
      <x:c r="J162" s="19" t="n">
        <x:v>1</x:v>
      </x:c>
    </x:row>
    <x:row r="163" ht="26.25" customHeight="1">
      <x:c r="A163" s="19" t="n">
        <x:v>160</x:v>
      </x:c>
      <x:c r="B163" s="19" t="str">
        <x:v>Conscience</x:v>
      </x:c>
      <x:c r="C163" s="19" t="str">
        <x:v>Internal authority (judge)</x:v>
      </x:c>
      <x:c r="D163" s="19" t="str">
        <x:v>P3</x:v>
      </x:c>
      <x:c r="E163" s="19" t="str">
        <x:v>Scarlett</x:v>
      </x:c>
      <x:c r="F163" s="19" t="str">
        <x:v>felt</x:v>
      </x:c>
      <x:c r="G163" s="19" t="str">
        <x:v>[paraphrase / no single-word equivalent]</x:v>
      </x:c>
      <x:c r="H163" s="19" t="str">
        <x:v>[paraphrase / no single-word equivalent]</x:v>
      </x:c>
      <x:c r="I163" s="19" t="n">
        <x:v>1</x:v>
      </x:c>
      <x:c r="J163" s="19" t="n">
        <x:v>1</x:v>
      </x:c>
    </x:row>
    <x:row r="164" ht="15" customHeight="1">
      <x:c r="A164" s="19" t="n">
        <x:v>161</x:v>
      </x:c>
      <x:c r="B164" s="19" t="str">
        <x:v>Conscience</x:v>
      </x:c>
      <x:c r="C164" s="19" t="str">
        <x:v>Pained body part</x:v>
      </x:c>
      <x:c r="D164" s="19" t="str">
        <x:v>P1</x:v>
      </x:c>
      <x:c r="E164" s="19" t="str">
        <x:v>Scarlett</x:v>
      </x:c>
      <x:c r="F164" s="19" t="str">
        <x:v>felt</x:v>
      </x:c>
      <x:c r="G164" s="19" t="str">
        <x:v>совесть</x:v>
      </x:c>
      <x:c r="H164" s="28" t="str">
        <x:v>AR-OJDAN</x:v>
      </x:c>
      <x:c r="I164" s="19" t="n">
        <x:v>1</x:v>
      </x:c>
      <x:c r="J164" s="19" t="n">
        <x:v>1</x:v>
      </x:c>
    </x:row>
    <x:row r="165" ht="15" customHeight="1">
      <x:c r="A165" s="19" t="n">
        <x:v>162</x:v>
      </x:c>
      <x:c r="B165" s="19" t="str">
        <x:v>Conscience</x:v>
      </x:c>
      <x:c r="C165" s="19" t="str">
        <x:v>Pained body part</x:v>
      </x:c>
      <x:c r="D165" s="19" t="str">
        <x:v>P2</x:v>
      </x:c>
      <x:c r="E165" s="19" t="str">
        <x:v>Scarlett</x:v>
      </x:c>
      <x:c r="F165" s="19" t="str">
        <x:v>felt</x:v>
      </x:c>
      <x:c r="G165" s="19" t="str">
        <x:v>совесть</x:v>
      </x:c>
      <x:c r="H165" s="28" t="str">
        <x:v>AR</x:v>
      </x:c>
      <x:c r="I165" s="19" t="n">
        <x:v>1</x:v>
      </x:c>
      <x:c r="J165" s="19" t="n">
        <x:v>1</x:v>
      </x:c>
    </x:row>
    <x:row r="166" ht="26.25" customHeight="1">
      <x:c r="A166" s="19" t="n">
        <x:v>163</x:v>
      </x:c>
      <x:c r="B166" s="19" t="str">
        <x:v>Conscience</x:v>
      </x:c>
      <x:c r="C166" s="19" t="str">
        <x:v>Weight</x:v>
      </x:c>
      <x:c r="D166" s="19" t="str">
        <x:v>P4</x:v>
      </x:c>
      <x:c r="E166" s="19" t="str">
        <x:v>Scarlett</x:v>
      </x:c>
      <x:c r="F166" s="19" t="str">
        <x:v>felt</x:v>
      </x:c>
      <x:c r="G166" s="19" t="str">
        <x:v>чувство вины</x:v>
      </x:c>
      <x:c r="H166" s="28" t="str">
        <x:v>KINÄLI</x:v>
      </x:c>
      <x:c r="I166" s="19" t="n">
        <x:v>1</x:v>
      </x:c>
      <x:c r="J166" s="19" t="n">
        <x:v>1</x:v>
      </x:c>
    </x:row>
    <x:row r="167" ht="15" customHeight="1">
      <x:c r="A167" s="19" t="n">
        <x:v>164</x:v>
      </x:c>
      <x:c r="B167" s="19" t="str">
        <x:v>Conscience</x:v>
      </x:c>
      <x:c r="C167" s="19" t="str">
        <x:v>Weight</x:v>
      </x:c>
      <x:c r="D167" s="19" t="str">
        <x:v>P4</x:v>
      </x:c>
      <x:c r="E167" s="19" t="str">
        <x:v>Scarlett</x:v>
      </x:c>
      <x:c r="F167" s="19" t="str">
        <x:v>felt</x:v>
      </x:c>
      <x:c r="G167" s="19" t="str">
        <x:v>принизить</x:v>
      </x:c>
      <x:c r="H167" s="28" t="str">
        <x:v>AR</x:v>
      </x:c>
      <x:c r="I167" s="19" t="n">
        <x:v>1</x:v>
      </x:c>
      <x:c r="J167" s="19" t="n">
        <x:v>1</x:v>
      </x:c>
    </x:row>
    <x:row r="168" ht="15" customHeight="1">
      <x:c r="A168" s="19" t="n">
        <x:v>165</x:v>
      </x:c>
      <x:c r="B168" s="19" t="str">
        <x:v>Conscience</x:v>
      </x:c>
      <x:c r="C168" s="19" t="str">
        <x:v>Weight</x:v>
      </x:c>
      <x:c r="D168" s="19" t="str">
        <x:v>P5</x:v>
      </x:c>
      <x:c r="E168" s="19" t="str">
        <x:v>Scarlett</x:v>
      </x:c>
      <x:c r="F168" s="19" t="str">
        <x:v>ascribed</x:v>
      </x:c>
      <x:c r="G168" s="19" t="str">
        <x:v>совесть</x:v>
      </x:c>
      <x:c r="H168" s="28" t="str">
        <x:v>ŪİAT</x:v>
      </x:c>
      <x:c r="I168" s="19" t="n">
        <x:v>1</x:v>
      </x:c>
      <x:c r="J168" s="19" t="n">
        <x:v>1</x:v>
      </x:c>
    </x:row>
    <x:row r="169" ht="15" customHeight="1">
      <x:c r="A169" s="19" t="n">
        <x:v>166</x:v>
      </x:c>
      <x:c r="B169" s="19" t="str">
        <x:v>Conscience</x:v>
      </x:c>
      <x:c r="C169" s="19" t="str">
        <x:v>Weight</x:v>
      </x:c>
      <x:c r="D169" s="19" t="str">
        <x:v>P4</x:v>
      </x:c>
      <x:c r="E169" s="19" t="str">
        <x:v>Frank Kennedy</x:v>
      </x:c>
      <x:c r="F169" s="19" t="str">
        <x:v>spoken</x:v>
      </x:c>
      <x:c r="G169" s="19" t="str">
        <x:v>совесть</x:v>
      </x:c>
      <x:c r="H169" s="28" t="str">
        <x:v>ŪİAT</x:v>
      </x:c>
      <x:c r="I169" s="19" t="n">
        <x:v>1</x:v>
      </x:c>
      <x:c r="J169" s="19" t="n">
        <x:v>0</x:v>
      </x:c>
    </x:row>
    <x:row r="170" ht="15" customHeight="1">
      <x:c r="A170" s="19" t="n">
        <x:v>167</x:v>
      </x:c>
      <x:c r="B170" s="19" t="str">
        <x:v>Conscience</x:v>
      </x:c>
      <x:c r="C170" s="19" t="str">
        <x:v>Absent reaction</x:v>
      </x:c>
      <x:c r="D170" s="19" t="str">
        <x:v>P3</x:v>
      </x:c>
      <x:c r="E170" s="19" t="str">
        <x:v>Scarlett</x:v>
      </x:c>
      <x:c r="F170" s="19" t="str">
        <x:v>felt</x:v>
      </x:c>
      <x:c r="G170" s="19" t="str">
        <x:v>угрызение</x:v>
      </x:c>
      <x:c r="H170" s="28" t="str">
        <x:v>ŪİALU</x:v>
      </x:c>
      <x:c r="I170" s="19" t="n">
        <x:v>1</x:v>
      </x:c>
      <x:c r="J170" s="19" t="n">
        <x:v>1</x:v>
      </x:c>
    </x:row>
    <x:row r="171" ht="15" customHeight="1">
      <x:c r="A171" s="19" t="n">
        <x:v>168</x:v>
      </x:c>
      <x:c r="B171" s="19" t="str">
        <x:v>Conscience</x:v>
      </x:c>
      <x:c r="C171" s="19" t="str">
        <x:v>Absent reaction</x:v>
      </x:c>
      <x:c r="D171" s="19" t="str">
        <x:v>P4</x:v>
      </x:c>
      <x:c r="E171" s="19" t="str">
        <x:v>Scarlett</x:v>
      </x:c>
      <x:c r="F171" s="19" t="str">
        <x:v>felt</x:v>
      </x:c>
      <x:c r="G171" s="19" t="str">
        <x:v>совесть</x:v>
      </x:c>
      <x:c r="H171" s="28" t="str">
        <x:v>ŪİAT</x:v>
      </x:c>
      <x:c r="I171" s="19" t="n">
        <x:v>1</x:v>
      </x:c>
      <x:c r="J171" s="19" t="n">
        <x:v>1</x:v>
      </x:c>
    </x:row>
    <x:row r="172" ht="15" customHeight="1">
      <x:c r="A172" s="19" t="n">
        <x:v>169</x:v>
      </x:c>
      <x:c r="B172" s="19" t="str">
        <x:v>Conscience</x:v>
      </x:c>
      <x:c r="C172" s="19" t="str">
        <x:v>Absent reaction</x:v>
      </x:c>
      <x:c r="D172" s="19" t="str">
        <x:v>P4</x:v>
      </x:c>
      <x:c r="E172" s="19" t="str">
        <x:v>Scarlett</x:v>
      </x:c>
      <x:c r="F172" s="19" t="str">
        <x:v>felt</x:v>
      </x:c>
      <x:c r="G172" s="19" t="str">
        <x:v>совесть</x:v>
      </x:c>
      <x:c r="H172" s="28" t="str">
        <x:v>ŪİAT</x:v>
      </x:c>
      <x:c r="I172" s="19" t="n">
        <x:v>1</x:v>
      </x:c>
      <x:c r="J172" s="19" t="n">
        <x:v>1</x:v>
      </x:c>
    </x:row>
    <x:row r="173" ht="15" customHeight="1">
      <x:c r="A173" s="19" t="n">
        <x:v>170</x:v>
      </x:c>
      <x:c r="B173" s="19" t="str">
        <x:v>Conscience</x:v>
      </x:c>
      <x:c r="C173" s="19" t="str">
        <x:v>Absent reaction</x:v>
      </x:c>
      <x:c r="D173" s="19" t="str">
        <x:v>P4</x:v>
      </x:c>
      <x:c r="E173" s="19" t="str">
        <x:v>Rhett</x:v>
      </x:c>
      <x:c r="F173" s="19" t="str">
        <x:v>spoken</x:v>
      </x:c>
      <x:c r="G173" s="19" t="str">
        <x:v>совесть</x:v>
      </x:c>
      <x:c r="H173" s="28" t="str">
        <x:v>AR</x:v>
      </x:c>
      <x:c r="I173" s="19" t="n">
        <x:v>1</x:v>
      </x:c>
      <x:c r="J173" s="19" t="n">
        <x:v>1</x:v>
      </x:c>
    </x:row>
    <x:row r="174" ht="15" customHeight="1">
      <x:c r="A174" s="19" t="n">
        <x:v>171</x:v>
      </x:c>
      <x:c r="B174" s="19" t="str">
        <x:v>Conscience</x:v>
      </x:c>
      <x:c r="C174" s="19" t="str">
        <x:v>Absent reaction</x:v>
      </x:c>
      <x:c r="D174" s="19" t="str">
        <x:v>P4</x:v>
      </x:c>
      <x:c r="E174" s="19" t="str">
        <x:v>Scarlett</x:v>
      </x:c>
      <x:c r="F174" s="19" t="str">
        <x:v>felt</x:v>
      </x:c>
      <x:c r="G174" s="19" t="str">
        <x:v>совесть</x:v>
      </x:c>
      <x:c r="H174" s="28" t="str">
        <x:v>JÜREK</x:v>
      </x:c>
      <x:c r="I174" s="19" t="n">
        <x:v>1</x:v>
      </x:c>
      <x:c r="J174" s="19" t="n">
        <x:v>1</x:v>
      </x:c>
    </x:row>
    <x:row r="175" ht="15" customHeight="1">
      <x:c r="A175" s="19" t="n">
        <x:v>172</x:v>
      </x:c>
      <x:c r="B175" s="19" t="str">
        <x:v>Conscience</x:v>
      </x:c>
      <x:c r="C175" s="19" t="str">
        <x:v>Absent reaction</x:v>
      </x:c>
      <x:c r="D175" s="19" t="str">
        <x:v>P5</x:v>
      </x:c>
      <x:c r="E175" s="19" t="str">
        <x:v>Scarlett</x:v>
      </x:c>
      <x:c r="F175" s="19" t="str">
        <x:v>felt</x:v>
      </x:c>
      <x:c r="G175" s="19" t="str">
        <x:v>совесть</x:v>
      </x:c>
      <x:c r="H175" s="28" t="str">
        <x:v>AR-ŪİAT</x:v>
      </x:c>
      <x:c r="I175" s="19" t="n">
        <x:v>1</x:v>
      </x:c>
      <x:c r="J175" s="19" t="n">
        <x:v>1</x:v>
      </x:c>
    </x:row>
    <x:row r="176" ht="15" customHeight="1">
      <x:c r="A176" s="19" t="n">
        <x:v>173</x:v>
      </x:c>
      <x:c r="B176" s="19" t="str">
        <x:v>Conscience</x:v>
      </x:c>
      <x:c r="C176" s="19" t="str">
        <x:v>Absent reaction</x:v>
      </x:c>
      <x:c r="D176" s="19" t="str">
        <x:v>P4</x:v>
      </x:c>
      <x:c r="E176" s="19" t="str">
        <x:v>Rhett</x:v>
      </x:c>
      <x:c r="F176" s="19" t="str">
        <x:v>spoken</x:v>
      </x:c>
      <x:c r="G176" s="19" t="str">
        <x:v>совесть</x:v>
      </x:c>
      <x:c r="H176" s="28" t="str">
        <x:v>ŪİALU</x:v>
      </x:c>
      <x:c r="I176" s="19" t="n">
        <x:v>1</x:v>
      </x:c>
      <x:c r="J176" s="19" t="n">
        <x:v>1</x:v>
      </x:c>
    </x:row>
    <x:row r="177" ht="15" customHeight="1">
      <x:c r="A177" s="19" t="n">
        <x:v>174</x:v>
      </x:c>
      <x:c r="B177" s="19" t="str">
        <x:v>Conscience</x:v>
      </x:c>
      <x:c r="C177" s="19" t="str">
        <x:v>General faculty</x:v>
      </x:c>
      <x:c r="D177" s="19" t="str">
        <x:v>P4</x:v>
      </x:c>
      <x:c r="E177" s="19" t="str">
        <x:v>Scarlett</x:v>
      </x:c>
      <x:c r="F177" s="19" t="str">
        <x:v>ascribed</x:v>
      </x:c>
      <x:c r="G177" s="19" t="str">
        <x:v>совесть</x:v>
      </x:c>
      <x:c r="H177" s="28" t="str">
        <x:v>AR</x:v>
      </x:c>
      <x:c r="I177" s="19" t="n">
        <x:v>1</x:v>
      </x:c>
      <x:c r="J177" s="19" t="n">
        <x:v>1</x:v>
      </x:c>
    </x:row>
    <x:row r="178" ht="15" customHeight="1">
      <x:c r="A178" s="19" t="n">
        <x:v>175</x:v>
      </x:c>
      <x:c r="B178" s="19" t="str">
        <x:v>Honor</x:v>
      </x:c>
      <x:c r="C178" s="19" t="str">
        <x:v>Moral code</x:v>
      </x:c>
      <x:c r="D178" s="19" t="str">
        <x:v>P4</x:v>
      </x:c>
      <x:c r="E178" s="19" t="str">
        <x:v>Ashley</x:v>
      </x:c>
      <x:c r="F178" s="19" t="str">
        <x:v>spoken</x:v>
      </x:c>
      <x:c r="G178" s="19" t="str">
        <x:v>честь</x:v>
      </x:c>
      <x:c r="H178" s="28" t="str">
        <x:v>AR-ŪİAT</x:v>
      </x:c>
      <x:c r="I178" s="19" t="n">
        <x:v>1</x:v>
      </x:c>
      <x:c r="J178" s="19" t="n">
        <x:v>1</x:v>
      </x:c>
    </x:row>
    <x:row r="179" ht="15" customHeight="1">
      <x:c r="A179" s="19" t="n">
        <x:v>176</x:v>
      </x:c>
      <x:c r="B179" s="19" t="str">
        <x:v>Honor</x:v>
      </x:c>
      <x:c r="C179" s="19" t="str">
        <x:v>Moral code</x:v>
      </x:c>
      <x:c r="D179" s="19" t="str">
        <x:v>P4</x:v>
      </x:c>
      <x:c r="E179" s="19" t="str">
        <x:v>Ashley</x:v>
      </x:c>
      <x:c r="F179" s="19" t="str">
        <x:v>felt</x:v>
      </x:c>
      <x:c r="G179" s="19" t="str">
        <x:v>честь</x:v>
      </x:c>
      <x:c r="H179" s="28" t="str">
        <x:v>AR-OJDAN</x:v>
      </x:c>
      <x:c r="I179" s="19" t="n">
        <x:v>1</x:v>
      </x:c>
      <x:c r="J179" s="19" t="n">
        <x:v>1</x:v>
      </x:c>
    </x:row>
    <x:row r="180" ht="15" customHeight="1">
      <x:c r="A180" s="19" t="n">
        <x:v>177</x:v>
      </x:c>
      <x:c r="B180" s="19" t="str">
        <x:v>Honor</x:v>
      </x:c>
      <x:c r="C180" s="19" t="str">
        <x:v>Moral code</x:v>
      </x:c>
      <x:c r="D180" s="19" t="str">
        <x:v>P5</x:v>
      </x:c>
      <x:c r="E180" s="19" t="str">
        <x:v>Ashley</x:v>
      </x:c>
      <x:c r="F180" s="19" t="str">
        <x:v>felt</x:v>
      </x:c>
      <x:c r="G180" s="19" t="str">
        <x:v>честь</x:v>
      </x:c>
      <x:c r="H180" s="28" t="str">
        <x:v>AR-NAMYS</x:v>
      </x:c>
      <x:c r="I180" s="19" t="n">
        <x:v>1</x:v>
      </x:c>
      <x:c r="J180" s="19" t="n">
        <x:v>1</x:v>
      </x:c>
    </x:row>
    <x:row r="181" ht="15" customHeight="1">
      <x:c r="A181" s="19" t="n">
        <x:v>178</x:v>
      </x:c>
      <x:c r="B181" s="19" t="str">
        <x:v>Honor</x:v>
      </x:c>
      <x:c r="C181" s="19" t="str">
        <x:v>Nobility of character</x:v>
      </x:c>
      <x:c r="D181" s="19" t="str">
        <x:v>P5</x:v>
      </x:c>
      <x:c r="E181" s="19" t="str">
        <x:v>Melanie</x:v>
      </x:c>
      <x:c r="F181" s="19" t="str">
        <x:v>ascribed</x:v>
      </x:c>
      <x:c r="G181" s="19" t="str">
        <x:v>благородство</x:v>
      </x:c>
      <x:c r="H181" s="28" t="str">
        <x:v>JANYNYÑ ASYLDYĞY, PÄKTIGI</x:v>
      </x:c>
      <x:c r="I181" s="19" t="n">
        <x:v>1</x:v>
      </x:c>
      <x:c r="J181" s="19" t="n">
        <x:v>1</x:v>
      </x:c>
    </x:row>
    <x:row r="182" ht="26.25" customHeight="1">
      <x:c r="A182" s="19" t="n">
        <x:v>179</x:v>
      </x:c>
      <x:c r="B182" s="19" t="str">
        <x:v>Honor</x:v>
      </x:c>
      <x:c r="C182" s="19" t="str">
        <x:v>Moral code</x:v>
      </x:c>
      <x:c r="D182" s="19" t="str">
        <x:v>P4</x:v>
      </x:c>
      <x:c r="E182" s="19" t="str">
        <x:v>Ashley</x:v>
      </x:c>
      <x:c r="F182" s="19" t="str">
        <x:v>spoken</x:v>
      </x:c>
      <x:c r="G182" s="19" t="str">
        <x:v>бесчестный</x:v>
      </x:c>
      <x:c r="H182" s="19" t="str">
        <x:v>[paraphrase / no single-word equivalent]</x:v>
      </x:c>
      <x:c r="I182" s="19" t="n">
        <x:v>1</x:v>
      </x:c>
      <x:c r="J182" s="19" t="n">
        <x:v>1</x:v>
      </x:c>
    </x:row>
    <x:row r="183" ht="15" customHeight="1">
      <x:c r="A183" s="19" t="n">
        <x:v>180</x:v>
      </x:c>
      <x:c r="B183" s="19" t="str">
        <x:v>Honor</x:v>
      </x:c>
      <x:c r="C183" s="19" t="str">
        <x:v>Moral code</x:v>
      </x:c>
      <x:c r="D183" s="19" t="str">
        <x:v>P2</x:v>
      </x:c>
      <x:c r="E183" s="19" t="str">
        <x:v>Scarlett</x:v>
      </x:c>
      <x:c r="F183" s="19" t="str">
        <x:v>felt</x:v>
      </x:c>
      <x:c r="G183" s="19" t="str">
        <x:v>порядочность</x:v>
      </x:c>
      <x:c r="H183" s="28" t="str">
        <x:v>AR-ŪİAT</x:v>
      </x:c>
      <x:c r="I183" s="19" t="n">
        <x:v>1</x:v>
      </x:c>
      <x:c r="J183" s="19" t="n">
        <x:v>1</x:v>
      </x:c>
    </x:row>
    <x:row r="184" ht="15" customHeight="1">
      <x:c r="A184" s="19" t="n">
        <x:v>181</x:v>
      </x:c>
      <x:c r="B184" s="19" t="str">
        <x:v>Honor</x:v>
      </x:c>
      <x:c r="C184" s="19" t="str">
        <x:v>Moral code</x:v>
      </x:c>
      <x:c r="D184" s="19" t="str">
        <x:v>P3</x:v>
      </x:c>
      <x:c r="E184" s="19" t="str">
        <x:v>Scarlett</x:v>
      </x:c>
      <x:c r="F184" s="19" t="str">
        <x:v>felt</x:v>
      </x:c>
      <x:c r="G184" s="19" t="str">
        <x:v>, честной, правдивой</x:v>
      </x:c>
      <x:c r="H184" s="28" t="str">
        <x:v>ŞYNŞYL, ADAL</x:v>
      </x:c>
      <x:c r="I184" s="19" t="n">
        <x:v>1</x:v>
      </x:c>
      <x:c r="J184" s="19" t="n">
        <x:v>1</x:v>
      </x:c>
    </x:row>
    <x:row r="185" ht="15" customHeight="1">
      <x:c r="A185" s="19" t="n">
        <x:v>182</x:v>
      </x:c>
      <x:c r="B185" s="19" t="str">
        <x:v>Honor</x:v>
      </x:c>
      <x:c r="C185" s="19" t="str">
        <x:v>Moral code</x:v>
      </x:c>
      <x:c r="D185" s="19" t="str">
        <x:v>P4</x:v>
      </x:c>
      <x:c r="E185" s="19" t="str">
        <x:v>Ellen</x:v>
      </x:c>
      <x:c r="F185" s="19" t="str">
        <x:v>felt</x:v>
      </x:c>
      <x:c r="G185" s="19" t="str">
        <x:v>честь</x:v>
      </x:c>
      <x:c r="H185" s="28" t="str">
        <x:v>AR-OJDAN</x:v>
      </x:c>
      <x:c r="I185" s="19" t="n">
        <x:v>1</x:v>
      </x:c>
      <x:c r="J185" s="19" t="n">
        <x:v>0</x:v>
      </x:c>
    </x:row>
    <x:row r="186" ht="15" customHeight="1">
      <x:c r="A186" s="19" t="n">
        <x:v>183</x:v>
      </x:c>
      <x:c r="B186" s="19" t="str">
        <x:v>Honor</x:v>
      </x:c>
      <x:c r="C186" s="19" t="str">
        <x:v>Moral code</x:v>
      </x:c>
      <x:c r="D186" s="19" t="str">
        <x:v>P4</x:v>
      </x:c>
      <x:c r="E186" s="19" t="str">
        <x:v>Scarlett</x:v>
      </x:c>
      <x:c r="F186" s="19" t="str">
        <x:v>ascribed</x:v>
      </x:c>
      <x:c r="G186" s="19" t="str">
        <x:v>честный</x:v>
      </x:c>
      <x:c r="H186" s="28" t="str">
        <x:v>ADAL</x:v>
      </x:c>
      <x:c r="I186" s="19" t="n">
        <x:v>1</x:v>
      </x:c>
      <x:c r="J186" s="19" t="n">
        <x:v>1</x:v>
      </x:c>
    </x:row>
    <x:row r="187" ht="15" customHeight="1">
      <x:c r="A187" s="19" t="n">
        <x:v>184</x:v>
      </x:c>
      <x:c r="B187" s="19" t="str">
        <x:v>Honor</x:v>
      </x:c>
      <x:c r="C187" s="19" t="str">
        <x:v>Moral code</x:v>
      </x:c>
      <x:c r="D187" s="19" t="str">
        <x:v>P4</x:v>
      </x:c>
      <x:c r="E187" s="19" t="str">
        <x:v>Scarlett</x:v>
      </x:c>
      <x:c r="F187" s="19" t="str">
        <x:v>ascribed</x:v>
      </x:c>
      <x:c r="G187" s="19" t="str">
        <x:v>честь</x:v>
      </x:c>
      <x:c r="H187" s="28" t="str">
        <x:v>AR</x:v>
      </x:c>
      <x:c r="I187" s="19" t="n">
        <x:v>1</x:v>
      </x:c>
      <x:c r="J187" s="19" t="n">
        <x:v>1</x:v>
      </x:c>
    </x:row>
    <x:row r="188" ht="15" customHeight="1">
      <x:c r="A188" s="19" t="n">
        <x:v>185</x:v>
      </x:c>
      <x:c r="B188" s="19" t="str">
        <x:v>Honor</x:v>
      </x:c>
      <x:c r="C188" s="19" t="str">
        <x:v>Moral code</x:v>
      </x:c>
      <x:c r="D188" s="19" t="str">
        <x:v>P4</x:v>
      </x:c>
      <x:c r="E188" s="19" t="str">
        <x:v>Scarlett</x:v>
      </x:c>
      <x:c r="F188" s="19" t="str">
        <x:v>ascribed</x:v>
      </x:c>
      <x:c r="G188" s="19" t="str">
        <x:v>честь</x:v>
      </x:c>
      <x:c r="H188" s="28" t="str">
        <x:v>AR-ŪİAT</x:v>
      </x:c>
      <x:c r="I188" s="19" t="n">
        <x:v>1</x:v>
      </x:c>
      <x:c r="J188" s="19" t="n">
        <x:v>1</x:v>
      </x:c>
    </x:row>
    <x:row r="189" ht="15" customHeight="1">
      <x:c r="A189" s="19" t="n">
        <x:v>186</x:v>
      </x:c>
      <x:c r="B189" s="19" t="str">
        <x:v>Honor</x:v>
      </x:c>
      <x:c r="C189" s="19" t="str">
        <x:v>Moral code</x:v>
      </x:c>
      <x:c r="D189" s="19" t="str">
        <x:v>P4</x:v>
      </x:c>
      <x:c r="E189" s="19" t="str">
        <x:v>Ashley</x:v>
      </x:c>
      <x:c r="F189" s="19" t="str">
        <x:v>ascribed</x:v>
      </x:c>
      <x:c r="G189" s="19" t="str">
        <x:v>благородный</x:v>
      </x:c>
      <x:c r="H189" s="28" t="str">
        <x:v>ASYL</x:v>
      </x:c>
      <x:c r="I189" s="19" t="n">
        <x:v>1</x:v>
      </x:c>
      <x:c r="J189" s="19" t="n">
        <x:v>1</x:v>
      </x:c>
    </x:row>
    <x:row r="190" ht="15" customHeight="1">
      <x:c r="A190" s="19" t="n">
        <x:v>187</x:v>
      </x:c>
      <x:c r="B190" s="19" t="str">
        <x:v>Honor</x:v>
      </x:c>
      <x:c r="C190" s="19" t="str">
        <x:v>Moral code</x:v>
      </x:c>
      <x:c r="D190" s="19" t="str">
        <x:v>P4</x:v>
      </x:c>
      <x:c r="E190" s="19" t="str">
        <x:v>Ashley</x:v>
      </x:c>
      <x:c r="F190" s="19" t="str">
        <x:v>ascribed</x:v>
      </x:c>
      <x:c r="G190" s="19" t="str">
        <x:v>уважать</x:v>
      </x:c>
      <x:c r="H190" s="28" t="str">
        <x:v>QŪRMETTI</x:v>
      </x:c>
      <x:c r="I190" s="19" t="n">
        <x:v>1</x:v>
      </x:c>
      <x:c r="J190" s="19" t="n">
        <x:v>1</x:v>
      </x:c>
    </x:row>
    <x:row r="191" ht="15" customHeight="1">
      <x:c r="A191" s="19" t="n">
        <x:v>188</x:v>
      </x:c>
      <x:c r="B191" s="19" t="str">
        <x:v>Honor</x:v>
      </x:c>
      <x:c r="C191" s="19" t="str">
        <x:v>Moral code</x:v>
      </x:c>
      <x:c r="D191" s="19" t="str">
        <x:v>P4</x:v>
      </x:c>
      <x:c r="E191" s="19" t="str">
        <x:v>Ashley</x:v>
      </x:c>
      <x:c r="F191" s="19" t="str">
        <x:v>ascribed</x:v>
      </x:c>
      <x:c r="G191" s="19" t="str">
        <x:v>уважать</x:v>
      </x:c>
      <x:c r="H191" s="28" t="str">
        <x:v>QŪRMETTI</x:v>
      </x:c>
      <x:c r="I191" s="19" t="n">
        <x:v>1</x:v>
      </x:c>
      <x:c r="J191" s="19" t="n">
        <x:v>1</x:v>
      </x:c>
    </x:row>
    <x:row r="192" ht="26.25" customHeight="1">
      <x:c r="A192" s="19" t="n">
        <x:v>189</x:v>
      </x:c>
      <x:c r="B192" s="19" t="str">
        <x:v>Honor</x:v>
      </x:c>
      <x:c r="C192" s="19" t="str">
        <x:v>Moral code</x:v>
      </x:c>
      <x:c r="D192" s="19" t="str">
        <x:v>P4</x:v>
      </x:c>
      <x:c r="E192" s="19" t="str">
        <x:v>Ashley</x:v>
      </x:c>
      <x:c r="F192" s="19" t="str">
        <x:v>felt</x:v>
      </x:c>
      <x:c r="G192" s="19" t="str">
        <x:v>благородный</x:v>
      </x:c>
      <x:c r="H192" s="19" t="str">
        <x:v>[paraphrase / no single-word equivalent]</x:v>
      </x:c>
      <x:c r="I192" s="19" t="n">
        <x:v>1</x:v>
      </x:c>
      <x:c r="J192" s="19" t="n">
        <x:v>1</x:v>
      </x:c>
    </x:row>
    <x:row r="193" ht="15" customHeight="1">
      <x:c r="A193" s="19" t="n">
        <x:v>190</x:v>
      </x:c>
      <x:c r="B193" s="19" t="str">
        <x:v>Honor</x:v>
      </x:c>
      <x:c r="C193" s="19" t="str">
        <x:v>Moral code</x:v>
      </x:c>
      <x:c r="D193" s="19" t="str">
        <x:v>P4</x:v>
      </x:c>
      <x:c r="E193" s="19" t="str">
        <x:v>Ashley</x:v>
      </x:c>
      <x:c r="F193" s="19" t="str">
        <x:v>felt</x:v>
      </x:c>
      <x:c r="G193" s="19" t="str">
        <x:v>порядочность</x:v>
      </x:c>
      <x:c r="H193" s="28" t="str">
        <x:v>ÄDEPTILIK</x:v>
      </x:c>
      <x:c r="I193" s="19" t="n">
        <x:v>1</x:v>
      </x:c>
      <x:c r="J193" s="19" t="n">
        <x:v>1</x:v>
      </x:c>
    </x:row>
    <x:row r="194" ht="15" customHeight="1">
      <x:c r="A194" s="19" t="n">
        <x:v>191</x:v>
      </x:c>
      <x:c r="B194" s="19" t="str">
        <x:v>Honor</x:v>
      </x:c>
      <x:c r="C194" s="19" t="str">
        <x:v>Moral code</x:v>
      </x:c>
      <x:c r="D194" s="19" t="str">
        <x:v>P5</x:v>
      </x:c>
      <x:c r="E194" s="19" t="str">
        <x:v>Rhett</x:v>
      </x:c>
      <x:c r="F194" s="19" t="str">
        <x:v>spoken</x:v>
      </x:c>
      <x:c r="G194" s="19" t="str">
        <x:v>честь</x:v>
      </x:c>
      <x:c r="H194" s="28" t="str">
        <x:v>AR-NAMYS</x:v>
      </x:c>
      <x:c r="I194" s="19" t="n">
        <x:v>1</x:v>
      </x:c>
      <x:c r="J194" s="19" t="n">
        <x:v>1</x:v>
      </x:c>
    </x:row>
    <x:row r="195" ht="15" customHeight="1">
      <x:c r="A195" s="19" t="n">
        <x:v>192</x:v>
      </x:c>
      <x:c r="B195" s="19" t="str">
        <x:v>Honor</x:v>
      </x:c>
      <x:c r="C195" s="19" t="str">
        <x:v>Moral code</x:v>
      </x:c>
      <x:c r="D195" s="19" t="str">
        <x:v>P4</x:v>
      </x:c>
      <x:c r="E195" s="19" t="str">
        <x:v>Scarlett</x:v>
      </x:c>
      <x:c r="F195" s="19" t="str">
        <x:v>spoken</x:v>
      </x:c>
      <x:c r="G195" s="19" t="str">
        <x:v>бесчестный</x:v>
      </x:c>
      <x:c r="H195" s="28" t="str">
        <x:v>ÄDILETSIZ</x:v>
      </x:c>
      <x:c r="I195" s="19" t="n">
        <x:v>1</x:v>
      </x:c>
      <x:c r="J195" s="19" t="n">
        <x:v>1</x:v>
      </x:c>
    </x:row>
    <x:row r="196" ht="15" customHeight="1">
      <x:c r="A196" s="19" t="n">
        <x:v>193</x:v>
      </x:c>
      <x:c r="B196" s="19" t="str">
        <x:v>Honor</x:v>
      </x:c>
      <x:c r="C196" s="19" t="str">
        <x:v>Reputation / standing</x:v>
      </x:c>
      <x:c r="D196" s="19" t="str">
        <x:v>P5</x:v>
      </x:c>
      <x:c r="E196" s="19" t="str">
        <x:v>Scarlett</x:v>
      </x:c>
      <x:c r="F196" s="19" t="str">
        <x:v>felt</x:v>
      </x:c>
      <x:c r="G196" s="19" t="str">
        <x:v>честь</x:v>
      </x:c>
      <x:c r="H196" s="28" t="str">
        <x:v>ADAL AR</x:v>
      </x:c>
      <x:c r="I196" s="19" t="n">
        <x:v>1</x:v>
      </x:c>
      <x:c r="J196" s="19" t="n">
        <x:v>1</x:v>
      </x:c>
    </x:row>
    <x:row r="197" ht="15" customHeight="1">
      <x:c r="A197" s="19" t="n">
        <x:v>194</x:v>
      </x:c>
      <x:c r="B197" s="19" t="str">
        <x:v>Honor</x:v>
      </x:c>
      <x:c r="C197" s="19" t="str">
        <x:v>Moral code</x:v>
      </x:c>
      <x:c r="D197" s="19" t="str">
        <x:v>P3</x:v>
      </x:c>
      <x:c r="E197" s="19" t="str">
        <x:v>Ashley</x:v>
      </x:c>
      <x:c r="F197" s="19" t="str">
        <x:v>ascribed</x:v>
      </x:c>
      <x:c r="G197" s="19" t="str">
        <x:v>благородный</x:v>
      </x:c>
      <x:c r="H197" s="28" t="str">
        <x:v>BEKZAT BOLMYSTYÑ ASQAQ TABİĞATY</x:v>
      </x:c>
      <x:c r="I197" s="19" t="n">
        <x:v>1</x:v>
      </x:c>
      <x:c r="J197" s="19" t="n">
        <x:v>1</x:v>
      </x:c>
    </x:row>
    <x:row r="198" ht="15" customHeight="1">
      <x:c r="A198" s="19" t="n">
        <x:v>195</x:v>
      </x:c>
      <x:c r="B198" s="19" t="str">
        <x:v>Honor</x:v>
      </x:c>
      <x:c r="C198" s="19" t="str">
        <x:v>Moral code</x:v>
      </x:c>
      <x:c r="D198" s="19" t="str">
        <x:v>P4</x:v>
      </x:c>
      <x:c r="E198" s="19" t="str">
        <x:v>Ashley</x:v>
      </x:c>
      <x:c r="F198" s="19" t="str">
        <x:v>felt</x:v>
      </x:c>
      <x:c r="G198" s="19" t="str">
        <x:v>честь</x:v>
      </x:c>
      <x:c r="H198" s="28" t="str">
        <x:v>ABYROİ</x:v>
      </x:c>
      <x:c r="I198" s="19" t="n">
        <x:v>1</x:v>
      </x:c>
      <x:c r="J198" s="19" t="n">
        <x:v>1</x:v>
      </x:c>
    </x:row>
    <x:row r="199" ht="15" customHeight="1">
      <x:c r="A199" s="19" t="n">
        <x:v>196</x:v>
      </x:c>
      <x:c r="B199" s="19" t="str">
        <x:v>Honor</x:v>
      </x:c>
      <x:c r="C199" s="19" t="str">
        <x:v>Moral code</x:v>
      </x:c>
      <x:c r="D199" s="19" t="str">
        <x:v>P4</x:v>
      </x:c>
      <x:c r="E199" s="19" t="str">
        <x:v>Rhett</x:v>
      </x:c>
      <x:c r="F199" s="19" t="str">
        <x:v>spoken</x:v>
      </x:c>
      <x:c r="G199" s="19" t="str">
        <x:v>честь</x:v>
      </x:c>
      <x:c r="H199" s="28" t="str">
        <x:v>AR-ŪİAT</x:v>
      </x:c>
      <x:c r="I199" s="19" t="n">
        <x:v>1</x:v>
      </x:c>
      <x:c r="J199" s="19" t="n">
        <x:v>1</x:v>
      </x:c>
    </x:row>
    <x:row r="200" ht="15" customHeight="1">
      <x:c r="A200" s="19" t="n">
        <x:v>197</x:v>
      </x:c>
      <x:c r="B200" s="19" t="str">
        <x:v>Honor</x:v>
      </x:c>
      <x:c r="C200" s="19" t="str">
        <x:v>Moral code</x:v>
      </x:c>
      <x:c r="D200" s="19" t="str">
        <x:v>P4</x:v>
      </x:c>
      <x:c r="E200" s="19" t="str">
        <x:v>Ashley</x:v>
      </x:c>
      <x:c r="F200" s="19" t="str">
        <x:v>spoken</x:v>
      </x:c>
      <x:c r="G200" s="19" t="str">
        <x:v>честь</x:v>
      </x:c>
      <x:c r="H200" s="28" t="str">
        <x:v>AR-ŪİAT</x:v>
      </x:c>
      <x:c r="I200" s="19" t="n">
        <x:v>1</x:v>
      </x:c>
      <x:c r="J200" s="19" t="n">
        <x:v>1</x:v>
      </x:c>
    </x:row>
    <x:row r="201" ht="15" customHeight="1">
      <x:c r="A201" s="19" t="n">
        <x:v>198</x:v>
      </x:c>
      <x:c r="B201" s="19" t="str">
        <x:v>Honor</x:v>
      </x:c>
      <x:c r="C201" s="19" t="str">
        <x:v>Moral code</x:v>
      </x:c>
      <x:c r="D201" s="19" t="str">
        <x:v>P4</x:v>
      </x:c>
      <x:c r="E201" s="19" t="str">
        <x:v>Ashley</x:v>
      </x:c>
      <x:c r="F201" s="19" t="str">
        <x:v>spoken</x:v>
      </x:c>
      <x:c r="G201" s="19" t="str">
        <x:v>честь</x:v>
      </x:c>
      <x:c r="H201" s="28" t="str">
        <x:v>AR-OJDAN</x:v>
      </x:c>
      <x:c r="I201" s="19" t="n">
        <x:v>1</x:v>
      </x:c>
      <x:c r="J201" s="19" t="n">
        <x:v>1</x:v>
      </x:c>
    </x:row>
    <x:row r="202" ht="15" customHeight="1">
      <x:c r="A202" s="19" t="n">
        <x:v>199</x:v>
      </x:c>
      <x:c r="B202" s="19" t="str">
        <x:v>Honor</x:v>
      </x:c>
      <x:c r="C202" s="19" t="str">
        <x:v>Moral code</x:v>
      </x:c>
      <x:c r="D202" s="19" t="str">
        <x:v>P5</x:v>
      </x:c>
      <x:c r="E202" s="19" t="str">
        <x:v>Ashley</x:v>
      </x:c>
      <x:c r="F202" s="19" t="str">
        <x:v>ascribed</x:v>
      </x:c>
      <x:c r="G202" s="19" t="str">
        <x:v>благородный</x:v>
      </x:c>
      <x:c r="H202" s="28" t="str">
        <x:v>BEKZAT ADAM</x:v>
      </x:c>
      <x:c r="I202" s="19" t="n">
        <x:v>1</x:v>
      </x:c>
      <x:c r="J202" s="19" t="n">
        <x:v>1</x:v>
      </x:c>
    </x:row>
    <x:row r="203" ht="26.25" customHeight="1">
      <x:c r="A203" s="19" t="n">
        <x:v>200</x:v>
      </x:c>
      <x:c r="B203" s="19" t="str">
        <x:v>Honor</x:v>
      </x:c>
      <x:c r="C203" s="19" t="str">
        <x:v>Moral code</x:v>
      </x:c>
      <x:c r="D203" s="19" t="str">
        <x:v>P5</x:v>
      </x:c>
      <x:c r="E203" s="19" t="str">
        <x:v>Ashley</x:v>
      </x:c>
      <x:c r="F203" s="19" t="str">
        <x:v>ascribed</x:v>
      </x:c>
      <x:c r="G203" s="19" t="str">
        <x:v>благородный</x:v>
      </x:c>
      <x:c r="H203" s="19" t="str">
        <x:v>BAĞA JETPES BAILYQ</x:v>
      </x:c>
      <x:c r="I203" s="19" t="n">
        <x:v>1</x:v>
      </x:c>
      <x:c r="J203" s="19" t="n">
        <x:v>1</x:v>
      </x:c>
    </x:row>
    <x:row r="204" ht="15" customHeight="1">
      <x:c r="A204" s="19" t="n">
        <x:v>201</x:v>
      </x:c>
      <x:c r="B204" s="19" t="str">
        <x:v>Honor</x:v>
      </x:c>
      <x:c r="C204" s="19" t="str">
        <x:v>Moral code</x:v>
      </x:c>
      <x:c r="D204" s="19" t="str">
        <x:v>P5</x:v>
      </x:c>
      <x:c r="E204" s="19" t="str">
        <x:v>Ashley</x:v>
      </x:c>
      <x:c r="F204" s="19" t="str">
        <x:v>ascribed</x:v>
      </x:c>
      <x:c r="G204" s="19" t="str">
        <x:v>честь</x:v>
      </x:c>
      <x:c r="H204" s="28" t="str">
        <x:v>AR-ŪİAT</x:v>
      </x:c>
      <x:c r="I204" s="19" t="n">
        <x:v>1</x:v>
      </x:c>
      <x:c r="J204" s="19" t="n">
        <x:v>1</x:v>
      </x:c>
    </x:row>
    <x:row r="205" ht="26.25" customHeight="1">
      <x:c r="A205" s="19" t="n">
        <x:v>202</x:v>
      </x:c>
      <x:c r="B205" s="19" t="str">
        <x:v>Honor</x:v>
      </x:c>
      <x:c r="C205" s="19" t="str">
        <x:v>Moral code</x:v>
      </x:c>
      <x:c r="D205" s="19" t="str">
        <x:v>P5</x:v>
      </x:c>
      <x:c r="E205" s="19" t="str">
        <x:v>Ashley</x:v>
      </x:c>
      <x:c r="F205" s="19" t="str">
        <x:v>spoken</x:v>
      </x:c>
      <x:c r="G205" s="19" t="str">
        <x:v>понятие</x:v>
      </x:c>
      <x:c r="H205" s="19" t="str">
        <x:v>TŪMANDY SEZIM</x:v>
      </x:c>
      <x:c r="I205" s="19" t="n">
        <x:v>1</x:v>
      </x:c>
      <x:c r="J205" s="19" t="n">
        <x:v>1</x:v>
      </x:c>
    </x:row>
    <x:row r="206" ht="15" customHeight="1">
      <x:c r="A206" s="19" t="n">
        <x:v>203</x:v>
      </x:c>
      <x:c r="B206" s="19" t="str">
        <x:v>Honor</x:v>
      </x:c>
      <x:c r="C206" s="19" t="str">
        <x:v>Moral code</x:v>
      </x:c>
      <x:c r="D206" s="19" t="str">
        <x:v>P5</x:v>
      </x:c>
      <x:c r="E206" s="19" t="str">
        <x:v>Ashley</x:v>
      </x:c>
      <x:c r="F206" s="19" t="str">
        <x:v>spoken</x:v>
      </x:c>
      <x:c r="G206" s="19" t="str">
        <x:v>о правде, и о чести,</x:v>
      </x:c>
      <x:c r="H206" s="28" t="str">
        <x:v>AR-ŪİAT</x:v>
      </x:c>
      <x:c r="I206" s="19" t="n">
        <x:v>1</x:v>
      </x:c>
      <x:c r="J206" s="19" t="n">
        <x:v>1</x:v>
      </x:c>
    </x:row>
    <x:row r="207" ht="15" customHeight="1">
      <x:c r="A207" s="19" t="n">
        <x:v>204</x:v>
      </x:c>
      <x:c r="B207" s="19" t="str">
        <x:v>Honor</x:v>
      </x:c>
      <x:c r="C207" s="19" t="str">
        <x:v>Reputation / standing</x:v>
      </x:c>
      <x:c r="D207" s="19" t="str">
        <x:v>P4</x:v>
      </x:c>
      <x:c r="E207" s="19" t="str">
        <x:v>Rhett</x:v>
      </x:c>
      <x:c r="F207" s="19" t="str">
        <x:v>felt</x:v>
      </x:c>
      <x:c r="G207" s="19" t="str">
        <x:v>благородный</x:v>
      </x:c>
      <x:c r="H207" s="28" t="str">
        <x:v>ADAMGERŞILIK</x:v>
      </x:c>
      <x:c r="I207" s="19" t="n">
        <x:v>1</x:v>
      </x:c>
      <x:c r="J207" s="19" t="n">
        <x:v>1</x:v>
      </x:c>
    </x:row>
    <x:row r="208" ht="26.25" customHeight="1">
      <x:c r="A208" s="19" t="n">
        <x:v>205</x:v>
      </x:c>
      <x:c r="B208" s="19" t="str">
        <x:v>Honor</x:v>
      </x:c>
      <x:c r="C208" s="19" t="str">
        <x:v>Reputation / standing</x:v>
      </x:c>
      <x:c r="D208" s="19" t="str">
        <x:v>P1</x:v>
      </x:c>
      <x:c r="E208" s="19" t="str">
        <x:v>Community / South</x:v>
      </x:c>
      <x:c r="F208" s="19" t="str">
        <x:v>felt</x:v>
      </x:c>
      <x:c r="G208" s="19" t="str">
        <x:v>без малейшего ущемления своей гордости.</x:v>
      </x:c>
      <x:c r="H208" s="19" t="str">
        <x:v>KEMSITUŞILIK PEN QYSYM</x:v>
      </x:c>
      <x:c r="I208" s="19" t="n">
        <x:v>1</x:v>
      </x:c>
      <x:c r="J208" s="19" t="n">
        <x:v>0</x:v>
      </x:c>
    </x:row>
    <x:row r="209" ht="26.25" customHeight="1">
      <x:c r="A209" s="19" t="n">
        <x:v>206</x:v>
      </x:c>
      <x:c r="B209" s="19" t="str">
        <x:v>Honor</x:v>
      </x:c>
      <x:c r="C209" s="19" t="str">
        <x:v>Reputation / standing</x:v>
      </x:c>
      <x:c r="D209" s="19" t="str">
        <x:v>P1</x:v>
      </x:c>
      <x:c r="E209" s="19" t="str">
        <x:v>Community / South</x:v>
      </x:c>
      <x:c r="F209" s="19" t="str">
        <x:v>felt</x:v>
      </x:c>
      <x:c r="G209" s="19" t="str">
        <x:v>карточные долги</x:v>
      </x:c>
      <x:c r="H209" s="19" t="str">
        <x:v>QŪMAR OIYNDAR BOIYNŞA QARYZ</x:v>
      </x:c>
      <x:c r="I209" s="19" t="n">
        <x:v>1</x:v>
      </x:c>
      <x:c r="J209" s="19" t="n">
        <x:v>0</x:v>
      </x:c>
    </x:row>
    <x:row r="210" ht="26.25" customHeight="1">
      <x:c r="A210" s="19" t="n">
        <x:v>207</x:v>
      </x:c>
      <x:c r="B210" s="19" t="str">
        <x:v>Honor</x:v>
      </x:c>
      <x:c r="C210" s="19" t="str">
        <x:v>Reputation / standing</x:v>
      </x:c>
      <x:c r="D210" s="19" t="str">
        <x:v>P4</x:v>
      </x:c>
      <x:c r="E210" s="19" t="str">
        <x:v>Community / South</x:v>
      </x:c>
      <x:c r="F210" s="19" t="str">
        <x:v>felt</x:v>
      </x:c>
      <x:c r="G210" s="19" t="str">
        <x:v>честь</x:v>
      </x:c>
      <x:c r="H210" s="28" t="str">
        <x:v>AR</x:v>
      </x:c>
      <x:c r="I210" s="19" t="n">
        <x:v>1</x:v>
      </x:c>
      <x:c r="J210" s="19" t="n">
        <x:v>0</x:v>
      </x:c>
    </x:row>
    <x:row r="211" ht="26.25" customHeight="1">
      <x:c r="A211" s="19" t="n">
        <x:v>208</x:v>
      </x:c>
      <x:c r="B211" s="19" t="str">
        <x:v>Honor</x:v>
      </x:c>
      <x:c r="C211" s="19" t="str">
        <x:v>Reputation / standing</x:v>
      </x:c>
      <x:c r="D211" s="19" t="str">
        <x:v>P4</x:v>
      </x:c>
      <x:c r="E211" s="19" t="str">
        <x:v>Community / South</x:v>
      </x:c>
      <x:c r="F211" s="19" t="str">
        <x:v>felt</x:v>
      </x:c>
      <x:c r="G211" s="19" t="str">
        <x:v>позор</x:v>
      </x:c>
      <x:c r="H211" s="28" t="str">
        <x:v>KÜİE</x:v>
      </x:c>
      <x:c r="I211" s="19" t="n">
        <x:v>1</x:v>
      </x:c>
      <x:c r="J211" s="19" t="n">
        <x:v>0</x:v>
      </x:c>
    </x:row>
    <x:row r="212" ht="15" customHeight="1">
      <x:c r="A212" s="19" t="n">
        <x:v>209</x:v>
      </x:c>
      <x:c r="B212" s="19" t="str">
        <x:v>Honor</x:v>
      </x:c>
      <x:c r="C212" s="19" t="str">
        <x:v>Reputation / standing</x:v>
      </x:c>
      <x:c r="D212" s="19" t="str">
        <x:v>P4</x:v>
      </x:c>
      <x:c r="E212" s="19" t="str">
        <x:v>Scarlett</x:v>
      </x:c>
      <x:c r="F212" s="19" t="str">
        <x:v>felt</x:v>
      </x:c>
      <x:c r="G212" s="19" t="str">
        <x:v>соображение</x:v>
      </x:c>
      <x:c r="H212" s="28" t="str">
        <x:v>AR</x:v>
      </x:c>
      <x:c r="I212" s="19" t="n">
        <x:v>1</x:v>
      </x:c>
      <x:c r="J212" s="19" t="n">
        <x:v>1</x:v>
      </x:c>
    </x:row>
    <x:row r="213" ht="15" customHeight="1">
      <x:c r="A213" s="19" t="n">
        <x:v>210</x:v>
      </x:c>
      <x:c r="B213" s="19" t="str">
        <x:v>Honor</x:v>
      </x:c>
      <x:c r="C213" s="19" t="str">
        <x:v>Reputation / standing</x:v>
      </x:c>
      <x:c r="D213" s="19" t="str">
        <x:v>P4</x:v>
      </x:c>
      <x:c r="E213" s="19" t="str">
        <x:v>Ashley</x:v>
      </x:c>
      <x:c r="F213" s="19" t="str">
        <x:v>ascribed</x:v>
      </x:c>
      <x:c r="G213" s="19" t="str">
        <x:v>высокочтимый</x:v>
      </x:c>
      <x:c r="H213" s="28" t="str">
        <x:v>QADIRLI</x:v>
      </x:c>
      <x:c r="I213" s="19" t="n">
        <x:v>1</x:v>
      </x:c>
      <x:c r="J213" s="19" t="n">
        <x:v>1</x:v>
      </x:c>
    </x:row>
    <x:row r="214" ht="15" customHeight="1">
      <x:c r="A214" s="19" t="n">
        <x:v>211</x:v>
      </x:c>
      <x:c r="B214" s="19" t="str">
        <x:v>Honor</x:v>
      </x:c>
      <x:c r="C214" s="19" t="str">
        <x:v>Reputation / standing</x:v>
      </x:c>
      <x:c r="D214" s="19" t="str">
        <x:v>P5</x:v>
      </x:c>
      <x:c r="E214" s="19" t="str">
        <x:v>Ashley</x:v>
      </x:c>
      <x:c r="F214" s="19" t="str">
        <x:v>felt</x:v>
      </x:c>
      <x:c r="G214" s="19" t="str">
        <x:v>благородный</x:v>
      </x:c>
      <x:c r="H214" s="28" t="str">
        <x:v>ASYL</x:v>
      </x:c>
      <x:c r="I214" s="19" t="n">
        <x:v>1</x:v>
      </x:c>
      <x:c r="J214" s="19" t="n">
        <x:v>1</x:v>
      </x:c>
    </x:row>
    <x:row r="215" ht="15" customHeight="1">
      <x:c r="A215" s="19" t="n">
        <x:v>212</x:v>
      </x:c>
      <x:c r="B215" s="19" t="str">
        <x:v>Honor</x:v>
      </x:c>
      <x:c r="C215" s="19" t="str">
        <x:v>Reputation / standing</x:v>
      </x:c>
      <x:c r="D215" s="19" t="str">
        <x:v>P5</x:v>
      </x:c>
      <x:c r="E215" s="19" t="str">
        <x:v>Ashley</x:v>
      </x:c>
      <x:c r="F215" s="19" t="str">
        <x:v>ascribed</x:v>
      </x:c>
      <x:c r="G215" s="19" t="str">
        <x:v>многоуважаемый</x:v>
      </x:c>
      <x:c r="H215" s="28" t="str">
        <x:v>QŪRMETTI</x:v>
      </x:c>
      <x:c r="I215" s="19" t="n">
        <x:v>1</x:v>
      </x:c>
      <x:c r="J215" s="19" t="n">
        <x:v>1</x:v>
      </x:c>
    </x:row>
    <x:row r="216" ht="15" customHeight="1">
      <x:c r="A216" s="19" t="n">
        <x:v>213</x:v>
      </x:c>
      <x:c r="B216" s="19" t="str">
        <x:v>Honor</x:v>
      </x:c>
      <x:c r="C216" s="19" t="str">
        <x:v>Reputation / standing</x:v>
      </x:c>
      <x:c r="D216" s="19" t="str">
        <x:v>P2</x:v>
      </x:c>
      <x:c r="E216" s="19" t="str">
        <x:v>cad</x:v>
      </x:c>
      <x:c r="F216" s="19" t="str">
        <x:v>felt</x:v>
      </x:c>
      <x:c r="G216" s="19" t="str">
        <x:v>честь</x:v>
      </x:c>
      <x:c r="H216" s="28" t="str">
        <x:v>ABYROİ</x:v>
      </x:c>
      <x:c r="I216" s="19" t="n">
        <x:v>1</x:v>
      </x:c>
      <x:c r="J216" s="19" t="n">
        <x:v>0</x:v>
      </x:c>
    </x:row>
    <x:row r="217" ht="26.25" customHeight="1">
      <x:c r="A217" s="19" t="n">
        <x:v>214</x:v>
      </x:c>
      <x:c r="B217" s="19" t="str">
        <x:v>Honor</x:v>
      </x:c>
      <x:c r="C217" s="19" t="str">
        <x:v>Tribute / glory</x:v>
      </x:c>
      <x:c r="D217" s="19" t="str">
        <x:v>P1</x:v>
      </x:c>
      <x:c r="E217" s="19" t="str">
        <x:v>Community / South</x:v>
      </x:c>
      <x:c r="F217" s="19" t="str">
        <x:v>felt</x:v>
      </x:c>
      <x:c r="G217" s="19" t="str">
        <x:v>честь</x:v>
      </x:c>
      <x:c r="H217" s="28" t="str">
        <x:v>QŪRMET</x:v>
      </x:c>
      <x:c r="I217" s="19" t="n">
        <x:v>1</x:v>
      </x:c>
      <x:c r="J217" s="19" t="n">
        <x:v>0</x:v>
      </x:c>
    </x:row>
    <x:row r="218" ht="26.25" customHeight="1">
      <x:c r="A218" s="19" t="n">
        <x:v>215</x:v>
      </x:c>
      <x:c r="B218" s="19" t="str">
        <x:v>Honor</x:v>
      </x:c>
      <x:c r="C218" s="19" t="str">
        <x:v>Tribute / glory</x:v>
      </x:c>
      <x:c r="D218" s="19" t="str">
        <x:v>P1</x:v>
      </x:c>
      <x:c r="E218" s="19" t="str">
        <x:v>Community / South</x:v>
      </x:c>
      <x:c r="F218" s="19" t="str">
        <x:v>felt</x:v>
      </x:c>
      <x:c r="G218" s="19" t="str">
        <x:v>воинские подвиги</x:v>
      </x:c>
      <x:c r="H218" s="19" t="str">
        <x:v>ÄSKERI ERLIKTER</x:v>
      </x:c>
      <x:c r="I218" s="19" t="n">
        <x:v>1</x:v>
      </x:c>
      <x:c r="J218" s="19" t="n">
        <x:v>0</x:v>
      </x:c>
    </x:row>
    <x:row r="219" ht="26.25" customHeight="1">
      <x:c r="A219" s="19" t="n">
        <x:v>216</x:v>
      </x:c>
      <x:c r="B219" s="19" t="str">
        <x:v>Honor</x:v>
      </x:c>
      <x:c r="C219" s="19" t="str">
        <x:v>Tribute / glory</x:v>
      </x:c>
      <x:c r="D219" s="19" t="str">
        <x:v>P1</x:v>
      </x:c>
      <x:c r="E219" s="19" t="str">
        <x:v>Community / South</x:v>
      </x:c>
      <x:c r="F219" s="19" t="str">
        <x:v>spoken</x:v>
      </x:c>
      <x:c r="G219" s="19" t="str">
        <x:v>честь</x:v>
      </x:c>
      <x:c r="H219" s="28" t="str">
        <x:v>QŪRMET</x:v>
      </x:c>
      <x:c r="I219" s="19" t="n">
        <x:v>1</x:v>
      </x:c>
      <x:c r="J219" s="19" t="n">
        <x:v>0</x:v>
      </x:c>
    </x:row>
    <x:row r="220" ht="26.25" customHeight="1">
      <x:c r="A220" s="19" t="n">
        <x:v>217</x:v>
      </x:c>
      <x:c r="B220" s="19" t="str">
        <x:v>Honor</x:v>
      </x:c>
      <x:c r="C220" s="19" t="str">
        <x:v>Tribute / glory</x:v>
      </x:c>
      <x:c r="D220" s="19" t="str">
        <x:v>P2</x:v>
      </x:c>
      <x:c r="E220" s="19" t="str">
        <x:v>Community / South</x:v>
      </x:c>
      <x:c r="F220" s="19" t="str">
        <x:v>felt</x:v>
      </x:c>
      <x:c r="G220" s="19" t="str">
        <x:v>честь</x:v>
      </x:c>
      <x:c r="H220" s="28" t="str">
        <x:v>QŪRMET</x:v>
      </x:c>
      <x:c r="I220" s="19" t="n">
        <x:v>1</x:v>
      </x:c>
      <x:c r="J220" s="19" t="n">
        <x:v>0</x:v>
      </x:c>
    </x:row>
    <x:row r="221" ht="26.25" customHeight="1">
      <x:c r="A221" s="19" t="n">
        <x:v>218</x:v>
      </x:c>
      <x:c r="B221" s="19" t="str">
        <x:v>Honor</x:v>
      </x:c>
      <x:c r="C221" s="19" t="str">
        <x:v>Tribute / glory</x:v>
      </x:c>
      <x:c r="D221" s="19" t="str">
        <x:v>P4</x:v>
      </x:c>
      <x:c r="E221" s="19" t="str">
        <x:v>Rhett</x:v>
      </x:c>
      <x:c r="F221" s="19" t="str">
        <x:v>spoken</x:v>
      </x:c>
      <x:c r="G221" s="19" t="str">
        <x:v>честь</x:v>
      </x:c>
      <x:c r="H221" s="19" t="str">
        <x:v>ÖZDERINIÑ ADAMY</x:v>
      </x:c>
      <x:c r="I221" s="19" t="n">
        <x:v>1</x:v>
      </x:c>
      <x:c r="J221" s="19" t="n">
        <x:v>1</x:v>
      </x:c>
    </x:row>
    <x:row r="222" ht="15" customHeight="1">
      <x:c r="A222" s="19" t="n">
        <x:v>219</x:v>
      </x:c>
      <x:c r="B222" s="19" t="str">
        <x:v>Honor</x:v>
      </x:c>
      <x:c r="C222" s="19" t="str">
        <x:v>Tribute / glory</x:v>
      </x:c>
      <x:c r="D222" s="19" t="str">
        <x:v>P2</x:v>
      </x:c>
      <x:c r="E222" s="19" t="str">
        <x:v>Ashley</x:v>
      </x:c>
      <x:c r="F222" s="19" t="str">
        <x:v>spoken</x:v>
      </x:c>
      <x:c r="G222" s="19" t="str">
        <x:v>почести</x:v>
      </x:c>
      <x:c r="H222" s="28" t="str">
        <x:v>ABYROİ</x:v>
      </x:c>
      <x:c r="I222" s="19" t="n">
        <x:v>1</x:v>
      </x:c>
      <x:c r="J222" s="19" t="n">
        <x:v>1</x:v>
      </x:c>
    </x:row>
    <x:row r="223" ht="15" customHeight="1">
      <x:c r="A223" s="19" t="n">
        <x:v>220</x:v>
      </x:c>
      <x:c r="B223" s="19" t="str">
        <x:v>Honor</x:v>
      </x:c>
      <x:c r="C223" s="19" t="str">
        <x:v>Ironic / mocked</x:v>
      </x:c>
      <x:c r="D223" s="19" t="str">
        <x:v>P4</x:v>
      </x:c>
      <x:c r="E223" s="19" t="str">
        <x:v>Ashley</x:v>
      </x:c>
      <x:c r="F223" s="19" t="str">
        <x:v>ascribed</x:v>
      </x:c>
      <x:c r="G223" s="19" t="str">
        <x:v>честь</x:v>
      </x:c>
      <x:c r="H223" s="28" t="str">
        <x:v>QŪRMETTI</x:v>
      </x:c>
      <x:c r="I223" s="19" t="n">
        <x:v>1</x:v>
      </x:c>
      <x:c r="J223" s="19" t="n">
        <x:v>1</x:v>
      </x:c>
    </x:row>
    <x:row r="224" ht="15" customHeight="1">
      <x:c r="A224" s="19" t="n">
        <x:v>221</x:v>
      </x:c>
      <x:c r="B224" s="19" t="str">
        <x:v>Honor</x:v>
      </x:c>
      <x:c r="C224" s="19" t="str">
        <x:v>Ironic / mocked</x:v>
      </x:c>
      <x:c r="D224" s="19" t="str">
        <x:v>P4</x:v>
      </x:c>
      <x:c r="E224" s="19" t="str">
        <x:v>Ashley</x:v>
      </x:c>
      <x:c r="F224" s="19" t="str">
        <x:v>ascribed</x:v>
      </x:c>
      <x:c r="G224" s="19" t="str">
        <x:v>честь</x:v>
      </x:c>
      <x:c r="H224" s="28" t="str">
        <x:v>ABYROİ</x:v>
      </x:c>
      <x:c r="I224" s="19" t="n">
        <x:v>1</x:v>
      </x:c>
      <x:c r="J224" s="19" t="n">
        <x:v>1</x:v>
      </x:c>
    </x:row>
    <x:row r="225" ht="15" customHeight="1">
      <x:c r="A225" s="19" t="n">
        <x:v>222</x:v>
      </x:c>
      <x:c r="B225" s="19" t="str">
        <x:v>Honor</x:v>
      </x:c>
      <x:c r="C225" s="19" t="str">
        <x:v>Ironic / mocked</x:v>
      </x:c>
      <x:c r="D225" s="19" t="str">
        <x:v>P2</x:v>
      </x:c>
      <x:c r="E225" s="19" t="str">
        <x:v>Ashley</x:v>
      </x:c>
      <x:c r="F225" s="19" t="str">
        <x:v>ascribed</x:v>
      </x:c>
      <x:c r="G225" s="19" t="str">
        <x:v>чтимый</x:v>
      </x:c>
      <x:c r="H225" s="28" t="str">
        <x:v>ARDAQTAU</x:v>
      </x:c>
      <x:c r="I225" s="19" t="n">
        <x:v>1</x:v>
      </x:c>
      <x:c r="J225" s="19" t="n">
        <x:v>1</x:v>
      </x:c>
    </x:row>
    <x:row r="226" ht="26.25" customHeight="1">
      <x:c r="A226" s="19" t="n">
        <x:v>223</x:v>
      </x:c>
      <x:c r="B226" s="19" t="str">
        <x:v>Honor</x:v>
      </x:c>
      <x:c r="C226" s="19" t="str">
        <x:v>Ironic / mocked</x:v>
      </x:c>
      <x:c r="D226" s="19" t="str">
        <x:v>P4</x:v>
      </x:c>
      <x:c r="E226" s="19" t="str">
        <x:v>Rhett’s father</x:v>
      </x:c>
      <x:c r="F226" s="19" t="str">
        <x:v>spoken</x:v>
      </x:c>
      <x:c r="G226" s="19" t="str">
        <x:v>почтенный</x:v>
      </x:c>
      <x:c r="H226" s="19" t="str">
        <x:v>SALAUATTY DA TÄRBIELI</x:v>
      </x:c>
      <x:c r="I226" s="19" t="n">
        <x:v>1</x:v>
      </x:c>
      <x:c r="J226" s="19" t="n">
        <x:v>0</x:v>
      </x:c>
    </x:row>
    <x:row r="227" ht="15" customHeight="1">
      <x:c r="A227" s="19" t="n">
        <x:v>224</x:v>
      </x:c>
      <x:c r="B227" s="19" t="str">
        <x:v>Honor</x:v>
      </x:c>
      <x:c r="C227" s="19" t="str">
        <x:v>Ironic / mocked</x:v>
      </x:c>
      <x:c r="D227" s="19" t="str">
        <x:v>P4</x:v>
      </x:c>
      <x:c r="E227" s="19" t="str">
        <x:v>Rhett</x:v>
      </x:c>
      <x:c r="F227" s="19" t="str">
        <x:v>spoken</x:v>
      </x:c>
      <x:c r="G227" s="19" t="str">
        <x:v>порядочность</x:v>
      </x:c>
      <x:c r="H227" s="28" t="str">
        <x:v>ADAMGERŞILIK</x:v>
      </x:c>
      <x:c r="I227" s="19" t="n">
        <x:v>1</x:v>
      </x:c>
      <x:c r="J227" s="19" t="n">
        <x:v>1</x:v>
      </x:c>
    </x:row>
    <x:row r="228" ht="26.25" customHeight="1">
      <x:c r="A228" s="19" t="n">
        <x:v>225</x:v>
      </x:c>
      <x:c r="B228" s="19" t="str">
        <x:v>Honor</x:v>
      </x:c>
      <x:c r="C228" s="19" t="str">
        <x:v>Absent / dishonor</x:v>
      </x:c>
      <x:c r="D228" s="19" t="str">
        <x:v>P1</x:v>
      </x:c>
      <x:c r="E228" s="19" t="str">
        <x:v>Community / South</x:v>
      </x:c>
      <x:c r="F228" s="19" t="str">
        <x:v>felt</x:v>
      </x:c>
      <x:c r="G228" s="19" t="str">
        <x:v>унизительно</x:v>
      </x:c>
      <x:c r="H228" s="28" t="str">
        <x:v>QORLYQ</x:v>
      </x:c>
      <x:c r="I228" s="19" t="n">
        <x:v>1</x:v>
      </x:c>
      <x:c r="J228" s="19" t="n">
        <x:v>0</x:v>
      </x:c>
    </x:row>
    <x:row r="229" ht="15" customHeight="1">
      <x:c r="A229" s="19" t="n">
        <x:v>226</x:v>
      </x:c>
      <x:c r="B229" s="19" t="str">
        <x:v>Honor</x:v>
      </x:c>
      <x:c r="C229" s="19" t="str">
        <x:v>Absent / dishonor</x:v>
      </x:c>
      <x:c r="D229" s="19" t="str">
        <x:v>P4</x:v>
      </x:c>
      <x:c r="E229" s="19" t="str">
        <x:v>Scarlett</x:v>
      </x:c>
      <x:c r="F229" s="19" t="str">
        <x:v>ascribed</x:v>
      </x:c>
      <x:c r="G229" s="19" t="str">
        <x:v>бесчестный</x:v>
      </x:c>
      <x:c r="H229" s="28" t="str">
        <x:v>ÄDILETSIZDIK</x:v>
      </x:c>
      <x:c r="I229" s="19" t="n">
        <x:v>1</x:v>
      </x:c>
      <x:c r="J229" s="19" t="n">
        <x:v>1</x:v>
      </x:c>
    </x:row>
    <x:row r="230" ht="15" customHeight="1">
      <x:c r="A230" s="19" t="n">
        <x:v>227</x:v>
      </x:c>
      <x:c r="B230" s="19" t="str">
        <x:v>Honor</x:v>
      </x:c>
      <x:c r="C230" s="19" t="str">
        <x:v>Absent / dishonor</x:v>
      </x:c>
      <x:c r="D230" s="19" t="str">
        <x:v>P5</x:v>
      </x:c>
      <x:c r="E230" s="19" t="str">
        <x:v>Ashley</x:v>
      </x:c>
      <x:c r="F230" s="19" t="str">
        <x:v>ascribed</x:v>
      </x:c>
      <x:c r="G230" s="19" t="str">
        <x:v>порядочный</x:v>
      </x:c>
      <x:c r="H230" s="28" t="str">
        <x:v>ADAL</x:v>
      </x:c>
      <x:c r="I230" s="19" t="n">
        <x:v>1</x:v>
      </x:c>
      <x:c r="J230" s="19" t="n">
        <x:v>1</x:v>
      </x:c>
    </x:row>
    <x:row r="231" ht="15" customHeight="1">
      <x:c r="A231" s="19" t="n">
        <x:v>228</x:v>
      </x:c>
      <x:c r="B231" s="19" t="str">
        <x:v>Honor</x:v>
      </x:c>
      <x:c r="C231" s="19" t="str">
        <x:v>Absent / dishonor</x:v>
      </x:c>
      <x:c r="D231" s="19" t="str">
        <x:v>P4</x:v>
      </x:c>
      <x:c r="E231" s="19" t="str">
        <x:v>Rhett</x:v>
      </x:c>
      <x:c r="F231" s="19" t="str">
        <x:v>felt</x:v>
      </x:c>
      <x:c r="G231" s="19" t="str">
        <x:v>бесчестный</x:v>
      </x:c>
      <x:c r="H231" s="28" t="str">
        <x:v>ŪİATSYZ</x:v>
      </x:c>
      <x:c r="I231" s="19" t="n">
        <x:v>1</x:v>
      </x:c>
      <x:c r="J231" s="19" t="n">
        <x:v>1</x:v>
      </x:c>
    </x:row>
    <x:row r="232" ht="15" customHeight="1">
      <x:c r="A232" s="19" t="n">
        <x:v>229</x:v>
      </x:c>
      <x:c r="B232" s="19" t="str">
        <x:v>Honor</x:v>
      </x:c>
      <x:c r="C232" s="19" t="str">
        <x:v>Absent / dishonor</x:v>
      </x:c>
      <x:c r="D232" s="19" t="str">
        <x:v>P5</x:v>
      </x:c>
      <x:c r="E232" s="19" t="str">
        <x:v>Rhett</x:v>
      </x:c>
      <x:c r="F232" s="19" t="str">
        <x:v>felt</x:v>
      </x:c>
      <x:c r="G232" s="19" t="str">
        <x:v>честь</x:v>
      </x:c>
      <x:c r="H232" s="28" t="str">
        <x:v>AR</x:v>
      </x:c>
      <x:c r="I232" s="19" t="n">
        <x:v>1</x:v>
      </x:c>
      <x:c r="J232" s="19" t="n">
        <x:v>1</x:v>
      </x:c>
    </x:row>
    <x:row r="233" ht="15" customHeight="1">
      <x:c r="A233" s="19" t="n">
        <x:v>229</x:v>
      </x:c>
      <x:c r="B233" s="19" t="str">
        <x:v>Honor</x:v>
      </x:c>
      <x:c r="C233" s="19" t="str">
        <x:v>Absent / dishonor</x:v>
      </x:c>
      <x:c r="D233" s="19" t="str">
        <x:v>P5</x:v>
      </x:c>
      <x:c r="E233" s="19" t="str">
        <x:v>Ashley</x:v>
      </x:c>
      <x:c r="F233" s="19" t="str">
        <x:v>felt</x:v>
      </x:c>
      <x:c r="G233" s="19" t="str">
        <x:v>честь</x:v>
      </x:c>
      <x:c r="H233" s="28" t="str">
        <x:v>AR</x:v>
      </x:c>
      <x:c r="I233" s="19" t="n">
        <x:v>0</x:v>
      </x:c>
      <x:c r="J233" s="19" t="n">
        <x:v>1</x:v>
      </x:c>
    </x:row>
    <x:row r="234" ht="26.25" customHeight="1">
      <x:c r="A234" s="19" t="n">
        <x:v>230</x:v>
      </x:c>
      <x:c r="B234" s="19" t="str">
        <x:v>Honor</x:v>
      </x:c>
      <x:c r="C234" s="19" t="str">
        <x:v>Undifferentiated honor</x:v>
      </x:c>
      <x:c r="D234" s="19" t="str">
        <x:v>P4</x:v>
      </x:c>
      <x:c r="E234" s="19" t="str">
        <x:v>Ashley</x:v>
      </x:c>
      <x:c r="F234" s="19" t="str">
        <x:v>felt</x:v>
      </x:c>
      <x:c r="G234" s="19" t="str">
        <x:v>честь</x:v>
      </x:c>
      <x:c r="H234" s="28" t="str">
        <x:v>ABYROİ</x:v>
      </x:c>
      <x:c r="I234" s="19" t="n">
        <x:v>1</x:v>
      </x:c>
      <x:c r="J234" s="19" t="n">
        <x:v>1</x:v>
      </x:c>
    </x:row>
    <x:row r="235" ht="15" customHeight="1">
      <x:c r="A235" s="19" t="n">
        <x:v>231</x:v>
      </x:c>
      <x:c r="B235" s="19" t="str">
        <x:v>Honor</x:v>
      </x:c>
      <x:c r="C235" s="19" t="str">
        <x:v>Undifferentiated honor</x:v>
      </x:c>
      <x:c r="D235" s="19" t="str">
        <x:v>P4</x:v>
      </x:c>
      <x:c r="E235" s="19" t="str">
        <x:v>Rhett</x:v>
      </x:c>
      <x:c r="F235" s="19" t="str">
        <x:v>spoken</x:v>
      </x:c>
      <x:c r="G235" s="19" t="str">
        <x:v>честное предложение.</x:v>
      </x:c>
      <x:c r="H235" s="28" t="str">
        <x:v>ADAL ŪİAT</x:v>
      </x:c>
      <x:c r="I235" s="19" t="n">
        <x:v>1</x:v>
      </x:c>
      <x:c r="J235" s="19" t="n">
        <x:v>1</x:v>
      </x:c>
    </x:row>
    <x:row r="236" ht="14.25" customHeight="1">
      <x:c r="A236" s="10"/>
      <x:c r="B236" s="10"/>
      <x:c r="C236" s="10"/>
      <x:c r="D236" s="10"/>
      <x:c r="E236" s="10"/>
      <x:c r="F236" s="10"/>
      <x:c r="G236" s="10"/>
      <x:c r="H236" s="10"/>
      <x:c r="I236" s="10"/>
      <x:c r="J236" s="10"/>
    </x:row>
    <x:row r="237" ht="14.25" customHeight="1">
      <x:c r="A237" s="10"/>
      <x:c r="B237" s="10"/>
      <x:c r="C237" s="10"/>
      <x:c r="D237" s="10"/>
      <x:c r="E237" s="10"/>
      <x:c r="F237" s="10"/>
      <x:c r="G237" s="10"/>
      <x:c r="H237" s="10"/>
      <x:c r="I237" s="10"/>
      <x:c r="J237" s="10"/>
    </x:row>
    <x:row r="238" ht="14.25" customHeight="1">
      <x:c r="A238" s="10"/>
      <x:c r="B238" s="10"/>
      <x:c r="C238" s="10"/>
      <x:c r="D238" s="10"/>
      <x:c r="E238" s="10"/>
      <x:c r="F238" s="10"/>
      <x:c r="G238" s="10"/>
      <x:c r="H238" s="10"/>
      <x:c r="I238" s="10"/>
      <x:c r="J238" s="10"/>
    </x:row>
    <x:row r="239" ht="14.25" customHeight="1">
      <x:c r="A239" s="10"/>
      <x:c r="B239" s="10"/>
      <x:c r="C239" s="10"/>
      <x:c r="D239" s="10"/>
      <x:c r="E239" s="10"/>
      <x:c r="F239" s="10"/>
      <x:c r="G239" s="10"/>
      <x:c r="H239" s="10"/>
      <x:c r="I239" s="10"/>
      <x:c r="J239" s="10"/>
    </x:row>
    <x:row r="240" ht="14.25" customHeight="1">
      <x:c r="A240" s="10"/>
      <x:c r="B240" s="10"/>
      <x:c r="C240" s="10"/>
      <x:c r="D240" s="10"/>
      <x:c r="E240" s="10"/>
      <x:c r="F240" s="10"/>
      <x:c r="G240" s="10"/>
      <x:c r="H240" s="10"/>
      <x:c r="I240" s="10"/>
      <x:c r="J240" s="10"/>
    </x:row>
    <x:row r="241" ht="14.25" customHeight="1">
      <x:c r="A241" s="10"/>
      <x:c r="B241" s="10"/>
      <x:c r="C241" s="10"/>
      <x:c r="D241" s="10"/>
      <x:c r="E241" s="10"/>
      <x:c r="F241" s="10"/>
      <x:c r="G241" s="10"/>
      <x:c r="H241" s="10"/>
      <x:c r="I241" s="10"/>
      <x:c r="J241" s="10"/>
    </x:row>
    <x:row r="242" ht="14.25" customHeight="1">
      <x:c r="A242" s="10"/>
      <x:c r="B242" s="10"/>
      <x:c r="C242" s="10"/>
      <x:c r="D242" s="10"/>
      <x:c r="E242" s="10"/>
      <x:c r="F242" s="10"/>
      <x:c r="G242" s="10"/>
      <x:c r="H242" s="10"/>
      <x:c r="I242" s="10"/>
      <x:c r="J242" s="10"/>
    </x:row>
    <x:row r="243" ht="14.25" customHeight="1">
      <x:c r="A243" s="10"/>
      <x:c r="B243" s="10"/>
      <x:c r="C243" s="10"/>
      <x:c r="D243" s="10"/>
      <x:c r="E243" s="10"/>
      <x:c r="F243" s="10"/>
      <x:c r="G243" s="10"/>
      <x:c r="H243" s="10"/>
      <x:c r="I243" s="10"/>
      <x:c r="J243" s="10"/>
    </x:row>
    <x:row r="244" ht="14.25" customHeight="1">
      <x:c r="A244" s="10"/>
      <x:c r="B244" s="10"/>
      <x:c r="C244" s="10"/>
      <x:c r="D244" s="10"/>
      <x:c r="E244" s="10"/>
      <x:c r="F244" s="10"/>
      <x:c r="G244" s="10"/>
      <x:c r="H244" s="10"/>
      <x:c r="I244" s="10"/>
      <x:c r="J244" s="10"/>
    </x:row>
    <x:row r="245" ht="14.25" customHeight="1">
      <x:c r="A245" s="10"/>
      <x:c r="B245" s="10"/>
      <x:c r="C245" s="10"/>
      <x:c r="D245" s="10"/>
      <x:c r="E245" s="10"/>
      <x:c r="F245" s="10"/>
      <x:c r="G245" s="10"/>
      <x:c r="H245" s="10"/>
      <x:c r="I245" s="10"/>
      <x:c r="J245" s="10"/>
    </x:row>
    <x:row r="246" ht="14.25" customHeight="1">
      <x:c r="A246" s="10"/>
      <x:c r="B246" s="10"/>
      <x:c r="C246" s="10"/>
      <x:c r="D246" s="10"/>
      <x:c r="E246" s="10"/>
      <x:c r="F246" s="10"/>
      <x:c r="G246" s="10"/>
      <x:c r="H246" s="10"/>
      <x:c r="I246" s="10"/>
      <x:c r="J246" s="10"/>
    </x:row>
    <x:row r="247" ht="14.25" customHeight="1">
      <x:c r="A247" s="10"/>
      <x:c r="B247" s="10"/>
      <x:c r="C247" s="10"/>
      <x:c r="D247" s="10"/>
      <x:c r="E247" s="10"/>
      <x:c r="F247" s="10"/>
      <x:c r="G247" s="10"/>
      <x:c r="H247" s="10"/>
      <x:c r="I247" s="10"/>
      <x:c r="J247" s="10"/>
    </x:row>
    <x:row r="248" ht="14.25" customHeight="1">
      <x:c r="A248" s="10"/>
      <x:c r="B248" s="10"/>
      <x:c r="C248" s="10"/>
      <x:c r="D248" s="10"/>
      <x:c r="E248" s="10"/>
      <x:c r="F248" s="10"/>
      <x:c r="G248" s="10"/>
      <x:c r="H248" s="10"/>
      <x:c r="I248" s="10"/>
      <x:c r="J248" s="10"/>
    </x:row>
    <x:row r="249" ht="14.25" customHeight="1">
      <x:c r="A249" s="10"/>
      <x:c r="B249" s="10"/>
      <x:c r="C249" s="10"/>
      <x:c r="D249" s="10"/>
      <x:c r="E249" s="10"/>
      <x:c r="F249" s="10"/>
      <x:c r="G249" s="10"/>
      <x:c r="H249" s="10"/>
      <x:c r="I249" s="10"/>
      <x:c r="J249" s="10"/>
    </x:row>
    <x:row r="250" ht="14.25" customHeight="1">
      <x:c r="A250" s="10"/>
      <x:c r="B250" s="10"/>
      <x:c r="C250" s="10"/>
      <x:c r="D250" s="10"/>
      <x:c r="E250" s="10"/>
      <x:c r="F250" s="10"/>
      <x:c r="G250" s="10"/>
      <x:c r="H250" s="10"/>
      <x:c r="I250" s="10"/>
      <x:c r="J250" s="10"/>
    </x:row>
    <x:row r="251" ht="14.25" customHeight="1">
      <x:c r="A251" s="10"/>
      <x:c r="B251" s="10"/>
      <x:c r="C251" s="10"/>
      <x:c r="D251" s="10"/>
      <x:c r="E251" s="10"/>
      <x:c r="F251" s="10"/>
      <x:c r="G251" s="10"/>
      <x:c r="H251" s="10"/>
      <x:c r="I251" s="10"/>
      <x:c r="J251" s="10"/>
    </x:row>
    <x:row r="252" ht="14.25" customHeight="1">
      <x:c r="A252" s="10"/>
      <x:c r="B252" s="10"/>
      <x:c r="C252" s="10"/>
      <x:c r="D252" s="10"/>
      <x:c r="E252" s="10"/>
      <x:c r="F252" s="10"/>
      <x:c r="G252" s="10"/>
      <x:c r="H252" s="10"/>
      <x:c r="I252" s="10"/>
      <x:c r="J252" s="10"/>
    </x:row>
    <x:row r="253" ht="14.25" customHeight="1">
      <x:c r="A253" s="10"/>
      <x:c r="B253" s="10"/>
      <x:c r="C253" s="10"/>
      <x:c r="D253" s="10"/>
      <x:c r="E253" s="10"/>
      <x:c r="F253" s="10"/>
      <x:c r="G253" s="10"/>
      <x:c r="H253" s="10"/>
      <x:c r="I253" s="10"/>
      <x:c r="J253" s="10"/>
    </x:row>
    <x:row r="254" ht="14.25" customHeight="1">
      <x:c r="A254" s="10"/>
      <x:c r="B254" s="10"/>
      <x:c r="C254" s="10"/>
      <x:c r="D254" s="10"/>
      <x:c r="E254" s="10"/>
      <x:c r="F254" s="10"/>
      <x:c r="G254" s="10"/>
      <x:c r="H254" s="10"/>
      <x:c r="I254" s="10"/>
      <x:c r="J254" s="10"/>
    </x:row>
    <x:row r="255" ht="14.25" customHeight="1">
      <x:c r="A255" s="10"/>
      <x:c r="B255" s="10"/>
      <x:c r="C255" s="10"/>
      <x:c r="D255" s="10"/>
      <x:c r="E255" s="10"/>
      <x:c r="F255" s="10"/>
      <x:c r="G255" s="10"/>
      <x:c r="H255" s="10"/>
      <x:c r="I255" s="10"/>
      <x:c r="J255" s="10"/>
    </x:row>
    <x:row r="256" ht="14.25" customHeight="1">
      <x:c r="A256" s="10"/>
      <x:c r="B256" s="10"/>
      <x:c r="C256" s="10"/>
      <x:c r="D256" s="10"/>
      <x:c r="E256" s="10"/>
      <x:c r="F256" s="10"/>
      <x:c r="G256" s="10"/>
      <x:c r="H256" s="10"/>
      <x:c r="I256" s="10"/>
      <x:c r="J256" s="10"/>
    </x:row>
    <x:row r="257" ht="14.25" customHeight="1">
      <x:c r="A257" s="10"/>
      <x:c r="B257" s="10"/>
      <x:c r="C257" s="10"/>
      <x:c r="D257" s="10"/>
      <x:c r="E257" s="10"/>
      <x:c r="F257" s="10"/>
      <x:c r="G257" s="10"/>
      <x:c r="H257" s="10"/>
      <x:c r="I257" s="10"/>
      <x:c r="J257" s="10"/>
    </x:row>
    <x:row r="258" ht="14.25" customHeight="1">
      <x:c r="A258" s="10"/>
      <x:c r="B258" s="10"/>
      <x:c r="C258" s="10"/>
      <x:c r="D258" s="10"/>
      <x:c r="E258" s="10"/>
      <x:c r="F258" s="10"/>
      <x:c r="G258" s="10"/>
      <x:c r="H258" s="10"/>
      <x:c r="I258" s="10"/>
      <x:c r="J258" s="10"/>
    </x:row>
    <x:row r="259" ht="14.25" customHeight="1">
      <x:c r="A259" s="10"/>
      <x:c r="B259" s="10"/>
      <x:c r="C259" s="10"/>
      <x:c r="D259" s="10"/>
      <x:c r="E259" s="10"/>
      <x:c r="F259" s="10"/>
      <x:c r="G259" s="10"/>
      <x:c r="H259" s="10"/>
      <x:c r="I259" s="10"/>
      <x:c r="J259" s="10"/>
    </x:row>
    <x:row r="260" ht="14.25" customHeight="1">
      <x:c r="A260" s="10"/>
      <x:c r="B260" s="10"/>
      <x:c r="C260" s="10"/>
      <x:c r="D260" s="10"/>
      <x:c r="E260" s="10"/>
      <x:c r="F260" s="10"/>
      <x:c r="G260" s="10"/>
      <x:c r="H260" s="10"/>
      <x:c r="I260" s="10"/>
      <x:c r="J260" s="10"/>
    </x:row>
    <x:row r="261" ht="14.25" customHeight="1">
      <x:c r="A261" s="10"/>
      <x:c r="B261" s="10"/>
      <x:c r="C261" s="10"/>
      <x:c r="D261" s="10"/>
      <x:c r="E261" s="10"/>
      <x:c r="F261" s="10"/>
      <x:c r="G261" s="10"/>
      <x:c r="H261" s="10"/>
      <x:c r="I261" s="10"/>
      <x:c r="J261" s="10"/>
    </x:row>
    <x:row r="262" ht="14.25" customHeight="1">
      <x:c r="A262" s="10"/>
      <x:c r="B262" s="10"/>
      <x:c r="C262" s="10"/>
      <x:c r="D262" s="10"/>
      <x:c r="E262" s="10"/>
      <x:c r="F262" s="10"/>
      <x:c r="G262" s="10"/>
      <x:c r="H262" s="10"/>
      <x:c r="I262" s="10"/>
      <x:c r="J262" s="10"/>
    </x:row>
    <x:row r="263" ht="14.25" customHeight="1">
      <x:c r="A263" s="10"/>
      <x:c r="B263" s="10"/>
      <x:c r="C263" s="10"/>
      <x:c r="D263" s="10"/>
      <x:c r="E263" s="10"/>
      <x:c r="F263" s="10"/>
      <x:c r="G263" s="10"/>
      <x:c r="H263" s="10"/>
      <x:c r="I263" s="10"/>
      <x:c r="J263" s="10"/>
    </x:row>
    <x:row r="264" ht="14.25" customHeight="1">
      <x:c r="A264" s="10"/>
      <x:c r="B264" s="10"/>
      <x:c r="C264" s="10"/>
      <x:c r="D264" s="10"/>
      <x:c r="E264" s="10"/>
      <x:c r="F264" s="10"/>
      <x:c r="G264" s="10"/>
      <x:c r="H264" s="10"/>
      <x:c r="I264" s="10"/>
      <x:c r="J264" s="10"/>
    </x:row>
    <x:row r="265" ht="14.25" customHeight="1">
      <x:c r="A265" s="10"/>
      <x:c r="B265" s="10"/>
      <x:c r="C265" s="10"/>
      <x:c r="D265" s="10"/>
      <x:c r="E265" s="10"/>
      <x:c r="F265" s="10"/>
      <x:c r="G265" s="10"/>
      <x:c r="H265" s="10"/>
      <x:c r="I265" s="10"/>
      <x:c r="J265" s="10"/>
    </x:row>
    <x:row r="266" ht="14.25" customHeight="1">
      <x:c r="A266" s="10"/>
      <x:c r="B266" s="10"/>
      <x:c r="C266" s="10"/>
      <x:c r="D266" s="10"/>
      <x:c r="E266" s="10"/>
      <x:c r="F266" s="10"/>
      <x:c r="G266" s="10"/>
      <x:c r="H266" s="10"/>
      <x:c r="I266" s="10"/>
      <x:c r="J266" s="10"/>
    </x:row>
    <x:row r="267" ht="14.25" customHeight="1">
      <x:c r="A267" s="10"/>
      <x:c r="B267" s="10"/>
      <x:c r="C267" s="10"/>
      <x:c r="D267" s="10"/>
      <x:c r="E267" s="10"/>
      <x:c r="F267" s="10"/>
      <x:c r="G267" s="10"/>
      <x:c r="H267" s="10"/>
      <x:c r="I267" s="10"/>
      <x:c r="J267" s="10"/>
    </x:row>
    <x:row r="268" ht="14.25" customHeight="1">
      <x:c r="A268" s="10"/>
      <x:c r="B268" s="10"/>
      <x:c r="C268" s="10"/>
      <x:c r="D268" s="10"/>
      <x:c r="E268" s="10"/>
      <x:c r="F268" s="10"/>
      <x:c r="G268" s="10"/>
      <x:c r="H268" s="10"/>
      <x:c r="I268" s="10"/>
      <x:c r="J268" s="10"/>
    </x:row>
    <x:row r="269" ht="14.25" customHeight="1">
      <x:c r="A269" s="10"/>
      <x:c r="B269" s="10"/>
      <x:c r="C269" s="10"/>
      <x:c r="D269" s="10"/>
      <x:c r="E269" s="10"/>
      <x:c r="F269" s="10"/>
      <x:c r="G269" s="10"/>
      <x:c r="H269" s="10"/>
      <x:c r="I269" s="10"/>
      <x:c r="J269" s="10"/>
    </x:row>
    <x:row r="270" ht="14.25" customHeight="1">
      <x:c r="A270" s="10"/>
      <x:c r="B270" s="10"/>
      <x:c r="C270" s="10"/>
      <x:c r="D270" s="10"/>
      <x:c r="E270" s="10"/>
      <x:c r="F270" s="10"/>
      <x:c r="G270" s="10"/>
      <x:c r="H270" s="10"/>
      <x:c r="I270" s="10"/>
      <x:c r="J270" s="10"/>
    </x:row>
    <x:row r="271" ht="14.25" customHeight="1">
      <x:c r="A271" s="10"/>
      <x:c r="B271" s="10"/>
      <x:c r="C271" s="10"/>
      <x:c r="D271" s="10"/>
      <x:c r="E271" s="10"/>
      <x:c r="F271" s="10"/>
      <x:c r="G271" s="10"/>
      <x:c r="H271" s="10"/>
      <x:c r="I271" s="10"/>
      <x:c r="J271" s="10"/>
    </x:row>
    <x:row r="272" ht="14.25" customHeight="1">
      <x:c r="A272" s="10"/>
      <x:c r="B272" s="10"/>
      <x:c r="C272" s="10"/>
      <x:c r="D272" s="10"/>
      <x:c r="E272" s="10"/>
      <x:c r="F272" s="10"/>
      <x:c r="G272" s="10"/>
      <x:c r="H272" s="10"/>
      <x:c r="I272" s="10"/>
      <x:c r="J272" s="10"/>
    </x:row>
    <x:row r="273" ht="14.25" customHeight="1">
      <x:c r="A273" s="10"/>
      <x:c r="B273" s="10"/>
      <x:c r="C273" s="10"/>
      <x:c r="D273" s="10"/>
      <x:c r="E273" s="10"/>
      <x:c r="F273" s="10"/>
      <x:c r="G273" s="10"/>
      <x:c r="H273" s="10"/>
      <x:c r="I273" s="10"/>
      <x:c r="J273" s="10"/>
    </x:row>
    <x:row r="274" ht="14.25" customHeight="1">
      <x:c r="A274" s="10"/>
      <x:c r="B274" s="10"/>
      <x:c r="C274" s="10"/>
      <x:c r="D274" s="10"/>
      <x:c r="E274" s="10"/>
      <x:c r="F274" s="10"/>
      <x:c r="G274" s="10"/>
      <x:c r="H274" s="10"/>
      <x:c r="I274" s="10"/>
      <x:c r="J274" s="10"/>
    </x:row>
    <x:row r="275" ht="14.25" customHeight="1">
      <x:c r="A275" s="10"/>
      <x:c r="B275" s="10"/>
      <x:c r="C275" s="10"/>
      <x:c r="D275" s="10"/>
      <x:c r="E275" s="10"/>
      <x:c r="F275" s="10"/>
      <x:c r="G275" s="10"/>
      <x:c r="H275" s="10"/>
      <x:c r="I275" s="10"/>
      <x:c r="J275" s="10"/>
    </x:row>
    <x:row r="276" ht="14.25" customHeight="1">
      <x:c r="A276" s="10"/>
      <x:c r="B276" s="10"/>
      <x:c r="C276" s="10"/>
      <x:c r="D276" s="10"/>
      <x:c r="E276" s="10"/>
      <x:c r="F276" s="10"/>
      <x:c r="G276" s="10"/>
      <x:c r="H276" s="10"/>
      <x:c r="I276" s="10"/>
      <x:c r="J276" s="10"/>
    </x:row>
    <x:row r="277" ht="14.25" customHeight="1">
      <x:c r="A277" s="10"/>
      <x:c r="B277" s="10"/>
      <x:c r="C277" s="10"/>
      <x:c r="D277" s="10"/>
      <x:c r="E277" s="10"/>
      <x:c r="F277" s="10"/>
      <x:c r="G277" s="10"/>
      <x:c r="H277" s="10"/>
      <x:c r="I277" s="10"/>
      <x:c r="J277" s="10"/>
    </x:row>
    <x:row r="278" ht="14.25" customHeight="1">
      <x:c r="A278" s="10"/>
      <x:c r="B278" s="10"/>
      <x:c r="C278" s="10"/>
      <x:c r="D278" s="10"/>
      <x:c r="E278" s="10"/>
      <x:c r="F278" s="10"/>
      <x:c r="G278" s="10"/>
      <x:c r="H278" s="10"/>
      <x:c r="I278" s="10"/>
      <x:c r="J278" s="10"/>
    </x:row>
    <x:row r="279" ht="14.25" customHeight="1">
      <x:c r="A279" s="10"/>
      <x:c r="B279" s="10"/>
      <x:c r="C279" s="10"/>
      <x:c r="D279" s="10"/>
      <x:c r="E279" s="10"/>
      <x:c r="F279" s="10"/>
      <x:c r="G279" s="10"/>
      <x:c r="H279" s="10"/>
      <x:c r="I279" s="10"/>
      <x:c r="J279" s="10"/>
    </x:row>
    <x:row r="280" ht="14.25" customHeight="1">
      <x:c r="A280" s="10"/>
      <x:c r="B280" s="10"/>
      <x:c r="C280" s="10"/>
      <x:c r="D280" s="10"/>
      <x:c r="E280" s="10"/>
      <x:c r="F280" s="10"/>
      <x:c r="G280" s="10"/>
      <x:c r="H280" s="10"/>
      <x:c r="I280" s="10"/>
      <x:c r="J280" s="10"/>
    </x:row>
    <x:row r="281" ht="14.25" customHeight="1">
      <x:c r="A281" s="10"/>
      <x:c r="B281" s="10"/>
      <x:c r="C281" s="10"/>
      <x:c r="D281" s="10"/>
      <x:c r="E281" s="10"/>
      <x:c r="F281" s="10"/>
      <x:c r="G281" s="10"/>
      <x:c r="H281" s="10"/>
      <x:c r="I281" s="10"/>
      <x:c r="J281" s="10"/>
    </x:row>
    <x:row r="282" ht="14.25" customHeight="1">
      <x:c r="A282" s="10"/>
      <x:c r="B282" s="10"/>
      <x:c r="C282" s="10"/>
      <x:c r="D282" s="10"/>
      <x:c r="E282" s="10"/>
      <x:c r="F282" s="10"/>
      <x:c r="G282" s="10"/>
      <x:c r="H282" s="10"/>
      <x:c r="I282" s="10"/>
      <x:c r="J282" s="10"/>
    </x:row>
    <x:row r="283" ht="14.25" customHeight="1">
      <x:c r="A283" s="10"/>
      <x:c r="B283" s="10"/>
      <x:c r="C283" s="10"/>
      <x:c r="D283" s="10"/>
      <x:c r="E283" s="10"/>
      <x:c r="F283" s="10"/>
      <x:c r="G283" s="10"/>
      <x:c r="H283" s="10"/>
      <x:c r="I283" s="10"/>
      <x:c r="J283" s="10"/>
    </x:row>
    <x:row r="284" ht="14.25" customHeight="1">
      <x:c r="A284" s="10"/>
      <x:c r="B284" s="10"/>
      <x:c r="C284" s="10"/>
      <x:c r="D284" s="10"/>
      <x:c r="E284" s="10"/>
      <x:c r="F284" s="10"/>
      <x:c r="G284" s="10"/>
      <x:c r="H284" s="10"/>
      <x:c r="I284" s="10"/>
      <x:c r="J284" s="10"/>
    </x:row>
    <x:row r="285" ht="14.25" customHeight="1">
      <x:c r="A285" s="10"/>
      <x:c r="B285" s="10"/>
      <x:c r="C285" s="10"/>
      <x:c r="D285" s="10"/>
      <x:c r="E285" s="10"/>
      <x:c r="F285" s="10"/>
      <x:c r="G285" s="10"/>
      <x:c r="H285" s="10"/>
      <x:c r="I285" s="10"/>
      <x:c r="J285" s="10"/>
    </x:row>
    <x:row r="286" ht="14.25" customHeight="1">
      <x:c r="A286" s="10"/>
      <x:c r="B286" s="10"/>
      <x:c r="C286" s="10"/>
      <x:c r="D286" s="10"/>
      <x:c r="E286" s="10"/>
      <x:c r="F286" s="10"/>
      <x:c r="G286" s="10"/>
      <x:c r="H286" s="10"/>
      <x:c r="I286" s="10"/>
      <x:c r="J286" s="10"/>
    </x:row>
    <x:row r="287" ht="14.25" customHeight="1">
      <x:c r="A287" s="10"/>
      <x:c r="B287" s="10"/>
      <x:c r="C287" s="10"/>
      <x:c r="D287" s="10"/>
      <x:c r="E287" s="10"/>
      <x:c r="F287" s="10"/>
      <x:c r="G287" s="10"/>
      <x:c r="H287" s="10"/>
      <x:c r="I287" s="10"/>
      <x:c r="J287" s="10"/>
    </x:row>
    <x:row r="288" ht="14.25" customHeight="1">
      <x:c r="A288" s="10"/>
      <x:c r="B288" s="10"/>
      <x:c r="C288" s="10"/>
      <x:c r="D288" s="10"/>
      <x:c r="E288" s="10"/>
      <x:c r="F288" s="10"/>
      <x:c r="G288" s="10"/>
      <x:c r="H288" s="10"/>
      <x:c r="I288" s="10"/>
      <x:c r="J288" s="10"/>
    </x:row>
    <x:row r="289" ht="14.25" customHeight="1">
      <x:c r="A289" s="10"/>
      <x:c r="B289" s="10"/>
      <x:c r="C289" s="10"/>
      <x:c r="D289" s="10"/>
      <x:c r="E289" s="10"/>
      <x:c r="F289" s="10"/>
      <x:c r="G289" s="10"/>
      <x:c r="H289" s="10"/>
      <x:c r="I289" s="10"/>
      <x:c r="J289" s="10"/>
    </x:row>
    <x:row r="290" ht="14.25" customHeight="1">
      <x:c r="A290" s="10"/>
      <x:c r="B290" s="10"/>
      <x:c r="C290" s="10"/>
      <x:c r="D290" s="10"/>
      <x:c r="E290" s="10"/>
      <x:c r="F290" s="10"/>
      <x:c r="G290" s="10"/>
      <x:c r="H290" s="10"/>
      <x:c r="I290" s="10"/>
      <x:c r="J290" s="10"/>
    </x:row>
    <x:row r="291" ht="14.25" customHeight="1">
      <x:c r="A291" s="10"/>
      <x:c r="B291" s="10"/>
      <x:c r="C291" s="10"/>
      <x:c r="D291" s="10"/>
      <x:c r="E291" s="10"/>
      <x:c r="F291" s="10"/>
      <x:c r="G291" s="10"/>
      <x:c r="H291" s="10"/>
      <x:c r="I291" s="10"/>
      <x:c r="J291" s="10"/>
    </x:row>
    <x:row r="292" ht="14.25" customHeight="1">
      <x:c r="A292" s="10"/>
      <x:c r="B292" s="10"/>
      <x:c r="C292" s="10"/>
      <x:c r="D292" s="10"/>
      <x:c r="E292" s="10"/>
      <x:c r="F292" s="10"/>
      <x:c r="G292" s="10"/>
      <x:c r="H292" s="10"/>
      <x:c r="I292" s="10"/>
      <x:c r="J292" s="10"/>
    </x:row>
    <x:row r="293" ht="14.25" customHeight="1">
      <x:c r="A293" s="10"/>
      <x:c r="B293" s="10"/>
      <x:c r="C293" s="10"/>
      <x:c r="D293" s="10"/>
      <x:c r="E293" s="10"/>
      <x:c r="F293" s="10"/>
      <x:c r="G293" s="10"/>
      <x:c r="H293" s="10"/>
      <x:c r="I293" s="10"/>
      <x:c r="J293" s="10"/>
    </x:row>
    <x:row r="294" ht="14.25" customHeight="1">
      <x:c r="A294" s="10"/>
      <x:c r="B294" s="10"/>
      <x:c r="C294" s="10"/>
      <x:c r="D294" s="10"/>
      <x:c r="E294" s="10"/>
      <x:c r="F294" s="10"/>
      <x:c r="G294" s="10"/>
      <x:c r="H294" s="10"/>
      <x:c r="I294" s="10"/>
      <x:c r="J294" s="10"/>
    </x:row>
    <x:row r="295" ht="14.25" customHeight="1">
      <x:c r="A295" s="10"/>
      <x:c r="B295" s="10"/>
      <x:c r="C295" s="10"/>
      <x:c r="D295" s="10"/>
      <x:c r="E295" s="10"/>
      <x:c r="F295" s="10"/>
      <x:c r="G295" s="10"/>
      <x:c r="H295" s="10"/>
      <x:c r="I295" s="10"/>
      <x:c r="J295" s="10"/>
    </x:row>
    <x:row r="296" ht="14.25" customHeight="1">
      <x:c r="A296" s="10"/>
      <x:c r="B296" s="10"/>
      <x:c r="C296" s="10"/>
      <x:c r="D296" s="10"/>
      <x:c r="E296" s="10"/>
      <x:c r="F296" s="10"/>
      <x:c r="G296" s="10"/>
      <x:c r="H296" s="10"/>
      <x:c r="I296" s="10"/>
      <x:c r="J296" s="10"/>
    </x:row>
    <x:row r="297" ht="14.25" customHeight="1">
      <x:c r="A297" s="10"/>
      <x:c r="B297" s="10"/>
      <x:c r="C297" s="10"/>
      <x:c r="D297" s="10"/>
      <x:c r="E297" s="10"/>
      <x:c r="F297" s="10"/>
      <x:c r="G297" s="10"/>
      <x:c r="H297" s="10"/>
      <x:c r="I297" s="10"/>
      <x:c r="J297" s="10"/>
    </x:row>
    <x:row r="298" ht="14.25" customHeight="1">
      <x:c r="A298" s="10"/>
      <x:c r="B298" s="10"/>
      <x:c r="C298" s="10"/>
      <x:c r="D298" s="10"/>
      <x:c r="E298" s="10"/>
      <x:c r="F298" s="10"/>
      <x:c r="G298" s="10"/>
      <x:c r="H298" s="10"/>
      <x:c r="I298" s="10"/>
      <x:c r="J298" s="10"/>
    </x:row>
    <x:row r="299" ht="14.25" customHeight="1">
      <x:c r="A299" s="10"/>
      <x:c r="B299" s="10"/>
      <x:c r="C299" s="10"/>
      <x:c r="D299" s="10"/>
      <x:c r="E299" s="10"/>
      <x:c r="F299" s="10"/>
      <x:c r="G299" s="10"/>
      <x:c r="H299" s="10"/>
      <x:c r="I299" s="10"/>
      <x:c r="J299" s="10"/>
    </x:row>
    <x:row r="300" ht="14.25" customHeight="1">
      <x:c r="A300" s="10"/>
      <x:c r="B300" s="10"/>
      <x:c r="C300" s="10"/>
      <x:c r="D300" s="10"/>
      <x:c r="E300" s="10"/>
      <x:c r="F300" s="10"/>
      <x:c r="G300" s="10"/>
      <x:c r="H300" s="10"/>
      <x:c r="I300" s="10"/>
      <x:c r="J300" s="10"/>
    </x:row>
    <x:row r="301" ht="14.25" customHeight="1">
      <x:c r="A301" s="10"/>
      <x:c r="B301" s="10"/>
      <x:c r="C301" s="10"/>
      <x:c r="D301" s="10"/>
      <x:c r="E301" s="10"/>
      <x:c r="F301" s="10"/>
      <x:c r="G301" s="10"/>
      <x:c r="H301" s="10"/>
      <x:c r="I301" s="10"/>
      <x:c r="J301" s="10"/>
    </x:row>
    <x:row r="302" ht="14.25" customHeight="1">
      <x:c r="A302" s="10"/>
      <x:c r="B302" s="10"/>
      <x:c r="C302" s="10"/>
      <x:c r="D302" s="10"/>
      <x:c r="E302" s="10"/>
      <x:c r="F302" s="10"/>
      <x:c r="G302" s="10"/>
      <x:c r="H302" s="10"/>
      <x:c r="I302" s="10"/>
      <x:c r="J302" s="10"/>
    </x:row>
    <x:row r="303" ht="14.25" customHeight="1">
      <x:c r="A303" s="10"/>
      <x:c r="B303" s="10"/>
      <x:c r="C303" s="10"/>
      <x:c r="D303" s="10"/>
      <x:c r="E303" s="10"/>
      <x:c r="F303" s="10"/>
      <x:c r="G303" s="10"/>
      <x:c r="H303" s="10"/>
      <x:c r="I303" s="10"/>
      <x:c r="J303" s="10"/>
    </x:row>
    <x:row r="304" ht="14.25" customHeight="1">
      <x:c r="A304" s="10"/>
      <x:c r="B304" s="10"/>
      <x:c r="C304" s="10"/>
      <x:c r="D304" s="10"/>
      <x:c r="E304" s="10"/>
      <x:c r="F304" s="10"/>
      <x:c r="G304" s="10"/>
      <x:c r="H304" s="10"/>
      <x:c r="I304" s="10"/>
      <x:c r="J304" s="10"/>
    </x:row>
    <x:row r="305" ht="14.25" customHeight="1">
      <x:c r="A305" s="10"/>
      <x:c r="B305" s="10"/>
      <x:c r="C305" s="10"/>
      <x:c r="D305" s="10"/>
      <x:c r="E305" s="10"/>
      <x:c r="F305" s="10"/>
      <x:c r="G305" s="10"/>
      <x:c r="H305" s="10"/>
      <x:c r="I305" s="10"/>
      <x:c r="J305" s="10"/>
    </x:row>
    <x:row r="306" ht="14.25" customHeight="1">
      <x:c r="A306" s="10"/>
      <x:c r="B306" s="10"/>
      <x:c r="C306" s="10"/>
      <x:c r="D306" s="10"/>
      <x:c r="E306" s="10"/>
      <x:c r="F306" s="10"/>
      <x:c r="G306" s="10"/>
      <x:c r="H306" s="10"/>
      <x:c r="I306" s="10"/>
      <x:c r="J306" s="10"/>
    </x:row>
    <x:row r="307" ht="14.25" customHeight="1">
      <x:c r="A307" s="10"/>
      <x:c r="B307" s="10"/>
      <x:c r="C307" s="10"/>
      <x:c r="D307" s="10"/>
      <x:c r="E307" s="10"/>
      <x:c r="F307" s="10"/>
      <x:c r="G307" s="10"/>
      <x:c r="H307" s="10"/>
      <x:c r="I307" s="10"/>
      <x:c r="J307" s="10"/>
    </x:row>
    <x:row r="308" ht="14.25" customHeight="1">
      <x:c r="A308" s="10"/>
      <x:c r="B308" s="10"/>
      <x:c r="C308" s="10"/>
      <x:c r="D308" s="10"/>
      <x:c r="E308" s="10"/>
      <x:c r="F308" s="10"/>
      <x:c r="G308" s="10"/>
      <x:c r="H308" s="10"/>
      <x:c r="I308" s="10"/>
      <x:c r="J308" s="10"/>
    </x:row>
    <x:row r="309" ht="14.25" customHeight="1">
      <x:c r="A309" s="10"/>
      <x:c r="B309" s="10"/>
      <x:c r="C309" s="10"/>
      <x:c r="D309" s="10"/>
      <x:c r="E309" s="10"/>
      <x:c r="F309" s="10"/>
      <x:c r="G309" s="10"/>
      <x:c r="H309" s="10"/>
      <x:c r="I309" s="10"/>
      <x:c r="J309" s="10"/>
    </x:row>
    <x:row r="310" ht="14.25" customHeight="1">
      <x:c r="A310" s="10"/>
      <x:c r="B310" s="10"/>
      <x:c r="C310" s="10"/>
      <x:c r="D310" s="10"/>
      <x:c r="E310" s="10"/>
      <x:c r="F310" s="10"/>
      <x:c r="G310" s="10"/>
      <x:c r="H310" s="10"/>
      <x:c r="I310" s="10"/>
      <x:c r="J310" s="10"/>
    </x:row>
    <x:row r="311" ht="14.25" customHeight="1">
      <x:c r="A311" s="10"/>
      <x:c r="B311" s="10"/>
      <x:c r="C311" s="10"/>
      <x:c r="D311" s="10"/>
      <x:c r="E311" s="10"/>
      <x:c r="F311" s="10"/>
      <x:c r="G311" s="10"/>
      <x:c r="H311" s="10"/>
      <x:c r="I311" s="10"/>
      <x:c r="J311" s="10"/>
    </x:row>
    <x:row r="312" ht="14.25" customHeight="1">
      <x:c r="A312" s="10"/>
      <x:c r="B312" s="10"/>
      <x:c r="C312" s="10"/>
      <x:c r="D312" s="10"/>
      <x:c r="E312" s="10"/>
      <x:c r="F312" s="10"/>
      <x:c r="G312" s="10"/>
      <x:c r="H312" s="10"/>
      <x:c r="I312" s="10"/>
      <x:c r="J312" s="10"/>
    </x:row>
    <x:row r="313" ht="14.25" customHeight="1">
      <x:c r="A313" s="10"/>
      <x:c r="B313" s="10"/>
      <x:c r="C313" s="10"/>
      <x:c r="D313" s="10"/>
      <x:c r="E313" s="10"/>
      <x:c r="F313" s="10"/>
      <x:c r="G313" s="10"/>
      <x:c r="H313" s="10"/>
      <x:c r="I313" s="10"/>
      <x:c r="J313" s="10"/>
    </x:row>
    <x:row r="314" ht="14.25" customHeight="1">
      <x:c r="A314" s="10"/>
      <x:c r="B314" s="10"/>
      <x:c r="C314" s="10"/>
      <x:c r="D314" s="10"/>
      <x:c r="E314" s="10"/>
      <x:c r="F314" s="10"/>
      <x:c r="G314" s="10"/>
      <x:c r="H314" s="10"/>
      <x:c r="I314" s="10"/>
      <x:c r="J314" s="10"/>
    </x:row>
    <x:row r="315" ht="14.25" customHeight="1">
      <x:c r="A315" s="10"/>
      <x:c r="B315" s="10"/>
      <x:c r="C315" s="10"/>
      <x:c r="D315" s="10"/>
      <x:c r="E315" s="10"/>
      <x:c r="F315" s="10"/>
      <x:c r="G315" s="10"/>
      <x:c r="H315" s="10"/>
      <x:c r="I315" s="10"/>
      <x:c r="J315" s="10"/>
    </x:row>
    <x:row r="316" ht="14.25" customHeight="1">
      <x:c r="A316" s="10"/>
      <x:c r="B316" s="10"/>
      <x:c r="C316" s="10"/>
      <x:c r="D316" s="10"/>
      <x:c r="E316" s="10"/>
      <x:c r="F316" s="10"/>
      <x:c r="G316" s="10"/>
      <x:c r="H316" s="10"/>
      <x:c r="I316" s="10"/>
      <x:c r="J316" s="10"/>
    </x:row>
    <x:row r="317" ht="14.25" customHeight="1">
      <x:c r="A317" s="10"/>
      <x:c r="B317" s="10"/>
      <x:c r="C317" s="10"/>
      <x:c r="D317" s="10"/>
      <x:c r="E317" s="10"/>
      <x:c r="F317" s="10"/>
      <x:c r="G317" s="10"/>
      <x:c r="H317" s="10"/>
      <x:c r="I317" s="10"/>
      <x:c r="J317" s="10"/>
    </x:row>
    <x:row r="318" ht="14.25" customHeight="1">
      <x:c r="A318" s="10"/>
      <x:c r="B318" s="10"/>
      <x:c r="C318" s="10"/>
      <x:c r="D318" s="10"/>
      <x:c r="E318" s="10"/>
      <x:c r="F318" s="10"/>
      <x:c r="G318" s="10"/>
      <x:c r="H318" s="10"/>
      <x:c r="I318" s="10"/>
      <x:c r="J318" s="10"/>
    </x:row>
    <x:row r="319" ht="14.25" customHeight="1">
      <x:c r="A319" s="10"/>
      <x:c r="B319" s="10"/>
      <x:c r="C319" s="10"/>
      <x:c r="D319" s="10"/>
      <x:c r="E319" s="10"/>
      <x:c r="F319" s="10"/>
      <x:c r="G319" s="10"/>
      <x:c r="H319" s="10"/>
      <x:c r="I319" s="10"/>
      <x:c r="J319" s="10"/>
    </x:row>
    <x:row r="320" ht="14.25" customHeight="1">
      <x:c r="A320" s="10"/>
      <x:c r="B320" s="10"/>
      <x:c r="C320" s="10"/>
      <x:c r="D320" s="10"/>
      <x:c r="E320" s="10"/>
      <x:c r="F320" s="10"/>
      <x:c r="G320" s="10"/>
      <x:c r="H320" s="10"/>
      <x:c r="I320" s="10"/>
      <x:c r="J320" s="10"/>
    </x:row>
    <x:row r="321" ht="14.25" customHeight="1">
      <x:c r="A321" s="10"/>
      <x:c r="B321" s="10"/>
      <x:c r="C321" s="10"/>
      <x:c r="D321" s="10"/>
      <x:c r="E321" s="10"/>
      <x:c r="F321" s="10"/>
      <x:c r="G321" s="10"/>
      <x:c r="H321" s="10"/>
      <x:c r="I321" s="10"/>
      <x:c r="J321" s="10"/>
    </x:row>
    <x:row r="322" ht="14.25" customHeight="1">
      <x:c r="A322" s="10"/>
      <x:c r="B322" s="10"/>
      <x:c r="C322" s="10"/>
      <x:c r="D322" s="10"/>
      <x:c r="E322" s="10"/>
      <x:c r="F322" s="10"/>
      <x:c r="G322" s="10"/>
      <x:c r="H322" s="10"/>
      <x:c r="I322" s="10"/>
      <x:c r="J322" s="10"/>
    </x:row>
    <x:row r="323" ht="14.25" customHeight="1">
      <x:c r="A323" s="10"/>
      <x:c r="B323" s="10"/>
      <x:c r="C323" s="10"/>
      <x:c r="D323" s="10"/>
      <x:c r="E323" s="10"/>
      <x:c r="F323" s="10"/>
      <x:c r="G323" s="10"/>
      <x:c r="H323" s="10"/>
      <x:c r="I323" s="10"/>
      <x:c r="J323" s="10"/>
    </x:row>
    <x:row r="324" ht="14.25" customHeight="1">
      <x:c r="A324" s="10"/>
      <x:c r="B324" s="10"/>
      <x:c r="C324" s="10"/>
      <x:c r="D324" s="10"/>
      <x:c r="E324" s="10"/>
      <x:c r="F324" s="10"/>
      <x:c r="G324" s="10"/>
      <x:c r="H324" s="10"/>
      <x:c r="I324" s="10"/>
      <x:c r="J324" s="10"/>
    </x:row>
    <x:row r="325" ht="14.25" customHeight="1">
      <x:c r="A325" s="10"/>
      <x:c r="B325" s="10"/>
      <x:c r="C325" s="10"/>
      <x:c r="D325" s="10"/>
      <x:c r="E325" s="10"/>
      <x:c r="F325" s="10"/>
      <x:c r="G325" s="10"/>
      <x:c r="H325" s="10"/>
      <x:c r="I325" s="10"/>
      <x:c r="J325" s="10"/>
    </x:row>
    <x:row r="326" ht="14.25" customHeight="1">
      <x:c r="A326" s="10"/>
      <x:c r="B326" s="10"/>
      <x:c r="C326" s="10"/>
      <x:c r="D326" s="10"/>
      <x:c r="E326" s="10"/>
      <x:c r="F326" s="10"/>
      <x:c r="G326" s="10"/>
      <x:c r="H326" s="10"/>
      <x:c r="I326" s="10"/>
      <x:c r="J326" s="10"/>
    </x:row>
    <x:row r="327" ht="14.25" customHeight="1">
      <x:c r="A327" s="10"/>
      <x:c r="B327" s="10"/>
      <x:c r="C327" s="10"/>
      <x:c r="D327" s="10"/>
      <x:c r="E327" s="10"/>
      <x:c r="F327" s="10"/>
      <x:c r="G327" s="10"/>
      <x:c r="H327" s="10"/>
      <x:c r="I327" s="10"/>
      <x:c r="J327" s="10"/>
    </x:row>
    <x:row r="328" ht="14.25" customHeight="1">
      <x:c r="A328" s="10"/>
      <x:c r="B328" s="10"/>
      <x:c r="C328" s="10"/>
      <x:c r="D328" s="10"/>
      <x:c r="E328" s="10"/>
      <x:c r="F328" s="10"/>
      <x:c r="G328" s="10"/>
      <x:c r="H328" s="10"/>
      <x:c r="I328" s="10"/>
      <x:c r="J328" s="10"/>
    </x:row>
    <x:row r="329" ht="14.25" customHeight="1">
      <x:c r="A329" s="10"/>
      <x:c r="B329" s="10"/>
      <x:c r="C329" s="10"/>
      <x:c r="D329" s="10"/>
      <x:c r="E329" s="10"/>
      <x:c r="F329" s="10"/>
      <x:c r="G329" s="10"/>
      <x:c r="H329" s="10"/>
      <x:c r="I329" s="10"/>
      <x:c r="J329" s="10"/>
    </x:row>
    <x:row r="330" ht="14.25" customHeight="1">
      <x:c r="A330" s="10"/>
      <x:c r="B330" s="10"/>
      <x:c r="C330" s="10"/>
      <x:c r="D330" s="10"/>
      <x:c r="E330" s="10"/>
      <x:c r="F330" s="10"/>
      <x:c r="G330" s="10"/>
      <x:c r="H330" s="10"/>
      <x:c r="I330" s="10"/>
      <x:c r="J330" s="10"/>
    </x:row>
    <x:row r="331" ht="14.25" customHeight="1">
      <x:c r="A331" s="10"/>
      <x:c r="B331" s="10"/>
      <x:c r="C331" s="10"/>
      <x:c r="D331" s="10"/>
      <x:c r="E331" s="10"/>
      <x:c r="F331" s="10"/>
      <x:c r="G331" s="10"/>
      <x:c r="H331" s="10"/>
      <x:c r="I331" s="10"/>
      <x:c r="J331" s="10"/>
    </x:row>
    <x:row r="332" ht="14.25" customHeight="1">
      <x:c r="A332" s="10"/>
      <x:c r="B332" s="10"/>
      <x:c r="C332" s="10"/>
      <x:c r="D332" s="10"/>
      <x:c r="E332" s="10"/>
      <x:c r="F332" s="10"/>
      <x:c r="G332" s="10"/>
      <x:c r="H332" s="10"/>
      <x:c r="I332" s="10"/>
      <x:c r="J332" s="10"/>
    </x:row>
    <x:row r="333" ht="14.25" customHeight="1">
      <x:c r="A333" s="10"/>
      <x:c r="B333" s="10"/>
      <x:c r="C333" s="10"/>
      <x:c r="D333" s="10"/>
      <x:c r="E333" s="10"/>
      <x:c r="F333" s="10"/>
      <x:c r="G333" s="10"/>
      <x:c r="H333" s="10"/>
      <x:c r="I333" s="10"/>
      <x:c r="J333" s="10"/>
    </x:row>
    <x:row r="334" ht="14.25" customHeight="1">
      <x:c r="A334" s="10"/>
      <x:c r="B334" s="10"/>
      <x:c r="C334" s="10"/>
      <x:c r="D334" s="10"/>
      <x:c r="E334" s="10"/>
      <x:c r="F334" s="10"/>
      <x:c r="G334" s="10"/>
      <x:c r="H334" s="10"/>
      <x:c r="I334" s="10"/>
      <x:c r="J334" s="10"/>
    </x:row>
    <x:row r="335" ht="14.25" customHeight="1">
      <x:c r="A335" s="10"/>
      <x:c r="B335" s="10"/>
      <x:c r="C335" s="10"/>
      <x:c r="D335" s="10"/>
      <x:c r="E335" s="10"/>
      <x:c r="F335" s="10"/>
      <x:c r="G335" s="10"/>
      <x:c r="H335" s="10"/>
      <x:c r="I335" s="10"/>
      <x:c r="J335" s="10"/>
    </x:row>
    <x:row r="336" ht="14.25" customHeight="1">
      <x:c r="A336" s="10"/>
      <x:c r="B336" s="10"/>
      <x:c r="C336" s="10"/>
      <x:c r="D336" s="10"/>
      <x:c r="E336" s="10"/>
      <x:c r="F336" s="10"/>
      <x:c r="G336" s="10"/>
      <x:c r="H336" s="10"/>
      <x:c r="I336" s="10"/>
      <x:c r="J336" s="10"/>
    </x:row>
    <x:row r="337" ht="14.25" customHeight="1">
      <x:c r="A337" s="10"/>
      <x:c r="B337" s="10"/>
      <x:c r="C337" s="10"/>
      <x:c r="D337" s="10"/>
      <x:c r="E337" s="10"/>
      <x:c r="F337" s="10"/>
      <x:c r="G337" s="10"/>
      <x:c r="H337" s="10"/>
      <x:c r="I337" s="10"/>
      <x:c r="J337" s="10"/>
    </x:row>
    <x:row r="338" ht="14.25" customHeight="1">
      <x:c r="A338" s="10"/>
      <x:c r="B338" s="10"/>
      <x:c r="C338" s="10"/>
      <x:c r="D338" s="10"/>
      <x:c r="E338" s="10"/>
      <x:c r="F338" s="10"/>
      <x:c r="G338" s="10"/>
      <x:c r="H338" s="10"/>
      <x:c r="I338" s="10"/>
      <x:c r="J338" s="10"/>
    </x:row>
    <x:row r="339" ht="14.25" customHeight="1">
      <x:c r="A339" s="10"/>
      <x:c r="B339" s="10"/>
      <x:c r="C339" s="10"/>
      <x:c r="D339" s="10"/>
      <x:c r="E339" s="10"/>
      <x:c r="F339" s="10"/>
      <x:c r="G339" s="10"/>
      <x:c r="H339" s="10"/>
      <x:c r="I339" s="10"/>
      <x:c r="J339" s="10"/>
    </x:row>
    <x:row r="340" ht="14.25" customHeight="1">
      <x:c r="A340" s="10"/>
      <x:c r="B340" s="10"/>
      <x:c r="C340" s="10"/>
      <x:c r="D340" s="10"/>
      <x:c r="E340" s="10"/>
      <x:c r="F340" s="10"/>
      <x:c r="G340" s="10"/>
      <x:c r="H340" s="10"/>
      <x:c r="I340" s="10"/>
      <x:c r="J340" s="10"/>
    </x:row>
    <x:row r="341" ht="14.25" customHeight="1">
      <x:c r="A341" s="10"/>
      <x:c r="B341" s="10"/>
      <x:c r="C341" s="10"/>
      <x:c r="D341" s="10"/>
      <x:c r="E341" s="10"/>
      <x:c r="F341" s="10"/>
      <x:c r="G341" s="10"/>
      <x:c r="H341" s="10"/>
      <x:c r="I341" s="10"/>
      <x:c r="J341" s="10"/>
    </x:row>
    <x:row r="342" ht="14.25" customHeight="1">
      <x:c r="A342" s="10"/>
      <x:c r="B342" s="10"/>
      <x:c r="C342" s="10"/>
      <x:c r="D342" s="10"/>
      <x:c r="E342" s="10"/>
      <x:c r="F342" s="10"/>
      <x:c r="G342" s="10"/>
      <x:c r="H342" s="10"/>
      <x:c r="I342" s="10"/>
      <x:c r="J342" s="10"/>
    </x:row>
    <x:row r="343" ht="14.25" customHeight="1">
      <x:c r="A343" s="10"/>
      <x:c r="B343" s="10"/>
      <x:c r="C343" s="10"/>
      <x:c r="D343" s="10"/>
      <x:c r="E343" s="10"/>
      <x:c r="F343" s="10"/>
      <x:c r="G343" s="10"/>
      <x:c r="H343" s="10"/>
      <x:c r="I343" s="10"/>
      <x:c r="J343" s="10"/>
    </x:row>
    <x:row r="344" ht="14.25" customHeight="1">
      <x:c r="A344" s="10"/>
      <x:c r="B344" s="10"/>
      <x:c r="C344" s="10"/>
      <x:c r="D344" s="10"/>
      <x:c r="E344" s="10"/>
      <x:c r="F344" s="10"/>
      <x:c r="G344" s="10"/>
      <x:c r="H344" s="10"/>
      <x:c r="I344" s="10"/>
      <x:c r="J344" s="10"/>
    </x:row>
    <x:row r="345" ht="14.25" customHeight="1">
      <x:c r="A345" s="10"/>
      <x:c r="B345" s="10"/>
      <x:c r="C345" s="10"/>
      <x:c r="D345" s="10"/>
      <x:c r="E345" s="10"/>
      <x:c r="F345" s="10"/>
      <x:c r="G345" s="10"/>
      <x:c r="H345" s="10"/>
      <x:c r="I345" s="10"/>
      <x:c r="J345" s="10"/>
    </x:row>
    <x:row r="346" ht="14.25" customHeight="1">
      <x:c r="A346" s="10"/>
      <x:c r="B346" s="10"/>
      <x:c r="C346" s="10"/>
      <x:c r="D346" s="10"/>
      <x:c r="E346" s="10"/>
      <x:c r="F346" s="10"/>
      <x:c r="G346" s="10"/>
      <x:c r="H346" s="10"/>
      <x:c r="I346" s="10"/>
      <x:c r="J346" s="10"/>
    </x:row>
    <x:row r="347" ht="14.25" customHeight="1">
      <x:c r="A347" s="10"/>
      <x:c r="B347" s="10"/>
      <x:c r="C347" s="10"/>
      <x:c r="D347" s="10"/>
      <x:c r="E347" s="10"/>
      <x:c r="F347" s="10"/>
      <x:c r="G347" s="10"/>
      <x:c r="H347" s="10"/>
      <x:c r="I347" s="10"/>
      <x:c r="J347" s="10"/>
    </x:row>
    <x:row r="348" ht="14.25" customHeight="1">
      <x:c r="A348" s="10"/>
      <x:c r="B348" s="10"/>
      <x:c r="C348" s="10"/>
      <x:c r="D348" s="10"/>
      <x:c r="E348" s="10"/>
      <x:c r="F348" s="10"/>
      <x:c r="G348" s="10"/>
      <x:c r="H348" s="10"/>
      <x:c r="I348" s="10"/>
      <x:c r="J348" s="10"/>
    </x:row>
    <x:row r="349" ht="14.25" customHeight="1">
      <x:c r="A349" s="10"/>
      <x:c r="B349" s="10"/>
      <x:c r="C349" s="10"/>
      <x:c r="D349" s="10"/>
      <x:c r="E349" s="10"/>
      <x:c r="F349" s="10"/>
      <x:c r="G349" s="10"/>
      <x:c r="H349" s="10"/>
      <x:c r="I349" s="10"/>
      <x:c r="J349" s="10"/>
    </x:row>
    <x:row r="350" ht="14.25" customHeight="1">
      <x:c r="A350" s="10"/>
      <x:c r="B350" s="10"/>
      <x:c r="C350" s="10"/>
      <x:c r="D350" s="10"/>
      <x:c r="E350" s="10"/>
      <x:c r="F350" s="10"/>
      <x:c r="G350" s="10"/>
      <x:c r="H350" s="10"/>
      <x:c r="I350" s="10"/>
      <x:c r="J350" s="10"/>
    </x:row>
    <x:row r="351" ht="14.25" customHeight="1">
      <x:c r="A351" s="10"/>
      <x:c r="B351" s="10"/>
      <x:c r="C351" s="10"/>
      <x:c r="D351" s="10"/>
      <x:c r="E351" s="10"/>
      <x:c r="F351" s="10"/>
      <x:c r="G351" s="10"/>
      <x:c r="H351" s="10"/>
      <x:c r="I351" s="10"/>
      <x:c r="J351" s="10"/>
    </x:row>
    <x:row r="352" ht="14.25" customHeight="1">
      <x:c r="A352" s="10"/>
      <x:c r="B352" s="10"/>
      <x:c r="C352" s="10"/>
      <x:c r="D352" s="10"/>
      <x:c r="E352" s="10"/>
      <x:c r="F352" s="10"/>
      <x:c r="G352" s="10"/>
      <x:c r="H352" s="10"/>
      <x:c r="I352" s="10"/>
      <x:c r="J352" s="10"/>
    </x:row>
    <x:row r="353" ht="14.25" customHeight="1">
      <x:c r="A353" s="10"/>
      <x:c r="B353" s="10"/>
      <x:c r="C353" s="10"/>
      <x:c r="D353" s="10"/>
      <x:c r="E353" s="10"/>
      <x:c r="F353" s="10"/>
      <x:c r="G353" s="10"/>
      <x:c r="H353" s="10"/>
      <x:c r="I353" s="10"/>
      <x:c r="J353" s="10"/>
    </x:row>
    <x:row r="354" ht="14.25" customHeight="1">
      <x:c r="A354" s="10"/>
      <x:c r="B354" s="10"/>
      <x:c r="C354" s="10"/>
      <x:c r="D354" s="10"/>
      <x:c r="E354" s="10"/>
      <x:c r="F354" s="10"/>
      <x:c r="G354" s="10"/>
      <x:c r="H354" s="10"/>
      <x:c r="I354" s="10"/>
      <x:c r="J354" s="10"/>
    </x:row>
    <x:row r="355" ht="14.25" customHeight="1">
      <x:c r="A355" s="10"/>
      <x:c r="B355" s="10"/>
      <x:c r="C355" s="10"/>
      <x:c r="D355" s="10"/>
      <x:c r="E355" s="10"/>
      <x:c r="F355" s="10"/>
      <x:c r="G355" s="10"/>
      <x:c r="H355" s="10"/>
      <x:c r="I355" s="10"/>
      <x:c r="J355" s="10"/>
    </x:row>
    <x:row r="356" ht="14.25" customHeight="1">
      <x:c r="A356" s="10"/>
      <x:c r="B356" s="10"/>
      <x:c r="C356" s="10"/>
      <x:c r="D356" s="10"/>
      <x:c r="E356" s="10"/>
      <x:c r="F356" s="10"/>
      <x:c r="G356" s="10"/>
      <x:c r="H356" s="10"/>
      <x:c r="I356" s="10"/>
      <x:c r="J356" s="10"/>
    </x:row>
    <x:row r="357" ht="14.25" customHeight="1">
      <x:c r="A357" s="10"/>
      <x:c r="B357" s="10"/>
      <x:c r="C357" s="10"/>
      <x:c r="D357" s="10"/>
      <x:c r="E357" s="10"/>
      <x:c r="F357" s="10"/>
      <x:c r="G357" s="10"/>
      <x:c r="H357" s="10"/>
      <x:c r="I357" s="10"/>
      <x:c r="J357" s="10"/>
    </x:row>
    <x:row r="358" ht="14.25" customHeight="1">
      <x:c r="A358" s="10"/>
      <x:c r="B358" s="10"/>
      <x:c r="C358" s="10"/>
      <x:c r="D358" s="10"/>
      <x:c r="E358" s="10"/>
      <x:c r="F358" s="10"/>
      <x:c r="G358" s="10"/>
      <x:c r="H358" s="10"/>
      <x:c r="I358" s="10"/>
      <x:c r="J358" s="10"/>
    </x:row>
    <x:row r="359" ht="14.25" customHeight="1">
      <x:c r="A359" s="10"/>
      <x:c r="B359" s="10"/>
      <x:c r="C359" s="10"/>
      <x:c r="D359" s="10"/>
      <x:c r="E359" s="10"/>
      <x:c r="F359" s="10"/>
      <x:c r="G359" s="10"/>
      <x:c r="H359" s="10"/>
      <x:c r="I359" s="10"/>
      <x:c r="J359" s="10"/>
    </x:row>
    <x:row r="360" ht="14.25" customHeight="1">
      <x:c r="A360" s="10"/>
      <x:c r="B360" s="10"/>
      <x:c r="C360" s="10"/>
      <x:c r="D360" s="10"/>
      <x:c r="E360" s="10"/>
      <x:c r="F360" s="10"/>
      <x:c r="G360" s="10"/>
      <x:c r="H360" s="10"/>
      <x:c r="I360" s="10"/>
      <x:c r="J360" s="10"/>
    </x:row>
    <x:row r="361" ht="14.25" customHeight="1">
      <x:c r="A361" s="10"/>
      <x:c r="B361" s="10"/>
      <x:c r="C361" s="10"/>
      <x:c r="D361" s="10"/>
      <x:c r="E361" s="10"/>
      <x:c r="F361" s="10"/>
      <x:c r="G361" s="10"/>
      <x:c r="H361" s="10"/>
      <x:c r="I361" s="10"/>
      <x:c r="J361" s="10"/>
    </x:row>
    <x:row r="362" ht="14.25" customHeight="1">
      <x:c r="A362" s="10"/>
      <x:c r="B362" s="10"/>
      <x:c r="C362" s="10"/>
      <x:c r="D362" s="10"/>
      <x:c r="E362" s="10"/>
      <x:c r="F362" s="10"/>
      <x:c r="G362" s="10"/>
      <x:c r="H362" s="10"/>
      <x:c r="I362" s="10"/>
      <x:c r="J362" s="10"/>
    </x:row>
    <x:row r="363" ht="14.25" customHeight="1">
      <x:c r="A363" s="10"/>
      <x:c r="B363" s="10"/>
      <x:c r="C363" s="10"/>
      <x:c r="D363" s="10"/>
      <x:c r="E363" s="10"/>
      <x:c r="F363" s="10"/>
      <x:c r="G363" s="10"/>
      <x:c r="H363" s="10"/>
      <x:c r="I363" s="10"/>
      <x:c r="J363" s="10"/>
    </x:row>
    <x:row r="364" ht="14.25" customHeight="1">
      <x:c r="A364" s="10"/>
      <x:c r="B364" s="10"/>
      <x:c r="C364" s="10"/>
      <x:c r="D364" s="10"/>
      <x:c r="E364" s="10"/>
      <x:c r="F364" s="10"/>
      <x:c r="G364" s="10"/>
      <x:c r="H364" s="10"/>
      <x:c r="I364" s="10"/>
      <x:c r="J364" s="10"/>
    </x:row>
    <x:row r="365" ht="14.25" customHeight="1">
      <x:c r="A365" s="10"/>
      <x:c r="B365" s="10"/>
      <x:c r="C365" s="10"/>
      <x:c r="D365" s="10"/>
      <x:c r="E365" s="10"/>
      <x:c r="F365" s="10"/>
      <x:c r="G365" s="10"/>
      <x:c r="H365" s="10"/>
      <x:c r="I365" s="10"/>
      <x:c r="J365" s="10"/>
    </x:row>
    <x:row r="366" ht="14.25" customHeight="1">
      <x:c r="A366" s="10"/>
      <x:c r="B366" s="10"/>
      <x:c r="C366" s="10"/>
      <x:c r="D366" s="10"/>
      <x:c r="E366" s="10"/>
      <x:c r="F366" s="10"/>
      <x:c r="G366" s="10"/>
      <x:c r="H366" s="10"/>
      <x:c r="I366" s="10"/>
      <x:c r="J366" s="10"/>
    </x:row>
    <x:row r="367" ht="14.25" customHeight="1">
      <x:c r="A367" s="10"/>
      <x:c r="B367" s="10"/>
      <x:c r="C367" s="10"/>
      <x:c r="D367" s="10"/>
      <x:c r="E367" s="10"/>
      <x:c r="F367" s="10"/>
      <x:c r="G367" s="10"/>
      <x:c r="H367" s="10"/>
      <x:c r="I367" s="10"/>
      <x:c r="J367" s="10"/>
    </x:row>
    <x:row r="368" ht="14.25" customHeight="1">
      <x:c r="A368" s="10"/>
      <x:c r="B368" s="10"/>
      <x:c r="C368" s="10"/>
      <x:c r="D368" s="10"/>
      <x:c r="E368" s="10"/>
      <x:c r="F368" s="10"/>
      <x:c r="G368" s="10"/>
      <x:c r="H368" s="10"/>
      <x:c r="I368" s="10"/>
      <x:c r="J368" s="10"/>
    </x:row>
    <x:row r="369" ht="14.25" customHeight="1">
      <x:c r="A369" s="10"/>
      <x:c r="B369" s="10"/>
      <x:c r="C369" s="10"/>
      <x:c r="D369" s="10"/>
      <x:c r="E369" s="10"/>
      <x:c r="F369" s="10"/>
      <x:c r="G369" s="10"/>
      <x:c r="H369" s="10"/>
      <x:c r="I369" s="10"/>
      <x:c r="J369" s="10"/>
    </x:row>
    <x:row r="370" ht="14.25" customHeight="1">
      <x:c r="A370" s="10"/>
      <x:c r="B370" s="10"/>
      <x:c r="C370" s="10"/>
      <x:c r="D370" s="10"/>
      <x:c r="E370" s="10"/>
      <x:c r="F370" s="10"/>
      <x:c r="G370" s="10"/>
      <x:c r="H370" s="10"/>
      <x:c r="I370" s="10"/>
      <x:c r="J370" s="10"/>
    </x:row>
    <x:row r="371" ht="14.25" customHeight="1">
      <x:c r="A371" s="10"/>
      <x:c r="B371" s="10"/>
      <x:c r="C371" s="10"/>
      <x:c r="D371" s="10"/>
      <x:c r="E371" s="10"/>
      <x:c r="F371" s="10"/>
      <x:c r="G371" s="10"/>
      <x:c r="H371" s="10"/>
      <x:c r="I371" s="10"/>
      <x:c r="J371" s="10"/>
    </x:row>
    <x:row r="372" ht="14.25" customHeight="1">
      <x:c r="A372" s="10"/>
      <x:c r="B372" s="10"/>
      <x:c r="C372" s="10"/>
      <x:c r="D372" s="10"/>
      <x:c r="E372" s="10"/>
      <x:c r="F372" s="10"/>
      <x:c r="G372" s="10"/>
      <x:c r="H372" s="10"/>
      <x:c r="I372" s="10"/>
      <x:c r="J372" s="10"/>
    </x:row>
    <x:row r="373" ht="14.25" customHeight="1">
      <x:c r="A373" s="10"/>
      <x:c r="B373" s="10"/>
      <x:c r="C373" s="10"/>
      <x:c r="D373" s="10"/>
      <x:c r="E373" s="10"/>
      <x:c r="F373" s="10"/>
      <x:c r="G373" s="10"/>
      <x:c r="H373" s="10"/>
      <x:c r="I373" s="10"/>
      <x:c r="J373" s="10"/>
    </x:row>
    <x:row r="374" ht="14.25" customHeight="1">
      <x:c r="A374" s="10"/>
      <x:c r="B374" s="10"/>
      <x:c r="C374" s="10"/>
      <x:c r="D374" s="10"/>
      <x:c r="E374" s="10"/>
      <x:c r="F374" s="10"/>
      <x:c r="G374" s="10"/>
      <x:c r="H374" s="10"/>
      <x:c r="I374" s="10"/>
      <x:c r="J374" s="10"/>
    </x:row>
    <x:row r="375" ht="14.25" customHeight="1">
      <x:c r="A375" s="10"/>
      <x:c r="B375" s="10"/>
      <x:c r="C375" s="10"/>
      <x:c r="D375" s="10"/>
      <x:c r="E375" s="10"/>
      <x:c r="F375" s="10"/>
      <x:c r="G375" s="10"/>
      <x:c r="H375" s="10"/>
      <x:c r="I375" s="10"/>
      <x:c r="J375" s="10"/>
    </x:row>
    <x:row r="376" ht="14.25" customHeight="1">
      <x:c r="A376" s="10"/>
      <x:c r="B376" s="10"/>
      <x:c r="C376" s="10"/>
      <x:c r="D376" s="10"/>
      <x:c r="E376" s="10"/>
      <x:c r="F376" s="10"/>
      <x:c r="G376" s="10"/>
      <x:c r="H376" s="10"/>
      <x:c r="I376" s="10"/>
      <x:c r="J376" s="10"/>
    </x:row>
    <x:row r="377" ht="14.25" customHeight="1">
      <x:c r="A377" s="10"/>
      <x:c r="B377" s="10"/>
      <x:c r="C377" s="10"/>
      <x:c r="D377" s="10"/>
      <x:c r="E377" s="10"/>
      <x:c r="F377" s="10"/>
      <x:c r="G377" s="10"/>
      <x:c r="H377" s="10"/>
      <x:c r="I377" s="10"/>
      <x:c r="J377" s="10"/>
    </x:row>
    <x:row r="378" ht="14.25" customHeight="1">
      <x:c r="A378" s="10"/>
      <x:c r="B378" s="10"/>
      <x:c r="C378" s="10"/>
      <x:c r="D378" s="10"/>
      <x:c r="E378" s="10"/>
      <x:c r="F378" s="10"/>
      <x:c r="G378" s="10"/>
      <x:c r="H378" s="10"/>
      <x:c r="I378" s="10"/>
      <x:c r="J378" s="10"/>
    </x:row>
    <x:row r="379" ht="14.25" customHeight="1">
      <x:c r="A379" s="10"/>
      <x:c r="B379" s="10"/>
      <x:c r="C379" s="10"/>
      <x:c r="D379" s="10"/>
      <x:c r="E379" s="10"/>
      <x:c r="F379" s="10"/>
      <x:c r="G379" s="10"/>
      <x:c r="H379" s="10"/>
      <x:c r="I379" s="10"/>
      <x:c r="J379" s="10"/>
    </x:row>
    <x:row r="380" ht="14.25" customHeight="1">
      <x:c r="A380" s="10"/>
      <x:c r="B380" s="10"/>
      <x:c r="C380" s="10"/>
      <x:c r="D380" s="10"/>
      <x:c r="E380" s="10"/>
      <x:c r="F380" s="10"/>
      <x:c r="G380" s="10"/>
      <x:c r="H380" s="10"/>
      <x:c r="I380" s="10"/>
      <x:c r="J380" s="10"/>
    </x:row>
    <x:row r="381" ht="14.25" customHeight="1">
      <x:c r="A381" s="10"/>
      <x:c r="B381" s="10"/>
      <x:c r="C381" s="10"/>
      <x:c r="D381" s="10"/>
      <x:c r="E381" s="10"/>
      <x:c r="F381" s="10"/>
      <x:c r="G381" s="10"/>
      <x:c r="H381" s="10"/>
      <x:c r="I381" s="10"/>
      <x:c r="J381" s="10"/>
    </x:row>
    <x:row r="382" ht="14.25" customHeight="1">
      <x:c r="A382" s="10"/>
      <x:c r="B382" s="10"/>
      <x:c r="C382" s="10"/>
      <x:c r="D382" s="10"/>
      <x:c r="E382" s="10"/>
      <x:c r="F382" s="10"/>
      <x:c r="G382" s="10"/>
      <x:c r="H382" s="10"/>
      <x:c r="I382" s="10"/>
      <x:c r="J382" s="10"/>
    </x:row>
    <x:row r="383" ht="14.25" customHeight="1">
      <x:c r="A383" s="10"/>
      <x:c r="B383" s="10"/>
      <x:c r="C383" s="10"/>
      <x:c r="D383" s="10"/>
      <x:c r="E383" s="10"/>
      <x:c r="F383" s="10"/>
      <x:c r="G383" s="10"/>
      <x:c r="H383" s="10"/>
      <x:c r="I383" s="10"/>
      <x:c r="J383" s="10"/>
    </x:row>
    <x:row r="384" ht="14.25" customHeight="1">
      <x:c r="A384" s="10"/>
      <x:c r="B384" s="10"/>
      <x:c r="C384" s="10"/>
      <x:c r="D384" s="10"/>
      <x:c r="E384" s="10"/>
      <x:c r="F384" s="10"/>
      <x:c r="G384" s="10"/>
      <x:c r="H384" s="10"/>
      <x:c r="I384" s="10"/>
      <x:c r="J384" s="10"/>
    </x:row>
    <x:row r="385" ht="14.25" customHeight="1">
      <x:c r="A385" s="10"/>
      <x:c r="B385" s="10"/>
      <x:c r="C385" s="10"/>
      <x:c r="D385" s="10"/>
      <x:c r="E385" s="10"/>
      <x:c r="F385" s="10"/>
      <x:c r="G385" s="10"/>
      <x:c r="H385" s="10"/>
      <x:c r="I385" s="10"/>
      <x:c r="J385" s="10"/>
    </x:row>
    <x:row r="386" ht="14.25" customHeight="1">
      <x:c r="A386" s="10"/>
      <x:c r="B386" s="10"/>
      <x:c r="C386" s="10"/>
      <x:c r="D386" s="10"/>
      <x:c r="E386" s="10"/>
      <x:c r="F386" s="10"/>
      <x:c r="G386" s="10"/>
      <x:c r="H386" s="10"/>
      <x:c r="I386" s="10"/>
      <x:c r="J386" s="10"/>
    </x:row>
    <x:row r="387" ht="14.25" customHeight="1">
      <x:c r="A387" s="10"/>
      <x:c r="B387" s="10"/>
      <x:c r="C387" s="10"/>
      <x:c r="D387" s="10"/>
      <x:c r="E387" s="10"/>
      <x:c r="F387" s="10"/>
      <x:c r="G387" s="10"/>
      <x:c r="H387" s="10"/>
      <x:c r="I387" s="10"/>
      <x:c r="J387" s="10"/>
    </x:row>
    <x:row r="388" ht="14.25" customHeight="1">
      <x:c r="A388" s="10"/>
      <x:c r="B388" s="10"/>
      <x:c r="C388" s="10"/>
      <x:c r="D388" s="10"/>
      <x:c r="E388" s="10"/>
      <x:c r="F388" s="10"/>
      <x:c r="G388" s="10"/>
      <x:c r="H388" s="10"/>
      <x:c r="I388" s="10"/>
      <x:c r="J388" s="10"/>
    </x:row>
    <x:row r="389" ht="14.25" customHeight="1">
      <x:c r="A389" s="10"/>
      <x:c r="B389" s="10"/>
      <x:c r="C389" s="10"/>
      <x:c r="D389" s="10"/>
      <x:c r="E389" s="10"/>
      <x:c r="F389" s="10"/>
      <x:c r="G389" s="10"/>
      <x:c r="H389" s="10"/>
      <x:c r="I389" s="10"/>
      <x:c r="J389" s="10"/>
    </x:row>
    <x:row r="390" ht="14.25" customHeight="1">
      <x:c r="A390" s="10"/>
      <x:c r="B390" s="10"/>
      <x:c r="C390" s="10"/>
      <x:c r="D390" s="10"/>
      <x:c r="E390" s="10"/>
      <x:c r="F390" s="10"/>
      <x:c r="G390" s="10"/>
      <x:c r="H390" s="10"/>
      <x:c r="I390" s="10"/>
      <x:c r="J390" s="10"/>
    </x:row>
    <x:row r="391" ht="14.25" customHeight="1">
      <x:c r="A391" s="10"/>
      <x:c r="B391" s="10"/>
      <x:c r="C391" s="10"/>
      <x:c r="D391" s="10"/>
      <x:c r="E391" s="10"/>
      <x:c r="F391" s="10"/>
      <x:c r="G391" s="10"/>
      <x:c r="H391" s="10"/>
      <x:c r="I391" s="10"/>
      <x:c r="J391" s="10"/>
    </x:row>
    <x:row r="392" ht="14.25" customHeight="1">
      <x:c r="A392" s="10"/>
      <x:c r="B392" s="10"/>
      <x:c r="C392" s="10"/>
      <x:c r="D392" s="10"/>
      <x:c r="E392" s="10"/>
      <x:c r="F392" s="10"/>
      <x:c r="G392" s="10"/>
      <x:c r="H392" s="10"/>
      <x:c r="I392" s="10"/>
      <x:c r="J392" s="10"/>
    </x:row>
    <x:row r="393" ht="14.25" customHeight="1">
      <x:c r="A393" s="10"/>
      <x:c r="B393" s="10"/>
      <x:c r="C393" s="10"/>
      <x:c r="D393" s="10"/>
      <x:c r="E393" s="10"/>
      <x:c r="F393" s="10"/>
      <x:c r="G393" s="10"/>
      <x:c r="H393" s="10"/>
      <x:c r="I393" s="10"/>
      <x:c r="J393" s="10"/>
    </x:row>
    <x:row r="394" ht="14.25" customHeight="1">
      <x:c r="A394" s="10"/>
      <x:c r="B394" s="10"/>
      <x:c r="C394" s="10"/>
      <x:c r="D394" s="10"/>
      <x:c r="E394" s="10"/>
      <x:c r="F394" s="10"/>
      <x:c r="G394" s="10"/>
      <x:c r="H394" s="10"/>
      <x:c r="I394" s="10"/>
      <x:c r="J394" s="10"/>
    </x:row>
    <x:row r="395" ht="14.25" customHeight="1">
      <x:c r="A395" s="10"/>
      <x:c r="B395" s="10"/>
      <x:c r="C395" s="10"/>
      <x:c r="D395" s="10"/>
      <x:c r="E395" s="10"/>
      <x:c r="F395" s="10"/>
      <x:c r="G395" s="10"/>
      <x:c r="H395" s="10"/>
      <x:c r="I395" s="10"/>
      <x:c r="J395" s="10"/>
    </x:row>
    <x:row r="396" ht="14.25" customHeight="1">
      <x:c r="A396" s="10"/>
      <x:c r="B396" s="10"/>
      <x:c r="C396" s="10"/>
      <x:c r="D396" s="10"/>
      <x:c r="E396" s="10"/>
      <x:c r="F396" s="10"/>
      <x:c r="G396" s="10"/>
      <x:c r="H396" s="10"/>
      <x:c r="I396" s="10"/>
      <x:c r="J396" s="10"/>
    </x:row>
    <x:row r="397" ht="14.25" customHeight="1">
      <x:c r="A397" s="10"/>
      <x:c r="B397" s="10"/>
      <x:c r="C397" s="10"/>
      <x:c r="D397" s="10"/>
      <x:c r="E397" s="10"/>
      <x:c r="F397" s="10"/>
      <x:c r="G397" s="10"/>
      <x:c r="H397" s="10"/>
      <x:c r="I397" s="10"/>
      <x:c r="J397" s="10"/>
    </x:row>
    <x:row r="398" ht="14.25" customHeight="1">
      <x:c r="A398" s="10"/>
      <x:c r="B398" s="10"/>
      <x:c r="C398" s="10"/>
      <x:c r="D398" s="10"/>
      <x:c r="E398" s="10"/>
      <x:c r="F398" s="10"/>
      <x:c r="G398" s="10"/>
      <x:c r="H398" s="10"/>
      <x:c r="I398" s="10"/>
      <x:c r="J398" s="10"/>
    </x:row>
    <x:row r="399" ht="14.25" customHeight="1">
      <x:c r="A399" s="10"/>
      <x:c r="B399" s="10"/>
      <x:c r="C399" s="10"/>
      <x:c r="D399" s="10"/>
      <x:c r="E399" s="10"/>
      <x:c r="F399" s="10"/>
      <x:c r="G399" s="10"/>
      <x:c r="H399" s="10"/>
      <x:c r="I399" s="10"/>
      <x:c r="J399" s="10"/>
    </x:row>
    <x:row r="400" ht="14.25" customHeight="1">
      <x:c r="A400" s="10"/>
      <x:c r="B400" s="10"/>
      <x:c r="C400" s="10"/>
      <x:c r="D400" s="10"/>
      <x:c r="E400" s="10"/>
      <x:c r="F400" s="10"/>
      <x:c r="G400" s="10"/>
      <x:c r="H400" s="10"/>
      <x:c r="I400" s="10"/>
      <x:c r="J400" s="10"/>
    </x:row>
    <x:row r="401" ht="14.25" customHeight="1">
      <x:c r="A401" s="10"/>
      <x:c r="B401" s="10"/>
      <x:c r="C401" s="10"/>
      <x:c r="D401" s="10"/>
      <x:c r="E401" s="10"/>
      <x:c r="F401" s="10"/>
      <x:c r="G401" s="10"/>
      <x:c r="H401" s="10"/>
      <x:c r="I401" s="10"/>
      <x:c r="J401" s="10"/>
    </x:row>
    <x:row r="402" ht="14.25" customHeight="1">
      <x:c r="A402" s="10"/>
      <x:c r="B402" s="10"/>
      <x:c r="C402" s="10"/>
      <x:c r="D402" s="10"/>
      <x:c r="E402" s="10"/>
      <x:c r="F402" s="10"/>
      <x:c r="G402" s="10"/>
      <x:c r="H402" s="10"/>
      <x:c r="I402" s="10"/>
      <x:c r="J402" s="10"/>
    </x:row>
    <x:row r="403" ht="14.25" customHeight="1">
      <x:c r="A403" s="10"/>
      <x:c r="B403" s="10"/>
      <x:c r="C403" s="10"/>
      <x:c r="D403" s="10"/>
      <x:c r="E403" s="10"/>
      <x:c r="F403" s="10"/>
      <x:c r="G403" s="10"/>
      <x:c r="H403" s="10"/>
      <x:c r="I403" s="10"/>
      <x:c r="J403" s="10"/>
    </x:row>
    <x:row r="404" ht="14.25" customHeight="1">
      <x:c r="A404" s="10"/>
      <x:c r="B404" s="10"/>
      <x:c r="C404" s="10"/>
      <x:c r="D404" s="10"/>
      <x:c r="E404" s="10"/>
      <x:c r="F404" s="10"/>
      <x:c r="G404" s="10"/>
      <x:c r="H404" s="10"/>
      <x:c r="I404" s="10"/>
      <x:c r="J404" s="10"/>
    </x:row>
    <x:row r="405" ht="14.25" customHeight="1">
      <x:c r="A405" s="10"/>
      <x:c r="B405" s="10"/>
      <x:c r="C405" s="10"/>
      <x:c r="D405" s="10"/>
      <x:c r="E405" s="10"/>
      <x:c r="F405" s="10"/>
      <x:c r="G405" s="10"/>
      <x:c r="H405" s="10"/>
      <x:c r="I405" s="10"/>
      <x:c r="J405" s="10"/>
    </x:row>
    <x:row r="406" ht="14.25" customHeight="1">
      <x:c r="A406" s="10"/>
      <x:c r="B406" s="10"/>
      <x:c r="C406" s="10"/>
      <x:c r="D406" s="10"/>
      <x:c r="E406" s="10"/>
      <x:c r="F406" s="10"/>
      <x:c r="G406" s="10"/>
      <x:c r="H406" s="10"/>
      <x:c r="I406" s="10"/>
      <x:c r="J406" s="10"/>
    </x:row>
    <x:row r="407" ht="14.25" customHeight="1">
      <x:c r="A407" s="10"/>
      <x:c r="B407" s="10"/>
      <x:c r="C407" s="10"/>
      <x:c r="D407" s="10"/>
      <x:c r="E407" s="10"/>
      <x:c r="F407" s="10"/>
      <x:c r="G407" s="10"/>
      <x:c r="H407" s="10"/>
      <x:c r="I407" s="10"/>
      <x:c r="J407" s="10"/>
    </x:row>
    <x:row r="408" ht="14.25" customHeight="1">
      <x:c r="A408" s="10"/>
      <x:c r="B408" s="10"/>
      <x:c r="C408" s="10"/>
      <x:c r="D408" s="10"/>
      <x:c r="E408" s="10"/>
      <x:c r="F408" s="10"/>
      <x:c r="G408" s="10"/>
      <x:c r="H408" s="10"/>
      <x:c r="I408" s="10"/>
      <x:c r="J408" s="10"/>
    </x:row>
    <x:row r="409" ht="14.25" customHeight="1">
      <x:c r="A409" s="10"/>
      <x:c r="B409" s="10"/>
      <x:c r="C409" s="10"/>
      <x:c r="D409" s="10"/>
      <x:c r="E409" s="10"/>
      <x:c r="F409" s="10"/>
      <x:c r="G409" s="10"/>
      <x:c r="H409" s="10"/>
      <x:c r="I409" s="10"/>
      <x:c r="J409" s="10"/>
    </x:row>
    <x:row r="410" ht="14.25" customHeight="1">
      <x:c r="A410" s="10"/>
      <x:c r="B410" s="10"/>
      <x:c r="C410" s="10"/>
      <x:c r="D410" s="10"/>
      <x:c r="E410" s="10"/>
      <x:c r="F410" s="10"/>
      <x:c r="G410" s="10"/>
      <x:c r="H410" s="10"/>
      <x:c r="I410" s="10"/>
      <x:c r="J410" s="10"/>
    </x:row>
    <x:row r="411" ht="14.25" customHeight="1">
      <x:c r="A411" s="10"/>
      <x:c r="B411" s="10"/>
      <x:c r="C411" s="10"/>
      <x:c r="D411" s="10"/>
      <x:c r="E411" s="10"/>
      <x:c r="F411" s="10"/>
      <x:c r="G411" s="10"/>
      <x:c r="H411" s="10"/>
      <x:c r="I411" s="10"/>
      <x:c r="J411" s="10"/>
    </x:row>
    <x:row r="412" ht="14.25" customHeight="1">
      <x:c r="A412" s="10"/>
      <x:c r="B412" s="10"/>
      <x:c r="C412" s="10"/>
      <x:c r="D412" s="10"/>
      <x:c r="E412" s="10"/>
      <x:c r="F412" s="10"/>
      <x:c r="G412" s="10"/>
      <x:c r="H412" s="10"/>
      <x:c r="I412" s="10"/>
      <x:c r="J412" s="10"/>
    </x:row>
    <x:row r="413" ht="14.25" customHeight="1">
      <x:c r="A413" s="10"/>
      <x:c r="B413" s="10"/>
      <x:c r="C413" s="10"/>
      <x:c r="D413" s="10"/>
      <x:c r="E413" s="10"/>
      <x:c r="F413" s="10"/>
      <x:c r="G413" s="10"/>
      <x:c r="H413" s="10"/>
      <x:c r="I413" s="10"/>
      <x:c r="J413" s="10"/>
    </x:row>
    <x:row r="414" ht="14.25" customHeight="1">
      <x:c r="A414" s="10"/>
      <x:c r="B414" s="10"/>
      <x:c r="C414" s="10"/>
      <x:c r="D414" s="10"/>
      <x:c r="E414" s="10"/>
      <x:c r="F414" s="10"/>
      <x:c r="G414" s="10"/>
      <x:c r="H414" s="10"/>
      <x:c r="I414" s="10"/>
      <x:c r="J414" s="10"/>
    </x:row>
    <x:row r="415" ht="14.25" customHeight="1">
      <x:c r="A415" s="10"/>
      <x:c r="B415" s="10"/>
      <x:c r="C415" s="10"/>
      <x:c r="D415" s="10"/>
      <x:c r="E415" s="10"/>
      <x:c r="F415" s="10"/>
      <x:c r="G415" s="10"/>
      <x:c r="H415" s="10"/>
      <x:c r="I415" s="10"/>
      <x:c r="J415" s="10"/>
    </x:row>
    <x:row r="416" ht="14.25" customHeight="1">
      <x:c r="A416" s="10"/>
      <x:c r="B416" s="10"/>
      <x:c r="C416" s="10"/>
      <x:c r="D416" s="10"/>
      <x:c r="E416" s="10"/>
      <x:c r="F416" s="10"/>
      <x:c r="G416" s="10"/>
      <x:c r="H416" s="10"/>
      <x:c r="I416" s="10"/>
      <x:c r="J416" s="10"/>
    </x:row>
    <x:row r="417" ht="14.25" customHeight="1">
      <x:c r="A417" s="10"/>
      <x:c r="B417" s="10"/>
      <x:c r="C417" s="10"/>
      <x:c r="D417" s="10"/>
      <x:c r="E417" s="10"/>
      <x:c r="F417" s="10"/>
      <x:c r="G417" s="10"/>
      <x:c r="H417" s="10"/>
      <x:c r="I417" s="10"/>
      <x:c r="J417" s="10"/>
    </x:row>
    <x:row r="418" ht="14.25" customHeight="1">
      <x:c r="A418" s="10"/>
      <x:c r="B418" s="10"/>
      <x:c r="C418" s="10"/>
      <x:c r="D418" s="10"/>
      <x:c r="E418" s="10"/>
      <x:c r="F418" s="10"/>
      <x:c r="G418" s="10"/>
      <x:c r="H418" s="10"/>
      <x:c r="I418" s="10"/>
      <x:c r="J418" s="10"/>
    </x:row>
    <x:row r="419" ht="14.25" customHeight="1">
      <x:c r="A419" s="10"/>
      <x:c r="B419" s="10"/>
      <x:c r="C419" s="10"/>
      <x:c r="D419" s="10"/>
      <x:c r="E419" s="10"/>
      <x:c r="F419" s="10"/>
      <x:c r="G419" s="10"/>
      <x:c r="H419" s="10"/>
      <x:c r="I419" s="10"/>
      <x:c r="J419" s="10"/>
    </x:row>
    <x:row r="420" ht="14.25" customHeight="1">
      <x:c r="A420" s="10"/>
      <x:c r="B420" s="10"/>
      <x:c r="C420" s="10"/>
      <x:c r="D420" s="10"/>
      <x:c r="E420" s="10"/>
      <x:c r="F420" s="10"/>
      <x:c r="G420" s="10"/>
      <x:c r="H420" s="10"/>
      <x:c r="I420" s="10"/>
      <x:c r="J420" s="10"/>
    </x:row>
    <x:row r="421" ht="14.25" customHeight="1">
      <x:c r="A421" s="10"/>
      <x:c r="B421" s="10"/>
      <x:c r="C421" s="10"/>
      <x:c r="D421" s="10"/>
      <x:c r="E421" s="10"/>
      <x:c r="F421" s="10"/>
      <x:c r="G421" s="10"/>
      <x:c r="H421" s="10"/>
      <x:c r="I421" s="10"/>
      <x:c r="J421" s="10"/>
    </x:row>
    <x:row r="422" ht="14.25" customHeight="1">
      <x:c r="A422" s="10"/>
      <x:c r="B422" s="10"/>
      <x:c r="C422" s="10"/>
      <x:c r="D422" s="10"/>
      <x:c r="E422" s="10"/>
      <x:c r="F422" s="10"/>
      <x:c r="G422" s="10"/>
      <x:c r="H422" s="10"/>
      <x:c r="I422" s="10"/>
      <x:c r="J422" s="10"/>
    </x:row>
    <x:row r="423" ht="14.25" customHeight="1">
      <x:c r="A423" s="10"/>
      <x:c r="B423" s="10"/>
      <x:c r="C423" s="10"/>
      <x:c r="D423" s="10"/>
      <x:c r="E423" s="10"/>
      <x:c r="F423" s="10"/>
      <x:c r="G423" s="10"/>
      <x:c r="H423" s="10"/>
      <x:c r="I423" s="10"/>
      <x:c r="J423" s="10"/>
    </x:row>
    <x:row r="424" ht="14.25" customHeight="1">
      <x:c r="A424" s="10"/>
      <x:c r="B424" s="10"/>
      <x:c r="C424" s="10"/>
      <x:c r="D424" s="10"/>
      <x:c r="E424" s="10"/>
      <x:c r="F424" s="10"/>
      <x:c r="G424" s="10"/>
      <x:c r="H424" s="10"/>
      <x:c r="I424" s="10"/>
      <x:c r="J424" s="10"/>
    </x:row>
    <x:row r="425" ht="14.25" customHeight="1">
      <x:c r="A425" s="10"/>
      <x:c r="B425" s="10"/>
      <x:c r="C425" s="10"/>
      <x:c r="D425" s="10"/>
      <x:c r="E425" s="10"/>
      <x:c r="F425" s="10"/>
      <x:c r="G425" s="10"/>
      <x:c r="H425" s="10"/>
      <x:c r="I425" s="10"/>
      <x:c r="J425" s="10"/>
    </x:row>
    <x:row r="426" ht="14.25" customHeight="1">
      <x:c r="A426" s="10"/>
      <x:c r="B426" s="10"/>
      <x:c r="C426" s="10"/>
      <x:c r="D426" s="10"/>
      <x:c r="E426" s="10"/>
      <x:c r="F426" s="10"/>
      <x:c r="G426" s="10"/>
      <x:c r="H426" s="10"/>
      <x:c r="I426" s="10"/>
      <x:c r="J426" s="10"/>
    </x:row>
    <x:row r="427" ht="14.25" customHeight="1">
      <x:c r="A427" s="10"/>
      <x:c r="B427" s="10"/>
      <x:c r="C427" s="10"/>
      <x:c r="D427" s="10"/>
      <x:c r="E427" s="10"/>
      <x:c r="F427" s="10"/>
      <x:c r="G427" s="10"/>
      <x:c r="H427" s="10"/>
      <x:c r="I427" s="10"/>
      <x:c r="J427" s="10"/>
    </x:row>
    <x:row r="428" ht="14.25" customHeight="1">
      <x:c r="A428" s="10"/>
      <x:c r="B428" s="10"/>
      <x:c r="C428" s="10"/>
      <x:c r="D428" s="10"/>
      <x:c r="E428" s="10"/>
      <x:c r="F428" s="10"/>
      <x:c r="G428" s="10"/>
      <x:c r="H428" s="10"/>
      <x:c r="I428" s="10"/>
      <x:c r="J428" s="10"/>
    </x:row>
    <x:row r="429" ht="14.25" customHeight="1">
      <x:c r="A429" s="10"/>
      <x:c r="B429" s="10"/>
      <x:c r="C429" s="10"/>
      <x:c r="D429" s="10"/>
      <x:c r="E429" s="10"/>
      <x:c r="F429" s="10"/>
      <x:c r="G429" s="10"/>
      <x:c r="H429" s="10"/>
      <x:c r="I429" s="10"/>
      <x:c r="J429" s="10"/>
    </x:row>
    <x:row r="430" ht="14.25" customHeight="1">
      <x:c r="A430" s="10"/>
      <x:c r="B430" s="10"/>
      <x:c r="C430" s="10"/>
      <x:c r="D430" s="10"/>
      <x:c r="E430" s="10"/>
      <x:c r="F430" s="10"/>
      <x:c r="G430" s="10"/>
      <x:c r="H430" s="10"/>
      <x:c r="I430" s="10"/>
      <x:c r="J430" s="10"/>
    </x:row>
    <x:row r="431" ht="14.25" customHeight="1">
      <x:c r="A431" s="10"/>
      <x:c r="B431" s="10"/>
      <x:c r="C431" s="10"/>
      <x:c r="D431" s="10"/>
      <x:c r="E431" s="10"/>
      <x:c r="F431" s="10"/>
      <x:c r="G431" s="10"/>
      <x:c r="H431" s="10"/>
      <x:c r="I431" s="10"/>
      <x:c r="J431" s="10"/>
    </x:row>
    <x:row r="432" ht="14.25" customHeight="1">
      <x:c r="A432" s="10"/>
      <x:c r="B432" s="10"/>
      <x:c r="C432" s="10"/>
      <x:c r="D432" s="10"/>
      <x:c r="E432" s="10"/>
      <x:c r="F432" s="10"/>
      <x:c r="G432" s="10"/>
      <x:c r="H432" s="10"/>
      <x:c r="I432" s="10"/>
      <x:c r="J432" s="10"/>
    </x:row>
    <x:row r="433" ht="14.25" customHeight="1">
      <x:c r="A433" s="10"/>
      <x:c r="B433" s="10"/>
      <x:c r="C433" s="10"/>
      <x:c r="D433" s="10"/>
      <x:c r="E433" s="10"/>
      <x:c r="F433" s="10"/>
      <x:c r="G433" s="10"/>
      <x:c r="H433" s="10"/>
      <x:c r="I433" s="10"/>
      <x:c r="J433" s="10"/>
    </x:row>
    <x:row r="434" ht="14.25" customHeight="1">
      <x:c r="A434" s="10"/>
      <x:c r="B434" s="10"/>
      <x:c r="C434" s="10"/>
      <x:c r="D434" s="10"/>
      <x:c r="E434" s="10"/>
      <x:c r="F434" s="10"/>
      <x:c r="G434" s="10"/>
      <x:c r="H434" s="10"/>
      <x:c r="I434" s="10"/>
      <x:c r="J434" s="10"/>
    </x:row>
    <x:row r="435" ht="14.25" customHeight="1">
      <x:c r="A435" s="10"/>
      <x:c r="B435" s="10"/>
      <x:c r="C435" s="10"/>
      <x:c r="D435" s="10"/>
      <x:c r="E435" s="10"/>
      <x:c r="F435" s="10"/>
      <x:c r="G435" s="10"/>
      <x:c r="H435" s="10"/>
      <x:c r="I435" s="10"/>
      <x:c r="J435" s="10"/>
    </x:row>
    <x:row r="436" ht="14.25" customHeight="1">
      <x:c r="A436" s="10"/>
      <x:c r="B436" s="10"/>
      <x:c r="C436" s="10"/>
      <x:c r="D436" s="10"/>
      <x:c r="E436" s="10"/>
      <x:c r="F436" s="10"/>
      <x:c r="G436" s="10"/>
      <x:c r="H436" s="10"/>
      <x:c r="I436" s="10"/>
      <x:c r="J436" s="10"/>
    </x:row>
    <x:row r="437" ht="14.25" customHeight="1">
      <x:c r="A437" s="10"/>
      <x:c r="B437" s="10"/>
      <x:c r="C437" s="10"/>
      <x:c r="D437" s="10"/>
      <x:c r="E437" s="10"/>
      <x:c r="F437" s="10"/>
      <x:c r="G437" s="10"/>
      <x:c r="H437" s="10"/>
      <x:c r="I437" s="10"/>
      <x:c r="J437" s="10"/>
    </x:row>
    <x:row r="438" ht="14.25" customHeight="1">
      <x:c r="A438" s="10"/>
      <x:c r="B438" s="10"/>
      <x:c r="C438" s="10"/>
      <x:c r="D438" s="10"/>
      <x:c r="E438" s="10"/>
      <x:c r="F438" s="10"/>
      <x:c r="G438" s="10"/>
      <x:c r="H438" s="10"/>
      <x:c r="I438" s="10"/>
      <x:c r="J438" s="10"/>
    </x:row>
    <x:row r="439" ht="14.25" customHeight="1">
      <x:c r="A439" s="10"/>
      <x:c r="B439" s="10"/>
      <x:c r="C439" s="10"/>
      <x:c r="D439" s="10"/>
      <x:c r="E439" s="10"/>
      <x:c r="F439" s="10"/>
      <x:c r="G439" s="10"/>
      <x:c r="H439" s="10"/>
      <x:c r="I439" s="10"/>
      <x:c r="J439" s="10"/>
    </x:row>
    <x:row r="440" ht="14.25" customHeight="1">
      <x:c r="A440" s="10"/>
      <x:c r="B440" s="10"/>
      <x:c r="C440" s="10"/>
      <x:c r="D440" s="10"/>
      <x:c r="E440" s="10"/>
      <x:c r="F440" s="10"/>
      <x:c r="G440" s="10"/>
      <x:c r="H440" s="10"/>
      <x:c r="I440" s="10"/>
      <x:c r="J440" s="10"/>
    </x:row>
    <x:row r="441" ht="14.25" customHeight="1">
      <x:c r="A441" s="10"/>
      <x:c r="B441" s="10"/>
      <x:c r="C441" s="10"/>
      <x:c r="D441" s="10"/>
      <x:c r="E441" s="10"/>
      <x:c r="F441" s="10"/>
      <x:c r="G441" s="10"/>
      <x:c r="H441" s="10"/>
      <x:c r="I441" s="10"/>
      <x:c r="J441" s="10"/>
    </x:row>
    <x:row r="442" ht="14.25" customHeight="1">
      <x:c r="A442" s="10"/>
      <x:c r="B442" s="10"/>
      <x:c r="C442" s="10"/>
      <x:c r="D442" s="10"/>
      <x:c r="E442" s="10"/>
      <x:c r="F442" s="10"/>
      <x:c r="G442" s="10"/>
      <x:c r="H442" s="10"/>
      <x:c r="I442" s="10"/>
      <x:c r="J442" s="10"/>
    </x:row>
    <x:row r="443" ht="14.25" customHeight="1">
      <x:c r="A443" s="10"/>
      <x:c r="B443" s="10"/>
      <x:c r="C443" s="10"/>
      <x:c r="D443" s="10"/>
      <x:c r="E443" s="10"/>
      <x:c r="F443" s="10"/>
      <x:c r="G443" s="10"/>
      <x:c r="H443" s="10"/>
      <x:c r="I443" s="10"/>
      <x:c r="J443" s="10"/>
    </x:row>
    <x:row r="444" ht="14.25" customHeight="1">
      <x:c r="A444" s="10"/>
      <x:c r="B444" s="10"/>
      <x:c r="C444" s="10"/>
      <x:c r="D444" s="10"/>
      <x:c r="E444" s="10"/>
      <x:c r="F444" s="10"/>
      <x:c r="G444" s="10"/>
      <x:c r="H444" s="10"/>
      <x:c r="I444" s="10"/>
      <x:c r="J444" s="10"/>
    </x:row>
    <x:row r="445" ht="14.25" customHeight="1">
      <x:c r="A445" s="10"/>
      <x:c r="B445" s="10"/>
      <x:c r="C445" s="10"/>
      <x:c r="D445" s="10"/>
      <x:c r="E445" s="10"/>
      <x:c r="F445" s="10"/>
      <x:c r="G445" s="10"/>
      <x:c r="H445" s="10"/>
      <x:c r="I445" s="10"/>
      <x:c r="J445" s="10"/>
    </x:row>
    <x:row r="446" ht="14.25" customHeight="1">
      <x:c r="A446" s="10"/>
      <x:c r="B446" s="10"/>
      <x:c r="C446" s="10"/>
      <x:c r="D446" s="10"/>
      <x:c r="E446" s="10"/>
      <x:c r="F446" s="10"/>
      <x:c r="G446" s="10"/>
      <x:c r="H446" s="10"/>
      <x:c r="I446" s="10"/>
      <x:c r="J446" s="10"/>
    </x:row>
    <x:row r="447" ht="14.25" customHeight="1">
      <x:c r="A447" s="10"/>
      <x:c r="B447" s="10"/>
      <x:c r="C447" s="10"/>
      <x:c r="D447" s="10"/>
      <x:c r="E447" s="10"/>
      <x:c r="F447" s="10"/>
      <x:c r="G447" s="10"/>
      <x:c r="H447" s="10"/>
      <x:c r="I447" s="10"/>
      <x:c r="J447" s="10"/>
    </x:row>
    <x:row r="448" ht="14.25" customHeight="1">
      <x:c r="A448" s="10"/>
      <x:c r="B448" s="10"/>
      <x:c r="C448" s="10"/>
      <x:c r="D448" s="10"/>
      <x:c r="E448" s="10"/>
      <x:c r="F448" s="10"/>
      <x:c r="G448" s="10"/>
      <x:c r="H448" s="10"/>
      <x:c r="I448" s="10"/>
      <x:c r="J448" s="10"/>
    </x:row>
    <x:row r="449" ht="14.25" customHeight="1">
      <x:c r="A449" s="10"/>
      <x:c r="B449" s="10"/>
      <x:c r="C449" s="10"/>
      <x:c r="D449" s="10"/>
      <x:c r="E449" s="10"/>
      <x:c r="F449" s="10"/>
      <x:c r="G449" s="10"/>
      <x:c r="H449" s="10"/>
      <x:c r="I449" s="10"/>
      <x:c r="J449" s="10"/>
    </x:row>
    <x:row r="450" ht="14.25" customHeight="1">
      <x:c r="A450" s="10"/>
      <x:c r="B450" s="10"/>
      <x:c r="C450" s="10"/>
      <x:c r="D450" s="10"/>
      <x:c r="E450" s="10"/>
      <x:c r="F450" s="10"/>
      <x:c r="G450" s="10"/>
      <x:c r="H450" s="10"/>
      <x:c r="I450" s="10"/>
      <x:c r="J450" s="10"/>
    </x:row>
    <x:row r="451" ht="14.25" customHeight="1">
      <x:c r="A451" s="10"/>
      <x:c r="B451" s="10"/>
      <x:c r="C451" s="10"/>
      <x:c r="D451" s="10"/>
      <x:c r="E451" s="10"/>
      <x:c r="F451" s="10"/>
      <x:c r="G451" s="10"/>
      <x:c r="H451" s="10"/>
      <x:c r="I451" s="10"/>
      <x:c r="J451" s="10"/>
    </x:row>
    <x:row r="452" ht="14.25" customHeight="1">
      <x:c r="A452" s="10"/>
      <x:c r="B452" s="10"/>
      <x:c r="C452" s="10"/>
      <x:c r="D452" s="10"/>
      <x:c r="E452" s="10"/>
      <x:c r="F452" s="10"/>
      <x:c r="G452" s="10"/>
      <x:c r="H452" s="10"/>
      <x:c r="I452" s="10"/>
      <x:c r="J452" s="10"/>
    </x:row>
    <x:row r="453" ht="14.25" customHeight="1">
      <x:c r="A453" s="10"/>
      <x:c r="B453" s="10"/>
      <x:c r="C453" s="10"/>
      <x:c r="D453" s="10"/>
      <x:c r="E453" s="10"/>
      <x:c r="F453" s="10"/>
      <x:c r="G453" s="10"/>
      <x:c r="H453" s="10"/>
      <x:c r="I453" s="10"/>
      <x:c r="J453" s="10"/>
    </x:row>
    <x:row r="454" ht="14.25" customHeight="1">
      <x:c r="A454" s="10"/>
      <x:c r="B454" s="10"/>
      <x:c r="C454" s="10"/>
      <x:c r="D454" s="10"/>
      <x:c r="E454" s="10"/>
      <x:c r="F454" s="10"/>
      <x:c r="G454" s="10"/>
      <x:c r="H454" s="10"/>
      <x:c r="I454" s="10"/>
      <x:c r="J454" s="10"/>
    </x:row>
    <x:row r="455" ht="14.25" customHeight="1">
      <x:c r="A455" s="10"/>
      <x:c r="B455" s="10"/>
      <x:c r="C455" s="10"/>
      <x:c r="D455" s="10"/>
      <x:c r="E455" s="10"/>
      <x:c r="F455" s="10"/>
      <x:c r="G455" s="10"/>
      <x:c r="H455" s="10"/>
      <x:c r="I455" s="10"/>
      <x:c r="J455" s="10"/>
    </x:row>
    <x:row r="456" ht="14.25" customHeight="1">
      <x:c r="A456" s="10"/>
      <x:c r="B456" s="10"/>
      <x:c r="C456" s="10"/>
      <x:c r="D456" s="10"/>
      <x:c r="E456" s="10"/>
      <x:c r="F456" s="10"/>
      <x:c r="G456" s="10"/>
      <x:c r="H456" s="10"/>
      <x:c r="I456" s="10"/>
      <x:c r="J456" s="10"/>
    </x:row>
    <x:row r="457" ht="14.25" customHeight="1">
      <x:c r="A457" s="10"/>
      <x:c r="B457" s="10"/>
      <x:c r="C457" s="10"/>
      <x:c r="D457" s="10"/>
      <x:c r="E457" s="10"/>
      <x:c r="F457" s="10"/>
      <x:c r="G457" s="10"/>
      <x:c r="H457" s="10"/>
      <x:c r="I457" s="10"/>
      <x:c r="J457" s="10"/>
    </x:row>
    <x:row r="458" ht="14.25" customHeight="1">
      <x:c r="A458" s="10"/>
      <x:c r="B458" s="10"/>
      <x:c r="C458" s="10"/>
      <x:c r="D458" s="10"/>
      <x:c r="E458" s="10"/>
      <x:c r="F458" s="10"/>
      <x:c r="G458" s="10"/>
      <x:c r="H458" s="10"/>
      <x:c r="I458" s="10"/>
      <x:c r="J458" s="10"/>
    </x:row>
    <x:row r="459" ht="14.25" customHeight="1">
      <x:c r="A459" s="10"/>
      <x:c r="B459" s="10"/>
      <x:c r="C459" s="10"/>
      <x:c r="D459" s="10"/>
      <x:c r="E459" s="10"/>
      <x:c r="F459" s="10"/>
      <x:c r="G459" s="10"/>
      <x:c r="H459" s="10"/>
      <x:c r="I459" s="10"/>
      <x:c r="J459" s="10"/>
    </x:row>
    <x:row r="460" ht="14.25" customHeight="1">
      <x:c r="A460" s="10"/>
      <x:c r="B460" s="10"/>
      <x:c r="C460" s="10"/>
      <x:c r="D460" s="10"/>
      <x:c r="E460" s="10"/>
      <x:c r="F460" s="10"/>
      <x:c r="G460" s="10"/>
      <x:c r="H460" s="10"/>
      <x:c r="I460" s="10"/>
      <x:c r="J460" s="10"/>
    </x:row>
    <x:row r="461" ht="14.25" customHeight="1">
      <x:c r="A461" s="10"/>
      <x:c r="B461" s="10"/>
      <x:c r="C461" s="10"/>
      <x:c r="D461" s="10"/>
      <x:c r="E461" s="10"/>
      <x:c r="F461" s="10"/>
      <x:c r="G461" s="10"/>
      <x:c r="H461" s="10"/>
      <x:c r="I461" s="10"/>
      <x:c r="J461" s="10"/>
    </x:row>
    <x:row r="462" ht="14.25" customHeight="1">
      <x:c r="A462" s="10"/>
      <x:c r="B462" s="10"/>
      <x:c r="C462" s="10"/>
      <x:c r="D462" s="10"/>
      <x:c r="E462" s="10"/>
      <x:c r="F462" s="10"/>
      <x:c r="G462" s="10"/>
      <x:c r="H462" s="10"/>
      <x:c r="I462" s="10"/>
      <x:c r="J462" s="10"/>
    </x:row>
    <x:row r="463" ht="14.25" customHeight="1">
      <x:c r="A463" s="10"/>
      <x:c r="B463" s="10"/>
      <x:c r="C463" s="10"/>
      <x:c r="D463" s="10"/>
      <x:c r="E463" s="10"/>
      <x:c r="F463" s="10"/>
      <x:c r="G463" s="10"/>
      <x:c r="H463" s="10"/>
      <x:c r="I463" s="10"/>
      <x:c r="J463" s="10"/>
    </x:row>
    <x:row r="464" ht="14.25" customHeight="1">
      <x:c r="A464" s="10"/>
      <x:c r="B464" s="10"/>
      <x:c r="C464" s="10"/>
      <x:c r="D464" s="10"/>
      <x:c r="E464" s="10"/>
      <x:c r="F464" s="10"/>
      <x:c r="G464" s="10"/>
      <x:c r="H464" s="10"/>
      <x:c r="I464" s="10"/>
      <x:c r="J464" s="10"/>
    </x:row>
    <x:row r="465" ht="14.25" customHeight="1">
      <x:c r="A465" s="10"/>
      <x:c r="B465" s="10"/>
      <x:c r="C465" s="10"/>
      <x:c r="D465" s="10"/>
      <x:c r="E465" s="10"/>
      <x:c r="F465" s="10"/>
      <x:c r="G465" s="10"/>
      <x:c r="H465" s="10"/>
      <x:c r="I465" s="10"/>
      <x:c r="J465" s="10"/>
    </x:row>
    <x:row r="466" ht="14.25" customHeight="1">
      <x:c r="A466" s="10"/>
      <x:c r="B466" s="10"/>
      <x:c r="C466" s="10"/>
      <x:c r="D466" s="10"/>
      <x:c r="E466" s="10"/>
      <x:c r="F466" s="10"/>
      <x:c r="G466" s="10"/>
      <x:c r="H466" s="10"/>
      <x:c r="I466" s="10"/>
      <x:c r="J466" s="10"/>
    </x:row>
    <x:row r="467" ht="14.25" customHeight="1">
      <x:c r="A467" s="10"/>
      <x:c r="B467" s="10"/>
      <x:c r="C467" s="10"/>
      <x:c r="D467" s="10"/>
      <x:c r="E467" s="10"/>
      <x:c r="F467" s="10"/>
      <x:c r="G467" s="10"/>
      <x:c r="H467" s="10"/>
      <x:c r="I467" s="10"/>
      <x:c r="J467" s="10"/>
    </x:row>
    <x:row r="468" ht="14.25" customHeight="1">
      <x:c r="A468" s="10"/>
      <x:c r="B468" s="10"/>
      <x:c r="C468" s="10"/>
      <x:c r="D468" s="10"/>
      <x:c r="E468" s="10"/>
      <x:c r="F468" s="10"/>
      <x:c r="G468" s="10"/>
      <x:c r="H468" s="10"/>
      <x:c r="I468" s="10"/>
      <x:c r="J468" s="10"/>
    </x:row>
    <x:row r="469" ht="14.25" customHeight="1">
      <x:c r="A469" s="10"/>
      <x:c r="B469" s="10"/>
      <x:c r="C469" s="10"/>
      <x:c r="D469" s="10"/>
      <x:c r="E469" s="10"/>
      <x:c r="F469" s="10"/>
      <x:c r="G469" s="10"/>
      <x:c r="H469" s="10"/>
      <x:c r="I469" s="10"/>
      <x:c r="J469" s="10"/>
    </x:row>
    <x:row r="470" ht="14.25" customHeight="1">
      <x:c r="A470" s="10"/>
      <x:c r="B470" s="10"/>
      <x:c r="C470" s="10"/>
      <x:c r="D470" s="10"/>
      <x:c r="E470" s="10"/>
      <x:c r="F470" s="10"/>
      <x:c r="G470" s="10"/>
      <x:c r="H470" s="10"/>
      <x:c r="I470" s="10"/>
      <x:c r="J470" s="10"/>
    </x:row>
    <x:row r="471" ht="14.25" customHeight="1">
      <x:c r="A471" s="10"/>
      <x:c r="B471" s="10"/>
      <x:c r="C471" s="10"/>
      <x:c r="D471" s="10"/>
      <x:c r="E471" s="10"/>
      <x:c r="F471" s="10"/>
      <x:c r="G471" s="10"/>
      <x:c r="H471" s="10"/>
      <x:c r="I471" s="10"/>
      <x:c r="J471" s="10"/>
    </x:row>
    <x:row r="472" ht="14.25" customHeight="1">
      <x:c r="A472" s="10"/>
      <x:c r="B472" s="10"/>
      <x:c r="C472" s="10"/>
      <x:c r="D472" s="10"/>
      <x:c r="E472" s="10"/>
      <x:c r="F472" s="10"/>
      <x:c r="G472" s="10"/>
      <x:c r="H472" s="10"/>
      <x:c r="I472" s="10"/>
      <x:c r="J472" s="10"/>
    </x:row>
    <x:row r="473" ht="14.25" customHeight="1">
      <x:c r="A473" s="10"/>
      <x:c r="B473" s="10"/>
      <x:c r="C473" s="10"/>
      <x:c r="D473" s="10"/>
      <x:c r="E473" s="10"/>
      <x:c r="F473" s="10"/>
      <x:c r="G473" s="10"/>
      <x:c r="H473" s="10"/>
      <x:c r="I473" s="10"/>
      <x:c r="J473" s="10"/>
    </x:row>
    <x:row r="474" ht="14.25" customHeight="1">
      <x:c r="A474" s="10"/>
      <x:c r="B474" s="10"/>
      <x:c r="C474" s="10"/>
      <x:c r="D474" s="10"/>
      <x:c r="E474" s="10"/>
      <x:c r="F474" s="10"/>
      <x:c r="G474" s="10"/>
      <x:c r="H474" s="10"/>
      <x:c r="I474" s="10"/>
      <x:c r="J474" s="10"/>
    </x:row>
    <x:row r="475" ht="14.25" customHeight="1">
      <x:c r="A475" s="10"/>
      <x:c r="B475" s="10"/>
      <x:c r="C475" s="10"/>
      <x:c r="D475" s="10"/>
      <x:c r="E475" s="10"/>
      <x:c r="F475" s="10"/>
      <x:c r="G475" s="10"/>
      <x:c r="H475" s="10"/>
      <x:c r="I475" s="10"/>
      <x:c r="J475" s="10"/>
    </x:row>
    <x:row r="476" ht="14.25" customHeight="1">
      <x:c r="A476" s="10"/>
      <x:c r="B476" s="10"/>
      <x:c r="C476" s="10"/>
      <x:c r="D476" s="10"/>
      <x:c r="E476" s="10"/>
      <x:c r="F476" s="10"/>
      <x:c r="G476" s="10"/>
      <x:c r="H476" s="10"/>
      <x:c r="I476" s="10"/>
      <x:c r="J476" s="10"/>
    </x:row>
    <x:row r="477" ht="14.25" customHeight="1">
      <x:c r="A477" s="10"/>
      <x:c r="B477" s="10"/>
      <x:c r="C477" s="10"/>
      <x:c r="D477" s="10"/>
      <x:c r="E477" s="10"/>
      <x:c r="F477" s="10"/>
      <x:c r="G477" s="10"/>
      <x:c r="H477" s="10"/>
      <x:c r="I477" s="10"/>
      <x:c r="J477" s="10"/>
    </x:row>
    <x:row r="478" ht="14.25" customHeight="1">
      <x:c r="A478" s="10"/>
      <x:c r="B478" s="10"/>
      <x:c r="C478" s="10"/>
      <x:c r="D478" s="10"/>
      <x:c r="E478" s="10"/>
      <x:c r="F478" s="10"/>
      <x:c r="G478" s="10"/>
      <x:c r="H478" s="10"/>
      <x:c r="I478" s="10"/>
      <x:c r="J478" s="10"/>
    </x:row>
    <x:row r="479" ht="14.25" customHeight="1">
      <x:c r="A479" s="10"/>
      <x:c r="B479" s="10"/>
      <x:c r="C479" s="10"/>
      <x:c r="D479" s="10"/>
      <x:c r="E479" s="10"/>
      <x:c r="F479" s="10"/>
      <x:c r="G479" s="10"/>
      <x:c r="H479" s="10"/>
      <x:c r="I479" s="10"/>
      <x:c r="J479" s="10"/>
    </x:row>
    <x:row r="480" ht="14.25" customHeight="1">
      <x:c r="A480" s="10"/>
      <x:c r="B480" s="10"/>
      <x:c r="C480" s="10"/>
      <x:c r="D480" s="10"/>
      <x:c r="E480" s="10"/>
      <x:c r="F480" s="10"/>
      <x:c r="G480" s="10"/>
      <x:c r="H480" s="10"/>
      <x:c r="I480" s="10"/>
      <x:c r="J480" s="10"/>
    </x:row>
    <x:row r="481" ht="14.25" customHeight="1">
      <x:c r="A481" s="10"/>
      <x:c r="B481" s="10"/>
      <x:c r="C481" s="10"/>
      <x:c r="D481" s="10"/>
      <x:c r="E481" s="10"/>
      <x:c r="F481" s="10"/>
      <x:c r="G481" s="10"/>
      <x:c r="H481" s="10"/>
      <x:c r="I481" s="10"/>
      <x:c r="J481" s="10"/>
    </x:row>
    <x:row r="482" ht="14.25" customHeight="1">
      <x:c r="A482" s="10"/>
      <x:c r="B482" s="10"/>
      <x:c r="C482" s="10"/>
      <x:c r="D482" s="10"/>
      <x:c r="E482" s="10"/>
      <x:c r="F482" s="10"/>
      <x:c r="G482" s="10"/>
      <x:c r="H482" s="10"/>
      <x:c r="I482" s="10"/>
      <x:c r="J482" s="10"/>
    </x:row>
    <x:row r="483" ht="14.25" customHeight="1">
      <x:c r="A483" s="10"/>
      <x:c r="B483" s="10"/>
      <x:c r="C483" s="10"/>
      <x:c r="D483" s="10"/>
      <x:c r="E483" s="10"/>
      <x:c r="F483" s="10"/>
      <x:c r="G483" s="10"/>
      <x:c r="H483" s="10"/>
      <x:c r="I483" s="10"/>
      <x:c r="J483" s="10"/>
    </x:row>
    <x:row r="484" ht="14.25" customHeight="1">
      <x:c r="A484" s="10"/>
      <x:c r="B484" s="10"/>
      <x:c r="C484" s="10"/>
      <x:c r="D484" s="10"/>
      <x:c r="E484" s="10"/>
      <x:c r="F484" s="10"/>
      <x:c r="G484" s="10"/>
      <x:c r="H484" s="10"/>
      <x:c r="I484" s="10"/>
      <x:c r="J484" s="10"/>
    </x:row>
    <x:row r="485" ht="14.25" customHeight="1">
      <x:c r="A485" s="10"/>
      <x:c r="B485" s="10"/>
      <x:c r="C485" s="10"/>
      <x:c r="D485" s="10"/>
      <x:c r="E485" s="10"/>
      <x:c r="F485" s="10"/>
      <x:c r="G485" s="10"/>
      <x:c r="H485" s="10"/>
      <x:c r="I485" s="10"/>
      <x:c r="J485" s="10"/>
    </x:row>
    <x:row r="486" ht="14.25" customHeight="1">
      <x:c r="A486" s="10"/>
      <x:c r="B486" s="10"/>
      <x:c r="C486" s="10"/>
      <x:c r="D486" s="10"/>
      <x:c r="E486" s="10"/>
      <x:c r="F486" s="10"/>
      <x:c r="G486" s="10"/>
      <x:c r="H486" s="10"/>
      <x:c r="I486" s="10"/>
      <x:c r="J486" s="10"/>
    </x:row>
    <x:row r="487" ht="14.25" customHeight="1">
      <x:c r="A487" s="10"/>
      <x:c r="B487" s="10"/>
      <x:c r="C487" s="10"/>
      <x:c r="D487" s="10"/>
      <x:c r="E487" s="10"/>
      <x:c r="F487" s="10"/>
      <x:c r="G487" s="10"/>
      <x:c r="H487" s="10"/>
      <x:c r="I487" s="10"/>
      <x:c r="J487" s="10"/>
    </x:row>
    <x:row r="488" ht="14.25" customHeight="1">
      <x:c r="A488" s="10"/>
      <x:c r="B488" s="10"/>
      <x:c r="C488" s="10"/>
      <x:c r="D488" s="10"/>
      <x:c r="E488" s="10"/>
      <x:c r="F488" s="10"/>
      <x:c r="G488" s="10"/>
      <x:c r="H488" s="10"/>
      <x:c r="I488" s="10"/>
      <x:c r="J488" s="10"/>
    </x:row>
    <x:row r="489" ht="14.25" customHeight="1">
      <x:c r="A489" s="10"/>
      <x:c r="B489" s="10"/>
      <x:c r="C489" s="10"/>
      <x:c r="D489" s="10"/>
      <x:c r="E489" s="10"/>
      <x:c r="F489" s="10"/>
      <x:c r="G489" s="10"/>
      <x:c r="H489" s="10"/>
      <x:c r="I489" s="10"/>
      <x:c r="J489" s="10"/>
    </x:row>
    <x:row r="490" ht="14.25" customHeight="1">
      <x:c r="A490" s="10"/>
      <x:c r="B490" s="10"/>
      <x:c r="C490" s="10"/>
      <x:c r="D490" s="10"/>
      <x:c r="E490" s="10"/>
      <x:c r="F490" s="10"/>
      <x:c r="G490" s="10"/>
      <x:c r="H490" s="10"/>
      <x:c r="I490" s="10"/>
      <x:c r="J490" s="10"/>
    </x:row>
    <x:row r="491" ht="14.25" customHeight="1">
      <x:c r="A491" s="10"/>
      <x:c r="B491" s="10"/>
      <x:c r="C491" s="10"/>
      <x:c r="D491" s="10"/>
      <x:c r="E491" s="10"/>
      <x:c r="F491" s="10"/>
      <x:c r="G491" s="10"/>
      <x:c r="H491" s="10"/>
      <x:c r="I491" s="10"/>
      <x:c r="J491" s="10"/>
    </x:row>
    <x:row r="492" ht="14.25" customHeight="1">
      <x:c r="A492" s="10"/>
      <x:c r="B492" s="10"/>
      <x:c r="C492" s="10"/>
      <x:c r="D492" s="10"/>
      <x:c r="E492" s="10"/>
      <x:c r="F492" s="10"/>
      <x:c r="G492" s="10"/>
      <x:c r="H492" s="10"/>
      <x:c r="I492" s="10"/>
      <x:c r="J492" s="10"/>
    </x:row>
    <x:row r="493" ht="14.25" customHeight="1">
      <x:c r="A493" s="10"/>
      <x:c r="B493" s="10"/>
      <x:c r="C493" s="10"/>
      <x:c r="D493" s="10"/>
      <x:c r="E493" s="10"/>
      <x:c r="F493" s="10"/>
      <x:c r="G493" s="10"/>
      <x:c r="H493" s="10"/>
      <x:c r="I493" s="10"/>
      <x:c r="J493" s="10"/>
    </x:row>
    <x:row r="494" ht="14.25" customHeight="1">
      <x:c r="A494" s="10"/>
      <x:c r="B494" s="10"/>
      <x:c r="C494" s="10"/>
      <x:c r="D494" s="10"/>
      <x:c r="E494" s="10"/>
      <x:c r="F494" s="10"/>
      <x:c r="G494" s="10"/>
      <x:c r="H494" s="10"/>
      <x:c r="I494" s="10"/>
      <x:c r="J494" s="10"/>
    </x:row>
    <x:row r="495" ht="14.25" customHeight="1">
      <x:c r="A495" s="10"/>
      <x:c r="B495" s="10"/>
      <x:c r="C495" s="10"/>
      <x:c r="D495" s="10"/>
      <x:c r="E495" s="10"/>
      <x:c r="F495" s="10"/>
      <x:c r="G495" s="10"/>
      <x:c r="H495" s="10"/>
      <x:c r="I495" s="10"/>
      <x:c r="J495" s="10"/>
    </x:row>
    <x:row r="496" ht="14.25" customHeight="1">
      <x:c r="A496" s="10"/>
      <x:c r="B496" s="10"/>
      <x:c r="C496" s="10"/>
      <x:c r="D496" s="10"/>
      <x:c r="E496" s="10"/>
      <x:c r="F496" s="10"/>
      <x:c r="G496" s="10"/>
      <x:c r="H496" s="10"/>
      <x:c r="I496" s="10"/>
      <x:c r="J496" s="10"/>
    </x:row>
    <x:row r="497" ht="14.25" customHeight="1">
      <x:c r="A497" s="10"/>
      <x:c r="B497" s="10"/>
      <x:c r="C497" s="10"/>
      <x:c r="D497" s="10"/>
      <x:c r="E497" s="10"/>
      <x:c r="F497" s="10"/>
      <x:c r="G497" s="10"/>
      <x:c r="H497" s="10"/>
      <x:c r="I497" s="10"/>
      <x:c r="J497" s="10"/>
    </x:row>
    <x:row r="498" ht="14.25" customHeight="1">
      <x:c r="A498" s="10"/>
      <x:c r="B498" s="10"/>
      <x:c r="C498" s="10"/>
      <x:c r="D498" s="10"/>
      <x:c r="E498" s="10"/>
      <x:c r="F498" s="10"/>
      <x:c r="G498" s="10"/>
      <x:c r="H498" s="10"/>
      <x:c r="I498" s="10"/>
      <x:c r="J498" s="10"/>
    </x:row>
    <x:row r="499" ht="14.25" customHeight="1">
      <x:c r="A499" s="10"/>
      <x:c r="B499" s="10"/>
      <x:c r="C499" s="10"/>
      <x:c r="D499" s="10"/>
      <x:c r="E499" s="10"/>
      <x:c r="F499" s="10"/>
      <x:c r="G499" s="10"/>
      <x:c r="H499" s="10"/>
      <x:c r="I499" s="10"/>
      <x:c r="J499" s="10"/>
    </x:row>
    <x:row r="500" ht="14.25" customHeight="1">
      <x:c r="A500" s="10"/>
      <x:c r="B500" s="10"/>
      <x:c r="C500" s="10"/>
      <x:c r="D500" s="10"/>
      <x:c r="E500" s="10"/>
      <x:c r="F500" s="10"/>
      <x:c r="G500" s="10"/>
      <x:c r="H500" s="10"/>
      <x:c r="I500" s="10"/>
      <x:c r="J500" s="10"/>
    </x:row>
    <x:row r="501" ht="14.25" customHeight="1">
      <x:c r="A501" s="10"/>
      <x:c r="B501" s="10"/>
      <x:c r="C501" s="10"/>
      <x:c r="D501" s="10"/>
      <x:c r="E501" s="10"/>
      <x:c r="F501" s="10"/>
      <x:c r="G501" s="10"/>
      <x:c r="H501" s="10"/>
      <x:c r="I501" s="10"/>
      <x:c r="J501" s="10"/>
    </x:row>
    <x:row r="502" ht="14.25" customHeight="1">
      <x:c r="A502" s="10"/>
      <x:c r="B502" s="10"/>
      <x:c r="C502" s="10"/>
      <x:c r="D502" s="10"/>
      <x:c r="E502" s="10"/>
      <x:c r="F502" s="10"/>
      <x:c r="G502" s="10"/>
      <x:c r="H502" s="10"/>
      <x:c r="I502" s="10"/>
      <x:c r="J502" s="10"/>
    </x:row>
    <x:row r="503" ht="14.25" customHeight="1">
      <x:c r="A503" s="10"/>
      <x:c r="B503" s="10"/>
      <x:c r="C503" s="10"/>
      <x:c r="D503" s="10"/>
      <x:c r="E503" s="10"/>
      <x:c r="F503" s="10"/>
      <x:c r="G503" s="10"/>
      <x:c r="H503" s="10"/>
      <x:c r="I503" s="10"/>
      <x:c r="J503" s="10"/>
    </x:row>
    <x:row r="504" ht="14.25" customHeight="1">
      <x:c r="A504" s="10"/>
      <x:c r="B504" s="10"/>
      <x:c r="C504" s="10"/>
      <x:c r="D504" s="10"/>
      <x:c r="E504" s="10"/>
      <x:c r="F504" s="10"/>
      <x:c r="G504" s="10"/>
      <x:c r="H504" s="10"/>
      <x:c r="I504" s="10"/>
      <x:c r="J504" s="10"/>
    </x:row>
    <x:row r="505" ht="14.25" customHeight="1">
      <x:c r="A505" s="10"/>
      <x:c r="B505" s="10"/>
      <x:c r="C505" s="10"/>
      <x:c r="D505" s="10"/>
      <x:c r="E505" s="10"/>
      <x:c r="F505" s="10"/>
      <x:c r="G505" s="10"/>
      <x:c r="H505" s="10"/>
      <x:c r="I505" s="10"/>
      <x:c r="J505" s="10"/>
    </x:row>
    <x:row r="506" ht="14.25" customHeight="1">
      <x:c r="A506" s="10"/>
      <x:c r="B506" s="10"/>
      <x:c r="C506" s="10"/>
      <x:c r="D506" s="10"/>
      <x:c r="E506" s="10"/>
      <x:c r="F506" s="10"/>
      <x:c r="G506" s="10"/>
      <x:c r="H506" s="10"/>
      <x:c r="I506" s="10"/>
      <x:c r="J506" s="10"/>
    </x:row>
    <x:row r="507" ht="14.25" customHeight="1">
      <x:c r="A507" s="10"/>
      <x:c r="B507" s="10"/>
      <x:c r="C507" s="10"/>
      <x:c r="D507" s="10"/>
      <x:c r="E507" s="10"/>
      <x:c r="F507" s="10"/>
      <x:c r="G507" s="10"/>
      <x:c r="H507" s="10"/>
      <x:c r="I507" s="10"/>
      <x:c r="J507" s="10"/>
    </x:row>
    <x:row r="508" ht="14.25" customHeight="1">
      <x:c r="A508" s="10"/>
      <x:c r="B508" s="10"/>
      <x:c r="C508" s="10"/>
      <x:c r="D508" s="10"/>
      <x:c r="E508" s="10"/>
      <x:c r="F508" s="10"/>
      <x:c r="G508" s="10"/>
      <x:c r="H508" s="10"/>
      <x:c r="I508" s="10"/>
      <x:c r="J508" s="10"/>
    </x:row>
    <x:row r="509" ht="14.25" customHeight="1">
      <x:c r="A509" s="10"/>
      <x:c r="B509" s="10"/>
      <x:c r="C509" s="10"/>
      <x:c r="D509" s="10"/>
      <x:c r="E509" s="10"/>
      <x:c r="F509" s="10"/>
      <x:c r="G509" s="10"/>
      <x:c r="H509" s="10"/>
      <x:c r="I509" s="10"/>
      <x:c r="J509" s="10"/>
    </x:row>
    <x:row r="510" ht="14.25" customHeight="1">
      <x:c r="A510" s="10"/>
      <x:c r="B510" s="10"/>
      <x:c r="C510" s="10"/>
      <x:c r="D510" s="10"/>
      <x:c r="E510" s="10"/>
      <x:c r="F510" s="10"/>
      <x:c r="G510" s="10"/>
      <x:c r="H510" s="10"/>
      <x:c r="I510" s="10"/>
      <x:c r="J510" s="10"/>
    </x:row>
    <x:row r="511" ht="14.25" customHeight="1">
      <x:c r="A511" s="10"/>
      <x:c r="B511" s="10"/>
      <x:c r="C511" s="10"/>
      <x:c r="D511" s="10"/>
      <x:c r="E511" s="10"/>
      <x:c r="F511" s="10"/>
      <x:c r="G511" s="10"/>
      <x:c r="H511" s="10"/>
      <x:c r="I511" s="10"/>
      <x:c r="J511" s="10"/>
    </x:row>
    <x:row r="512" ht="14.25" customHeight="1">
      <x:c r="A512" s="10"/>
      <x:c r="B512" s="10"/>
      <x:c r="C512" s="10"/>
      <x:c r="D512" s="10"/>
      <x:c r="E512" s="10"/>
      <x:c r="F512" s="10"/>
      <x:c r="G512" s="10"/>
      <x:c r="H512" s="10"/>
      <x:c r="I512" s="10"/>
      <x:c r="J512" s="10"/>
    </x:row>
    <x:row r="513" ht="14.25" customHeight="1">
      <x:c r="A513" s="10"/>
      <x:c r="B513" s="10"/>
      <x:c r="C513" s="10"/>
      <x:c r="D513" s="10"/>
      <x:c r="E513" s="10"/>
      <x:c r="F513" s="10"/>
      <x:c r="G513" s="10"/>
      <x:c r="H513" s="10"/>
      <x:c r="I513" s="10"/>
      <x:c r="J513" s="10"/>
    </x:row>
    <x:row r="514" ht="14.25" customHeight="1">
      <x:c r="A514" s="10"/>
      <x:c r="B514" s="10"/>
      <x:c r="C514" s="10"/>
      <x:c r="D514" s="10"/>
      <x:c r="E514" s="10"/>
      <x:c r="F514" s="10"/>
      <x:c r="G514" s="10"/>
      <x:c r="H514" s="10"/>
      <x:c r="I514" s="10"/>
      <x:c r="J514" s="10"/>
    </x:row>
    <x:row r="515" ht="14.25" customHeight="1">
      <x:c r="A515" s="10"/>
      <x:c r="B515" s="10"/>
      <x:c r="C515" s="10"/>
      <x:c r="D515" s="10"/>
      <x:c r="E515" s="10"/>
      <x:c r="F515" s="10"/>
      <x:c r="G515" s="10"/>
      <x:c r="H515" s="10"/>
      <x:c r="I515" s="10"/>
      <x:c r="J515" s="10"/>
    </x:row>
    <x:row r="516" ht="14.25" customHeight="1">
      <x:c r="A516" s="10"/>
      <x:c r="B516" s="10"/>
      <x:c r="C516" s="10"/>
      <x:c r="D516" s="10"/>
      <x:c r="E516" s="10"/>
      <x:c r="F516" s="10"/>
      <x:c r="G516" s="10"/>
      <x:c r="H516" s="10"/>
      <x:c r="I516" s="10"/>
      <x:c r="J516" s="10"/>
    </x:row>
    <x:row r="517" ht="14.25" customHeight="1">
      <x:c r="A517" s="10"/>
      <x:c r="B517" s="10"/>
      <x:c r="C517" s="10"/>
      <x:c r="D517" s="10"/>
      <x:c r="E517" s="10"/>
      <x:c r="F517" s="10"/>
      <x:c r="G517" s="10"/>
      <x:c r="H517" s="10"/>
      <x:c r="I517" s="10"/>
      <x:c r="J517" s="10"/>
    </x:row>
    <x:row r="518" ht="14.25" customHeight="1">
      <x:c r="A518" s="10"/>
      <x:c r="B518" s="10"/>
      <x:c r="C518" s="10"/>
      <x:c r="D518" s="10"/>
      <x:c r="E518" s="10"/>
      <x:c r="F518" s="10"/>
      <x:c r="G518" s="10"/>
      <x:c r="H518" s="10"/>
      <x:c r="I518" s="10"/>
      <x:c r="J518" s="10"/>
    </x:row>
    <x:row r="519" ht="14.25" customHeight="1">
      <x:c r="A519" s="10"/>
      <x:c r="B519" s="10"/>
      <x:c r="C519" s="10"/>
      <x:c r="D519" s="10"/>
      <x:c r="E519" s="10"/>
      <x:c r="F519" s="10"/>
      <x:c r="G519" s="10"/>
      <x:c r="H519" s="10"/>
      <x:c r="I519" s="10"/>
      <x:c r="J519" s="10"/>
    </x:row>
    <x:row r="520" ht="14.25" customHeight="1">
      <x:c r="A520" s="10"/>
      <x:c r="B520" s="10"/>
      <x:c r="C520" s="10"/>
      <x:c r="D520" s="10"/>
      <x:c r="E520" s="10"/>
      <x:c r="F520" s="10"/>
      <x:c r="G520" s="10"/>
      <x:c r="H520" s="10"/>
      <x:c r="I520" s="10"/>
      <x:c r="J520" s="10"/>
    </x:row>
    <x:row r="521" ht="14.25" customHeight="1">
      <x:c r="A521" s="10"/>
      <x:c r="B521" s="10"/>
      <x:c r="C521" s="10"/>
      <x:c r="D521" s="10"/>
      <x:c r="E521" s="10"/>
      <x:c r="F521" s="10"/>
      <x:c r="G521" s="10"/>
      <x:c r="H521" s="10"/>
      <x:c r="I521" s="10"/>
      <x:c r="J521" s="10"/>
    </x:row>
    <x:row r="522" ht="14.25" customHeight="1">
      <x:c r="A522" s="10"/>
      <x:c r="B522" s="10"/>
      <x:c r="C522" s="10"/>
      <x:c r="D522" s="10"/>
      <x:c r="E522" s="10"/>
      <x:c r="F522" s="10"/>
      <x:c r="G522" s="10"/>
      <x:c r="H522" s="10"/>
      <x:c r="I522" s="10"/>
      <x:c r="J522" s="10"/>
    </x:row>
    <x:row r="523" ht="14.25" customHeight="1">
      <x:c r="A523" s="10"/>
      <x:c r="B523" s="10"/>
      <x:c r="C523" s="10"/>
      <x:c r="D523" s="10"/>
      <x:c r="E523" s="10"/>
      <x:c r="F523" s="10"/>
      <x:c r="G523" s="10"/>
      <x:c r="H523" s="10"/>
      <x:c r="I523" s="10"/>
      <x:c r="J523" s="10"/>
    </x:row>
    <x:row r="524" ht="14.25" customHeight="1">
      <x:c r="A524" s="10"/>
      <x:c r="B524" s="10"/>
      <x:c r="C524" s="10"/>
      <x:c r="D524" s="10"/>
      <x:c r="E524" s="10"/>
      <x:c r="F524" s="10"/>
      <x:c r="G524" s="10"/>
      <x:c r="H524" s="10"/>
      <x:c r="I524" s="10"/>
      <x:c r="J524" s="10"/>
    </x:row>
    <x:row r="525" ht="14.25" customHeight="1">
      <x:c r="A525" s="10"/>
      <x:c r="B525" s="10"/>
      <x:c r="C525" s="10"/>
      <x:c r="D525" s="10"/>
      <x:c r="E525" s="10"/>
      <x:c r="F525" s="10"/>
      <x:c r="G525" s="10"/>
      <x:c r="H525" s="10"/>
      <x:c r="I525" s="10"/>
      <x:c r="J525" s="10"/>
    </x:row>
    <x:row r="526" ht="14.25" customHeight="1">
      <x:c r="A526" s="10"/>
      <x:c r="B526" s="10"/>
      <x:c r="C526" s="10"/>
      <x:c r="D526" s="10"/>
      <x:c r="E526" s="10"/>
      <x:c r="F526" s="10"/>
      <x:c r="G526" s="10"/>
      <x:c r="H526" s="10"/>
      <x:c r="I526" s="10"/>
      <x:c r="J526" s="10"/>
    </x:row>
    <x:row r="527" ht="14.25" customHeight="1">
      <x:c r="A527" s="10"/>
      <x:c r="B527" s="10"/>
      <x:c r="C527" s="10"/>
      <x:c r="D527" s="10"/>
      <x:c r="E527" s="10"/>
      <x:c r="F527" s="10"/>
      <x:c r="G527" s="10"/>
      <x:c r="H527" s="10"/>
      <x:c r="I527" s="10"/>
      <x:c r="J527" s="10"/>
    </x:row>
    <x:row r="528" ht="14.25" customHeight="1">
      <x:c r="A528" s="10"/>
      <x:c r="B528" s="10"/>
      <x:c r="C528" s="10"/>
      <x:c r="D528" s="10"/>
      <x:c r="E528" s="10"/>
      <x:c r="F528" s="10"/>
      <x:c r="G528" s="10"/>
      <x:c r="H528" s="10"/>
      <x:c r="I528" s="10"/>
      <x:c r="J528" s="10"/>
    </x:row>
    <x:row r="529" ht="14.25" customHeight="1">
      <x:c r="A529" s="10"/>
      <x:c r="B529" s="10"/>
      <x:c r="C529" s="10"/>
      <x:c r="D529" s="10"/>
      <x:c r="E529" s="10"/>
      <x:c r="F529" s="10"/>
      <x:c r="G529" s="10"/>
      <x:c r="H529" s="10"/>
      <x:c r="I529" s="10"/>
      <x:c r="J529" s="10"/>
    </x:row>
    <x:row r="530" ht="14.25" customHeight="1">
      <x:c r="A530" s="10"/>
      <x:c r="B530" s="10"/>
      <x:c r="C530" s="10"/>
      <x:c r="D530" s="10"/>
      <x:c r="E530" s="10"/>
      <x:c r="F530" s="10"/>
      <x:c r="G530" s="10"/>
      <x:c r="H530" s="10"/>
      <x:c r="I530" s="10"/>
      <x:c r="J530" s="10"/>
    </x:row>
    <x:row r="531" ht="14.25" customHeight="1">
      <x:c r="A531" s="10"/>
      <x:c r="B531" s="10"/>
      <x:c r="C531" s="10"/>
      <x:c r="D531" s="10"/>
      <x:c r="E531" s="10"/>
      <x:c r="F531" s="10"/>
      <x:c r="G531" s="10"/>
      <x:c r="H531" s="10"/>
      <x:c r="I531" s="10"/>
      <x:c r="J531" s="10"/>
    </x:row>
    <x:row r="532" ht="14.25" customHeight="1">
      <x:c r="A532" s="10"/>
      <x:c r="B532" s="10"/>
      <x:c r="C532" s="10"/>
      <x:c r="D532" s="10"/>
      <x:c r="E532" s="10"/>
      <x:c r="F532" s="10"/>
      <x:c r="G532" s="10"/>
      <x:c r="H532" s="10"/>
      <x:c r="I532" s="10"/>
      <x:c r="J532" s="10"/>
    </x:row>
    <x:row r="533" ht="14.25" customHeight="1">
      <x:c r="A533" s="10"/>
      <x:c r="B533" s="10"/>
      <x:c r="C533" s="10"/>
      <x:c r="D533" s="10"/>
      <x:c r="E533" s="10"/>
      <x:c r="F533" s="10"/>
      <x:c r="G533" s="10"/>
      <x:c r="H533" s="10"/>
      <x:c r="I533" s="10"/>
      <x:c r="J533" s="10"/>
    </x:row>
    <x:row r="534" ht="14.25" customHeight="1">
      <x:c r="A534" s="10"/>
      <x:c r="B534" s="10"/>
      <x:c r="C534" s="10"/>
      <x:c r="D534" s="10"/>
      <x:c r="E534" s="10"/>
      <x:c r="F534" s="10"/>
      <x:c r="G534" s="10"/>
      <x:c r="H534" s="10"/>
      <x:c r="I534" s="10"/>
      <x:c r="J534" s="10"/>
    </x:row>
    <x:row r="535" ht="14.25" customHeight="1">
      <x:c r="A535" s="10"/>
      <x:c r="B535" s="10"/>
      <x:c r="C535" s="10"/>
      <x:c r="D535" s="10"/>
      <x:c r="E535" s="10"/>
      <x:c r="F535" s="10"/>
      <x:c r="G535" s="10"/>
      <x:c r="H535" s="10"/>
      <x:c r="I535" s="10"/>
      <x:c r="J535" s="10"/>
    </x:row>
    <x:row r="536" ht="14.25" customHeight="1">
      <x:c r="A536" s="10"/>
      <x:c r="B536" s="10"/>
      <x:c r="C536" s="10"/>
      <x:c r="D536" s="10"/>
      <x:c r="E536" s="10"/>
      <x:c r="F536" s="10"/>
      <x:c r="G536" s="10"/>
      <x:c r="H536" s="10"/>
      <x:c r="I536" s="10"/>
      <x:c r="J536" s="10"/>
    </x:row>
    <x:row r="537" ht="14.25" customHeight="1">
      <x:c r="A537" s="10"/>
      <x:c r="B537" s="10"/>
      <x:c r="C537" s="10"/>
      <x:c r="D537" s="10"/>
      <x:c r="E537" s="10"/>
      <x:c r="F537" s="10"/>
      <x:c r="G537" s="10"/>
      <x:c r="H537" s="10"/>
      <x:c r="I537" s="10"/>
      <x:c r="J537" s="10"/>
    </x:row>
    <x:row r="538" ht="14.25" customHeight="1">
      <x:c r="A538" s="10"/>
      <x:c r="B538" s="10"/>
      <x:c r="C538" s="10"/>
      <x:c r="D538" s="10"/>
      <x:c r="E538" s="10"/>
      <x:c r="F538" s="10"/>
      <x:c r="G538" s="10"/>
      <x:c r="H538" s="10"/>
      <x:c r="I538" s="10"/>
      <x:c r="J538" s="10"/>
    </x:row>
    <x:row r="539" ht="14.25" customHeight="1">
      <x:c r="A539" s="10"/>
      <x:c r="B539" s="10"/>
      <x:c r="C539" s="10"/>
      <x:c r="D539" s="10"/>
      <x:c r="E539" s="10"/>
      <x:c r="F539" s="10"/>
      <x:c r="G539" s="10"/>
      <x:c r="H539" s="10"/>
      <x:c r="I539" s="10"/>
      <x:c r="J539" s="10"/>
    </x:row>
    <x:row r="540" ht="14.25" customHeight="1">
      <x:c r="A540" s="10"/>
      <x:c r="B540" s="10"/>
      <x:c r="C540" s="10"/>
      <x:c r="D540" s="10"/>
      <x:c r="E540" s="10"/>
      <x:c r="F540" s="10"/>
      <x:c r="G540" s="10"/>
      <x:c r="H540" s="10"/>
      <x:c r="I540" s="10"/>
      <x:c r="J540" s="10"/>
    </x:row>
    <x:row r="541" ht="14.25" customHeight="1">
      <x:c r="A541" s="10"/>
      <x:c r="B541" s="10"/>
      <x:c r="C541" s="10"/>
      <x:c r="D541" s="10"/>
      <x:c r="E541" s="10"/>
      <x:c r="F541" s="10"/>
      <x:c r="G541" s="10"/>
      <x:c r="H541" s="10"/>
      <x:c r="I541" s="10"/>
      <x:c r="J541" s="10"/>
    </x:row>
    <x:row r="542" ht="14.25" customHeight="1">
      <x:c r="A542" s="10"/>
      <x:c r="B542" s="10"/>
      <x:c r="C542" s="10"/>
      <x:c r="D542" s="10"/>
      <x:c r="E542" s="10"/>
      <x:c r="F542" s="10"/>
      <x:c r="G542" s="10"/>
      <x:c r="H542" s="10"/>
      <x:c r="I542" s="10"/>
      <x:c r="J542" s="10"/>
    </x:row>
    <x:row r="543" ht="14.25" customHeight="1">
      <x:c r="A543" s="10"/>
      <x:c r="B543" s="10"/>
      <x:c r="C543" s="10"/>
      <x:c r="D543" s="10"/>
      <x:c r="E543" s="10"/>
      <x:c r="F543" s="10"/>
      <x:c r="G543" s="10"/>
      <x:c r="H543" s="10"/>
      <x:c r="I543" s="10"/>
      <x:c r="J543" s="10"/>
    </x:row>
    <x:row r="544" ht="14.25" customHeight="1">
      <x:c r="A544" s="10"/>
      <x:c r="B544" s="10"/>
      <x:c r="C544" s="10"/>
      <x:c r="D544" s="10"/>
      <x:c r="E544" s="10"/>
      <x:c r="F544" s="10"/>
      <x:c r="G544" s="10"/>
      <x:c r="H544" s="10"/>
      <x:c r="I544" s="10"/>
      <x:c r="J544" s="10"/>
    </x:row>
    <x:row r="545" ht="14.25" customHeight="1">
      <x:c r="A545" s="10"/>
      <x:c r="B545" s="10"/>
      <x:c r="C545" s="10"/>
      <x:c r="D545" s="10"/>
      <x:c r="E545" s="10"/>
      <x:c r="F545" s="10"/>
      <x:c r="G545" s="10"/>
      <x:c r="H545" s="10"/>
      <x:c r="I545" s="10"/>
      <x:c r="J545" s="10"/>
    </x:row>
    <x:row r="546" ht="14.25" customHeight="1">
      <x:c r="A546" s="10"/>
      <x:c r="B546" s="10"/>
      <x:c r="C546" s="10"/>
      <x:c r="D546" s="10"/>
      <x:c r="E546" s="10"/>
      <x:c r="F546" s="10"/>
      <x:c r="G546" s="10"/>
      <x:c r="H546" s="10"/>
      <x:c r="I546" s="10"/>
      <x:c r="J546" s="10"/>
    </x:row>
    <x:row r="547" ht="14.25" customHeight="1">
      <x:c r="A547" s="10"/>
      <x:c r="B547" s="10"/>
      <x:c r="C547" s="10"/>
      <x:c r="D547" s="10"/>
      <x:c r="E547" s="10"/>
      <x:c r="F547" s="10"/>
      <x:c r="G547" s="10"/>
      <x:c r="H547" s="10"/>
      <x:c r="I547" s="10"/>
      <x:c r="J547" s="10"/>
    </x:row>
    <x:row r="548" ht="14.25" customHeight="1">
      <x:c r="A548" s="10"/>
      <x:c r="B548" s="10"/>
      <x:c r="C548" s="10"/>
      <x:c r="D548" s="10"/>
      <x:c r="E548" s="10"/>
      <x:c r="F548" s="10"/>
      <x:c r="G548" s="10"/>
      <x:c r="H548" s="10"/>
      <x:c r="I548" s="10"/>
      <x:c r="J548" s="10"/>
    </x:row>
    <x:row r="549" ht="14.25" customHeight="1">
      <x:c r="A549" s="10"/>
      <x:c r="B549" s="10"/>
      <x:c r="C549" s="10"/>
      <x:c r="D549" s="10"/>
      <x:c r="E549" s="10"/>
      <x:c r="F549" s="10"/>
      <x:c r="G549" s="10"/>
      <x:c r="H549" s="10"/>
      <x:c r="I549" s="10"/>
      <x:c r="J549" s="10"/>
    </x:row>
    <x:row r="550" ht="14.25" customHeight="1">
      <x:c r="A550" s="10"/>
      <x:c r="B550" s="10"/>
      <x:c r="C550" s="10"/>
      <x:c r="D550" s="10"/>
      <x:c r="E550" s="10"/>
      <x:c r="F550" s="10"/>
      <x:c r="G550" s="10"/>
      <x:c r="H550" s="10"/>
      <x:c r="I550" s="10"/>
      <x:c r="J550" s="10"/>
    </x:row>
    <x:row r="551" ht="14.25" customHeight="1">
      <x:c r="A551" s="10"/>
      <x:c r="B551" s="10"/>
      <x:c r="C551" s="10"/>
      <x:c r="D551" s="10"/>
      <x:c r="E551" s="10"/>
      <x:c r="F551" s="10"/>
      <x:c r="G551" s="10"/>
      <x:c r="H551" s="10"/>
      <x:c r="I551" s="10"/>
      <x:c r="J551" s="10"/>
    </x:row>
    <x:row r="552" ht="14.25" customHeight="1">
      <x:c r="A552" s="10"/>
      <x:c r="B552" s="10"/>
      <x:c r="C552" s="10"/>
      <x:c r="D552" s="10"/>
      <x:c r="E552" s="10"/>
      <x:c r="F552" s="10"/>
      <x:c r="G552" s="10"/>
      <x:c r="H552" s="10"/>
      <x:c r="I552" s="10"/>
      <x:c r="J552" s="10"/>
    </x:row>
    <x:row r="553" ht="14.25" customHeight="1">
      <x:c r="A553" s="10"/>
      <x:c r="B553" s="10"/>
      <x:c r="C553" s="10"/>
      <x:c r="D553" s="10"/>
      <x:c r="E553" s="10"/>
      <x:c r="F553" s="10"/>
      <x:c r="G553" s="10"/>
      <x:c r="H553" s="10"/>
      <x:c r="I553" s="10"/>
      <x:c r="J553" s="10"/>
    </x:row>
    <x:row r="554" ht="14.25" customHeight="1">
      <x:c r="A554" s="10"/>
      <x:c r="B554" s="10"/>
      <x:c r="C554" s="10"/>
      <x:c r="D554" s="10"/>
      <x:c r="E554" s="10"/>
      <x:c r="F554" s="10"/>
      <x:c r="G554" s="10"/>
      <x:c r="H554" s="10"/>
      <x:c r="I554" s="10"/>
      <x:c r="J554" s="10"/>
    </x:row>
    <x:row r="555" ht="14.25" customHeight="1">
      <x:c r="A555" s="10"/>
      <x:c r="B555" s="10"/>
      <x:c r="C555" s="10"/>
      <x:c r="D555" s="10"/>
      <x:c r="E555" s="10"/>
      <x:c r="F555" s="10"/>
      <x:c r="G555" s="10"/>
      <x:c r="H555" s="10"/>
      <x:c r="I555" s="10"/>
      <x:c r="J555" s="10"/>
    </x:row>
    <x:row r="556" ht="14.25" customHeight="1">
      <x:c r="A556" s="10"/>
      <x:c r="B556" s="10"/>
      <x:c r="C556" s="10"/>
      <x:c r="D556" s="10"/>
      <x:c r="E556" s="10"/>
      <x:c r="F556" s="10"/>
      <x:c r="G556" s="10"/>
      <x:c r="H556" s="10"/>
      <x:c r="I556" s="10"/>
      <x:c r="J556" s="10"/>
    </x:row>
    <x:row r="557" ht="14.25" customHeight="1">
      <x:c r="A557" s="10"/>
      <x:c r="B557" s="10"/>
      <x:c r="C557" s="10"/>
      <x:c r="D557" s="10"/>
      <x:c r="E557" s="10"/>
      <x:c r="F557" s="10"/>
      <x:c r="G557" s="10"/>
      <x:c r="H557" s="10"/>
      <x:c r="I557" s="10"/>
      <x:c r="J557" s="10"/>
    </x:row>
    <x:row r="558" ht="14.25" customHeight="1">
      <x:c r="A558" s="10"/>
      <x:c r="B558" s="10"/>
      <x:c r="C558" s="10"/>
      <x:c r="D558" s="10"/>
      <x:c r="E558" s="10"/>
      <x:c r="F558" s="10"/>
      <x:c r="G558" s="10"/>
      <x:c r="H558" s="10"/>
      <x:c r="I558" s="10"/>
      <x:c r="J558" s="10"/>
    </x:row>
    <x:row r="559" ht="14.25" customHeight="1">
      <x:c r="A559" s="10"/>
      <x:c r="B559" s="10"/>
      <x:c r="C559" s="10"/>
      <x:c r="D559" s="10"/>
      <x:c r="E559" s="10"/>
      <x:c r="F559" s="10"/>
      <x:c r="G559" s="10"/>
      <x:c r="H559" s="10"/>
      <x:c r="I559" s="10"/>
      <x:c r="J559" s="10"/>
    </x:row>
    <x:row r="560" ht="14.25" customHeight="1">
      <x:c r="A560" s="10"/>
      <x:c r="B560" s="10"/>
      <x:c r="C560" s="10"/>
      <x:c r="D560" s="10"/>
      <x:c r="E560" s="10"/>
      <x:c r="F560" s="10"/>
      <x:c r="G560" s="10"/>
      <x:c r="H560" s="10"/>
      <x:c r="I560" s="10"/>
      <x:c r="J560" s="10"/>
    </x:row>
    <x:row r="561" ht="14.25" customHeight="1">
      <x:c r="A561" s="10"/>
      <x:c r="B561" s="10"/>
      <x:c r="C561" s="10"/>
      <x:c r="D561" s="10"/>
      <x:c r="E561" s="10"/>
      <x:c r="F561" s="10"/>
      <x:c r="G561" s="10"/>
      <x:c r="H561" s="10"/>
      <x:c r="I561" s="10"/>
      <x:c r="J561" s="10"/>
    </x:row>
    <x:row r="562" ht="14.25" customHeight="1">
      <x:c r="A562" s="10"/>
      <x:c r="B562" s="10"/>
      <x:c r="C562" s="10"/>
      <x:c r="D562" s="10"/>
      <x:c r="E562" s="10"/>
      <x:c r="F562" s="10"/>
      <x:c r="G562" s="10"/>
      <x:c r="H562" s="10"/>
      <x:c r="I562" s="10"/>
      <x:c r="J562" s="10"/>
    </x:row>
    <x:row r="563" ht="14.25" customHeight="1">
      <x:c r="A563" s="10"/>
      <x:c r="B563" s="10"/>
      <x:c r="C563" s="10"/>
      <x:c r="D563" s="10"/>
      <x:c r="E563" s="10"/>
      <x:c r="F563" s="10"/>
      <x:c r="G563" s="10"/>
      <x:c r="H563" s="10"/>
      <x:c r="I563" s="10"/>
      <x:c r="J563" s="10"/>
    </x:row>
    <x:row r="564" ht="14.25" customHeight="1">
      <x:c r="A564" s="10"/>
      <x:c r="B564" s="10"/>
      <x:c r="C564" s="10"/>
      <x:c r="D564" s="10"/>
      <x:c r="E564" s="10"/>
      <x:c r="F564" s="10"/>
      <x:c r="G564" s="10"/>
      <x:c r="H564" s="10"/>
      <x:c r="I564" s="10"/>
      <x:c r="J564" s="10"/>
    </x:row>
    <x:row r="565" ht="14.25" customHeight="1">
      <x:c r="A565" s="10"/>
      <x:c r="B565" s="10"/>
      <x:c r="C565" s="10"/>
      <x:c r="D565" s="10"/>
      <x:c r="E565" s="10"/>
      <x:c r="F565" s="10"/>
      <x:c r="G565" s="10"/>
      <x:c r="H565" s="10"/>
      <x:c r="I565" s="10"/>
      <x:c r="J565" s="10"/>
    </x:row>
    <x:row r="566" ht="14.25" customHeight="1">
      <x:c r="A566" s="10"/>
      <x:c r="B566" s="10"/>
      <x:c r="C566" s="10"/>
      <x:c r="D566" s="10"/>
      <x:c r="E566" s="10"/>
      <x:c r="F566" s="10"/>
      <x:c r="G566" s="10"/>
      <x:c r="H566" s="10"/>
      <x:c r="I566" s="10"/>
      <x:c r="J566" s="10"/>
    </x:row>
    <x:row r="567" ht="14.25" customHeight="1">
      <x:c r="A567" s="10"/>
      <x:c r="B567" s="10"/>
      <x:c r="C567" s="10"/>
      <x:c r="D567" s="10"/>
      <x:c r="E567" s="10"/>
      <x:c r="F567" s="10"/>
      <x:c r="G567" s="10"/>
      <x:c r="H567" s="10"/>
      <x:c r="I567" s="10"/>
      <x:c r="J567" s="10"/>
    </x:row>
    <x:row r="568" ht="14.25" customHeight="1">
      <x:c r="A568" s="10"/>
      <x:c r="B568" s="10"/>
      <x:c r="C568" s="10"/>
      <x:c r="D568" s="10"/>
      <x:c r="E568" s="10"/>
      <x:c r="F568" s="10"/>
      <x:c r="G568" s="10"/>
      <x:c r="H568" s="10"/>
      <x:c r="I568" s="10"/>
      <x:c r="J568" s="10"/>
    </x:row>
    <x:row r="569" ht="14.25" customHeight="1">
      <x:c r="A569" s="10"/>
      <x:c r="B569" s="10"/>
      <x:c r="C569" s="10"/>
      <x:c r="D569" s="10"/>
      <x:c r="E569" s="10"/>
      <x:c r="F569" s="10"/>
      <x:c r="G569" s="10"/>
      <x:c r="H569" s="10"/>
      <x:c r="I569" s="10"/>
      <x:c r="J569" s="10"/>
    </x:row>
    <x:row r="570" ht="14.25" customHeight="1">
      <x:c r="A570" s="10"/>
      <x:c r="B570" s="10"/>
      <x:c r="C570" s="10"/>
      <x:c r="D570" s="10"/>
      <x:c r="E570" s="10"/>
      <x:c r="F570" s="10"/>
      <x:c r="G570" s="10"/>
      <x:c r="H570" s="10"/>
      <x:c r="I570" s="10"/>
      <x:c r="J570" s="10"/>
    </x:row>
    <x:row r="571" ht="14.25" customHeight="1">
      <x:c r="A571" s="10"/>
      <x:c r="B571" s="10"/>
      <x:c r="C571" s="10"/>
      <x:c r="D571" s="10"/>
      <x:c r="E571" s="10"/>
      <x:c r="F571" s="10"/>
      <x:c r="G571" s="10"/>
      <x:c r="H571" s="10"/>
      <x:c r="I571" s="10"/>
      <x:c r="J571" s="10"/>
    </x:row>
    <x:row r="572" ht="14.25" customHeight="1">
      <x:c r="A572" s="10"/>
      <x:c r="B572" s="10"/>
      <x:c r="C572" s="10"/>
      <x:c r="D572" s="10"/>
      <x:c r="E572" s="10"/>
      <x:c r="F572" s="10"/>
      <x:c r="G572" s="10"/>
      <x:c r="H572" s="10"/>
      <x:c r="I572" s="10"/>
      <x:c r="J572" s="10"/>
    </x:row>
    <x:row r="573" ht="14.25" customHeight="1">
      <x:c r="A573" s="10"/>
      <x:c r="B573" s="10"/>
      <x:c r="C573" s="10"/>
      <x:c r="D573" s="10"/>
      <x:c r="E573" s="10"/>
      <x:c r="F573" s="10"/>
      <x:c r="G573" s="10"/>
      <x:c r="H573" s="10"/>
      <x:c r="I573" s="10"/>
      <x:c r="J573" s="10"/>
    </x:row>
    <x:row r="574" ht="14.25" customHeight="1">
      <x:c r="A574" s="10"/>
      <x:c r="B574" s="10"/>
      <x:c r="C574" s="10"/>
      <x:c r="D574" s="10"/>
      <x:c r="E574" s="10"/>
      <x:c r="F574" s="10"/>
      <x:c r="G574" s="10"/>
      <x:c r="H574" s="10"/>
      <x:c r="I574" s="10"/>
      <x:c r="J574" s="10"/>
    </x:row>
    <x:row r="575" ht="14.25" customHeight="1">
      <x:c r="A575" s="10"/>
      <x:c r="B575" s="10"/>
      <x:c r="C575" s="10"/>
      <x:c r="D575" s="10"/>
      <x:c r="E575" s="10"/>
      <x:c r="F575" s="10"/>
      <x:c r="G575" s="10"/>
      <x:c r="H575" s="10"/>
      <x:c r="I575" s="10"/>
      <x:c r="J575" s="10"/>
    </x:row>
    <x:row r="576" ht="14.25" customHeight="1">
      <x:c r="A576" s="10"/>
      <x:c r="B576" s="10"/>
      <x:c r="C576" s="10"/>
      <x:c r="D576" s="10"/>
      <x:c r="E576" s="10"/>
      <x:c r="F576" s="10"/>
      <x:c r="G576" s="10"/>
      <x:c r="H576" s="10"/>
      <x:c r="I576" s="10"/>
      <x:c r="J576" s="10"/>
    </x:row>
    <x:row r="577" ht="14.25" customHeight="1">
      <x:c r="A577" s="10"/>
      <x:c r="B577" s="10"/>
      <x:c r="C577" s="10"/>
      <x:c r="D577" s="10"/>
      <x:c r="E577" s="10"/>
      <x:c r="F577" s="10"/>
      <x:c r="G577" s="10"/>
      <x:c r="H577" s="10"/>
      <x:c r="I577" s="10"/>
      <x:c r="J577" s="10"/>
    </x:row>
    <x:row r="578" ht="14.25" customHeight="1">
      <x:c r="A578" s="10"/>
      <x:c r="B578" s="10"/>
      <x:c r="C578" s="10"/>
      <x:c r="D578" s="10"/>
      <x:c r="E578" s="10"/>
      <x:c r="F578" s="10"/>
      <x:c r="G578" s="10"/>
      <x:c r="H578" s="10"/>
      <x:c r="I578" s="10"/>
      <x:c r="J578" s="10"/>
    </x:row>
    <x:row r="579" ht="14.25" customHeight="1">
      <x:c r="A579" s="10"/>
      <x:c r="B579" s="10"/>
      <x:c r="C579" s="10"/>
      <x:c r="D579" s="10"/>
      <x:c r="E579" s="10"/>
      <x:c r="F579" s="10"/>
      <x:c r="G579" s="10"/>
      <x:c r="H579" s="10"/>
      <x:c r="I579" s="10"/>
      <x:c r="J579" s="10"/>
    </x:row>
    <x:row r="580" ht="14.25" customHeight="1">
      <x:c r="A580" s="10"/>
      <x:c r="B580" s="10"/>
      <x:c r="C580" s="10"/>
      <x:c r="D580" s="10"/>
      <x:c r="E580" s="10"/>
      <x:c r="F580" s="10"/>
      <x:c r="G580" s="10"/>
      <x:c r="H580" s="10"/>
      <x:c r="I580" s="10"/>
      <x:c r="J580" s="10"/>
    </x:row>
    <x:row r="581" ht="14.25" customHeight="1">
      <x:c r="A581" s="10"/>
      <x:c r="B581" s="10"/>
      <x:c r="C581" s="10"/>
      <x:c r="D581" s="10"/>
      <x:c r="E581" s="10"/>
      <x:c r="F581" s="10"/>
      <x:c r="G581" s="10"/>
      <x:c r="H581" s="10"/>
      <x:c r="I581" s="10"/>
      <x:c r="J581" s="10"/>
    </x:row>
    <x:row r="582" ht="14.25" customHeight="1">
      <x:c r="A582" s="10"/>
      <x:c r="B582" s="10"/>
      <x:c r="C582" s="10"/>
      <x:c r="D582" s="10"/>
      <x:c r="E582" s="10"/>
      <x:c r="F582" s="10"/>
      <x:c r="G582" s="10"/>
      <x:c r="H582" s="10"/>
      <x:c r="I582" s="10"/>
      <x:c r="J582" s="10"/>
    </x:row>
    <x:row r="583" ht="14.25" customHeight="1">
      <x:c r="A583" s="10"/>
      <x:c r="B583" s="10"/>
      <x:c r="C583" s="10"/>
      <x:c r="D583" s="10"/>
      <x:c r="E583" s="10"/>
      <x:c r="F583" s="10"/>
      <x:c r="G583" s="10"/>
      <x:c r="H583" s="10"/>
      <x:c r="I583" s="10"/>
      <x:c r="J583" s="10"/>
    </x:row>
    <x:row r="584" ht="14.25" customHeight="1">
      <x:c r="A584" s="10"/>
      <x:c r="B584" s="10"/>
      <x:c r="C584" s="10"/>
      <x:c r="D584" s="10"/>
      <x:c r="E584" s="10"/>
      <x:c r="F584" s="10"/>
      <x:c r="G584" s="10"/>
      <x:c r="H584" s="10"/>
      <x:c r="I584" s="10"/>
      <x:c r="J584" s="10"/>
    </x:row>
    <x:row r="585" ht="14.25" customHeight="1">
      <x:c r="A585" s="10"/>
      <x:c r="B585" s="10"/>
      <x:c r="C585" s="10"/>
      <x:c r="D585" s="10"/>
      <x:c r="E585" s="10"/>
      <x:c r="F585" s="10"/>
      <x:c r="G585" s="10"/>
      <x:c r="H585" s="10"/>
      <x:c r="I585" s="10"/>
      <x:c r="J585" s="10"/>
    </x:row>
    <x:row r="586" ht="14.25" customHeight="1">
      <x:c r="A586" s="10"/>
      <x:c r="B586" s="10"/>
      <x:c r="C586" s="10"/>
      <x:c r="D586" s="10"/>
      <x:c r="E586" s="10"/>
      <x:c r="F586" s="10"/>
      <x:c r="G586" s="10"/>
      <x:c r="H586" s="10"/>
      <x:c r="I586" s="10"/>
      <x:c r="J586" s="10"/>
    </x:row>
    <x:row r="587" ht="14.25" customHeight="1">
      <x:c r="A587" s="10"/>
      <x:c r="B587" s="10"/>
      <x:c r="C587" s="10"/>
      <x:c r="D587" s="10"/>
      <x:c r="E587" s="10"/>
      <x:c r="F587" s="10"/>
      <x:c r="G587" s="10"/>
      <x:c r="H587" s="10"/>
      <x:c r="I587" s="10"/>
      <x:c r="J587" s="10"/>
    </x:row>
    <x:row r="588" ht="14.25" customHeight="1">
      <x:c r="A588" s="10"/>
      <x:c r="B588" s="10"/>
      <x:c r="C588" s="10"/>
      <x:c r="D588" s="10"/>
      <x:c r="E588" s="10"/>
      <x:c r="F588" s="10"/>
      <x:c r="G588" s="10"/>
      <x:c r="H588" s="10"/>
      <x:c r="I588" s="10"/>
      <x:c r="J588" s="10"/>
    </x:row>
    <x:row r="589" ht="14.25" customHeight="1">
      <x:c r="A589" s="10"/>
      <x:c r="B589" s="10"/>
      <x:c r="C589" s="10"/>
      <x:c r="D589" s="10"/>
      <x:c r="E589" s="10"/>
      <x:c r="F589" s="10"/>
      <x:c r="G589" s="10"/>
      <x:c r="H589" s="10"/>
      <x:c r="I589" s="10"/>
      <x:c r="J589" s="10"/>
    </x:row>
    <x:row r="590" ht="14.25" customHeight="1">
      <x:c r="A590" s="10"/>
      <x:c r="B590" s="10"/>
      <x:c r="C590" s="10"/>
      <x:c r="D590" s="10"/>
      <x:c r="E590" s="10"/>
      <x:c r="F590" s="10"/>
      <x:c r="G590" s="10"/>
      <x:c r="H590" s="10"/>
      <x:c r="I590" s="10"/>
      <x:c r="J590" s="10"/>
    </x:row>
    <x:row r="591" ht="14.25" customHeight="1">
      <x:c r="A591" s="10"/>
      <x:c r="B591" s="10"/>
      <x:c r="C591" s="10"/>
      <x:c r="D591" s="10"/>
      <x:c r="E591" s="10"/>
      <x:c r="F591" s="10"/>
      <x:c r="G591" s="10"/>
      <x:c r="H591" s="10"/>
      <x:c r="I591" s="10"/>
      <x:c r="J591" s="10"/>
    </x:row>
    <x:row r="592" ht="14.25" customHeight="1">
      <x:c r="A592" s="10"/>
      <x:c r="B592" s="10"/>
      <x:c r="C592" s="10"/>
      <x:c r="D592" s="10"/>
      <x:c r="E592" s="10"/>
      <x:c r="F592" s="10"/>
      <x:c r="G592" s="10"/>
      <x:c r="H592" s="10"/>
      <x:c r="I592" s="10"/>
      <x:c r="J592" s="10"/>
    </x:row>
    <x:row r="593" ht="14.25" customHeight="1">
      <x:c r="A593" s="10"/>
      <x:c r="B593" s="10"/>
      <x:c r="C593" s="10"/>
      <x:c r="D593" s="10"/>
      <x:c r="E593" s="10"/>
      <x:c r="F593" s="10"/>
      <x:c r="G593" s="10"/>
      <x:c r="H593" s="10"/>
      <x:c r="I593" s="10"/>
      <x:c r="J593" s="10"/>
    </x:row>
    <x:row r="594" ht="14.25" customHeight="1">
      <x:c r="A594" s="10"/>
      <x:c r="B594" s="10"/>
      <x:c r="C594" s="10"/>
      <x:c r="D594" s="10"/>
      <x:c r="E594" s="10"/>
      <x:c r="F594" s="10"/>
      <x:c r="G594" s="10"/>
      <x:c r="H594" s="10"/>
      <x:c r="I594" s="10"/>
      <x:c r="J594" s="10"/>
    </x:row>
    <x:row r="595" ht="14.25" customHeight="1">
      <x:c r="A595" s="10"/>
      <x:c r="B595" s="10"/>
      <x:c r="C595" s="10"/>
      <x:c r="D595" s="10"/>
      <x:c r="E595" s="10"/>
      <x:c r="F595" s="10"/>
      <x:c r="G595" s="10"/>
      <x:c r="H595" s="10"/>
      <x:c r="I595" s="10"/>
      <x:c r="J595" s="10"/>
    </x:row>
    <x:row r="596" ht="14.25" customHeight="1">
      <x:c r="A596" s="10"/>
      <x:c r="B596" s="10"/>
      <x:c r="C596" s="10"/>
      <x:c r="D596" s="10"/>
      <x:c r="E596" s="10"/>
      <x:c r="F596" s="10"/>
      <x:c r="G596" s="10"/>
      <x:c r="H596" s="10"/>
      <x:c r="I596" s="10"/>
      <x:c r="J596" s="10"/>
    </x:row>
    <x:row r="597" ht="14.25" customHeight="1">
      <x:c r="A597" s="10"/>
      <x:c r="B597" s="10"/>
      <x:c r="C597" s="10"/>
      <x:c r="D597" s="10"/>
      <x:c r="E597" s="10"/>
      <x:c r="F597" s="10"/>
      <x:c r="G597" s="10"/>
      <x:c r="H597" s="10"/>
      <x:c r="I597" s="10"/>
      <x:c r="J597" s="10"/>
    </x:row>
    <x:row r="598" ht="14.25" customHeight="1">
      <x:c r="A598" s="10"/>
      <x:c r="B598" s="10"/>
      <x:c r="C598" s="10"/>
      <x:c r="D598" s="10"/>
      <x:c r="E598" s="10"/>
      <x:c r="F598" s="10"/>
      <x:c r="G598" s="10"/>
      <x:c r="H598" s="10"/>
      <x:c r="I598" s="10"/>
      <x:c r="J598" s="10"/>
    </x:row>
    <x:row r="599" ht="14.25" customHeight="1">
      <x:c r="A599" s="10"/>
      <x:c r="B599" s="10"/>
      <x:c r="C599" s="10"/>
      <x:c r="D599" s="10"/>
      <x:c r="E599" s="10"/>
      <x:c r="F599" s="10"/>
      <x:c r="G599" s="10"/>
      <x:c r="H599" s="10"/>
      <x:c r="I599" s="10"/>
      <x:c r="J599" s="10"/>
    </x:row>
    <x:row r="600" ht="14.25" customHeight="1">
      <x:c r="A600" s="10"/>
      <x:c r="B600" s="10"/>
      <x:c r="C600" s="10"/>
      <x:c r="D600" s="10"/>
      <x:c r="E600" s="10"/>
      <x:c r="F600" s="10"/>
      <x:c r="G600" s="10"/>
      <x:c r="H600" s="10"/>
      <x:c r="I600" s="10"/>
      <x:c r="J600" s="10"/>
    </x:row>
    <x:row r="601" ht="14.25" customHeight="1">
      <x:c r="A601" s="10"/>
      <x:c r="B601" s="10"/>
      <x:c r="C601" s="10"/>
      <x:c r="D601" s="10"/>
      <x:c r="E601" s="10"/>
      <x:c r="F601" s="10"/>
      <x:c r="G601" s="10"/>
      <x:c r="H601" s="10"/>
      <x:c r="I601" s="10"/>
      <x:c r="J601" s="10"/>
    </x:row>
    <x:row r="602" ht="14.25" customHeight="1">
      <x:c r="A602" s="10"/>
      <x:c r="B602" s="10"/>
      <x:c r="C602" s="10"/>
      <x:c r="D602" s="10"/>
      <x:c r="E602" s="10"/>
      <x:c r="F602" s="10"/>
      <x:c r="G602" s="10"/>
      <x:c r="H602" s="10"/>
      <x:c r="I602" s="10"/>
      <x:c r="J602" s="10"/>
    </x:row>
    <x:row r="603" ht="14.25" customHeight="1">
      <x:c r="A603" s="10"/>
      <x:c r="B603" s="10"/>
      <x:c r="C603" s="10"/>
      <x:c r="D603" s="10"/>
      <x:c r="E603" s="10"/>
      <x:c r="F603" s="10"/>
      <x:c r="G603" s="10"/>
      <x:c r="H603" s="10"/>
      <x:c r="I603" s="10"/>
      <x:c r="J603" s="10"/>
    </x:row>
    <x:row r="604" ht="14.25" customHeight="1">
      <x:c r="A604" s="10"/>
      <x:c r="B604" s="10"/>
      <x:c r="C604" s="10"/>
      <x:c r="D604" s="10"/>
      <x:c r="E604" s="10"/>
      <x:c r="F604" s="10"/>
      <x:c r="G604" s="10"/>
      <x:c r="H604" s="10"/>
      <x:c r="I604" s="10"/>
      <x:c r="J604" s="10"/>
    </x:row>
    <x:row r="605" ht="14.25" customHeight="1">
      <x:c r="A605" s="10"/>
      <x:c r="B605" s="10"/>
      <x:c r="C605" s="10"/>
      <x:c r="D605" s="10"/>
      <x:c r="E605" s="10"/>
      <x:c r="F605" s="10"/>
      <x:c r="G605" s="10"/>
      <x:c r="H605" s="10"/>
      <x:c r="I605" s="10"/>
      <x:c r="J605" s="10"/>
    </x:row>
    <x:row r="606" ht="14.25" customHeight="1">
      <x:c r="A606" s="10"/>
      <x:c r="B606" s="10"/>
      <x:c r="C606" s="10"/>
      <x:c r="D606" s="10"/>
      <x:c r="E606" s="10"/>
      <x:c r="F606" s="10"/>
      <x:c r="G606" s="10"/>
      <x:c r="H606" s="10"/>
      <x:c r="I606" s="10"/>
      <x:c r="J606" s="10"/>
    </x:row>
    <x:row r="607" ht="14.25" customHeight="1">
      <x:c r="A607" s="10"/>
      <x:c r="B607" s="10"/>
      <x:c r="C607" s="10"/>
      <x:c r="D607" s="10"/>
      <x:c r="E607" s="10"/>
      <x:c r="F607" s="10"/>
      <x:c r="G607" s="10"/>
      <x:c r="H607" s="10"/>
      <x:c r="I607" s="10"/>
      <x:c r="J607" s="10"/>
    </x:row>
    <x:row r="608" ht="14.25" customHeight="1">
      <x:c r="A608" s="10"/>
      <x:c r="B608" s="10"/>
      <x:c r="C608" s="10"/>
      <x:c r="D608" s="10"/>
      <x:c r="E608" s="10"/>
      <x:c r="F608" s="10"/>
      <x:c r="G608" s="10"/>
      <x:c r="H608" s="10"/>
      <x:c r="I608" s="10"/>
      <x:c r="J608" s="10"/>
    </x:row>
    <x:row r="609" ht="14.25" customHeight="1">
      <x:c r="A609" s="10"/>
      <x:c r="B609" s="10"/>
      <x:c r="C609" s="10"/>
      <x:c r="D609" s="10"/>
      <x:c r="E609" s="10"/>
      <x:c r="F609" s="10"/>
      <x:c r="G609" s="10"/>
      <x:c r="H609" s="10"/>
      <x:c r="I609" s="10"/>
      <x:c r="J609" s="10"/>
    </x:row>
    <x:row r="610" ht="14.25" customHeight="1">
      <x:c r="A610" s="10"/>
      <x:c r="B610" s="10"/>
      <x:c r="C610" s="10"/>
      <x:c r="D610" s="10"/>
      <x:c r="E610" s="10"/>
      <x:c r="F610" s="10"/>
      <x:c r="G610" s="10"/>
      <x:c r="H610" s="10"/>
      <x:c r="I610" s="10"/>
      <x:c r="J610" s="10"/>
    </x:row>
    <x:row r="611" ht="14.25" customHeight="1">
      <x:c r="A611" s="10"/>
      <x:c r="B611" s="10"/>
      <x:c r="C611" s="10"/>
      <x:c r="D611" s="10"/>
      <x:c r="E611" s="10"/>
      <x:c r="F611" s="10"/>
      <x:c r="G611" s="10"/>
      <x:c r="H611" s="10"/>
      <x:c r="I611" s="10"/>
      <x:c r="J611" s="10"/>
    </x:row>
    <x:row r="612" ht="14.25" customHeight="1">
      <x:c r="A612" s="10"/>
      <x:c r="B612" s="10"/>
      <x:c r="C612" s="10"/>
      <x:c r="D612" s="10"/>
      <x:c r="E612" s="10"/>
      <x:c r="F612" s="10"/>
      <x:c r="G612" s="10"/>
      <x:c r="H612" s="10"/>
      <x:c r="I612" s="10"/>
      <x:c r="J612" s="10"/>
    </x:row>
    <x:row r="613" ht="14.25" customHeight="1">
      <x:c r="A613" s="10"/>
      <x:c r="B613" s="10"/>
      <x:c r="C613" s="10"/>
      <x:c r="D613" s="10"/>
      <x:c r="E613" s="10"/>
      <x:c r="F613" s="10"/>
      <x:c r="G613" s="10"/>
      <x:c r="H613" s="10"/>
      <x:c r="I613" s="10"/>
      <x:c r="J613" s="10"/>
    </x:row>
    <x:row r="614" ht="14.25" customHeight="1">
      <x:c r="A614" s="10"/>
      <x:c r="B614" s="10"/>
      <x:c r="C614" s="10"/>
      <x:c r="D614" s="10"/>
      <x:c r="E614" s="10"/>
      <x:c r="F614" s="10"/>
      <x:c r="G614" s="10"/>
      <x:c r="H614" s="10"/>
      <x:c r="I614" s="10"/>
      <x:c r="J614" s="10"/>
    </x:row>
    <x:row r="615" ht="14.25" customHeight="1">
      <x:c r="A615" s="10"/>
      <x:c r="B615" s="10"/>
      <x:c r="C615" s="10"/>
      <x:c r="D615" s="10"/>
      <x:c r="E615" s="10"/>
      <x:c r="F615" s="10"/>
      <x:c r="G615" s="10"/>
      <x:c r="H615" s="10"/>
      <x:c r="I615" s="10"/>
      <x:c r="J615" s="10"/>
    </x:row>
    <x:row r="616" ht="14.25" customHeight="1">
      <x:c r="A616" s="10"/>
      <x:c r="B616" s="10"/>
      <x:c r="C616" s="10"/>
      <x:c r="D616" s="10"/>
      <x:c r="E616" s="10"/>
      <x:c r="F616" s="10"/>
      <x:c r="G616" s="10"/>
      <x:c r="H616" s="10"/>
      <x:c r="I616" s="10"/>
      <x:c r="J616" s="10"/>
    </x:row>
    <x:row r="617" ht="14.25" customHeight="1">
      <x:c r="A617" s="10"/>
      <x:c r="B617" s="10"/>
      <x:c r="C617" s="10"/>
      <x:c r="D617" s="10"/>
      <x:c r="E617" s="10"/>
      <x:c r="F617" s="10"/>
      <x:c r="G617" s="10"/>
      <x:c r="H617" s="10"/>
      <x:c r="I617" s="10"/>
      <x:c r="J617" s="10"/>
    </x:row>
    <x:row r="618" ht="14.25" customHeight="1">
      <x:c r="A618" s="10"/>
      <x:c r="B618" s="10"/>
      <x:c r="C618" s="10"/>
      <x:c r="D618" s="10"/>
      <x:c r="E618" s="10"/>
      <x:c r="F618" s="10"/>
      <x:c r="G618" s="10"/>
      <x:c r="H618" s="10"/>
      <x:c r="I618" s="10"/>
      <x:c r="J618" s="10"/>
    </x:row>
    <x:row r="619" ht="14.25" customHeight="1">
      <x:c r="A619" s="10"/>
      <x:c r="B619" s="10"/>
      <x:c r="C619" s="10"/>
      <x:c r="D619" s="10"/>
      <x:c r="E619" s="10"/>
      <x:c r="F619" s="10"/>
      <x:c r="G619" s="10"/>
      <x:c r="H619" s="10"/>
      <x:c r="I619" s="10"/>
      <x:c r="J619" s="10"/>
    </x:row>
    <x:row r="620" ht="14.25" customHeight="1">
      <x:c r="A620" s="10"/>
      <x:c r="B620" s="10"/>
      <x:c r="C620" s="10"/>
      <x:c r="D620" s="10"/>
      <x:c r="E620" s="10"/>
      <x:c r="F620" s="10"/>
      <x:c r="G620" s="10"/>
      <x:c r="H620" s="10"/>
      <x:c r="I620" s="10"/>
      <x:c r="J620" s="10"/>
    </x:row>
    <x:row r="621" ht="14.25" customHeight="1">
      <x:c r="A621" s="10"/>
      <x:c r="B621" s="10"/>
      <x:c r="C621" s="10"/>
      <x:c r="D621" s="10"/>
      <x:c r="E621" s="10"/>
      <x:c r="F621" s="10"/>
      <x:c r="G621" s="10"/>
      <x:c r="H621" s="10"/>
      <x:c r="I621" s="10"/>
      <x:c r="J621" s="10"/>
    </x:row>
    <x:row r="622" ht="14.25" customHeight="1">
      <x:c r="A622" s="10"/>
      <x:c r="B622" s="10"/>
      <x:c r="C622" s="10"/>
      <x:c r="D622" s="10"/>
      <x:c r="E622" s="10"/>
      <x:c r="F622" s="10"/>
      <x:c r="G622" s="10"/>
      <x:c r="H622" s="10"/>
      <x:c r="I622" s="10"/>
      <x:c r="J622" s="10"/>
    </x:row>
    <x:row r="623" ht="14.25" customHeight="1">
      <x:c r="A623" s="10"/>
      <x:c r="B623" s="10"/>
      <x:c r="C623" s="10"/>
      <x:c r="D623" s="10"/>
      <x:c r="E623" s="10"/>
      <x:c r="F623" s="10"/>
      <x:c r="G623" s="10"/>
      <x:c r="H623" s="10"/>
      <x:c r="I623" s="10"/>
      <x:c r="J623" s="10"/>
    </x:row>
    <x:row r="624" ht="14.25" customHeight="1">
      <x:c r="A624" s="10"/>
      <x:c r="B624" s="10"/>
      <x:c r="C624" s="10"/>
      <x:c r="D624" s="10"/>
      <x:c r="E624" s="10"/>
      <x:c r="F624" s="10"/>
      <x:c r="G624" s="10"/>
      <x:c r="H624" s="10"/>
      <x:c r="I624" s="10"/>
      <x:c r="J624" s="10"/>
    </x:row>
    <x:row r="625" ht="14.25" customHeight="1">
      <x:c r="A625" s="10"/>
      <x:c r="B625" s="10"/>
      <x:c r="C625" s="10"/>
      <x:c r="D625" s="10"/>
      <x:c r="E625" s="10"/>
      <x:c r="F625" s="10"/>
      <x:c r="G625" s="10"/>
      <x:c r="H625" s="10"/>
      <x:c r="I625" s="10"/>
      <x:c r="J625" s="10"/>
    </x:row>
    <x:row r="626" ht="14.25" customHeight="1">
      <x:c r="A626" s="10"/>
      <x:c r="B626" s="10"/>
      <x:c r="C626" s="10"/>
      <x:c r="D626" s="10"/>
      <x:c r="E626" s="10"/>
      <x:c r="F626" s="10"/>
      <x:c r="G626" s="10"/>
      <x:c r="H626" s="10"/>
      <x:c r="I626" s="10"/>
      <x:c r="J626" s="10"/>
    </x:row>
    <x:row r="627" ht="14.25" customHeight="1">
      <x:c r="A627" s="10"/>
      <x:c r="B627" s="10"/>
      <x:c r="C627" s="10"/>
      <x:c r="D627" s="10"/>
      <x:c r="E627" s="10"/>
      <x:c r="F627" s="10"/>
      <x:c r="G627" s="10"/>
      <x:c r="H627" s="10"/>
      <x:c r="I627" s="10"/>
      <x:c r="J627" s="10"/>
    </x:row>
    <x:row r="628" ht="14.25" customHeight="1">
      <x:c r="A628" s="10"/>
      <x:c r="B628" s="10"/>
      <x:c r="C628" s="10"/>
      <x:c r="D628" s="10"/>
      <x:c r="E628" s="10"/>
      <x:c r="F628" s="10"/>
      <x:c r="G628" s="10"/>
      <x:c r="H628" s="10"/>
      <x:c r="I628" s="10"/>
      <x:c r="J628" s="10"/>
    </x:row>
    <x:row r="629" ht="14.25" customHeight="1">
      <x:c r="A629" s="10"/>
      <x:c r="B629" s="10"/>
      <x:c r="C629" s="10"/>
      <x:c r="D629" s="10"/>
      <x:c r="E629" s="10"/>
      <x:c r="F629" s="10"/>
      <x:c r="G629" s="10"/>
      <x:c r="H629" s="10"/>
      <x:c r="I629" s="10"/>
      <x:c r="J629" s="10"/>
    </x:row>
    <x:row r="630" ht="14.25" customHeight="1">
      <x:c r="A630" s="10"/>
      <x:c r="B630" s="10"/>
      <x:c r="C630" s="10"/>
      <x:c r="D630" s="10"/>
      <x:c r="E630" s="10"/>
      <x:c r="F630" s="10"/>
      <x:c r="G630" s="10"/>
      <x:c r="H630" s="10"/>
      <x:c r="I630" s="10"/>
      <x:c r="J630" s="10"/>
    </x:row>
    <x:row r="631" ht="14.25" customHeight="1">
      <x:c r="A631" s="10"/>
      <x:c r="B631" s="10"/>
      <x:c r="C631" s="10"/>
      <x:c r="D631" s="10"/>
      <x:c r="E631" s="10"/>
      <x:c r="F631" s="10"/>
      <x:c r="G631" s="10"/>
      <x:c r="H631" s="10"/>
      <x:c r="I631" s="10"/>
      <x:c r="J631" s="10"/>
    </x:row>
    <x:row r="632" ht="14.25" customHeight="1">
      <x:c r="A632" s="10"/>
      <x:c r="B632" s="10"/>
      <x:c r="C632" s="10"/>
      <x:c r="D632" s="10"/>
      <x:c r="E632" s="10"/>
      <x:c r="F632" s="10"/>
      <x:c r="G632" s="10"/>
      <x:c r="H632" s="10"/>
      <x:c r="I632" s="10"/>
      <x:c r="J632" s="10"/>
    </x:row>
    <x:row r="633" ht="14.25" customHeight="1">
      <x:c r="A633" s="10"/>
      <x:c r="B633" s="10"/>
      <x:c r="C633" s="10"/>
      <x:c r="D633" s="10"/>
      <x:c r="E633" s="10"/>
      <x:c r="F633" s="10"/>
      <x:c r="G633" s="10"/>
      <x:c r="H633" s="10"/>
      <x:c r="I633" s="10"/>
      <x:c r="J633" s="10"/>
    </x:row>
    <x:row r="634" ht="14.25" customHeight="1">
      <x:c r="A634" s="10"/>
      <x:c r="B634" s="10"/>
      <x:c r="C634" s="10"/>
      <x:c r="D634" s="10"/>
      <x:c r="E634" s="10"/>
      <x:c r="F634" s="10"/>
      <x:c r="G634" s="10"/>
      <x:c r="H634" s="10"/>
      <x:c r="I634" s="10"/>
      <x:c r="J634" s="10"/>
    </x:row>
    <x:row r="635" ht="14.25" customHeight="1">
      <x:c r="A635" s="10"/>
      <x:c r="B635" s="10"/>
      <x:c r="C635" s="10"/>
      <x:c r="D635" s="10"/>
      <x:c r="E635" s="10"/>
      <x:c r="F635" s="10"/>
      <x:c r="G635" s="10"/>
      <x:c r="H635" s="10"/>
      <x:c r="I635" s="10"/>
      <x:c r="J635" s="10"/>
    </x:row>
    <x:row r="636" ht="14.25" customHeight="1">
      <x:c r="A636" s="10"/>
      <x:c r="B636" s="10"/>
      <x:c r="C636" s="10"/>
      <x:c r="D636" s="10"/>
      <x:c r="E636" s="10"/>
      <x:c r="F636" s="10"/>
      <x:c r="G636" s="10"/>
      <x:c r="H636" s="10"/>
      <x:c r="I636" s="10"/>
      <x:c r="J636" s="10"/>
    </x:row>
    <x:row r="637" ht="14.25" customHeight="1">
      <x:c r="A637" s="10"/>
      <x:c r="B637" s="10"/>
      <x:c r="C637" s="10"/>
      <x:c r="D637" s="10"/>
      <x:c r="E637" s="10"/>
      <x:c r="F637" s="10"/>
      <x:c r="G637" s="10"/>
      <x:c r="H637" s="10"/>
      <x:c r="I637" s="10"/>
      <x:c r="J637" s="10"/>
    </x:row>
    <x:row r="638" ht="14.25" customHeight="1">
      <x:c r="A638" s="10"/>
      <x:c r="B638" s="10"/>
      <x:c r="C638" s="10"/>
      <x:c r="D638" s="10"/>
      <x:c r="E638" s="10"/>
      <x:c r="F638" s="10"/>
      <x:c r="G638" s="10"/>
      <x:c r="H638" s="10"/>
      <x:c r="I638" s="10"/>
      <x:c r="J638" s="10"/>
    </x:row>
    <x:row r="639" ht="14.25" customHeight="1">
      <x:c r="A639" s="10"/>
      <x:c r="B639" s="10"/>
      <x:c r="C639" s="10"/>
      <x:c r="D639" s="10"/>
      <x:c r="E639" s="10"/>
      <x:c r="F639" s="10"/>
      <x:c r="G639" s="10"/>
      <x:c r="H639" s="10"/>
      <x:c r="I639" s="10"/>
      <x:c r="J639" s="10"/>
    </x:row>
    <x:row r="640" ht="14.25" customHeight="1">
      <x:c r="A640" s="10"/>
      <x:c r="B640" s="10"/>
      <x:c r="C640" s="10"/>
      <x:c r="D640" s="10"/>
      <x:c r="E640" s="10"/>
      <x:c r="F640" s="10"/>
      <x:c r="G640" s="10"/>
      <x:c r="H640" s="10"/>
      <x:c r="I640" s="10"/>
      <x:c r="J640" s="10"/>
    </x:row>
    <x:row r="641" ht="14.25" customHeight="1">
      <x:c r="A641" s="10"/>
      <x:c r="B641" s="10"/>
      <x:c r="C641" s="10"/>
      <x:c r="D641" s="10"/>
      <x:c r="E641" s="10"/>
      <x:c r="F641" s="10"/>
      <x:c r="G641" s="10"/>
      <x:c r="H641" s="10"/>
      <x:c r="I641" s="10"/>
      <x:c r="J641" s="10"/>
    </x:row>
    <x:row r="642" ht="14.25" customHeight="1">
      <x:c r="A642" s="10"/>
      <x:c r="B642" s="10"/>
      <x:c r="C642" s="10"/>
      <x:c r="D642" s="10"/>
      <x:c r="E642" s="10"/>
      <x:c r="F642" s="10"/>
      <x:c r="G642" s="10"/>
      <x:c r="H642" s="10"/>
      <x:c r="I642" s="10"/>
      <x:c r="J642" s="10"/>
    </x:row>
    <x:row r="643" ht="14.25" customHeight="1">
      <x:c r="A643" s="10"/>
      <x:c r="B643" s="10"/>
      <x:c r="C643" s="10"/>
      <x:c r="D643" s="10"/>
      <x:c r="E643" s="10"/>
      <x:c r="F643" s="10"/>
      <x:c r="G643" s="10"/>
      <x:c r="H643" s="10"/>
      <x:c r="I643" s="10"/>
      <x:c r="J643" s="10"/>
    </x:row>
    <x:row r="644" ht="14.25" customHeight="1">
      <x:c r="A644" s="10"/>
      <x:c r="B644" s="10"/>
      <x:c r="C644" s="10"/>
      <x:c r="D644" s="10"/>
      <x:c r="E644" s="10"/>
      <x:c r="F644" s="10"/>
      <x:c r="G644" s="10"/>
      <x:c r="H644" s="10"/>
      <x:c r="I644" s="10"/>
      <x:c r="J644" s="10"/>
    </x:row>
    <x:row r="645" ht="14.25" customHeight="1">
      <x:c r="A645" s="10"/>
      <x:c r="B645" s="10"/>
      <x:c r="C645" s="10"/>
      <x:c r="D645" s="10"/>
      <x:c r="E645" s="10"/>
      <x:c r="F645" s="10"/>
      <x:c r="G645" s="10"/>
      <x:c r="H645" s="10"/>
      <x:c r="I645" s="10"/>
      <x:c r="J645" s="10"/>
    </x:row>
    <x:row r="646" ht="14.25" customHeight="1">
      <x:c r="A646" s="10"/>
      <x:c r="B646" s="10"/>
      <x:c r="C646" s="10"/>
      <x:c r="D646" s="10"/>
      <x:c r="E646" s="10"/>
      <x:c r="F646" s="10"/>
      <x:c r="G646" s="10"/>
      <x:c r="H646" s="10"/>
      <x:c r="I646" s="10"/>
      <x:c r="J646" s="10"/>
    </x:row>
    <x:row r="647" ht="14.25" customHeight="1">
      <x:c r="A647" s="10"/>
      <x:c r="B647" s="10"/>
      <x:c r="C647" s="10"/>
      <x:c r="D647" s="10"/>
      <x:c r="E647" s="10"/>
      <x:c r="F647" s="10"/>
      <x:c r="G647" s="10"/>
      <x:c r="H647" s="10"/>
      <x:c r="I647" s="10"/>
      <x:c r="J647" s="10"/>
    </x:row>
    <x:row r="648" ht="14.25" customHeight="1">
      <x:c r="A648" s="10"/>
      <x:c r="B648" s="10"/>
      <x:c r="C648" s="10"/>
      <x:c r="D648" s="10"/>
      <x:c r="E648" s="10"/>
      <x:c r="F648" s="10"/>
      <x:c r="G648" s="10"/>
      <x:c r="H648" s="10"/>
      <x:c r="I648" s="10"/>
      <x:c r="J648" s="10"/>
    </x:row>
    <x:row r="649" ht="14.25" customHeight="1">
      <x:c r="A649" s="10"/>
      <x:c r="B649" s="10"/>
      <x:c r="C649" s="10"/>
      <x:c r="D649" s="10"/>
      <x:c r="E649" s="10"/>
      <x:c r="F649" s="10"/>
      <x:c r="G649" s="10"/>
      <x:c r="H649" s="10"/>
      <x:c r="I649" s="10"/>
      <x:c r="J649" s="10"/>
    </x:row>
    <x:row r="650" ht="14.25" customHeight="1">
      <x:c r="A650" s="10"/>
      <x:c r="B650" s="10"/>
      <x:c r="C650" s="10"/>
      <x:c r="D650" s="10"/>
      <x:c r="E650" s="10"/>
      <x:c r="F650" s="10"/>
      <x:c r="G650" s="10"/>
      <x:c r="H650" s="10"/>
      <x:c r="I650" s="10"/>
      <x:c r="J650" s="10"/>
    </x:row>
    <x:row r="651" ht="14.25" customHeight="1">
      <x:c r="A651" s="10"/>
      <x:c r="B651" s="10"/>
      <x:c r="C651" s="10"/>
      <x:c r="D651" s="10"/>
      <x:c r="E651" s="10"/>
      <x:c r="F651" s="10"/>
      <x:c r="G651" s="10"/>
      <x:c r="H651" s="10"/>
      <x:c r="I651" s="10"/>
      <x:c r="J651" s="10"/>
    </x:row>
    <x:row r="652" ht="14.25" customHeight="1">
      <x:c r="A652" s="10"/>
      <x:c r="B652" s="10"/>
      <x:c r="C652" s="10"/>
      <x:c r="D652" s="10"/>
      <x:c r="E652" s="10"/>
      <x:c r="F652" s="10"/>
      <x:c r="G652" s="10"/>
      <x:c r="H652" s="10"/>
      <x:c r="I652" s="10"/>
      <x:c r="J652" s="10"/>
    </x:row>
    <x:row r="653" ht="14.25" customHeight="1">
      <x:c r="A653" s="10"/>
      <x:c r="B653" s="10"/>
      <x:c r="C653" s="10"/>
      <x:c r="D653" s="10"/>
      <x:c r="E653" s="10"/>
      <x:c r="F653" s="10"/>
      <x:c r="G653" s="10"/>
      <x:c r="H653" s="10"/>
      <x:c r="I653" s="10"/>
      <x:c r="J653" s="10"/>
    </x:row>
    <x:row r="654" ht="14.25" customHeight="1">
      <x:c r="A654" s="10"/>
      <x:c r="B654" s="10"/>
      <x:c r="C654" s="10"/>
      <x:c r="D654" s="10"/>
      <x:c r="E654" s="10"/>
      <x:c r="F654" s="10"/>
      <x:c r="G654" s="10"/>
      <x:c r="H654" s="10"/>
      <x:c r="I654" s="10"/>
      <x:c r="J654" s="10"/>
    </x:row>
    <x:row r="655" ht="14.25" customHeight="1">
      <x:c r="A655" s="10"/>
      <x:c r="B655" s="10"/>
      <x:c r="C655" s="10"/>
      <x:c r="D655" s="10"/>
      <x:c r="E655" s="10"/>
      <x:c r="F655" s="10"/>
      <x:c r="G655" s="10"/>
      <x:c r="H655" s="10"/>
      <x:c r="I655" s="10"/>
      <x:c r="J655" s="10"/>
    </x:row>
    <x:row r="656" ht="14.25" customHeight="1">
      <x:c r="A656" s="10"/>
      <x:c r="B656" s="10"/>
      <x:c r="C656" s="10"/>
      <x:c r="D656" s="10"/>
      <x:c r="E656" s="10"/>
      <x:c r="F656" s="10"/>
      <x:c r="G656" s="10"/>
      <x:c r="H656" s="10"/>
      <x:c r="I656" s="10"/>
      <x:c r="J656" s="10"/>
    </x:row>
    <x:row r="657" ht="14.25" customHeight="1">
      <x:c r="A657" s="10"/>
      <x:c r="B657" s="10"/>
      <x:c r="C657" s="10"/>
      <x:c r="D657" s="10"/>
      <x:c r="E657" s="10"/>
      <x:c r="F657" s="10"/>
      <x:c r="G657" s="10"/>
      <x:c r="H657" s="10"/>
      <x:c r="I657" s="10"/>
      <x:c r="J657" s="10"/>
    </x:row>
    <x:row r="658" ht="14.25" customHeight="1">
      <x:c r="A658" s="10"/>
      <x:c r="B658" s="10"/>
      <x:c r="C658" s="10"/>
      <x:c r="D658" s="10"/>
      <x:c r="E658" s="10"/>
      <x:c r="F658" s="10"/>
      <x:c r="G658" s="10"/>
      <x:c r="H658" s="10"/>
      <x:c r="I658" s="10"/>
      <x:c r="J658" s="10"/>
    </x:row>
    <x:row r="659" ht="14.25" customHeight="1">
      <x:c r="A659" s="10"/>
      <x:c r="B659" s="10"/>
      <x:c r="C659" s="10"/>
      <x:c r="D659" s="10"/>
      <x:c r="E659" s="10"/>
      <x:c r="F659" s="10"/>
      <x:c r="G659" s="10"/>
      <x:c r="H659" s="10"/>
      <x:c r="I659" s="10"/>
      <x:c r="J659" s="10"/>
    </x:row>
    <x:row r="660" ht="14.25" customHeight="1">
      <x:c r="A660" s="10"/>
      <x:c r="B660" s="10"/>
      <x:c r="C660" s="10"/>
      <x:c r="D660" s="10"/>
      <x:c r="E660" s="10"/>
      <x:c r="F660" s="10"/>
      <x:c r="G660" s="10"/>
      <x:c r="H660" s="10"/>
      <x:c r="I660" s="10"/>
      <x:c r="J660" s="10"/>
    </x:row>
    <x:row r="661" ht="14.25" customHeight="1">
      <x:c r="A661" s="10"/>
      <x:c r="B661" s="10"/>
      <x:c r="C661" s="10"/>
      <x:c r="D661" s="10"/>
      <x:c r="E661" s="10"/>
      <x:c r="F661" s="10"/>
      <x:c r="G661" s="10"/>
      <x:c r="H661" s="10"/>
      <x:c r="I661" s="10"/>
      <x:c r="J661" s="10"/>
    </x:row>
    <x:row r="662" ht="14.25" customHeight="1">
      <x:c r="A662" s="10"/>
      <x:c r="B662" s="10"/>
      <x:c r="C662" s="10"/>
      <x:c r="D662" s="10"/>
      <x:c r="E662" s="10"/>
      <x:c r="F662" s="10"/>
      <x:c r="G662" s="10"/>
      <x:c r="H662" s="10"/>
      <x:c r="I662" s="10"/>
      <x:c r="J662" s="10"/>
    </x:row>
    <x:row r="663" ht="14.25" customHeight="1">
      <x:c r="A663" s="10"/>
      <x:c r="B663" s="10"/>
      <x:c r="C663" s="10"/>
      <x:c r="D663" s="10"/>
      <x:c r="E663" s="10"/>
      <x:c r="F663" s="10"/>
      <x:c r="G663" s="10"/>
      <x:c r="H663" s="10"/>
      <x:c r="I663" s="10"/>
      <x:c r="J663" s="10"/>
    </x:row>
    <x:row r="664" ht="14.25" customHeight="1">
      <x:c r="A664" s="10"/>
      <x:c r="B664" s="10"/>
      <x:c r="C664" s="10"/>
      <x:c r="D664" s="10"/>
      <x:c r="E664" s="10"/>
      <x:c r="F664" s="10"/>
      <x:c r="G664" s="10"/>
      <x:c r="H664" s="10"/>
      <x:c r="I664" s="10"/>
      <x:c r="J664" s="10"/>
    </x:row>
    <x:row r="665" ht="14.25" customHeight="1">
      <x:c r="A665" s="10"/>
      <x:c r="B665" s="10"/>
      <x:c r="C665" s="10"/>
      <x:c r="D665" s="10"/>
      <x:c r="E665" s="10"/>
      <x:c r="F665" s="10"/>
      <x:c r="G665" s="10"/>
      <x:c r="H665" s="10"/>
      <x:c r="I665" s="10"/>
      <x:c r="J665" s="10"/>
    </x:row>
    <x:row r="666" ht="14.25" customHeight="1">
      <x:c r="A666" s="10"/>
      <x:c r="B666" s="10"/>
      <x:c r="C666" s="10"/>
      <x:c r="D666" s="10"/>
      <x:c r="E666" s="10"/>
      <x:c r="F666" s="10"/>
      <x:c r="G666" s="10"/>
      <x:c r="H666" s="10"/>
      <x:c r="I666" s="10"/>
      <x:c r="J666" s="10"/>
    </x:row>
    <x:row r="667" ht="14.25" customHeight="1">
      <x:c r="A667" s="10"/>
      <x:c r="B667" s="10"/>
      <x:c r="C667" s="10"/>
      <x:c r="D667" s="10"/>
      <x:c r="E667" s="10"/>
      <x:c r="F667" s="10"/>
      <x:c r="G667" s="10"/>
      <x:c r="H667" s="10"/>
      <x:c r="I667" s="10"/>
      <x:c r="J667" s="10"/>
    </x:row>
    <x:row r="668" ht="14.25" customHeight="1">
      <x:c r="A668" s="10"/>
      <x:c r="B668" s="10"/>
      <x:c r="C668" s="10"/>
      <x:c r="D668" s="10"/>
      <x:c r="E668" s="10"/>
      <x:c r="F668" s="10"/>
      <x:c r="G668" s="10"/>
      <x:c r="H668" s="10"/>
      <x:c r="I668" s="10"/>
      <x:c r="J668" s="10"/>
    </x:row>
    <x:row r="669" ht="14.25" customHeight="1">
      <x:c r="A669" s="10"/>
      <x:c r="B669" s="10"/>
      <x:c r="C669" s="10"/>
      <x:c r="D669" s="10"/>
      <x:c r="E669" s="10"/>
      <x:c r="F669" s="10"/>
      <x:c r="G669" s="10"/>
      <x:c r="H669" s="10"/>
      <x:c r="I669" s="10"/>
      <x:c r="J669" s="10"/>
    </x:row>
    <x:row r="670" ht="14.25" customHeight="1">
      <x:c r="A670" s="10"/>
      <x:c r="B670" s="10"/>
      <x:c r="C670" s="10"/>
      <x:c r="D670" s="10"/>
      <x:c r="E670" s="10"/>
      <x:c r="F670" s="10"/>
      <x:c r="G670" s="10"/>
      <x:c r="H670" s="10"/>
      <x:c r="I670" s="10"/>
      <x:c r="J670" s="10"/>
    </x:row>
    <x:row r="671" ht="14.25" customHeight="1">
      <x:c r="A671" s="10"/>
      <x:c r="B671" s="10"/>
      <x:c r="C671" s="10"/>
      <x:c r="D671" s="10"/>
      <x:c r="E671" s="10"/>
      <x:c r="F671" s="10"/>
      <x:c r="G671" s="10"/>
      <x:c r="H671" s="10"/>
      <x:c r="I671" s="10"/>
      <x:c r="J671" s="10"/>
    </x:row>
    <x:row r="672" ht="14.25" customHeight="1">
      <x:c r="A672" s="10"/>
      <x:c r="B672" s="10"/>
      <x:c r="C672" s="10"/>
      <x:c r="D672" s="10"/>
      <x:c r="E672" s="10"/>
      <x:c r="F672" s="10"/>
      <x:c r="G672" s="10"/>
      <x:c r="H672" s="10"/>
      <x:c r="I672" s="10"/>
      <x:c r="J672" s="10"/>
    </x:row>
    <x:row r="673" ht="14.25" customHeight="1">
      <x:c r="A673" s="10"/>
      <x:c r="B673" s="10"/>
      <x:c r="C673" s="10"/>
      <x:c r="D673" s="10"/>
      <x:c r="E673" s="10"/>
      <x:c r="F673" s="10"/>
      <x:c r="G673" s="10"/>
      <x:c r="H673" s="10"/>
      <x:c r="I673" s="10"/>
      <x:c r="J673" s="10"/>
    </x:row>
    <x:row r="674" ht="14.25" customHeight="1">
      <x:c r="A674" s="10"/>
      <x:c r="B674" s="10"/>
      <x:c r="C674" s="10"/>
      <x:c r="D674" s="10"/>
      <x:c r="E674" s="10"/>
      <x:c r="F674" s="10"/>
      <x:c r="G674" s="10"/>
      <x:c r="H674" s="10"/>
      <x:c r="I674" s="10"/>
      <x:c r="J674" s="10"/>
    </x:row>
    <x:row r="675" ht="14.25" customHeight="1">
      <x:c r="A675" s="10"/>
      <x:c r="B675" s="10"/>
      <x:c r="C675" s="10"/>
      <x:c r="D675" s="10"/>
      <x:c r="E675" s="10"/>
      <x:c r="F675" s="10"/>
      <x:c r="G675" s="10"/>
      <x:c r="H675" s="10"/>
      <x:c r="I675" s="10"/>
      <x:c r="J675" s="10"/>
    </x:row>
    <x:row r="676" ht="14.25" customHeight="1">
      <x:c r="A676" s="10"/>
      <x:c r="B676" s="10"/>
      <x:c r="C676" s="10"/>
      <x:c r="D676" s="10"/>
      <x:c r="E676" s="10"/>
      <x:c r="F676" s="10"/>
      <x:c r="G676" s="10"/>
      <x:c r="H676" s="10"/>
      <x:c r="I676" s="10"/>
      <x:c r="J676" s="10"/>
    </x:row>
    <x:row r="677" ht="14.25" customHeight="1">
      <x:c r="A677" s="10"/>
      <x:c r="B677" s="10"/>
      <x:c r="C677" s="10"/>
      <x:c r="D677" s="10"/>
      <x:c r="E677" s="10"/>
      <x:c r="F677" s="10"/>
      <x:c r="G677" s="10"/>
      <x:c r="H677" s="10"/>
      <x:c r="I677" s="10"/>
      <x:c r="J677" s="10"/>
    </x:row>
    <x:row r="678" ht="14.25" customHeight="1">
      <x:c r="A678" s="10"/>
      <x:c r="B678" s="10"/>
      <x:c r="C678" s="10"/>
      <x:c r="D678" s="10"/>
      <x:c r="E678" s="10"/>
      <x:c r="F678" s="10"/>
      <x:c r="G678" s="10"/>
      <x:c r="H678" s="10"/>
      <x:c r="I678" s="10"/>
      <x:c r="J678" s="10"/>
    </x:row>
    <x:row r="679" ht="14.25" customHeight="1">
      <x:c r="A679" s="10"/>
      <x:c r="B679" s="10"/>
      <x:c r="C679" s="10"/>
      <x:c r="D679" s="10"/>
      <x:c r="E679" s="10"/>
      <x:c r="F679" s="10"/>
      <x:c r="G679" s="10"/>
      <x:c r="H679" s="10"/>
      <x:c r="I679" s="10"/>
      <x:c r="J679" s="10"/>
    </x:row>
    <x:row r="680" ht="14.25" customHeight="1">
      <x:c r="A680" s="10"/>
      <x:c r="B680" s="10"/>
      <x:c r="C680" s="10"/>
      <x:c r="D680" s="10"/>
      <x:c r="E680" s="10"/>
      <x:c r="F680" s="10"/>
      <x:c r="G680" s="10"/>
      <x:c r="H680" s="10"/>
      <x:c r="I680" s="10"/>
      <x:c r="J680" s="10"/>
    </x:row>
    <x:row r="681" ht="14.25" customHeight="1">
      <x:c r="A681" s="10"/>
      <x:c r="B681" s="10"/>
      <x:c r="C681" s="10"/>
      <x:c r="D681" s="10"/>
      <x:c r="E681" s="10"/>
      <x:c r="F681" s="10"/>
      <x:c r="G681" s="10"/>
      <x:c r="H681" s="10"/>
      <x:c r="I681" s="10"/>
      <x:c r="J681" s="10"/>
    </x:row>
    <x:row r="682" ht="14.25" customHeight="1">
      <x:c r="A682" s="10"/>
      <x:c r="B682" s="10"/>
      <x:c r="C682" s="10"/>
      <x:c r="D682" s="10"/>
      <x:c r="E682" s="10"/>
      <x:c r="F682" s="10"/>
      <x:c r="G682" s="10"/>
      <x:c r="H682" s="10"/>
      <x:c r="I682" s="10"/>
      <x:c r="J682" s="10"/>
    </x:row>
    <x:row r="683" ht="14.25" customHeight="1">
      <x:c r="A683" s="10"/>
      <x:c r="B683" s="10"/>
      <x:c r="C683" s="10"/>
      <x:c r="D683" s="10"/>
      <x:c r="E683" s="10"/>
      <x:c r="F683" s="10"/>
      <x:c r="G683" s="10"/>
      <x:c r="H683" s="10"/>
      <x:c r="I683" s="10"/>
      <x:c r="J683" s="10"/>
    </x:row>
    <x:row r="684" ht="14.25" customHeight="1">
      <x:c r="A684" s="10"/>
      <x:c r="B684" s="10"/>
      <x:c r="C684" s="10"/>
      <x:c r="D684" s="10"/>
      <x:c r="E684" s="10"/>
      <x:c r="F684" s="10"/>
      <x:c r="G684" s="10"/>
      <x:c r="H684" s="10"/>
      <x:c r="I684" s="10"/>
      <x:c r="J684" s="10"/>
    </x:row>
    <x:row r="685" ht="14.25" customHeight="1">
      <x:c r="A685" s="10"/>
      <x:c r="B685" s="10"/>
      <x:c r="C685" s="10"/>
      <x:c r="D685" s="10"/>
      <x:c r="E685" s="10"/>
      <x:c r="F685" s="10"/>
      <x:c r="G685" s="10"/>
      <x:c r="H685" s="10"/>
      <x:c r="I685" s="10"/>
      <x:c r="J685" s="10"/>
    </x:row>
    <x:row r="686" ht="14.25" customHeight="1">
      <x:c r="A686" s="10"/>
      <x:c r="B686" s="10"/>
      <x:c r="C686" s="10"/>
      <x:c r="D686" s="10"/>
      <x:c r="E686" s="10"/>
      <x:c r="F686" s="10"/>
      <x:c r="G686" s="10"/>
      <x:c r="H686" s="10"/>
      <x:c r="I686" s="10"/>
      <x:c r="J686" s="10"/>
    </x:row>
    <x:row r="687" ht="14.25" customHeight="1">
      <x:c r="A687" s="10"/>
      <x:c r="B687" s="10"/>
      <x:c r="C687" s="10"/>
      <x:c r="D687" s="10"/>
      <x:c r="E687" s="10"/>
      <x:c r="F687" s="10"/>
      <x:c r="G687" s="10"/>
      <x:c r="H687" s="10"/>
      <x:c r="I687" s="10"/>
      <x:c r="J687" s="10"/>
    </x:row>
    <x:row r="688" ht="14.25" customHeight="1">
      <x:c r="A688" s="10"/>
      <x:c r="B688" s="10"/>
      <x:c r="C688" s="10"/>
      <x:c r="D688" s="10"/>
      <x:c r="E688" s="10"/>
      <x:c r="F688" s="10"/>
      <x:c r="G688" s="10"/>
      <x:c r="H688" s="10"/>
      <x:c r="I688" s="10"/>
      <x:c r="J688" s="10"/>
    </x:row>
    <x:row r="689" ht="14.25" customHeight="1">
      <x:c r="A689" s="10"/>
      <x:c r="B689" s="10"/>
      <x:c r="C689" s="10"/>
      <x:c r="D689" s="10"/>
      <x:c r="E689" s="10"/>
      <x:c r="F689" s="10"/>
      <x:c r="G689" s="10"/>
      <x:c r="H689" s="10"/>
      <x:c r="I689" s="10"/>
      <x:c r="J689" s="10"/>
    </x:row>
    <x:row r="690" ht="14.25" customHeight="1">
      <x:c r="A690" s="10"/>
      <x:c r="B690" s="10"/>
      <x:c r="C690" s="10"/>
      <x:c r="D690" s="10"/>
      <x:c r="E690" s="10"/>
      <x:c r="F690" s="10"/>
      <x:c r="G690" s="10"/>
      <x:c r="H690" s="10"/>
      <x:c r="I690" s="10"/>
      <x:c r="J690" s="10"/>
    </x:row>
    <x:row r="691" ht="14.25" customHeight="1">
      <x:c r="A691" s="10"/>
      <x:c r="B691" s="10"/>
      <x:c r="C691" s="10"/>
      <x:c r="D691" s="10"/>
      <x:c r="E691" s="10"/>
      <x:c r="F691" s="10"/>
      <x:c r="G691" s="10"/>
      <x:c r="H691" s="10"/>
      <x:c r="I691" s="10"/>
      <x:c r="J691" s="10"/>
    </x:row>
    <x:row r="692" ht="14.25" customHeight="1">
      <x:c r="A692" s="10"/>
      <x:c r="B692" s="10"/>
      <x:c r="C692" s="10"/>
      <x:c r="D692" s="10"/>
      <x:c r="E692" s="10"/>
      <x:c r="F692" s="10"/>
      <x:c r="G692" s="10"/>
      <x:c r="H692" s="10"/>
      <x:c r="I692" s="10"/>
      <x:c r="J692" s="10"/>
    </x:row>
    <x:row r="693" ht="14.25" customHeight="1">
      <x:c r="A693" s="10"/>
      <x:c r="B693" s="10"/>
      <x:c r="C693" s="10"/>
      <x:c r="D693" s="10"/>
      <x:c r="E693" s="10"/>
      <x:c r="F693" s="10"/>
      <x:c r="G693" s="10"/>
      <x:c r="H693" s="10"/>
      <x:c r="I693" s="10"/>
      <x:c r="J693" s="10"/>
    </x:row>
    <x:row r="694" ht="14.25" customHeight="1">
      <x:c r="A694" s="10"/>
      <x:c r="B694" s="10"/>
      <x:c r="C694" s="10"/>
      <x:c r="D694" s="10"/>
      <x:c r="E694" s="10"/>
      <x:c r="F694" s="10"/>
      <x:c r="G694" s="10"/>
      <x:c r="H694" s="10"/>
      <x:c r="I694" s="10"/>
      <x:c r="J694" s="10"/>
    </x:row>
    <x:row r="695" ht="14.25" customHeight="1">
      <x:c r="A695" s="10"/>
      <x:c r="B695" s="10"/>
      <x:c r="C695" s="10"/>
      <x:c r="D695" s="10"/>
      <x:c r="E695" s="10"/>
      <x:c r="F695" s="10"/>
      <x:c r="G695" s="10"/>
      <x:c r="H695" s="10"/>
      <x:c r="I695" s="10"/>
      <x:c r="J695" s="10"/>
    </x:row>
    <x:row r="696" ht="14.25" customHeight="1">
      <x:c r="A696" s="10"/>
      <x:c r="B696" s="10"/>
      <x:c r="C696" s="10"/>
      <x:c r="D696" s="10"/>
      <x:c r="E696" s="10"/>
      <x:c r="F696" s="10"/>
      <x:c r="G696" s="10"/>
      <x:c r="H696" s="10"/>
      <x:c r="I696" s="10"/>
      <x:c r="J696" s="10"/>
    </x:row>
    <x:row r="697" ht="14.25" customHeight="1">
      <x:c r="A697" s="10"/>
      <x:c r="B697" s="10"/>
      <x:c r="C697" s="10"/>
      <x:c r="D697" s="10"/>
      <x:c r="E697" s="10"/>
      <x:c r="F697" s="10"/>
      <x:c r="G697" s="10"/>
      <x:c r="H697" s="10"/>
      <x:c r="I697" s="10"/>
      <x:c r="J697" s="10"/>
    </x:row>
    <x:row r="698" ht="14.25" customHeight="1">
      <x:c r="A698" s="10"/>
      <x:c r="B698" s="10"/>
      <x:c r="C698" s="10"/>
      <x:c r="D698" s="10"/>
      <x:c r="E698" s="10"/>
      <x:c r="F698" s="10"/>
      <x:c r="G698" s="10"/>
      <x:c r="H698" s="10"/>
      <x:c r="I698" s="10"/>
      <x:c r="J698" s="10"/>
    </x:row>
    <x:row r="699" ht="14.25" customHeight="1">
      <x:c r="A699" s="10"/>
      <x:c r="B699" s="10"/>
      <x:c r="C699" s="10"/>
      <x:c r="D699" s="10"/>
      <x:c r="E699" s="10"/>
      <x:c r="F699" s="10"/>
      <x:c r="G699" s="10"/>
      <x:c r="H699" s="10"/>
      <x:c r="I699" s="10"/>
      <x:c r="J699" s="10"/>
    </x:row>
    <x:row r="700" ht="14.25" customHeight="1">
      <x:c r="A700" s="10"/>
      <x:c r="B700" s="10"/>
      <x:c r="C700" s="10"/>
      <x:c r="D700" s="10"/>
      <x:c r="E700" s="10"/>
      <x:c r="F700" s="10"/>
      <x:c r="G700" s="10"/>
      <x:c r="H700" s="10"/>
      <x:c r="I700" s="10"/>
      <x:c r="J700" s="10"/>
    </x:row>
    <x:row r="701" ht="14.25" customHeight="1">
      <x:c r="A701" s="10"/>
      <x:c r="B701" s="10"/>
      <x:c r="C701" s="10"/>
      <x:c r="D701" s="10"/>
      <x:c r="E701" s="10"/>
      <x:c r="F701" s="10"/>
      <x:c r="G701" s="10"/>
      <x:c r="H701" s="10"/>
      <x:c r="I701" s="10"/>
      <x:c r="J701" s="10"/>
    </x:row>
    <x:row r="702" ht="14.25" customHeight="1">
      <x:c r="A702" s="10"/>
      <x:c r="B702" s="10"/>
      <x:c r="C702" s="10"/>
      <x:c r="D702" s="10"/>
      <x:c r="E702" s="10"/>
      <x:c r="F702" s="10"/>
      <x:c r="G702" s="10"/>
      <x:c r="H702" s="10"/>
      <x:c r="I702" s="10"/>
      <x:c r="J702" s="10"/>
    </x:row>
    <x:row r="703" ht="14.25" customHeight="1">
      <x:c r="A703" s="10"/>
      <x:c r="B703" s="10"/>
      <x:c r="C703" s="10"/>
      <x:c r="D703" s="10"/>
      <x:c r="E703" s="10"/>
      <x:c r="F703" s="10"/>
      <x:c r="G703" s="10"/>
      <x:c r="H703" s="10"/>
      <x:c r="I703" s="10"/>
      <x:c r="J703" s="10"/>
    </x:row>
    <x:row r="704" ht="14.25" customHeight="1">
      <x:c r="A704" s="10"/>
      <x:c r="B704" s="10"/>
      <x:c r="C704" s="10"/>
      <x:c r="D704" s="10"/>
      <x:c r="E704" s="10"/>
      <x:c r="F704" s="10"/>
      <x:c r="G704" s="10"/>
      <x:c r="H704" s="10"/>
      <x:c r="I704" s="10"/>
      <x:c r="J704" s="10"/>
    </x:row>
    <x:row r="705" ht="14.25" customHeight="1">
      <x:c r="A705" s="10"/>
      <x:c r="B705" s="10"/>
      <x:c r="C705" s="10"/>
      <x:c r="D705" s="10"/>
      <x:c r="E705" s="10"/>
      <x:c r="F705" s="10"/>
      <x:c r="G705" s="10"/>
      <x:c r="H705" s="10"/>
      <x:c r="I705" s="10"/>
      <x:c r="J705" s="10"/>
    </x:row>
    <x:row r="706" ht="14.25" customHeight="1">
      <x:c r="A706" s="10"/>
      <x:c r="B706" s="10"/>
      <x:c r="C706" s="10"/>
      <x:c r="D706" s="10"/>
      <x:c r="E706" s="10"/>
      <x:c r="F706" s="10"/>
      <x:c r="G706" s="10"/>
      <x:c r="H706" s="10"/>
      <x:c r="I706" s="10"/>
      <x:c r="J706" s="10"/>
    </x:row>
    <x:row r="707" ht="14.25" customHeight="1">
      <x:c r="A707" s="10"/>
      <x:c r="B707" s="10"/>
      <x:c r="C707" s="10"/>
      <x:c r="D707" s="10"/>
      <x:c r="E707" s="10"/>
      <x:c r="F707" s="10"/>
      <x:c r="G707" s="10"/>
      <x:c r="H707" s="10"/>
      <x:c r="I707" s="10"/>
      <x:c r="J707" s="10"/>
    </x:row>
    <x:row r="708" ht="14.25" customHeight="1">
      <x:c r="A708" s="10"/>
      <x:c r="B708" s="10"/>
      <x:c r="C708" s="10"/>
      <x:c r="D708" s="10"/>
      <x:c r="E708" s="10"/>
      <x:c r="F708" s="10"/>
      <x:c r="G708" s="10"/>
      <x:c r="H708" s="10"/>
      <x:c r="I708" s="10"/>
      <x:c r="J708" s="10"/>
    </x:row>
    <x:row r="709" ht="14.25" customHeight="1">
      <x:c r="A709" s="10"/>
      <x:c r="B709" s="10"/>
      <x:c r="C709" s="10"/>
      <x:c r="D709" s="10"/>
      <x:c r="E709" s="10"/>
      <x:c r="F709" s="10"/>
      <x:c r="G709" s="10"/>
      <x:c r="H709" s="10"/>
      <x:c r="I709" s="10"/>
      <x:c r="J709" s="10"/>
    </x:row>
    <x:row r="710" ht="14.25" customHeight="1">
      <x:c r="A710" s="10"/>
      <x:c r="B710" s="10"/>
      <x:c r="C710" s="10"/>
      <x:c r="D710" s="10"/>
      <x:c r="E710" s="10"/>
      <x:c r="F710" s="10"/>
      <x:c r="G710" s="10"/>
      <x:c r="H710" s="10"/>
      <x:c r="I710" s="10"/>
      <x:c r="J710" s="10"/>
    </x:row>
    <x:row r="711" ht="14.25" customHeight="1">
      <x:c r="A711" s="10"/>
      <x:c r="B711" s="10"/>
      <x:c r="C711" s="10"/>
      <x:c r="D711" s="10"/>
      <x:c r="E711" s="10"/>
      <x:c r="F711" s="10"/>
      <x:c r="G711" s="10"/>
      <x:c r="H711" s="10"/>
      <x:c r="I711" s="10"/>
      <x:c r="J711" s="10"/>
    </x:row>
    <x:row r="712" ht="14.25" customHeight="1">
      <x:c r="A712" s="10"/>
      <x:c r="B712" s="10"/>
      <x:c r="C712" s="10"/>
      <x:c r="D712" s="10"/>
      <x:c r="E712" s="10"/>
      <x:c r="F712" s="10"/>
      <x:c r="G712" s="10"/>
      <x:c r="H712" s="10"/>
      <x:c r="I712" s="10"/>
      <x:c r="J712" s="10"/>
    </x:row>
    <x:row r="713" ht="14.25" customHeight="1">
      <x:c r="A713" s="10"/>
      <x:c r="B713" s="10"/>
      <x:c r="C713" s="10"/>
      <x:c r="D713" s="10"/>
      <x:c r="E713" s="10"/>
      <x:c r="F713" s="10"/>
      <x:c r="G713" s="10"/>
      <x:c r="H713" s="10"/>
      <x:c r="I713" s="10"/>
      <x:c r="J713" s="10"/>
    </x:row>
    <x:row r="714" ht="14.25" customHeight="1">
      <x:c r="A714" s="10"/>
      <x:c r="B714" s="10"/>
      <x:c r="C714" s="10"/>
      <x:c r="D714" s="10"/>
      <x:c r="E714" s="10"/>
      <x:c r="F714" s="10"/>
      <x:c r="G714" s="10"/>
      <x:c r="H714" s="10"/>
      <x:c r="I714" s="10"/>
      <x:c r="J714" s="10"/>
    </x:row>
    <x:row r="715" ht="14.25" customHeight="1">
      <x:c r="A715" s="10"/>
      <x:c r="B715" s="10"/>
      <x:c r="C715" s="10"/>
      <x:c r="D715" s="10"/>
      <x:c r="E715" s="10"/>
      <x:c r="F715" s="10"/>
      <x:c r="G715" s="10"/>
      <x:c r="H715" s="10"/>
      <x:c r="I715" s="10"/>
      <x:c r="J715" s="10"/>
    </x:row>
    <x:row r="716" ht="14.25" customHeight="1">
      <x:c r="A716" s="10"/>
      <x:c r="B716" s="10"/>
      <x:c r="C716" s="10"/>
      <x:c r="D716" s="10"/>
      <x:c r="E716" s="10"/>
      <x:c r="F716" s="10"/>
      <x:c r="G716" s="10"/>
      <x:c r="H716" s="10"/>
      <x:c r="I716" s="10"/>
      <x:c r="J716" s="10"/>
    </x:row>
    <x:row r="717" ht="14.25" customHeight="1">
      <x:c r="A717" s="10"/>
      <x:c r="B717" s="10"/>
      <x:c r="C717" s="10"/>
      <x:c r="D717" s="10"/>
      <x:c r="E717" s="10"/>
      <x:c r="F717" s="10"/>
      <x:c r="G717" s="10"/>
      <x:c r="H717" s="10"/>
      <x:c r="I717" s="10"/>
      <x:c r="J717" s="10"/>
    </x:row>
    <x:row r="718" ht="14.25" customHeight="1">
      <x:c r="A718" s="10"/>
      <x:c r="B718" s="10"/>
      <x:c r="C718" s="10"/>
      <x:c r="D718" s="10"/>
      <x:c r="E718" s="10"/>
      <x:c r="F718" s="10"/>
      <x:c r="G718" s="10"/>
      <x:c r="H718" s="10"/>
      <x:c r="I718" s="10"/>
      <x:c r="J718" s="10"/>
    </x:row>
    <x:row r="719" ht="14.25" customHeight="1">
      <x:c r="A719" s="10"/>
      <x:c r="B719" s="10"/>
      <x:c r="C719" s="10"/>
      <x:c r="D719" s="10"/>
      <x:c r="E719" s="10"/>
      <x:c r="F719" s="10"/>
      <x:c r="G719" s="10"/>
      <x:c r="H719" s="10"/>
      <x:c r="I719" s="10"/>
      <x:c r="J719" s="10"/>
    </x:row>
    <x:row r="720" ht="14.25" customHeight="1">
      <x:c r="A720" s="10"/>
      <x:c r="B720" s="10"/>
      <x:c r="C720" s="10"/>
      <x:c r="D720" s="10"/>
      <x:c r="E720" s="10"/>
      <x:c r="F720" s="10"/>
      <x:c r="G720" s="10"/>
      <x:c r="H720" s="10"/>
      <x:c r="I720" s="10"/>
      <x:c r="J720" s="10"/>
    </x:row>
    <x:row r="721" ht="14.25" customHeight="1">
      <x:c r="A721" s="10"/>
      <x:c r="B721" s="10"/>
      <x:c r="C721" s="10"/>
      <x:c r="D721" s="10"/>
      <x:c r="E721" s="10"/>
      <x:c r="F721" s="10"/>
      <x:c r="G721" s="10"/>
      <x:c r="H721" s="10"/>
      <x:c r="I721" s="10"/>
      <x:c r="J721" s="10"/>
    </x:row>
    <x:row r="722" ht="14.25" customHeight="1">
      <x:c r="A722" s="10"/>
      <x:c r="B722" s="10"/>
      <x:c r="C722" s="10"/>
      <x:c r="D722" s="10"/>
      <x:c r="E722" s="10"/>
      <x:c r="F722" s="10"/>
      <x:c r="G722" s="10"/>
      <x:c r="H722" s="10"/>
      <x:c r="I722" s="10"/>
      <x:c r="J722" s="10"/>
    </x:row>
    <x:row r="723" ht="14.25" customHeight="1">
      <x:c r="A723" s="10"/>
      <x:c r="B723" s="10"/>
      <x:c r="C723" s="10"/>
      <x:c r="D723" s="10"/>
      <x:c r="E723" s="10"/>
      <x:c r="F723" s="10"/>
      <x:c r="G723" s="10"/>
      <x:c r="H723" s="10"/>
      <x:c r="I723" s="10"/>
      <x:c r="J723" s="10"/>
    </x:row>
    <x:row r="724" ht="14.25" customHeight="1">
      <x:c r="A724" s="10"/>
      <x:c r="B724" s="10"/>
      <x:c r="C724" s="10"/>
      <x:c r="D724" s="10"/>
      <x:c r="E724" s="10"/>
      <x:c r="F724" s="10"/>
      <x:c r="G724" s="10"/>
      <x:c r="H724" s="10"/>
      <x:c r="I724" s="10"/>
      <x:c r="J724" s="10"/>
    </x:row>
    <x:row r="725" ht="14.25" customHeight="1">
      <x:c r="A725" s="10"/>
      <x:c r="B725" s="10"/>
      <x:c r="C725" s="10"/>
      <x:c r="D725" s="10"/>
      <x:c r="E725" s="10"/>
      <x:c r="F725" s="10"/>
      <x:c r="G725" s="10"/>
      <x:c r="H725" s="10"/>
      <x:c r="I725" s="10"/>
      <x:c r="J725" s="10"/>
    </x:row>
    <x:row r="726" ht="14.25" customHeight="1">
      <x:c r="A726" s="10"/>
      <x:c r="B726" s="10"/>
      <x:c r="C726" s="10"/>
      <x:c r="D726" s="10"/>
      <x:c r="E726" s="10"/>
      <x:c r="F726" s="10"/>
      <x:c r="G726" s="10"/>
      <x:c r="H726" s="10"/>
      <x:c r="I726" s="10"/>
      <x:c r="J726" s="10"/>
    </x:row>
    <x:row r="727" ht="14.25" customHeight="1">
      <x:c r="A727" s="10"/>
      <x:c r="B727" s="10"/>
      <x:c r="C727" s="10"/>
      <x:c r="D727" s="10"/>
      <x:c r="E727" s="10"/>
      <x:c r="F727" s="10"/>
      <x:c r="G727" s="10"/>
      <x:c r="H727" s="10"/>
      <x:c r="I727" s="10"/>
      <x:c r="J727" s="10"/>
    </x:row>
    <x:row r="728" ht="14.25" customHeight="1">
      <x:c r="A728" s="10"/>
      <x:c r="B728" s="10"/>
      <x:c r="C728" s="10"/>
      <x:c r="D728" s="10"/>
      <x:c r="E728" s="10"/>
      <x:c r="F728" s="10"/>
      <x:c r="G728" s="10"/>
      <x:c r="H728" s="10"/>
      <x:c r="I728" s="10"/>
      <x:c r="J728" s="10"/>
    </x:row>
    <x:row r="729" ht="14.25" customHeight="1">
      <x:c r="A729" s="10"/>
      <x:c r="B729" s="10"/>
      <x:c r="C729" s="10"/>
      <x:c r="D729" s="10"/>
      <x:c r="E729" s="10"/>
      <x:c r="F729" s="10"/>
      <x:c r="G729" s="10"/>
      <x:c r="H729" s="10"/>
      <x:c r="I729" s="10"/>
      <x:c r="J729" s="10"/>
    </x:row>
    <x:row r="730" ht="14.25" customHeight="1">
      <x:c r="A730" s="10"/>
      <x:c r="B730" s="10"/>
      <x:c r="C730" s="10"/>
      <x:c r="D730" s="10"/>
      <x:c r="E730" s="10"/>
      <x:c r="F730" s="10"/>
      <x:c r="G730" s="10"/>
      <x:c r="H730" s="10"/>
      <x:c r="I730" s="10"/>
      <x:c r="J730" s="10"/>
    </x:row>
    <x:row r="731" ht="14.25" customHeight="1">
      <x:c r="A731" s="10"/>
      <x:c r="B731" s="10"/>
      <x:c r="C731" s="10"/>
      <x:c r="D731" s="10"/>
      <x:c r="E731" s="10"/>
      <x:c r="F731" s="10"/>
      <x:c r="G731" s="10"/>
      <x:c r="H731" s="10"/>
      <x:c r="I731" s="10"/>
      <x:c r="J731" s="10"/>
    </x:row>
    <x:row r="732" ht="14.25" customHeight="1">
      <x:c r="A732" s="10"/>
      <x:c r="B732" s="10"/>
      <x:c r="C732" s="10"/>
      <x:c r="D732" s="10"/>
      <x:c r="E732" s="10"/>
      <x:c r="F732" s="10"/>
      <x:c r="G732" s="10"/>
      <x:c r="H732" s="10"/>
      <x:c r="I732" s="10"/>
      <x:c r="J732" s="10"/>
    </x:row>
    <x:row r="733" ht="14.25" customHeight="1">
      <x:c r="A733" s="10"/>
      <x:c r="B733" s="10"/>
      <x:c r="C733" s="10"/>
      <x:c r="D733" s="10"/>
      <x:c r="E733" s="10"/>
      <x:c r="F733" s="10"/>
      <x:c r="G733" s="10"/>
      <x:c r="H733" s="10"/>
      <x:c r="I733" s="10"/>
      <x:c r="J733" s="10"/>
    </x:row>
    <x:row r="734" ht="14.25" customHeight="1">
      <x:c r="A734" s="10"/>
      <x:c r="B734" s="10"/>
      <x:c r="C734" s="10"/>
      <x:c r="D734" s="10"/>
      <x:c r="E734" s="10"/>
      <x:c r="F734" s="10"/>
      <x:c r="G734" s="10"/>
      <x:c r="H734" s="10"/>
      <x:c r="I734" s="10"/>
      <x:c r="J734" s="10"/>
    </x:row>
    <x:row r="735" ht="14.25" customHeight="1">
      <x:c r="A735" s="10"/>
      <x:c r="B735" s="10"/>
      <x:c r="C735" s="10"/>
      <x:c r="D735" s="10"/>
      <x:c r="E735" s="10"/>
      <x:c r="F735" s="10"/>
      <x:c r="G735" s="10"/>
      <x:c r="H735" s="10"/>
      <x:c r="I735" s="10"/>
      <x:c r="J735" s="10"/>
    </x:row>
    <x:row r="736" ht="14.25" customHeight="1">
      <x:c r="A736" s="10"/>
      <x:c r="B736" s="10"/>
      <x:c r="C736" s="10"/>
      <x:c r="D736" s="10"/>
      <x:c r="E736" s="10"/>
      <x:c r="F736" s="10"/>
      <x:c r="G736" s="10"/>
      <x:c r="H736" s="10"/>
      <x:c r="I736" s="10"/>
      <x:c r="J736" s="10"/>
    </x:row>
    <x:row r="737" ht="14.25" customHeight="1">
      <x:c r="A737" s="10"/>
      <x:c r="B737" s="10"/>
      <x:c r="C737" s="10"/>
      <x:c r="D737" s="10"/>
      <x:c r="E737" s="10"/>
      <x:c r="F737" s="10"/>
      <x:c r="G737" s="10"/>
      <x:c r="H737" s="10"/>
      <x:c r="I737" s="10"/>
      <x:c r="J737" s="10"/>
    </x:row>
    <x:row r="738" ht="14.25" customHeight="1">
      <x:c r="A738" s="10"/>
      <x:c r="B738" s="10"/>
      <x:c r="C738" s="10"/>
      <x:c r="D738" s="10"/>
      <x:c r="E738" s="10"/>
      <x:c r="F738" s="10"/>
      <x:c r="G738" s="10"/>
      <x:c r="H738" s="10"/>
      <x:c r="I738" s="10"/>
      <x:c r="J738" s="10"/>
    </x:row>
    <x:row r="739" ht="14.25" customHeight="1">
      <x:c r="A739" s="10"/>
      <x:c r="B739" s="10"/>
      <x:c r="C739" s="10"/>
      <x:c r="D739" s="10"/>
      <x:c r="E739" s="10"/>
      <x:c r="F739" s="10"/>
      <x:c r="G739" s="10"/>
      <x:c r="H739" s="10"/>
      <x:c r="I739" s="10"/>
      <x:c r="J739" s="10"/>
    </x:row>
    <x:row r="740" ht="14.25" customHeight="1">
      <x:c r="A740" s="10"/>
      <x:c r="B740" s="10"/>
      <x:c r="C740" s="10"/>
      <x:c r="D740" s="10"/>
      <x:c r="E740" s="10"/>
      <x:c r="F740" s="10"/>
      <x:c r="G740" s="10"/>
      <x:c r="H740" s="10"/>
      <x:c r="I740" s="10"/>
      <x:c r="J740" s="10"/>
    </x:row>
    <x:row r="741" ht="14.25" customHeight="1">
      <x:c r="A741" s="10"/>
      <x:c r="B741" s="10"/>
      <x:c r="C741" s="10"/>
      <x:c r="D741" s="10"/>
      <x:c r="E741" s="10"/>
      <x:c r="F741" s="10"/>
      <x:c r="G741" s="10"/>
      <x:c r="H741" s="10"/>
      <x:c r="I741" s="10"/>
      <x:c r="J741" s="10"/>
    </x:row>
    <x:row r="742" ht="14.25" customHeight="1">
      <x:c r="A742" s="10"/>
      <x:c r="B742" s="10"/>
      <x:c r="C742" s="10"/>
      <x:c r="D742" s="10"/>
      <x:c r="E742" s="10"/>
      <x:c r="F742" s="10"/>
      <x:c r="G742" s="10"/>
      <x:c r="H742" s="10"/>
      <x:c r="I742" s="10"/>
      <x:c r="J742" s="10"/>
    </x:row>
    <x:row r="743" ht="14.25" customHeight="1">
      <x:c r="A743" s="10"/>
      <x:c r="B743" s="10"/>
      <x:c r="C743" s="10"/>
      <x:c r="D743" s="10"/>
      <x:c r="E743" s="10"/>
      <x:c r="F743" s="10"/>
      <x:c r="G743" s="10"/>
      <x:c r="H743" s="10"/>
      <x:c r="I743" s="10"/>
      <x:c r="J743" s="10"/>
    </x:row>
    <x:row r="744" ht="14.25" customHeight="1">
      <x:c r="A744" s="10"/>
      <x:c r="B744" s="10"/>
      <x:c r="C744" s="10"/>
      <x:c r="D744" s="10"/>
      <x:c r="E744" s="10"/>
      <x:c r="F744" s="10"/>
      <x:c r="G744" s="10"/>
      <x:c r="H744" s="10"/>
      <x:c r="I744" s="10"/>
      <x:c r="J744" s="10"/>
    </x:row>
    <x:row r="745" ht="14.25" customHeight="1">
      <x:c r="A745" s="10"/>
      <x:c r="B745" s="10"/>
      <x:c r="C745" s="10"/>
      <x:c r="D745" s="10"/>
      <x:c r="E745" s="10"/>
      <x:c r="F745" s="10"/>
      <x:c r="G745" s="10"/>
      <x:c r="H745" s="10"/>
      <x:c r="I745" s="10"/>
      <x:c r="J745" s="10"/>
    </x:row>
    <x:row r="746" ht="14.25" customHeight="1">
      <x:c r="A746" s="10"/>
      <x:c r="B746" s="10"/>
      <x:c r="C746" s="10"/>
      <x:c r="D746" s="10"/>
      <x:c r="E746" s="10"/>
      <x:c r="F746" s="10"/>
      <x:c r="G746" s="10"/>
      <x:c r="H746" s="10"/>
      <x:c r="I746" s="10"/>
      <x:c r="J746" s="10"/>
    </x:row>
    <x:row r="747" ht="14.25" customHeight="1">
      <x:c r="A747" s="10"/>
      <x:c r="B747" s="10"/>
      <x:c r="C747" s="10"/>
      <x:c r="D747" s="10"/>
      <x:c r="E747" s="10"/>
      <x:c r="F747" s="10"/>
      <x:c r="G747" s="10"/>
      <x:c r="H747" s="10"/>
      <x:c r="I747" s="10"/>
      <x:c r="J747" s="10"/>
    </x:row>
    <x:row r="748" ht="14.25" customHeight="1">
      <x:c r="A748" s="10"/>
      <x:c r="B748" s="10"/>
      <x:c r="C748" s="10"/>
      <x:c r="D748" s="10"/>
      <x:c r="E748" s="10"/>
      <x:c r="F748" s="10"/>
      <x:c r="G748" s="10"/>
      <x:c r="H748" s="10"/>
      <x:c r="I748" s="10"/>
      <x:c r="J748" s="10"/>
    </x:row>
    <x:row r="749" ht="14.25" customHeight="1">
      <x:c r="A749" s="10"/>
      <x:c r="B749" s="10"/>
      <x:c r="C749" s="10"/>
      <x:c r="D749" s="10"/>
      <x:c r="E749" s="10"/>
      <x:c r="F749" s="10"/>
      <x:c r="G749" s="10"/>
      <x:c r="H749" s="10"/>
      <x:c r="I749" s="10"/>
      <x:c r="J749" s="10"/>
    </x:row>
    <x:row r="750" ht="14.25" customHeight="1">
      <x:c r="A750" s="10"/>
      <x:c r="B750" s="10"/>
      <x:c r="C750" s="10"/>
      <x:c r="D750" s="10"/>
      <x:c r="E750" s="10"/>
      <x:c r="F750" s="10"/>
      <x:c r="G750" s="10"/>
      <x:c r="H750" s="10"/>
      <x:c r="I750" s="10"/>
      <x:c r="J750" s="10"/>
    </x:row>
    <x:row r="751" ht="14.25" customHeight="1">
      <x:c r="A751" s="10"/>
      <x:c r="B751" s="10"/>
      <x:c r="C751" s="10"/>
      <x:c r="D751" s="10"/>
      <x:c r="E751" s="10"/>
      <x:c r="F751" s="10"/>
      <x:c r="G751" s="10"/>
      <x:c r="H751" s="10"/>
      <x:c r="I751" s="10"/>
      <x:c r="J751" s="10"/>
    </x:row>
    <x:row r="752" ht="14.25" customHeight="1">
      <x:c r="A752" s="10"/>
      <x:c r="B752" s="10"/>
      <x:c r="C752" s="10"/>
      <x:c r="D752" s="10"/>
      <x:c r="E752" s="10"/>
      <x:c r="F752" s="10"/>
      <x:c r="G752" s="10"/>
      <x:c r="H752" s="10"/>
      <x:c r="I752" s="10"/>
      <x:c r="J752" s="10"/>
    </x:row>
    <x:row r="753" ht="14.25" customHeight="1">
      <x:c r="A753" s="10"/>
      <x:c r="B753" s="10"/>
      <x:c r="C753" s="10"/>
      <x:c r="D753" s="10"/>
      <x:c r="E753" s="10"/>
      <x:c r="F753" s="10"/>
      <x:c r="G753" s="10"/>
      <x:c r="H753" s="10"/>
      <x:c r="I753" s="10"/>
      <x:c r="J753" s="10"/>
    </x:row>
    <x:row r="754" ht="14.25" customHeight="1">
      <x:c r="A754" s="10"/>
      <x:c r="B754" s="10"/>
      <x:c r="C754" s="10"/>
      <x:c r="D754" s="10"/>
      <x:c r="E754" s="10"/>
      <x:c r="F754" s="10"/>
      <x:c r="G754" s="10"/>
      <x:c r="H754" s="10"/>
      <x:c r="I754" s="10"/>
      <x:c r="J754" s="10"/>
    </x:row>
    <x:row r="755" ht="14.25" customHeight="1">
      <x:c r="A755" s="10"/>
      <x:c r="B755" s="10"/>
      <x:c r="C755" s="10"/>
      <x:c r="D755" s="10"/>
      <x:c r="E755" s="10"/>
      <x:c r="F755" s="10"/>
      <x:c r="G755" s="10"/>
      <x:c r="H755" s="10"/>
      <x:c r="I755" s="10"/>
      <x:c r="J755" s="10"/>
    </x:row>
    <x:row r="756" ht="14.25" customHeight="1">
      <x:c r="A756" s="10"/>
      <x:c r="B756" s="10"/>
      <x:c r="C756" s="10"/>
      <x:c r="D756" s="10"/>
      <x:c r="E756" s="10"/>
      <x:c r="F756" s="10"/>
      <x:c r="G756" s="10"/>
      <x:c r="H756" s="10"/>
      <x:c r="I756" s="10"/>
      <x:c r="J756" s="10"/>
    </x:row>
    <x:row r="757" ht="14.25" customHeight="1">
      <x:c r="A757" s="10"/>
      <x:c r="B757" s="10"/>
      <x:c r="C757" s="10"/>
      <x:c r="D757" s="10"/>
      <x:c r="E757" s="10"/>
      <x:c r="F757" s="10"/>
      <x:c r="G757" s="10"/>
      <x:c r="H757" s="10"/>
      <x:c r="I757" s="10"/>
      <x:c r="J757" s="10"/>
    </x:row>
    <x:row r="758" ht="14.25" customHeight="1">
      <x:c r="A758" s="10"/>
      <x:c r="B758" s="10"/>
      <x:c r="C758" s="10"/>
      <x:c r="D758" s="10"/>
      <x:c r="E758" s="10"/>
      <x:c r="F758" s="10"/>
      <x:c r="G758" s="10"/>
      <x:c r="H758" s="10"/>
      <x:c r="I758" s="10"/>
      <x:c r="J758" s="10"/>
    </x:row>
    <x:row r="759" ht="14.25" customHeight="1">
      <x:c r="A759" s="10"/>
      <x:c r="B759" s="10"/>
      <x:c r="C759" s="10"/>
      <x:c r="D759" s="10"/>
      <x:c r="E759" s="10"/>
      <x:c r="F759" s="10"/>
      <x:c r="G759" s="10"/>
      <x:c r="H759" s="10"/>
      <x:c r="I759" s="10"/>
      <x:c r="J759" s="10"/>
    </x:row>
    <x:row r="760" ht="14.25" customHeight="1">
      <x:c r="A760" s="10"/>
      <x:c r="B760" s="10"/>
      <x:c r="C760" s="10"/>
      <x:c r="D760" s="10"/>
      <x:c r="E760" s="10"/>
      <x:c r="F760" s="10"/>
      <x:c r="G760" s="10"/>
      <x:c r="H760" s="10"/>
      <x:c r="I760" s="10"/>
      <x:c r="J760" s="10"/>
    </x:row>
    <x:row r="761" ht="14.25" customHeight="1">
      <x:c r="A761" s="10"/>
      <x:c r="B761" s="10"/>
      <x:c r="C761" s="10"/>
      <x:c r="D761" s="10"/>
      <x:c r="E761" s="10"/>
      <x:c r="F761" s="10"/>
      <x:c r="G761" s="10"/>
      <x:c r="H761" s="10"/>
      <x:c r="I761" s="10"/>
      <x:c r="J761" s="10"/>
    </x:row>
    <x:row r="762" ht="14.25" customHeight="1">
      <x:c r="A762" s="10"/>
      <x:c r="B762" s="10"/>
      <x:c r="C762" s="10"/>
      <x:c r="D762" s="10"/>
      <x:c r="E762" s="10"/>
      <x:c r="F762" s="10"/>
      <x:c r="G762" s="10"/>
      <x:c r="H762" s="10"/>
      <x:c r="I762" s="10"/>
      <x:c r="J762" s="10"/>
    </x:row>
    <x:row r="763" ht="14.25" customHeight="1">
      <x:c r="A763" s="10"/>
      <x:c r="B763" s="10"/>
      <x:c r="C763" s="10"/>
      <x:c r="D763" s="10"/>
      <x:c r="E763" s="10"/>
      <x:c r="F763" s="10"/>
      <x:c r="G763" s="10"/>
      <x:c r="H763" s="10"/>
      <x:c r="I763" s="10"/>
      <x:c r="J763" s="10"/>
    </x:row>
    <x:row r="764" ht="14.25" customHeight="1">
      <x:c r="A764" s="10"/>
      <x:c r="B764" s="10"/>
      <x:c r="C764" s="10"/>
      <x:c r="D764" s="10"/>
      <x:c r="E764" s="10"/>
      <x:c r="F764" s="10"/>
      <x:c r="G764" s="10"/>
      <x:c r="H764" s="10"/>
      <x:c r="I764" s="10"/>
      <x:c r="J764" s="10"/>
    </x:row>
    <x:row r="765" ht="14.25" customHeight="1">
      <x:c r="A765" s="10"/>
      <x:c r="B765" s="10"/>
      <x:c r="C765" s="10"/>
      <x:c r="D765" s="10"/>
      <x:c r="E765" s="10"/>
      <x:c r="F765" s="10"/>
      <x:c r="G765" s="10"/>
      <x:c r="H765" s="10"/>
      <x:c r="I765" s="10"/>
      <x:c r="J765" s="10"/>
    </x:row>
    <x:row r="766" ht="14.25" customHeight="1">
      <x:c r="A766" s="10"/>
      <x:c r="B766" s="10"/>
      <x:c r="C766" s="10"/>
      <x:c r="D766" s="10"/>
      <x:c r="E766" s="10"/>
      <x:c r="F766" s="10"/>
      <x:c r="G766" s="10"/>
      <x:c r="H766" s="10"/>
      <x:c r="I766" s="10"/>
      <x:c r="J766" s="10"/>
    </x:row>
    <x:row r="767" ht="14.25" customHeight="1">
      <x:c r="A767" s="10"/>
      <x:c r="B767" s="10"/>
      <x:c r="C767" s="10"/>
      <x:c r="D767" s="10"/>
      <x:c r="E767" s="10"/>
      <x:c r="F767" s="10"/>
      <x:c r="G767" s="10"/>
      <x:c r="H767" s="10"/>
      <x:c r="I767" s="10"/>
      <x:c r="J767" s="10"/>
    </x:row>
    <x:row r="768" ht="14.25" customHeight="1">
      <x:c r="A768" s="10"/>
      <x:c r="B768" s="10"/>
      <x:c r="C768" s="10"/>
      <x:c r="D768" s="10"/>
      <x:c r="E768" s="10"/>
      <x:c r="F768" s="10"/>
      <x:c r="G768" s="10"/>
      <x:c r="H768" s="10"/>
      <x:c r="I768" s="10"/>
      <x:c r="J768" s="10"/>
    </x:row>
    <x:row r="769" ht="14.25" customHeight="1">
      <x:c r="A769" s="10"/>
      <x:c r="B769" s="10"/>
      <x:c r="C769" s="10"/>
      <x:c r="D769" s="10"/>
      <x:c r="E769" s="10"/>
      <x:c r="F769" s="10"/>
      <x:c r="G769" s="10"/>
      <x:c r="H769" s="10"/>
      <x:c r="I769" s="10"/>
      <x:c r="J769" s="10"/>
    </x:row>
    <x:row r="770" ht="14.25" customHeight="1">
      <x:c r="A770" s="10"/>
      <x:c r="B770" s="10"/>
      <x:c r="C770" s="10"/>
      <x:c r="D770" s="10"/>
      <x:c r="E770" s="10"/>
      <x:c r="F770" s="10"/>
      <x:c r="G770" s="10"/>
      <x:c r="H770" s="10"/>
      <x:c r="I770" s="10"/>
      <x:c r="J770" s="10"/>
    </x:row>
    <x:row r="771" ht="14.25" customHeight="1">
      <x:c r="A771" s="10"/>
      <x:c r="B771" s="10"/>
      <x:c r="C771" s="10"/>
      <x:c r="D771" s="10"/>
      <x:c r="E771" s="10"/>
      <x:c r="F771" s="10"/>
      <x:c r="G771" s="10"/>
      <x:c r="H771" s="10"/>
      <x:c r="I771" s="10"/>
      <x:c r="J771" s="10"/>
    </x:row>
    <x:row r="772" ht="14.25" customHeight="1">
      <x:c r="A772" s="10"/>
      <x:c r="B772" s="10"/>
      <x:c r="C772" s="10"/>
      <x:c r="D772" s="10"/>
      <x:c r="E772" s="10"/>
      <x:c r="F772" s="10"/>
      <x:c r="G772" s="10"/>
      <x:c r="H772" s="10"/>
      <x:c r="I772" s="10"/>
      <x:c r="J772" s="10"/>
    </x:row>
    <x:row r="773" ht="14.25" customHeight="1">
      <x:c r="A773" s="10"/>
      <x:c r="B773" s="10"/>
      <x:c r="C773" s="10"/>
      <x:c r="D773" s="10"/>
      <x:c r="E773" s="10"/>
      <x:c r="F773" s="10"/>
      <x:c r="G773" s="10"/>
      <x:c r="H773" s="10"/>
      <x:c r="I773" s="10"/>
      <x:c r="J773" s="10"/>
    </x:row>
    <x:row r="774" ht="14.25" customHeight="1">
      <x:c r="A774" s="10"/>
      <x:c r="B774" s="10"/>
      <x:c r="C774" s="10"/>
      <x:c r="D774" s="10"/>
      <x:c r="E774" s="10"/>
      <x:c r="F774" s="10"/>
      <x:c r="G774" s="10"/>
      <x:c r="H774" s="10"/>
      <x:c r="I774" s="10"/>
      <x:c r="J774" s="10"/>
    </x:row>
    <x:row r="775" ht="14.25" customHeight="1">
      <x:c r="A775" s="10"/>
      <x:c r="B775" s="10"/>
      <x:c r="C775" s="10"/>
      <x:c r="D775" s="10"/>
      <x:c r="E775" s="10"/>
      <x:c r="F775" s="10"/>
      <x:c r="G775" s="10"/>
      <x:c r="H775" s="10"/>
      <x:c r="I775" s="10"/>
      <x:c r="J775" s="10"/>
    </x:row>
    <x:row r="776" ht="14.25" customHeight="1">
      <x:c r="A776" s="10"/>
      <x:c r="B776" s="10"/>
      <x:c r="C776" s="10"/>
      <x:c r="D776" s="10"/>
      <x:c r="E776" s="10"/>
      <x:c r="F776" s="10"/>
      <x:c r="G776" s="10"/>
      <x:c r="H776" s="10"/>
      <x:c r="I776" s="10"/>
      <x:c r="J776" s="10"/>
    </x:row>
    <x:row r="777" ht="14.25" customHeight="1">
      <x:c r="A777" s="10"/>
      <x:c r="B777" s="10"/>
      <x:c r="C777" s="10"/>
      <x:c r="D777" s="10"/>
      <x:c r="E777" s="10"/>
      <x:c r="F777" s="10"/>
      <x:c r="G777" s="10"/>
      <x:c r="H777" s="10"/>
      <x:c r="I777" s="10"/>
      <x:c r="J777" s="10"/>
    </x:row>
    <x:row r="778" ht="14.25" customHeight="1">
      <x:c r="A778" s="10"/>
      <x:c r="B778" s="10"/>
      <x:c r="C778" s="10"/>
      <x:c r="D778" s="10"/>
      <x:c r="E778" s="10"/>
      <x:c r="F778" s="10"/>
      <x:c r="G778" s="10"/>
      <x:c r="H778" s="10"/>
      <x:c r="I778" s="10"/>
      <x:c r="J778" s="10"/>
    </x:row>
    <x:row r="779" ht="14.25" customHeight="1">
      <x:c r="A779" s="10"/>
      <x:c r="B779" s="10"/>
      <x:c r="C779" s="10"/>
      <x:c r="D779" s="10"/>
      <x:c r="E779" s="10"/>
      <x:c r="F779" s="10"/>
      <x:c r="G779" s="10"/>
      <x:c r="H779" s="10"/>
      <x:c r="I779" s="10"/>
      <x:c r="J779" s="10"/>
    </x:row>
    <x:row r="780" ht="14.25" customHeight="1">
      <x:c r="A780" s="10"/>
      <x:c r="B780" s="10"/>
      <x:c r="C780" s="10"/>
      <x:c r="D780" s="10"/>
      <x:c r="E780" s="10"/>
      <x:c r="F780" s="10"/>
      <x:c r="G780" s="10"/>
      <x:c r="H780" s="10"/>
      <x:c r="I780" s="10"/>
      <x:c r="J780" s="10"/>
    </x:row>
    <x:row r="781" ht="14.25" customHeight="1">
      <x:c r="A781" s="10"/>
      <x:c r="B781" s="10"/>
      <x:c r="C781" s="10"/>
      <x:c r="D781" s="10"/>
      <x:c r="E781" s="10"/>
      <x:c r="F781" s="10"/>
      <x:c r="G781" s="10"/>
      <x:c r="H781" s="10"/>
      <x:c r="I781" s="10"/>
      <x:c r="J781" s="10"/>
    </x:row>
    <x:row r="782" ht="14.25" customHeight="1">
      <x:c r="A782" s="10"/>
      <x:c r="B782" s="10"/>
      <x:c r="C782" s="10"/>
      <x:c r="D782" s="10"/>
      <x:c r="E782" s="10"/>
      <x:c r="F782" s="10"/>
      <x:c r="G782" s="10"/>
      <x:c r="H782" s="10"/>
      <x:c r="I782" s="10"/>
      <x:c r="J782" s="10"/>
    </x:row>
    <x:row r="783" ht="14.25" customHeight="1">
      <x:c r="A783" s="10"/>
      <x:c r="B783" s="10"/>
      <x:c r="C783" s="10"/>
      <x:c r="D783" s="10"/>
      <x:c r="E783" s="10"/>
      <x:c r="F783" s="10"/>
      <x:c r="G783" s="10"/>
      <x:c r="H783" s="10"/>
      <x:c r="I783" s="10"/>
      <x:c r="J783" s="10"/>
    </x:row>
    <x:row r="784" ht="14.25" customHeight="1">
      <x:c r="A784" s="10"/>
      <x:c r="B784" s="10"/>
      <x:c r="C784" s="10"/>
      <x:c r="D784" s="10"/>
      <x:c r="E784" s="10"/>
      <x:c r="F784" s="10"/>
      <x:c r="G784" s="10"/>
      <x:c r="H784" s="10"/>
      <x:c r="I784" s="10"/>
      <x:c r="J784" s="10"/>
    </x:row>
    <x:row r="785" ht="14.25" customHeight="1">
      <x:c r="A785" s="10"/>
      <x:c r="B785" s="10"/>
      <x:c r="C785" s="10"/>
      <x:c r="D785" s="10"/>
      <x:c r="E785" s="10"/>
      <x:c r="F785" s="10"/>
      <x:c r="G785" s="10"/>
      <x:c r="H785" s="10"/>
      <x:c r="I785" s="10"/>
      <x:c r="J785" s="10"/>
    </x:row>
    <x:row r="786" ht="14.25" customHeight="1">
      <x:c r="A786" s="10"/>
      <x:c r="B786" s="10"/>
      <x:c r="C786" s="10"/>
      <x:c r="D786" s="10"/>
      <x:c r="E786" s="10"/>
      <x:c r="F786" s="10"/>
      <x:c r="G786" s="10"/>
      <x:c r="H786" s="10"/>
      <x:c r="I786" s="10"/>
      <x:c r="J786" s="10"/>
    </x:row>
    <x:row r="787" ht="14.25" customHeight="1">
      <x:c r="A787" s="10"/>
      <x:c r="B787" s="10"/>
      <x:c r="C787" s="10"/>
      <x:c r="D787" s="10"/>
      <x:c r="E787" s="10"/>
      <x:c r="F787" s="10"/>
      <x:c r="G787" s="10"/>
      <x:c r="H787" s="10"/>
      <x:c r="I787" s="10"/>
      <x:c r="J787" s="10"/>
    </x:row>
    <x:row r="788" ht="14.25" customHeight="1">
      <x:c r="A788" s="10"/>
      <x:c r="B788" s="10"/>
      <x:c r="C788" s="10"/>
      <x:c r="D788" s="10"/>
      <x:c r="E788" s="10"/>
      <x:c r="F788" s="10"/>
      <x:c r="G788" s="10"/>
      <x:c r="H788" s="10"/>
      <x:c r="I788" s="10"/>
      <x:c r="J788" s="10"/>
    </x:row>
    <x:row r="789" ht="14.25" customHeight="1">
      <x:c r="A789" s="10"/>
      <x:c r="B789" s="10"/>
      <x:c r="C789" s="10"/>
      <x:c r="D789" s="10"/>
      <x:c r="E789" s="10"/>
      <x:c r="F789" s="10"/>
      <x:c r="G789" s="10"/>
      <x:c r="H789" s="10"/>
      <x:c r="I789" s="10"/>
      <x:c r="J789" s="10"/>
    </x:row>
    <x:row r="790" ht="14.25" customHeight="1">
      <x:c r="A790" s="10"/>
      <x:c r="B790" s="10"/>
      <x:c r="C790" s="10"/>
      <x:c r="D790" s="10"/>
      <x:c r="E790" s="10"/>
      <x:c r="F790" s="10"/>
      <x:c r="G790" s="10"/>
      <x:c r="H790" s="10"/>
      <x:c r="I790" s="10"/>
      <x:c r="J790" s="10"/>
    </x:row>
    <x:row r="791" ht="14.25" customHeight="1">
      <x:c r="A791" s="10"/>
      <x:c r="B791" s="10"/>
      <x:c r="C791" s="10"/>
      <x:c r="D791" s="10"/>
      <x:c r="E791" s="10"/>
      <x:c r="F791" s="10"/>
      <x:c r="G791" s="10"/>
      <x:c r="H791" s="10"/>
      <x:c r="I791" s="10"/>
      <x:c r="J791" s="10"/>
    </x:row>
    <x:row r="792" ht="14.25" customHeight="1">
      <x:c r="A792" s="10"/>
      <x:c r="B792" s="10"/>
      <x:c r="C792" s="10"/>
      <x:c r="D792" s="10"/>
      <x:c r="E792" s="10"/>
      <x:c r="F792" s="10"/>
      <x:c r="G792" s="10"/>
      <x:c r="H792" s="10"/>
      <x:c r="I792" s="10"/>
      <x:c r="J792" s="10"/>
    </x:row>
    <x:row r="793" ht="14.25" customHeight="1">
      <x:c r="A793" s="10"/>
      <x:c r="B793" s="10"/>
      <x:c r="C793" s="10"/>
      <x:c r="D793" s="10"/>
      <x:c r="E793" s="10"/>
      <x:c r="F793" s="10"/>
      <x:c r="G793" s="10"/>
      <x:c r="H793" s="10"/>
      <x:c r="I793" s="10"/>
      <x:c r="J793" s="10"/>
    </x:row>
    <x:row r="794" ht="14.25" customHeight="1">
      <x:c r="A794" s="10"/>
      <x:c r="B794" s="10"/>
      <x:c r="C794" s="10"/>
      <x:c r="D794" s="10"/>
      <x:c r="E794" s="10"/>
      <x:c r="F794" s="10"/>
      <x:c r="G794" s="10"/>
      <x:c r="H794" s="10"/>
      <x:c r="I794" s="10"/>
      <x:c r="J794" s="10"/>
    </x:row>
    <x:row r="795" ht="14.25" customHeight="1">
      <x:c r="A795" s="10"/>
      <x:c r="B795" s="10"/>
      <x:c r="C795" s="10"/>
      <x:c r="D795" s="10"/>
      <x:c r="E795" s="10"/>
      <x:c r="F795" s="10"/>
      <x:c r="G795" s="10"/>
      <x:c r="H795" s="10"/>
      <x:c r="I795" s="10"/>
      <x:c r="J795" s="10"/>
    </x:row>
    <x:row r="796" ht="14.25" customHeight="1">
      <x:c r="A796" s="10"/>
      <x:c r="B796" s="10"/>
      <x:c r="C796" s="10"/>
      <x:c r="D796" s="10"/>
      <x:c r="E796" s="10"/>
      <x:c r="F796" s="10"/>
      <x:c r="G796" s="10"/>
      <x:c r="H796" s="10"/>
      <x:c r="I796" s="10"/>
      <x:c r="J796" s="10"/>
    </x:row>
    <x:row r="797" ht="14.25" customHeight="1">
      <x:c r="A797" s="10"/>
      <x:c r="B797" s="10"/>
      <x:c r="C797" s="10"/>
      <x:c r="D797" s="10"/>
      <x:c r="E797" s="10"/>
      <x:c r="F797" s="10"/>
      <x:c r="G797" s="10"/>
      <x:c r="H797" s="10"/>
      <x:c r="I797" s="10"/>
      <x:c r="J797" s="10"/>
    </x:row>
    <x:row r="798" ht="14.25" customHeight="1">
      <x:c r="A798" s="10"/>
      <x:c r="B798" s="10"/>
      <x:c r="C798" s="10"/>
      <x:c r="D798" s="10"/>
      <x:c r="E798" s="10"/>
      <x:c r="F798" s="10"/>
      <x:c r="G798" s="10"/>
      <x:c r="H798" s="10"/>
      <x:c r="I798" s="10"/>
      <x:c r="J798" s="10"/>
    </x:row>
    <x:row r="799" ht="14.25" customHeight="1">
      <x:c r="A799" s="10"/>
      <x:c r="B799" s="10"/>
      <x:c r="C799" s="10"/>
      <x:c r="D799" s="10"/>
      <x:c r="E799" s="10"/>
      <x:c r="F799" s="10"/>
      <x:c r="G799" s="10"/>
      <x:c r="H799" s="10"/>
      <x:c r="I799" s="10"/>
      <x:c r="J799" s="10"/>
    </x:row>
    <x:row r="800" ht="14.25" customHeight="1">
      <x:c r="A800" s="10"/>
      <x:c r="B800" s="10"/>
      <x:c r="C800" s="10"/>
      <x:c r="D800" s="10"/>
      <x:c r="E800" s="10"/>
      <x:c r="F800" s="10"/>
      <x:c r="G800" s="10"/>
      <x:c r="H800" s="10"/>
      <x:c r="I800" s="10"/>
      <x:c r="J800" s="10"/>
    </x:row>
    <x:row r="801" ht="14.25" customHeight="1">
      <x:c r="A801" s="10"/>
      <x:c r="B801" s="10"/>
      <x:c r="C801" s="10"/>
      <x:c r="D801" s="10"/>
      <x:c r="E801" s="10"/>
      <x:c r="F801" s="10"/>
      <x:c r="G801" s="10"/>
      <x:c r="H801" s="10"/>
      <x:c r="I801" s="10"/>
      <x:c r="J801" s="10"/>
    </x:row>
    <x:row r="802" ht="14.25" customHeight="1">
      <x:c r="A802" s="10"/>
      <x:c r="B802" s="10"/>
      <x:c r="C802" s="10"/>
      <x:c r="D802" s="10"/>
      <x:c r="E802" s="10"/>
      <x:c r="F802" s="10"/>
      <x:c r="G802" s="10"/>
      <x:c r="H802" s="10"/>
      <x:c r="I802" s="10"/>
      <x:c r="J802" s="10"/>
    </x:row>
    <x:row r="803" ht="14.25" customHeight="1">
      <x:c r="A803" s="10"/>
      <x:c r="B803" s="10"/>
      <x:c r="C803" s="10"/>
      <x:c r="D803" s="10"/>
      <x:c r="E803" s="10"/>
      <x:c r="F803" s="10"/>
      <x:c r="G803" s="10"/>
      <x:c r="H803" s="10"/>
      <x:c r="I803" s="10"/>
      <x:c r="J803" s="10"/>
    </x:row>
    <x:row r="804" ht="14.25" customHeight="1">
      <x:c r="A804" s="10"/>
      <x:c r="B804" s="10"/>
      <x:c r="C804" s="10"/>
      <x:c r="D804" s="10"/>
      <x:c r="E804" s="10"/>
      <x:c r="F804" s="10"/>
      <x:c r="G804" s="10"/>
      <x:c r="H804" s="10"/>
      <x:c r="I804" s="10"/>
      <x:c r="J804" s="10"/>
    </x:row>
    <x:row r="805" ht="14.25" customHeight="1">
      <x:c r="A805" s="10"/>
      <x:c r="B805" s="10"/>
      <x:c r="C805" s="10"/>
      <x:c r="D805" s="10"/>
      <x:c r="E805" s="10"/>
      <x:c r="F805" s="10"/>
      <x:c r="G805" s="10"/>
      <x:c r="H805" s="10"/>
      <x:c r="I805" s="10"/>
      <x:c r="J805" s="10"/>
    </x:row>
    <x:row r="806" ht="14.25" customHeight="1">
      <x:c r="A806" s="10"/>
      <x:c r="B806" s="10"/>
      <x:c r="C806" s="10"/>
      <x:c r="D806" s="10"/>
      <x:c r="E806" s="10"/>
      <x:c r="F806" s="10"/>
      <x:c r="G806" s="10"/>
      <x:c r="H806" s="10"/>
      <x:c r="I806" s="10"/>
      <x:c r="J806" s="10"/>
    </x:row>
    <x:row r="807" ht="14.25" customHeight="1">
      <x:c r="A807" s="10"/>
      <x:c r="B807" s="10"/>
      <x:c r="C807" s="10"/>
      <x:c r="D807" s="10"/>
      <x:c r="E807" s="10"/>
      <x:c r="F807" s="10"/>
      <x:c r="G807" s="10"/>
      <x:c r="H807" s="10"/>
      <x:c r="I807" s="10"/>
      <x:c r="J807" s="10"/>
    </x:row>
    <x:row r="808" ht="14.25" customHeight="1">
      <x:c r="A808" s="10"/>
      <x:c r="B808" s="10"/>
      <x:c r="C808" s="10"/>
      <x:c r="D808" s="10"/>
      <x:c r="E808" s="10"/>
      <x:c r="F808" s="10"/>
      <x:c r="G808" s="10"/>
      <x:c r="H808" s="10"/>
      <x:c r="I808" s="10"/>
      <x:c r="J808" s="10"/>
    </x:row>
    <x:row r="809" ht="14.25" customHeight="1">
      <x:c r="A809" s="10"/>
      <x:c r="B809" s="10"/>
      <x:c r="C809" s="10"/>
      <x:c r="D809" s="10"/>
      <x:c r="E809" s="10"/>
      <x:c r="F809" s="10"/>
      <x:c r="G809" s="10"/>
      <x:c r="H809" s="10"/>
      <x:c r="I809" s="10"/>
      <x:c r="J809" s="10"/>
    </x:row>
    <x:row r="810" ht="14.25" customHeight="1">
      <x:c r="A810" s="10"/>
      <x:c r="B810" s="10"/>
      <x:c r="C810" s="10"/>
      <x:c r="D810" s="10"/>
      <x:c r="E810" s="10"/>
      <x:c r="F810" s="10"/>
      <x:c r="G810" s="10"/>
      <x:c r="H810" s="10"/>
      <x:c r="I810" s="10"/>
      <x:c r="J810" s="10"/>
    </x:row>
    <x:row r="811" ht="14.25" customHeight="1">
      <x:c r="A811" s="10"/>
      <x:c r="B811" s="10"/>
      <x:c r="C811" s="10"/>
      <x:c r="D811" s="10"/>
      <x:c r="E811" s="10"/>
      <x:c r="F811" s="10"/>
      <x:c r="G811" s="10"/>
      <x:c r="H811" s="10"/>
      <x:c r="I811" s="10"/>
      <x:c r="J811" s="10"/>
    </x:row>
    <x:row r="812" ht="14.25" customHeight="1">
      <x:c r="A812" s="10"/>
      <x:c r="B812" s="10"/>
      <x:c r="C812" s="10"/>
      <x:c r="D812" s="10"/>
      <x:c r="E812" s="10"/>
      <x:c r="F812" s="10"/>
      <x:c r="G812" s="10"/>
      <x:c r="H812" s="10"/>
      <x:c r="I812" s="10"/>
      <x:c r="J812" s="10"/>
    </x:row>
    <x:row r="813" ht="14.25" customHeight="1">
      <x:c r="A813" s="10"/>
      <x:c r="B813" s="10"/>
      <x:c r="C813" s="10"/>
      <x:c r="D813" s="10"/>
      <x:c r="E813" s="10"/>
      <x:c r="F813" s="10"/>
      <x:c r="G813" s="10"/>
      <x:c r="H813" s="10"/>
      <x:c r="I813" s="10"/>
      <x:c r="J813" s="10"/>
    </x:row>
    <x:row r="814" ht="14.25" customHeight="1">
      <x:c r="A814" s="10"/>
      <x:c r="B814" s="10"/>
      <x:c r="C814" s="10"/>
      <x:c r="D814" s="10"/>
      <x:c r="E814" s="10"/>
      <x:c r="F814" s="10"/>
      <x:c r="G814" s="10"/>
      <x:c r="H814" s="10"/>
      <x:c r="I814" s="10"/>
      <x:c r="J814" s="10"/>
    </x:row>
    <x:row r="815" ht="14.25" customHeight="1">
      <x:c r="A815" s="10"/>
      <x:c r="B815" s="10"/>
      <x:c r="C815" s="10"/>
      <x:c r="D815" s="10"/>
      <x:c r="E815" s="10"/>
      <x:c r="F815" s="10"/>
      <x:c r="G815" s="10"/>
      <x:c r="H815" s="10"/>
      <x:c r="I815" s="10"/>
      <x:c r="J815" s="10"/>
    </x:row>
    <x:row r="816" ht="14.25" customHeight="1">
      <x:c r="A816" s="10"/>
      <x:c r="B816" s="10"/>
      <x:c r="C816" s="10"/>
      <x:c r="D816" s="10"/>
      <x:c r="E816" s="10"/>
      <x:c r="F816" s="10"/>
      <x:c r="G816" s="10"/>
      <x:c r="H816" s="10"/>
      <x:c r="I816" s="10"/>
      <x:c r="J816" s="10"/>
    </x:row>
    <x:row r="817" ht="14.25" customHeight="1">
      <x:c r="A817" s="10"/>
      <x:c r="B817" s="10"/>
      <x:c r="C817" s="10"/>
      <x:c r="D817" s="10"/>
      <x:c r="E817" s="10"/>
      <x:c r="F817" s="10"/>
      <x:c r="G817" s="10"/>
      <x:c r="H817" s="10"/>
      <x:c r="I817" s="10"/>
      <x:c r="J817" s="10"/>
    </x:row>
    <x:row r="818" ht="14.25" customHeight="1">
      <x:c r="A818" s="10"/>
      <x:c r="B818" s="10"/>
      <x:c r="C818" s="10"/>
      <x:c r="D818" s="10"/>
      <x:c r="E818" s="10"/>
      <x:c r="F818" s="10"/>
      <x:c r="G818" s="10"/>
      <x:c r="H818" s="10"/>
      <x:c r="I818" s="10"/>
      <x:c r="J818" s="10"/>
    </x:row>
    <x:row r="819" ht="14.25" customHeight="1">
      <x:c r="A819" s="10"/>
      <x:c r="B819" s="10"/>
      <x:c r="C819" s="10"/>
      <x:c r="D819" s="10"/>
      <x:c r="E819" s="10"/>
      <x:c r="F819" s="10"/>
      <x:c r="G819" s="10"/>
      <x:c r="H819" s="10"/>
      <x:c r="I819" s="10"/>
      <x:c r="J819" s="10"/>
    </x:row>
    <x:row r="820" ht="14.25" customHeight="1">
      <x:c r="A820" s="10"/>
      <x:c r="B820" s="10"/>
      <x:c r="C820" s="10"/>
      <x:c r="D820" s="10"/>
      <x:c r="E820" s="10"/>
      <x:c r="F820" s="10"/>
      <x:c r="G820" s="10"/>
      <x:c r="H820" s="10"/>
      <x:c r="I820" s="10"/>
      <x:c r="J820" s="10"/>
    </x:row>
    <x:row r="821" ht="14.25" customHeight="1">
      <x:c r="A821" s="10"/>
      <x:c r="B821" s="10"/>
      <x:c r="C821" s="10"/>
      <x:c r="D821" s="10"/>
      <x:c r="E821" s="10"/>
      <x:c r="F821" s="10"/>
      <x:c r="G821" s="10"/>
      <x:c r="H821" s="10"/>
      <x:c r="I821" s="10"/>
      <x:c r="J821" s="10"/>
    </x:row>
    <x:row r="822" ht="14.25" customHeight="1">
      <x:c r="A822" s="10"/>
      <x:c r="B822" s="10"/>
      <x:c r="C822" s="10"/>
      <x:c r="D822" s="10"/>
      <x:c r="E822" s="10"/>
      <x:c r="F822" s="10"/>
      <x:c r="G822" s="10"/>
      <x:c r="H822" s="10"/>
      <x:c r="I822" s="10"/>
      <x:c r="J822" s="10"/>
    </x:row>
    <x:row r="823" ht="14.25" customHeight="1">
      <x:c r="A823" s="10"/>
      <x:c r="B823" s="10"/>
      <x:c r="C823" s="10"/>
      <x:c r="D823" s="10"/>
      <x:c r="E823" s="10"/>
      <x:c r="F823" s="10"/>
      <x:c r="G823" s="10"/>
      <x:c r="H823" s="10"/>
      <x:c r="I823" s="10"/>
      <x:c r="J823" s="10"/>
    </x:row>
    <x:row r="824" ht="14.25" customHeight="1">
      <x:c r="A824" s="10"/>
      <x:c r="B824" s="10"/>
      <x:c r="C824" s="10"/>
      <x:c r="D824" s="10"/>
      <x:c r="E824" s="10"/>
      <x:c r="F824" s="10"/>
      <x:c r="G824" s="10"/>
      <x:c r="H824" s="10"/>
      <x:c r="I824" s="10"/>
      <x:c r="J824" s="10"/>
    </x:row>
    <x:row r="825" ht="14.25" customHeight="1">
      <x:c r="A825" s="10"/>
      <x:c r="B825" s="10"/>
      <x:c r="C825" s="10"/>
      <x:c r="D825" s="10"/>
      <x:c r="E825" s="10"/>
      <x:c r="F825" s="10"/>
      <x:c r="G825" s="10"/>
      <x:c r="H825" s="10"/>
      <x:c r="I825" s="10"/>
      <x:c r="J825" s="10"/>
    </x:row>
    <x:row r="826" ht="14.25" customHeight="1">
      <x:c r="A826" s="10"/>
      <x:c r="B826" s="10"/>
      <x:c r="C826" s="10"/>
      <x:c r="D826" s="10"/>
      <x:c r="E826" s="10"/>
      <x:c r="F826" s="10"/>
      <x:c r="G826" s="10"/>
      <x:c r="H826" s="10"/>
      <x:c r="I826" s="10"/>
      <x:c r="J826" s="10"/>
    </x:row>
    <x:row r="827" ht="14.25" customHeight="1">
      <x:c r="A827" s="10"/>
      <x:c r="B827" s="10"/>
      <x:c r="C827" s="10"/>
      <x:c r="D827" s="10"/>
      <x:c r="E827" s="10"/>
      <x:c r="F827" s="10"/>
      <x:c r="G827" s="10"/>
      <x:c r="H827" s="10"/>
      <x:c r="I827" s="10"/>
      <x:c r="J827" s="10"/>
    </x:row>
    <x:row r="828" ht="14.25" customHeight="1">
      <x:c r="A828" s="10"/>
      <x:c r="B828" s="10"/>
      <x:c r="C828" s="10"/>
      <x:c r="D828" s="10"/>
      <x:c r="E828" s="10"/>
      <x:c r="F828" s="10"/>
      <x:c r="G828" s="10"/>
      <x:c r="H828" s="10"/>
      <x:c r="I828" s="10"/>
      <x:c r="J828" s="10"/>
    </x:row>
    <x:row r="829" ht="14.25" customHeight="1">
      <x:c r="A829" s="10"/>
      <x:c r="B829" s="10"/>
      <x:c r="C829" s="10"/>
      <x:c r="D829" s="10"/>
      <x:c r="E829" s="10"/>
      <x:c r="F829" s="10"/>
      <x:c r="G829" s="10"/>
      <x:c r="H829" s="10"/>
      <x:c r="I829" s="10"/>
      <x:c r="J829" s="10"/>
    </x:row>
    <x:row r="830" ht="14.25" customHeight="1">
      <x:c r="A830" s="10"/>
      <x:c r="B830" s="10"/>
      <x:c r="C830" s="10"/>
      <x:c r="D830" s="10"/>
      <x:c r="E830" s="10"/>
      <x:c r="F830" s="10"/>
      <x:c r="G830" s="10"/>
      <x:c r="H830" s="10"/>
      <x:c r="I830" s="10"/>
      <x:c r="J830" s="10"/>
    </x:row>
    <x:row r="831" ht="14.25" customHeight="1">
      <x:c r="A831" s="10"/>
      <x:c r="B831" s="10"/>
      <x:c r="C831" s="10"/>
      <x:c r="D831" s="10"/>
      <x:c r="E831" s="10"/>
      <x:c r="F831" s="10"/>
      <x:c r="G831" s="10"/>
      <x:c r="H831" s="10"/>
      <x:c r="I831" s="10"/>
      <x:c r="J831" s="10"/>
    </x:row>
    <x:row r="832" ht="14.25" customHeight="1">
      <x:c r="A832" s="10"/>
      <x:c r="B832" s="10"/>
      <x:c r="C832" s="10"/>
      <x:c r="D832" s="10"/>
      <x:c r="E832" s="10"/>
      <x:c r="F832" s="10"/>
      <x:c r="G832" s="10"/>
      <x:c r="H832" s="10"/>
      <x:c r="I832" s="10"/>
      <x:c r="J832" s="10"/>
    </x:row>
    <x:row r="833" ht="14.25" customHeight="1">
      <x:c r="A833" s="10"/>
      <x:c r="B833" s="10"/>
      <x:c r="C833" s="10"/>
      <x:c r="D833" s="10"/>
      <x:c r="E833" s="10"/>
      <x:c r="F833" s="10"/>
      <x:c r="G833" s="10"/>
      <x:c r="H833" s="10"/>
      <x:c r="I833" s="10"/>
      <x:c r="J833" s="10"/>
    </x:row>
    <x:row r="834" ht="14.25" customHeight="1">
      <x:c r="A834" s="10"/>
      <x:c r="B834" s="10"/>
      <x:c r="C834" s="10"/>
      <x:c r="D834" s="10"/>
      <x:c r="E834" s="10"/>
      <x:c r="F834" s="10"/>
      <x:c r="G834" s="10"/>
      <x:c r="H834" s="10"/>
      <x:c r="I834" s="10"/>
      <x:c r="J834" s="10"/>
    </x:row>
    <x:row r="835" ht="14.25" customHeight="1">
      <x:c r="A835" s="10"/>
      <x:c r="B835" s="10"/>
      <x:c r="C835" s="10"/>
      <x:c r="D835" s="10"/>
      <x:c r="E835" s="10"/>
      <x:c r="F835" s="10"/>
      <x:c r="G835" s="10"/>
      <x:c r="H835" s="10"/>
      <x:c r="I835" s="10"/>
      <x:c r="J835" s="10"/>
    </x:row>
    <x:row r="836" ht="14.25" customHeight="1">
      <x:c r="A836" s="10"/>
      <x:c r="B836" s="10"/>
      <x:c r="C836" s="10"/>
      <x:c r="D836" s="10"/>
      <x:c r="E836" s="10"/>
      <x:c r="F836" s="10"/>
      <x:c r="G836" s="10"/>
      <x:c r="H836" s="10"/>
      <x:c r="I836" s="10"/>
      <x:c r="J836" s="10"/>
    </x:row>
    <x:row r="837" ht="14.25" customHeight="1">
      <x:c r="A837" s="10"/>
      <x:c r="B837" s="10"/>
      <x:c r="C837" s="10"/>
      <x:c r="D837" s="10"/>
      <x:c r="E837" s="10"/>
      <x:c r="F837" s="10"/>
      <x:c r="G837" s="10"/>
      <x:c r="H837" s="10"/>
      <x:c r="I837" s="10"/>
      <x:c r="J837" s="10"/>
    </x:row>
    <x:row r="838" ht="14.25" customHeight="1">
      <x:c r="A838" s="10"/>
      <x:c r="B838" s="10"/>
      <x:c r="C838" s="10"/>
      <x:c r="D838" s="10"/>
      <x:c r="E838" s="10"/>
      <x:c r="F838" s="10"/>
      <x:c r="G838" s="10"/>
      <x:c r="H838" s="10"/>
      <x:c r="I838" s="10"/>
      <x:c r="J838" s="10"/>
    </x:row>
    <x:row r="839" ht="14.25" customHeight="1">
      <x:c r="A839" s="10"/>
      <x:c r="B839" s="10"/>
      <x:c r="C839" s="10"/>
      <x:c r="D839" s="10"/>
      <x:c r="E839" s="10"/>
      <x:c r="F839" s="10"/>
      <x:c r="G839" s="10"/>
      <x:c r="H839" s="10"/>
      <x:c r="I839" s="10"/>
      <x:c r="J839" s="10"/>
    </x:row>
    <x:row r="840" ht="14.25" customHeight="1">
      <x:c r="A840" s="10"/>
      <x:c r="B840" s="10"/>
      <x:c r="C840" s="10"/>
      <x:c r="D840" s="10"/>
      <x:c r="E840" s="10"/>
      <x:c r="F840" s="10"/>
      <x:c r="G840" s="10"/>
      <x:c r="H840" s="10"/>
      <x:c r="I840" s="10"/>
      <x:c r="J840" s="10"/>
    </x:row>
    <x:row r="841" ht="14.25" customHeight="1">
      <x:c r="A841" s="10"/>
      <x:c r="B841" s="10"/>
      <x:c r="C841" s="10"/>
      <x:c r="D841" s="10"/>
      <x:c r="E841" s="10"/>
      <x:c r="F841" s="10"/>
      <x:c r="G841" s="10"/>
      <x:c r="H841" s="10"/>
      <x:c r="I841" s="10"/>
      <x:c r="J841" s="10"/>
    </x:row>
    <x:row r="842" ht="14.25" customHeight="1">
      <x:c r="A842" s="10"/>
      <x:c r="B842" s="10"/>
      <x:c r="C842" s="10"/>
      <x:c r="D842" s="10"/>
      <x:c r="E842" s="10"/>
      <x:c r="F842" s="10"/>
      <x:c r="G842" s="10"/>
      <x:c r="H842" s="10"/>
      <x:c r="I842" s="10"/>
      <x:c r="J842" s="10"/>
    </x:row>
    <x:row r="843" ht="14.25" customHeight="1">
      <x:c r="A843" s="10"/>
      <x:c r="B843" s="10"/>
      <x:c r="C843" s="10"/>
      <x:c r="D843" s="10"/>
      <x:c r="E843" s="10"/>
      <x:c r="F843" s="10"/>
      <x:c r="G843" s="10"/>
      <x:c r="H843" s="10"/>
      <x:c r="I843" s="10"/>
      <x:c r="J843" s="10"/>
    </x:row>
    <x:row r="844" ht="14.25" customHeight="1">
      <x:c r="A844" s="10"/>
      <x:c r="B844" s="10"/>
      <x:c r="C844" s="10"/>
      <x:c r="D844" s="10"/>
      <x:c r="E844" s="10"/>
      <x:c r="F844" s="10"/>
      <x:c r="G844" s="10"/>
      <x:c r="H844" s="10"/>
      <x:c r="I844" s="10"/>
      <x:c r="J844" s="10"/>
    </x:row>
    <x:row r="845" ht="14.25" customHeight="1">
      <x:c r="A845" s="10"/>
      <x:c r="B845" s="10"/>
      <x:c r="C845" s="10"/>
      <x:c r="D845" s="10"/>
      <x:c r="E845" s="10"/>
      <x:c r="F845" s="10"/>
      <x:c r="G845" s="10"/>
      <x:c r="H845" s="10"/>
      <x:c r="I845" s="10"/>
      <x:c r="J845" s="10"/>
    </x:row>
    <x:row r="846" ht="14.25" customHeight="1">
      <x:c r="A846" s="10"/>
      <x:c r="B846" s="10"/>
      <x:c r="C846" s="10"/>
      <x:c r="D846" s="10"/>
      <x:c r="E846" s="10"/>
      <x:c r="F846" s="10"/>
      <x:c r="G846" s="10"/>
      <x:c r="H846" s="10"/>
      <x:c r="I846" s="10"/>
      <x:c r="J846" s="10"/>
    </x:row>
    <x:row r="847" ht="14.25" customHeight="1">
      <x:c r="A847" s="10"/>
      <x:c r="B847" s="10"/>
      <x:c r="C847" s="10"/>
      <x:c r="D847" s="10"/>
      <x:c r="E847" s="10"/>
      <x:c r="F847" s="10"/>
      <x:c r="G847" s="10"/>
      <x:c r="H847" s="10"/>
      <x:c r="I847" s="10"/>
      <x:c r="J847" s="10"/>
    </x:row>
    <x:row r="848" ht="14.25" customHeight="1">
      <x:c r="A848" s="10"/>
      <x:c r="B848" s="10"/>
      <x:c r="C848" s="10"/>
      <x:c r="D848" s="10"/>
      <x:c r="E848" s="10"/>
      <x:c r="F848" s="10"/>
      <x:c r="G848" s="10"/>
      <x:c r="H848" s="10"/>
      <x:c r="I848" s="10"/>
      <x:c r="J848" s="10"/>
    </x:row>
    <x:row r="849" ht="14.25" customHeight="1">
      <x:c r="A849" s="10"/>
      <x:c r="B849" s="10"/>
      <x:c r="C849" s="10"/>
      <x:c r="D849" s="10"/>
      <x:c r="E849" s="10"/>
      <x:c r="F849" s="10"/>
      <x:c r="G849" s="10"/>
      <x:c r="H849" s="10"/>
      <x:c r="I849" s="10"/>
      <x:c r="J849" s="10"/>
    </x:row>
    <x:row r="850" ht="14.25" customHeight="1">
      <x:c r="A850" s="10"/>
      <x:c r="B850" s="10"/>
      <x:c r="C850" s="10"/>
      <x:c r="D850" s="10"/>
      <x:c r="E850" s="10"/>
      <x:c r="F850" s="10"/>
      <x:c r="G850" s="10"/>
      <x:c r="H850" s="10"/>
      <x:c r="I850" s="10"/>
      <x:c r="J850" s="10"/>
    </x:row>
    <x:row r="851" ht="14.25" customHeight="1">
      <x:c r="A851" s="10"/>
      <x:c r="B851" s="10"/>
      <x:c r="C851" s="10"/>
      <x:c r="D851" s="10"/>
      <x:c r="E851" s="10"/>
      <x:c r="F851" s="10"/>
      <x:c r="G851" s="10"/>
      <x:c r="H851" s="10"/>
      <x:c r="I851" s="10"/>
      <x:c r="J851" s="10"/>
    </x:row>
    <x:row r="852" ht="14.25" customHeight="1">
      <x:c r="A852" s="10"/>
      <x:c r="B852" s="10"/>
      <x:c r="C852" s="10"/>
      <x:c r="D852" s="10"/>
      <x:c r="E852" s="10"/>
      <x:c r="F852" s="10"/>
      <x:c r="G852" s="10"/>
      <x:c r="H852" s="10"/>
      <x:c r="I852" s="10"/>
      <x:c r="J852" s="10"/>
    </x:row>
    <x:row r="853" ht="14.25" customHeight="1">
      <x:c r="A853" s="10"/>
      <x:c r="B853" s="10"/>
      <x:c r="C853" s="10"/>
      <x:c r="D853" s="10"/>
      <x:c r="E853" s="10"/>
      <x:c r="F853" s="10"/>
      <x:c r="G853" s="10"/>
      <x:c r="H853" s="10"/>
      <x:c r="I853" s="10"/>
      <x:c r="J853" s="10"/>
    </x:row>
    <x:row r="854" ht="14.25" customHeight="1">
      <x:c r="A854" s="10"/>
      <x:c r="B854" s="10"/>
      <x:c r="C854" s="10"/>
      <x:c r="D854" s="10"/>
      <x:c r="E854" s="10"/>
      <x:c r="F854" s="10"/>
      <x:c r="G854" s="10"/>
      <x:c r="H854" s="10"/>
      <x:c r="I854" s="10"/>
      <x:c r="J854" s="10"/>
    </x:row>
    <x:row r="855" ht="14.25" customHeight="1">
      <x:c r="A855" s="10"/>
      <x:c r="B855" s="10"/>
      <x:c r="C855" s="10"/>
      <x:c r="D855" s="10"/>
      <x:c r="E855" s="10"/>
      <x:c r="F855" s="10"/>
      <x:c r="G855" s="10"/>
      <x:c r="H855" s="10"/>
      <x:c r="I855" s="10"/>
      <x:c r="J855" s="10"/>
    </x:row>
    <x:row r="856" ht="14.25" customHeight="1">
      <x:c r="A856" s="10"/>
      <x:c r="B856" s="10"/>
      <x:c r="C856" s="10"/>
      <x:c r="D856" s="10"/>
      <x:c r="E856" s="10"/>
      <x:c r="F856" s="10"/>
      <x:c r="G856" s="10"/>
      <x:c r="H856" s="10"/>
      <x:c r="I856" s="10"/>
      <x:c r="J856" s="10"/>
    </x:row>
    <x:row r="857" ht="14.25" customHeight="1">
      <x:c r="A857" s="10"/>
      <x:c r="B857" s="10"/>
      <x:c r="C857" s="10"/>
      <x:c r="D857" s="10"/>
      <x:c r="E857" s="10"/>
      <x:c r="F857" s="10"/>
      <x:c r="G857" s="10"/>
      <x:c r="H857" s="10"/>
      <x:c r="I857" s="10"/>
      <x:c r="J857" s="10"/>
    </x:row>
    <x:row r="858" ht="14.25" customHeight="1">
      <x:c r="A858" s="10"/>
      <x:c r="B858" s="10"/>
      <x:c r="C858" s="10"/>
      <x:c r="D858" s="10"/>
      <x:c r="E858" s="10"/>
      <x:c r="F858" s="10"/>
      <x:c r="G858" s="10"/>
      <x:c r="H858" s="10"/>
      <x:c r="I858" s="10"/>
      <x:c r="J858" s="10"/>
    </x:row>
    <x:row r="859" ht="14.25" customHeight="1">
      <x:c r="A859" s="10"/>
      <x:c r="B859" s="10"/>
      <x:c r="C859" s="10"/>
      <x:c r="D859" s="10"/>
      <x:c r="E859" s="10"/>
      <x:c r="F859" s="10"/>
      <x:c r="G859" s="10"/>
      <x:c r="H859" s="10"/>
      <x:c r="I859" s="10"/>
      <x:c r="J859" s="10"/>
    </x:row>
    <x:row r="860" ht="14.25" customHeight="1">
      <x:c r="A860" s="10"/>
      <x:c r="B860" s="10"/>
      <x:c r="C860" s="10"/>
      <x:c r="D860" s="10"/>
      <x:c r="E860" s="10"/>
      <x:c r="F860" s="10"/>
      <x:c r="G860" s="10"/>
      <x:c r="H860" s="10"/>
      <x:c r="I860" s="10"/>
      <x:c r="J860" s="10"/>
    </x:row>
    <x:row r="861" ht="14.25" customHeight="1">
      <x:c r="A861" s="10"/>
      <x:c r="B861" s="10"/>
      <x:c r="C861" s="10"/>
      <x:c r="D861" s="10"/>
      <x:c r="E861" s="10"/>
      <x:c r="F861" s="10"/>
      <x:c r="G861" s="10"/>
      <x:c r="H861" s="10"/>
      <x:c r="I861" s="10"/>
      <x:c r="J861" s="10"/>
    </x:row>
    <x:row r="862" ht="14.25" customHeight="1">
      <x:c r="A862" s="10"/>
      <x:c r="B862" s="10"/>
      <x:c r="C862" s="10"/>
      <x:c r="D862" s="10"/>
      <x:c r="E862" s="10"/>
      <x:c r="F862" s="10"/>
      <x:c r="G862" s="10"/>
      <x:c r="H862" s="10"/>
      <x:c r="I862" s="10"/>
      <x:c r="J862" s="10"/>
    </x:row>
    <x:row r="863" ht="14.25" customHeight="1">
      <x:c r="A863" s="10"/>
      <x:c r="B863" s="10"/>
      <x:c r="C863" s="10"/>
      <x:c r="D863" s="10"/>
      <x:c r="E863" s="10"/>
      <x:c r="F863" s="10"/>
      <x:c r="G863" s="10"/>
      <x:c r="H863" s="10"/>
      <x:c r="I863" s="10"/>
      <x:c r="J863" s="10"/>
    </x:row>
    <x:row r="864" ht="14.25" customHeight="1">
      <x:c r="A864" s="10"/>
      <x:c r="B864" s="10"/>
      <x:c r="C864" s="10"/>
      <x:c r="D864" s="10"/>
      <x:c r="E864" s="10"/>
      <x:c r="F864" s="10"/>
      <x:c r="G864" s="10"/>
      <x:c r="H864" s="10"/>
      <x:c r="I864" s="10"/>
      <x:c r="J864" s="10"/>
    </x:row>
    <x:row r="865" ht="14.25" customHeight="1">
      <x:c r="A865" s="10"/>
      <x:c r="B865" s="10"/>
      <x:c r="C865" s="10"/>
      <x:c r="D865" s="10"/>
      <x:c r="E865" s="10"/>
      <x:c r="F865" s="10"/>
      <x:c r="G865" s="10"/>
      <x:c r="H865" s="10"/>
      <x:c r="I865" s="10"/>
      <x:c r="J865" s="10"/>
    </x:row>
    <x:row r="866" ht="14.25" customHeight="1">
      <x:c r="A866" s="10"/>
      <x:c r="B866" s="10"/>
      <x:c r="C866" s="10"/>
      <x:c r="D866" s="10"/>
      <x:c r="E866" s="10"/>
      <x:c r="F866" s="10"/>
      <x:c r="G866" s="10"/>
      <x:c r="H866" s="10"/>
      <x:c r="I866" s="10"/>
      <x:c r="J866" s="10"/>
    </x:row>
    <x:row r="867" ht="14.25" customHeight="1">
      <x:c r="A867" s="10"/>
      <x:c r="B867" s="10"/>
      <x:c r="C867" s="10"/>
      <x:c r="D867" s="10"/>
      <x:c r="E867" s="10"/>
      <x:c r="F867" s="10"/>
      <x:c r="G867" s="10"/>
      <x:c r="H867" s="10"/>
      <x:c r="I867" s="10"/>
      <x:c r="J867" s="10"/>
    </x:row>
    <x:row r="868" ht="14.25" customHeight="1">
      <x:c r="A868" s="10"/>
      <x:c r="B868" s="10"/>
      <x:c r="C868" s="10"/>
      <x:c r="D868" s="10"/>
      <x:c r="E868" s="10"/>
      <x:c r="F868" s="10"/>
      <x:c r="G868" s="10"/>
      <x:c r="H868" s="10"/>
      <x:c r="I868" s="10"/>
      <x:c r="J868" s="10"/>
    </x:row>
    <x:row r="869" ht="14.25" customHeight="1">
      <x:c r="A869" s="10"/>
      <x:c r="B869" s="10"/>
      <x:c r="C869" s="10"/>
      <x:c r="D869" s="10"/>
      <x:c r="E869" s="10"/>
      <x:c r="F869" s="10"/>
      <x:c r="G869" s="10"/>
      <x:c r="H869" s="10"/>
      <x:c r="I869" s="10"/>
      <x:c r="J869" s="10"/>
    </x:row>
    <x:row r="870" ht="14.25" customHeight="1">
      <x:c r="A870" s="10"/>
      <x:c r="B870" s="10"/>
      <x:c r="C870" s="10"/>
      <x:c r="D870" s="10"/>
      <x:c r="E870" s="10"/>
      <x:c r="F870" s="10"/>
      <x:c r="G870" s="10"/>
      <x:c r="H870" s="10"/>
      <x:c r="I870" s="10"/>
      <x:c r="J870" s="10"/>
    </x:row>
    <x:row r="871" ht="14.25" customHeight="1">
      <x:c r="A871" s="10"/>
      <x:c r="B871" s="10"/>
      <x:c r="C871" s="10"/>
      <x:c r="D871" s="10"/>
      <x:c r="E871" s="10"/>
      <x:c r="F871" s="10"/>
      <x:c r="G871" s="10"/>
      <x:c r="H871" s="10"/>
      <x:c r="I871" s="10"/>
      <x:c r="J871" s="10"/>
    </x:row>
    <x:row r="872" ht="14.25" customHeight="1">
      <x:c r="A872" s="10"/>
      <x:c r="B872" s="10"/>
      <x:c r="C872" s="10"/>
      <x:c r="D872" s="10"/>
      <x:c r="E872" s="10"/>
      <x:c r="F872" s="10"/>
      <x:c r="G872" s="10"/>
      <x:c r="H872" s="10"/>
      <x:c r="I872" s="10"/>
      <x:c r="J872" s="10"/>
    </x:row>
    <x:row r="873" ht="14.25" customHeight="1">
      <x:c r="A873" s="10"/>
      <x:c r="B873" s="10"/>
      <x:c r="C873" s="10"/>
      <x:c r="D873" s="10"/>
      <x:c r="E873" s="10"/>
      <x:c r="F873" s="10"/>
      <x:c r="G873" s="10"/>
      <x:c r="H873" s="10"/>
      <x:c r="I873" s="10"/>
      <x:c r="J873" s="10"/>
    </x:row>
    <x:row r="874" ht="14.25" customHeight="1">
      <x:c r="A874" s="10"/>
      <x:c r="B874" s="10"/>
      <x:c r="C874" s="10"/>
      <x:c r="D874" s="10"/>
      <x:c r="E874" s="10"/>
      <x:c r="F874" s="10"/>
      <x:c r="G874" s="10"/>
      <x:c r="H874" s="10"/>
      <x:c r="I874" s="10"/>
      <x:c r="J874" s="10"/>
    </x:row>
    <x:row r="875" ht="14.25" customHeight="1">
      <x:c r="A875" s="10"/>
      <x:c r="B875" s="10"/>
      <x:c r="C875" s="10"/>
      <x:c r="D875" s="10"/>
      <x:c r="E875" s="10"/>
      <x:c r="F875" s="10"/>
      <x:c r="G875" s="10"/>
      <x:c r="H875" s="10"/>
      <x:c r="I875" s="10"/>
      <x:c r="J875" s="10"/>
    </x:row>
    <x:row r="876" ht="14.25" customHeight="1">
      <x:c r="A876" s="10"/>
      <x:c r="B876" s="10"/>
      <x:c r="C876" s="10"/>
      <x:c r="D876" s="10"/>
      <x:c r="E876" s="10"/>
      <x:c r="F876" s="10"/>
      <x:c r="G876" s="10"/>
      <x:c r="H876" s="10"/>
      <x:c r="I876" s="10"/>
      <x:c r="J876" s="10"/>
    </x:row>
    <x:row r="877" ht="14.25" customHeight="1">
      <x:c r="A877" s="10"/>
      <x:c r="B877" s="10"/>
      <x:c r="C877" s="10"/>
      <x:c r="D877" s="10"/>
      <x:c r="E877" s="10"/>
      <x:c r="F877" s="10"/>
      <x:c r="G877" s="10"/>
      <x:c r="H877" s="10"/>
      <x:c r="I877" s="10"/>
      <x:c r="J877" s="10"/>
    </x:row>
    <x:row r="878" ht="14.25" customHeight="1">
      <x:c r="A878" s="10"/>
      <x:c r="B878" s="10"/>
      <x:c r="C878" s="10"/>
      <x:c r="D878" s="10"/>
      <x:c r="E878" s="10"/>
      <x:c r="F878" s="10"/>
      <x:c r="G878" s="10"/>
      <x:c r="H878" s="10"/>
      <x:c r="I878" s="10"/>
      <x:c r="J878" s="10"/>
    </x:row>
    <x:row r="879" ht="14.25" customHeight="1">
      <x:c r="A879" s="10"/>
      <x:c r="B879" s="10"/>
      <x:c r="C879" s="10"/>
      <x:c r="D879" s="10"/>
      <x:c r="E879" s="10"/>
      <x:c r="F879" s="10"/>
      <x:c r="G879" s="10"/>
      <x:c r="H879" s="10"/>
      <x:c r="I879" s="10"/>
      <x:c r="J879" s="10"/>
    </x:row>
    <x:row r="880" ht="14.25" customHeight="1">
      <x:c r="A880" s="10"/>
      <x:c r="B880" s="10"/>
      <x:c r="C880" s="10"/>
      <x:c r="D880" s="10"/>
      <x:c r="E880" s="10"/>
      <x:c r="F880" s="10"/>
      <x:c r="G880" s="10"/>
      <x:c r="H880" s="10"/>
      <x:c r="I880" s="10"/>
      <x:c r="J880" s="10"/>
    </x:row>
    <x:row r="881" ht="14.25" customHeight="1">
      <x:c r="A881" s="10"/>
      <x:c r="B881" s="10"/>
      <x:c r="C881" s="10"/>
      <x:c r="D881" s="10"/>
      <x:c r="E881" s="10"/>
      <x:c r="F881" s="10"/>
      <x:c r="G881" s="10"/>
      <x:c r="H881" s="10"/>
      <x:c r="I881" s="10"/>
      <x:c r="J881" s="10"/>
    </x:row>
    <x:row r="882" ht="14.25" customHeight="1">
      <x:c r="A882" s="10"/>
      <x:c r="B882" s="10"/>
      <x:c r="C882" s="10"/>
      <x:c r="D882" s="10"/>
      <x:c r="E882" s="10"/>
      <x:c r="F882" s="10"/>
      <x:c r="G882" s="10"/>
      <x:c r="H882" s="10"/>
      <x:c r="I882" s="10"/>
      <x:c r="J882" s="10"/>
    </x:row>
    <x:row r="883" ht="14.25" customHeight="1">
      <x:c r="A883" s="10"/>
      <x:c r="B883" s="10"/>
      <x:c r="C883" s="10"/>
      <x:c r="D883" s="10"/>
      <x:c r="E883" s="10"/>
      <x:c r="F883" s="10"/>
      <x:c r="G883" s="10"/>
      <x:c r="H883" s="10"/>
      <x:c r="I883" s="10"/>
      <x:c r="J883" s="10"/>
    </x:row>
    <x:row r="884" ht="14.25" customHeight="1">
      <x:c r="A884" s="10"/>
      <x:c r="B884" s="10"/>
      <x:c r="C884" s="10"/>
      <x:c r="D884" s="10"/>
      <x:c r="E884" s="10"/>
      <x:c r="F884" s="10"/>
      <x:c r="G884" s="10"/>
      <x:c r="H884" s="10"/>
      <x:c r="I884" s="10"/>
      <x:c r="J884" s="10"/>
    </x:row>
    <x:row r="885" ht="14.25" customHeight="1">
      <x:c r="A885" s="10"/>
      <x:c r="B885" s="10"/>
      <x:c r="C885" s="10"/>
      <x:c r="D885" s="10"/>
      <x:c r="E885" s="10"/>
      <x:c r="F885" s="10"/>
      <x:c r="G885" s="10"/>
      <x:c r="H885" s="10"/>
      <x:c r="I885" s="10"/>
      <x:c r="J885" s="10"/>
    </x:row>
    <x:row r="886" ht="14.25" customHeight="1">
      <x:c r="A886" s="10"/>
      <x:c r="B886" s="10"/>
      <x:c r="C886" s="10"/>
      <x:c r="D886" s="10"/>
      <x:c r="E886" s="10"/>
      <x:c r="F886" s="10"/>
      <x:c r="G886" s="10"/>
      <x:c r="H886" s="10"/>
      <x:c r="I886" s="10"/>
      <x:c r="J886" s="10"/>
    </x:row>
    <x:row r="887" ht="14.25" customHeight="1">
      <x:c r="A887" s="10"/>
      <x:c r="B887" s="10"/>
      <x:c r="C887" s="10"/>
      <x:c r="D887" s="10"/>
      <x:c r="E887" s="10"/>
      <x:c r="F887" s="10"/>
      <x:c r="G887" s="10"/>
      <x:c r="H887" s="10"/>
      <x:c r="I887" s="10"/>
      <x:c r="J887" s="10"/>
    </x:row>
    <x:row r="888" ht="14.25" customHeight="1">
      <x:c r="A888" s="10"/>
      <x:c r="B888" s="10"/>
      <x:c r="C888" s="10"/>
      <x:c r="D888" s="10"/>
      <x:c r="E888" s="10"/>
      <x:c r="F888" s="10"/>
      <x:c r="G888" s="10"/>
      <x:c r="H888" s="10"/>
      <x:c r="I888" s="10"/>
      <x:c r="J888" s="10"/>
    </x:row>
    <x:row r="889" ht="14.25" customHeight="1">
      <x:c r="A889" s="10"/>
      <x:c r="B889" s="10"/>
      <x:c r="C889" s="10"/>
      <x:c r="D889" s="10"/>
      <x:c r="E889" s="10"/>
      <x:c r="F889" s="10"/>
      <x:c r="G889" s="10"/>
      <x:c r="H889" s="10"/>
      <x:c r="I889" s="10"/>
      <x:c r="J889" s="10"/>
    </x:row>
    <x:row r="890" ht="14.25" customHeight="1">
      <x:c r="A890" s="10"/>
      <x:c r="B890" s="10"/>
      <x:c r="C890" s="10"/>
      <x:c r="D890" s="10"/>
      <x:c r="E890" s="10"/>
      <x:c r="F890" s="10"/>
      <x:c r="G890" s="10"/>
      <x:c r="H890" s="10"/>
      <x:c r="I890" s="10"/>
      <x:c r="J890" s="10"/>
    </x:row>
    <x:row r="891" ht="14.25" customHeight="1">
      <x:c r="A891" s="10"/>
      <x:c r="B891" s="10"/>
      <x:c r="C891" s="10"/>
      <x:c r="D891" s="10"/>
      <x:c r="E891" s="10"/>
      <x:c r="F891" s="10"/>
      <x:c r="G891" s="10"/>
      <x:c r="H891" s="10"/>
      <x:c r="I891" s="10"/>
      <x:c r="J891" s="10"/>
    </x:row>
    <x:row r="892" ht="14.25" customHeight="1">
      <x:c r="A892" s="10"/>
      <x:c r="B892" s="10"/>
      <x:c r="C892" s="10"/>
      <x:c r="D892" s="10"/>
      <x:c r="E892" s="10"/>
      <x:c r="F892" s="10"/>
      <x:c r="G892" s="10"/>
      <x:c r="H892" s="10"/>
      <x:c r="I892" s="10"/>
      <x:c r="J892" s="10"/>
    </x:row>
    <x:row r="893" ht="14.25" customHeight="1">
      <x:c r="A893" s="10"/>
      <x:c r="B893" s="10"/>
      <x:c r="C893" s="10"/>
      <x:c r="D893" s="10"/>
      <x:c r="E893" s="10"/>
      <x:c r="F893" s="10"/>
      <x:c r="G893" s="10"/>
      <x:c r="H893" s="10"/>
      <x:c r="I893" s="10"/>
      <x:c r="J893" s="10"/>
    </x:row>
    <x:row r="894" ht="14.25" customHeight="1">
      <x:c r="A894" s="10"/>
      <x:c r="B894" s="10"/>
      <x:c r="C894" s="10"/>
      <x:c r="D894" s="10"/>
      <x:c r="E894" s="10"/>
      <x:c r="F894" s="10"/>
      <x:c r="G894" s="10"/>
      <x:c r="H894" s="10"/>
      <x:c r="I894" s="10"/>
      <x:c r="J894" s="10"/>
    </x:row>
    <x:row r="895" ht="14.25" customHeight="1">
      <x:c r="A895" s="10"/>
      <x:c r="B895" s="10"/>
      <x:c r="C895" s="10"/>
      <x:c r="D895" s="10"/>
      <x:c r="E895" s="10"/>
      <x:c r="F895" s="10"/>
      <x:c r="G895" s="10"/>
      <x:c r="H895" s="10"/>
      <x:c r="I895" s="10"/>
      <x:c r="J895" s="10"/>
    </x:row>
    <x:row r="896" ht="14.25" customHeight="1">
      <x:c r="A896" s="10"/>
      <x:c r="B896" s="10"/>
      <x:c r="C896" s="10"/>
      <x:c r="D896" s="10"/>
      <x:c r="E896" s="10"/>
      <x:c r="F896" s="10"/>
      <x:c r="G896" s="10"/>
      <x:c r="H896" s="10"/>
      <x:c r="I896" s="10"/>
      <x:c r="J896" s="10"/>
    </x:row>
    <x:row r="897" ht="14.25" customHeight="1">
      <x:c r="A897" s="10"/>
      <x:c r="B897" s="10"/>
      <x:c r="C897" s="10"/>
      <x:c r="D897" s="10"/>
      <x:c r="E897" s="10"/>
      <x:c r="F897" s="10"/>
      <x:c r="G897" s="10"/>
      <x:c r="H897" s="10"/>
      <x:c r="I897" s="10"/>
      <x:c r="J897" s="10"/>
    </x:row>
    <x:row r="898" ht="14.25" customHeight="1">
      <x:c r="A898" s="10"/>
      <x:c r="B898" s="10"/>
      <x:c r="C898" s="10"/>
      <x:c r="D898" s="10"/>
      <x:c r="E898" s="10"/>
      <x:c r="F898" s="10"/>
      <x:c r="G898" s="10"/>
      <x:c r="H898" s="10"/>
      <x:c r="I898" s="10"/>
      <x:c r="J898" s="10"/>
    </x:row>
    <x:row r="899" ht="14.25" customHeight="1">
      <x:c r="A899" s="10"/>
      <x:c r="B899" s="10"/>
      <x:c r="C899" s="10"/>
      <x:c r="D899" s="10"/>
      <x:c r="E899" s="10"/>
      <x:c r="F899" s="10"/>
      <x:c r="G899" s="10"/>
      <x:c r="H899" s="10"/>
      <x:c r="I899" s="10"/>
      <x:c r="J899" s="10"/>
    </x:row>
    <x:row r="900" ht="14.25" customHeight="1">
      <x:c r="A900" s="10"/>
      <x:c r="B900" s="10"/>
      <x:c r="C900" s="10"/>
      <x:c r="D900" s="10"/>
      <x:c r="E900" s="10"/>
      <x:c r="F900" s="10"/>
      <x:c r="G900" s="10"/>
      <x:c r="H900" s="10"/>
      <x:c r="I900" s="10"/>
      <x:c r="J900" s="10"/>
    </x:row>
    <x:row r="901" ht="14.25" customHeight="1">
      <x:c r="A901" s="10"/>
      <x:c r="B901" s="10"/>
      <x:c r="C901" s="10"/>
      <x:c r="D901" s="10"/>
      <x:c r="E901" s="10"/>
      <x:c r="F901" s="10"/>
      <x:c r="G901" s="10"/>
      <x:c r="H901" s="10"/>
      <x:c r="I901" s="10"/>
      <x:c r="J901" s="10"/>
    </x:row>
    <x:row r="902" ht="14.25" customHeight="1">
      <x:c r="A902" s="10"/>
      <x:c r="B902" s="10"/>
      <x:c r="C902" s="10"/>
      <x:c r="D902" s="10"/>
      <x:c r="E902" s="10"/>
      <x:c r="F902" s="10"/>
      <x:c r="G902" s="10"/>
      <x:c r="H902" s="10"/>
      <x:c r="I902" s="10"/>
      <x:c r="J902" s="10"/>
    </x:row>
    <x:row r="903" ht="14.25" customHeight="1">
      <x:c r="A903" s="10"/>
      <x:c r="B903" s="10"/>
      <x:c r="C903" s="10"/>
      <x:c r="D903" s="10"/>
      <x:c r="E903" s="10"/>
      <x:c r="F903" s="10"/>
      <x:c r="G903" s="10"/>
      <x:c r="H903" s="10"/>
      <x:c r="I903" s="10"/>
      <x:c r="J903" s="10"/>
    </x:row>
    <x:row r="904" ht="14.25" customHeight="1">
      <x:c r="A904" s="10"/>
      <x:c r="B904" s="10"/>
      <x:c r="C904" s="10"/>
      <x:c r="D904" s="10"/>
      <x:c r="E904" s="10"/>
      <x:c r="F904" s="10"/>
      <x:c r="G904" s="10"/>
      <x:c r="H904" s="10"/>
      <x:c r="I904" s="10"/>
      <x:c r="J904" s="10"/>
    </x:row>
    <x:row r="905" ht="14.25" customHeight="1">
      <x:c r="A905" s="10"/>
      <x:c r="B905" s="10"/>
      <x:c r="C905" s="10"/>
      <x:c r="D905" s="10"/>
      <x:c r="E905" s="10"/>
      <x:c r="F905" s="10"/>
      <x:c r="G905" s="10"/>
      <x:c r="H905" s="10"/>
      <x:c r="I905" s="10"/>
      <x:c r="J905" s="10"/>
    </x:row>
    <x:row r="906" ht="14.25" customHeight="1">
      <x:c r="A906" s="10"/>
      <x:c r="B906" s="10"/>
      <x:c r="C906" s="10"/>
      <x:c r="D906" s="10"/>
      <x:c r="E906" s="10"/>
      <x:c r="F906" s="10"/>
      <x:c r="G906" s="10"/>
      <x:c r="H906" s="10"/>
      <x:c r="I906" s="10"/>
      <x:c r="J906" s="10"/>
    </x:row>
    <x:row r="907" ht="14.25" customHeight="1">
      <x:c r="A907" s="10"/>
      <x:c r="B907" s="10"/>
      <x:c r="C907" s="10"/>
      <x:c r="D907" s="10"/>
      <x:c r="E907" s="10"/>
      <x:c r="F907" s="10"/>
      <x:c r="G907" s="10"/>
      <x:c r="H907" s="10"/>
      <x:c r="I907" s="10"/>
      <x:c r="J907" s="10"/>
    </x:row>
    <x:row r="908" ht="14.25" customHeight="1">
      <x:c r="A908" s="10"/>
      <x:c r="B908" s="10"/>
      <x:c r="C908" s="10"/>
      <x:c r="D908" s="10"/>
      <x:c r="E908" s="10"/>
      <x:c r="F908" s="10"/>
      <x:c r="G908" s="10"/>
      <x:c r="H908" s="10"/>
      <x:c r="I908" s="10"/>
      <x:c r="J908" s="10"/>
    </x:row>
    <x:row r="909" ht="14.25" customHeight="1">
      <x:c r="A909" s="10"/>
      <x:c r="B909" s="10"/>
      <x:c r="C909" s="10"/>
      <x:c r="D909" s="10"/>
      <x:c r="E909" s="10"/>
      <x:c r="F909" s="10"/>
      <x:c r="G909" s="10"/>
      <x:c r="H909" s="10"/>
      <x:c r="I909" s="10"/>
      <x:c r="J909" s="10"/>
    </x:row>
    <x:row r="910" ht="14.25" customHeight="1">
      <x:c r="A910" s="10"/>
      <x:c r="B910" s="10"/>
      <x:c r="C910" s="10"/>
      <x:c r="D910" s="10"/>
      <x:c r="E910" s="10"/>
      <x:c r="F910" s="10"/>
      <x:c r="G910" s="10"/>
      <x:c r="H910" s="10"/>
      <x:c r="I910" s="10"/>
      <x:c r="J910" s="10"/>
    </x:row>
    <x:row r="911" ht="14.25" customHeight="1">
      <x:c r="A911" s="10"/>
      <x:c r="B911" s="10"/>
      <x:c r="C911" s="10"/>
      <x:c r="D911" s="10"/>
      <x:c r="E911" s="10"/>
      <x:c r="F911" s="10"/>
      <x:c r="G911" s="10"/>
      <x:c r="H911" s="10"/>
      <x:c r="I911" s="10"/>
      <x:c r="J911" s="10"/>
    </x:row>
    <x:row r="912" ht="14.25" customHeight="1">
      <x:c r="A912" s="10"/>
      <x:c r="B912" s="10"/>
      <x:c r="C912" s="10"/>
      <x:c r="D912" s="10"/>
      <x:c r="E912" s="10"/>
      <x:c r="F912" s="10"/>
      <x:c r="G912" s="10"/>
      <x:c r="H912" s="10"/>
      <x:c r="I912" s="10"/>
      <x:c r="J912" s="10"/>
    </x:row>
    <x:row r="913" ht="14.25" customHeight="1">
      <x:c r="A913" s="10"/>
      <x:c r="B913" s="10"/>
      <x:c r="C913" s="10"/>
      <x:c r="D913" s="10"/>
      <x:c r="E913" s="10"/>
      <x:c r="F913" s="10"/>
      <x:c r="G913" s="10"/>
      <x:c r="H913" s="10"/>
      <x:c r="I913" s="10"/>
      <x:c r="J913" s="10"/>
    </x:row>
    <x:row r="914" ht="14.25" customHeight="1">
      <x:c r="A914" s="10"/>
      <x:c r="B914" s="10"/>
      <x:c r="C914" s="10"/>
      <x:c r="D914" s="10"/>
      <x:c r="E914" s="10"/>
      <x:c r="F914" s="10"/>
      <x:c r="G914" s="10"/>
      <x:c r="H914" s="10"/>
      <x:c r="I914" s="10"/>
      <x:c r="J914" s="10"/>
    </x:row>
    <x:row r="915" ht="14.25" customHeight="1">
      <x:c r="A915" s="10"/>
      <x:c r="B915" s="10"/>
      <x:c r="C915" s="10"/>
      <x:c r="D915" s="10"/>
      <x:c r="E915" s="10"/>
      <x:c r="F915" s="10"/>
      <x:c r="G915" s="10"/>
      <x:c r="H915" s="10"/>
      <x:c r="I915" s="10"/>
      <x:c r="J915" s="10"/>
    </x:row>
    <x:row r="916" ht="14.25" customHeight="1">
      <x:c r="A916" s="10"/>
      <x:c r="B916" s="10"/>
      <x:c r="C916" s="10"/>
      <x:c r="D916" s="10"/>
      <x:c r="E916" s="10"/>
      <x:c r="F916" s="10"/>
      <x:c r="G916" s="10"/>
      <x:c r="H916" s="10"/>
      <x:c r="I916" s="10"/>
      <x:c r="J916" s="10"/>
    </x:row>
    <x:row r="917" ht="14.25" customHeight="1">
      <x:c r="A917" s="10"/>
      <x:c r="B917" s="10"/>
      <x:c r="C917" s="10"/>
      <x:c r="D917" s="10"/>
      <x:c r="E917" s="10"/>
      <x:c r="F917" s="10"/>
      <x:c r="G917" s="10"/>
      <x:c r="H917" s="10"/>
      <x:c r="I917" s="10"/>
      <x:c r="J917" s="10"/>
    </x:row>
    <x:row r="918" ht="14.25" customHeight="1">
      <x:c r="A918" s="10"/>
      <x:c r="B918" s="10"/>
      <x:c r="C918" s="10"/>
      <x:c r="D918" s="10"/>
      <x:c r="E918" s="10"/>
      <x:c r="F918" s="10"/>
      <x:c r="G918" s="10"/>
      <x:c r="H918" s="10"/>
      <x:c r="I918" s="10"/>
      <x:c r="J918" s="10"/>
    </x:row>
    <x:row r="919" ht="14.25" customHeight="1">
      <x:c r="A919" s="10"/>
      <x:c r="B919" s="10"/>
      <x:c r="C919" s="10"/>
      <x:c r="D919" s="10"/>
      <x:c r="E919" s="10"/>
      <x:c r="F919" s="10"/>
      <x:c r="G919" s="10"/>
      <x:c r="H919" s="10"/>
      <x:c r="I919" s="10"/>
      <x:c r="J919" s="10"/>
    </x:row>
    <x:row r="920" ht="14.25" customHeight="1">
      <x:c r="A920" s="10"/>
      <x:c r="B920" s="10"/>
      <x:c r="C920" s="10"/>
      <x:c r="D920" s="10"/>
      <x:c r="E920" s="10"/>
      <x:c r="F920" s="10"/>
      <x:c r="G920" s="10"/>
      <x:c r="H920" s="10"/>
      <x:c r="I920" s="10"/>
      <x:c r="J920" s="10"/>
    </x:row>
    <x:row r="921" ht="14.25" customHeight="1">
      <x:c r="A921" s="10"/>
      <x:c r="B921" s="10"/>
      <x:c r="C921" s="10"/>
      <x:c r="D921" s="10"/>
      <x:c r="E921" s="10"/>
      <x:c r="F921" s="10"/>
      <x:c r="G921" s="10"/>
      <x:c r="H921" s="10"/>
      <x:c r="I921" s="10"/>
      <x:c r="J921" s="10"/>
    </x:row>
    <x:row r="922" ht="14.25" customHeight="1">
      <x:c r="A922" s="10"/>
      <x:c r="B922" s="10"/>
      <x:c r="C922" s="10"/>
      <x:c r="D922" s="10"/>
      <x:c r="E922" s="10"/>
      <x:c r="F922" s="10"/>
      <x:c r="G922" s="10"/>
      <x:c r="H922" s="10"/>
      <x:c r="I922" s="10"/>
      <x:c r="J922" s="10"/>
    </x:row>
    <x:row r="923" ht="14.25" customHeight="1">
      <x:c r="A923" s="10"/>
      <x:c r="B923" s="10"/>
      <x:c r="C923" s="10"/>
      <x:c r="D923" s="10"/>
      <x:c r="E923" s="10"/>
      <x:c r="F923" s="10"/>
      <x:c r="G923" s="10"/>
      <x:c r="H923" s="10"/>
      <x:c r="I923" s="10"/>
      <x:c r="J923" s="10"/>
    </x:row>
    <x:row r="924" ht="14.25" customHeight="1">
      <x:c r="A924" s="10"/>
      <x:c r="B924" s="10"/>
      <x:c r="C924" s="10"/>
      <x:c r="D924" s="10"/>
      <x:c r="E924" s="10"/>
      <x:c r="F924" s="10"/>
      <x:c r="G924" s="10"/>
      <x:c r="H924" s="10"/>
      <x:c r="I924" s="10"/>
      <x:c r="J924" s="10"/>
    </x:row>
    <x:row r="925" ht="14.25" customHeight="1">
      <x:c r="A925" s="10"/>
      <x:c r="B925" s="10"/>
      <x:c r="C925" s="10"/>
      <x:c r="D925" s="10"/>
      <x:c r="E925" s="10"/>
      <x:c r="F925" s="10"/>
      <x:c r="G925" s="10"/>
      <x:c r="H925" s="10"/>
      <x:c r="I925" s="10"/>
      <x:c r="J925" s="10"/>
    </x:row>
    <x:row r="926" ht="14.25" customHeight="1">
      <x:c r="A926" s="10"/>
      <x:c r="B926" s="10"/>
      <x:c r="C926" s="10"/>
      <x:c r="D926" s="10"/>
      <x:c r="E926" s="10"/>
      <x:c r="F926" s="10"/>
      <x:c r="G926" s="10"/>
      <x:c r="H926" s="10"/>
      <x:c r="I926" s="10"/>
      <x:c r="J926" s="10"/>
    </x:row>
    <x:row r="927" ht="14.25" customHeight="1">
      <x:c r="A927" s="10"/>
      <x:c r="B927" s="10"/>
      <x:c r="C927" s="10"/>
      <x:c r="D927" s="10"/>
      <x:c r="E927" s="10"/>
      <x:c r="F927" s="10"/>
      <x:c r="G927" s="10"/>
      <x:c r="H927" s="10"/>
      <x:c r="I927" s="10"/>
      <x:c r="J927" s="10"/>
    </x:row>
    <x:row r="928" ht="14.25" customHeight="1">
      <x:c r="A928" s="10"/>
      <x:c r="B928" s="10"/>
      <x:c r="C928" s="10"/>
      <x:c r="D928" s="10"/>
      <x:c r="E928" s="10"/>
      <x:c r="F928" s="10"/>
      <x:c r="G928" s="10"/>
      <x:c r="H928" s="10"/>
      <x:c r="I928" s="10"/>
      <x:c r="J928" s="10"/>
    </x:row>
    <x:row r="929" ht="14.25" customHeight="1">
      <x:c r="A929" s="10"/>
      <x:c r="B929" s="10"/>
      <x:c r="C929" s="10"/>
      <x:c r="D929" s="10"/>
      <x:c r="E929" s="10"/>
      <x:c r="F929" s="10"/>
      <x:c r="G929" s="10"/>
      <x:c r="H929" s="10"/>
      <x:c r="I929" s="10"/>
      <x:c r="J929" s="10"/>
    </x:row>
    <x:row r="930" ht="14.25" customHeight="1">
      <x:c r="A930" s="10"/>
      <x:c r="B930" s="10"/>
      <x:c r="C930" s="10"/>
      <x:c r="D930" s="10"/>
      <x:c r="E930" s="10"/>
      <x:c r="F930" s="10"/>
      <x:c r="G930" s="10"/>
      <x:c r="H930" s="10"/>
      <x:c r="I930" s="10"/>
      <x:c r="J930" s="10"/>
    </x:row>
    <x:row r="931" ht="14.25" customHeight="1">
      <x:c r="A931" s="10"/>
      <x:c r="B931" s="10"/>
      <x:c r="C931" s="10"/>
      <x:c r="D931" s="10"/>
      <x:c r="E931" s="10"/>
      <x:c r="F931" s="10"/>
      <x:c r="G931" s="10"/>
      <x:c r="H931" s="10"/>
      <x:c r="I931" s="10"/>
      <x:c r="J931" s="10"/>
    </x:row>
    <x:row r="932" ht="14.25" customHeight="1">
      <x:c r="A932" s="10"/>
      <x:c r="B932" s="10"/>
      <x:c r="C932" s="10"/>
      <x:c r="D932" s="10"/>
      <x:c r="E932" s="10"/>
      <x:c r="F932" s="10"/>
      <x:c r="G932" s="10"/>
      <x:c r="H932" s="10"/>
      <x:c r="I932" s="10"/>
      <x:c r="J932" s="10"/>
    </x:row>
    <x:row r="933" ht="14.25" customHeight="1">
      <x:c r="A933" s="10"/>
      <x:c r="B933" s="10"/>
      <x:c r="C933" s="10"/>
      <x:c r="D933" s="10"/>
      <x:c r="E933" s="10"/>
      <x:c r="F933" s="10"/>
      <x:c r="G933" s="10"/>
      <x:c r="H933" s="10"/>
      <x:c r="I933" s="10"/>
      <x:c r="J933" s="10"/>
    </x:row>
    <x:row r="934" ht="14.25" customHeight="1">
      <x:c r="A934" s="10"/>
      <x:c r="B934" s="10"/>
      <x:c r="C934" s="10"/>
      <x:c r="D934" s="10"/>
      <x:c r="E934" s="10"/>
      <x:c r="F934" s="10"/>
      <x:c r="G934" s="10"/>
      <x:c r="H934" s="10"/>
      <x:c r="I934" s="10"/>
      <x:c r="J934" s="10"/>
    </x:row>
    <x:row r="935" ht="14.25" customHeight="1">
      <x:c r="A935" s="10"/>
      <x:c r="B935" s="10"/>
      <x:c r="C935" s="10"/>
      <x:c r="D935" s="10"/>
      <x:c r="E935" s="10"/>
      <x:c r="F935" s="10"/>
      <x:c r="G935" s="10"/>
      <x:c r="H935" s="10"/>
      <x:c r="I935" s="10"/>
      <x:c r="J935" s="10"/>
    </x:row>
    <x:row r="936" ht="14.25" customHeight="1">
      <x:c r="A936" s="10"/>
      <x:c r="B936" s="10"/>
      <x:c r="C936" s="10"/>
      <x:c r="D936" s="10"/>
      <x:c r="E936" s="10"/>
      <x:c r="F936" s="10"/>
      <x:c r="G936" s="10"/>
      <x:c r="H936" s="10"/>
      <x:c r="I936" s="10"/>
      <x:c r="J936" s="10"/>
    </x:row>
    <x:row r="937" ht="14.25" customHeight="1">
      <x:c r="A937" s="10"/>
      <x:c r="B937" s="10"/>
      <x:c r="C937" s="10"/>
      <x:c r="D937" s="10"/>
      <x:c r="E937" s="10"/>
      <x:c r="F937" s="10"/>
      <x:c r="G937" s="10"/>
      <x:c r="H937" s="10"/>
      <x:c r="I937" s="10"/>
      <x:c r="J937" s="10"/>
    </x:row>
    <x:row r="938" ht="14.25" customHeight="1">
      <x:c r="A938" s="10"/>
      <x:c r="B938" s="10"/>
      <x:c r="C938" s="10"/>
      <x:c r="D938" s="10"/>
      <x:c r="E938" s="10"/>
      <x:c r="F938" s="10"/>
      <x:c r="G938" s="10"/>
      <x:c r="H938" s="10"/>
      <x:c r="I938" s="10"/>
      <x:c r="J938" s="10"/>
    </x:row>
    <x:row r="939" ht="14.25" customHeight="1">
      <x:c r="A939" s="10"/>
      <x:c r="B939" s="10"/>
      <x:c r="C939" s="10"/>
      <x:c r="D939" s="10"/>
      <x:c r="E939" s="10"/>
      <x:c r="F939" s="10"/>
      <x:c r="G939" s="10"/>
      <x:c r="H939" s="10"/>
      <x:c r="I939" s="10"/>
      <x:c r="J939" s="10"/>
    </x:row>
    <x:row r="940" ht="14.25" customHeight="1">
      <x:c r="A940" s="10"/>
      <x:c r="B940" s="10"/>
      <x:c r="C940" s="10"/>
      <x:c r="D940" s="10"/>
      <x:c r="E940" s="10"/>
      <x:c r="F940" s="10"/>
      <x:c r="G940" s="10"/>
      <x:c r="H940" s="10"/>
      <x:c r="I940" s="10"/>
      <x:c r="J940" s="10"/>
    </x:row>
    <x:row r="941" ht="14.25" customHeight="1">
      <x:c r="A941" s="10"/>
      <x:c r="B941" s="10"/>
      <x:c r="C941" s="10"/>
      <x:c r="D941" s="10"/>
      <x:c r="E941" s="10"/>
      <x:c r="F941" s="10"/>
      <x:c r="G941" s="10"/>
      <x:c r="H941" s="10"/>
      <x:c r="I941" s="10"/>
      <x:c r="J941" s="10"/>
    </x:row>
    <x:row r="942" ht="14.25" customHeight="1">
      <x:c r="A942" s="10"/>
      <x:c r="B942" s="10"/>
      <x:c r="C942" s="10"/>
      <x:c r="D942" s="10"/>
      <x:c r="E942" s="10"/>
      <x:c r="F942" s="10"/>
      <x:c r="G942" s="10"/>
      <x:c r="H942" s="10"/>
      <x:c r="I942" s="10"/>
      <x:c r="J942" s="10"/>
    </x:row>
    <x:row r="943" ht="14.25" customHeight="1">
      <x:c r="A943" s="10"/>
      <x:c r="B943" s="10"/>
      <x:c r="C943" s="10"/>
      <x:c r="D943" s="10"/>
      <x:c r="E943" s="10"/>
      <x:c r="F943" s="10"/>
      <x:c r="G943" s="10"/>
      <x:c r="H943" s="10"/>
      <x:c r="I943" s="10"/>
      <x:c r="J943" s="10"/>
    </x:row>
    <x:row r="944" ht="14.25" customHeight="1">
      <x:c r="A944" s="10"/>
      <x:c r="B944" s="10"/>
      <x:c r="C944" s="10"/>
      <x:c r="D944" s="10"/>
      <x:c r="E944" s="10"/>
      <x:c r="F944" s="10"/>
      <x:c r="G944" s="10"/>
      <x:c r="H944" s="10"/>
      <x:c r="I944" s="10"/>
      <x:c r="J944" s="10"/>
    </x:row>
    <x:row r="945" ht="14.25" customHeight="1">
      <x:c r="A945" s="10"/>
      <x:c r="B945" s="10"/>
      <x:c r="C945" s="10"/>
      <x:c r="D945" s="10"/>
      <x:c r="E945" s="10"/>
      <x:c r="F945" s="10"/>
      <x:c r="G945" s="10"/>
      <x:c r="H945" s="10"/>
      <x:c r="I945" s="10"/>
      <x:c r="J945" s="10"/>
    </x:row>
    <x:row r="946" ht="14.25" customHeight="1">
      <x:c r="A946" s="10"/>
      <x:c r="B946" s="10"/>
      <x:c r="C946" s="10"/>
      <x:c r="D946" s="10"/>
      <x:c r="E946" s="10"/>
      <x:c r="F946" s="10"/>
      <x:c r="G946" s="10"/>
      <x:c r="H946" s="10"/>
      <x:c r="I946" s="10"/>
      <x:c r="J946" s="10"/>
    </x:row>
    <x:row r="947" ht="14.25" customHeight="1">
      <x:c r="A947" s="10"/>
      <x:c r="B947" s="10"/>
      <x:c r="C947" s="10"/>
      <x:c r="D947" s="10"/>
      <x:c r="E947" s="10"/>
      <x:c r="F947" s="10"/>
      <x:c r="G947" s="10"/>
      <x:c r="H947" s="10"/>
      <x:c r="I947" s="10"/>
      <x:c r="J947" s="10"/>
    </x:row>
    <x:row r="948" ht="14.25" customHeight="1">
      <x:c r="A948" s="10"/>
      <x:c r="B948" s="10"/>
      <x:c r="C948" s="10"/>
      <x:c r="D948" s="10"/>
      <x:c r="E948" s="10"/>
      <x:c r="F948" s="10"/>
      <x:c r="G948" s="10"/>
      <x:c r="H948" s="10"/>
      <x:c r="I948" s="10"/>
      <x:c r="J948" s="10"/>
    </x:row>
    <x:row r="949" ht="14.25" customHeight="1">
      <x:c r="A949" s="10"/>
      <x:c r="B949" s="10"/>
      <x:c r="C949" s="10"/>
      <x:c r="D949" s="10"/>
      <x:c r="E949" s="10"/>
      <x:c r="F949" s="10"/>
      <x:c r="G949" s="10"/>
      <x:c r="H949" s="10"/>
      <x:c r="I949" s="10"/>
      <x:c r="J949" s="10"/>
    </x:row>
    <x:row r="950" ht="14.25" customHeight="1">
      <x:c r="A950" s="10"/>
      <x:c r="B950" s="10"/>
      <x:c r="C950" s="10"/>
      <x:c r="D950" s="10"/>
      <x:c r="E950" s="10"/>
      <x:c r="F950" s="10"/>
      <x:c r="G950" s="10"/>
      <x:c r="H950" s="10"/>
      <x:c r="I950" s="10"/>
      <x:c r="J950" s="10"/>
    </x:row>
    <x:row r="951" ht="14.25" customHeight="1">
      <x:c r="A951" s="10"/>
      <x:c r="B951" s="10"/>
      <x:c r="C951" s="10"/>
      <x:c r="D951" s="10"/>
      <x:c r="E951" s="10"/>
      <x:c r="F951" s="10"/>
      <x:c r="G951" s="10"/>
      <x:c r="H951" s="10"/>
      <x:c r="I951" s="10"/>
      <x:c r="J951" s="10"/>
    </x:row>
    <x:row r="952" ht="14.25" customHeight="1">
      <x:c r="A952" s="10"/>
      <x:c r="B952" s="10"/>
      <x:c r="C952" s="10"/>
      <x:c r="D952" s="10"/>
      <x:c r="E952" s="10"/>
      <x:c r="F952" s="10"/>
      <x:c r="G952" s="10"/>
      <x:c r="H952" s="10"/>
      <x:c r="I952" s="10"/>
      <x:c r="J952" s="10"/>
    </x:row>
    <x:row r="953" ht="14.25" customHeight="1">
      <x:c r="A953" s="10"/>
      <x:c r="B953" s="10"/>
      <x:c r="C953" s="10"/>
      <x:c r="D953" s="10"/>
      <x:c r="E953" s="10"/>
      <x:c r="F953" s="10"/>
      <x:c r="G953" s="10"/>
      <x:c r="H953" s="10"/>
      <x:c r="I953" s="10"/>
      <x:c r="J953" s="10"/>
    </x:row>
    <x:row r="954" ht="14.25" customHeight="1">
      <x:c r="A954" s="10"/>
      <x:c r="B954" s="10"/>
      <x:c r="C954" s="10"/>
      <x:c r="D954" s="10"/>
      <x:c r="E954" s="10"/>
      <x:c r="F954" s="10"/>
      <x:c r="G954" s="10"/>
      <x:c r="H954" s="10"/>
      <x:c r="I954" s="10"/>
      <x:c r="J954" s="10"/>
    </x:row>
    <x:row r="955" ht="14.25" customHeight="1">
      <x:c r="A955" s="10"/>
      <x:c r="B955" s="10"/>
      <x:c r="C955" s="10"/>
      <x:c r="D955" s="10"/>
      <x:c r="E955" s="10"/>
      <x:c r="F955" s="10"/>
      <x:c r="G955" s="10"/>
      <x:c r="H955" s="10"/>
      <x:c r="I955" s="10"/>
      <x:c r="J955" s="10"/>
    </x:row>
    <x:row r="956" ht="14.25" customHeight="1">
      <x:c r="A956" s="10"/>
      <x:c r="B956" s="10"/>
      <x:c r="C956" s="10"/>
      <x:c r="D956" s="10"/>
      <x:c r="E956" s="10"/>
      <x:c r="F956" s="10"/>
      <x:c r="G956" s="10"/>
      <x:c r="H956" s="10"/>
      <x:c r="I956" s="10"/>
      <x:c r="J956" s="10"/>
    </x:row>
    <x:row r="957" ht="14.25" customHeight="1">
      <x:c r="A957" s="10"/>
      <x:c r="B957" s="10"/>
      <x:c r="C957" s="10"/>
      <x:c r="D957" s="10"/>
      <x:c r="E957" s="10"/>
      <x:c r="F957" s="10"/>
      <x:c r="G957" s="10"/>
      <x:c r="H957" s="10"/>
      <x:c r="I957" s="10"/>
      <x:c r="J957" s="10"/>
    </x:row>
    <x:row r="958" ht="14.25" customHeight="1">
      <x:c r="A958" s="10"/>
      <x:c r="B958" s="10"/>
      <x:c r="C958" s="10"/>
      <x:c r="D958" s="10"/>
      <x:c r="E958" s="10"/>
      <x:c r="F958" s="10"/>
      <x:c r="G958" s="10"/>
      <x:c r="H958" s="10"/>
      <x:c r="I958" s="10"/>
      <x:c r="J958" s="10"/>
    </x:row>
    <x:row r="959" ht="14.25" customHeight="1">
      <x:c r="A959" s="10"/>
      <x:c r="B959" s="10"/>
      <x:c r="C959" s="10"/>
      <x:c r="D959" s="10"/>
      <x:c r="E959" s="10"/>
      <x:c r="F959" s="10"/>
      <x:c r="G959" s="10"/>
      <x:c r="H959" s="10"/>
      <x:c r="I959" s="10"/>
      <x:c r="J959" s="10"/>
    </x:row>
    <x:row r="960" ht="14.25" customHeight="1">
      <x:c r="A960" s="10"/>
      <x:c r="B960" s="10"/>
      <x:c r="C960" s="10"/>
      <x:c r="D960" s="10"/>
      <x:c r="E960" s="10"/>
      <x:c r="F960" s="10"/>
      <x:c r="G960" s="10"/>
      <x:c r="H960" s="10"/>
      <x:c r="I960" s="10"/>
      <x:c r="J960" s="10"/>
    </x:row>
    <x:row r="961" ht="14.25" customHeight="1">
      <x:c r="A961" s="10"/>
      <x:c r="B961" s="10"/>
      <x:c r="C961" s="10"/>
      <x:c r="D961" s="10"/>
      <x:c r="E961" s="10"/>
      <x:c r="F961" s="10"/>
      <x:c r="G961" s="10"/>
      <x:c r="H961" s="10"/>
      <x:c r="I961" s="10"/>
      <x:c r="J961" s="10"/>
    </x:row>
    <x:row r="962" ht="14.25" customHeight="1">
      <x:c r="A962" s="10"/>
      <x:c r="B962" s="10"/>
      <x:c r="C962" s="10"/>
      <x:c r="D962" s="10"/>
      <x:c r="E962" s="10"/>
      <x:c r="F962" s="10"/>
      <x:c r="G962" s="10"/>
      <x:c r="H962" s="10"/>
      <x:c r="I962" s="10"/>
      <x:c r="J962" s="10"/>
    </x:row>
    <x:row r="963" ht="14.25" customHeight="1">
      <x:c r="A963" s="10"/>
      <x:c r="B963" s="10"/>
      <x:c r="C963" s="10"/>
      <x:c r="D963" s="10"/>
      <x:c r="E963" s="10"/>
      <x:c r="F963" s="10"/>
      <x:c r="G963" s="10"/>
      <x:c r="H963" s="10"/>
      <x:c r="I963" s="10"/>
      <x:c r="J963" s="10"/>
    </x:row>
    <x:row r="964" ht="14.25" customHeight="1">
      <x:c r="A964" s="10"/>
      <x:c r="B964" s="10"/>
      <x:c r="C964" s="10"/>
      <x:c r="D964" s="10"/>
      <x:c r="E964" s="10"/>
      <x:c r="F964" s="10"/>
      <x:c r="G964" s="10"/>
      <x:c r="H964" s="10"/>
      <x:c r="I964" s="10"/>
      <x:c r="J964" s="10"/>
    </x:row>
    <x:row r="965" ht="14.25" customHeight="1">
      <x:c r="A965" s="10"/>
      <x:c r="B965" s="10"/>
      <x:c r="C965" s="10"/>
      <x:c r="D965" s="10"/>
      <x:c r="E965" s="10"/>
      <x:c r="F965" s="10"/>
      <x:c r="G965" s="10"/>
      <x:c r="H965" s="10"/>
      <x:c r="I965" s="10"/>
      <x:c r="J965" s="10"/>
    </x:row>
    <x:row r="966" ht="14.25" customHeight="1">
      <x:c r="A966" s="10"/>
      <x:c r="B966" s="10"/>
      <x:c r="C966" s="10"/>
      <x:c r="D966" s="10"/>
      <x:c r="E966" s="10"/>
      <x:c r="F966" s="10"/>
      <x:c r="G966" s="10"/>
      <x:c r="H966" s="10"/>
      <x:c r="I966" s="10"/>
      <x:c r="J966" s="10"/>
    </x:row>
    <x:row r="967" ht="14.25" customHeight="1">
      <x:c r="A967" s="10"/>
      <x:c r="B967" s="10"/>
      <x:c r="C967" s="10"/>
      <x:c r="D967" s="10"/>
      <x:c r="E967" s="10"/>
      <x:c r="F967" s="10"/>
      <x:c r="G967" s="10"/>
      <x:c r="H967" s="10"/>
      <x:c r="I967" s="10"/>
      <x:c r="J967" s="10"/>
    </x:row>
    <x:row r="968" ht="14.25" customHeight="1">
      <x:c r="A968" s="10"/>
      <x:c r="B968" s="10"/>
      <x:c r="C968" s="10"/>
      <x:c r="D968" s="10"/>
      <x:c r="E968" s="10"/>
      <x:c r="F968" s="10"/>
      <x:c r="G968" s="10"/>
      <x:c r="H968" s="10"/>
      <x:c r="I968" s="10"/>
      <x:c r="J968" s="10"/>
    </x:row>
    <x:row r="969" ht="14.25" customHeight="1">
      <x:c r="A969" s="10"/>
      <x:c r="B969" s="10"/>
      <x:c r="C969" s="10"/>
      <x:c r="D969" s="10"/>
      <x:c r="E969" s="10"/>
      <x:c r="F969" s="10"/>
      <x:c r="G969" s="10"/>
      <x:c r="H969" s="10"/>
      <x:c r="I969" s="10"/>
      <x:c r="J969" s="10"/>
    </x:row>
    <x:row r="970" ht="14.25" customHeight="1">
      <x:c r="A970" s="10"/>
      <x:c r="B970" s="10"/>
      <x:c r="C970" s="10"/>
      <x:c r="D970" s="10"/>
      <x:c r="E970" s="10"/>
      <x:c r="F970" s="10"/>
      <x:c r="G970" s="10"/>
      <x:c r="H970" s="10"/>
      <x:c r="I970" s="10"/>
      <x:c r="J970" s="10"/>
    </x:row>
    <x:row r="971" ht="14.25" customHeight="1">
      <x:c r="A971" s="10"/>
      <x:c r="B971" s="10"/>
      <x:c r="C971" s="10"/>
      <x:c r="D971" s="10"/>
      <x:c r="E971" s="10"/>
      <x:c r="F971" s="10"/>
      <x:c r="G971" s="10"/>
      <x:c r="H971" s="10"/>
      <x:c r="I971" s="10"/>
      <x:c r="J971" s="10"/>
    </x:row>
    <x:row r="972" ht="14.25" customHeight="1">
      <x:c r="A972" s="10"/>
      <x:c r="B972" s="10"/>
      <x:c r="C972" s="10"/>
      <x:c r="D972" s="10"/>
      <x:c r="E972" s="10"/>
      <x:c r="F972" s="10"/>
      <x:c r="G972" s="10"/>
      <x:c r="H972" s="10"/>
      <x:c r="I972" s="10"/>
      <x:c r="J972" s="10"/>
    </x:row>
    <x:row r="973" ht="14.25" customHeight="1">
      <x:c r="A973" s="10"/>
      <x:c r="B973" s="10"/>
      <x:c r="C973" s="10"/>
      <x:c r="D973" s="10"/>
      <x:c r="E973" s="10"/>
      <x:c r="F973" s="10"/>
      <x:c r="G973" s="10"/>
      <x:c r="H973" s="10"/>
      <x:c r="I973" s="10"/>
      <x:c r="J973" s="10"/>
    </x:row>
    <x:row r="974" ht="14.25" customHeight="1">
      <x:c r="A974" s="10"/>
      <x:c r="B974" s="10"/>
      <x:c r="C974" s="10"/>
      <x:c r="D974" s="10"/>
      <x:c r="E974" s="10"/>
      <x:c r="F974" s="10"/>
      <x:c r="G974" s="10"/>
      <x:c r="H974" s="10"/>
      <x:c r="I974" s="10"/>
      <x:c r="J974" s="10"/>
    </x:row>
    <x:row r="975" ht="14.25" customHeight="1">
      <x:c r="A975" s="10"/>
      <x:c r="B975" s="10"/>
      <x:c r="C975" s="10"/>
      <x:c r="D975" s="10"/>
      <x:c r="E975" s="10"/>
      <x:c r="F975" s="10"/>
      <x:c r="G975" s="10"/>
      <x:c r="H975" s="10"/>
      <x:c r="I975" s="10"/>
      <x:c r="J975" s="10"/>
    </x:row>
    <x:row r="976" ht="14.25" customHeight="1">
      <x:c r="A976" s="10"/>
      <x:c r="B976" s="10"/>
      <x:c r="C976" s="10"/>
      <x:c r="D976" s="10"/>
      <x:c r="E976" s="10"/>
      <x:c r="F976" s="10"/>
      <x:c r="G976" s="10"/>
      <x:c r="H976" s="10"/>
      <x:c r="I976" s="10"/>
      <x:c r="J976" s="10"/>
    </x:row>
    <x:row r="977" ht="14.25" customHeight="1">
      <x:c r="A977" s="10"/>
      <x:c r="B977" s="10"/>
      <x:c r="C977" s="10"/>
      <x:c r="D977" s="10"/>
      <x:c r="E977" s="10"/>
      <x:c r="F977" s="10"/>
      <x:c r="G977" s="10"/>
      <x:c r="H977" s="10"/>
      <x:c r="I977" s="10"/>
      <x:c r="J977" s="10"/>
    </x:row>
    <x:row r="978" ht="14.25" customHeight="1">
      <x:c r="A978" s="10"/>
      <x:c r="B978" s="10"/>
      <x:c r="C978" s="10"/>
      <x:c r="D978" s="10"/>
      <x:c r="E978" s="10"/>
      <x:c r="F978" s="10"/>
      <x:c r="G978" s="10"/>
      <x:c r="H978" s="10"/>
      <x:c r="I978" s="10"/>
      <x:c r="J978" s="10"/>
    </x:row>
    <x:row r="979" ht="14.25" customHeight="1">
      <x:c r="A979" s="10"/>
      <x:c r="B979" s="10"/>
      <x:c r="C979" s="10"/>
      <x:c r="D979" s="10"/>
      <x:c r="E979" s="10"/>
      <x:c r="F979" s="10"/>
      <x:c r="G979" s="10"/>
      <x:c r="H979" s="10"/>
      <x:c r="I979" s="10"/>
      <x:c r="J979" s="10"/>
    </x:row>
    <x:row r="980" ht="14.25" customHeight="1">
      <x:c r="A980" s="10"/>
      <x:c r="B980" s="10"/>
      <x:c r="C980" s="10"/>
      <x:c r="D980" s="10"/>
      <x:c r="E980" s="10"/>
      <x:c r="F980" s="10"/>
      <x:c r="G980" s="10"/>
      <x:c r="H980" s="10"/>
      <x:c r="I980" s="10"/>
      <x:c r="J980" s="10"/>
    </x:row>
    <x:row r="981" ht="14.25" customHeight="1">
      <x:c r="A981" s="10"/>
      <x:c r="B981" s="10"/>
      <x:c r="C981" s="10"/>
      <x:c r="D981" s="10"/>
      <x:c r="E981" s="10"/>
      <x:c r="F981" s="10"/>
      <x:c r="G981" s="10"/>
      <x:c r="H981" s="10"/>
      <x:c r="I981" s="10"/>
      <x:c r="J981" s="10"/>
    </x:row>
    <x:row r="982" ht="14.25" customHeight="1">
      <x:c r="A982" s="10"/>
      <x:c r="B982" s="10"/>
      <x:c r="C982" s="10"/>
      <x:c r="D982" s="10"/>
      <x:c r="E982" s="10"/>
      <x:c r="F982" s="10"/>
      <x:c r="G982" s="10"/>
      <x:c r="H982" s="10"/>
      <x:c r="I982" s="10"/>
      <x:c r="J982" s="10"/>
    </x:row>
    <x:row r="983" ht="14.25" customHeight="1">
      <x:c r="A983" s="10"/>
      <x:c r="B983" s="10"/>
      <x:c r="C983" s="10"/>
      <x:c r="D983" s="10"/>
      <x:c r="E983" s="10"/>
      <x:c r="F983" s="10"/>
      <x:c r="G983" s="10"/>
      <x:c r="H983" s="10"/>
      <x:c r="I983" s="10"/>
      <x:c r="J983" s="10"/>
    </x:row>
    <x:row r="984" ht="14.25" customHeight="1">
      <x:c r="A984" s="10"/>
      <x:c r="B984" s="10"/>
      <x:c r="C984" s="10"/>
      <x:c r="D984" s="10"/>
      <x:c r="E984" s="10"/>
      <x:c r="F984" s="10"/>
      <x:c r="G984" s="10"/>
      <x:c r="H984" s="10"/>
      <x:c r="I984" s="10"/>
      <x:c r="J984" s="10"/>
    </x:row>
    <x:row r="985" ht="14.25" customHeight="1">
      <x:c r="A985" s="10"/>
      <x:c r="B985" s="10"/>
      <x:c r="C985" s="10"/>
      <x:c r="D985" s="10"/>
      <x:c r="E985" s="10"/>
      <x:c r="F985" s="10"/>
      <x:c r="G985" s="10"/>
      <x:c r="H985" s="10"/>
      <x:c r="I985" s="10"/>
      <x:c r="J985" s="10"/>
    </x:row>
    <x:row r="986" ht="14.25" customHeight="1">
      <x:c r="A986" s="10"/>
      <x:c r="B986" s="10"/>
      <x:c r="C986" s="10"/>
      <x:c r="D986" s="10"/>
      <x:c r="E986" s="10"/>
      <x:c r="F986" s="10"/>
      <x:c r="G986" s="10"/>
      <x:c r="H986" s="10"/>
      <x:c r="I986" s="10"/>
      <x:c r="J986" s="10"/>
    </x:row>
    <x:row r="987" ht="14.25" customHeight="1">
      <x:c r="A987" s="10"/>
      <x:c r="B987" s="10"/>
      <x:c r="C987" s="10"/>
      <x:c r="D987" s="10"/>
      <x:c r="E987" s="10"/>
      <x:c r="F987" s="10"/>
      <x:c r="G987" s="10"/>
      <x:c r="H987" s="10"/>
      <x:c r="I987" s="10"/>
      <x:c r="J987" s="10"/>
    </x:row>
    <x:row r="988" ht="14.25" customHeight="1">
      <x:c r="A988" s="10"/>
      <x:c r="B988" s="10"/>
      <x:c r="C988" s="10"/>
      <x:c r="D988" s="10"/>
      <x:c r="E988" s="10"/>
      <x:c r="F988" s="10"/>
      <x:c r="G988" s="10"/>
      <x:c r="H988" s="10"/>
      <x:c r="I988" s="10"/>
      <x:c r="J988" s="10"/>
    </x:row>
    <x:row r="989" ht="14.25" customHeight="1">
      <x:c r="A989" s="10"/>
      <x:c r="B989" s="10"/>
      <x:c r="C989" s="10"/>
      <x:c r="D989" s="10"/>
      <x:c r="E989" s="10"/>
      <x:c r="F989" s="10"/>
      <x:c r="G989" s="10"/>
      <x:c r="H989" s="10"/>
      <x:c r="I989" s="10"/>
      <x:c r="J989" s="10"/>
    </x:row>
    <x:row r="990" ht="14.25" customHeight="1">
      <x:c r="A990" s="10"/>
      <x:c r="B990" s="10"/>
      <x:c r="C990" s="10"/>
      <x:c r="D990" s="10"/>
      <x:c r="E990" s="10"/>
      <x:c r="F990" s="10"/>
      <x:c r="G990" s="10"/>
      <x:c r="H990" s="10"/>
      <x:c r="I990" s="10"/>
      <x:c r="J990" s="10"/>
    </x:row>
    <x:row r="991" ht="14.25" customHeight="1">
      <x:c r="A991" s="10"/>
      <x:c r="B991" s="10"/>
      <x:c r="C991" s="10"/>
      <x:c r="D991" s="10"/>
      <x:c r="E991" s="10"/>
      <x:c r="F991" s="10"/>
      <x:c r="G991" s="10"/>
      <x:c r="H991" s="10"/>
      <x:c r="I991" s="10"/>
      <x:c r="J991" s="10"/>
    </x:row>
    <x:row r="992" ht="14.25" customHeight="1">
      <x:c r="A992" s="10"/>
      <x:c r="B992" s="10"/>
      <x:c r="C992" s="10"/>
      <x:c r="D992" s="10"/>
      <x:c r="E992" s="10"/>
      <x:c r="F992" s="10"/>
      <x:c r="G992" s="10"/>
      <x:c r="H992" s="10"/>
      <x:c r="I992" s="10"/>
      <x:c r="J992" s="10"/>
    </x:row>
    <x:row r="993" ht="14.25" customHeight="1">
      <x:c r="A993" s="10"/>
      <x:c r="B993" s="10"/>
      <x:c r="C993" s="10"/>
      <x:c r="D993" s="10"/>
      <x:c r="E993" s="10"/>
      <x:c r="F993" s="10"/>
      <x:c r="G993" s="10"/>
      <x:c r="H993" s="10"/>
      <x:c r="I993" s="10"/>
      <x:c r="J993" s="10"/>
    </x:row>
    <x:row r="994" ht="14.25" customHeight="1">
      <x:c r="A994" s="10"/>
      <x:c r="B994" s="10"/>
      <x:c r="C994" s="10"/>
      <x:c r="D994" s="10"/>
      <x:c r="E994" s="10"/>
      <x:c r="F994" s="10"/>
      <x:c r="G994" s="10"/>
      <x:c r="H994" s="10"/>
      <x:c r="I994" s="10"/>
      <x:c r="J994" s="10"/>
    </x:row>
    <x:row r="995" ht="14.25" customHeight="1">
      <x:c r="A995" s="10"/>
      <x:c r="B995" s="10"/>
      <x:c r="C995" s="10"/>
      <x:c r="D995" s="10"/>
      <x:c r="E995" s="10"/>
      <x:c r="F995" s="10"/>
      <x:c r="G995" s="10"/>
      <x:c r="H995" s="10"/>
      <x:c r="I995" s="10"/>
      <x:c r="J995" s="10"/>
    </x:row>
    <x:row r="996" ht="14.25" customHeight="1">
      <x:c r="A996" s="10"/>
      <x:c r="B996" s="10"/>
      <x:c r="C996" s="10"/>
      <x:c r="D996" s="10"/>
      <x:c r="E996" s="10"/>
      <x:c r="F996" s="10"/>
      <x:c r="G996" s="10"/>
      <x:c r="H996" s="10"/>
      <x:c r="I996" s="10"/>
      <x:c r="J996" s="10"/>
    </x:row>
    <x:row r="997" ht="14.25" customHeight="1">
      <x:c r="A997" s="10"/>
      <x:c r="B997" s="10"/>
      <x:c r="C997" s="10"/>
      <x:c r="D997" s="10"/>
      <x:c r="E997" s="10"/>
      <x:c r="F997" s="10"/>
      <x:c r="G997" s="10"/>
      <x:c r="H997" s="10"/>
      <x:c r="I997" s="10"/>
      <x:c r="J997" s="10"/>
    </x:row>
    <x:row r="998" ht="14.25" customHeight="1">
      <x:c r="A998" s="10"/>
      <x:c r="B998" s="10"/>
      <x:c r="C998" s="10"/>
      <x:c r="D998" s="10"/>
      <x:c r="E998" s="10"/>
      <x:c r="F998" s="10"/>
      <x:c r="G998" s="10"/>
      <x:c r="H998" s="10"/>
      <x:c r="I998" s="10"/>
      <x:c r="J998" s="10"/>
    </x:row>
    <x:row r="999" ht="14.25" customHeight="1">
      <x:c r="A999" s="10"/>
      <x:c r="B999" s="10"/>
      <x:c r="C999" s="10"/>
      <x:c r="D999" s="10"/>
      <x:c r="E999" s="10"/>
      <x:c r="F999" s="10"/>
      <x:c r="G999" s="10"/>
      <x:c r="H999" s="10"/>
      <x:c r="I999" s="10"/>
      <x:c r="J999" s="10"/>
    </x:row>
    <x:row r="1000" ht="14.25" customHeight="1">
      <x:c r="A1000" s="10"/>
      <x:c r="B1000" s="10"/>
      <x:c r="C1000" s="10"/>
      <x:c r="D1000" s="10"/>
      <x:c r="E1000" s="10"/>
      <x:c r="F1000" s="10"/>
      <x:c r="G1000" s="10"/>
      <x:c r="H1000" s="10"/>
      <x:c r="I1000" s="10"/>
      <x:c r="J1000" s="10"/>
    </x:row>
  </x:sheetData>
  <x:pageMargins left="0.7" right="0.7" top="0.75" bottom="0.75" header="0.3" footer="0.3"/>
</x:worksheet>
</file>